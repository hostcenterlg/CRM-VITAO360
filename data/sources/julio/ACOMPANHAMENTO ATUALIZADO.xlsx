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1-Vendas Internas\Hemanuele\"/>
    </mc:Choice>
  </mc:AlternateContent>
  <xr:revisionPtr revIDLastSave="0" documentId="13_ncr:1_{D105494B-4A47-47F6-AD16-A1DD3B56FAA6}" xr6:coauthVersionLast="47" xr6:coauthVersionMax="47" xr10:uidLastSave="{00000000-0000-0000-0000-000000000000}"/>
  <bookViews>
    <workbookView xWindow="-120" yWindow="-120" windowWidth="29040" windowHeight="15720" tabRatio="849" activeTab="2" xr2:uid="{CB0FFF3F-AEAB-4475-A301-F65DB34863C5}"/>
  </bookViews>
  <sheets>
    <sheet name="Draft" sheetId="18" r:id="rId1"/>
    <sheet name="Base Mercos" sheetId="13" r:id="rId2"/>
    <sheet name="Log" sheetId="14" r:id="rId3"/>
    <sheet name="Planilha1" sheetId="19" r:id="rId4"/>
    <sheet name="CARTEIRA" sheetId="17" state="hidden" r:id="rId5"/>
    <sheet name="Base Novos Clientes" sheetId="16" state="hidden" r:id="rId6"/>
    <sheet name="Dash" sheetId="12" r:id="rId7"/>
    <sheet name="Regras" sheetId="15" r:id="rId8"/>
  </sheets>
  <definedNames>
    <definedName name="_xlnm._FilterDatabase" localSheetId="1" hidden="1">'Base Mercos'!$C$2:$R$2174</definedName>
    <definedName name="_xlnm._FilterDatabase" localSheetId="5" hidden="1">'Base Novos Clientes'!$C$2:$T$400</definedName>
    <definedName name="_xlnm._FilterDatabase" localSheetId="0" hidden="1">Draft!$A$1:$I$307</definedName>
    <definedName name="_xlnm._FilterDatabase" localSheetId="2" hidden="1">Log!$B$2:$AB$779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799" i="14" l="1"/>
  <c r="X783" i="14"/>
  <c r="X782" i="14"/>
  <c r="X781" i="14"/>
  <c r="X777" i="14"/>
  <c r="X774" i="14"/>
  <c r="X773" i="14"/>
  <c r="X771" i="14"/>
  <c r="X779" i="14"/>
  <c r="X770" i="14"/>
  <c r="X769" i="14"/>
  <c r="X768" i="14"/>
  <c r="X767" i="14"/>
  <c r="X763" i="14"/>
  <c r="X761" i="14"/>
  <c r="X756" i="14"/>
  <c r="X755" i="14"/>
  <c r="X754" i="14"/>
  <c r="X753" i="14"/>
  <c r="X743" i="14"/>
  <c r="X737" i="14"/>
  <c r="X736" i="14"/>
  <c r="X734" i="14"/>
  <c r="X729" i="14"/>
  <c r="X728" i="14"/>
  <c r="X726" i="14"/>
  <c r="X725" i="14"/>
  <c r="X724" i="14"/>
  <c r="X721" i="14"/>
  <c r="X720" i="14"/>
  <c r="X717" i="14"/>
  <c r="X712" i="14"/>
  <c r="X701" i="14"/>
  <c r="X700" i="14"/>
  <c r="X699" i="14"/>
  <c r="X698" i="14"/>
  <c r="X697" i="14"/>
  <c r="X694" i="14"/>
  <c r="X691" i="14"/>
  <c r="X690" i="14"/>
  <c r="X689" i="14"/>
  <c r="X671" i="14"/>
  <c r="X668" i="14"/>
  <c r="X657" i="14"/>
  <c r="X656" i="14"/>
  <c r="X655" i="14"/>
  <c r="X651" i="14"/>
  <c r="X650" i="14"/>
  <c r="X649" i="14"/>
  <c r="X648" i="14"/>
  <c r="X645" i="14"/>
  <c r="X644" i="14"/>
  <c r="X642" i="14"/>
  <c r="X637" i="14"/>
  <c r="X625" i="14"/>
  <c r="X624" i="14"/>
  <c r="X623" i="14"/>
  <c r="X622" i="14"/>
  <c r="X607" i="14"/>
  <c r="X604" i="14"/>
  <c r="X603" i="14"/>
  <c r="X600" i="14"/>
  <c r="X598" i="14"/>
  <c r="X597" i="14"/>
  <c r="X596" i="14"/>
  <c r="X595" i="14"/>
  <c r="X592" i="14"/>
  <c r="X567" i="14"/>
  <c r="X566" i="14"/>
  <c r="X565" i="14"/>
  <c r="X564" i="14"/>
  <c r="X563" i="14"/>
  <c r="X562" i="14"/>
  <c r="X561" i="14"/>
  <c r="X560" i="14"/>
  <c r="X559" i="14"/>
  <c r="X558" i="14"/>
  <c r="X552" i="14"/>
  <c r="X551" i="14"/>
  <c r="X550" i="14"/>
  <c r="X549" i="14"/>
  <c r="X548" i="14"/>
  <c r="X533" i="14"/>
  <c r="X532" i="14"/>
  <c r="X527" i="14"/>
  <c r="X519" i="14"/>
  <c r="X520" i="14"/>
  <c r="X516" i="14"/>
  <c r="X498" i="14"/>
  <c r="X490" i="14"/>
  <c r="X487" i="14"/>
  <c r="X476" i="14"/>
  <c r="X461" i="14"/>
  <c r="X459" i="14"/>
  <c r="X452" i="14"/>
  <c r="M125" i="13"/>
  <c r="X429" i="14"/>
  <c r="M140" i="13"/>
  <c r="N140" i="13"/>
  <c r="O140" i="13"/>
  <c r="P140" i="13"/>
  <c r="M2174" i="13"/>
  <c r="N2174" i="13"/>
  <c r="O2174" i="13"/>
  <c r="P2174" i="13"/>
  <c r="M139" i="13"/>
  <c r="N139" i="13"/>
  <c r="O139" i="13"/>
  <c r="P139" i="13"/>
  <c r="M126" i="13"/>
  <c r="M127" i="13"/>
  <c r="M128" i="13"/>
  <c r="M130" i="13"/>
  <c r="M132" i="13"/>
  <c r="M133" i="13"/>
  <c r="M134" i="13"/>
  <c r="M136" i="13"/>
  <c r="M138" i="13"/>
  <c r="M2173" i="13"/>
  <c r="N125" i="13"/>
  <c r="N126" i="13"/>
  <c r="N127" i="13"/>
  <c r="N128" i="13"/>
  <c r="N130" i="13"/>
  <c r="N132" i="13"/>
  <c r="N133" i="13"/>
  <c r="N134" i="13"/>
  <c r="N136" i="13"/>
  <c r="N138" i="13"/>
  <c r="N2173" i="13"/>
  <c r="O125" i="13"/>
  <c r="O126" i="13"/>
  <c r="O127" i="13"/>
  <c r="O128" i="13"/>
  <c r="O130" i="13"/>
  <c r="O132" i="13"/>
  <c r="O133" i="13"/>
  <c r="O134" i="13"/>
  <c r="O136" i="13"/>
  <c r="O138" i="13"/>
  <c r="O2173" i="13"/>
  <c r="P125" i="13"/>
  <c r="P126" i="13"/>
  <c r="P127" i="13"/>
  <c r="P128" i="13"/>
  <c r="P130" i="13"/>
  <c r="P132" i="13"/>
  <c r="P133" i="13"/>
  <c r="P134" i="13"/>
  <c r="P136" i="13"/>
  <c r="P138" i="13"/>
  <c r="P2173" i="13"/>
  <c r="M2168" i="13"/>
  <c r="M105" i="13"/>
  <c r="M106" i="13"/>
  <c r="M2169" i="13"/>
  <c r="M107" i="13"/>
  <c r="M108" i="13"/>
  <c r="M109" i="13"/>
  <c r="M110" i="13"/>
  <c r="M2170" i="13"/>
  <c r="M2171" i="13"/>
  <c r="M111" i="13"/>
  <c r="M112" i="13"/>
  <c r="M113" i="13"/>
  <c r="M2172" i="13"/>
  <c r="N2168" i="13"/>
  <c r="N105" i="13"/>
  <c r="N106" i="13"/>
  <c r="N2169" i="13"/>
  <c r="N107" i="13"/>
  <c r="N108" i="13"/>
  <c r="N109" i="13"/>
  <c r="N110" i="13"/>
  <c r="N2170" i="13"/>
  <c r="N2171" i="13"/>
  <c r="N111" i="13"/>
  <c r="N112" i="13"/>
  <c r="N113" i="13"/>
  <c r="N2172" i="13"/>
  <c r="O2168" i="13"/>
  <c r="O105" i="13"/>
  <c r="O106" i="13"/>
  <c r="O2169" i="13"/>
  <c r="O107" i="13"/>
  <c r="O108" i="13"/>
  <c r="O109" i="13"/>
  <c r="O110" i="13"/>
  <c r="O2170" i="13"/>
  <c r="O2171" i="13"/>
  <c r="O111" i="13"/>
  <c r="O112" i="13"/>
  <c r="O113" i="13"/>
  <c r="O2172" i="13"/>
  <c r="P2168" i="13"/>
  <c r="P105" i="13"/>
  <c r="P106" i="13"/>
  <c r="P2169" i="13"/>
  <c r="P107" i="13"/>
  <c r="P108" i="13"/>
  <c r="P109" i="13"/>
  <c r="P110" i="13"/>
  <c r="P2170" i="13"/>
  <c r="P2171" i="13"/>
  <c r="P111" i="13"/>
  <c r="P112" i="13"/>
  <c r="P113" i="13"/>
  <c r="P2172" i="13"/>
  <c r="M2167" i="13"/>
  <c r="N2167" i="13"/>
  <c r="O2167" i="13"/>
  <c r="P2167" i="13"/>
  <c r="M2162" i="13"/>
  <c r="M2163" i="13"/>
  <c r="M2164" i="13"/>
  <c r="M93" i="13"/>
  <c r="M94" i="13"/>
  <c r="M95" i="13"/>
  <c r="M2165" i="13"/>
  <c r="M96" i="13"/>
  <c r="M97" i="13"/>
  <c r="M98" i="13"/>
  <c r="M2166" i="13"/>
  <c r="M99" i="13"/>
  <c r="M100" i="13"/>
  <c r="N2162" i="13"/>
  <c r="N2163" i="13"/>
  <c r="N2164" i="13"/>
  <c r="N93" i="13"/>
  <c r="N94" i="13"/>
  <c r="N95" i="13"/>
  <c r="N2165" i="13"/>
  <c r="N96" i="13"/>
  <c r="N97" i="13"/>
  <c r="N98" i="13"/>
  <c r="N2166" i="13"/>
  <c r="N99" i="13"/>
  <c r="N100" i="13"/>
  <c r="O2162" i="13"/>
  <c r="O2163" i="13"/>
  <c r="O2164" i="13"/>
  <c r="O93" i="13"/>
  <c r="O94" i="13"/>
  <c r="O95" i="13"/>
  <c r="O2165" i="13"/>
  <c r="O96" i="13"/>
  <c r="O97" i="13"/>
  <c r="O98" i="13"/>
  <c r="O2166" i="13"/>
  <c r="O99" i="13"/>
  <c r="O100" i="13"/>
  <c r="P2162" i="13"/>
  <c r="P2163" i="13"/>
  <c r="P2164" i="13"/>
  <c r="P93" i="13"/>
  <c r="P94" i="13"/>
  <c r="P95" i="13"/>
  <c r="P2165" i="13"/>
  <c r="P96" i="13"/>
  <c r="P97" i="13"/>
  <c r="P98" i="13"/>
  <c r="P2166" i="13"/>
  <c r="P99" i="13"/>
  <c r="P100" i="13"/>
  <c r="M88" i="13"/>
  <c r="M90" i="13"/>
  <c r="N88" i="13"/>
  <c r="N90" i="13"/>
  <c r="O88" i="13"/>
  <c r="O90" i="13"/>
  <c r="P88" i="13"/>
  <c r="P90" i="13"/>
  <c r="M87" i="13"/>
  <c r="N87" i="13"/>
  <c r="O87" i="13"/>
  <c r="P87" i="13"/>
  <c r="M2161" i="13"/>
  <c r="N2161" i="13"/>
  <c r="O2161" i="13"/>
  <c r="P2161" i="13"/>
  <c r="M85" i="13"/>
  <c r="M86" i="13"/>
  <c r="N85" i="13"/>
  <c r="N86" i="13"/>
  <c r="O85" i="13"/>
  <c r="O86" i="13"/>
  <c r="P85" i="13"/>
  <c r="P86" i="13"/>
  <c r="M67" i="13"/>
  <c r="M68" i="13"/>
  <c r="M69" i="13"/>
  <c r="M70" i="13"/>
  <c r="M71" i="13"/>
  <c r="M72" i="13"/>
  <c r="M2160" i="13"/>
  <c r="M73" i="13"/>
  <c r="M74" i="13"/>
  <c r="M75" i="13"/>
  <c r="N67" i="13"/>
  <c r="N68" i="13"/>
  <c r="N69" i="13"/>
  <c r="N70" i="13"/>
  <c r="N71" i="13"/>
  <c r="N72" i="13"/>
  <c r="N2160" i="13"/>
  <c r="N73" i="13"/>
  <c r="N74" i="13"/>
  <c r="N75" i="13"/>
  <c r="O67" i="13"/>
  <c r="O68" i="13"/>
  <c r="O69" i="13"/>
  <c r="O70" i="13"/>
  <c r="O71" i="13"/>
  <c r="O72" i="13"/>
  <c r="O2160" i="13"/>
  <c r="O73" i="13"/>
  <c r="O74" i="13"/>
  <c r="O75" i="13"/>
  <c r="P67" i="13"/>
  <c r="P68" i="13"/>
  <c r="P69" i="13"/>
  <c r="P70" i="13"/>
  <c r="P71" i="13"/>
  <c r="P72" i="13"/>
  <c r="P2160" i="13"/>
  <c r="P73" i="13"/>
  <c r="P74" i="13"/>
  <c r="P75" i="13"/>
  <c r="M66" i="13"/>
  <c r="N66" i="13"/>
  <c r="O66" i="13"/>
  <c r="P66" i="13"/>
  <c r="M121" i="13"/>
  <c r="N121" i="13"/>
  <c r="O121" i="13"/>
  <c r="P121" i="13"/>
  <c r="M2159" i="13"/>
  <c r="N2159" i="13"/>
  <c r="O2159" i="13"/>
  <c r="P2159" i="13"/>
  <c r="M89" i="13"/>
  <c r="N89" i="13"/>
  <c r="O89" i="13"/>
  <c r="P89" i="13"/>
  <c r="M2158" i="13"/>
  <c r="N2158" i="13"/>
  <c r="O2158" i="13"/>
  <c r="P2158" i="13"/>
  <c r="M65" i="13"/>
  <c r="M79" i="13"/>
  <c r="N65" i="13"/>
  <c r="N79" i="13"/>
  <c r="O65" i="13"/>
  <c r="O79" i="13"/>
  <c r="P65" i="13"/>
  <c r="P79" i="13"/>
  <c r="M84" i="13"/>
  <c r="N84" i="13"/>
  <c r="O84" i="13"/>
  <c r="P84" i="13"/>
  <c r="M76" i="13"/>
  <c r="M64" i="13"/>
  <c r="N76" i="13"/>
  <c r="N64" i="13"/>
  <c r="O76" i="13"/>
  <c r="O64" i="13"/>
  <c r="P76" i="13"/>
  <c r="P64" i="13"/>
  <c r="M2155" i="13"/>
  <c r="M78" i="13"/>
  <c r="M2156" i="13"/>
  <c r="M2157" i="13"/>
  <c r="M60" i="13"/>
  <c r="N2155" i="13"/>
  <c r="N78" i="13"/>
  <c r="N2156" i="13"/>
  <c r="N2157" i="13"/>
  <c r="N60" i="13"/>
  <c r="O2155" i="13"/>
  <c r="O78" i="13"/>
  <c r="O2156" i="13"/>
  <c r="O2157" i="13"/>
  <c r="O60" i="13"/>
  <c r="P2155" i="13"/>
  <c r="P78" i="13"/>
  <c r="P2156" i="13"/>
  <c r="P2157" i="13"/>
  <c r="P60" i="13"/>
  <c r="M230" i="13"/>
  <c r="N230" i="13"/>
  <c r="O230" i="13"/>
  <c r="P230" i="13"/>
  <c r="M4" i="13"/>
  <c r="N4" i="13"/>
  <c r="O4" i="13"/>
  <c r="P4" i="13"/>
  <c r="R4" i="13"/>
  <c r="M63" i="13"/>
  <c r="N63" i="13"/>
  <c r="O63" i="13"/>
  <c r="P63" i="13"/>
  <c r="M62" i="13"/>
  <c r="N62" i="13"/>
  <c r="O62" i="13"/>
  <c r="P62" i="13"/>
  <c r="M23" i="13"/>
  <c r="N23" i="13"/>
  <c r="O23" i="13"/>
  <c r="P23" i="13"/>
  <c r="M227" i="13"/>
  <c r="N227" i="13"/>
  <c r="O227" i="13"/>
  <c r="P227" i="13"/>
  <c r="M40" i="13"/>
  <c r="M43" i="13"/>
  <c r="M44" i="13"/>
  <c r="M45" i="13"/>
  <c r="M48" i="13"/>
  <c r="M2154" i="13"/>
  <c r="M8" i="13"/>
  <c r="M33" i="13"/>
  <c r="M208" i="13"/>
  <c r="M6" i="13"/>
  <c r="M7" i="13"/>
  <c r="M9" i="13"/>
  <c r="N40" i="13"/>
  <c r="N43" i="13"/>
  <c r="N44" i="13"/>
  <c r="N45" i="13"/>
  <c r="N48" i="13"/>
  <c r="N2154" i="13"/>
  <c r="N8" i="13"/>
  <c r="N33" i="13"/>
  <c r="N208" i="13"/>
  <c r="N6" i="13"/>
  <c r="N7" i="13"/>
  <c r="N9" i="13"/>
  <c r="O40" i="13"/>
  <c r="O43" i="13"/>
  <c r="O44" i="13"/>
  <c r="O45" i="13"/>
  <c r="O48" i="13"/>
  <c r="O2154" i="13"/>
  <c r="O8" i="13"/>
  <c r="O33" i="13"/>
  <c r="O208" i="13"/>
  <c r="O6" i="13"/>
  <c r="O7" i="13"/>
  <c r="O9" i="13"/>
  <c r="P40" i="13"/>
  <c r="P43" i="13"/>
  <c r="P44" i="13"/>
  <c r="P45" i="13"/>
  <c r="P48" i="13"/>
  <c r="P2154" i="13"/>
  <c r="P8" i="13"/>
  <c r="P33" i="13"/>
  <c r="P208" i="13"/>
  <c r="P6" i="13"/>
  <c r="P7" i="13"/>
  <c r="P9" i="13"/>
  <c r="R33" i="13"/>
  <c r="M51" i="13"/>
  <c r="M464" i="13"/>
  <c r="M465" i="13"/>
  <c r="M466" i="13"/>
  <c r="M467" i="13"/>
  <c r="M468" i="13"/>
  <c r="M469" i="13"/>
  <c r="M470" i="13"/>
  <c r="M471" i="13"/>
  <c r="M472" i="13"/>
  <c r="M473" i="13"/>
  <c r="M474" i="13"/>
  <c r="M475" i="13"/>
  <c r="M476" i="13"/>
  <c r="M477" i="13"/>
  <c r="M478" i="13"/>
  <c r="M479" i="13"/>
  <c r="M480" i="13"/>
  <c r="M481" i="13"/>
  <c r="M482" i="13"/>
  <c r="M483" i="13"/>
  <c r="M484" i="13"/>
  <c r="M485" i="13"/>
  <c r="M486" i="13"/>
  <c r="M487" i="13"/>
  <c r="M488" i="13"/>
  <c r="M489" i="13"/>
  <c r="M490" i="13"/>
  <c r="M491" i="13"/>
  <c r="M492" i="13"/>
  <c r="M493" i="13"/>
  <c r="M494" i="13"/>
  <c r="M495" i="13"/>
  <c r="M496" i="13"/>
  <c r="M497" i="13"/>
  <c r="M498" i="13"/>
  <c r="M499" i="13"/>
  <c r="M500" i="13"/>
  <c r="M501" i="13"/>
  <c r="M502" i="13"/>
  <c r="M503" i="13"/>
  <c r="M504" i="13"/>
  <c r="M505" i="13"/>
  <c r="M506" i="13"/>
  <c r="M507" i="13"/>
  <c r="M508" i="13"/>
  <c r="M509" i="13"/>
  <c r="M510" i="13"/>
  <c r="M511" i="13"/>
  <c r="M512" i="13"/>
  <c r="M513" i="13"/>
  <c r="M514" i="13"/>
  <c r="M515" i="13"/>
  <c r="M516" i="13"/>
  <c r="M517" i="13"/>
  <c r="M518" i="13"/>
  <c r="M519" i="13"/>
  <c r="M520" i="13"/>
  <c r="M521" i="13"/>
  <c r="M522" i="13"/>
  <c r="M523" i="13"/>
  <c r="M524" i="13"/>
  <c r="M525" i="13"/>
  <c r="M526" i="13"/>
  <c r="M527" i="13"/>
  <c r="M528" i="13"/>
  <c r="M529" i="13"/>
  <c r="M530" i="13"/>
  <c r="M531" i="13"/>
  <c r="M532" i="13"/>
  <c r="M533" i="13"/>
  <c r="M534" i="13"/>
  <c r="M535" i="13"/>
  <c r="M536" i="13"/>
  <c r="M537" i="13"/>
  <c r="M538" i="13"/>
  <c r="M539" i="13"/>
  <c r="M540" i="13"/>
  <c r="M541" i="13"/>
  <c r="M542" i="13"/>
  <c r="M543" i="13"/>
  <c r="M544" i="13"/>
  <c r="M545" i="13"/>
  <c r="M546" i="13"/>
  <c r="M547" i="13"/>
  <c r="M548" i="13"/>
  <c r="M549" i="13"/>
  <c r="M550" i="13"/>
  <c r="M551" i="13"/>
  <c r="M552" i="13"/>
  <c r="M553" i="13"/>
  <c r="M554" i="13"/>
  <c r="M555" i="13"/>
  <c r="M556" i="13"/>
  <c r="M557" i="13"/>
  <c r="M558" i="13"/>
  <c r="M559" i="13"/>
  <c r="M560" i="13"/>
  <c r="M561" i="13"/>
  <c r="M562" i="13"/>
  <c r="M563" i="13"/>
  <c r="M564" i="13"/>
  <c r="M565" i="13"/>
  <c r="M566" i="13"/>
  <c r="M567" i="13"/>
  <c r="M568" i="13"/>
  <c r="M569" i="13"/>
  <c r="M570" i="13"/>
  <c r="M571" i="13"/>
  <c r="M572" i="13"/>
  <c r="M573" i="13"/>
  <c r="M574" i="13"/>
  <c r="M575" i="13"/>
  <c r="M576" i="13"/>
  <c r="M577" i="13"/>
  <c r="M578" i="13"/>
  <c r="M579" i="13"/>
  <c r="M580" i="13"/>
  <c r="M581" i="13"/>
  <c r="M582" i="13"/>
  <c r="M583" i="13"/>
  <c r="M584" i="13"/>
  <c r="M585" i="13"/>
  <c r="M586" i="13"/>
  <c r="M587" i="13"/>
  <c r="M588" i="13"/>
  <c r="M589" i="13"/>
  <c r="M590" i="13"/>
  <c r="M591" i="13"/>
  <c r="M592" i="13"/>
  <c r="M593" i="13"/>
  <c r="M594" i="13"/>
  <c r="M595" i="13"/>
  <c r="M596" i="13"/>
  <c r="M597" i="13"/>
  <c r="M598" i="13"/>
  <c r="M599" i="13"/>
  <c r="M600" i="13"/>
  <c r="M601" i="13"/>
  <c r="M602" i="13"/>
  <c r="M603" i="13"/>
  <c r="M604" i="13"/>
  <c r="M605" i="13"/>
  <c r="M606" i="13"/>
  <c r="M607" i="13"/>
  <c r="M608" i="13"/>
  <c r="M609" i="13"/>
  <c r="M610" i="13"/>
  <c r="M611" i="13"/>
  <c r="M612" i="13"/>
  <c r="M613" i="13"/>
  <c r="M614" i="13"/>
  <c r="M615" i="13"/>
  <c r="M616" i="13"/>
  <c r="M617" i="13"/>
  <c r="M618" i="13"/>
  <c r="M619" i="13"/>
  <c r="M620" i="13"/>
  <c r="M621" i="13"/>
  <c r="M622" i="13"/>
  <c r="M623" i="13"/>
  <c r="M624" i="13"/>
  <c r="M625" i="13"/>
  <c r="M626" i="13"/>
  <c r="M627" i="13"/>
  <c r="M628" i="13"/>
  <c r="M629" i="13"/>
  <c r="M630" i="13"/>
  <c r="M631" i="13"/>
  <c r="M632" i="13"/>
  <c r="M633" i="13"/>
  <c r="M634" i="13"/>
  <c r="M635" i="13"/>
  <c r="M636" i="13"/>
  <c r="M637" i="13"/>
  <c r="M638" i="13"/>
  <c r="M639" i="13"/>
  <c r="M640" i="13"/>
  <c r="M641" i="13"/>
  <c r="M642" i="13"/>
  <c r="M643" i="13"/>
  <c r="M644" i="13"/>
  <c r="M645" i="13"/>
  <c r="M646" i="13"/>
  <c r="M647" i="13"/>
  <c r="M648" i="13"/>
  <c r="M649" i="13"/>
  <c r="M650" i="13"/>
  <c r="M651" i="13"/>
  <c r="M652" i="13"/>
  <c r="M653" i="13"/>
  <c r="M654" i="13"/>
  <c r="M655" i="13"/>
  <c r="M52" i="13"/>
  <c r="M656" i="13"/>
  <c r="M657" i="13"/>
  <c r="M658" i="13"/>
  <c r="M659" i="13"/>
  <c r="M660" i="13"/>
  <c r="M661" i="13"/>
  <c r="M662" i="13"/>
  <c r="M663" i="13"/>
  <c r="M664" i="13"/>
  <c r="M665" i="13"/>
  <c r="M666" i="13"/>
  <c r="M667" i="13"/>
  <c r="M668" i="13"/>
  <c r="M669" i="13"/>
  <c r="M670" i="13"/>
  <c r="M671" i="13"/>
  <c r="M672" i="13"/>
  <c r="M673" i="13"/>
  <c r="M674" i="13"/>
  <c r="M675" i="13"/>
  <c r="M676" i="13"/>
  <c r="M677" i="13"/>
  <c r="M678" i="13"/>
  <c r="M679" i="13"/>
  <c r="M680" i="13"/>
  <c r="M681" i="13"/>
  <c r="M682" i="13"/>
  <c r="M683" i="13"/>
  <c r="M53" i="13"/>
  <c r="M684" i="13"/>
  <c r="M685" i="13"/>
  <c r="M686" i="13"/>
  <c r="M687" i="13"/>
  <c r="M688" i="13"/>
  <c r="M689" i="13"/>
  <c r="M690" i="13"/>
  <c r="M691" i="13"/>
  <c r="M692" i="13"/>
  <c r="M693" i="13"/>
  <c r="M694" i="13"/>
  <c r="M695" i="13"/>
  <c r="M696" i="13"/>
  <c r="M697" i="13"/>
  <c r="M698" i="13"/>
  <c r="M699" i="13"/>
  <c r="M700" i="13"/>
  <c r="M701" i="13"/>
  <c r="M702" i="13"/>
  <c r="M703" i="13"/>
  <c r="M704" i="13"/>
  <c r="M705" i="13"/>
  <c r="M706" i="13"/>
  <c r="M707" i="13"/>
  <c r="M708" i="13"/>
  <c r="M709" i="13"/>
  <c r="M710" i="13"/>
  <c r="M711" i="13"/>
  <c r="M712" i="13"/>
  <c r="M713" i="13"/>
  <c r="M714" i="13"/>
  <c r="M715" i="13"/>
  <c r="M716" i="13"/>
  <c r="M717" i="13"/>
  <c r="M718" i="13"/>
  <c r="M719" i="13"/>
  <c r="M720" i="13"/>
  <c r="M721" i="13"/>
  <c r="M722" i="13"/>
  <c r="M723" i="13"/>
  <c r="M724" i="13"/>
  <c r="M725" i="13"/>
  <c r="M726" i="13"/>
  <c r="M727" i="13"/>
  <c r="M728" i="13"/>
  <c r="M729" i="13"/>
  <c r="M730" i="13"/>
  <c r="M731" i="13"/>
  <c r="M732" i="13"/>
  <c r="M733" i="13"/>
  <c r="M734" i="13"/>
  <c r="M735" i="13"/>
  <c r="M736" i="13"/>
  <c r="M737" i="13"/>
  <c r="M738" i="13"/>
  <c r="M739" i="13"/>
  <c r="M740" i="13"/>
  <c r="M741" i="13"/>
  <c r="M742" i="13"/>
  <c r="M54" i="13"/>
  <c r="M743" i="13"/>
  <c r="M744" i="13"/>
  <c r="M745" i="13"/>
  <c r="M746" i="13"/>
  <c r="M747" i="13"/>
  <c r="M748" i="13"/>
  <c r="M749" i="13"/>
  <c r="M750" i="13"/>
  <c r="M751" i="13"/>
  <c r="M752" i="13"/>
  <c r="M753" i="13"/>
  <c r="M754" i="13"/>
  <c r="M755" i="13"/>
  <c r="M756" i="13"/>
  <c r="M757" i="13"/>
  <c r="M758" i="13"/>
  <c r="M759" i="13"/>
  <c r="M760" i="13"/>
  <c r="M761" i="13"/>
  <c r="M762" i="13"/>
  <c r="M763" i="13"/>
  <c r="M764" i="13"/>
  <c r="M765" i="13"/>
  <c r="M766" i="13"/>
  <c r="M767" i="13"/>
  <c r="M768" i="13"/>
  <c r="M769" i="13"/>
  <c r="M770" i="13"/>
  <c r="M771" i="13"/>
  <c r="M772" i="13"/>
  <c r="M773" i="13"/>
  <c r="M774" i="13"/>
  <c r="M775" i="13"/>
  <c r="M776" i="13"/>
  <c r="M777" i="13"/>
  <c r="M778" i="13"/>
  <c r="M779" i="13"/>
  <c r="M780" i="13"/>
  <c r="M781" i="13"/>
  <c r="M782" i="13"/>
  <c r="M783" i="13"/>
  <c r="M784" i="13"/>
  <c r="M785" i="13"/>
  <c r="M786" i="13"/>
  <c r="M787" i="13"/>
  <c r="M788" i="13"/>
  <c r="M789" i="13"/>
  <c r="M790" i="13"/>
  <c r="M791" i="13"/>
  <c r="M792" i="13"/>
  <c r="M793" i="13"/>
  <c r="M794" i="13"/>
  <c r="M795" i="13"/>
  <c r="M796" i="13"/>
  <c r="M797" i="13"/>
  <c r="M798" i="13"/>
  <c r="M799" i="13"/>
  <c r="M800" i="13"/>
  <c r="M801" i="13"/>
  <c r="M802" i="13"/>
  <c r="M803" i="13"/>
  <c r="M804" i="13"/>
  <c r="M805" i="13"/>
  <c r="M806" i="13"/>
  <c r="M807" i="13"/>
  <c r="M808" i="13"/>
  <c r="M809" i="13"/>
  <c r="M810" i="13"/>
  <c r="M811" i="13"/>
  <c r="M812" i="13"/>
  <c r="M813" i="13"/>
  <c r="M814" i="13"/>
  <c r="M815" i="13"/>
  <c r="M816" i="13"/>
  <c r="M817" i="13"/>
  <c r="M818" i="13"/>
  <c r="M819" i="13"/>
  <c r="M820" i="13"/>
  <c r="M821" i="13"/>
  <c r="M822" i="13"/>
  <c r="M823" i="13"/>
  <c r="M824" i="13"/>
  <c r="M825" i="13"/>
  <c r="M826" i="13"/>
  <c r="M827" i="13"/>
  <c r="M828" i="13"/>
  <c r="M829" i="13"/>
  <c r="M830" i="13"/>
  <c r="M831" i="13"/>
  <c r="M832" i="13"/>
  <c r="M833" i="13"/>
  <c r="M834" i="13"/>
  <c r="M835" i="13"/>
  <c r="M836" i="13"/>
  <c r="M837" i="13"/>
  <c r="M838" i="13"/>
  <c r="M839" i="13"/>
  <c r="M840" i="13"/>
  <c r="M841" i="13"/>
  <c r="M842" i="13"/>
  <c r="M843" i="13"/>
  <c r="M844" i="13"/>
  <c r="M845" i="13"/>
  <c r="M846" i="13"/>
  <c r="M847" i="13"/>
  <c r="M848" i="13"/>
  <c r="M849" i="13"/>
  <c r="M850" i="13"/>
  <c r="M851" i="13"/>
  <c r="M852" i="13"/>
  <c r="M853" i="13"/>
  <c r="M854" i="13"/>
  <c r="M855" i="13"/>
  <c r="M856" i="13"/>
  <c r="M857" i="13"/>
  <c r="M858" i="13"/>
  <c r="M859" i="13"/>
  <c r="M860" i="13"/>
  <c r="M861" i="13"/>
  <c r="M862" i="13"/>
  <c r="M863" i="13"/>
  <c r="M864" i="13"/>
  <c r="M865" i="13"/>
  <c r="M866" i="13"/>
  <c r="M867" i="13"/>
  <c r="M868" i="13"/>
  <c r="M869" i="13"/>
  <c r="M870" i="13"/>
  <c r="M871" i="13"/>
  <c r="M872" i="13"/>
  <c r="M873" i="13"/>
  <c r="M874" i="13"/>
  <c r="M875" i="13"/>
  <c r="M876" i="13"/>
  <c r="M877" i="13"/>
  <c r="M878" i="13"/>
  <c r="M879" i="13"/>
  <c r="M880" i="13"/>
  <c r="M881" i="13"/>
  <c r="M882" i="13"/>
  <c r="M883" i="13"/>
  <c r="M884" i="13"/>
  <c r="M885" i="13"/>
  <c r="M886" i="13"/>
  <c r="M887" i="13"/>
  <c r="M888" i="13"/>
  <c r="M889" i="13"/>
  <c r="M890" i="13"/>
  <c r="M891" i="13"/>
  <c r="M892" i="13"/>
  <c r="M893" i="13"/>
  <c r="M894" i="13"/>
  <c r="M895" i="13"/>
  <c r="M896" i="13"/>
  <c r="M897" i="13"/>
  <c r="M898" i="13"/>
  <c r="M899" i="13"/>
  <c r="M900" i="13"/>
  <c r="M901" i="13"/>
  <c r="M902" i="13"/>
  <c r="M903" i="13"/>
  <c r="M904" i="13"/>
  <c r="M905" i="13"/>
  <c r="M906" i="13"/>
  <c r="M907" i="13"/>
  <c r="M908" i="13"/>
  <c r="M909" i="13"/>
  <c r="M910" i="13"/>
  <c r="M911" i="13"/>
  <c r="M912" i="13"/>
  <c r="M913" i="13"/>
  <c r="M914" i="13"/>
  <c r="M915" i="13"/>
  <c r="M916" i="13"/>
  <c r="M917" i="13"/>
  <c r="M918" i="13"/>
  <c r="M919" i="13"/>
  <c r="M920" i="13"/>
  <c r="M921" i="13"/>
  <c r="M922" i="13"/>
  <c r="M923" i="13"/>
  <c r="M924" i="13"/>
  <c r="M925" i="13"/>
  <c r="M926" i="13"/>
  <c r="M927" i="13"/>
  <c r="M928" i="13"/>
  <c r="M929" i="13"/>
  <c r="M930" i="13"/>
  <c r="M931" i="13"/>
  <c r="M932" i="13"/>
  <c r="M933" i="13"/>
  <c r="M934" i="13"/>
  <c r="M935" i="13"/>
  <c r="M936" i="13"/>
  <c r="M937" i="13"/>
  <c r="M938" i="13"/>
  <c r="M939" i="13"/>
  <c r="M940" i="13"/>
  <c r="M941" i="13"/>
  <c r="M942" i="13"/>
  <c r="M943" i="13"/>
  <c r="M944" i="13"/>
  <c r="M945" i="13"/>
  <c r="M946" i="13"/>
  <c r="M947" i="13"/>
  <c r="M948" i="13"/>
  <c r="M949" i="13"/>
  <c r="M950" i="13"/>
  <c r="M951" i="13"/>
  <c r="M952" i="13"/>
  <c r="M953" i="13"/>
  <c r="M954" i="13"/>
  <c r="M955" i="13"/>
  <c r="M956" i="13"/>
  <c r="M957" i="13"/>
  <c r="M958" i="13"/>
  <c r="M959" i="13"/>
  <c r="M55" i="13"/>
  <c r="M960" i="13"/>
  <c r="M961" i="13"/>
  <c r="M962" i="13"/>
  <c r="M963" i="13"/>
  <c r="M964" i="13"/>
  <c r="M965" i="13"/>
  <c r="M966" i="13"/>
  <c r="M967" i="13"/>
  <c r="M968" i="13"/>
  <c r="M969" i="13"/>
  <c r="M970" i="13"/>
  <c r="M971" i="13"/>
  <c r="M972" i="13"/>
  <c r="M973" i="13"/>
  <c r="M974" i="13"/>
  <c r="M975" i="13"/>
  <c r="M976" i="13"/>
  <c r="M977" i="13"/>
  <c r="M978" i="13"/>
  <c r="M979" i="13"/>
  <c r="M980" i="13"/>
  <c r="M981" i="13"/>
  <c r="M982" i="13"/>
  <c r="M983" i="13"/>
  <c r="M984" i="13"/>
  <c r="M985" i="13"/>
  <c r="M986" i="13"/>
  <c r="M987" i="13"/>
  <c r="M988" i="13"/>
  <c r="M989" i="13"/>
  <c r="M990" i="13"/>
  <c r="M991" i="13"/>
  <c r="M992" i="13"/>
  <c r="M993" i="13"/>
  <c r="M994" i="13"/>
  <c r="M995" i="13"/>
  <c r="M996" i="13"/>
  <c r="M997" i="13"/>
  <c r="M998" i="13"/>
  <c r="M999" i="13"/>
  <c r="M1000" i="13"/>
  <c r="M1001" i="13"/>
  <c r="M1002" i="13"/>
  <c r="M1003" i="13"/>
  <c r="M1004" i="13"/>
  <c r="M1005" i="13"/>
  <c r="M1006" i="13"/>
  <c r="M1007" i="13"/>
  <c r="M1008" i="13"/>
  <c r="M1009" i="13"/>
  <c r="M1010" i="13"/>
  <c r="M1011" i="13"/>
  <c r="M56" i="13"/>
  <c r="M1012" i="13"/>
  <c r="M1013" i="13"/>
  <c r="M1014" i="13"/>
  <c r="M1015" i="13"/>
  <c r="M1016" i="13"/>
  <c r="M1017" i="13"/>
  <c r="M1018" i="13"/>
  <c r="M1019" i="13"/>
  <c r="M1020" i="13"/>
  <c r="M1021" i="13"/>
  <c r="M1022" i="13"/>
  <c r="M1023" i="13"/>
  <c r="M1024" i="13"/>
  <c r="M1025" i="13"/>
  <c r="M1026" i="13"/>
  <c r="M1027" i="13"/>
  <c r="M1028" i="13"/>
  <c r="M1029" i="13"/>
  <c r="M1030" i="13"/>
  <c r="M1031" i="13"/>
  <c r="M1032" i="13"/>
  <c r="M1033" i="13"/>
  <c r="M1034" i="13"/>
  <c r="M1035" i="13"/>
  <c r="M1036" i="13"/>
  <c r="M1037" i="13"/>
  <c r="M1038" i="13"/>
  <c r="M1039" i="13"/>
  <c r="M1040" i="13"/>
  <c r="M1041" i="13"/>
  <c r="M1042" i="13"/>
  <c r="M1043" i="13"/>
  <c r="M1044" i="13"/>
  <c r="M1045" i="13"/>
  <c r="M1046" i="13"/>
  <c r="M1047" i="13"/>
  <c r="M1048" i="13"/>
  <c r="M1049" i="13"/>
  <c r="M1050" i="13"/>
  <c r="M1051" i="13"/>
  <c r="M1052" i="13"/>
  <c r="M1053" i="13"/>
  <c r="M1054" i="13"/>
  <c r="M1055" i="13"/>
  <c r="M1056" i="13"/>
  <c r="M1057" i="13"/>
  <c r="M1058" i="13"/>
  <c r="M1059" i="13"/>
  <c r="M1060" i="13"/>
  <c r="M1061" i="13"/>
  <c r="M1062" i="13"/>
  <c r="M1063" i="13"/>
  <c r="M1064" i="13"/>
  <c r="M1065" i="13"/>
  <c r="M1066" i="13"/>
  <c r="M1067" i="13"/>
  <c r="M1068" i="13"/>
  <c r="M1069" i="13"/>
  <c r="M1070" i="13"/>
  <c r="M1071" i="13"/>
  <c r="M1072" i="13"/>
  <c r="M1073" i="13"/>
  <c r="M1074" i="13"/>
  <c r="M1075" i="13"/>
  <c r="M1076" i="13"/>
  <c r="M1077" i="13"/>
  <c r="M1078" i="13"/>
  <c r="M1079" i="13"/>
  <c r="M1080" i="13"/>
  <c r="M1081" i="13"/>
  <c r="M1082" i="13"/>
  <c r="M1083" i="13"/>
  <c r="M1084" i="13"/>
  <c r="M1085" i="13"/>
  <c r="M1086" i="13"/>
  <c r="M1087" i="13"/>
  <c r="M1088" i="13"/>
  <c r="M1089" i="13"/>
  <c r="M1090" i="13"/>
  <c r="M1091" i="13"/>
  <c r="M1092" i="13"/>
  <c r="M1093" i="13"/>
  <c r="M1094" i="13"/>
  <c r="M1095" i="13"/>
  <c r="M1096" i="13"/>
  <c r="M1097" i="13"/>
  <c r="M1098" i="13"/>
  <c r="M1099" i="13"/>
  <c r="M1100" i="13"/>
  <c r="M1101" i="13"/>
  <c r="M1102" i="13"/>
  <c r="M1103" i="13"/>
  <c r="M1104" i="13"/>
  <c r="M1105" i="13"/>
  <c r="M1106" i="13"/>
  <c r="M1107" i="13"/>
  <c r="M1108" i="13"/>
  <c r="M1109" i="13"/>
  <c r="M1110" i="13"/>
  <c r="M1111" i="13"/>
  <c r="M1112" i="13"/>
  <c r="M1113" i="13"/>
  <c r="M1114" i="13"/>
  <c r="M1115" i="13"/>
  <c r="M1116" i="13"/>
  <c r="M1117" i="13"/>
  <c r="M1118" i="13"/>
  <c r="M1119" i="13"/>
  <c r="M1120" i="13"/>
  <c r="M1121" i="13"/>
  <c r="M1122" i="13"/>
  <c r="M1123" i="13"/>
  <c r="M1124" i="13"/>
  <c r="M1125" i="13"/>
  <c r="M1126" i="13"/>
  <c r="M1127" i="13"/>
  <c r="M1128" i="13"/>
  <c r="M1129" i="13"/>
  <c r="M1130" i="13"/>
  <c r="M1131" i="13"/>
  <c r="M1132" i="13"/>
  <c r="M1133" i="13"/>
  <c r="M1134" i="13"/>
  <c r="M1135" i="13"/>
  <c r="M1136" i="13"/>
  <c r="M1137" i="13"/>
  <c r="M1138" i="13"/>
  <c r="M1139" i="13"/>
  <c r="M1140" i="13"/>
  <c r="M1141" i="13"/>
  <c r="M1142" i="13"/>
  <c r="M1143" i="13"/>
  <c r="M1144" i="13"/>
  <c r="M1145" i="13"/>
  <c r="M1146" i="13"/>
  <c r="M1147" i="13"/>
  <c r="M1148" i="13"/>
  <c r="M1149" i="13"/>
  <c r="M1150" i="13"/>
  <c r="M1151" i="13"/>
  <c r="M1152" i="13"/>
  <c r="M1153" i="13"/>
  <c r="M1154" i="13"/>
  <c r="M1155" i="13"/>
  <c r="M1156" i="13"/>
  <c r="M1157" i="13"/>
  <c r="M1158" i="13"/>
  <c r="M1159" i="13"/>
  <c r="M1160" i="13"/>
  <c r="M1161" i="13"/>
  <c r="M1162" i="13"/>
  <c r="M1163" i="13"/>
  <c r="M1164" i="13"/>
  <c r="M1165" i="13"/>
  <c r="M1166" i="13"/>
  <c r="M1167" i="13"/>
  <c r="M1168" i="13"/>
  <c r="M1169" i="13"/>
  <c r="M1170" i="13"/>
  <c r="M1171" i="13"/>
  <c r="M1172" i="13"/>
  <c r="M1173" i="13"/>
  <c r="M1174" i="13"/>
  <c r="M1175" i="13"/>
  <c r="M1176" i="13"/>
  <c r="M1177" i="13"/>
  <c r="M1178" i="13"/>
  <c r="M1179" i="13"/>
  <c r="M1180" i="13"/>
  <c r="M1181" i="13"/>
  <c r="M1182" i="13"/>
  <c r="M1183" i="13"/>
  <c r="M1184" i="13"/>
  <c r="M1185" i="13"/>
  <c r="M1186" i="13"/>
  <c r="M1187" i="13"/>
  <c r="M1188" i="13"/>
  <c r="M1189" i="13"/>
  <c r="M1190" i="13"/>
  <c r="M1191" i="13"/>
  <c r="M1192" i="13"/>
  <c r="M1193" i="13"/>
  <c r="M1194" i="13"/>
  <c r="M1195" i="13"/>
  <c r="M1196" i="13"/>
  <c r="M1197" i="13"/>
  <c r="M1198" i="13"/>
  <c r="M1199" i="13"/>
  <c r="M1200" i="13"/>
  <c r="M1201" i="13"/>
  <c r="M1202" i="13"/>
  <c r="M1203" i="13"/>
  <c r="M1204" i="13"/>
  <c r="M1205" i="13"/>
  <c r="M1206" i="13"/>
  <c r="M1207" i="13"/>
  <c r="M1208" i="13"/>
  <c r="M1209" i="13"/>
  <c r="M1210" i="13"/>
  <c r="M1211" i="13"/>
  <c r="M1212" i="13"/>
  <c r="M1213" i="13"/>
  <c r="M1214" i="13"/>
  <c r="M1215" i="13"/>
  <c r="M1216" i="13"/>
  <c r="M1217" i="13"/>
  <c r="M1218" i="13"/>
  <c r="M1219" i="13"/>
  <c r="M1220" i="13"/>
  <c r="M1221" i="13"/>
  <c r="M1222" i="13"/>
  <c r="M1223" i="13"/>
  <c r="M1224" i="13"/>
  <c r="M1225" i="13"/>
  <c r="M1226" i="13"/>
  <c r="M1227" i="13"/>
  <c r="M1228" i="13"/>
  <c r="M1229" i="13"/>
  <c r="M1230" i="13"/>
  <c r="M1231" i="13"/>
  <c r="M1232" i="13"/>
  <c r="M1233" i="13"/>
  <c r="M1234" i="13"/>
  <c r="M1235" i="13"/>
  <c r="M1236" i="13"/>
  <c r="M1237" i="13"/>
  <c r="M1238" i="13"/>
  <c r="M1239" i="13"/>
  <c r="M1240" i="13"/>
  <c r="M1241" i="13"/>
  <c r="M1242" i="13"/>
  <c r="M1243" i="13"/>
  <c r="M1244" i="13"/>
  <c r="M1245" i="13"/>
  <c r="M1246" i="13"/>
  <c r="M1247" i="13"/>
  <c r="M1248" i="13"/>
  <c r="M1249" i="13"/>
  <c r="M1250" i="13"/>
  <c r="M1251" i="13"/>
  <c r="M1252" i="13"/>
  <c r="M1253" i="13"/>
  <c r="M1254" i="13"/>
  <c r="M1255" i="13"/>
  <c r="M1256" i="13"/>
  <c r="M1257" i="13"/>
  <c r="M1258" i="13"/>
  <c r="M1259" i="13"/>
  <c r="M1260" i="13"/>
  <c r="M1261" i="13"/>
  <c r="M1262" i="13"/>
  <c r="M1263" i="13"/>
  <c r="M1264" i="13"/>
  <c r="M1265" i="13"/>
  <c r="M1266" i="13"/>
  <c r="M1267" i="13"/>
  <c r="M1268" i="13"/>
  <c r="M1269" i="13"/>
  <c r="M1270" i="13"/>
  <c r="M1271" i="13"/>
  <c r="M1272" i="13"/>
  <c r="M1273" i="13"/>
  <c r="M1274" i="13"/>
  <c r="M1275" i="13"/>
  <c r="M1276" i="13"/>
  <c r="M1277" i="13"/>
  <c r="M1278" i="13"/>
  <c r="M1279" i="13"/>
  <c r="M1280" i="13"/>
  <c r="M1281" i="13"/>
  <c r="M1282" i="13"/>
  <c r="M1283" i="13"/>
  <c r="M1284" i="13"/>
  <c r="M1285" i="13"/>
  <c r="M1286" i="13"/>
  <c r="M1287" i="13"/>
  <c r="M1288" i="13"/>
  <c r="M1289" i="13"/>
  <c r="M1290" i="13"/>
  <c r="M1291" i="13"/>
  <c r="M1292" i="13"/>
  <c r="M1293" i="13"/>
  <c r="M1294" i="13"/>
  <c r="M1295" i="13"/>
  <c r="M1296" i="13"/>
  <c r="M1297" i="13"/>
  <c r="M1298" i="13"/>
  <c r="M1299" i="13"/>
  <c r="M1300" i="13"/>
  <c r="M1301" i="13"/>
  <c r="M1302" i="13"/>
  <c r="M1303" i="13"/>
  <c r="M1304" i="13"/>
  <c r="M1305" i="13"/>
  <c r="M1306" i="13"/>
  <c r="M1307" i="13"/>
  <c r="M1308" i="13"/>
  <c r="M1309" i="13"/>
  <c r="M1310" i="13"/>
  <c r="M1311" i="13"/>
  <c r="M1312" i="13"/>
  <c r="M1313" i="13"/>
  <c r="M1314" i="13"/>
  <c r="M1315" i="13"/>
  <c r="M1316" i="13"/>
  <c r="M1317" i="13"/>
  <c r="M1318" i="13"/>
  <c r="M1319" i="13"/>
  <c r="M1320" i="13"/>
  <c r="M1321" i="13"/>
  <c r="M1322" i="13"/>
  <c r="M1323" i="13"/>
  <c r="M1324" i="13"/>
  <c r="M1325" i="13"/>
  <c r="M1326" i="13"/>
  <c r="M1327" i="13"/>
  <c r="M1328" i="13"/>
  <c r="M1329" i="13"/>
  <c r="M1330" i="13"/>
  <c r="M1331" i="13"/>
  <c r="M1332" i="13"/>
  <c r="M1333" i="13"/>
  <c r="M1334" i="13"/>
  <c r="M1335" i="13"/>
  <c r="M1336" i="13"/>
  <c r="M1337" i="13"/>
  <c r="M1338" i="13"/>
  <c r="M1339" i="13"/>
  <c r="M1340" i="13"/>
  <c r="M1341" i="13"/>
  <c r="M1342" i="13"/>
  <c r="M1343" i="13"/>
  <c r="M1344" i="13"/>
  <c r="M1345" i="13"/>
  <c r="M1346" i="13"/>
  <c r="M1347" i="13"/>
  <c r="M1348" i="13"/>
  <c r="M1349" i="13"/>
  <c r="M1350" i="13"/>
  <c r="M1351" i="13"/>
  <c r="M1352" i="13"/>
  <c r="M1353" i="13"/>
  <c r="M1354" i="13"/>
  <c r="M1355" i="13"/>
  <c r="M1356" i="13"/>
  <c r="M1357" i="13"/>
  <c r="M1358" i="13"/>
  <c r="M1359" i="13"/>
  <c r="M1360" i="13"/>
  <c r="M1361" i="13"/>
  <c r="M1362" i="13"/>
  <c r="M1363" i="13"/>
  <c r="M1364" i="13"/>
  <c r="M1365" i="13"/>
  <c r="M1366" i="13"/>
  <c r="M1367" i="13"/>
  <c r="M1368" i="13"/>
  <c r="M1369" i="13"/>
  <c r="M1370" i="13"/>
  <c r="M1371" i="13"/>
  <c r="M1372" i="13"/>
  <c r="M1373" i="13"/>
  <c r="M1374" i="13"/>
  <c r="M1375" i="13"/>
  <c r="M1376" i="13"/>
  <c r="M1377" i="13"/>
  <c r="M1378" i="13"/>
  <c r="M1379" i="13"/>
  <c r="M1380" i="13"/>
  <c r="M1381" i="13"/>
  <c r="M1382" i="13"/>
  <c r="M1383" i="13"/>
  <c r="M1384" i="13"/>
  <c r="M1385" i="13"/>
  <c r="M1386" i="13"/>
  <c r="M1387" i="13"/>
  <c r="M1388" i="13"/>
  <c r="M1389" i="13"/>
  <c r="M1390" i="13"/>
  <c r="M1391" i="13"/>
  <c r="M1392" i="13"/>
  <c r="M1393" i="13"/>
  <c r="M1394" i="13"/>
  <c r="M1395" i="13"/>
  <c r="M1396" i="13"/>
  <c r="M1397" i="13"/>
  <c r="M1398" i="13"/>
  <c r="M1399" i="13"/>
  <c r="M1400" i="13"/>
  <c r="M1401" i="13"/>
  <c r="M1402" i="13"/>
  <c r="M1403" i="13"/>
  <c r="M1404" i="13"/>
  <c r="M1405" i="13"/>
  <c r="M1406" i="13"/>
  <c r="M1407" i="13"/>
  <c r="M1408" i="13"/>
  <c r="M1409" i="13"/>
  <c r="M1410" i="13"/>
  <c r="M1411" i="13"/>
  <c r="M1412" i="13"/>
  <c r="M1413" i="13"/>
  <c r="M1414" i="13"/>
  <c r="M1415" i="13"/>
  <c r="M1416" i="13"/>
  <c r="M1417" i="13"/>
  <c r="M1418" i="13"/>
  <c r="M1419" i="13"/>
  <c r="M1420" i="13"/>
  <c r="M1421" i="13"/>
  <c r="M1422" i="13"/>
  <c r="M1423" i="13"/>
  <c r="M1424" i="13"/>
  <c r="M1425" i="13"/>
  <c r="M1426" i="13"/>
  <c r="M1427" i="13"/>
  <c r="M1428" i="13"/>
  <c r="M1429" i="13"/>
  <c r="M1430" i="13"/>
  <c r="M1431" i="13"/>
  <c r="M1432" i="13"/>
  <c r="M1433" i="13"/>
  <c r="M1434" i="13"/>
  <c r="M1435" i="13"/>
  <c r="M1436" i="13"/>
  <c r="M1437" i="13"/>
  <c r="M1438" i="13"/>
  <c r="M1439" i="13"/>
  <c r="M1440" i="13"/>
  <c r="M1441" i="13"/>
  <c r="M1442" i="13"/>
  <c r="M1443" i="13"/>
  <c r="M1444" i="13"/>
  <c r="M1445" i="13"/>
  <c r="M1446" i="13"/>
  <c r="M1447" i="13"/>
  <c r="M1448" i="13"/>
  <c r="M1449" i="13"/>
  <c r="M1450" i="13"/>
  <c r="M1451" i="13"/>
  <c r="M1452" i="13"/>
  <c r="M1453" i="13"/>
  <c r="M1454" i="13"/>
  <c r="M1455" i="13"/>
  <c r="M1456" i="13"/>
  <c r="M1457" i="13"/>
  <c r="M1458" i="13"/>
  <c r="M1459" i="13"/>
  <c r="M1460" i="13"/>
  <c r="M1461" i="13"/>
  <c r="M1462" i="13"/>
  <c r="M1463" i="13"/>
  <c r="M1464" i="13"/>
  <c r="M1465" i="13"/>
  <c r="M1466" i="13"/>
  <c r="M1467" i="13"/>
  <c r="M1468" i="13"/>
  <c r="M1469" i="13"/>
  <c r="M1470" i="13"/>
  <c r="M1471" i="13"/>
  <c r="M1472" i="13"/>
  <c r="M1473" i="13"/>
  <c r="M1474" i="13"/>
  <c r="M1475" i="13"/>
  <c r="M1476" i="13"/>
  <c r="M1477" i="13"/>
  <c r="M1478" i="13"/>
  <c r="M1479" i="13"/>
  <c r="M1480" i="13"/>
  <c r="M1481" i="13"/>
  <c r="M1482" i="13"/>
  <c r="M1483" i="13"/>
  <c r="M1484" i="13"/>
  <c r="M1485" i="13"/>
  <c r="M1486" i="13"/>
  <c r="M1487" i="13"/>
  <c r="M1488" i="13"/>
  <c r="M1489" i="13"/>
  <c r="M1490" i="13"/>
  <c r="M1491" i="13"/>
  <c r="M1492" i="13"/>
  <c r="M1493" i="13"/>
  <c r="M1494" i="13"/>
  <c r="M1495" i="13"/>
  <c r="M1496" i="13"/>
  <c r="M1497" i="13"/>
  <c r="M1498" i="13"/>
  <c r="M1499" i="13"/>
  <c r="M1500" i="13"/>
  <c r="M1501" i="13"/>
  <c r="M1502" i="13"/>
  <c r="M1503" i="13"/>
  <c r="M1504" i="13"/>
  <c r="M1505" i="13"/>
  <c r="M1506" i="13"/>
  <c r="M1507" i="13"/>
  <c r="M1508" i="13"/>
  <c r="M1509" i="13"/>
  <c r="M1510" i="13"/>
  <c r="M1511" i="13"/>
  <c r="M1512" i="13"/>
  <c r="M1513" i="13"/>
  <c r="M1514" i="13"/>
  <c r="M1515" i="13"/>
  <c r="M1516" i="13"/>
  <c r="M1517" i="13"/>
  <c r="M1518" i="13"/>
  <c r="M1519" i="13"/>
  <c r="M1520" i="13"/>
  <c r="M1521" i="13"/>
  <c r="M1522" i="13"/>
  <c r="M1523" i="13"/>
  <c r="M1524" i="13"/>
  <c r="M1525" i="13"/>
  <c r="M1526" i="13"/>
  <c r="M1527" i="13"/>
  <c r="M1528" i="13"/>
  <c r="M1529" i="13"/>
  <c r="M1530" i="13"/>
  <c r="M1531" i="13"/>
  <c r="M1532" i="13"/>
  <c r="M1533" i="13"/>
  <c r="M1534" i="13"/>
  <c r="M1535" i="13"/>
  <c r="M1536" i="13"/>
  <c r="M1537" i="13"/>
  <c r="M1538" i="13"/>
  <c r="M1539" i="13"/>
  <c r="M1540" i="13"/>
  <c r="M1541" i="13"/>
  <c r="M1542" i="13"/>
  <c r="M1543" i="13"/>
  <c r="M1544" i="13"/>
  <c r="M1545" i="13"/>
  <c r="M1546" i="13"/>
  <c r="M1547" i="13"/>
  <c r="M1548" i="13"/>
  <c r="M1549" i="13"/>
  <c r="M1550" i="13"/>
  <c r="M1551" i="13"/>
  <c r="M1552" i="13"/>
  <c r="M1553" i="13"/>
  <c r="M1554" i="13"/>
  <c r="M1555" i="13"/>
  <c r="M1556" i="13"/>
  <c r="M1557" i="13"/>
  <c r="M1558" i="13"/>
  <c r="M1559" i="13"/>
  <c r="M1560" i="13"/>
  <c r="M1561" i="13"/>
  <c r="M1562" i="13"/>
  <c r="M1563" i="13"/>
  <c r="M1564" i="13"/>
  <c r="M1565" i="13"/>
  <c r="M1566" i="13"/>
  <c r="M1567" i="13"/>
  <c r="M1568" i="13"/>
  <c r="M1569" i="13"/>
  <c r="M1570" i="13"/>
  <c r="M1571" i="13"/>
  <c r="M1572" i="13"/>
  <c r="M1573" i="13"/>
  <c r="M1574" i="13"/>
  <c r="M1575" i="13"/>
  <c r="M1576" i="13"/>
  <c r="M1577" i="13"/>
  <c r="M1578" i="13"/>
  <c r="M1579" i="13"/>
  <c r="M1580" i="13"/>
  <c r="M1581" i="13"/>
  <c r="M1582" i="13"/>
  <c r="M57" i="13"/>
  <c r="M1583" i="13"/>
  <c r="M1584" i="13"/>
  <c r="M1585" i="13"/>
  <c r="M1586" i="13"/>
  <c r="M1587" i="13"/>
  <c r="M1588" i="13"/>
  <c r="M1589" i="13"/>
  <c r="M1590" i="13"/>
  <c r="M1591" i="13"/>
  <c r="M1592" i="13"/>
  <c r="M1593" i="13"/>
  <c r="M1594" i="13"/>
  <c r="M1595" i="13"/>
  <c r="M1596" i="13"/>
  <c r="M1597" i="13"/>
  <c r="M1598" i="13"/>
  <c r="M1599" i="13"/>
  <c r="M1600" i="13"/>
  <c r="M1601" i="13"/>
  <c r="M1602" i="13"/>
  <c r="M1603" i="13"/>
  <c r="M1604" i="13"/>
  <c r="M1605" i="13"/>
  <c r="M1606" i="13"/>
  <c r="M1607" i="13"/>
  <c r="M1608" i="13"/>
  <c r="M1609" i="13"/>
  <c r="M1610" i="13"/>
  <c r="M1611" i="13"/>
  <c r="M1612" i="13"/>
  <c r="M1613" i="13"/>
  <c r="M1614" i="13"/>
  <c r="M1615" i="13"/>
  <c r="M1616" i="13"/>
  <c r="M1617" i="13"/>
  <c r="M1618" i="13"/>
  <c r="M1619" i="13"/>
  <c r="M1620" i="13"/>
  <c r="M1621" i="13"/>
  <c r="M1622" i="13"/>
  <c r="M1623" i="13"/>
  <c r="M1624" i="13"/>
  <c r="M1625" i="13"/>
  <c r="M1626" i="13"/>
  <c r="M1627" i="13"/>
  <c r="M1628" i="13"/>
  <c r="M1629" i="13"/>
  <c r="M1630" i="13"/>
  <c r="M1631" i="13"/>
  <c r="M1632" i="13"/>
  <c r="M1633" i="13"/>
  <c r="M1634" i="13"/>
  <c r="M1635" i="13"/>
  <c r="M1636" i="13"/>
  <c r="M1637" i="13"/>
  <c r="M1638" i="13"/>
  <c r="M1639" i="13"/>
  <c r="M1640" i="13"/>
  <c r="M1641" i="13"/>
  <c r="M1642" i="13"/>
  <c r="M1643" i="13"/>
  <c r="M1644" i="13"/>
  <c r="M1645" i="13"/>
  <c r="M1646" i="13"/>
  <c r="M1647" i="13"/>
  <c r="M1648" i="13"/>
  <c r="M1649" i="13"/>
  <c r="M1650" i="13"/>
  <c r="M1651" i="13"/>
  <c r="M1652" i="13"/>
  <c r="M1653" i="13"/>
  <c r="M1654" i="13"/>
  <c r="M1655" i="13"/>
  <c r="M1656" i="13"/>
  <c r="M1657" i="13"/>
  <c r="M1658" i="13"/>
  <c r="M1659" i="13"/>
  <c r="M1660" i="13"/>
  <c r="M1661" i="13"/>
  <c r="M1662" i="13"/>
  <c r="M1663" i="13"/>
  <c r="M1664" i="13"/>
  <c r="M1665" i="13"/>
  <c r="M1666" i="13"/>
  <c r="M1667" i="13"/>
  <c r="M1668" i="13"/>
  <c r="M1669" i="13"/>
  <c r="M1670" i="13"/>
  <c r="M1671" i="13"/>
  <c r="M1672" i="13"/>
  <c r="M1673" i="13"/>
  <c r="M1674" i="13"/>
  <c r="M1675" i="13"/>
  <c r="M1676" i="13"/>
  <c r="M1677" i="13"/>
  <c r="M1678" i="13"/>
  <c r="M1679" i="13"/>
  <c r="M1680" i="13"/>
  <c r="M1681" i="13"/>
  <c r="M1682" i="13"/>
  <c r="M1683" i="13"/>
  <c r="M1684" i="13"/>
  <c r="M1685" i="13"/>
  <c r="M1686" i="13"/>
  <c r="M1687" i="13"/>
  <c r="M1688" i="13"/>
  <c r="M1689" i="13"/>
  <c r="M1690" i="13"/>
  <c r="M1691" i="13"/>
  <c r="M1692" i="13"/>
  <c r="M1693" i="13"/>
  <c r="M1694" i="13"/>
  <c r="M1695" i="13"/>
  <c r="M1696" i="13"/>
  <c r="M1697" i="13"/>
  <c r="M1698" i="13"/>
  <c r="M1699" i="13"/>
  <c r="M1700" i="13"/>
  <c r="M1701" i="13"/>
  <c r="M1702" i="13"/>
  <c r="M1703" i="13"/>
  <c r="M1704" i="13"/>
  <c r="M1705" i="13"/>
  <c r="M1706" i="13"/>
  <c r="M1707" i="13"/>
  <c r="M1708" i="13"/>
  <c r="M1709" i="13"/>
  <c r="M1710" i="13"/>
  <c r="M1711" i="13"/>
  <c r="M1712" i="13"/>
  <c r="M1713" i="13"/>
  <c r="M1714" i="13"/>
  <c r="M1715" i="13"/>
  <c r="M1716" i="13"/>
  <c r="M1717" i="13"/>
  <c r="M1718" i="13"/>
  <c r="M1719" i="13"/>
  <c r="M1720" i="13"/>
  <c r="M1721" i="13"/>
  <c r="M1722" i="13"/>
  <c r="M1723" i="13"/>
  <c r="M1724" i="13"/>
  <c r="M1725" i="13"/>
  <c r="M1726" i="13"/>
  <c r="M1727" i="13"/>
  <c r="M1728" i="13"/>
  <c r="M1729" i="13"/>
  <c r="M1730" i="13"/>
  <c r="M1731" i="13"/>
  <c r="M1732" i="13"/>
  <c r="M1733" i="13"/>
  <c r="M1734" i="13"/>
  <c r="M1735" i="13"/>
  <c r="M1736" i="13"/>
  <c r="M1737" i="13"/>
  <c r="M1738" i="13"/>
  <c r="M1739" i="13"/>
  <c r="M1740" i="13"/>
  <c r="M1741" i="13"/>
  <c r="M1742" i="13"/>
  <c r="M1743" i="13"/>
  <c r="M1744" i="13"/>
  <c r="M1745" i="13"/>
  <c r="M1746" i="13"/>
  <c r="M1747" i="13"/>
  <c r="M1748" i="13"/>
  <c r="M1749" i="13"/>
  <c r="M1750" i="13"/>
  <c r="M1751" i="13"/>
  <c r="M1752" i="13"/>
  <c r="M1753" i="13"/>
  <c r="M1754" i="13"/>
  <c r="M1755" i="13"/>
  <c r="M1756" i="13"/>
  <c r="M1757" i="13"/>
  <c r="M1758" i="13"/>
  <c r="M1759" i="13"/>
  <c r="M1760" i="13"/>
  <c r="M1761" i="13"/>
  <c r="M1762" i="13"/>
  <c r="M1763" i="13"/>
  <c r="M1764" i="13"/>
  <c r="M1765" i="13"/>
  <c r="M1766" i="13"/>
  <c r="M1767" i="13"/>
  <c r="M1768" i="13"/>
  <c r="M1769" i="13"/>
  <c r="M1770" i="13"/>
  <c r="M1771" i="13"/>
  <c r="M1772" i="13"/>
  <c r="M1773" i="13"/>
  <c r="M1774" i="13"/>
  <c r="M1775" i="13"/>
  <c r="M1776" i="13"/>
  <c r="M1777" i="13"/>
  <c r="M1778" i="13"/>
  <c r="M1779" i="13"/>
  <c r="M1780" i="13"/>
  <c r="M1781" i="13"/>
  <c r="M1782" i="13"/>
  <c r="M1783" i="13"/>
  <c r="M58" i="13"/>
  <c r="M1784" i="13"/>
  <c r="M1785" i="13"/>
  <c r="M1786" i="13"/>
  <c r="M1787" i="13"/>
  <c r="M1788" i="13"/>
  <c r="M1789" i="13"/>
  <c r="M1790" i="13"/>
  <c r="M1791" i="13"/>
  <c r="M1792" i="13"/>
  <c r="M1793" i="13"/>
  <c r="M1794" i="13"/>
  <c r="M1795" i="13"/>
  <c r="M1796" i="13"/>
  <c r="M1797" i="13"/>
  <c r="M1798" i="13"/>
  <c r="M1799" i="13"/>
  <c r="M1800" i="13"/>
  <c r="M1801" i="13"/>
  <c r="M1802" i="13"/>
  <c r="M1803" i="13"/>
  <c r="M1804" i="13"/>
  <c r="M1805" i="13"/>
  <c r="M1806" i="13"/>
  <c r="M1807" i="13"/>
  <c r="M1808" i="13"/>
  <c r="M1809" i="13"/>
  <c r="M1810" i="13"/>
  <c r="M1811" i="13"/>
  <c r="M1812" i="13"/>
  <c r="M1813" i="13"/>
  <c r="M1814" i="13"/>
  <c r="M1815" i="13"/>
  <c r="M1816" i="13"/>
  <c r="M1817" i="13"/>
  <c r="M1818" i="13"/>
  <c r="M1819" i="13"/>
  <c r="M1820" i="13"/>
  <c r="M1821" i="13"/>
  <c r="M1822" i="13"/>
  <c r="M1823" i="13"/>
  <c r="M1824" i="13"/>
  <c r="M1825" i="13"/>
  <c r="M1826" i="13"/>
  <c r="M1827" i="13"/>
  <c r="M1828" i="13"/>
  <c r="M1829" i="13"/>
  <c r="M1830" i="13"/>
  <c r="M1831" i="13"/>
  <c r="M1832" i="13"/>
  <c r="M1833" i="13"/>
  <c r="M1834" i="13"/>
  <c r="M1835" i="13"/>
  <c r="M1836" i="13"/>
  <c r="M1837" i="13"/>
  <c r="M1838" i="13"/>
  <c r="M1839" i="13"/>
  <c r="M1840" i="13"/>
  <c r="M1841" i="13"/>
  <c r="M1842" i="13"/>
  <c r="M1843" i="13"/>
  <c r="M1844" i="13"/>
  <c r="M1845" i="13"/>
  <c r="M1846" i="13"/>
  <c r="M1847" i="13"/>
  <c r="M1848" i="13"/>
  <c r="M1849" i="13"/>
  <c r="M1850" i="13"/>
  <c r="M1851" i="13"/>
  <c r="M1852" i="13"/>
  <c r="M1853" i="13"/>
  <c r="M1854" i="13"/>
  <c r="M1855" i="13"/>
  <c r="M1856" i="13"/>
  <c r="M1857" i="13"/>
  <c r="M1858" i="13"/>
  <c r="M1859" i="13"/>
  <c r="M1860" i="13"/>
  <c r="M1861" i="13"/>
  <c r="M1862" i="13"/>
  <c r="M1863" i="13"/>
  <c r="M1864" i="13"/>
  <c r="M1865" i="13"/>
  <c r="M1866" i="13"/>
  <c r="M1867" i="13"/>
  <c r="M1868" i="13"/>
  <c r="M1869" i="13"/>
  <c r="M1870" i="13"/>
  <c r="M1871" i="13"/>
  <c r="M1872" i="13"/>
  <c r="M1873" i="13"/>
  <c r="M1874" i="13"/>
  <c r="M1875" i="13"/>
  <c r="M1876" i="13"/>
  <c r="M1877" i="13"/>
  <c r="M1878" i="13"/>
  <c r="M1879" i="13"/>
  <c r="M1880" i="13"/>
  <c r="M1881" i="13"/>
  <c r="M1882" i="13"/>
  <c r="M1883" i="13"/>
  <c r="M1884" i="13"/>
  <c r="M1885" i="13"/>
  <c r="M1886" i="13"/>
  <c r="M1887" i="13"/>
  <c r="M1888" i="13"/>
  <c r="M1889" i="13"/>
  <c r="M1890" i="13"/>
  <c r="M1891" i="13"/>
  <c r="M1892" i="13"/>
  <c r="M1893" i="13"/>
  <c r="M1894" i="13"/>
  <c r="M1895" i="13"/>
  <c r="M1896" i="13"/>
  <c r="M1897" i="13"/>
  <c r="M1898" i="13"/>
  <c r="M1899" i="13"/>
  <c r="M1900" i="13"/>
  <c r="M1901" i="13"/>
  <c r="M1902" i="13"/>
  <c r="M1903" i="13"/>
  <c r="M1904" i="13"/>
  <c r="M1905" i="13"/>
  <c r="M1906" i="13"/>
  <c r="M1907" i="13"/>
  <c r="M1908" i="13"/>
  <c r="M1909" i="13"/>
  <c r="M1910" i="13"/>
  <c r="M1911" i="13"/>
  <c r="M1912" i="13"/>
  <c r="M1913" i="13"/>
  <c r="M1914" i="13"/>
  <c r="M1915" i="13"/>
  <c r="M1916" i="13"/>
  <c r="M1917" i="13"/>
  <c r="M1918" i="13"/>
  <c r="M1919" i="13"/>
  <c r="M1920" i="13"/>
  <c r="M1921" i="13"/>
  <c r="M1922" i="13"/>
  <c r="M1923" i="13"/>
  <c r="M1924" i="13"/>
  <c r="M1925" i="13"/>
  <c r="M1926" i="13"/>
  <c r="M1927" i="13"/>
  <c r="M1928" i="13"/>
  <c r="M1929" i="13"/>
  <c r="M1930" i="13"/>
  <c r="M1931" i="13"/>
  <c r="M1932" i="13"/>
  <c r="M1933" i="13"/>
  <c r="M1934" i="13"/>
  <c r="M1935" i="13"/>
  <c r="M1936" i="13"/>
  <c r="M1937" i="13"/>
  <c r="M1938" i="13"/>
  <c r="M1939" i="13"/>
  <c r="M1940" i="13"/>
  <c r="M1941" i="13"/>
  <c r="M1942" i="13"/>
  <c r="M1943" i="13"/>
  <c r="M1944" i="13"/>
  <c r="M1945" i="13"/>
  <c r="M1946" i="13"/>
  <c r="M1947" i="13"/>
  <c r="M1948" i="13"/>
  <c r="M1949" i="13"/>
  <c r="M1950" i="13"/>
  <c r="M1951" i="13"/>
  <c r="M1952" i="13"/>
  <c r="M1953" i="13"/>
  <c r="M1954" i="13"/>
  <c r="M1955" i="13"/>
  <c r="M1956" i="13"/>
  <c r="M1957" i="13"/>
  <c r="M1958" i="13"/>
  <c r="M1959" i="13"/>
  <c r="M1960" i="13"/>
  <c r="M1961" i="13"/>
  <c r="M1962" i="13"/>
  <c r="M1963" i="13"/>
  <c r="M1964" i="13"/>
  <c r="M1965" i="13"/>
  <c r="M1966" i="13"/>
  <c r="M1967" i="13"/>
  <c r="M1968" i="13"/>
  <c r="M1969" i="13"/>
  <c r="M1970" i="13"/>
  <c r="M1971" i="13"/>
  <c r="M1972" i="13"/>
  <c r="M1973" i="13"/>
  <c r="M1974" i="13"/>
  <c r="M1975" i="13"/>
  <c r="M1976" i="13"/>
  <c r="M1977" i="13"/>
  <c r="M1978" i="13"/>
  <c r="M1979" i="13"/>
  <c r="M1980" i="13"/>
  <c r="M1981" i="13"/>
  <c r="M1982" i="13"/>
  <c r="M1983" i="13"/>
  <c r="M1984" i="13"/>
  <c r="M1985" i="13"/>
  <c r="M1986" i="13"/>
  <c r="M1987" i="13"/>
  <c r="M1988" i="13"/>
  <c r="M1989" i="13"/>
  <c r="M1990" i="13"/>
  <c r="M1991" i="13"/>
  <c r="M1992" i="13"/>
  <c r="M1993" i="13"/>
  <c r="M1994" i="13"/>
  <c r="M1995" i="13"/>
  <c r="M1996" i="13"/>
  <c r="M1997" i="13"/>
  <c r="M1998" i="13"/>
  <c r="M1999" i="13"/>
  <c r="M2000" i="13"/>
  <c r="M2001" i="13"/>
  <c r="M2002" i="13"/>
  <c r="M2003" i="13"/>
  <c r="M2004" i="13"/>
  <c r="M2005" i="13"/>
  <c r="M2006" i="13"/>
  <c r="M2007" i="13"/>
  <c r="M2008" i="13"/>
  <c r="M2009" i="13"/>
  <c r="M2010" i="13"/>
  <c r="M2011" i="13"/>
  <c r="M2012" i="13"/>
  <c r="M2013" i="13"/>
  <c r="M2014" i="13"/>
  <c r="M2015" i="13"/>
  <c r="M2016" i="13"/>
  <c r="M2017" i="13"/>
  <c r="M2018" i="13"/>
  <c r="M2019" i="13"/>
  <c r="M2020" i="13"/>
  <c r="M2021" i="13"/>
  <c r="M2022" i="13"/>
  <c r="M2023" i="13"/>
  <c r="M2024" i="13"/>
  <c r="M2025" i="13"/>
  <c r="M2026" i="13"/>
  <c r="M2027" i="13"/>
  <c r="M2028" i="13"/>
  <c r="M2029" i="13"/>
  <c r="M2030" i="13"/>
  <c r="M2031" i="13"/>
  <c r="M2032" i="13"/>
  <c r="M2033" i="13"/>
  <c r="M2034" i="13"/>
  <c r="M2035" i="13"/>
  <c r="M2036" i="13"/>
  <c r="M2037" i="13"/>
  <c r="M2038" i="13"/>
  <c r="M2039" i="13"/>
  <c r="M2040" i="13"/>
  <c r="M2041" i="13"/>
  <c r="M2042" i="13"/>
  <c r="M2043" i="13"/>
  <c r="M2044" i="13"/>
  <c r="M2045" i="13"/>
  <c r="M2046" i="13"/>
  <c r="M2047" i="13"/>
  <c r="M2048" i="13"/>
  <c r="M2049" i="13"/>
  <c r="M2050" i="13"/>
  <c r="M2051" i="13"/>
  <c r="M2052" i="13"/>
  <c r="M2053" i="13"/>
  <c r="M2054" i="13"/>
  <c r="M2055" i="13"/>
  <c r="M2056" i="13"/>
  <c r="M2057" i="13"/>
  <c r="M2058" i="13"/>
  <c r="M2059" i="13"/>
  <c r="M2060" i="13"/>
  <c r="M2061" i="13"/>
  <c r="M2062" i="13"/>
  <c r="M2063" i="13"/>
  <c r="M2064" i="13"/>
  <c r="M2065" i="13"/>
  <c r="M2066" i="13"/>
  <c r="M2067" i="13"/>
  <c r="M2068" i="13"/>
  <c r="M2069" i="13"/>
  <c r="M2070" i="13"/>
  <c r="M2071" i="13"/>
  <c r="M2072" i="13"/>
  <c r="M2073" i="13"/>
  <c r="M2074" i="13"/>
  <c r="M2075" i="13"/>
  <c r="M2076" i="13"/>
  <c r="M2077" i="13"/>
  <c r="M2078" i="13"/>
  <c r="M2079" i="13"/>
  <c r="M2080" i="13"/>
  <c r="M2081" i="13"/>
  <c r="M2082" i="13"/>
  <c r="M2083" i="13"/>
  <c r="M2084" i="13"/>
  <c r="M2085" i="13"/>
  <c r="M2086" i="13"/>
  <c r="M2087" i="13"/>
  <c r="M2088" i="13"/>
  <c r="M2089" i="13"/>
  <c r="M2090" i="13"/>
  <c r="M2091" i="13"/>
  <c r="M2092" i="13"/>
  <c r="M2093" i="13"/>
  <c r="M2094" i="13"/>
  <c r="M2095" i="13"/>
  <c r="M2096" i="13"/>
  <c r="M2097" i="13"/>
  <c r="M2098" i="13"/>
  <c r="M2099" i="13"/>
  <c r="M2100" i="13"/>
  <c r="M2101" i="13"/>
  <c r="M2102" i="13"/>
  <c r="M2103" i="13"/>
  <c r="M2104" i="13"/>
  <c r="M2105" i="13"/>
  <c r="M2106" i="13"/>
  <c r="M2107" i="13"/>
  <c r="M2108" i="13"/>
  <c r="M2109" i="13"/>
  <c r="M2110" i="13"/>
  <c r="M2111" i="13"/>
  <c r="M2112" i="13"/>
  <c r="M2113" i="13"/>
  <c r="M2114" i="13"/>
  <c r="M2115" i="13"/>
  <c r="M2116" i="13"/>
  <c r="M2117" i="13"/>
  <c r="M2118" i="13"/>
  <c r="M2119" i="13"/>
  <c r="M2120" i="13"/>
  <c r="M2121" i="13"/>
  <c r="M2122" i="13"/>
  <c r="M2123" i="13"/>
  <c r="M2124" i="13"/>
  <c r="M2125" i="13"/>
  <c r="M2126" i="13"/>
  <c r="M2127" i="13"/>
  <c r="M59" i="13"/>
  <c r="M2128" i="13"/>
  <c r="M2129" i="13"/>
  <c r="M2130" i="13"/>
  <c r="M2131" i="13"/>
  <c r="M2132" i="13"/>
  <c r="M2133" i="13"/>
  <c r="M2134" i="13"/>
  <c r="M2135" i="13"/>
  <c r="M2136" i="13"/>
  <c r="M2137" i="13"/>
  <c r="N51" i="13"/>
  <c r="N464" i="13"/>
  <c r="N465" i="13"/>
  <c r="N466" i="13"/>
  <c r="N467" i="13"/>
  <c r="N468" i="13"/>
  <c r="N469" i="13"/>
  <c r="N470" i="13"/>
  <c r="N471" i="13"/>
  <c r="N472" i="13"/>
  <c r="N473" i="13"/>
  <c r="N474" i="13"/>
  <c r="N475" i="13"/>
  <c r="N476" i="13"/>
  <c r="N477" i="13"/>
  <c r="N478" i="13"/>
  <c r="N479" i="13"/>
  <c r="N480" i="13"/>
  <c r="N481" i="13"/>
  <c r="N482" i="13"/>
  <c r="N483" i="13"/>
  <c r="N484" i="13"/>
  <c r="N485" i="13"/>
  <c r="N486" i="13"/>
  <c r="N487" i="13"/>
  <c r="N488" i="13"/>
  <c r="N489" i="13"/>
  <c r="N490" i="13"/>
  <c r="N491" i="13"/>
  <c r="N492" i="13"/>
  <c r="N493" i="13"/>
  <c r="N494" i="13"/>
  <c r="N495" i="13"/>
  <c r="N496" i="13"/>
  <c r="N497" i="13"/>
  <c r="N498" i="13"/>
  <c r="N499" i="13"/>
  <c r="N500" i="13"/>
  <c r="N501" i="13"/>
  <c r="N502" i="13"/>
  <c r="N503" i="13"/>
  <c r="N504" i="13"/>
  <c r="N505" i="13"/>
  <c r="N506" i="13"/>
  <c r="N507" i="13"/>
  <c r="N508" i="13"/>
  <c r="N509" i="13"/>
  <c r="N510" i="13"/>
  <c r="N511" i="13"/>
  <c r="N512" i="13"/>
  <c r="N513" i="13"/>
  <c r="N514" i="13"/>
  <c r="N515" i="13"/>
  <c r="N516" i="13"/>
  <c r="N517" i="13"/>
  <c r="N518" i="13"/>
  <c r="N519" i="13"/>
  <c r="N520" i="13"/>
  <c r="N521" i="13"/>
  <c r="N522" i="13"/>
  <c r="N523" i="13"/>
  <c r="N524" i="13"/>
  <c r="N525" i="13"/>
  <c r="N526" i="13"/>
  <c r="N527" i="13"/>
  <c r="N528" i="13"/>
  <c r="N529" i="13"/>
  <c r="N530" i="13"/>
  <c r="N531" i="13"/>
  <c r="N532" i="13"/>
  <c r="N533" i="13"/>
  <c r="N534" i="13"/>
  <c r="N535" i="13"/>
  <c r="N536" i="13"/>
  <c r="N537" i="13"/>
  <c r="N538" i="13"/>
  <c r="N539" i="13"/>
  <c r="N540" i="13"/>
  <c r="N541" i="13"/>
  <c r="N542" i="13"/>
  <c r="N543" i="13"/>
  <c r="N544" i="13"/>
  <c r="N545" i="13"/>
  <c r="N546" i="13"/>
  <c r="N547" i="13"/>
  <c r="N548" i="13"/>
  <c r="N549" i="13"/>
  <c r="N550" i="13"/>
  <c r="N551" i="13"/>
  <c r="N552" i="13"/>
  <c r="N553" i="13"/>
  <c r="N554" i="13"/>
  <c r="N555" i="13"/>
  <c r="N556" i="13"/>
  <c r="N557" i="13"/>
  <c r="N558" i="13"/>
  <c r="N559" i="13"/>
  <c r="N560" i="13"/>
  <c r="N561" i="13"/>
  <c r="N562" i="13"/>
  <c r="N563" i="13"/>
  <c r="N564" i="13"/>
  <c r="N565" i="13"/>
  <c r="N566" i="13"/>
  <c r="N567" i="13"/>
  <c r="N568" i="13"/>
  <c r="N569" i="13"/>
  <c r="N570" i="13"/>
  <c r="N571" i="13"/>
  <c r="N572" i="13"/>
  <c r="N573" i="13"/>
  <c r="N574" i="13"/>
  <c r="N575" i="13"/>
  <c r="N576" i="13"/>
  <c r="N577" i="13"/>
  <c r="N578" i="13"/>
  <c r="N579" i="13"/>
  <c r="N580" i="13"/>
  <c r="N581" i="13"/>
  <c r="N582" i="13"/>
  <c r="N583" i="13"/>
  <c r="N584" i="13"/>
  <c r="N585" i="13"/>
  <c r="N586" i="13"/>
  <c r="N587" i="13"/>
  <c r="N588" i="13"/>
  <c r="N589" i="13"/>
  <c r="N590" i="13"/>
  <c r="N591" i="13"/>
  <c r="N592" i="13"/>
  <c r="N593" i="13"/>
  <c r="N594" i="13"/>
  <c r="N595" i="13"/>
  <c r="N596" i="13"/>
  <c r="N597" i="13"/>
  <c r="N598" i="13"/>
  <c r="N599" i="13"/>
  <c r="N600" i="13"/>
  <c r="N601" i="13"/>
  <c r="N602" i="13"/>
  <c r="N603" i="13"/>
  <c r="N604" i="13"/>
  <c r="N605" i="13"/>
  <c r="N606" i="13"/>
  <c r="N607" i="13"/>
  <c r="N608" i="13"/>
  <c r="N609" i="13"/>
  <c r="N610" i="13"/>
  <c r="N611" i="13"/>
  <c r="N612" i="13"/>
  <c r="N613" i="13"/>
  <c r="N614" i="13"/>
  <c r="N615" i="13"/>
  <c r="N616" i="13"/>
  <c r="N617" i="13"/>
  <c r="N618" i="13"/>
  <c r="N619" i="13"/>
  <c r="N620" i="13"/>
  <c r="N621" i="13"/>
  <c r="N622" i="13"/>
  <c r="N623" i="13"/>
  <c r="N624" i="13"/>
  <c r="N625" i="13"/>
  <c r="N626" i="13"/>
  <c r="N627" i="13"/>
  <c r="N628" i="13"/>
  <c r="N629" i="13"/>
  <c r="N630" i="13"/>
  <c r="N631" i="13"/>
  <c r="N632" i="13"/>
  <c r="N633" i="13"/>
  <c r="N634" i="13"/>
  <c r="N635" i="13"/>
  <c r="N636" i="13"/>
  <c r="N637" i="13"/>
  <c r="N638" i="13"/>
  <c r="N639" i="13"/>
  <c r="N640" i="13"/>
  <c r="N641" i="13"/>
  <c r="N642" i="13"/>
  <c r="N643" i="13"/>
  <c r="N644" i="13"/>
  <c r="N645" i="13"/>
  <c r="N646" i="13"/>
  <c r="N647" i="13"/>
  <c r="N648" i="13"/>
  <c r="N649" i="13"/>
  <c r="N650" i="13"/>
  <c r="N651" i="13"/>
  <c r="N652" i="13"/>
  <c r="N653" i="13"/>
  <c r="N654" i="13"/>
  <c r="N655" i="13"/>
  <c r="N52" i="13"/>
  <c r="N656" i="13"/>
  <c r="N657" i="13"/>
  <c r="N658" i="13"/>
  <c r="N659" i="13"/>
  <c r="N660" i="13"/>
  <c r="N661" i="13"/>
  <c r="N662" i="13"/>
  <c r="N663" i="13"/>
  <c r="N664" i="13"/>
  <c r="N665" i="13"/>
  <c r="N666" i="13"/>
  <c r="N667" i="13"/>
  <c r="N668" i="13"/>
  <c r="N669" i="13"/>
  <c r="N670" i="13"/>
  <c r="N671" i="13"/>
  <c r="N672" i="13"/>
  <c r="N673" i="13"/>
  <c r="N674" i="13"/>
  <c r="N675" i="13"/>
  <c r="N676" i="13"/>
  <c r="N677" i="13"/>
  <c r="N678" i="13"/>
  <c r="N679" i="13"/>
  <c r="N680" i="13"/>
  <c r="N681" i="13"/>
  <c r="N682" i="13"/>
  <c r="N683" i="13"/>
  <c r="N53" i="13"/>
  <c r="N684" i="13"/>
  <c r="N685" i="13"/>
  <c r="N686" i="13"/>
  <c r="N687" i="13"/>
  <c r="N688" i="13"/>
  <c r="N689" i="13"/>
  <c r="N690" i="13"/>
  <c r="N691" i="13"/>
  <c r="N692" i="13"/>
  <c r="N693" i="13"/>
  <c r="N694" i="13"/>
  <c r="N695" i="13"/>
  <c r="N696" i="13"/>
  <c r="N697" i="13"/>
  <c r="N698" i="13"/>
  <c r="N699" i="13"/>
  <c r="N700" i="13"/>
  <c r="N701" i="13"/>
  <c r="N702" i="13"/>
  <c r="N703" i="13"/>
  <c r="N704" i="13"/>
  <c r="N705" i="13"/>
  <c r="N706" i="13"/>
  <c r="N707" i="13"/>
  <c r="N708" i="13"/>
  <c r="N709" i="13"/>
  <c r="N710" i="13"/>
  <c r="N711" i="13"/>
  <c r="N712" i="13"/>
  <c r="N713" i="13"/>
  <c r="N714" i="13"/>
  <c r="N715" i="13"/>
  <c r="N716" i="13"/>
  <c r="N717" i="13"/>
  <c r="N718" i="13"/>
  <c r="N719" i="13"/>
  <c r="N720" i="13"/>
  <c r="N721" i="13"/>
  <c r="N722" i="13"/>
  <c r="N723" i="13"/>
  <c r="N724" i="13"/>
  <c r="N725" i="13"/>
  <c r="N726" i="13"/>
  <c r="N727" i="13"/>
  <c r="N728" i="13"/>
  <c r="N729" i="13"/>
  <c r="N730" i="13"/>
  <c r="N731" i="13"/>
  <c r="N732" i="13"/>
  <c r="N733" i="13"/>
  <c r="N734" i="13"/>
  <c r="N735" i="13"/>
  <c r="N736" i="13"/>
  <c r="N737" i="13"/>
  <c r="N738" i="13"/>
  <c r="N739" i="13"/>
  <c r="N740" i="13"/>
  <c r="N741" i="13"/>
  <c r="N742" i="13"/>
  <c r="N54" i="13"/>
  <c r="N743" i="13"/>
  <c r="N744" i="13"/>
  <c r="N745" i="13"/>
  <c r="N746" i="13"/>
  <c r="N747" i="13"/>
  <c r="N748" i="13"/>
  <c r="N749" i="13"/>
  <c r="N750" i="13"/>
  <c r="N751" i="13"/>
  <c r="N752" i="13"/>
  <c r="N753" i="13"/>
  <c r="N754" i="13"/>
  <c r="N755" i="13"/>
  <c r="N756" i="13"/>
  <c r="N757" i="13"/>
  <c r="N758" i="13"/>
  <c r="N759" i="13"/>
  <c r="N760" i="13"/>
  <c r="N761" i="13"/>
  <c r="N762" i="13"/>
  <c r="N763" i="13"/>
  <c r="N764" i="13"/>
  <c r="N765" i="13"/>
  <c r="N766" i="13"/>
  <c r="N767" i="13"/>
  <c r="N768" i="13"/>
  <c r="N769" i="13"/>
  <c r="N770" i="13"/>
  <c r="N771" i="13"/>
  <c r="N772" i="13"/>
  <c r="N773" i="13"/>
  <c r="N774" i="13"/>
  <c r="N775" i="13"/>
  <c r="N776" i="13"/>
  <c r="N777" i="13"/>
  <c r="N778" i="13"/>
  <c r="N779" i="13"/>
  <c r="N780" i="13"/>
  <c r="N781" i="13"/>
  <c r="N782" i="13"/>
  <c r="N783" i="13"/>
  <c r="N784" i="13"/>
  <c r="N785" i="13"/>
  <c r="N786" i="13"/>
  <c r="N787" i="13"/>
  <c r="N788" i="13"/>
  <c r="N789" i="13"/>
  <c r="N790" i="13"/>
  <c r="N791" i="13"/>
  <c r="N792" i="13"/>
  <c r="N793" i="13"/>
  <c r="N794" i="13"/>
  <c r="N795" i="13"/>
  <c r="N796" i="13"/>
  <c r="N797" i="13"/>
  <c r="N798" i="13"/>
  <c r="N799" i="13"/>
  <c r="N800" i="13"/>
  <c r="N801" i="13"/>
  <c r="N802" i="13"/>
  <c r="N803" i="13"/>
  <c r="N804" i="13"/>
  <c r="N805" i="13"/>
  <c r="N806" i="13"/>
  <c r="N807" i="13"/>
  <c r="N808" i="13"/>
  <c r="N809" i="13"/>
  <c r="N810" i="13"/>
  <c r="N811" i="13"/>
  <c r="N812" i="13"/>
  <c r="N813" i="13"/>
  <c r="N814" i="13"/>
  <c r="N815" i="13"/>
  <c r="N816" i="13"/>
  <c r="N817" i="13"/>
  <c r="N818" i="13"/>
  <c r="N819" i="13"/>
  <c r="N820" i="13"/>
  <c r="N821" i="13"/>
  <c r="N822" i="13"/>
  <c r="N823" i="13"/>
  <c r="N824" i="13"/>
  <c r="N825" i="13"/>
  <c r="N826" i="13"/>
  <c r="N827" i="13"/>
  <c r="N828" i="13"/>
  <c r="N829" i="13"/>
  <c r="N830" i="13"/>
  <c r="N831" i="13"/>
  <c r="N832" i="13"/>
  <c r="N833" i="13"/>
  <c r="N834" i="13"/>
  <c r="N835" i="13"/>
  <c r="N836" i="13"/>
  <c r="N837" i="13"/>
  <c r="N838" i="13"/>
  <c r="N839" i="13"/>
  <c r="N840" i="13"/>
  <c r="N841" i="13"/>
  <c r="N842" i="13"/>
  <c r="N843" i="13"/>
  <c r="N844" i="13"/>
  <c r="N845" i="13"/>
  <c r="N846" i="13"/>
  <c r="N847" i="13"/>
  <c r="N848" i="13"/>
  <c r="N849" i="13"/>
  <c r="N850" i="13"/>
  <c r="N851" i="13"/>
  <c r="N852" i="13"/>
  <c r="N853" i="13"/>
  <c r="N854" i="13"/>
  <c r="N855" i="13"/>
  <c r="N856" i="13"/>
  <c r="N857" i="13"/>
  <c r="N858" i="13"/>
  <c r="N859" i="13"/>
  <c r="N860" i="13"/>
  <c r="N861" i="13"/>
  <c r="N862" i="13"/>
  <c r="N863" i="13"/>
  <c r="N864" i="13"/>
  <c r="N865" i="13"/>
  <c r="N866" i="13"/>
  <c r="N867" i="13"/>
  <c r="N868" i="13"/>
  <c r="N869" i="13"/>
  <c r="N870" i="13"/>
  <c r="N871" i="13"/>
  <c r="N872" i="13"/>
  <c r="N873" i="13"/>
  <c r="N874" i="13"/>
  <c r="N875" i="13"/>
  <c r="N876" i="13"/>
  <c r="N877" i="13"/>
  <c r="N878" i="13"/>
  <c r="N879" i="13"/>
  <c r="N880" i="13"/>
  <c r="N881" i="13"/>
  <c r="N882" i="13"/>
  <c r="N883" i="13"/>
  <c r="N884" i="13"/>
  <c r="N885" i="13"/>
  <c r="N886" i="13"/>
  <c r="N887" i="13"/>
  <c r="N888" i="13"/>
  <c r="N889" i="13"/>
  <c r="N890" i="13"/>
  <c r="N891" i="13"/>
  <c r="N892" i="13"/>
  <c r="N893" i="13"/>
  <c r="N894" i="13"/>
  <c r="N895" i="13"/>
  <c r="N896" i="13"/>
  <c r="N897" i="13"/>
  <c r="N898" i="13"/>
  <c r="N899" i="13"/>
  <c r="N900" i="13"/>
  <c r="N901" i="13"/>
  <c r="N902" i="13"/>
  <c r="N903" i="13"/>
  <c r="N904" i="13"/>
  <c r="N905" i="13"/>
  <c r="N906" i="13"/>
  <c r="N907" i="13"/>
  <c r="N908" i="13"/>
  <c r="N909" i="13"/>
  <c r="N910" i="13"/>
  <c r="N911" i="13"/>
  <c r="N912" i="13"/>
  <c r="N913" i="13"/>
  <c r="N914" i="13"/>
  <c r="N915" i="13"/>
  <c r="N916" i="13"/>
  <c r="N917" i="13"/>
  <c r="N918" i="13"/>
  <c r="N919" i="13"/>
  <c r="N920" i="13"/>
  <c r="N921" i="13"/>
  <c r="N922" i="13"/>
  <c r="N923" i="13"/>
  <c r="N924" i="13"/>
  <c r="N925" i="13"/>
  <c r="N926" i="13"/>
  <c r="N927" i="13"/>
  <c r="N928" i="13"/>
  <c r="N929" i="13"/>
  <c r="N930" i="13"/>
  <c r="N931" i="13"/>
  <c r="N932" i="13"/>
  <c r="N933" i="13"/>
  <c r="N934" i="13"/>
  <c r="N935" i="13"/>
  <c r="N936" i="13"/>
  <c r="N937" i="13"/>
  <c r="N938" i="13"/>
  <c r="N939" i="13"/>
  <c r="N940" i="13"/>
  <c r="N941" i="13"/>
  <c r="N942" i="13"/>
  <c r="N943" i="13"/>
  <c r="N944" i="13"/>
  <c r="N945" i="13"/>
  <c r="N946" i="13"/>
  <c r="N947" i="13"/>
  <c r="N948" i="13"/>
  <c r="N949" i="13"/>
  <c r="N950" i="13"/>
  <c r="N951" i="13"/>
  <c r="N952" i="13"/>
  <c r="N953" i="13"/>
  <c r="N954" i="13"/>
  <c r="N955" i="13"/>
  <c r="N956" i="13"/>
  <c r="N957" i="13"/>
  <c r="N958" i="13"/>
  <c r="N959" i="13"/>
  <c r="N55" i="13"/>
  <c r="N960" i="13"/>
  <c r="N961" i="13"/>
  <c r="N962" i="13"/>
  <c r="N963" i="13"/>
  <c r="N964" i="13"/>
  <c r="N965" i="13"/>
  <c r="N966" i="13"/>
  <c r="N967" i="13"/>
  <c r="N968" i="13"/>
  <c r="N969" i="13"/>
  <c r="N970" i="13"/>
  <c r="N971" i="13"/>
  <c r="N972" i="13"/>
  <c r="N973" i="13"/>
  <c r="N974" i="13"/>
  <c r="N975" i="13"/>
  <c r="N976" i="13"/>
  <c r="N977" i="13"/>
  <c r="N978" i="13"/>
  <c r="N979" i="13"/>
  <c r="N980" i="13"/>
  <c r="N981" i="13"/>
  <c r="N982" i="13"/>
  <c r="N983" i="13"/>
  <c r="N984" i="13"/>
  <c r="N985" i="13"/>
  <c r="N986" i="13"/>
  <c r="N987" i="13"/>
  <c r="N988" i="13"/>
  <c r="N989" i="13"/>
  <c r="N990" i="13"/>
  <c r="N991" i="13"/>
  <c r="N992" i="13"/>
  <c r="N993" i="13"/>
  <c r="N994" i="13"/>
  <c r="N995" i="13"/>
  <c r="N996" i="13"/>
  <c r="N997" i="13"/>
  <c r="N998" i="13"/>
  <c r="N999" i="13"/>
  <c r="N1000" i="13"/>
  <c r="N1001" i="13"/>
  <c r="N1002" i="13"/>
  <c r="N1003" i="13"/>
  <c r="N1004" i="13"/>
  <c r="N1005" i="13"/>
  <c r="N1006" i="13"/>
  <c r="N1007" i="13"/>
  <c r="N1008" i="13"/>
  <c r="N1009" i="13"/>
  <c r="N1010" i="13"/>
  <c r="N1011" i="13"/>
  <c r="N56" i="13"/>
  <c r="N1012" i="13"/>
  <c r="N1013" i="13"/>
  <c r="N1014" i="13"/>
  <c r="N1015" i="13"/>
  <c r="N1016" i="13"/>
  <c r="N1017" i="13"/>
  <c r="N1018" i="13"/>
  <c r="N1019" i="13"/>
  <c r="N1020" i="13"/>
  <c r="N1021" i="13"/>
  <c r="N1022" i="13"/>
  <c r="N1023" i="13"/>
  <c r="N1024" i="13"/>
  <c r="N1025" i="13"/>
  <c r="N1026" i="13"/>
  <c r="N1027" i="13"/>
  <c r="N1028" i="13"/>
  <c r="N1029" i="13"/>
  <c r="N1030" i="13"/>
  <c r="N1031" i="13"/>
  <c r="N1032" i="13"/>
  <c r="N1033" i="13"/>
  <c r="N1034" i="13"/>
  <c r="N1035" i="13"/>
  <c r="N1036" i="13"/>
  <c r="N1037" i="13"/>
  <c r="N1038" i="13"/>
  <c r="N1039" i="13"/>
  <c r="N1040" i="13"/>
  <c r="N1041" i="13"/>
  <c r="N1042" i="13"/>
  <c r="N1043" i="13"/>
  <c r="N1044" i="13"/>
  <c r="N1045" i="13"/>
  <c r="N1046" i="13"/>
  <c r="N1047" i="13"/>
  <c r="N1048" i="13"/>
  <c r="N1049" i="13"/>
  <c r="N1050" i="13"/>
  <c r="N1051" i="13"/>
  <c r="N1052" i="13"/>
  <c r="N1053" i="13"/>
  <c r="N1054" i="13"/>
  <c r="N1055" i="13"/>
  <c r="N1056" i="13"/>
  <c r="N1057" i="13"/>
  <c r="N1058" i="13"/>
  <c r="N1059" i="13"/>
  <c r="N1060" i="13"/>
  <c r="N1061" i="13"/>
  <c r="N1062" i="13"/>
  <c r="N1063" i="13"/>
  <c r="N1064" i="13"/>
  <c r="N1065" i="13"/>
  <c r="N1066" i="13"/>
  <c r="N1067" i="13"/>
  <c r="N1068" i="13"/>
  <c r="N1069" i="13"/>
  <c r="N1070" i="13"/>
  <c r="N1071" i="13"/>
  <c r="N1072" i="13"/>
  <c r="N1073" i="13"/>
  <c r="N1074" i="13"/>
  <c r="N1075" i="13"/>
  <c r="N1076" i="13"/>
  <c r="N1077" i="13"/>
  <c r="N1078" i="13"/>
  <c r="N1079" i="13"/>
  <c r="N1080" i="13"/>
  <c r="N1081" i="13"/>
  <c r="N1082" i="13"/>
  <c r="N1083" i="13"/>
  <c r="N1084" i="13"/>
  <c r="N1085" i="13"/>
  <c r="N1086" i="13"/>
  <c r="N1087" i="13"/>
  <c r="N1088" i="13"/>
  <c r="N1089" i="13"/>
  <c r="N1090" i="13"/>
  <c r="N1091" i="13"/>
  <c r="N1092" i="13"/>
  <c r="N1093" i="13"/>
  <c r="N1094" i="13"/>
  <c r="N1095" i="13"/>
  <c r="N1096" i="13"/>
  <c r="N1097" i="13"/>
  <c r="N1098" i="13"/>
  <c r="N1099" i="13"/>
  <c r="N1100" i="13"/>
  <c r="N1101" i="13"/>
  <c r="N1102" i="13"/>
  <c r="N1103" i="13"/>
  <c r="N1104" i="13"/>
  <c r="N1105" i="13"/>
  <c r="N1106" i="13"/>
  <c r="N1107" i="13"/>
  <c r="N1108" i="13"/>
  <c r="N1109" i="13"/>
  <c r="N1110" i="13"/>
  <c r="N1111" i="13"/>
  <c r="N1112" i="13"/>
  <c r="N1113" i="13"/>
  <c r="N1114" i="13"/>
  <c r="N1115" i="13"/>
  <c r="N1116" i="13"/>
  <c r="N1117" i="13"/>
  <c r="N1118" i="13"/>
  <c r="N1119" i="13"/>
  <c r="N1120" i="13"/>
  <c r="N1121" i="13"/>
  <c r="N1122" i="13"/>
  <c r="N1123" i="13"/>
  <c r="N1124" i="13"/>
  <c r="N1125" i="13"/>
  <c r="N1126" i="13"/>
  <c r="N1127" i="13"/>
  <c r="N1128" i="13"/>
  <c r="N1129" i="13"/>
  <c r="N1130" i="13"/>
  <c r="N1131" i="13"/>
  <c r="N1132" i="13"/>
  <c r="N1133" i="13"/>
  <c r="N1134" i="13"/>
  <c r="N1135" i="13"/>
  <c r="N1136" i="13"/>
  <c r="N1137" i="13"/>
  <c r="N1138" i="13"/>
  <c r="N1139" i="13"/>
  <c r="N1140" i="13"/>
  <c r="N1141" i="13"/>
  <c r="N1142" i="13"/>
  <c r="N1143" i="13"/>
  <c r="N1144" i="13"/>
  <c r="N1145" i="13"/>
  <c r="N1146" i="13"/>
  <c r="N1147" i="13"/>
  <c r="N1148" i="13"/>
  <c r="N1149" i="13"/>
  <c r="N1150" i="13"/>
  <c r="N1151" i="13"/>
  <c r="N1152" i="13"/>
  <c r="N1153" i="13"/>
  <c r="N1154" i="13"/>
  <c r="N1155" i="13"/>
  <c r="N1156" i="13"/>
  <c r="N1157" i="13"/>
  <c r="N1158" i="13"/>
  <c r="N1159" i="13"/>
  <c r="N1160" i="13"/>
  <c r="N1161" i="13"/>
  <c r="N1162" i="13"/>
  <c r="N1163" i="13"/>
  <c r="N1164" i="13"/>
  <c r="N1165" i="13"/>
  <c r="N1166" i="13"/>
  <c r="N1167" i="13"/>
  <c r="N1168" i="13"/>
  <c r="N1169" i="13"/>
  <c r="N1170" i="13"/>
  <c r="N1171" i="13"/>
  <c r="N1172" i="13"/>
  <c r="N1173" i="13"/>
  <c r="N1174" i="13"/>
  <c r="N1175" i="13"/>
  <c r="N1176" i="13"/>
  <c r="N1177" i="13"/>
  <c r="N1178" i="13"/>
  <c r="N1179" i="13"/>
  <c r="N1180" i="13"/>
  <c r="N1181" i="13"/>
  <c r="N1182" i="13"/>
  <c r="N1183" i="13"/>
  <c r="N1184" i="13"/>
  <c r="N1185" i="13"/>
  <c r="N1186" i="13"/>
  <c r="N1187" i="13"/>
  <c r="N1188" i="13"/>
  <c r="N1189" i="13"/>
  <c r="N1190" i="13"/>
  <c r="N1191" i="13"/>
  <c r="N1192" i="13"/>
  <c r="N1193" i="13"/>
  <c r="N1194" i="13"/>
  <c r="N1195" i="13"/>
  <c r="N1196" i="13"/>
  <c r="N1197" i="13"/>
  <c r="N1198" i="13"/>
  <c r="N1199" i="13"/>
  <c r="N1200" i="13"/>
  <c r="N1201" i="13"/>
  <c r="N1202" i="13"/>
  <c r="N1203" i="13"/>
  <c r="N1204" i="13"/>
  <c r="N1205" i="13"/>
  <c r="N1206" i="13"/>
  <c r="N1207" i="13"/>
  <c r="N1208" i="13"/>
  <c r="N1209" i="13"/>
  <c r="N1210" i="13"/>
  <c r="N1211" i="13"/>
  <c r="N1212" i="13"/>
  <c r="N1213" i="13"/>
  <c r="N1214" i="13"/>
  <c r="N1215" i="13"/>
  <c r="N1216" i="13"/>
  <c r="N1217" i="13"/>
  <c r="N1218" i="13"/>
  <c r="N1219" i="13"/>
  <c r="N1220" i="13"/>
  <c r="N1221" i="13"/>
  <c r="N1222" i="13"/>
  <c r="N1223" i="13"/>
  <c r="N1224" i="13"/>
  <c r="N1225" i="13"/>
  <c r="N1226" i="13"/>
  <c r="N1227" i="13"/>
  <c r="N1228" i="13"/>
  <c r="N1229" i="13"/>
  <c r="N1230" i="13"/>
  <c r="N1231" i="13"/>
  <c r="N1232" i="13"/>
  <c r="N1233" i="13"/>
  <c r="N1234" i="13"/>
  <c r="N1235" i="13"/>
  <c r="N1236" i="13"/>
  <c r="N1237" i="13"/>
  <c r="N1238" i="13"/>
  <c r="N1239" i="13"/>
  <c r="N1240" i="13"/>
  <c r="N1241" i="13"/>
  <c r="N1242" i="13"/>
  <c r="N1243" i="13"/>
  <c r="N1244" i="13"/>
  <c r="N1245" i="13"/>
  <c r="N1246" i="13"/>
  <c r="N1247" i="13"/>
  <c r="N1248" i="13"/>
  <c r="N1249" i="13"/>
  <c r="N1250" i="13"/>
  <c r="N1251" i="13"/>
  <c r="N1252" i="13"/>
  <c r="N1253" i="13"/>
  <c r="N1254" i="13"/>
  <c r="N1255" i="13"/>
  <c r="N1256" i="13"/>
  <c r="N1257" i="13"/>
  <c r="N1258" i="13"/>
  <c r="N1259" i="13"/>
  <c r="N1260" i="13"/>
  <c r="N1261" i="13"/>
  <c r="N1262" i="13"/>
  <c r="N1263" i="13"/>
  <c r="N1264" i="13"/>
  <c r="N1265" i="13"/>
  <c r="N1266" i="13"/>
  <c r="N1267" i="13"/>
  <c r="N1268" i="13"/>
  <c r="N1269" i="13"/>
  <c r="N1270" i="13"/>
  <c r="N1271" i="13"/>
  <c r="N1272" i="13"/>
  <c r="N1273" i="13"/>
  <c r="N1274" i="13"/>
  <c r="N1275" i="13"/>
  <c r="N1276" i="13"/>
  <c r="N1277" i="13"/>
  <c r="N1278" i="13"/>
  <c r="N1279" i="13"/>
  <c r="N1280" i="13"/>
  <c r="N1281" i="13"/>
  <c r="N1282" i="13"/>
  <c r="N1283" i="13"/>
  <c r="N1284" i="13"/>
  <c r="N1285" i="13"/>
  <c r="N1286" i="13"/>
  <c r="N1287" i="13"/>
  <c r="N1288" i="13"/>
  <c r="N1289" i="13"/>
  <c r="N1290" i="13"/>
  <c r="N1291" i="13"/>
  <c r="N1292" i="13"/>
  <c r="N1293" i="13"/>
  <c r="N1294" i="13"/>
  <c r="N1295" i="13"/>
  <c r="N1296" i="13"/>
  <c r="N1297" i="13"/>
  <c r="N1298" i="13"/>
  <c r="N1299" i="13"/>
  <c r="N1300" i="13"/>
  <c r="N1301" i="13"/>
  <c r="N1302" i="13"/>
  <c r="N1303" i="13"/>
  <c r="N1304" i="13"/>
  <c r="N1305" i="13"/>
  <c r="N1306" i="13"/>
  <c r="N1307" i="13"/>
  <c r="N1308" i="13"/>
  <c r="N1309" i="13"/>
  <c r="N1310" i="13"/>
  <c r="N1311" i="13"/>
  <c r="N1312" i="13"/>
  <c r="N1313" i="13"/>
  <c r="N1314" i="13"/>
  <c r="N1315" i="13"/>
  <c r="N1316" i="13"/>
  <c r="N1317" i="13"/>
  <c r="N1318" i="13"/>
  <c r="N1319" i="13"/>
  <c r="N1320" i="13"/>
  <c r="N1321" i="13"/>
  <c r="N1322" i="13"/>
  <c r="N1323" i="13"/>
  <c r="N1324" i="13"/>
  <c r="N1325" i="13"/>
  <c r="N1326" i="13"/>
  <c r="N1327" i="13"/>
  <c r="N1328" i="13"/>
  <c r="N1329" i="13"/>
  <c r="N1330" i="13"/>
  <c r="N1331" i="13"/>
  <c r="N1332" i="13"/>
  <c r="N1333" i="13"/>
  <c r="N1334" i="13"/>
  <c r="N1335" i="13"/>
  <c r="N1336" i="13"/>
  <c r="N1337" i="13"/>
  <c r="N1338" i="13"/>
  <c r="N1339" i="13"/>
  <c r="N1340" i="13"/>
  <c r="N1341" i="13"/>
  <c r="N1342" i="13"/>
  <c r="N1343" i="13"/>
  <c r="N1344" i="13"/>
  <c r="N1345" i="13"/>
  <c r="N1346" i="13"/>
  <c r="N1347" i="13"/>
  <c r="N1348" i="13"/>
  <c r="N1349" i="13"/>
  <c r="N1350" i="13"/>
  <c r="N1351" i="13"/>
  <c r="N1352" i="13"/>
  <c r="N1353" i="13"/>
  <c r="N1354" i="13"/>
  <c r="N1355" i="13"/>
  <c r="N1356" i="13"/>
  <c r="N1357" i="13"/>
  <c r="N1358" i="13"/>
  <c r="N1359" i="13"/>
  <c r="N1360" i="13"/>
  <c r="N1361" i="13"/>
  <c r="N1362" i="13"/>
  <c r="N1363" i="13"/>
  <c r="N1364" i="13"/>
  <c r="N1365" i="13"/>
  <c r="N1366" i="13"/>
  <c r="N1367" i="13"/>
  <c r="N1368" i="13"/>
  <c r="N1369" i="13"/>
  <c r="N1370" i="13"/>
  <c r="N1371" i="13"/>
  <c r="N1372" i="13"/>
  <c r="N1373" i="13"/>
  <c r="N1374" i="13"/>
  <c r="N1375" i="13"/>
  <c r="N1376" i="13"/>
  <c r="N1377" i="13"/>
  <c r="N1378" i="13"/>
  <c r="N1379" i="13"/>
  <c r="N1380" i="13"/>
  <c r="N1381" i="13"/>
  <c r="N1382" i="13"/>
  <c r="N1383" i="13"/>
  <c r="N1384" i="13"/>
  <c r="N1385" i="13"/>
  <c r="N1386" i="13"/>
  <c r="N1387" i="13"/>
  <c r="N1388" i="13"/>
  <c r="N1389" i="13"/>
  <c r="N1390" i="13"/>
  <c r="N1391" i="13"/>
  <c r="N1392" i="13"/>
  <c r="N1393" i="13"/>
  <c r="N1394" i="13"/>
  <c r="N1395" i="13"/>
  <c r="N1396" i="13"/>
  <c r="N1397" i="13"/>
  <c r="N1398" i="13"/>
  <c r="N1399" i="13"/>
  <c r="N1400" i="13"/>
  <c r="N1401" i="13"/>
  <c r="N1402" i="13"/>
  <c r="N1403" i="13"/>
  <c r="N1404" i="13"/>
  <c r="N1405" i="13"/>
  <c r="N1406" i="13"/>
  <c r="N1407" i="13"/>
  <c r="N1408" i="13"/>
  <c r="N1409" i="13"/>
  <c r="N1410" i="13"/>
  <c r="N1411" i="13"/>
  <c r="N1412" i="13"/>
  <c r="N1413" i="13"/>
  <c r="N1414" i="13"/>
  <c r="N1415" i="13"/>
  <c r="N1416" i="13"/>
  <c r="N1417" i="13"/>
  <c r="N1418" i="13"/>
  <c r="N1419" i="13"/>
  <c r="N1420" i="13"/>
  <c r="N1421" i="13"/>
  <c r="N1422" i="13"/>
  <c r="N1423" i="13"/>
  <c r="N1424" i="13"/>
  <c r="N1425" i="13"/>
  <c r="N1426" i="13"/>
  <c r="N1427" i="13"/>
  <c r="N1428" i="13"/>
  <c r="N1429" i="13"/>
  <c r="N1430" i="13"/>
  <c r="N1431" i="13"/>
  <c r="N1432" i="13"/>
  <c r="N1433" i="13"/>
  <c r="N1434" i="13"/>
  <c r="N1435" i="13"/>
  <c r="N1436" i="13"/>
  <c r="N1437" i="13"/>
  <c r="N1438" i="13"/>
  <c r="N1439" i="13"/>
  <c r="N1440" i="13"/>
  <c r="N1441" i="13"/>
  <c r="N1442" i="13"/>
  <c r="N1443" i="13"/>
  <c r="N1444" i="13"/>
  <c r="N1445" i="13"/>
  <c r="N1446" i="13"/>
  <c r="N1447" i="13"/>
  <c r="N1448" i="13"/>
  <c r="N1449" i="13"/>
  <c r="N1450" i="13"/>
  <c r="N1451" i="13"/>
  <c r="N1452" i="13"/>
  <c r="N1453" i="13"/>
  <c r="N1454" i="13"/>
  <c r="N1455" i="13"/>
  <c r="N1456" i="13"/>
  <c r="N1457" i="13"/>
  <c r="N1458" i="13"/>
  <c r="N1459" i="13"/>
  <c r="N1460" i="13"/>
  <c r="N1461" i="13"/>
  <c r="N1462" i="13"/>
  <c r="N1463" i="13"/>
  <c r="N1464" i="13"/>
  <c r="N1465" i="13"/>
  <c r="N1466" i="13"/>
  <c r="N1467" i="13"/>
  <c r="N1468" i="13"/>
  <c r="N1469" i="13"/>
  <c r="N1470" i="13"/>
  <c r="N1471" i="13"/>
  <c r="N1472" i="13"/>
  <c r="N1473" i="13"/>
  <c r="N1474" i="13"/>
  <c r="N1475" i="13"/>
  <c r="N1476" i="13"/>
  <c r="N1477" i="13"/>
  <c r="N1478" i="13"/>
  <c r="N1479" i="13"/>
  <c r="N1480" i="13"/>
  <c r="N1481" i="13"/>
  <c r="N1482" i="13"/>
  <c r="N1483" i="13"/>
  <c r="N1484" i="13"/>
  <c r="N1485" i="13"/>
  <c r="N1486" i="13"/>
  <c r="N1487" i="13"/>
  <c r="N1488" i="13"/>
  <c r="N1489" i="13"/>
  <c r="N1490" i="13"/>
  <c r="N1491" i="13"/>
  <c r="N1492" i="13"/>
  <c r="N1493" i="13"/>
  <c r="N1494" i="13"/>
  <c r="N1495" i="13"/>
  <c r="N1496" i="13"/>
  <c r="N1497" i="13"/>
  <c r="N1498" i="13"/>
  <c r="N1499" i="13"/>
  <c r="N1500" i="13"/>
  <c r="N1501" i="13"/>
  <c r="N1502" i="13"/>
  <c r="N1503" i="13"/>
  <c r="N1504" i="13"/>
  <c r="N1505" i="13"/>
  <c r="N1506" i="13"/>
  <c r="N1507" i="13"/>
  <c r="N1508" i="13"/>
  <c r="N1509" i="13"/>
  <c r="N1510" i="13"/>
  <c r="N1511" i="13"/>
  <c r="N1512" i="13"/>
  <c r="N1513" i="13"/>
  <c r="N1514" i="13"/>
  <c r="N1515" i="13"/>
  <c r="N1516" i="13"/>
  <c r="N1517" i="13"/>
  <c r="N1518" i="13"/>
  <c r="N1519" i="13"/>
  <c r="N1520" i="13"/>
  <c r="N1521" i="13"/>
  <c r="N1522" i="13"/>
  <c r="N1523" i="13"/>
  <c r="N1524" i="13"/>
  <c r="N1525" i="13"/>
  <c r="N1526" i="13"/>
  <c r="N1527" i="13"/>
  <c r="N1528" i="13"/>
  <c r="N1529" i="13"/>
  <c r="N1530" i="13"/>
  <c r="N1531" i="13"/>
  <c r="N1532" i="13"/>
  <c r="N1533" i="13"/>
  <c r="N1534" i="13"/>
  <c r="N1535" i="13"/>
  <c r="N1536" i="13"/>
  <c r="N1537" i="13"/>
  <c r="N1538" i="13"/>
  <c r="N1539" i="13"/>
  <c r="N1540" i="13"/>
  <c r="N1541" i="13"/>
  <c r="N1542" i="13"/>
  <c r="N1543" i="13"/>
  <c r="N1544" i="13"/>
  <c r="N1545" i="13"/>
  <c r="N1546" i="13"/>
  <c r="N1547" i="13"/>
  <c r="N1548" i="13"/>
  <c r="N1549" i="13"/>
  <c r="N1550" i="13"/>
  <c r="N1551" i="13"/>
  <c r="N1552" i="13"/>
  <c r="N1553" i="13"/>
  <c r="N1554" i="13"/>
  <c r="N1555" i="13"/>
  <c r="N1556" i="13"/>
  <c r="N1557" i="13"/>
  <c r="N1558" i="13"/>
  <c r="N1559" i="13"/>
  <c r="N1560" i="13"/>
  <c r="N1561" i="13"/>
  <c r="N1562" i="13"/>
  <c r="N1563" i="13"/>
  <c r="N1564" i="13"/>
  <c r="N1565" i="13"/>
  <c r="N1566" i="13"/>
  <c r="N1567" i="13"/>
  <c r="N1568" i="13"/>
  <c r="N1569" i="13"/>
  <c r="N1570" i="13"/>
  <c r="N1571" i="13"/>
  <c r="N1572" i="13"/>
  <c r="N1573" i="13"/>
  <c r="N1574" i="13"/>
  <c r="N1575" i="13"/>
  <c r="N1576" i="13"/>
  <c r="N1577" i="13"/>
  <c r="N1578" i="13"/>
  <c r="N1579" i="13"/>
  <c r="N1580" i="13"/>
  <c r="N1581" i="13"/>
  <c r="N1582" i="13"/>
  <c r="N57" i="13"/>
  <c r="N1583" i="13"/>
  <c r="N1584" i="13"/>
  <c r="N1585" i="13"/>
  <c r="N1586" i="13"/>
  <c r="N1587" i="13"/>
  <c r="N1588" i="13"/>
  <c r="N1589" i="13"/>
  <c r="N1590" i="13"/>
  <c r="N1591" i="13"/>
  <c r="N1592" i="13"/>
  <c r="N1593" i="13"/>
  <c r="N1594" i="13"/>
  <c r="N1595" i="13"/>
  <c r="N1596" i="13"/>
  <c r="N1597" i="13"/>
  <c r="N1598" i="13"/>
  <c r="N1599" i="13"/>
  <c r="N1600" i="13"/>
  <c r="N1601" i="13"/>
  <c r="N1602" i="13"/>
  <c r="N1603" i="13"/>
  <c r="N1604" i="13"/>
  <c r="N1605" i="13"/>
  <c r="N1606" i="13"/>
  <c r="N1607" i="13"/>
  <c r="N1608" i="13"/>
  <c r="N1609" i="13"/>
  <c r="N1610" i="13"/>
  <c r="N1611" i="13"/>
  <c r="N1612" i="13"/>
  <c r="N1613" i="13"/>
  <c r="N1614" i="13"/>
  <c r="N1615" i="13"/>
  <c r="N1616" i="13"/>
  <c r="N1617" i="13"/>
  <c r="N1618" i="13"/>
  <c r="N1619" i="13"/>
  <c r="N1620" i="13"/>
  <c r="N1621" i="13"/>
  <c r="N1622" i="13"/>
  <c r="N1623" i="13"/>
  <c r="N1624" i="13"/>
  <c r="N1625" i="13"/>
  <c r="N1626" i="13"/>
  <c r="N1627" i="13"/>
  <c r="N1628" i="13"/>
  <c r="N1629" i="13"/>
  <c r="N1630" i="13"/>
  <c r="N1631" i="13"/>
  <c r="N1632" i="13"/>
  <c r="N1633" i="13"/>
  <c r="N1634" i="13"/>
  <c r="N1635" i="13"/>
  <c r="N1636" i="13"/>
  <c r="N1637" i="13"/>
  <c r="N1638" i="13"/>
  <c r="N1639" i="13"/>
  <c r="N1640" i="13"/>
  <c r="N1641" i="13"/>
  <c r="N1642" i="13"/>
  <c r="N1643" i="13"/>
  <c r="N1644" i="13"/>
  <c r="N1645" i="13"/>
  <c r="N1646" i="13"/>
  <c r="N1647" i="13"/>
  <c r="N1648" i="13"/>
  <c r="N1649" i="13"/>
  <c r="N1650" i="13"/>
  <c r="N1651" i="13"/>
  <c r="N1652" i="13"/>
  <c r="N1653" i="13"/>
  <c r="N1654" i="13"/>
  <c r="N1655" i="13"/>
  <c r="N1656" i="13"/>
  <c r="N1657" i="13"/>
  <c r="N1658" i="13"/>
  <c r="N1659" i="13"/>
  <c r="N1660" i="13"/>
  <c r="N1661" i="13"/>
  <c r="N1662" i="13"/>
  <c r="N1663" i="13"/>
  <c r="N1664" i="13"/>
  <c r="N1665" i="13"/>
  <c r="N1666" i="13"/>
  <c r="N1667" i="13"/>
  <c r="N1668" i="13"/>
  <c r="N1669" i="13"/>
  <c r="N1670" i="13"/>
  <c r="N1671" i="13"/>
  <c r="N1672" i="13"/>
  <c r="N1673" i="13"/>
  <c r="N1674" i="13"/>
  <c r="N1675" i="13"/>
  <c r="N1676" i="13"/>
  <c r="N1677" i="13"/>
  <c r="N1678" i="13"/>
  <c r="N1679" i="13"/>
  <c r="N1680" i="13"/>
  <c r="N1681" i="13"/>
  <c r="N1682" i="13"/>
  <c r="N1683" i="13"/>
  <c r="N1684" i="13"/>
  <c r="N1685" i="13"/>
  <c r="N1686" i="13"/>
  <c r="N1687" i="13"/>
  <c r="N1688" i="13"/>
  <c r="N1689" i="13"/>
  <c r="N1690" i="13"/>
  <c r="N1691" i="13"/>
  <c r="N1692" i="13"/>
  <c r="N1693" i="13"/>
  <c r="N1694" i="13"/>
  <c r="N1695" i="13"/>
  <c r="N1696" i="13"/>
  <c r="N1697" i="13"/>
  <c r="N1698" i="13"/>
  <c r="N1699" i="13"/>
  <c r="N1700" i="13"/>
  <c r="N1701" i="13"/>
  <c r="N1702" i="13"/>
  <c r="N1703" i="13"/>
  <c r="N1704" i="13"/>
  <c r="N1705" i="13"/>
  <c r="N1706" i="13"/>
  <c r="N1707" i="13"/>
  <c r="N1708" i="13"/>
  <c r="N1709" i="13"/>
  <c r="N1710" i="13"/>
  <c r="N1711" i="13"/>
  <c r="N1712" i="13"/>
  <c r="N1713" i="13"/>
  <c r="N1714" i="13"/>
  <c r="N1715" i="13"/>
  <c r="N1716" i="13"/>
  <c r="N1717" i="13"/>
  <c r="N1718" i="13"/>
  <c r="N1719" i="13"/>
  <c r="N1720" i="13"/>
  <c r="N1721" i="13"/>
  <c r="N1722" i="13"/>
  <c r="N1723" i="13"/>
  <c r="N1724" i="13"/>
  <c r="N1725" i="13"/>
  <c r="N1726" i="13"/>
  <c r="N1727" i="13"/>
  <c r="N1728" i="13"/>
  <c r="N1729" i="13"/>
  <c r="N1730" i="13"/>
  <c r="N1731" i="13"/>
  <c r="N1732" i="13"/>
  <c r="N1733" i="13"/>
  <c r="N1734" i="13"/>
  <c r="N1735" i="13"/>
  <c r="N1736" i="13"/>
  <c r="N1737" i="13"/>
  <c r="N1738" i="13"/>
  <c r="N1739" i="13"/>
  <c r="N1740" i="13"/>
  <c r="N1741" i="13"/>
  <c r="N1742" i="13"/>
  <c r="N1743" i="13"/>
  <c r="N1744" i="13"/>
  <c r="N1745" i="13"/>
  <c r="N1746" i="13"/>
  <c r="N1747" i="13"/>
  <c r="N1748" i="13"/>
  <c r="N1749" i="13"/>
  <c r="N1750" i="13"/>
  <c r="N1751" i="13"/>
  <c r="N1752" i="13"/>
  <c r="N1753" i="13"/>
  <c r="N1754" i="13"/>
  <c r="N1755" i="13"/>
  <c r="N1756" i="13"/>
  <c r="N1757" i="13"/>
  <c r="N1758" i="13"/>
  <c r="N1759" i="13"/>
  <c r="N1760" i="13"/>
  <c r="N1761" i="13"/>
  <c r="N1762" i="13"/>
  <c r="N1763" i="13"/>
  <c r="N1764" i="13"/>
  <c r="N1765" i="13"/>
  <c r="N1766" i="13"/>
  <c r="N1767" i="13"/>
  <c r="N1768" i="13"/>
  <c r="N1769" i="13"/>
  <c r="N1770" i="13"/>
  <c r="N1771" i="13"/>
  <c r="N1772" i="13"/>
  <c r="N1773" i="13"/>
  <c r="N1774" i="13"/>
  <c r="N1775" i="13"/>
  <c r="N1776" i="13"/>
  <c r="N1777" i="13"/>
  <c r="N1778" i="13"/>
  <c r="N1779" i="13"/>
  <c r="N1780" i="13"/>
  <c r="N1781" i="13"/>
  <c r="N1782" i="13"/>
  <c r="N1783" i="13"/>
  <c r="N58" i="13"/>
  <c r="N1784" i="13"/>
  <c r="N1785" i="13"/>
  <c r="N1786" i="13"/>
  <c r="N1787" i="13"/>
  <c r="N1788" i="13"/>
  <c r="N1789" i="13"/>
  <c r="N1790" i="13"/>
  <c r="N1791" i="13"/>
  <c r="N1792" i="13"/>
  <c r="N1793" i="13"/>
  <c r="N1794" i="13"/>
  <c r="N1795" i="13"/>
  <c r="N1796" i="13"/>
  <c r="N1797" i="13"/>
  <c r="N1798" i="13"/>
  <c r="N1799" i="13"/>
  <c r="N1800" i="13"/>
  <c r="N1801" i="13"/>
  <c r="N1802" i="13"/>
  <c r="N1803" i="13"/>
  <c r="N1804" i="13"/>
  <c r="N1805" i="13"/>
  <c r="N1806" i="13"/>
  <c r="N1807" i="13"/>
  <c r="N1808" i="13"/>
  <c r="N1809" i="13"/>
  <c r="N1810" i="13"/>
  <c r="N1811" i="13"/>
  <c r="N1812" i="13"/>
  <c r="N1813" i="13"/>
  <c r="N1814" i="13"/>
  <c r="N1815" i="13"/>
  <c r="N1816" i="13"/>
  <c r="N1817" i="13"/>
  <c r="N1818" i="13"/>
  <c r="N1819" i="13"/>
  <c r="N1820" i="13"/>
  <c r="N1821" i="13"/>
  <c r="N1822" i="13"/>
  <c r="N1823" i="13"/>
  <c r="N1824" i="13"/>
  <c r="N1825" i="13"/>
  <c r="N1826" i="13"/>
  <c r="N1827" i="13"/>
  <c r="N1828" i="13"/>
  <c r="N1829" i="13"/>
  <c r="N1830" i="13"/>
  <c r="N1831" i="13"/>
  <c r="N1832" i="13"/>
  <c r="N1833" i="13"/>
  <c r="N1834" i="13"/>
  <c r="N1835" i="13"/>
  <c r="N1836" i="13"/>
  <c r="N1837" i="13"/>
  <c r="N1838" i="13"/>
  <c r="N1839" i="13"/>
  <c r="N1840" i="13"/>
  <c r="N1841" i="13"/>
  <c r="N1842" i="13"/>
  <c r="N1843" i="13"/>
  <c r="N1844" i="13"/>
  <c r="N1845" i="13"/>
  <c r="N1846" i="13"/>
  <c r="N1847" i="13"/>
  <c r="N1848" i="13"/>
  <c r="N1849" i="13"/>
  <c r="N1850" i="13"/>
  <c r="N1851" i="13"/>
  <c r="N1852" i="13"/>
  <c r="N1853" i="13"/>
  <c r="N1854" i="13"/>
  <c r="N1855" i="13"/>
  <c r="N1856" i="13"/>
  <c r="N1857" i="13"/>
  <c r="N1858" i="13"/>
  <c r="N1859" i="13"/>
  <c r="N1860" i="13"/>
  <c r="N1861" i="13"/>
  <c r="N1862" i="13"/>
  <c r="N1863" i="13"/>
  <c r="N1864" i="13"/>
  <c r="N1865" i="13"/>
  <c r="N1866" i="13"/>
  <c r="N1867" i="13"/>
  <c r="N1868" i="13"/>
  <c r="N1869" i="13"/>
  <c r="N1870" i="13"/>
  <c r="N1871" i="13"/>
  <c r="N1872" i="13"/>
  <c r="N1873" i="13"/>
  <c r="N1874" i="13"/>
  <c r="N1875" i="13"/>
  <c r="N1876" i="13"/>
  <c r="N1877" i="13"/>
  <c r="N1878" i="13"/>
  <c r="N1879" i="13"/>
  <c r="N1880" i="13"/>
  <c r="N1881" i="13"/>
  <c r="N1882" i="13"/>
  <c r="N1883" i="13"/>
  <c r="N1884" i="13"/>
  <c r="N1885" i="13"/>
  <c r="N1886" i="13"/>
  <c r="N1887" i="13"/>
  <c r="N1888" i="13"/>
  <c r="N1889" i="13"/>
  <c r="N1890" i="13"/>
  <c r="N1891" i="13"/>
  <c r="N1892" i="13"/>
  <c r="N1893" i="13"/>
  <c r="N1894" i="13"/>
  <c r="N1895" i="13"/>
  <c r="N1896" i="13"/>
  <c r="N1897" i="13"/>
  <c r="N1898" i="13"/>
  <c r="N1899" i="13"/>
  <c r="N1900" i="13"/>
  <c r="N1901" i="13"/>
  <c r="N1902" i="13"/>
  <c r="N1903" i="13"/>
  <c r="N1904" i="13"/>
  <c r="N1905" i="13"/>
  <c r="N1906" i="13"/>
  <c r="N1907" i="13"/>
  <c r="N1908" i="13"/>
  <c r="N1909" i="13"/>
  <c r="N1910" i="13"/>
  <c r="N1911" i="13"/>
  <c r="N1912" i="13"/>
  <c r="N1913" i="13"/>
  <c r="N1914" i="13"/>
  <c r="N1915" i="13"/>
  <c r="N1916" i="13"/>
  <c r="N1917" i="13"/>
  <c r="N1918" i="13"/>
  <c r="N1919" i="13"/>
  <c r="N1920" i="13"/>
  <c r="N1921" i="13"/>
  <c r="N1922" i="13"/>
  <c r="N1923" i="13"/>
  <c r="N1924" i="13"/>
  <c r="N1925" i="13"/>
  <c r="N1926" i="13"/>
  <c r="N1927" i="13"/>
  <c r="N1928" i="13"/>
  <c r="N1929" i="13"/>
  <c r="N1930" i="13"/>
  <c r="N1931" i="13"/>
  <c r="N1932" i="13"/>
  <c r="N1933" i="13"/>
  <c r="N1934" i="13"/>
  <c r="N1935" i="13"/>
  <c r="N1936" i="13"/>
  <c r="N1937" i="13"/>
  <c r="N1938" i="13"/>
  <c r="N1939" i="13"/>
  <c r="N1940" i="13"/>
  <c r="N1941" i="13"/>
  <c r="N1942" i="13"/>
  <c r="N1943" i="13"/>
  <c r="N1944" i="13"/>
  <c r="N1945" i="13"/>
  <c r="N1946" i="13"/>
  <c r="N1947" i="13"/>
  <c r="N1948" i="13"/>
  <c r="N1949" i="13"/>
  <c r="N1950" i="13"/>
  <c r="N1951" i="13"/>
  <c r="N1952" i="13"/>
  <c r="N1953" i="13"/>
  <c r="N1954" i="13"/>
  <c r="N1955" i="13"/>
  <c r="N1956" i="13"/>
  <c r="N1957" i="13"/>
  <c r="N1958" i="13"/>
  <c r="N1959" i="13"/>
  <c r="N1960" i="13"/>
  <c r="N1961" i="13"/>
  <c r="N1962" i="13"/>
  <c r="N1963" i="13"/>
  <c r="N1964" i="13"/>
  <c r="N1965" i="13"/>
  <c r="N1966" i="13"/>
  <c r="N1967" i="13"/>
  <c r="N1968" i="13"/>
  <c r="N1969" i="13"/>
  <c r="N1970" i="13"/>
  <c r="N1971" i="13"/>
  <c r="N1972" i="13"/>
  <c r="N1973" i="13"/>
  <c r="N1974" i="13"/>
  <c r="N1975" i="13"/>
  <c r="N1976" i="13"/>
  <c r="N1977" i="13"/>
  <c r="N1978" i="13"/>
  <c r="N1979" i="13"/>
  <c r="N1980" i="13"/>
  <c r="N1981" i="13"/>
  <c r="N1982" i="13"/>
  <c r="N1983" i="13"/>
  <c r="N1984" i="13"/>
  <c r="N1985" i="13"/>
  <c r="N1986" i="13"/>
  <c r="N1987" i="13"/>
  <c r="N1988" i="13"/>
  <c r="N1989" i="13"/>
  <c r="N1990" i="13"/>
  <c r="N1991" i="13"/>
  <c r="N1992" i="13"/>
  <c r="N1993" i="13"/>
  <c r="N1994" i="13"/>
  <c r="N1995" i="13"/>
  <c r="N1996" i="13"/>
  <c r="N1997" i="13"/>
  <c r="N1998" i="13"/>
  <c r="N1999" i="13"/>
  <c r="N2000" i="13"/>
  <c r="N2001" i="13"/>
  <c r="N2002" i="13"/>
  <c r="N2003" i="13"/>
  <c r="N2004" i="13"/>
  <c r="N2005" i="13"/>
  <c r="N2006" i="13"/>
  <c r="N2007" i="13"/>
  <c r="N2008" i="13"/>
  <c r="N2009" i="13"/>
  <c r="N2010" i="13"/>
  <c r="N2011" i="13"/>
  <c r="N2012" i="13"/>
  <c r="N2013" i="13"/>
  <c r="N2014" i="13"/>
  <c r="N2015" i="13"/>
  <c r="N2016" i="13"/>
  <c r="N2017" i="13"/>
  <c r="N2018" i="13"/>
  <c r="N2019" i="13"/>
  <c r="N2020" i="13"/>
  <c r="N2021" i="13"/>
  <c r="N2022" i="13"/>
  <c r="N2023" i="13"/>
  <c r="N2024" i="13"/>
  <c r="N2025" i="13"/>
  <c r="N2026" i="13"/>
  <c r="N2027" i="13"/>
  <c r="N2028" i="13"/>
  <c r="N2029" i="13"/>
  <c r="N2030" i="13"/>
  <c r="N2031" i="13"/>
  <c r="N2032" i="13"/>
  <c r="N2033" i="13"/>
  <c r="N2034" i="13"/>
  <c r="N2035" i="13"/>
  <c r="N2036" i="13"/>
  <c r="N2037" i="13"/>
  <c r="N2038" i="13"/>
  <c r="N2039" i="13"/>
  <c r="N2040" i="13"/>
  <c r="N2041" i="13"/>
  <c r="N2042" i="13"/>
  <c r="N2043" i="13"/>
  <c r="N2044" i="13"/>
  <c r="N2045" i="13"/>
  <c r="N2046" i="13"/>
  <c r="N2047" i="13"/>
  <c r="N2048" i="13"/>
  <c r="N2049" i="13"/>
  <c r="N2050" i="13"/>
  <c r="N2051" i="13"/>
  <c r="N2052" i="13"/>
  <c r="N2053" i="13"/>
  <c r="N2054" i="13"/>
  <c r="N2055" i="13"/>
  <c r="N2056" i="13"/>
  <c r="N2057" i="13"/>
  <c r="N2058" i="13"/>
  <c r="N2059" i="13"/>
  <c r="N2060" i="13"/>
  <c r="N2061" i="13"/>
  <c r="N2062" i="13"/>
  <c r="N2063" i="13"/>
  <c r="N2064" i="13"/>
  <c r="N2065" i="13"/>
  <c r="N2066" i="13"/>
  <c r="N2067" i="13"/>
  <c r="N2068" i="13"/>
  <c r="N2069" i="13"/>
  <c r="N2070" i="13"/>
  <c r="N2071" i="13"/>
  <c r="N2072" i="13"/>
  <c r="N2073" i="13"/>
  <c r="N2074" i="13"/>
  <c r="N2075" i="13"/>
  <c r="N2076" i="13"/>
  <c r="N2077" i="13"/>
  <c r="N2078" i="13"/>
  <c r="N2079" i="13"/>
  <c r="N2080" i="13"/>
  <c r="N2081" i="13"/>
  <c r="N2082" i="13"/>
  <c r="N2083" i="13"/>
  <c r="N2084" i="13"/>
  <c r="N2085" i="13"/>
  <c r="N2086" i="13"/>
  <c r="N2087" i="13"/>
  <c r="N2088" i="13"/>
  <c r="N2089" i="13"/>
  <c r="N2090" i="13"/>
  <c r="N2091" i="13"/>
  <c r="N2092" i="13"/>
  <c r="N2093" i="13"/>
  <c r="N2094" i="13"/>
  <c r="N2095" i="13"/>
  <c r="N2096" i="13"/>
  <c r="N2097" i="13"/>
  <c r="N2098" i="13"/>
  <c r="N2099" i="13"/>
  <c r="N2100" i="13"/>
  <c r="N2101" i="13"/>
  <c r="N2102" i="13"/>
  <c r="N2103" i="13"/>
  <c r="N2104" i="13"/>
  <c r="N2105" i="13"/>
  <c r="N2106" i="13"/>
  <c r="N2107" i="13"/>
  <c r="N2108" i="13"/>
  <c r="N2109" i="13"/>
  <c r="N2110" i="13"/>
  <c r="N2111" i="13"/>
  <c r="N2112" i="13"/>
  <c r="N2113" i="13"/>
  <c r="N2114" i="13"/>
  <c r="N2115" i="13"/>
  <c r="N2116" i="13"/>
  <c r="N2117" i="13"/>
  <c r="N2118" i="13"/>
  <c r="N2119" i="13"/>
  <c r="N2120" i="13"/>
  <c r="N2121" i="13"/>
  <c r="N2122" i="13"/>
  <c r="N2123" i="13"/>
  <c r="N2124" i="13"/>
  <c r="N2125" i="13"/>
  <c r="N2126" i="13"/>
  <c r="N2127" i="13"/>
  <c r="N59" i="13"/>
  <c r="N2128" i="13"/>
  <c r="N2129" i="13"/>
  <c r="N2130" i="13"/>
  <c r="N2131" i="13"/>
  <c r="N2132" i="13"/>
  <c r="N2133" i="13"/>
  <c r="N2134" i="13"/>
  <c r="N2135" i="13"/>
  <c r="N2136" i="13"/>
  <c r="N2137" i="13"/>
  <c r="O51" i="13"/>
  <c r="O464" i="13"/>
  <c r="O465" i="13"/>
  <c r="O466" i="13"/>
  <c r="O467" i="13"/>
  <c r="O468" i="13"/>
  <c r="O469" i="13"/>
  <c r="O470" i="13"/>
  <c r="O471" i="13"/>
  <c r="O472" i="13"/>
  <c r="O473" i="13"/>
  <c r="O474" i="13"/>
  <c r="O475" i="13"/>
  <c r="O476" i="13"/>
  <c r="O477" i="13"/>
  <c r="O478" i="13"/>
  <c r="O479" i="13"/>
  <c r="O480" i="13"/>
  <c r="O481" i="13"/>
  <c r="O482" i="13"/>
  <c r="O483" i="13"/>
  <c r="O484" i="13"/>
  <c r="O485" i="13"/>
  <c r="O486" i="13"/>
  <c r="O487" i="13"/>
  <c r="O488" i="13"/>
  <c r="O489" i="13"/>
  <c r="O490" i="13"/>
  <c r="O491" i="13"/>
  <c r="O492" i="13"/>
  <c r="O493" i="13"/>
  <c r="O494" i="13"/>
  <c r="O495" i="13"/>
  <c r="O496" i="13"/>
  <c r="O497" i="13"/>
  <c r="O498" i="13"/>
  <c r="O499" i="13"/>
  <c r="O500" i="13"/>
  <c r="O501" i="13"/>
  <c r="O502" i="13"/>
  <c r="O503" i="13"/>
  <c r="O504" i="13"/>
  <c r="O505" i="13"/>
  <c r="O506" i="13"/>
  <c r="O507" i="13"/>
  <c r="O508" i="13"/>
  <c r="O509" i="13"/>
  <c r="O510" i="13"/>
  <c r="O511" i="13"/>
  <c r="O512" i="13"/>
  <c r="O513" i="13"/>
  <c r="O514" i="13"/>
  <c r="O515" i="13"/>
  <c r="O516" i="13"/>
  <c r="O517" i="13"/>
  <c r="O518" i="13"/>
  <c r="O519" i="13"/>
  <c r="O520" i="13"/>
  <c r="O521" i="13"/>
  <c r="O522" i="13"/>
  <c r="O523" i="13"/>
  <c r="O524" i="13"/>
  <c r="O525" i="13"/>
  <c r="O526" i="13"/>
  <c r="O527" i="13"/>
  <c r="O528" i="13"/>
  <c r="O529" i="13"/>
  <c r="O530" i="13"/>
  <c r="O531" i="13"/>
  <c r="O532" i="13"/>
  <c r="O533" i="13"/>
  <c r="O534" i="13"/>
  <c r="O535" i="13"/>
  <c r="O536" i="13"/>
  <c r="O537" i="13"/>
  <c r="O538" i="13"/>
  <c r="O539" i="13"/>
  <c r="O540" i="13"/>
  <c r="O541" i="13"/>
  <c r="O542" i="13"/>
  <c r="O543" i="13"/>
  <c r="O544" i="13"/>
  <c r="O545" i="13"/>
  <c r="O546" i="13"/>
  <c r="O547" i="13"/>
  <c r="O548" i="13"/>
  <c r="O549" i="13"/>
  <c r="O550" i="13"/>
  <c r="O551" i="13"/>
  <c r="O552" i="13"/>
  <c r="O553" i="13"/>
  <c r="O554" i="13"/>
  <c r="O555" i="13"/>
  <c r="O556" i="13"/>
  <c r="O557" i="13"/>
  <c r="O558" i="13"/>
  <c r="O559" i="13"/>
  <c r="O560" i="13"/>
  <c r="O561" i="13"/>
  <c r="O562" i="13"/>
  <c r="O563" i="13"/>
  <c r="O564" i="13"/>
  <c r="O565" i="13"/>
  <c r="O566" i="13"/>
  <c r="O567" i="13"/>
  <c r="O568" i="13"/>
  <c r="O569" i="13"/>
  <c r="O570" i="13"/>
  <c r="O571" i="13"/>
  <c r="O572" i="13"/>
  <c r="O573" i="13"/>
  <c r="O574" i="13"/>
  <c r="O575" i="13"/>
  <c r="O576" i="13"/>
  <c r="O577" i="13"/>
  <c r="O578" i="13"/>
  <c r="O579" i="13"/>
  <c r="O580" i="13"/>
  <c r="O581" i="13"/>
  <c r="O582" i="13"/>
  <c r="O583" i="13"/>
  <c r="O584" i="13"/>
  <c r="O585" i="13"/>
  <c r="O586" i="13"/>
  <c r="O587" i="13"/>
  <c r="O588" i="13"/>
  <c r="O589" i="13"/>
  <c r="O590" i="13"/>
  <c r="O591" i="13"/>
  <c r="O592" i="13"/>
  <c r="O593" i="13"/>
  <c r="O594" i="13"/>
  <c r="O595" i="13"/>
  <c r="O596" i="13"/>
  <c r="O597" i="13"/>
  <c r="O598" i="13"/>
  <c r="O599" i="13"/>
  <c r="O600" i="13"/>
  <c r="O601" i="13"/>
  <c r="O602" i="13"/>
  <c r="O603" i="13"/>
  <c r="O604" i="13"/>
  <c r="O605" i="13"/>
  <c r="O606" i="13"/>
  <c r="O607" i="13"/>
  <c r="O608" i="13"/>
  <c r="O609" i="13"/>
  <c r="O610" i="13"/>
  <c r="O611" i="13"/>
  <c r="O612" i="13"/>
  <c r="O613" i="13"/>
  <c r="O614" i="13"/>
  <c r="O615" i="13"/>
  <c r="O616" i="13"/>
  <c r="O617" i="13"/>
  <c r="O618" i="13"/>
  <c r="O619" i="13"/>
  <c r="O620" i="13"/>
  <c r="O621" i="13"/>
  <c r="O622" i="13"/>
  <c r="O623" i="13"/>
  <c r="O624" i="13"/>
  <c r="O625" i="13"/>
  <c r="O626" i="13"/>
  <c r="O627" i="13"/>
  <c r="O628" i="13"/>
  <c r="O629" i="13"/>
  <c r="O630" i="13"/>
  <c r="O631" i="13"/>
  <c r="O632" i="13"/>
  <c r="O633" i="13"/>
  <c r="O634" i="13"/>
  <c r="O635" i="13"/>
  <c r="O636" i="13"/>
  <c r="O637" i="13"/>
  <c r="O638" i="13"/>
  <c r="O639" i="13"/>
  <c r="O640" i="13"/>
  <c r="O641" i="13"/>
  <c r="O642" i="13"/>
  <c r="O643" i="13"/>
  <c r="O644" i="13"/>
  <c r="O645" i="13"/>
  <c r="O646" i="13"/>
  <c r="O647" i="13"/>
  <c r="O648" i="13"/>
  <c r="O649" i="13"/>
  <c r="O650" i="13"/>
  <c r="O651" i="13"/>
  <c r="O652" i="13"/>
  <c r="O653" i="13"/>
  <c r="O654" i="13"/>
  <c r="O655" i="13"/>
  <c r="O52" i="13"/>
  <c r="O656" i="13"/>
  <c r="O657" i="13"/>
  <c r="O658" i="13"/>
  <c r="O659" i="13"/>
  <c r="O660" i="13"/>
  <c r="O661" i="13"/>
  <c r="O662" i="13"/>
  <c r="O663" i="13"/>
  <c r="O664" i="13"/>
  <c r="O665" i="13"/>
  <c r="O666" i="13"/>
  <c r="O667" i="13"/>
  <c r="O668" i="13"/>
  <c r="O669" i="13"/>
  <c r="O670" i="13"/>
  <c r="O671" i="13"/>
  <c r="O672" i="13"/>
  <c r="O673" i="13"/>
  <c r="O674" i="13"/>
  <c r="O675" i="13"/>
  <c r="O676" i="13"/>
  <c r="O677" i="13"/>
  <c r="O678" i="13"/>
  <c r="O679" i="13"/>
  <c r="O680" i="13"/>
  <c r="O681" i="13"/>
  <c r="O682" i="13"/>
  <c r="O683" i="13"/>
  <c r="O53" i="13"/>
  <c r="O684" i="13"/>
  <c r="O685" i="13"/>
  <c r="O686" i="13"/>
  <c r="O687" i="13"/>
  <c r="O688" i="13"/>
  <c r="O689" i="13"/>
  <c r="O690" i="13"/>
  <c r="O691" i="13"/>
  <c r="O692" i="13"/>
  <c r="O693" i="13"/>
  <c r="O694" i="13"/>
  <c r="O695" i="13"/>
  <c r="O696" i="13"/>
  <c r="O697" i="13"/>
  <c r="O698" i="13"/>
  <c r="O699" i="13"/>
  <c r="O700" i="13"/>
  <c r="O701" i="13"/>
  <c r="O702" i="13"/>
  <c r="O703" i="13"/>
  <c r="O704" i="13"/>
  <c r="O705" i="13"/>
  <c r="O706" i="13"/>
  <c r="O707" i="13"/>
  <c r="O708" i="13"/>
  <c r="O709" i="13"/>
  <c r="O710" i="13"/>
  <c r="O711" i="13"/>
  <c r="O712" i="13"/>
  <c r="O713" i="13"/>
  <c r="O714" i="13"/>
  <c r="O715" i="13"/>
  <c r="O716" i="13"/>
  <c r="O717" i="13"/>
  <c r="O718" i="13"/>
  <c r="O719" i="13"/>
  <c r="O720" i="13"/>
  <c r="O721" i="13"/>
  <c r="O722" i="13"/>
  <c r="O723" i="13"/>
  <c r="O724" i="13"/>
  <c r="O725" i="13"/>
  <c r="O726" i="13"/>
  <c r="O727" i="13"/>
  <c r="O728" i="13"/>
  <c r="O729" i="13"/>
  <c r="O730" i="13"/>
  <c r="O731" i="13"/>
  <c r="O732" i="13"/>
  <c r="O733" i="13"/>
  <c r="O734" i="13"/>
  <c r="O735" i="13"/>
  <c r="O736" i="13"/>
  <c r="O737" i="13"/>
  <c r="O738" i="13"/>
  <c r="O739" i="13"/>
  <c r="O740" i="13"/>
  <c r="O741" i="13"/>
  <c r="O742" i="13"/>
  <c r="O54" i="13"/>
  <c r="O743" i="13"/>
  <c r="O744" i="13"/>
  <c r="O745" i="13"/>
  <c r="O746" i="13"/>
  <c r="O747" i="13"/>
  <c r="O748" i="13"/>
  <c r="O749" i="13"/>
  <c r="O750" i="13"/>
  <c r="O751" i="13"/>
  <c r="O752" i="13"/>
  <c r="O753" i="13"/>
  <c r="O754" i="13"/>
  <c r="O755" i="13"/>
  <c r="O756" i="13"/>
  <c r="O757" i="13"/>
  <c r="O758" i="13"/>
  <c r="O759" i="13"/>
  <c r="O760" i="13"/>
  <c r="O761" i="13"/>
  <c r="O762" i="13"/>
  <c r="O763" i="13"/>
  <c r="O764" i="13"/>
  <c r="O765" i="13"/>
  <c r="O766" i="13"/>
  <c r="O767" i="13"/>
  <c r="O768" i="13"/>
  <c r="O769" i="13"/>
  <c r="O770" i="13"/>
  <c r="O771" i="13"/>
  <c r="O772" i="13"/>
  <c r="O773" i="13"/>
  <c r="O774" i="13"/>
  <c r="O775" i="13"/>
  <c r="O776" i="13"/>
  <c r="O777" i="13"/>
  <c r="O778" i="13"/>
  <c r="O779" i="13"/>
  <c r="O780" i="13"/>
  <c r="O781" i="13"/>
  <c r="O782" i="13"/>
  <c r="O783" i="13"/>
  <c r="O784" i="13"/>
  <c r="O785" i="13"/>
  <c r="O786" i="13"/>
  <c r="O787" i="13"/>
  <c r="O788" i="13"/>
  <c r="O789" i="13"/>
  <c r="O790" i="13"/>
  <c r="O791" i="13"/>
  <c r="O792" i="13"/>
  <c r="O793" i="13"/>
  <c r="O794" i="13"/>
  <c r="O795" i="13"/>
  <c r="O796" i="13"/>
  <c r="O797" i="13"/>
  <c r="O798" i="13"/>
  <c r="O799" i="13"/>
  <c r="O800" i="13"/>
  <c r="O801" i="13"/>
  <c r="O802" i="13"/>
  <c r="O803" i="13"/>
  <c r="O804" i="13"/>
  <c r="O805" i="13"/>
  <c r="O806" i="13"/>
  <c r="O807" i="13"/>
  <c r="O808" i="13"/>
  <c r="O809" i="13"/>
  <c r="O810" i="13"/>
  <c r="O811" i="13"/>
  <c r="O812" i="13"/>
  <c r="O813" i="13"/>
  <c r="O814" i="13"/>
  <c r="O815" i="13"/>
  <c r="O816" i="13"/>
  <c r="O817" i="13"/>
  <c r="O818" i="13"/>
  <c r="O819" i="13"/>
  <c r="O820" i="13"/>
  <c r="O821" i="13"/>
  <c r="O822" i="13"/>
  <c r="O823" i="13"/>
  <c r="O824" i="13"/>
  <c r="O825" i="13"/>
  <c r="O826" i="13"/>
  <c r="O827" i="13"/>
  <c r="O828" i="13"/>
  <c r="O829" i="13"/>
  <c r="O830" i="13"/>
  <c r="O831" i="13"/>
  <c r="O832" i="13"/>
  <c r="O833" i="13"/>
  <c r="O834" i="13"/>
  <c r="O835" i="13"/>
  <c r="O836" i="13"/>
  <c r="O837" i="13"/>
  <c r="O838" i="13"/>
  <c r="O839" i="13"/>
  <c r="O840" i="13"/>
  <c r="O841" i="13"/>
  <c r="O842" i="13"/>
  <c r="O843" i="13"/>
  <c r="O844" i="13"/>
  <c r="O845" i="13"/>
  <c r="O846" i="13"/>
  <c r="O847" i="13"/>
  <c r="O848" i="13"/>
  <c r="O849" i="13"/>
  <c r="O850" i="13"/>
  <c r="O851" i="13"/>
  <c r="O852" i="13"/>
  <c r="O853" i="13"/>
  <c r="O854" i="13"/>
  <c r="O855" i="13"/>
  <c r="O856" i="13"/>
  <c r="O857" i="13"/>
  <c r="O858" i="13"/>
  <c r="O859" i="13"/>
  <c r="O860" i="13"/>
  <c r="O861" i="13"/>
  <c r="O862" i="13"/>
  <c r="O863" i="13"/>
  <c r="O864" i="13"/>
  <c r="O865" i="13"/>
  <c r="O866" i="13"/>
  <c r="O867" i="13"/>
  <c r="O868" i="13"/>
  <c r="O869" i="13"/>
  <c r="O870" i="13"/>
  <c r="O871" i="13"/>
  <c r="O872" i="13"/>
  <c r="O873" i="13"/>
  <c r="O874" i="13"/>
  <c r="O875" i="13"/>
  <c r="O876" i="13"/>
  <c r="O877" i="13"/>
  <c r="O878" i="13"/>
  <c r="O879" i="13"/>
  <c r="O880" i="13"/>
  <c r="O881" i="13"/>
  <c r="O882" i="13"/>
  <c r="O883" i="13"/>
  <c r="O884" i="13"/>
  <c r="O885" i="13"/>
  <c r="O886" i="13"/>
  <c r="O887" i="13"/>
  <c r="O888" i="13"/>
  <c r="O889" i="13"/>
  <c r="O890" i="13"/>
  <c r="O891" i="13"/>
  <c r="O892" i="13"/>
  <c r="O893" i="13"/>
  <c r="O894" i="13"/>
  <c r="O895" i="13"/>
  <c r="O896" i="13"/>
  <c r="O897" i="13"/>
  <c r="O898" i="13"/>
  <c r="O899" i="13"/>
  <c r="O900" i="13"/>
  <c r="O901" i="13"/>
  <c r="O902" i="13"/>
  <c r="O903" i="13"/>
  <c r="O904" i="13"/>
  <c r="O905" i="13"/>
  <c r="O906" i="13"/>
  <c r="O907" i="13"/>
  <c r="O908" i="13"/>
  <c r="O909" i="13"/>
  <c r="O910" i="13"/>
  <c r="O911" i="13"/>
  <c r="O912" i="13"/>
  <c r="O913" i="13"/>
  <c r="O914" i="13"/>
  <c r="O915" i="13"/>
  <c r="O916" i="13"/>
  <c r="O917" i="13"/>
  <c r="O918" i="13"/>
  <c r="O919" i="13"/>
  <c r="O920" i="13"/>
  <c r="O921" i="13"/>
  <c r="O922" i="13"/>
  <c r="O923" i="13"/>
  <c r="O924" i="13"/>
  <c r="O925" i="13"/>
  <c r="O926" i="13"/>
  <c r="O927" i="13"/>
  <c r="O928" i="13"/>
  <c r="O929" i="13"/>
  <c r="O930" i="13"/>
  <c r="O931" i="13"/>
  <c r="O932" i="13"/>
  <c r="O933" i="13"/>
  <c r="O934" i="13"/>
  <c r="O935" i="13"/>
  <c r="O936" i="13"/>
  <c r="O937" i="13"/>
  <c r="O938" i="13"/>
  <c r="O939" i="13"/>
  <c r="O940" i="13"/>
  <c r="O941" i="13"/>
  <c r="O942" i="13"/>
  <c r="O943" i="13"/>
  <c r="O944" i="13"/>
  <c r="O945" i="13"/>
  <c r="O946" i="13"/>
  <c r="O947" i="13"/>
  <c r="O948" i="13"/>
  <c r="O949" i="13"/>
  <c r="O950" i="13"/>
  <c r="O951" i="13"/>
  <c r="O952" i="13"/>
  <c r="O953" i="13"/>
  <c r="O954" i="13"/>
  <c r="O955" i="13"/>
  <c r="O956" i="13"/>
  <c r="O957" i="13"/>
  <c r="O958" i="13"/>
  <c r="O959" i="13"/>
  <c r="O55" i="13"/>
  <c r="O960" i="13"/>
  <c r="O961" i="13"/>
  <c r="O962" i="13"/>
  <c r="O963" i="13"/>
  <c r="O964" i="13"/>
  <c r="O965" i="13"/>
  <c r="O966" i="13"/>
  <c r="O967" i="13"/>
  <c r="O968" i="13"/>
  <c r="O969" i="13"/>
  <c r="O970" i="13"/>
  <c r="O971" i="13"/>
  <c r="O972" i="13"/>
  <c r="O973" i="13"/>
  <c r="O974" i="13"/>
  <c r="O975" i="13"/>
  <c r="O976" i="13"/>
  <c r="O977" i="13"/>
  <c r="O978" i="13"/>
  <c r="O979" i="13"/>
  <c r="O980" i="13"/>
  <c r="O981" i="13"/>
  <c r="O982" i="13"/>
  <c r="O983" i="13"/>
  <c r="O984" i="13"/>
  <c r="O985" i="13"/>
  <c r="O986" i="13"/>
  <c r="O987" i="13"/>
  <c r="O988" i="13"/>
  <c r="O989" i="13"/>
  <c r="O990" i="13"/>
  <c r="O991" i="13"/>
  <c r="O992" i="13"/>
  <c r="O993" i="13"/>
  <c r="O994" i="13"/>
  <c r="O995" i="13"/>
  <c r="O996" i="13"/>
  <c r="O997" i="13"/>
  <c r="O998" i="13"/>
  <c r="O999" i="13"/>
  <c r="O1000" i="13"/>
  <c r="O1001" i="13"/>
  <c r="O1002" i="13"/>
  <c r="O1003" i="13"/>
  <c r="O1004" i="13"/>
  <c r="O1005" i="13"/>
  <c r="O1006" i="13"/>
  <c r="O1007" i="13"/>
  <c r="O1008" i="13"/>
  <c r="O1009" i="13"/>
  <c r="O1010" i="13"/>
  <c r="O1011" i="13"/>
  <c r="O56" i="13"/>
  <c r="O1012" i="13"/>
  <c r="O1013" i="13"/>
  <c r="O1014" i="13"/>
  <c r="O1015" i="13"/>
  <c r="O1016" i="13"/>
  <c r="O1017" i="13"/>
  <c r="O1018" i="13"/>
  <c r="O1019" i="13"/>
  <c r="O1020" i="13"/>
  <c r="O1021" i="13"/>
  <c r="O1022" i="13"/>
  <c r="O1023" i="13"/>
  <c r="O1024" i="13"/>
  <c r="O1025" i="13"/>
  <c r="O1026" i="13"/>
  <c r="O1027" i="13"/>
  <c r="O1028" i="13"/>
  <c r="O1029" i="13"/>
  <c r="O1030" i="13"/>
  <c r="O1031" i="13"/>
  <c r="O1032" i="13"/>
  <c r="O1033" i="13"/>
  <c r="O1034" i="13"/>
  <c r="O1035" i="13"/>
  <c r="O1036" i="13"/>
  <c r="O1037" i="13"/>
  <c r="O1038" i="13"/>
  <c r="O1039" i="13"/>
  <c r="O1040" i="13"/>
  <c r="O1041" i="13"/>
  <c r="O1042" i="13"/>
  <c r="O1043" i="13"/>
  <c r="O1044" i="13"/>
  <c r="O1045" i="13"/>
  <c r="O1046" i="13"/>
  <c r="O1047" i="13"/>
  <c r="O1048" i="13"/>
  <c r="O1049" i="13"/>
  <c r="O1050" i="13"/>
  <c r="O1051" i="13"/>
  <c r="O1052" i="13"/>
  <c r="O1053" i="13"/>
  <c r="O1054" i="13"/>
  <c r="O1055" i="13"/>
  <c r="O1056" i="13"/>
  <c r="O1057" i="13"/>
  <c r="O1058" i="13"/>
  <c r="O1059" i="13"/>
  <c r="O1060" i="13"/>
  <c r="O1061" i="13"/>
  <c r="O1062" i="13"/>
  <c r="O1063" i="13"/>
  <c r="O1064" i="13"/>
  <c r="O1065" i="13"/>
  <c r="O1066" i="13"/>
  <c r="O1067" i="13"/>
  <c r="O1068" i="13"/>
  <c r="O1069" i="13"/>
  <c r="O1070" i="13"/>
  <c r="O1071" i="13"/>
  <c r="O1072" i="13"/>
  <c r="O1073" i="13"/>
  <c r="O1074" i="13"/>
  <c r="O1075" i="13"/>
  <c r="O1076" i="13"/>
  <c r="O1077" i="13"/>
  <c r="O1078" i="13"/>
  <c r="O1079" i="13"/>
  <c r="O1080" i="13"/>
  <c r="O1081" i="13"/>
  <c r="O1082" i="13"/>
  <c r="O1083" i="13"/>
  <c r="O1084" i="13"/>
  <c r="O1085" i="13"/>
  <c r="O1086" i="13"/>
  <c r="O1087" i="13"/>
  <c r="O1088" i="13"/>
  <c r="O1089" i="13"/>
  <c r="O1090" i="13"/>
  <c r="O1091" i="13"/>
  <c r="O1092" i="13"/>
  <c r="O1093" i="13"/>
  <c r="O1094" i="13"/>
  <c r="O1095" i="13"/>
  <c r="O1096" i="13"/>
  <c r="O1097" i="13"/>
  <c r="O1098" i="13"/>
  <c r="O1099" i="13"/>
  <c r="O1100" i="13"/>
  <c r="O1101" i="13"/>
  <c r="O1102" i="13"/>
  <c r="O1103" i="13"/>
  <c r="O1104" i="13"/>
  <c r="O1105" i="13"/>
  <c r="O1106" i="13"/>
  <c r="O1107" i="13"/>
  <c r="O1108" i="13"/>
  <c r="O1109" i="13"/>
  <c r="O1110" i="13"/>
  <c r="O1111" i="13"/>
  <c r="O1112" i="13"/>
  <c r="O1113" i="13"/>
  <c r="O1114" i="13"/>
  <c r="O1115" i="13"/>
  <c r="O1116" i="13"/>
  <c r="O1117" i="13"/>
  <c r="O1118" i="13"/>
  <c r="O1119" i="13"/>
  <c r="O1120" i="13"/>
  <c r="O1121" i="13"/>
  <c r="O1122" i="13"/>
  <c r="O1123" i="13"/>
  <c r="O1124" i="13"/>
  <c r="O1125" i="13"/>
  <c r="O1126" i="13"/>
  <c r="O1127" i="13"/>
  <c r="O1128" i="13"/>
  <c r="O1129" i="13"/>
  <c r="O1130" i="13"/>
  <c r="O1131" i="13"/>
  <c r="O1132" i="13"/>
  <c r="O1133" i="13"/>
  <c r="O1134" i="13"/>
  <c r="O1135" i="13"/>
  <c r="O1136" i="13"/>
  <c r="O1137" i="13"/>
  <c r="O1138" i="13"/>
  <c r="O1139" i="13"/>
  <c r="O1140" i="13"/>
  <c r="O1141" i="13"/>
  <c r="O1142" i="13"/>
  <c r="O1143" i="13"/>
  <c r="O1144" i="13"/>
  <c r="O1145" i="13"/>
  <c r="O1146" i="13"/>
  <c r="O1147" i="13"/>
  <c r="O1148" i="13"/>
  <c r="O1149" i="13"/>
  <c r="O1150" i="13"/>
  <c r="O1151" i="13"/>
  <c r="O1152" i="13"/>
  <c r="O1153" i="13"/>
  <c r="O1154" i="13"/>
  <c r="O1155" i="13"/>
  <c r="O1156" i="13"/>
  <c r="O1157" i="13"/>
  <c r="O1158" i="13"/>
  <c r="O1159" i="13"/>
  <c r="O1160" i="13"/>
  <c r="O1161" i="13"/>
  <c r="O1162" i="13"/>
  <c r="O1163" i="13"/>
  <c r="O1164" i="13"/>
  <c r="O1165" i="13"/>
  <c r="O1166" i="13"/>
  <c r="O1167" i="13"/>
  <c r="O1168" i="13"/>
  <c r="O1169" i="13"/>
  <c r="O1170" i="13"/>
  <c r="O1171" i="13"/>
  <c r="O1172" i="13"/>
  <c r="O1173" i="13"/>
  <c r="O1174" i="13"/>
  <c r="O1175" i="13"/>
  <c r="O1176" i="13"/>
  <c r="O1177" i="13"/>
  <c r="O1178" i="13"/>
  <c r="O1179" i="13"/>
  <c r="O1180" i="13"/>
  <c r="O1181" i="13"/>
  <c r="O1182" i="13"/>
  <c r="O1183" i="13"/>
  <c r="O1184" i="13"/>
  <c r="O1185" i="13"/>
  <c r="O1186" i="13"/>
  <c r="O1187" i="13"/>
  <c r="O1188" i="13"/>
  <c r="O1189" i="13"/>
  <c r="O1190" i="13"/>
  <c r="O1191" i="13"/>
  <c r="O1192" i="13"/>
  <c r="O1193" i="13"/>
  <c r="O1194" i="13"/>
  <c r="O1195" i="13"/>
  <c r="O1196" i="13"/>
  <c r="O1197" i="13"/>
  <c r="O1198" i="13"/>
  <c r="O1199" i="13"/>
  <c r="O1200" i="13"/>
  <c r="O1201" i="13"/>
  <c r="O1202" i="13"/>
  <c r="O1203" i="13"/>
  <c r="O1204" i="13"/>
  <c r="O1205" i="13"/>
  <c r="O1206" i="13"/>
  <c r="O1207" i="13"/>
  <c r="O1208" i="13"/>
  <c r="O1209" i="13"/>
  <c r="O1210" i="13"/>
  <c r="O1211" i="13"/>
  <c r="O1212" i="13"/>
  <c r="O1213" i="13"/>
  <c r="O1214" i="13"/>
  <c r="O1215" i="13"/>
  <c r="O1216" i="13"/>
  <c r="O1217" i="13"/>
  <c r="O1218" i="13"/>
  <c r="O1219" i="13"/>
  <c r="O1220" i="13"/>
  <c r="O1221" i="13"/>
  <c r="O1222" i="13"/>
  <c r="O1223" i="13"/>
  <c r="O1224" i="13"/>
  <c r="O1225" i="13"/>
  <c r="O1226" i="13"/>
  <c r="O1227" i="13"/>
  <c r="O1228" i="13"/>
  <c r="O1229" i="13"/>
  <c r="O1230" i="13"/>
  <c r="O1231" i="13"/>
  <c r="O1232" i="13"/>
  <c r="O1233" i="13"/>
  <c r="O1234" i="13"/>
  <c r="O1235" i="13"/>
  <c r="O1236" i="13"/>
  <c r="O1237" i="13"/>
  <c r="O1238" i="13"/>
  <c r="O1239" i="13"/>
  <c r="O1240" i="13"/>
  <c r="O1241" i="13"/>
  <c r="O1242" i="13"/>
  <c r="O1243" i="13"/>
  <c r="O1244" i="13"/>
  <c r="O1245" i="13"/>
  <c r="O1246" i="13"/>
  <c r="O1247" i="13"/>
  <c r="O1248" i="13"/>
  <c r="O1249" i="13"/>
  <c r="O1250" i="13"/>
  <c r="O1251" i="13"/>
  <c r="O1252" i="13"/>
  <c r="O1253" i="13"/>
  <c r="O1254" i="13"/>
  <c r="O1255" i="13"/>
  <c r="O1256" i="13"/>
  <c r="O1257" i="13"/>
  <c r="O1258" i="13"/>
  <c r="O1259" i="13"/>
  <c r="O1260" i="13"/>
  <c r="O1261" i="13"/>
  <c r="O1262" i="13"/>
  <c r="O1263" i="13"/>
  <c r="O1264" i="13"/>
  <c r="O1265" i="13"/>
  <c r="O1266" i="13"/>
  <c r="O1267" i="13"/>
  <c r="O1268" i="13"/>
  <c r="O1269" i="13"/>
  <c r="O1270" i="13"/>
  <c r="O1271" i="13"/>
  <c r="O1272" i="13"/>
  <c r="O1273" i="13"/>
  <c r="O1274" i="13"/>
  <c r="O1275" i="13"/>
  <c r="O1276" i="13"/>
  <c r="O1277" i="13"/>
  <c r="O1278" i="13"/>
  <c r="O1279" i="13"/>
  <c r="O1280" i="13"/>
  <c r="O1281" i="13"/>
  <c r="O1282" i="13"/>
  <c r="O1283" i="13"/>
  <c r="O1284" i="13"/>
  <c r="O1285" i="13"/>
  <c r="O1286" i="13"/>
  <c r="O1287" i="13"/>
  <c r="O1288" i="13"/>
  <c r="O1289" i="13"/>
  <c r="O1290" i="13"/>
  <c r="O1291" i="13"/>
  <c r="O1292" i="13"/>
  <c r="O1293" i="13"/>
  <c r="O1294" i="13"/>
  <c r="O1295" i="13"/>
  <c r="O1296" i="13"/>
  <c r="O1297" i="13"/>
  <c r="O1298" i="13"/>
  <c r="O1299" i="13"/>
  <c r="O1300" i="13"/>
  <c r="O1301" i="13"/>
  <c r="O1302" i="13"/>
  <c r="O1303" i="13"/>
  <c r="O1304" i="13"/>
  <c r="O1305" i="13"/>
  <c r="O1306" i="13"/>
  <c r="O1307" i="13"/>
  <c r="O1308" i="13"/>
  <c r="O1309" i="13"/>
  <c r="O1310" i="13"/>
  <c r="O1311" i="13"/>
  <c r="O1312" i="13"/>
  <c r="O1313" i="13"/>
  <c r="O1314" i="13"/>
  <c r="O1315" i="13"/>
  <c r="O1316" i="13"/>
  <c r="O1317" i="13"/>
  <c r="O1318" i="13"/>
  <c r="O1319" i="13"/>
  <c r="O1320" i="13"/>
  <c r="O1321" i="13"/>
  <c r="O1322" i="13"/>
  <c r="O1323" i="13"/>
  <c r="O1324" i="13"/>
  <c r="O1325" i="13"/>
  <c r="O1326" i="13"/>
  <c r="O1327" i="13"/>
  <c r="O1328" i="13"/>
  <c r="O1329" i="13"/>
  <c r="O1330" i="13"/>
  <c r="O1331" i="13"/>
  <c r="O1332" i="13"/>
  <c r="O1333" i="13"/>
  <c r="O1334" i="13"/>
  <c r="O1335" i="13"/>
  <c r="O1336" i="13"/>
  <c r="O1337" i="13"/>
  <c r="O1338" i="13"/>
  <c r="O1339" i="13"/>
  <c r="O1340" i="13"/>
  <c r="O1341" i="13"/>
  <c r="O1342" i="13"/>
  <c r="O1343" i="13"/>
  <c r="O1344" i="13"/>
  <c r="O1345" i="13"/>
  <c r="O1346" i="13"/>
  <c r="O1347" i="13"/>
  <c r="O1348" i="13"/>
  <c r="O1349" i="13"/>
  <c r="O1350" i="13"/>
  <c r="O1351" i="13"/>
  <c r="O1352" i="13"/>
  <c r="O1353" i="13"/>
  <c r="O1354" i="13"/>
  <c r="O1355" i="13"/>
  <c r="O1356" i="13"/>
  <c r="O1357" i="13"/>
  <c r="O1358" i="13"/>
  <c r="O1359" i="13"/>
  <c r="O1360" i="13"/>
  <c r="O1361" i="13"/>
  <c r="O1362" i="13"/>
  <c r="O1363" i="13"/>
  <c r="O1364" i="13"/>
  <c r="O1365" i="13"/>
  <c r="O1366" i="13"/>
  <c r="O1367" i="13"/>
  <c r="O1368" i="13"/>
  <c r="O1369" i="13"/>
  <c r="O1370" i="13"/>
  <c r="O1371" i="13"/>
  <c r="O1372" i="13"/>
  <c r="O1373" i="13"/>
  <c r="O1374" i="13"/>
  <c r="O1375" i="13"/>
  <c r="O1376" i="13"/>
  <c r="O1377" i="13"/>
  <c r="O1378" i="13"/>
  <c r="O1379" i="13"/>
  <c r="O1380" i="13"/>
  <c r="O1381" i="13"/>
  <c r="O1382" i="13"/>
  <c r="O1383" i="13"/>
  <c r="O1384" i="13"/>
  <c r="O1385" i="13"/>
  <c r="O1386" i="13"/>
  <c r="O1387" i="13"/>
  <c r="O1388" i="13"/>
  <c r="O1389" i="13"/>
  <c r="O1390" i="13"/>
  <c r="O1391" i="13"/>
  <c r="O1392" i="13"/>
  <c r="O1393" i="13"/>
  <c r="O1394" i="13"/>
  <c r="O1395" i="13"/>
  <c r="O1396" i="13"/>
  <c r="O1397" i="13"/>
  <c r="O1398" i="13"/>
  <c r="O1399" i="13"/>
  <c r="O1400" i="13"/>
  <c r="O1401" i="13"/>
  <c r="O1402" i="13"/>
  <c r="O1403" i="13"/>
  <c r="O1404" i="13"/>
  <c r="O1405" i="13"/>
  <c r="O1406" i="13"/>
  <c r="O1407" i="13"/>
  <c r="O1408" i="13"/>
  <c r="O1409" i="13"/>
  <c r="O1410" i="13"/>
  <c r="O1411" i="13"/>
  <c r="O1412" i="13"/>
  <c r="O1413" i="13"/>
  <c r="O1414" i="13"/>
  <c r="O1415" i="13"/>
  <c r="O1416" i="13"/>
  <c r="O1417" i="13"/>
  <c r="O1418" i="13"/>
  <c r="O1419" i="13"/>
  <c r="O1420" i="13"/>
  <c r="O1421" i="13"/>
  <c r="O1422" i="13"/>
  <c r="O1423" i="13"/>
  <c r="O1424" i="13"/>
  <c r="O1425" i="13"/>
  <c r="O1426" i="13"/>
  <c r="O1427" i="13"/>
  <c r="O1428" i="13"/>
  <c r="O1429" i="13"/>
  <c r="O1430" i="13"/>
  <c r="O1431" i="13"/>
  <c r="O1432" i="13"/>
  <c r="O1433" i="13"/>
  <c r="O1434" i="13"/>
  <c r="O1435" i="13"/>
  <c r="O1436" i="13"/>
  <c r="O1437" i="13"/>
  <c r="O1438" i="13"/>
  <c r="O1439" i="13"/>
  <c r="O1440" i="13"/>
  <c r="O1441" i="13"/>
  <c r="O1442" i="13"/>
  <c r="O1443" i="13"/>
  <c r="O1444" i="13"/>
  <c r="O1445" i="13"/>
  <c r="O1446" i="13"/>
  <c r="O1447" i="13"/>
  <c r="O1448" i="13"/>
  <c r="O1449" i="13"/>
  <c r="O1450" i="13"/>
  <c r="O1451" i="13"/>
  <c r="O1452" i="13"/>
  <c r="O1453" i="13"/>
  <c r="O1454" i="13"/>
  <c r="O1455" i="13"/>
  <c r="O1456" i="13"/>
  <c r="O1457" i="13"/>
  <c r="O1458" i="13"/>
  <c r="O1459" i="13"/>
  <c r="O1460" i="13"/>
  <c r="O1461" i="13"/>
  <c r="O1462" i="13"/>
  <c r="O1463" i="13"/>
  <c r="O1464" i="13"/>
  <c r="O1465" i="13"/>
  <c r="O1466" i="13"/>
  <c r="O1467" i="13"/>
  <c r="O1468" i="13"/>
  <c r="O1469" i="13"/>
  <c r="O1470" i="13"/>
  <c r="O1471" i="13"/>
  <c r="O1472" i="13"/>
  <c r="O1473" i="13"/>
  <c r="O1474" i="13"/>
  <c r="O1475" i="13"/>
  <c r="O1476" i="13"/>
  <c r="O1477" i="13"/>
  <c r="O1478" i="13"/>
  <c r="O1479" i="13"/>
  <c r="O1480" i="13"/>
  <c r="O1481" i="13"/>
  <c r="O1482" i="13"/>
  <c r="O1483" i="13"/>
  <c r="O1484" i="13"/>
  <c r="O1485" i="13"/>
  <c r="O1486" i="13"/>
  <c r="O1487" i="13"/>
  <c r="O1488" i="13"/>
  <c r="O1489" i="13"/>
  <c r="O1490" i="13"/>
  <c r="O1491" i="13"/>
  <c r="O1492" i="13"/>
  <c r="O1493" i="13"/>
  <c r="O1494" i="13"/>
  <c r="O1495" i="13"/>
  <c r="O1496" i="13"/>
  <c r="O1497" i="13"/>
  <c r="O1498" i="13"/>
  <c r="O1499" i="13"/>
  <c r="O1500" i="13"/>
  <c r="O1501" i="13"/>
  <c r="O1502" i="13"/>
  <c r="O1503" i="13"/>
  <c r="O1504" i="13"/>
  <c r="O1505" i="13"/>
  <c r="O1506" i="13"/>
  <c r="O1507" i="13"/>
  <c r="O1508" i="13"/>
  <c r="O1509" i="13"/>
  <c r="O1510" i="13"/>
  <c r="O1511" i="13"/>
  <c r="O1512" i="13"/>
  <c r="O1513" i="13"/>
  <c r="O1514" i="13"/>
  <c r="O1515" i="13"/>
  <c r="O1516" i="13"/>
  <c r="O1517" i="13"/>
  <c r="O1518" i="13"/>
  <c r="O1519" i="13"/>
  <c r="O1520" i="13"/>
  <c r="O1521" i="13"/>
  <c r="O1522" i="13"/>
  <c r="O1523" i="13"/>
  <c r="O1524" i="13"/>
  <c r="O1525" i="13"/>
  <c r="O1526" i="13"/>
  <c r="O1527" i="13"/>
  <c r="O1528" i="13"/>
  <c r="O1529" i="13"/>
  <c r="O1530" i="13"/>
  <c r="O1531" i="13"/>
  <c r="O1532" i="13"/>
  <c r="O1533" i="13"/>
  <c r="O1534" i="13"/>
  <c r="O1535" i="13"/>
  <c r="O1536" i="13"/>
  <c r="O1537" i="13"/>
  <c r="O1538" i="13"/>
  <c r="O1539" i="13"/>
  <c r="O1540" i="13"/>
  <c r="O1541" i="13"/>
  <c r="O1542" i="13"/>
  <c r="O1543" i="13"/>
  <c r="O1544" i="13"/>
  <c r="O1545" i="13"/>
  <c r="O1546" i="13"/>
  <c r="O1547" i="13"/>
  <c r="O1548" i="13"/>
  <c r="O1549" i="13"/>
  <c r="O1550" i="13"/>
  <c r="O1551" i="13"/>
  <c r="O1552" i="13"/>
  <c r="O1553" i="13"/>
  <c r="O1554" i="13"/>
  <c r="O1555" i="13"/>
  <c r="O1556" i="13"/>
  <c r="O1557" i="13"/>
  <c r="O1558" i="13"/>
  <c r="O1559" i="13"/>
  <c r="O1560" i="13"/>
  <c r="O1561" i="13"/>
  <c r="O1562" i="13"/>
  <c r="O1563" i="13"/>
  <c r="O1564" i="13"/>
  <c r="O1565" i="13"/>
  <c r="O1566" i="13"/>
  <c r="O1567" i="13"/>
  <c r="O1568" i="13"/>
  <c r="O1569" i="13"/>
  <c r="O1570" i="13"/>
  <c r="O1571" i="13"/>
  <c r="O1572" i="13"/>
  <c r="O1573" i="13"/>
  <c r="O1574" i="13"/>
  <c r="O1575" i="13"/>
  <c r="O1576" i="13"/>
  <c r="O1577" i="13"/>
  <c r="O1578" i="13"/>
  <c r="O1579" i="13"/>
  <c r="O1580" i="13"/>
  <c r="O1581" i="13"/>
  <c r="O1582" i="13"/>
  <c r="O57" i="13"/>
  <c r="O1583" i="13"/>
  <c r="O1584" i="13"/>
  <c r="O1585" i="13"/>
  <c r="O1586" i="13"/>
  <c r="O1587" i="13"/>
  <c r="O1588" i="13"/>
  <c r="O1589" i="13"/>
  <c r="O1590" i="13"/>
  <c r="O1591" i="13"/>
  <c r="O1592" i="13"/>
  <c r="O1593" i="13"/>
  <c r="O1594" i="13"/>
  <c r="O1595" i="13"/>
  <c r="O1596" i="13"/>
  <c r="O1597" i="13"/>
  <c r="O1598" i="13"/>
  <c r="O1599" i="13"/>
  <c r="O1600" i="13"/>
  <c r="O1601" i="13"/>
  <c r="O1602" i="13"/>
  <c r="O1603" i="13"/>
  <c r="O1604" i="13"/>
  <c r="O1605" i="13"/>
  <c r="O1606" i="13"/>
  <c r="O1607" i="13"/>
  <c r="O1608" i="13"/>
  <c r="O1609" i="13"/>
  <c r="O1610" i="13"/>
  <c r="O1611" i="13"/>
  <c r="O1612" i="13"/>
  <c r="O1613" i="13"/>
  <c r="O1614" i="13"/>
  <c r="O1615" i="13"/>
  <c r="O1616" i="13"/>
  <c r="O1617" i="13"/>
  <c r="O1618" i="13"/>
  <c r="O1619" i="13"/>
  <c r="O1620" i="13"/>
  <c r="O1621" i="13"/>
  <c r="O1622" i="13"/>
  <c r="O1623" i="13"/>
  <c r="O1624" i="13"/>
  <c r="O1625" i="13"/>
  <c r="O1626" i="13"/>
  <c r="O1627" i="13"/>
  <c r="O1628" i="13"/>
  <c r="O1629" i="13"/>
  <c r="O1630" i="13"/>
  <c r="O1631" i="13"/>
  <c r="O1632" i="13"/>
  <c r="O1633" i="13"/>
  <c r="O1634" i="13"/>
  <c r="O1635" i="13"/>
  <c r="O1636" i="13"/>
  <c r="O1637" i="13"/>
  <c r="O1638" i="13"/>
  <c r="O1639" i="13"/>
  <c r="O1640" i="13"/>
  <c r="O1641" i="13"/>
  <c r="O1642" i="13"/>
  <c r="O1643" i="13"/>
  <c r="O1644" i="13"/>
  <c r="O1645" i="13"/>
  <c r="O1646" i="13"/>
  <c r="O1647" i="13"/>
  <c r="O1648" i="13"/>
  <c r="O1649" i="13"/>
  <c r="O1650" i="13"/>
  <c r="O1651" i="13"/>
  <c r="O1652" i="13"/>
  <c r="O1653" i="13"/>
  <c r="O1654" i="13"/>
  <c r="O1655" i="13"/>
  <c r="O1656" i="13"/>
  <c r="O1657" i="13"/>
  <c r="O1658" i="13"/>
  <c r="O1659" i="13"/>
  <c r="O1660" i="13"/>
  <c r="O1661" i="13"/>
  <c r="O1662" i="13"/>
  <c r="O1663" i="13"/>
  <c r="O1664" i="13"/>
  <c r="O1665" i="13"/>
  <c r="O1666" i="13"/>
  <c r="O1667" i="13"/>
  <c r="O1668" i="13"/>
  <c r="O1669" i="13"/>
  <c r="O1670" i="13"/>
  <c r="O1671" i="13"/>
  <c r="O1672" i="13"/>
  <c r="O1673" i="13"/>
  <c r="O1674" i="13"/>
  <c r="O1675" i="13"/>
  <c r="O1676" i="13"/>
  <c r="O1677" i="13"/>
  <c r="O1678" i="13"/>
  <c r="O1679" i="13"/>
  <c r="O1680" i="13"/>
  <c r="O1681" i="13"/>
  <c r="O1682" i="13"/>
  <c r="O1683" i="13"/>
  <c r="O1684" i="13"/>
  <c r="O1685" i="13"/>
  <c r="O1686" i="13"/>
  <c r="O1687" i="13"/>
  <c r="O1688" i="13"/>
  <c r="O1689" i="13"/>
  <c r="O1690" i="13"/>
  <c r="O1691" i="13"/>
  <c r="O1692" i="13"/>
  <c r="O1693" i="13"/>
  <c r="O1694" i="13"/>
  <c r="O1695" i="13"/>
  <c r="O1696" i="13"/>
  <c r="O1697" i="13"/>
  <c r="O1698" i="13"/>
  <c r="O1699" i="13"/>
  <c r="O1700" i="13"/>
  <c r="O1701" i="13"/>
  <c r="O1702" i="13"/>
  <c r="O1703" i="13"/>
  <c r="O1704" i="13"/>
  <c r="O1705" i="13"/>
  <c r="O1706" i="13"/>
  <c r="O1707" i="13"/>
  <c r="O1708" i="13"/>
  <c r="O1709" i="13"/>
  <c r="O1710" i="13"/>
  <c r="O1711" i="13"/>
  <c r="O1712" i="13"/>
  <c r="O1713" i="13"/>
  <c r="O1714" i="13"/>
  <c r="O1715" i="13"/>
  <c r="O1716" i="13"/>
  <c r="O1717" i="13"/>
  <c r="O1718" i="13"/>
  <c r="O1719" i="13"/>
  <c r="O1720" i="13"/>
  <c r="O1721" i="13"/>
  <c r="O1722" i="13"/>
  <c r="O1723" i="13"/>
  <c r="O1724" i="13"/>
  <c r="O1725" i="13"/>
  <c r="O1726" i="13"/>
  <c r="O1727" i="13"/>
  <c r="O1728" i="13"/>
  <c r="O1729" i="13"/>
  <c r="O1730" i="13"/>
  <c r="O1731" i="13"/>
  <c r="O1732" i="13"/>
  <c r="O1733" i="13"/>
  <c r="O1734" i="13"/>
  <c r="O1735" i="13"/>
  <c r="O1736" i="13"/>
  <c r="O1737" i="13"/>
  <c r="O1738" i="13"/>
  <c r="O1739" i="13"/>
  <c r="O1740" i="13"/>
  <c r="O1741" i="13"/>
  <c r="O1742" i="13"/>
  <c r="O1743" i="13"/>
  <c r="O1744" i="13"/>
  <c r="O1745" i="13"/>
  <c r="O1746" i="13"/>
  <c r="O1747" i="13"/>
  <c r="O1748" i="13"/>
  <c r="O1749" i="13"/>
  <c r="O1750" i="13"/>
  <c r="O1751" i="13"/>
  <c r="O1752" i="13"/>
  <c r="O1753" i="13"/>
  <c r="O1754" i="13"/>
  <c r="O1755" i="13"/>
  <c r="O1756" i="13"/>
  <c r="O1757" i="13"/>
  <c r="O1758" i="13"/>
  <c r="O1759" i="13"/>
  <c r="O1760" i="13"/>
  <c r="O1761" i="13"/>
  <c r="O1762" i="13"/>
  <c r="O1763" i="13"/>
  <c r="O1764" i="13"/>
  <c r="O1765" i="13"/>
  <c r="O1766" i="13"/>
  <c r="O1767" i="13"/>
  <c r="O1768" i="13"/>
  <c r="O1769" i="13"/>
  <c r="O1770" i="13"/>
  <c r="O1771" i="13"/>
  <c r="O1772" i="13"/>
  <c r="O1773" i="13"/>
  <c r="O1774" i="13"/>
  <c r="O1775" i="13"/>
  <c r="O1776" i="13"/>
  <c r="O1777" i="13"/>
  <c r="O1778" i="13"/>
  <c r="O1779" i="13"/>
  <c r="O1780" i="13"/>
  <c r="O1781" i="13"/>
  <c r="O1782" i="13"/>
  <c r="O1783" i="13"/>
  <c r="O58" i="13"/>
  <c r="O1784" i="13"/>
  <c r="O1785" i="13"/>
  <c r="O1786" i="13"/>
  <c r="O1787" i="13"/>
  <c r="O1788" i="13"/>
  <c r="O1789" i="13"/>
  <c r="O1790" i="13"/>
  <c r="O1791" i="13"/>
  <c r="O1792" i="13"/>
  <c r="O1793" i="13"/>
  <c r="O1794" i="13"/>
  <c r="O1795" i="13"/>
  <c r="O1796" i="13"/>
  <c r="O1797" i="13"/>
  <c r="O1798" i="13"/>
  <c r="O1799" i="13"/>
  <c r="O1800" i="13"/>
  <c r="O1801" i="13"/>
  <c r="O1802" i="13"/>
  <c r="O1803" i="13"/>
  <c r="O1804" i="13"/>
  <c r="O1805" i="13"/>
  <c r="O1806" i="13"/>
  <c r="O1807" i="13"/>
  <c r="O1808" i="13"/>
  <c r="O1809" i="13"/>
  <c r="O1810" i="13"/>
  <c r="O1811" i="13"/>
  <c r="O1812" i="13"/>
  <c r="O1813" i="13"/>
  <c r="O1814" i="13"/>
  <c r="O1815" i="13"/>
  <c r="O1816" i="13"/>
  <c r="O1817" i="13"/>
  <c r="O1818" i="13"/>
  <c r="O1819" i="13"/>
  <c r="O1820" i="13"/>
  <c r="O1821" i="13"/>
  <c r="O1822" i="13"/>
  <c r="O1823" i="13"/>
  <c r="O1824" i="13"/>
  <c r="O1825" i="13"/>
  <c r="O1826" i="13"/>
  <c r="O1827" i="13"/>
  <c r="O1828" i="13"/>
  <c r="O1829" i="13"/>
  <c r="O1830" i="13"/>
  <c r="O1831" i="13"/>
  <c r="O1832" i="13"/>
  <c r="O1833" i="13"/>
  <c r="O1834" i="13"/>
  <c r="O1835" i="13"/>
  <c r="O1836" i="13"/>
  <c r="O1837" i="13"/>
  <c r="O1838" i="13"/>
  <c r="O1839" i="13"/>
  <c r="O1840" i="13"/>
  <c r="O1841" i="13"/>
  <c r="O1842" i="13"/>
  <c r="O1843" i="13"/>
  <c r="O1844" i="13"/>
  <c r="O1845" i="13"/>
  <c r="O1846" i="13"/>
  <c r="O1847" i="13"/>
  <c r="O1848" i="13"/>
  <c r="O1849" i="13"/>
  <c r="O1850" i="13"/>
  <c r="O1851" i="13"/>
  <c r="O1852" i="13"/>
  <c r="O1853" i="13"/>
  <c r="O1854" i="13"/>
  <c r="O1855" i="13"/>
  <c r="O1856" i="13"/>
  <c r="O1857" i="13"/>
  <c r="O1858" i="13"/>
  <c r="O1859" i="13"/>
  <c r="O1860" i="13"/>
  <c r="O1861" i="13"/>
  <c r="O1862" i="13"/>
  <c r="O1863" i="13"/>
  <c r="O1864" i="13"/>
  <c r="O1865" i="13"/>
  <c r="O1866" i="13"/>
  <c r="O1867" i="13"/>
  <c r="O1868" i="13"/>
  <c r="O1869" i="13"/>
  <c r="O1870" i="13"/>
  <c r="O1871" i="13"/>
  <c r="O1872" i="13"/>
  <c r="O1873" i="13"/>
  <c r="O1874" i="13"/>
  <c r="O1875" i="13"/>
  <c r="O1876" i="13"/>
  <c r="O1877" i="13"/>
  <c r="O1878" i="13"/>
  <c r="O1879" i="13"/>
  <c r="O1880" i="13"/>
  <c r="O1881" i="13"/>
  <c r="O1882" i="13"/>
  <c r="O1883" i="13"/>
  <c r="O1884" i="13"/>
  <c r="O1885" i="13"/>
  <c r="O1886" i="13"/>
  <c r="O1887" i="13"/>
  <c r="O1888" i="13"/>
  <c r="O1889" i="13"/>
  <c r="O1890" i="13"/>
  <c r="O1891" i="13"/>
  <c r="O1892" i="13"/>
  <c r="O1893" i="13"/>
  <c r="O1894" i="13"/>
  <c r="O1895" i="13"/>
  <c r="O1896" i="13"/>
  <c r="O1897" i="13"/>
  <c r="O1898" i="13"/>
  <c r="O1899" i="13"/>
  <c r="O1900" i="13"/>
  <c r="O1901" i="13"/>
  <c r="O1902" i="13"/>
  <c r="O1903" i="13"/>
  <c r="O1904" i="13"/>
  <c r="O1905" i="13"/>
  <c r="O1906" i="13"/>
  <c r="O1907" i="13"/>
  <c r="O1908" i="13"/>
  <c r="O1909" i="13"/>
  <c r="O1910" i="13"/>
  <c r="O1911" i="13"/>
  <c r="O1912" i="13"/>
  <c r="O1913" i="13"/>
  <c r="O1914" i="13"/>
  <c r="O1915" i="13"/>
  <c r="O1916" i="13"/>
  <c r="O1917" i="13"/>
  <c r="O1918" i="13"/>
  <c r="O1919" i="13"/>
  <c r="O1920" i="13"/>
  <c r="O1921" i="13"/>
  <c r="O1922" i="13"/>
  <c r="O1923" i="13"/>
  <c r="O1924" i="13"/>
  <c r="O1925" i="13"/>
  <c r="O1926" i="13"/>
  <c r="O1927" i="13"/>
  <c r="O1928" i="13"/>
  <c r="O1929" i="13"/>
  <c r="O1930" i="13"/>
  <c r="O1931" i="13"/>
  <c r="O1932" i="13"/>
  <c r="O1933" i="13"/>
  <c r="O1934" i="13"/>
  <c r="O1935" i="13"/>
  <c r="O1936" i="13"/>
  <c r="O1937" i="13"/>
  <c r="O1938" i="13"/>
  <c r="O1939" i="13"/>
  <c r="O1940" i="13"/>
  <c r="O1941" i="13"/>
  <c r="O1942" i="13"/>
  <c r="O1943" i="13"/>
  <c r="O1944" i="13"/>
  <c r="O1945" i="13"/>
  <c r="O1946" i="13"/>
  <c r="O1947" i="13"/>
  <c r="O1948" i="13"/>
  <c r="O1949" i="13"/>
  <c r="O1950" i="13"/>
  <c r="O1951" i="13"/>
  <c r="O1952" i="13"/>
  <c r="O1953" i="13"/>
  <c r="O1954" i="13"/>
  <c r="O1955" i="13"/>
  <c r="O1956" i="13"/>
  <c r="O1957" i="13"/>
  <c r="O1958" i="13"/>
  <c r="O1959" i="13"/>
  <c r="O1960" i="13"/>
  <c r="O1961" i="13"/>
  <c r="O1962" i="13"/>
  <c r="O1963" i="13"/>
  <c r="O1964" i="13"/>
  <c r="O1965" i="13"/>
  <c r="O1966" i="13"/>
  <c r="O1967" i="13"/>
  <c r="O1968" i="13"/>
  <c r="O1969" i="13"/>
  <c r="O1970" i="13"/>
  <c r="O1971" i="13"/>
  <c r="O1972" i="13"/>
  <c r="O1973" i="13"/>
  <c r="O1974" i="13"/>
  <c r="O1975" i="13"/>
  <c r="O1976" i="13"/>
  <c r="O1977" i="13"/>
  <c r="O1978" i="13"/>
  <c r="O1979" i="13"/>
  <c r="O1980" i="13"/>
  <c r="O1981" i="13"/>
  <c r="O1982" i="13"/>
  <c r="O1983" i="13"/>
  <c r="O1984" i="13"/>
  <c r="O1985" i="13"/>
  <c r="O1986" i="13"/>
  <c r="O1987" i="13"/>
  <c r="O1988" i="13"/>
  <c r="O1989" i="13"/>
  <c r="O1990" i="13"/>
  <c r="O1991" i="13"/>
  <c r="O1992" i="13"/>
  <c r="O1993" i="13"/>
  <c r="O1994" i="13"/>
  <c r="O1995" i="13"/>
  <c r="O1996" i="13"/>
  <c r="O1997" i="13"/>
  <c r="O1998" i="13"/>
  <c r="O1999" i="13"/>
  <c r="O2000" i="13"/>
  <c r="O2001" i="13"/>
  <c r="O2002" i="13"/>
  <c r="O2003" i="13"/>
  <c r="O2004" i="13"/>
  <c r="O2005" i="13"/>
  <c r="O2006" i="13"/>
  <c r="O2007" i="13"/>
  <c r="O2008" i="13"/>
  <c r="O2009" i="13"/>
  <c r="O2010" i="13"/>
  <c r="O2011" i="13"/>
  <c r="O2012" i="13"/>
  <c r="O2013" i="13"/>
  <c r="O2014" i="13"/>
  <c r="O2015" i="13"/>
  <c r="O2016" i="13"/>
  <c r="O2017" i="13"/>
  <c r="O2018" i="13"/>
  <c r="O2019" i="13"/>
  <c r="O2020" i="13"/>
  <c r="O2021" i="13"/>
  <c r="O2022" i="13"/>
  <c r="O2023" i="13"/>
  <c r="O2024" i="13"/>
  <c r="O2025" i="13"/>
  <c r="O2026" i="13"/>
  <c r="O2027" i="13"/>
  <c r="O2028" i="13"/>
  <c r="O2029" i="13"/>
  <c r="O2030" i="13"/>
  <c r="O2031" i="13"/>
  <c r="O2032" i="13"/>
  <c r="O2033" i="13"/>
  <c r="O2034" i="13"/>
  <c r="O2035" i="13"/>
  <c r="O2036" i="13"/>
  <c r="O2037" i="13"/>
  <c r="O2038" i="13"/>
  <c r="O2039" i="13"/>
  <c r="O2040" i="13"/>
  <c r="O2041" i="13"/>
  <c r="O2042" i="13"/>
  <c r="O2043" i="13"/>
  <c r="O2044" i="13"/>
  <c r="O2045" i="13"/>
  <c r="O2046" i="13"/>
  <c r="O2047" i="13"/>
  <c r="O2048" i="13"/>
  <c r="O2049" i="13"/>
  <c r="O2050" i="13"/>
  <c r="O2051" i="13"/>
  <c r="O2052" i="13"/>
  <c r="O2053" i="13"/>
  <c r="O2054" i="13"/>
  <c r="O2055" i="13"/>
  <c r="O2056" i="13"/>
  <c r="O2057" i="13"/>
  <c r="O2058" i="13"/>
  <c r="O2059" i="13"/>
  <c r="O2060" i="13"/>
  <c r="O2061" i="13"/>
  <c r="O2062" i="13"/>
  <c r="O2063" i="13"/>
  <c r="O2064" i="13"/>
  <c r="O2065" i="13"/>
  <c r="O2066" i="13"/>
  <c r="O2067" i="13"/>
  <c r="O2068" i="13"/>
  <c r="O2069" i="13"/>
  <c r="O2070" i="13"/>
  <c r="O2071" i="13"/>
  <c r="O2072" i="13"/>
  <c r="O2073" i="13"/>
  <c r="O2074" i="13"/>
  <c r="O2075" i="13"/>
  <c r="O2076" i="13"/>
  <c r="O2077" i="13"/>
  <c r="O2078" i="13"/>
  <c r="O2079" i="13"/>
  <c r="O2080" i="13"/>
  <c r="O2081" i="13"/>
  <c r="O2082" i="13"/>
  <c r="O2083" i="13"/>
  <c r="O2084" i="13"/>
  <c r="O2085" i="13"/>
  <c r="O2086" i="13"/>
  <c r="O2087" i="13"/>
  <c r="O2088" i="13"/>
  <c r="O2089" i="13"/>
  <c r="O2090" i="13"/>
  <c r="O2091" i="13"/>
  <c r="O2092" i="13"/>
  <c r="O2093" i="13"/>
  <c r="O2094" i="13"/>
  <c r="O2095" i="13"/>
  <c r="O2096" i="13"/>
  <c r="O2097" i="13"/>
  <c r="O2098" i="13"/>
  <c r="O2099" i="13"/>
  <c r="O2100" i="13"/>
  <c r="O2101" i="13"/>
  <c r="O2102" i="13"/>
  <c r="O2103" i="13"/>
  <c r="O2104" i="13"/>
  <c r="O2105" i="13"/>
  <c r="O2106" i="13"/>
  <c r="O2107" i="13"/>
  <c r="O2108" i="13"/>
  <c r="O2109" i="13"/>
  <c r="O2110" i="13"/>
  <c r="O2111" i="13"/>
  <c r="O2112" i="13"/>
  <c r="O2113" i="13"/>
  <c r="O2114" i="13"/>
  <c r="O2115" i="13"/>
  <c r="O2116" i="13"/>
  <c r="O2117" i="13"/>
  <c r="O2118" i="13"/>
  <c r="O2119" i="13"/>
  <c r="O2120" i="13"/>
  <c r="O2121" i="13"/>
  <c r="O2122" i="13"/>
  <c r="O2123" i="13"/>
  <c r="O2124" i="13"/>
  <c r="O2125" i="13"/>
  <c r="O2126" i="13"/>
  <c r="O2127" i="13"/>
  <c r="O59" i="13"/>
  <c r="O2128" i="13"/>
  <c r="O2129" i="13"/>
  <c r="O2130" i="13"/>
  <c r="O2131" i="13"/>
  <c r="O2132" i="13"/>
  <c r="O2133" i="13"/>
  <c r="O2134" i="13"/>
  <c r="O2135" i="13"/>
  <c r="O2136" i="13"/>
  <c r="O2137" i="13"/>
  <c r="P51" i="13"/>
  <c r="P464" i="13"/>
  <c r="P465" i="13"/>
  <c r="P466" i="13"/>
  <c r="P467" i="13"/>
  <c r="P468" i="13"/>
  <c r="P469" i="13"/>
  <c r="P470" i="13"/>
  <c r="P471" i="13"/>
  <c r="P472" i="13"/>
  <c r="P473" i="13"/>
  <c r="P474" i="13"/>
  <c r="P475" i="13"/>
  <c r="P476" i="13"/>
  <c r="P477" i="13"/>
  <c r="P478" i="13"/>
  <c r="P479" i="13"/>
  <c r="P480" i="13"/>
  <c r="P481" i="13"/>
  <c r="P482" i="13"/>
  <c r="P483" i="13"/>
  <c r="P484" i="13"/>
  <c r="P485" i="13"/>
  <c r="P486" i="13"/>
  <c r="P487" i="13"/>
  <c r="P488" i="13"/>
  <c r="P489" i="13"/>
  <c r="P490" i="13"/>
  <c r="P491" i="13"/>
  <c r="P492" i="13"/>
  <c r="P493" i="13"/>
  <c r="P494" i="13"/>
  <c r="P495" i="13"/>
  <c r="P496" i="13"/>
  <c r="P497" i="13"/>
  <c r="P498" i="13"/>
  <c r="P499" i="13"/>
  <c r="P500" i="13"/>
  <c r="P501" i="13"/>
  <c r="P502" i="13"/>
  <c r="P503" i="13"/>
  <c r="P504" i="13"/>
  <c r="P505" i="13"/>
  <c r="P506" i="13"/>
  <c r="P507" i="13"/>
  <c r="P508" i="13"/>
  <c r="P509" i="13"/>
  <c r="P510" i="13"/>
  <c r="P511" i="13"/>
  <c r="P512" i="13"/>
  <c r="P513" i="13"/>
  <c r="P514" i="13"/>
  <c r="P515" i="13"/>
  <c r="P516" i="13"/>
  <c r="P517" i="13"/>
  <c r="P518" i="13"/>
  <c r="P519" i="13"/>
  <c r="P520" i="13"/>
  <c r="P521" i="13"/>
  <c r="P522" i="13"/>
  <c r="P523" i="13"/>
  <c r="P524" i="13"/>
  <c r="P525" i="13"/>
  <c r="P526" i="13"/>
  <c r="P527" i="13"/>
  <c r="P528" i="13"/>
  <c r="P529" i="13"/>
  <c r="P530" i="13"/>
  <c r="P531" i="13"/>
  <c r="P532" i="13"/>
  <c r="P533" i="13"/>
  <c r="P534" i="13"/>
  <c r="P535" i="13"/>
  <c r="P536" i="13"/>
  <c r="P537" i="13"/>
  <c r="P538" i="13"/>
  <c r="P539" i="13"/>
  <c r="P540" i="13"/>
  <c r="P541" i="13"/>
  <c r="P542" i="13"/>
  <c r="P543" i="13"/>
  <c r="P544" i="13"/>
  <c r="P545" i="13"/>
  <c r="P546" i="13"/>
  <c r="P547" i="13"/>
  <c r="P548" i="13"/>
  <c r="P549" i="13"/>
  <c r="P550" i="13"/>
  <c r="P551" i="13"/>
  <c r="P552" i="13"/>
  <c r="P553" i="13"/>
  <c r="P554" i="13"/>
  <c r="P555" i="13"/>
  <c r="P556" i="13"/>
  <c r="P557" i="13"/>
  <c r="P558" i="13"/>
  <c r="P559" i="13"/>
  <c r="P560" i="13"/>
  <c r="P561" i="13"/>
  <c r="P562" i="13"/>
  <c r="P563" i="13"/>
  <c r="P564" i="13"/>
  <c r="P565" i="13"/>
  <c r="P566" i="13"/>
  <c r="P567" i="13"/>
  <c r="P568" i="13"/>
  <c r="P569" i="13"/>
  <c r="P570" i="13"/>
  <c r="P571" i="13"/>
  <c r="P572" i="13"/>
  <c r="P573" i="13"/>
  <c r="P574" i="13"/>
  <c r="P575" i="13"/>
  <c r="P576" i="13"/>
  <c r="P577" i="13"/>
  <c r="P578" i="13"/>
  <c r="P579" i="13"/>
  <c r="P580" i="13"/>
  <c r="P581" i="13"/>
  <c r="P582" i="13"/>
  <c r="P583" i="13"/>
  <c r="P584" i="13"/>
  <c r="P585" i="13"/>
  <c r="P586" i="13"/>
  <c r="P587" i="13"/>
  <c r="P588" i="13"/>
  <c r="P589" i="13"/>
  <c r="P590" i="13"/>
  <c r="P591" i="13"/>
  <c r="P592" i="13"/>
  <c r="P593" i="13"/>
  <c r="P594" i="13"/>
  <c r="P595" i="13"/>
  <c r="P596" i="13"/>
  <c r="P597" i="13"/>
  <c r="P598" i="13"/>
  <c r="P599" i="13"/>
  <c r="P600" i="13"/>
  <c r="P601" i="13"/>
  <c r="P602" i="13"/>
  <c r="P603" i="13"/>
  <c r="P604" i="13"/>
  <c r="P605" i="13"/>
  <c r="P606" i="13"/>
  <c r="P607" i="13"/>
  <c r="P608" i="13"/>
  <c r="P609" i="13"/>
  <c r="P610" i="13"/>
  <c r="P611" i="13"/>
  <c r="P612" i="13"/>
  <c r="P613" i="13"/>
  <c r="P614" i="13"/>
  <c r="P615" i="13"/>
  <c r="P616" i="13"/>
  <c r="P617" i="13"/>
  <c r="P618" i="13"/>
  <c r="P619" i="13"/>
  <c r="P620" i="13"/>
  <c r="P621" i="13"/>
  <c r="P622" i="13"/>
  <c r="P623" i="13"/>
  <c r="P624" i="13"/>
  <c r="P625" i="13"/>
  <c r="P626" i="13"/>
  <c r="P627" i="13"/>
  <c r="P628" i="13"/>
  <c r="P629" i="13"/>
  <c r="P630" i="13"/>
  <c r="P631" i="13"/>
  <c r="P632" i="13"/>
  <c r="P633" i="13"/>
  <c r="P634" i="13"/>
  <c r="P635" i="13"/>
  <c r="P636" i="13"/>
  <c r="P637" i="13"/>
  <c r="P638" i="13"/>
  <c r="P639" i="13"/>
  <c r="P640" i="13"/>
  <c r="P641" i="13"/>
  <c r="P642" i="13"/>
  <c r="P643" i="13"/>
  <c r="P644" i="13"/>
  <c r="P645" i="13"/>
  <c r="P646" i="13"/>
  <c r="P647" i="13"/>
  <c r="P648" i="13"/>
  <c r="P649" i="13"/>
  <c r="P650" i="13"/>
  <c r="P651" i="13"/>
  <c r="P652" i="13"/>
  <c r="P653" i="13"/>
  <c r="P654" i="13"/>
  <c r="P655" i="13"/>
  <c r="P52" i="13"/>
  <c r="P656" i="13"/>
  <c r="P657" i="13"/>
  <c r="P658" i="13"/>
  <c r="P659" i="13"/>
  <c r="P660" i="13"/>
  <c r="P661" i="13"/>
  <c r="P662" i="13"/>
  <c r="P663" i="13"/>
  <c r="P664" i="13"/>
  <c r="P665" i="13"/>
  <c r="P666" i="13"/>
  <c r="P667" i="13"/>
  <c r="P668" i="13"/>
  <c r="P669" i="13"/>
  <c r="P670" i="13"/>
  <c r="P671" i="13"/>
  <c r="P672" i="13"/>
  <c r="P673" i="13"/>
  <c r="P674" i="13"/>
  <c r="P675" i="13"/>
  <c r="P676" i="13"/>
  <c r="P677" i="13"/>
  <c r="P678" i="13"/>
  <c r="P679" i="13"/>
  <c r="P680" i="13"/>
  <c r="P681" i="13"/>
  <c r="P682" i="13"/>
  <c r="P683" i="13"/>
  <c r="P53" i="13"/>
  <c r="P684" i="13"/>
  <c r="P685" i="13"/>
  <c r="P686" i="13"/>
  <c r="P687" i="13"/>
  <c r="P688" i="13"/>
  <c r="P689" i="13"/>
  <c r="P690" i="13"/>
  <c r="P691" i="13"/>
  <c r="P692" i="13"/>
  <c r="P693" i="13"/>
  <c r="P694" i="13"/>
  <c r="P695" i="13"/>
  <c r="P696" i="13"/>
  <c r="P697" i="13"/>
  <c r="P698" i="13"/>
  <c r="P699" i="13"/>
  <c r="P700" i="13"/>
  <c r="P701" i="13"/>
  <c r="P702" i="13"/>
  <c r="P703" i="13"/>
  <c r="P704" i="13"/>
  <c r="P705" i="13"/>
  <c r="P706" i="13"/>
  <c r="P707" i="13"/>
  <c r="P708" i="13"/>
  <c r="P709" i="13"/>
  <c r="P710" i="13"/>
  <c r="P711" i="13"/>
  <c r="P712" i="13"/>
  <c r="P713" i="13"/>
  <c r="P714" i="13"/>
  <c r="P715" i="13"/>
  <c r="P716" i="13"/>
  <c r="P717" i="13"/>
  <c r="P718" i="13"/>
  <c r="P719" i="13"/>
  <c r="P720" i="13"/>
  <c r="P721" i="13"/>
  <c r="P722" i="13"/>
  <c r="P723" i="13"/>
  <c r="P724" i="13"/>
  <c r="P725" i="13"/>
  <c r="P726" i="13"/>
  <c r="P727" i="13"/>
  <c r="P728" i="13"/>
  <c r="P729" i="13"/>
  <c r="P730" i="13"/>
  <c r="P731" i="13"/>
  <c r="P732" i="13"/>
  <c r="P733" i="13"/>
  <c r="P734" i="13"/>
  <c r="P735" i="13"/>
  <c r="P736" i="13"/>
  <c r="P737" i="13"/>
  <c r="P738" i="13"/>
  <c r="P739" i="13"/>
  <c r="P740" i="13"/>
  <c r="P741" i="13"/>
  <c r="P742" i="13"/>
  <c r="P54" i="13"/>
  <c r="P743" i="13"/>
  <c r="P744" i="13"/>
  <c r="P745" i="13"/>
  <c r="P746" i="13"/>
  <c r="P747" i="13"/>
  <c r="P748" i="13"/>
  <c r="P749" i="13"/>
  <c r="P750" i="13"/>
  <c r="P751" i="13"/>
  <c r="P752" i="13"/>
  <c r="P753" i="13"/>
  <c r="P754" i="13"/>
  <c r="P755" i="13"/>
  <c r="P756" i="13"/>
  <c r="P757" i="13"/>
  <c r="P758" i="13"/>
  <c r="P759" i="13"/>
  <c r="P760" i="13"/>
  <c r="P761" i="13"/>
  <c r="P762" i="13"/>
  <c r="P763" i="13"/>
  <c r="P764" i="13"/>
  <c r="P765" i="13"/>
  <c r="P766" i="13"/>
  <c r="P767" i="13"/>
  <c r="P768" i="13"/>
  <c r="P769" i="13"/>
  <c r="P770" i="13"/>
  <c r="P771" i="13"/>
  <c r="P772" i="13"/>
  <c r="P773" i="13"/>
  <c r="P774" i="13"/>
  <c r="P775" i="13"/>
  <c r="P776" i="13"/>
  <c r="P777" i="13"/>
  <c r="P778" i="13"/>
  <c r="P779" i="13"/>
  <c r="P780" i="13"/>
  <c r="P781" i="13"/>
  <c r="P782" i="13"/>
  <c r="P783" i="13"/>
  <c r="P784" i="13"/>
  <c r="P785" i="13"/>
  <c r="P786" i="13"/>
  <c r="P787" i="13"/>
  <c r="P788" i="13"/>
  <c r="P789" i="13"/>
  <c r="P790" i="13"/>
  <c r="P791" i="13"/>
  <c r="P792" i="13"/>
  <c r="P793" i="13"/>
  <c r="P794" i="13"/>
  <c r="P795" i="13"/>
  <c r="P796" i="13"/>
  <c r="P797" i="13"/>
  <c r="P798" i="13"/>
  <c r="P799" i="13"/>
  <c r="P800" i="13"/>
  <c r="P801" i="13"/>
  <c r="P802" i="13"/>
  <c r="P803" i="13"/>
  <c r="P804" i="13"/>
  <c r="P805" i="13"/>
  <c r="P806" i="13"/>
  <c r="P807" i="13"/>
  <c r="P808" i="13"/>
  <c r="P809" i="13"/>
  <c r="P810" i="13"/>
  <c r="P811" i="13"/>
  <c r="P812" i="13"/>
  <c r="P813" i="13"/>
  <c r="P814" i="13"/>
  <c r="P815" i="13"/>
  <c r="P816" i="13"/>
  <c r="P817" i="13"/>
  <c r="P818" i="13"/>
  <c r="P819" i="13"/>
  <c r="P820" i="13"/>
  <c r="P821" i="13"/>
  <c r="P822" i="13"/>
  <c r="P823" i="13"/>
  <c r="P824" i="13"/>
  <c r="P825" i="13"/>
  <c r="P826" i="13"/>
  <c r="P827" i="13"/>
  <c r="P828" i="13"/>
  <c r="P829" i="13"/>
  <c r="P830" i="13"/>
  <c r="P831" i="13"/>
  <c r="P832" i="13"/>
  <c r="P833" i="13"/>
  <c r="P834" i="13"/>
  <c r="P835" i="13"/>
  <c r="P836" i="13"/>
  <c r="P837" i="13"/>
  <c r="P838" i="13"/>
  <c r="P839" i="13"/>
  <c r="P840" i="13"/>
  <c r="P841" i="13"/>
  <c r="P842" i="13"/>
  <c r="P843" i="13"/>
  <c r="P844" i="13"/>
  <c r="P845" i="13"/>
  <c r="P846" i="13"/>
  <c r="P847" i="13"/>
  <c r="P848" i="13"/>
  <c r="P849" i="13"/>
  <c r="P850" i="13"/>
  <c r="P851" i="13"/>
  <c r="P852" i="13"/>
  <c r="P853" i="13"/>
  <c r="P854" i="13"/>
  <c r="P855" i="13"/>
  <c r="P856" i="13"/>
  <c r="P857" i="13"/>
  <c r="P858" i="13"/>
  <c r="P859" i="13"/>
  <c r="P860" i="13"/>
  <c r="P861" i="13"/>
  <c r="P862" i="13"/>
  <c r="P863" i="13"/>
  <c r="P864" i="13"/>
  <c r="P865" i="13"/>
  <c r="P866" i="13"/>
  <c r="P867" i="13"/>
  <c r="P868" i="13"/>
  <c r="P869" i="13"/>
  <c r="P870" i="13"/>
  <c r="P871" i="13"/>
  <c r="P872" i="13"/>
  <c r="P873" i="13"/>
  <c r="P874" i="13"/>
  <c r="P875" i="13"/>
  <c r="P876" i="13"/>
  <c r="P877" i="13"/>
  <c r="P878" i="13"/>
  <c r="P879" i="13"/>
  <c r="P880" i="13"/>
  <c r="P881" i="13"/>
  <c r="P882" i="13"/>
  <c r="P883" i="13"/>
  <c r="P884" i="13"/>
  <c r="P885" i="13"/>
  <c r="P886" i="13"/>
  <c r="P887" i="13"/>
  <c r="P888" i="13"/>
  <c r="P889" i="13"/>
  <c r="P890" i="13"/>
  <c r="P891" i="13"/>
  <c r="P892" i="13"/>
  <c r="P893" i="13"/>
  <c r="P894" i="13"/>
  <c r="P895" i="13"/>
  <c r="P896" i="13"/>
  <c r="P897" i="13"/>
  <c r="P898" i="13"/>
  <c r="P899" i="13"/>
  <c r="P900" i="13"/>
  <c r="P901" i="13"/>
  <c r="P902" i="13"/>
  <c r="P903" i="13"/>
  <c r="P904" i="13"/>
  <c r="P905" i="13"/>
  <c r="P906" i="13"/>
  <c r="P907" i="13"/>
  <c r="P908" i="13"/>
  <c r="P909" i="13"/>
  <c r="P910" i="13"/>
  <c r="P911" i="13"/>
  <c r="P912" i="13"/>
  <c r="P913" i="13"/>
  <c r="P914" i="13"/>
  <c r="P915" i="13"/>
  <c r="P916" i="13"/>
  <c r="P917" i="13"/>
  <c r="P918" i="13"/>
  <c r="P919" i="13"/>
  <c r="P920" i="13"/>
  <c r="P921" i="13"/>
  <c r="P922" i="13"/>
  <c r="P923" i="13"/>
  <c r="P924" i="13"/>
  <c r="P925" i="13"/>
  <c r="P926" i="13"/>
  <c r="P927" i="13"/>
  <c r="P928" i="13"/>
  <c r="P929" i="13"/>
  <c r="P930" i="13"/>
  <c r="P931" i="13"/>
  <c r="P932" i="13"/>
  <c r="P933" i="13"/>
  <c r="P934" i="13"/>
  <c r="P935" i="13"/>
  <c r="P936" i="13"/>
  <c r="P937" i="13"/>
  <c r="P938" i="13"/>
  <c r="P939" i="13"/>
  <c r="P940" i="13"/>
  <c r="P941" i="13"/>
  <c r="P942" i="13"/>
  <c r="P943" i="13"/>
  <c r="P944" i="13"/>
  <c r="P945" i="13"/>
  <c r="P946" i="13"/>
  <c r="P947" i="13"/>
  <c r="P948" i="13"/>
  <c r="P949" i="13"/>
  <c r="P950" i="13"/>
  <c r="P951" i="13"/>
  <c r="P952" i="13"/>
  <c r="P953" i="13"/>
  <c r="P954" i="13"/>
  <c r="P955" i="13"/>
  <c r="P956" i="13"/>
  <c r="P957" i="13"/>
  <c r="P958" i="13"/>
  <c r="P959" i="13"/>
  <c r="P55" i="13"/>
  <c r="P960" i="13"/>
  <c r="P961" i="13"/>
  <c r="P962" i="13"/>
  <c r="P963" i="13"/>
  <c r="P964" i="13"/>
  <c r="P965" i="13"/>
  <c r="P966" i="13"/>
  <c r="P967" i="13"/>
  <c r="P968" i="13"/>
  <c r="P969" i="13"/>
  <c r="P970" i="13"/>
  <c r="P971" i="13"/>
  <c r="P972" i="13"/>
  <c r="P973" i="13"/>
  <c r="P974" i="13"/>
  <c r="P975" i="13"/>
  <c r="P976" i="13"/>
  <c r="P977" i="13"/>
  <c r="P978" i="13"/>
  <c r="P979" i="13"/>
  <c r="P980" i="13"/>
  <c r="P981" i="13"/>
  <c r="P982" i="13"/>
  <c r="P983" i="13"/>
  <c r="P984" i="13"/>
  <c r="P985" i="13"/>
  <c r="P986" i="13"/>
  <c r="P987" i="13"/>
  <c r="P988" i="13"/>
  <c r="P989" i="13"/>
  <c r="P990" i="13"/>
  <c r="P991" i="13"/>
  <c r="P992" i="13"/>
  <c r="P993" i="13"/>
  <c r="P994" i="13"/>
  <c r="P995" i="13"/>
  <c r="P996" i="13"/>
  <c r="P997" i="13"/>
  <c r="P998" i="13"/>
  <c r="P999" i="13"/>
  <c r="P1000" i="13"/>
  <c r="P1001" i="13"/>
  <c r="P1002" i="13"/>
  <c r="P1003" i="13"/>
  <c r="P1004" i="13"/>
  <c r="P1005" i="13"/>
  <c r="P1006" i="13"/>
  <c r="P1007" i="13"/>
  <c r="P1008" i="13"/>
  <c r="P1009" i="13"/>
  <c r="P1010" i="13"/>
  <c r="P1011" i="13"/>
  <c r="P56" i="13"/>
  <c r="P1012" i="13"/>
  <c r="P1013" i="13"/>
  <c r="P1014" i="13"/>
  <c r="P1015" i="13"/>
  <c r="P1016" i="13"/>
  <c r="P1017" i="13"/>
  <c r="P1018" i="13"/>
  <c r="P1019" i="13"/>
  <c r="P1020" i="13"/>
  <c r="P1021" i="13"/>
  <c r="P1022" i="13"/>
  <c r="P1023" i="13"/>
  <c r="P1024" i="13"/>
  <c r="P1025" i="13"/>
  <c r="P1026" i="13"/>
  <c r="P1027" i="13"/>
  <c r="P1028" i="13"/>
  <c r="P1029" i="13"/>
  <c r="P1030" i="13"/>
  <c r="P1031" i="13"/>
  <c r="P1032" i="13"/>
  <c r="P1033" i="13"/>
  <c r="P1034" i="13"/>
  <c r="P1035" i="13"/>
  <c r="P1036" i="13"/>
  <c r="P1037" i="13"/>
  <c r="P1038" i="13"/>
  <c r="P1039" i="13"/>
  <c r="P1040" i="13"/>
  <c r="P1041" i="13"/>
  <c r="P1042" i="13"/>
  <c r="P1043" i="13"/>
  <c r="P1044" i="13"/>
  <c r="P1045" i="13"/>
  <c r="P1046" i="13"/>
  <c r="P1047" i="13"/>
  <c r="P1048" i="13"/>
  <c r="P1049" i="13"/>
  <c r="P1050" i="13"/>
  <c r="P1051" i="13"/>
  <c r="P1052" i="13"/>
  <c r="P1053" i="13"/>
  <c r="P1054" i="13"/>
  <c r="P1055" i="13"/>
  <c r="P1056" i="13"/>
  <c r="P1057" i="13"/>
  <c r="P1058" i="13"/>
  <c r="P1059" i="13"/>
  <c r="P1060" i="13"/>
  <c r="P1061" i="13"/>
  <c r="P1062" i="13"/>
  <c r="P1063" i="13"/>
  <c r="P1064" i="13"/>
  <c r="P1065" i="13"/>
  <c r="P1066" i="13"/>
  <c r="P1067" i="13"/>
  <c r="P1068" i="13"/>
  <c r="P1069" i="13"/>
  <c r="P1070" i="13"/>
  <c r="P1071" i="13"/>
  <c r="P1072" i="13"/>
  <c r="P1073" i="13"/>
  <c r="P1074" i="13"/>
  <c r="P1075" i="13"/>
  <c r="P1076" i="13"/>
  <c r="P1077" i="13"/>
  <c r="P1078" i="13"/>
  <c r="P1079" i="13"/>
  <c r="P1080" i="13"/>
  <c r="P1081" i="13"/>
  <c r="P1082" i="13"/>
  <c r="P1083" i="13"/>
  <c r="P1084" i="13"/>
  <c r="P1085" i="13"/>
  <c r="P1086" i="13"/>
  <c r="P1087" i="13"/>
  <c r="P1088" i="13"/>
  <c r="P1089" i="13"/>
  <c r="P1090" i="13"/>
  <c r="P1091" i="13"/>
  <c r="P1092" i="13"/>
  <c r="P1093" i="13"/>
  <c r="P1094" i="13"/>
  <c r="P1095" i="13"/>
  <c r="P1096" i="13"/>
  <c r="P1097" i="13"/>
  <c r="P1098" i="13"/>
  <c r="P1099" i="13"/>
  <c r="P1100" i="13"/>
  <c r="P1101" i="13"/>
  <c r="P1102" i="13"/>
  <c r="P1103" i="13"/>
  <c r="P1104" i="13"/>
  <c r="P1105" i="13"/>
  <c r="P1106" i="13"/>
  <c r="P1107" i="13"/>
  <c r="P1108" i="13"/>
  <c r="P1109" i="13"/>
  <c r="P1110" i="13"/>
  <c r="P1111" i="13"/>
  <c r="P1112" i="13"/>
  <c r="P1113" i="13"/>
  <c r="P1114" i="13"/>
  <c r="P1115" i="13"/>
  <c r="P1116" i="13"/>
  <c r="P1117" i="13"/>
  <c r="P1118" i="13"/>
  <c r="P1119" i="13"/>
  <c r="P1120" i="13"/>
  <c r="P1121" i="13"/>
  <c r="P1122" i="13"/>
  <c r="P1123" i="13"/>
  <c r="P1124" i="13"/>
  <c r="P1125" i="13"/>
  <c r="P1126" i="13"/>
  <c r="P1127" i="13"/>
  <c r="P1128" i="13"/>
  <c r="P1129" i="13"/>
  <c r="P1130" i="13"/>
  <c r="P1131" i="13"/>
  <c r="P1132" i="13"/>
  <c r="P1133" i="13"/>
  <c r="P1134" i="13"/>
  <c r="P1135" i="13"/>
  <c r="P1136" i="13"/>
  <c r="P1137" i="13"/>
  <c r="P1138" i="13"/>
  <c r="P1139" i="13"/>
  <c r="P1140" i="13"/>
  <c r="P1141" i="13"/>
  <c r="P1142" i="13"/>
  <c r="P1143" i="13"/>
  <c r="P1144" i="13"/>
  <c r="P1145" i="13"/>
  <c r="P1146" i="13"/>
  <c r="P1147" i="13"/>
  <c r="P1148" i="13"/>
  <c r="P1149" i="13"/>
  <c r="P1150" i="13"/>
  <c r="P1151" i="13"/>
  <c r="P1152" i="13"/>
  <c r="P1153" i="13"/>
  <c r="P1154" i="13"/>
  <c r="P1155" i="13"/>
  <c r="P1156" i="13"/>
  <c r="P1157" i="13"/>
  <c r="P1158" i="13"/>
  <c r="P1159" i="13"/>
  <c r="P1160" i="13"/>
  <c r="P1161" i="13"/>
  <c r="P1162" i="13"/>
  <c r="P1163" i="13"/>
  <c r="P1164" i="13"/>
  <c r="P1165" i="13"/>
  <c r="P1166" i="13"/>
  <c r="P1167" i="13"/>
  <c r="P1168" i="13"/>
  <c r="P1169" i="13"/>
  <c r="P1170" i="13"/>
  <c r="P1171" i="13"/>
  <c r="P1172" i="13"/>
  <c r="P1173" i="13"/>
  <c r="P1174" i="13"/>
  <c r="P1175" i="13"/>
  <c r="P1176" i="13"/>
  <c r="P1177" i="13"/>
  <c r="P1178" i="13"/>
  <c r="P1179" i="13"/>
  <c r="P1180" i="13"/>
  <c r="P1181" i="13"/>
  <c r="P1182" i="13"/>
  <c r="P1183" i="13"/>
  <c r="P1184" i="13"/>
  <c r="P1185" i="13"/>
  <c r="P1186" i="13"/>
  <c r="P1187" i="13"/>
  <c r="P1188" i="13"/>
  <c r="P1189" i="13"/>
  <c r="P1190" i="13"/>
  <c r="P1191" i="13"/>
  <c r="P1192" i="13"/>
  <c r="P1193" i="13"/>
  <c r="P1194" i="13"/>
  <c r="P1195" i="13"/>
  <c r="P1196" i="13"/>
  <c r="P1197" i="13"/>
  <c r="P1198" i="13"/>
  <c r="P1199" i="13"/>
  <c r="P1200" i="13"/>
  <c r="P1201" i="13"/>
  <c r="P1202" i="13"/>
  <c r="P1203" i="13"/>
  <c r="P1204" i="13"/>
  <c r="P1205" i="13"/>
  <c r="P1206" i="13"/>
  <c r="P1207" i="13"/>
  <c r="P1208" i="13"/>
  <c r="P1209" i="13"/>
  <c r="P1210" i="13"/>
  <c r="P1211" i="13"/>
  <c r="P1212" i="13"/>
  <c r="P1213" i="13"/>
  <c r="P1214" i="13"/>
  <c r="P1215" i="13"/>
  <c r="P1216" i="13"/>
  <c r="P1217" i="13"/>
  <c r="P1218" i="13"/>
  <c r="P1219" i="13"/>
  <c r="P1220" i="13"/>
  <c r="P1221" i="13"/>
  <c r="P1222" i="13"/>
  <c r="P1223" i="13"/>
  <c r="P1224" i="13"/>
  <c r="P1225" i="13"/>
  <c r="P1226" i="13"/>
  <c r="P1227" i="13"/>
  <c r="P1228" i="13"/>
  <c r="P1229" i="13"/>
  <c r="P1230" i="13"/>
  <c r="P1231" i="13"/>
  <c r="P1232" i="13"/>
  <c r="P1233" i="13"/>
  <c r="P1234" i="13"/>
  <c r="P1235" i="13"/>
  <c r="P1236" i="13"/>
  <c r="P1237" i="13"/>
  <c r="P1238" i="13"/>
  <c r="P1239" i="13"/>
  <c r="P1240" i="13"/>
  <c r="P1241" i="13"/>
  <c r="P1242" i="13"/>
  <c r="P1243" i="13"/>
  <c r="P1244" i="13"/>
  <c r="P1245" i="13"/>
  <c r="P1246" i="13"/>
  <c r="P1247" i="13"/>
  <c r="P1248" i="13"/>
  <c r="P1249" i="13"/>
  <c r="P1250" i="13"/>
  <c r="P1251" i="13"/>
  <c r="P1252" i="13"/>
  <c r="P1253" i="13"/>
  <c r="P1254" i="13"/>
  <c r="P1255" i="13"/>
  <c r="P1256" i="13"/>
  <c r="P1257" i="13"/>
  <c r="P1258" i="13"/>
  <c r="P1259" i="13"/>
  <c r="P1260" i="13"/>
  <c r="P1261" i="13"/>
  <c r="P1262" i="13"/>
  <c r="P1263" i="13"/>
  <c r="P1264" i="13"/>
  <c r="P1265" i="13"/>
  <c r="P1266" i="13"/>
  <c r="P1267" i="13"/>
  <c r="P1268" i="13"/>
  <c r="P1269" i="13"/>
  <c r="P1270" i="13"/>
  <c r="P1271" i="13"/>
  <c r="P1272" i="13"/>
  <c r="P1273" i="13"/>
  <c r="P1274" i="13"/>
  <c r="P1275" i="13"/>
  <c r="P1276" i="13"/>
  <c r="P1277" i="13"/>
  <c r="P1278" i="13"/>
  <c r="P1279" i="13"/>
  <c r="P1280" i="13"/>
  <c r="P1281" i="13"/>
  <c r="P1282" i="13"/>
  <c r="P1283" i="13"/>
  <c r="P1284" i="13"/>
  <c r="P1285" i="13"/>
  <c r="P1286" i="13"/>
  <c r="P1287" i="13"/>
  <c r="P1288" i="13"/>
  <c r="P1289" i="13"/>
  <c r="P1290" i="13"/>
  <c r="P1291" i="13"/>
  <c r="P1292" i="13"/>
  <c r="P1293" i="13"/>
  <c r="P1294" i="13"/>
  <c r="P1295" i="13"/>
  <c r="P1296" i="13"/>
  <c r="P1297" i="13"/>
  <c r="P1298" i="13"/>
  <c r="P1299" i="13"/>
  <c r="P1300" i="13"/>
  <c r="P1301" i="13"/>
  <c r="P1302" i="13"/>
  <c r="P1303" i="13"/>
  <c r="P1304" i="13"/>
  <c r="P1305" i="13"/>
  <c r="P1306" i="13"/>
  <c r="P1307" i="13"/>
  <c r="P1308" i="13"/>
  <c r="P1309" i="13"/>
  <c r="P1310" i="13"/>
  <c r="P1311" i="13"/>
  <c r="P1312" i="13"/>
  <c r="P1313" i="13"/>
  <c r="P1314" i="13"/>
  <c r="P1315" i="13"/>
  <c r="P1316" i="13"/>
  <c r="P1317" i="13"/>
  <c r="P1318" i="13"/>
  <c r="P1319" i="13"/>
  <c r="P1320" i="13"/>
  <c r="P1321" i="13"/>
  <c r="P1322" i="13"/>
  <c r="P1323" i="13"/>
  <c r="P1324" i="13"/>
  <c r="P1325" i="13"/>
  <c r="P1326" i="13"/>
  <c r="P1327" i="13"/>
  <c r="P1328" i="13"/>
  <c r="P1329" i="13"/>
  <c r="P1330" i="13"/>
  <c r="P1331" i="13"/>
  <c r="P1332" i="13"/>
  <c r="P1333" i="13"/>
  <c r="P1334" i="13"/>
  <c r="P1335" i="13"/>
  <c r="P1336" i="13"/>
  <c r="P1337" i="13"/>
  <c r="P1338" i="13"/>
  <c r="P1339" i="13"/>
  <c r="P1340" i="13"/>
  <c r="P1341" i="13"/>
  <c r="P1342" i="13"/>
  <c r="P1343" i="13"/>
  <c r="P1344" i="13"/>
  <c r="P1345" i="13"/>
  <c r="P1346" i="13"/>
  <c r="P1347" i="13"/>
  <c r="P1348" i="13"/>
  <c r="P1349" i="13"/>
  <c r="P1350" i="13"/>
  <c r="P1351" i="13"/>
  <c r="P1352" i="13"/>
  <c r="P1353" i="13"/>
  <c r="P1354" i="13"/>
  <c r="P1355" i="13"/>
  <c r="P1356" i="13"/>
  <c r="P1357" i="13"/>
  <c r="P1358" i="13"/>
  <c r="P1359" i="13"/>
  <c r="P1360" i="13"/>
  <c r="P1361" i="13"/>
  <c r="P1362" i="13"/>
  <c r="P1363" i="13"/>
  <c r="P1364" i="13"/>
  <c r="P1365" i="13"/>
  <c r="P1366" i="13"/>
  <c r="P1367" i="13"/>
  <c r="P1368" i="13"/>
  <c r="P1369" i="13"/>
  <c r="P1370" i="13"/>
  <c r="P1371" i="13"/>
  <c r="P1372" i="13"/>
  <c r="P1373" i="13"/>
  <c r="P1374" i="13"/>
  <c r="P1375" i="13"/>
  <c r="P1376" i="13"/>
  <c r="P1377" i="13"/>
  <c r="P1378" i="13"/>
  <c r="P1379" i="13"/>
  <c r="P1380" i="13"/>
  <c r="P1381" i="13"/>
  <c r="P1382" i="13"/>
  <c r="P1383" i="13"/>
  <c r="P1384" i="13"/>
  <c r="P1385" i="13"/>
  <c r="P1386" i="13"/>
  <c r="P1387" i="13"/>
  <c r="P1388" i="13"/>
  <c r="P1389" i="13"/>
  <c r="P1390" i="13"/>
  <c r="P1391" i="13"/>
  <c r="P1392" i="13"/>
  <c r="P1393" i="13"/>
  <c r="P1394" i="13"/>
  <c r="P1395" i="13"/>
  <c r="P1396" i="13"/>
  <c r="P1397" i="13"/>
  <c r="P1398" i="13"/>
  <c r="P1399" i="13"/>
  <c r="P1400" i="13"/>
  <c r="P1401" i="13"/>
  <c r="P1402" i="13"/>
  <c r="P1403" i="13"/>
  <c r="P1404" i="13"/>
  <c r="P1405" i="13"/>
  <c r="P1406" i="13"/>
  <c r="P1407" i="13"/>
  <c r="P1408" i="13"/>
  <c r="P1409" i="13"/>
  <c r="P1410" i="13"/>
  <c r="P1411" i="13"/>
  <c r="P1412" i="13"/>
  <c r="P1413" i="13"/>
  <c r="P1414" i="13"/>
  <c r="P1415" i="13"/>
  <c r="P1416" i="13"/>
  <c r="P1417" i="13"/>
  <c r="P1418" i="13"/>
  <c r="P1419" i="13"/>
  <c r="P1420" i="13"/>
  <c r="P1421" i="13"/>
  <c r="P1422" i="13"/>
  <c r="P1423" i="13"/>
  <c r="P1424" i="13"/>
  <c r="P1425" i="13"/>
  <c r="P1426" i="13"/>
  <c r="P1427" i="13"/>
  <c r="P1428" i="13"/>
  <c r="P1429" i="13"/>
  <c r="P1430" i="13"/>
  <c r="P1431" i="13"/>
  <c r="P1432" i="13"/>
  <c r="P1433" i="13"/>
  <c r="P1434" i="13"/>
  <c r="P1435" i="13"/>
  <c r="P1436" i="13"/>
  <c r="P1437" i="13"/>
  <c r="P1438" i="13"/>
  <c r="P1439" i="13"/>
  <c r="P1440" i="13"/>
  <c r="P1441" i="13"/>
  <c r="P1442" i="13"/>
  <c r="P1443" i="13"/>
  <c r="P1444" i="13"/>
  <c r="P1445" i="13"/>
  <c r="P1446" i="13"/>
  <c r="P1447" i="13"/>
  <c r="P1448" i="13"/>
  <c r="P1449" i="13"/>
  <c r="P1450" i="13"/>
  <c r="P1451" i="13"/>
  <c r="P1452" i="13"/>
  <c r="P1453" i="13"/>
  <c r="P1454" i="13"/>
  <c r="P1455" i="13"/>
  <c r="P1456" i="13"/>
  <c r="P1457" i="13"/>
  <c r="P1458" i="13"/>
  <c r="P1459" i="13"/>
  <c r="P1460" i="13"/>
  <c r="P1461" i="13"/>
  <c r="P1462" i="13"/>
  <c r="P1463" i="13"/>
  <c r="P1464" i="13"/>
  <c r="P1465" i="13"/>
  <c r="P1466" i="13"/>
  <c r="P1467" i="13"/>
  <c r="P1468" i="13"/>
  <c r="P1469" i="13"/>
  <c r="P1470" i="13"/>
  <c r="P1471" i="13"/>
  <c r="P1472" i="13"/>
  <c r="P1473" i="13"/>
  <c r="P1474" i="13"/>
  <c r="P1475" i="13"/>
  <c r="P1476" i="13"/>
  <c r="P1477" i="13"/>
  <c r="P1478" i="13"/>
  <c r="P1479" i="13"/>
  <c r="P1480" i="13"/>
  <c r="P1481" i="13"/>
  <c r="P1482" i="13"/>
  <c r="P1483" i="13"/>
  <c r="P1484" i="13"/>
  <c r="P1485" i="13"/>
  <c r="P1486" i="13"/>
  <c r="P1487" i="13"/>
  <c r="P1488" i="13"/>
  <c r="P1489" i="13"/>
  <c r="P1490" i="13"/>
  <c r="P1491" i="13"/>
  <c r="P1492" i="13"/>
  <c r="P1493" i="13"/>
  <c r="P1494" i="13"/>
  <c r="P1495" i="13"/>
  <c r="P1496" i="13"/>
  <c r="P1497" i="13"/>
  <c r="P1498" i="13"/>
  <c r="P1499" i="13"/>
  <c r="P1500" i="13"/>
  <c r="P1501" i="13"/>
  <c r="P1502" i="13"/>
  <c r="P1503" i="13"/>
  <c r="P1504" i="13"/>
  <c r="P1505" i="13"/>
  <c r="P1506" i="13"/>
  <c r="P1507" i="13"/>
  <c r="P1508" i="13"/>
  <c r="P1509" i="13"/>
  <c r="P1510" i="13"/>
  <c r="P1511" i="13"/>
  <c r="P1512" i="13"/>
  <c r="P1513" i="13"/>
  <c r="P1514" i="13"/>
  <c r="P1515" i="13"/>
  <c r="P1516" i="13"/>
  <c r="P1517" i="13"/>
  <c r="P1518" i="13"/>
  <c r="P1519" i="13"/>
  <c r="P1520" i="13"/>
  <c r="P1521" i="13"/>
  <c r="P1522" i="13"/>
  <c r="P1523" i="13"/>
  <c r="P1524" i="13"/>
  <c r="P1525" i="13"/>
  <c r="P1526" i="13"/>
  <c r="P1527" i="13"/>
  <c r="P1528" i="13"/>
  <c r="P1529" i="13"/>
  <c r="P1530" i="13"/>
  <c r="P1531" i="13"/>
  <c r="P1532" i="13"/>
  <c r="P1533" i="13"/>
  <c r="P1534" i="13"/>
  <c r="P1535" i="13"/>
  <c r="P1536" i="13"/>
  <c r="P1537" i="13"/>
  <c r="P1538" i="13"/>
  <c r="P1539" i="13"/>
  <c r="P1540" i="13"/>
  <c r="P1541" i="13"/>
  <c r="P1542" i="13"/>
  <c r="P1543" i="13"/>
  <c r="P1544" i="13"/>
  <c r="P1545" i="13"/>
  <c r="P1546" i="13"/>
  <c r="P1547" i="13"/>
  <c r="P1548" i="13"/>
  <c r="P1549" i="13"/>
  <c r="P1550" i="13"/>
  <c r="P1551" i="13"/>
  <c r="P1552" i="13"/>
  <c r="P1553" i="13"/>
  <c r="P1554" i="13"/>
  <c r="P1555" i="13"/>
  <c r="P1556" i="13"/>
  <c r="P1557" i="13"/>
  <c r="P1558" i="13"/>
  <c r="P1559" i="13"/>
  <c r="P1560" i="13"/>
  <c r="P1561" i="13"/>
  <c r="P1562" i="13"/>
  <c r="P1563" i="13"/>
  <c r="P1564" i="13"/>
  <c r="P1565" i="13"/>
  <c r="P1566" i="13"/>
  <c r="P1567" i="13"/>
  <c r="P1568" i="13"/>
  <c r="P1569" i="13"/>
  <c r="P1570" i="13"/>
  <c r="P1571" i="13"/>
  <c r="P1572" i="13"/>
  <c r="P1573" i="13"/>
  <c r="P1574" i="13"/>
  <c r="P1575" i="13"/>
  <c r="P1576" i="13"/>
  <c r="P1577" i="13"/>
  <c r="P1578" i="13"/>
  <c r="P1579" i="13"/>
  <c r="P1580" i="13"/>
  <c r="P1581" i="13"/>
  <c r="P1582" i="13"/>
  <c r="P57" i="13"/>
  <c r="P1583" i="13"/>
  <c r="P1584" i="13"/>
  <c r="P1585" i="13"/>
  <c r="P1586" i="13"/>
  <c r="P1587" i="13"/>
  <c r="P1588" i="13"/>
  <c r="P1589" i="13"/>
  <c r="P1590" i="13"/>
  <c r="P1591" i="13"/>
  <c r="P1592" i="13"/>
  <c r="P1593" i="13"/>
  <c r="P1594" i="13"/>
  <c r="P1595" i="13"/>
  <c r="P1596" i="13"/>
  <c r="P1597" i="13"/>
  <c r="P1598" i="13"/>
  <c r="P1599" i="13"/>
  <c r="P1600" i="13"/>
  <c r="P1601" i="13"/>
  <c r="P1602" i="13"/>
  <c r="P1603" i="13"/>
  <c r="P1604" i="13"/>
  <c r="P1605" i="13"/>
  <c r="P1606" i="13"/>
  <c r="P1607" i="13"/>
  <c r="P1608" i="13"/>
  <c r="P1609" i="13"/>
  <c r="P1610" i="13"/>
  <c r="P1611" i="13"/>
  <c r="P1612" i="13"/>
  <c r="P1613" i="13"/>
  <c r="P1614" i="13"/>
  <c r="P1615" i="13"/>
  <c r="P1616" i="13"/>
  <c r="P1617" i="13"/>
  <c r="P1618" i="13"/>
  <c r="P1619" i="13"/>
  <c r="P1620" i="13"/>
  <c r="P1621" i="13"/>
  <c r="P1622" i="13"/>
  <c r="P1623" i="13"/>
  <c r="P1624" i="13"/>
  <c r="P1625" i="13"/>
  <c r="P1626" i="13"/>
  <c r="P1627" i="13"/>
  <c r="P1628" i="13"/>
  <c r="P1629" i="13"/>
  <c r="P1630" i="13"/>
  <c r="P1631" i="13"/>
  <c r="P1632" i="13"/>
  <c r="P1633" i="13"/>
  <c r="P1634" i="13"/>
  <c r="P1635" i="13"/>
  <c r="P1636" i="13"/>
  <c r="P1637" i="13"/>
  <c r="P1638" i="13"/>
  <c r="P1639" i="13"/>
  <c r="P1640" i="13"/>
  <c r="P1641" i="13"/>
  <c r="P1642" i="13"/>
  <c r="P1643" i="13"/>
  <c r="P1644" i="13"/>
  <c r="P1645" i="13"/>
  <c r="P1646" i="13"/>
  <c r="P1647" i="13"/>
  <c r="P1648" i="13"/>
  <c r="P1649" i="13"/>
  <c r="P1650" i="13"/>
  <c r="P1651" i="13"/>
  <c r="P1652" i="13"/>
  <c r="P1653" i="13"/>
  <c r="P1654" i="13"/>
  <c r="P1655" i="13"/>
  <c r="P1656" i="13"/>
  <c r="P1657" i="13"/>
  <c r="P1658" i="13"/>
  <c r="P1659" i="13"/>
  <c r="P1660" i="13"/>
  <c r="P1661" i="13"/>
  <c r="P1662" i="13"/>
  <c r="P1663" i="13"/>
  <c r="P1664" i="13"/>
  <c r="P1665" i="13"/>
  <c r="P1666" i="13"/>
  <c r="P1667" i="13"/>
  <c r="P1668" i="13"/>
  <c r="P1669" i="13"/>
  <c r="P1670" i="13"/>
  <c r="P1671" i="13"/>
  <c r="P1672" i="13"/>
  <c r="P1673" i="13"/>
  <c r="P1674" i="13"/>
  <c r="P1675" i="13"/>
  <c r="P1676" i="13"/>
  <c r="P1677" i="13"/>
  <c r="P1678" i="13"/>
  <c r="P1679" i="13"/>
  <c r="P1680" i="13"/>
  <c r="P1681" i="13"/>
  <c r="P1682" i="13"/>
  <c r="P1683" i="13"/>
  <c r="P1684" i="13"/>
  <c r="P1685" i="13"/>
  <c r="P1686" i="13"/>
  <c r="P1687" i="13"/>
  <c r="P1688" i="13"/>
  <c r="P1689" i="13"/>
  <c r="P1690" i="13"/>
  <c r="P1691" i="13"/>
  <c r="P1692" i="13"/>
  <c r="P1693" i="13"/>
  <c r="P1694" i="13"/>
  <c r="P1695" i="13"/>
  <c r="P1696" i="13"/>
  <c r="P1697" i="13"/>
  <c r="P1698" i="13"/>
  <c r="P1699" i="13"/>
  <c r="P1700" i="13"/>
  <c r="P1701" i="13"/>
  <c r="P1702" i="13"/>
  <c r="P1703" i="13"/>
  <c r="P1704" i="13"/>
  <c r="P1705" i="13"/>
  <c r="P1706" i="13"/>
  <c r="P1707" i="13"/>
  <c r="P1708" i="13"/>
  <c r="P1709" i="13"/>
  <c r="P1710" i="13"/>
  <c r="P1711" i="13"/>
  <c r="P1712" i="13"/>
  <c r="P1713" i="13"/>
  <c r="P1714" i="13"/>
  <c r="P1715" i="13"/>
  <c r="P1716" i="13"/>
  <c r="P1717" i="13"/>
  <c r="P1718" i="13"/>
  <c r="P1719" i="13"/>
  <c r="P1720" i="13"/>
  <c r="P1721" i="13"/>
  <c r="P1722" i="13"/>
  <c r="P1723" i="13"/>
  <c r="P1724" i="13"/>
  <c r="P1725" i="13"/>
  <c r="P1726" i="13"/>
  <c r="P1727" i="13"/>
  <c r="P1728" i="13"/>
  <c r="P1729" i="13"/>
  <c r="P1730" i="13"/>
  <c r="P1731" i="13"/>
  <c r="P1732" i="13"/>
  <c r="P1733" i="13"/>
  <c r="P1734" i="13"/>
  <c r="P1735" i="13"/>
  <c r="P1736" i="13"/>
  <c r="P1737" i="13"/>
  <c r="P1738" i="13"/>
  <c r="P1739" i="13"/>
  <c r="P1740" i="13"/>
  <c r="P1741" i="13"/>
  <c r="P1742" i="13"/>
  <c r="P1743" i="13"/>
  <c r="P1744" i="13"/>
  <c r="P1745" i="13"/>
  <c r="P1746" i="13"/>
  <c r="P1747" i="13"/>
  <c r="P1748" i="13"/>
  <c r="P1749" i="13"/>
  <c r="P1750" i="13"/>
  <c r="P1751" i="13"/>
  <c r="P1752" i="13"/>
  <c r="P1753" i="13"/>
  <c r="P1754" i="13"/>
  <c r="P1755" i="13"/>
  <c r="P1756" i="13"/>
  <c r="P1757" i="13"/>
  <c r="P1758" i="13"/>
  <c r="P1759" i="13"/>
  <c r="P1760" i="13"/>
  <c r="P1761" i="13"/>
  <c r="P1762" i="13"/>
  <c r="P1763" i="13"/>
  <c r="P1764" i="13"/>
  <c r="P1765" i="13"/>
  <c r="P1766" i="13"/>
  <c r="P1767" i="13"/>
  <c r="P1768" i="13"/>
  <c r="P1769" i="13"/>
  <c r="P1770" i="13"/>
  <c r="P1771" i="13"/>
  <c r="P1772" i="13"/>
  <c r="P1773" i="13"/>
  <c r="P1774" i="13"/>
  <c r="P1775" i="13"/>
  <c r="P1776" i="13"/>
  <c r="P1777" i="13"/>
  <c r="P1778" i="13"/>
  <c r="P1779" i="13"/>
  <c r="P1780" i="13"/>
  <c r="P1781" i="13"/>
  <c r="P1782" i="13"/>
  <c r="P1783" i="13"/>
  <c r="P58" i="13"/>
  <c r="P1784" i="13"/>
  <c r="P1785" i="13"/>
  <c r="P1786" i="13"/>
  <c r="P1787" i="13"/>
  <c r="P1788" i="13"/>
  <c r="P1789" i="13"/>
  <c r="P1790" i="13"/>
  <c r="P1791" i="13"/>
  <c r="P1792" i="13"/>
  <c r="P1793" i="13"/>
  <c r="P1794" i="13"/>
  <c r="P1795" i="13"/>
  <c r="P1796" i="13"/>
  <c r="P1797" i="13"/>
  <c r="P1798" i="13"/>
  <c r="P1799" i="13"/>
  <c r="P1800" i="13"/>
  <c r="P1801" i="13"/>
  <c r="P1802" i="13"/>
  <c r="P1803" i="13"/>
  <c r="P1804" i="13"/>
  <c r="P1805" i="13"/>
  <c r="P1806" i="13"/>
  <c r="P1807" i="13"/>
  <c r="P1808" i="13"/>
  <c r="P1809" i="13"/>
  <c r="P1810" i="13"/>
  <c r="P1811" i="13"/>
  <c r="P1812" i="13"/>
  <c r="P1813" i="13"/>
  <c r="P1814" i="13"/>
  <c r="P1815" i="13"/>
  <c r="P1816" i="13"/>
  <c r="P1817" i="13"/>
  <c r="P1818" i="13"/>
  <c r="P1819" i="13"/>
  <c r="P1820" i="13"/>
  <c r="P1821" i="13"/>
  <c r="P1822" i="13"/>
  <c r="P1823" i="13"/>
  <c r="P1824" i="13"/>
  <c r="P1825" i="13"/>
  <c r="P1826" i="13"/>
  <c r="P1827" i="13"/>
  <c r="P1828" i="13"/>
  <c r="P1829" i="13"/>
  <c r="P1830" i="13"/>
  <c r="P1831" i="13"/>
  <c r="P1832" i="13"/>
  <c r="P1833" i="13"/>
  <c r="P1834" i="13"/>
  <c r="P1835" i="13"/>
  <c r="P1836" i="13"/>
  <c r="P1837" i="13"/>
  <c r="P1838" i="13"/>
  <c r="P1839" i="13"/>
  <c r="P1840" i="13"/>
  <c r="P1841" i="13"/>
  <c r="P1842" i="13"/>
  <c r="P1843" i="13"/>
  <c r="P1844" i="13"/>
  <c r="P1845" i="13"/>
  <c r="P1846" i="13"/>
  <c r="P1847" i="13"/>
  <c r="P1848" i="13"/>
  <c r="P1849" i="13"/>
  <c r="P1850" i="13"/>
  <c r="P1851" i="13"/>
  <c r="P1852" i="13"/>
  <c r="P1853" i="13"/>
  <c r="P1854" i="13"/>
  <c r="P1855" i="13"/>
  <c r="P1856" i="13"/>
  <c r="P1857" i="13"/>
  <c r="P1858" i="13"/>
  <c r="P1859" i="13"/>
  <c r="P1860" i="13"/>
  <c r="P1861" i="13"/>
  <c r="P1862" i="13"/>
  <c r="P1863" i="13"/>
  <c r="P1864" i="13"/>
  <c r="P1865" i="13"/>
  <c r="P1866" i="13"/>
  <c r="P1867" i="13"/>
  <c r="P1868" i="13"/>
  <c r="P1869" i="13"/>
  <c r="P1870" i="13"/>
  <c r="P1871" i="13"/>
  <c r="P1872" i="13"/>
  <c r="P1873" i="13"/>
  <c r="P1874" i="13"/>
  <c r="P1875" i="13"/>
  <c r="P1876" i="13"/>
  <c r="P1877" i="13"/>
  <c r="P1878" i="13"/>
  <c r="P1879" i="13"/>
  <c r="P1880" i="13"/>
  <c r="P1881" i="13"/>
  <c r="P1882" i="13"/>
  <c r="P1883" i="13"/>
  <c r="P1884" i="13"/>
  <c r="P1885" i="13"/>
  <c r="P1886" i="13"/>
  <c r="P1887" i="13"/>
  <c r="P1888" i="13"/>
  <c r="P1889" i="13"/>
  <c r="P1890" i="13"/>
  <c r="P1891" i="13"/>
  <c r="P1892" i="13"/>
  <c r="P1893" i="13"/>
  <c r="P1894" i="13"/>
  <c r="P1895" i="13"/>
  <c r="P1896" i="13"/>
  <c r="P1897" i="13"/>
  <c r="P1898" i="13"/>
  <c r="P1899" i="13"/>
  <c r="P1900" i="13"/>
  <c r="P1901" i="13"/>
  <c r="P1902" i="13"/>
  <c r="P1903" i="13"/>
  <c r="P1904" i="13"/>
  <c r="P1905" i="13"/>
  <c r="P1906" i="13"/>
  <c r="P1907" i="13"/>
  <c r="P1908" i="13"/>
  <c r="P1909" i="13"/>
  <c r="P1910" i="13"/>
  <c r="P1911" i="13"/>
  <c r="P1912" i="13"/>
  <c r="P1913" i="13"/>
  <c r="P1914" i="13"/>
  <c r="P1915" i="13"/>
  <c r="P1916" i="13"/>
  <c r="P1917" i="13"/>
  <c r="P1918" i="13"/>
  <c r="P1919" i="13"/>
  <c r="P1920" i="13"/>
  <c r="P1921" i="13"/>
  <c r="P1922" i="13"/>
  <c r="P1923" i="13"/>
  <c r="P1924" i="13"/>
  <c r="P1925" i="13"/>
  <c r="P1926" i="13"/>
  <c r="P1927" i="13"/>
  <c r="P1928" i="13"/>
  <c r="P1929" i="13"/>
  <c r="P1930" i="13"/>
  <c r="P1931" i="13"/>
  <c r="P1932" i="13"/>
  <c r="P1933" i="13"/>
  <c r="P1934" i="13"/>
  <c r="P1935" i="13"/>
  <c r="P1936" i="13"/>
  <c r="P1937" i="13"/>
  <c r="P1938" i="13"/>
  <c r="P1939" i="13"/>
  <c r="P1940" i="13"/>
  <c r="P1941" i="13"/>
  <c r="P1942" i="13"/>
  <c r="P1943" i="13"/>
  <c r="P1944" i="13"/>
  <c r="P1945" i="13"/>
  <c r="P1946" i="13"/>
  <c r="P1947" i="13"/>
  <c r="P1948" i="13"/>
  <c r="P1949" i="13"/>
  <c r="P1950" i="13"/>
  <c r="P1951" i="13"/>
  <c r="P1952" i="13"/>
  <c r="P1953" i="13"/>
  <c r="P1954" i="13"/>
  <c r="P1955" i="13"/>
  <c r="P1956" i="13"/>
  <c r="P1957" i="13"/>
  <c r="P1958" i="13"/>
  <c r="P1959" i="13"/>
  <c r="P1960" i="13"/>
  <c r="P1961" i="13"/>
  <c r="P1962" i="13"/>
  <c r="P1963" i="13"/>
  <c r="P1964" i="13"/>
  <c r="P1965" i="13"/>
  <c r="P1966" i="13"/>
  <c r="P1967" i="13"/>
  <c r="P1968" i="13"/>
  <c r="P1969" i="13"/>
  <c r="P1970" i="13"/>
  <c r="P1971" i="13"/>
  <c r="P1972" i="13"/>
  <c r="P1973" i="13"/>
  <c r="P1974" i="13"/>
  <c r="P1975" i="13"/>
  <c r="P1976" i="13"/>
  <c r="P1977" i="13"/>
  <c r="P1978" i="13"/>
  <c r="P1979" i="13"/>
  <c r="P1980" i="13"/>
  <c r="P1981" i="13"/>
  <c r="P1982" i="13"/>
  <c r="P1983" i="13"/>
  <c r="P1984" i="13"/>
  <c r="P1985" i="13"/>
  <c r="P1986" i="13"/>
  <c r="P1987" i="13"/>
  <c r="P1988" i="13"/>
  <c r="P1989" i="13"/>
  <c r="P1990" i="13"/>
  <c r="P1991" i="13"/>
  <c r="P1992" i="13"/>
  <c r="P1993" i="13"/>
  <c r="P1994" i="13"/>
  <c r="P1995" i="13"/>
  <c r="P1996" i="13"/>
  <c r="P1997" i="13"/>
  <c r="P1998" i="13"/>
  <c r="P1999" i="13"/>
  <c r="P2000" i="13"/>
  <c r="P2001" i="13"/>
  <c r="P2002" i="13"/>
  <c r="P2003" i="13"/>
  <c r="P2004" i="13"/>
  <c r="P2005" i="13"/>
  <c r="P2006" i="13"/>
  <c r="P2007" i="13"/>
  <c r="P2008" i="13"/>
  <c r="P2009" i="13"/>
  <c r="P2010" i="13"/>
  <c r="P2011" i="13"/>
  <c r="P2012" i="13"/>
  <c r="P2013" i="13"/>
  <c r="P2014" i="13"/>
  <c r="P2015" i="13"/>
  <c r="P2016" i="13"/>
  <c r="P2017" i="13"/>
  <c r="P2018" i="13"/>
  <c r="P2019" i="13"/>
  <c r="P2020" i="13"/>
  <c r="P2021" i="13"/>
  <c r="P2022" i="13"/>
  <c r="P2023" i="13"/>
  <c r="P2024" i="13"/>
  <c r="P2025" i="13"/>
  <c r="P2026" i="13"/>
  <c r="P2027" i="13"/>
  <c r="P2028" i="13"/>
  <c r="P2029" i="13"/>
  <c r="P2030" i="13"/>
  <c r="P2031" i="13"/>
  <c r="P2032" i="13"/>
  <c r="P2033" i="13"/>
  <c r="P2034" i="13"/>
  <c r="P2035" i="13"/>
  <c r="P2036" i="13"/>
  <c r="P2037" i="13"/>
  <c r="P2038" i="13"/>
  <c r="P2039" i="13"/>
  <c r="P2040" i="13"/>
  <c r="P2041" i="13"/>
  <c r="P2042" i="13"/>
  <c r="P2043" i="13"/>
  <c r="P2044" i="13"/>
  <c r="P2045" i="13"/>
  <c r="P2046" i="13"/>
  <c r="P2047" i="13"/>
  <c r="P2048" i="13"/>
  <c r="P2049" i="13"/>
  <c r="P2050" i="13"/>
  <c r="P2051" i="13"/>
  <c r="P2052" i="13"/>
  <c r="P2053" i="13"/>
  <c r="P2054" i="13"/>
  <c r="P2055" i="13"/>
  <c r="P2056" i="13"/>
  <c r="P2057" i="13"/>
  <c r="P2058" i="13"/>
  <c r="P2059" i="13"/>
  <c r="P2060" i="13"/>
  <c r="P2061" i="13"/>
  <c r="P2062" i="13"/>
  <c r="P2063" i="13"/>
  <c r="P2064" i="13"/>
  <c r="P2065" i="13"/>
  <c r="P2066" i="13"/>
  <c r="P2067" i="13"/>
  <c r="P2068" i="13"/>
  <c r="P2069" i="13"/>
  <c r="P2070" i="13"/>
  <c r="P2071" i="13"/>
  <c r="P2072" i="13"/>
  <c r="P2073" i="13"/>
  <c r="P2074" i="13"/>
  <c r="P2075" i="13"/>
  <c r="P2076" i="13"/>
  <c r="P2077" i="13"/>
  <c r="P2078" i="13"/>
  <c r="P2079" i="13"/>
  <c r="P2080" i="13"/>
  <c r="P2081" i="13"/>
  <c r="P2082" i="13"/>
  <c r="P2083" i="13"/>
  <c r="P2084" i="13"/>
  <c r="P2085" i="13"/>
  <c r="P2086" i="13"/>
  <c r="P2087" i="13"/>
  <c r="P2088" i="13"/>
  <c r="P2089" i="13"/>
  <c r="P2090" i="13"/>
  <c r="P2091" i="13"/>
  <c r="P2092" i="13"/>
  <c r="P2093" i="13"/>
  <c r="P2094" i="13"/>
  <c r="P2095" i="13"/>
  <c r="P2096" i="13"/>
  <c r="P2097" i="13"/>
  <c r="P2098" i="13"/>
  <c r="P2099" i="13"/>
  <c r="P2100" i="13"/>
  <c r="P2101" i="13"/>
  <c r="P2102" i="13"/>
  <c r="P2103" i="13"/>
  <c r="P2104" i="13"/>
  <c r="P2105" i="13"/>
  <c r="P2106" i="13"/>
  <c r="P2107" i="13"/>
  <c r="P2108" i="13"/>
  <c r="P2109" i="13"/>
  <c r="P2110" i="13"/>
  <c r="P2111" i="13"/>
  <c r="P2112" i="13"/>
  <c r="P2113" i="13"/>
  <c r="P2114" i="13"/>
  <c r="P2115" i="13"/>
  <c r="P2116" i="13"/>
  <c r="P2117" i="13"/>
  <c r="P2118" i="13"/>
  <c r="P2119" i="13"/>
  <c r="P2120" i="13"/>
  <c r="P2121" i="13"/>
  <c r="P2122" i="13"/>
  <c r="P2123" i="13"/>
  <c r="P2124" i="13"/>
  <c r="P2125" i="13"/>
  <c r="P2126" i="13"/>
  <c r="P2127" i="13"/>
  <c r="P59" i="13"/>
  <c r="P2128" i="13"/>
  <c r="P2129" i="13"/>
  <c r="P2130" i="13"/>
  <c r="P2131" i="13"/>
  <c r="P2132" i="13"/>
  <c r="P2133" i="13"/>
  <c r="P2134" i="13"/>
  <c r="P2135" i="13"/>
  <c r="P2136" i="13"/>
  <c r="P2137" i="13"/>
  <c r="R464" i="13"/>
  <c r="R465" i="13"/>
  <c r="R466" i="13"/>
  <c r="R467" i="13"/>
  <c r="R468" i="13"/>
  <c r="R469" i="13"/>
  <c r="R470" i="13"/>
  <c r="R471" i="13"/>
  <c r="R472" i="13"/>
  <c r="R474" i="13"/>
  <c r="R475" i="13"/>
  <c r="R476" i="13"/>
  <c r="R477" i="13"/>
  <c r="R478" i="13"/>
  <c r="R479" i="13"/>
  <c r="R480" i="13"/>
  <c r="R481" i="13"/>
  <c r="R482" i="13"/>
  <c r="R483" i="13"/>
  <c r="R484" i="13"/>
  <c r="R485" i="13"/>
  <c r="R486" i="13"/>
  <c r="R487" i="13"/>
  <c r="R488" i="13"/>
  <c r="R489" i="13"/>
  <c r="R490" i="13"/>
  <c r="R491" i="13"/>
  <c r="R492" i="13"/>
  <c r="R493" i="13"/>
  <c r="R494" i="13"/>
  <c r="R495" i="13"/>
  <c r="R496" i="13"/>
  <c r="R497" i="13"/>
  <c r="R498" i="13"/>
  <c r="R499" i="13"/>
  <c r="R500" i="13"/>
  <c r="R501" i="13"/>
  <c r="R502" i="13"/>
  <c r="R503" i="13"/>
  <c r="R504" i="13"/>
  <c r="R505" i="13"/>
  <c r="R506" i="13"/>
  <c r="R507" i="13"/>
  <c r="R508" i="13"/>
  <c r="R509" i="13"/>
  <c r="R510" i="13"/>
  <c r="R511" i="13"/>
  <c r="R512" i="13"/>
  <c r="R513" i="13"/>
  <c r="R514" i="13"/>
  <c r="R515" i="13"/>
  <c r="R516" i="13"/>
  <c r="R517" i="13"/>
  <c r="R518" i="13"/>
  <c r="R519" i="13"/>
  <c r="R520" i="13"/>
  <c r="R521" i="13"/>
  <c r="R522" i="13"/>
  <c r="R523" i="13"/>
  <c r="R524" i="13"/>
  <c r="R525" i="13"/>
  <c r="R526" i="13"/>
  <c r="R527" i="13"/>
  <c r="R528" i="13"/>
  <c r="R529" i="13"/>
  <c r="R530" i="13"/>
  <c r="R531" i="13"/>
  <c r="R532" i="13"/>
  <c r="R533" i="13"/>
  <c r="R534" i="13"/>
  <c r="R535" i="13"/>
  <c r="R537" i="13"/>
  <c r="R538" i="13"/>
  <c r="R539" i="13"/>
  <c r="R540" i="13"/>
  <c r="R541" i="13"/>
  <c r="R542" i="13"/>
  <c r="R543" i="13"/>
  <c r="R544" i="13"/>
  <c r="R545" i="13"/>
  <c r="R546" i="13"/>
  <c r="R547" i="13"/>
  <c r="R548" i="13"/>
  <c r="R549" i="13"/>
  <c r="R551" i="13"/>
  <c r="R552" i="13"/>
  <c r="R553" i="13"/>
  <c r="R554" i="13"/>
  <c r="R555" i="13"/>
  <c r="R556" i="13"/>
  <c r="R557" i="13"/>
  <c r="R558" i="13"/>
  <c r="R560" i="13"/>
  <c r="R561" i="13"/>
  <c r="R563" i="13"/>
  <c r="R564" i="13"/>
  <c r="R565" i="13"/>
  <c r="R566" i="13"/>
  <c r="R567" i="13"/>
  <c r="R568" i="13"/>
  <c r="R569" i="13"/>
  <c r="R570" i="13"/>
  <c r="R571" i="13"/>
  <c r="R572" i="13"/>
  <c r="R573" i="13"/>
  <c r="R574" i="13"/>
  <c r="R575" i="13"/>
  <c r="R576" i="13"/>
  <c r="R577" i="13"/>
  <c r="R578" i="13"/>
  <c r="R579" i="13"/>
  <c r="R581" i="13"/>
  <c r="R583" i="13"/>
  <c r="R584" i="13"/>
  <c r="R585" i="13"/>
  <c r="R586" i="13"/>
  <c r="R587" i="13"/>
  <c r="R588" i="13"/>
  <c r="R589" i="13"/>
  <c r="R590" i="13"/>
  <c r="R591" i="13"/>
  <c r="R592" i="13"/>
  <c r="R594" i="13"/>
  <c r="R595" i="13"/>
  <c r="R596" i="13"/>
  <c r="R597" i="13"/>
  <c r="R598" i="13"/>
  <c r="R599" i="13"/>
  <c r="R600" i="13"/>
  <c r="R601" i="13"/>
  <c r="R602" i="13"/>
  <c r="R603" i="13"/>
  <c r="R604" i="13"/>
  <c r="R605" i="13"/>
  <c r="R606" i="13"/>
  <c r="R607" i="13"/>
  <c r="R608" i="13"/>
  <c r="R609" i="13"/>
  <c r="R610" i="13"/>
  <c r="R611" i="13"/>
  <c r="R612" i="13"/>
  <c r="R613" i="13"/>
  <c r="R614" i="13"/>
  <c r="R615" i="13"/>
  <c r="R616" i="13"/>
  <c r="R617" i="13"/>
  <c r="R618" i="13"/>
  <c r="R619" i="13"/>
  <c r="R620" i="13"/>
  <c r="R621" i="13"/>
  <c r="R622" i="13"/>
  <c r="R623" i="13"/>
  <c r="R624" i="13"/>
  <c r="R626" i="13"/>
  <c r="R627" i="13"/>
  <c r="R628" i="13"/>
  <c r="R629" i="13"/>
  <c r="R630" i="13"/>
  <c r="R631" i="13"/>
  <c r="R632" i="13"/>
  <c r="R633" i="13"/>
  <c r="R634" i="13"/>
  <c r="R635" i="13"/>
  <c r="R636" i="13"/>
  <c r="R637" i="13"/>
  <c r="R638" i="13"/>
  <c r="R639" i="13"/>
  <c r="R640" i="13"/>
  <c r="R641" i="13"/>
  <c r="R642" i="13"/>
  <c r="R643" i="13"/>
  <c r="R644" i="13"/>
  <c r="R645" i="13"/>
  <c r="R646" i="13"/>
  <c r="R647" i="13"/>
  <c r="R648" i="13"/>
  <c r="R649" i="13"/>
  <c r="R650" i="13"/>
  <c r="R651" i="13"/>
  <c r="R652" i="13"/>
  <c r="R653" i="13"/>
  <c r="R654" i="13"/>
  <c r="R655" i="13"/>
  <c r="R656" i="13"/>
  <c r="R657" i="13"/>
  <c r="R658" i="13"/>
  <c r="R659" i="13"/>
  <c r="R660" i="13"/>
  <c r="R661" i="13"/>
  <c r="R662" i="13"/>
  <c r="R663" i="13"/>
  <c r="R664" i="13"/>
  <c r="R665" i="13"/>
  <c r="R666" i="13"/>
  <c r="R667" i="13"/>
  <c r="R668" i="13"/>
  <c r="R669" i="13"/>
  <c r="R670" i="13"/>
  <c r="R671" i="13"/>
  <c r="R672" i="13"/>
  <c r="R674" i="13"/>
  <c r="R675" i="13"/>
  <c r="R676" i="13"/>
  <c r="R677" i="13"/>
  <c r="R678" i="13"/>
  <c r="R679" i="13"/>
  <c r="R680" i="13"/>
  <c r="R681" i="13"/>
  <c r="R682" i="13"/>
  <c r="R683" i="13"/>
  <c r="R684" i="13"/>
  <c r="R685" i="13"/>
  <c r="R686" i="13"/>
  <c r="R687" i="13"/>
  <c r="R688" i="13"/>
  <c r="R689" i="13"/>
  <c r="R690" i="13"/>
  <c r="R691" i="13"/>
  <c r="R692" i="13"/>
  <c r="R693" i="13"/>
  <c r="R694" i="13"/>
  <c r="R695" i="13"/>
  <c r="R696" i="13"/>
  <c r="R697" i="13"/>
  <c r="R698" i="13"/>
  <c r="R699" i="13"/>
  <c r="R700" i="13"/>
  <c r="R701" i="13"/>
  <c r="R702" i="13"/>
  <c r="R703" i="13"/>
  <c r="R704" i="13"/>
  <c r="R705" i="13"/>
  <c r="R706" i="13"/>
  <c r="R707" i="13"/>
  <c r="R708" i="13"/>
  <c r="R709" i="13"/>
  <c r="R710" i="13"/>
  <c r="R711" i="13"/>
  <c r="R712" i="13"/>
  <c r="R713" i="13"/>
  <c r="R715" i="13"/>
  <c r="R716" i="13"/>
  <c r="R717" i="13"/>
  <c r="R718" i="13"/>
  <c r="R719" i="13"/>
  <c r="R720" i="13"/>
  <c r="R721" i="13"/>
  <c r="R722" i="13"/>
  <c r="R723" i="13"/>
  <c r="R724" i="13"/>
  <c r="R725" i="13"/>
  <c r="R726" i="13"/>
  <c r="R727" i="13"/>
  <c r="R728" i="13"/>
  <c r="R729" i="13"/>
  <c r="R730" i="13"/>
  <c r="R731" i="13"/>
  <c r="R732" i="13"/>
  <c r="R733" i="13"/>
  <c r="R734" i="13"/>
  <c r="R735" i="13"/>
  <c r="R736" i="13"/>
  <c r="R737" i="13"/>
  <c r="R738" i="13"/>
  <c r="R739" i="13"/>
  <c r="R740" i="13"/>
  <c r="R741" i="13"/>
  <c r="R742" i="13"/>
  <c r="R743" i="13"/>
  <c r="R744" i="13"/>
  <c r="R745" i="13"/>
  <c r="R746" i="13"/>
  <c r="R747" i="13"/>
  <c r="R748" i="13"/>
  <c r="R749" i="13"/>
  <c r="R750" i="13"/>
  <c r="R751" i="13"/>
  <c r="R752" i="13"/>
  <c r="R753" i="13"/>
  <c r="R754" i="13"/>
  <c r="R755" i="13"/>
  <c r="R756" i="13"/>
  <c r="R757" i="13"/>
  <c r="R758" i="13"/>
  <c r="R759" i="13"/>
  <c r="R760" i="13"/>
  <c r="R761" i="13"/>
  <c r="R762" i="13"/>
  <c r="R763" i="13"/>
  <c r="R764" i="13"/>
  <c r="R765" i="13"/>
  <c r="R766" i="13"/>
  <c r="R767" i="13"/>
  <c r="R768" i="13"/>
  <c r="R769" i="13"/>
  <c r="R770" i="13"/>
  <c r="R771" i="13"/>
  <c r="R772" i="13"/>
  <c r="R773" i="13"/>
  <c r="R774" i="13"/>
  <c r="R775" i="13"/>
  <c r="R776" i="13"/>
  <c r="R777" i="13"/>
  <c r="R778" i="13"/>
  <c r="R779" i="13"/>
  <c r="R780" i="13"/>
  <c r="R781" i="13"/>
  <c r="R782" i="13"/>
  <c r="R783" i="13"/>
  <c r="R784" i="13"/>
  <c r="R785" i="13"/>
  <c r="R786" i="13"/>
  <c r="R787" i="13"/>
  <c r="R788" i="13"/>
  <c r="R789" i="13"/>
  <c r="R790" i="13"/>
  <c r="R791" i="13"/>
  <c r="R792" i="13"/>
  <c r="R793" i="13"/>
  <c r="R794" i="13"/>
  <c r="R795" i="13"/>
  <c r="R796" i="13"/>
  <c r="R797" i="13"/>
  <c r="R798" i="13"/>
  <c r="R799" i="13"/>
  <c r="R800" i="13"/>
  <c r="R801" i="13"/>
  <c r="R802" i="13"/>
  <c r="R803" i="13"/>
  <c r="R804" i="13"/>
  <c r="R805" i="13"/>
  <c r="R806" i="13"/>
  <c r="R807" i="13"/>
  <c r="R808" i="13"/>
  <c r="R809" i="13"/>
  <c r="R810" i="13"/>
  <c r="R811" i="13"/>
  <c r="R812" i="13"/>
  <c r="R813" i="13"/>
  <c r="R814" i="13"/>
  <c r="R815" i="13"/>
  <c r="R816" i="13"/>
  <c r="R817" i="13"/>
  <c r="R818" i="13"/>
  <c r="R819" i="13"/>
  <c r="R820" i="13"/>
  <c r="R821" i="13"/>
  <c r="R822" i="13"/>
  <c r="R823" i="13"/>
  <c r="R824" i="13"/>
  <c r="R825" i="13"/>
  <c r="R826" i="13"/>
  <c r="R827" i="13"/>
  <c r="R828" i="13"/>
  <c r="R829" i="13"/>
  <c r="R830" i="13"/>
  <c r="R831" i="13"/>
  <c r="R832" i="13"/>
  <c r="R833" i="13"/>
  <c r="R834" i="13"/>
  <c r="R835" i="13"/>
  <c r="R836" i="13"/>
  <c r="R837" i="13"/>
  <c r="R838" i="13"/>
  <c r="R839" i="13"/>
  <c r="R840" i="13"/>
  <c r="R841" i="13"/>
  <c r="R842" i="13"/>
  <c r="R843" i="13"/>
  <c r="R844" i="13"/>
  <c r="R845" i="13"/>
  <c r="R846" i="13"/>
  <c r="R847" i="13"/>
  <c r="R848" i="13"/>
  <c r="R849" i="13"/>
  <c r="R850" i="13"/>
  <c r="R851" i="13"/>
  <c r="R853" i="13"/>
  <c r="R854" i="13"/>
  <c r="R855" i="13"/>
  <c r="R856" i="13"/>
  <c r="R857" i="13"/>
  <c r="R858" i="13"/>
  <c r="R859" i="13"/>
  <c r="R860" i="13"/>
  <c r="R861" i="13"/>
  <c r="R863" i="13"/>
  <c r="R864" i="13"/>
  <c r="R865" i="13"/>
  <c r="R866" i="13"/>
  <c r="R868" i="13"/>
  <c r="R869" i="13"/>
  <c r="R870" i="13"/>
  <c r="R871" i="13"/>
  <c r="R872" i="13"/>
  <c r="R873" i="13"/>
  <c r="R874" i="13"/>
  <c r="R875" i="13"/>
  <c r="R876" i="13"/>
  <c r="R877" i="13"/>
  <c r="R878" i="13"/>
  <c r="R879" i="13"/>
  <c r="R880" i="13"/>
  <c r="R881" i="13"/>
  <c r="R882" i="13"/>
  <c r="R883" i="13"/>
  <c r="R884" i="13"/>
  <c r="R885" i="13"/>
  <c r="R886" i="13"/>
  <c r="R887" i="13"/>
  <c r="R888" i="13"/>
  <c r="R889" i="13"/>
  <c r="R891" i="13"/>
  <c r="R892" i="13"/>
  <c r="R893" i="13"/>
  <c r="R894" i="13"/>
  <c r="R895" i="13"/>
  <c r="R896" i="13"/>
  <c r="R897" i="13"/>
  <c r="R898" i="13"/>
  <c r="R899" i="13"/>
  <c r="R900" i="13"/>
  <c r="R901" i="13"/>
  <c r="R902" i="13"/>
  <c r="R903" i="13"/>
  <c r="R904" i="13"/>
  <c r="R905" i="13"/>
  <c r="R906" i="13"/>
  <c r="R907" i="13"/>
  <c r="R908" i="13"/>
  <c r="R909" i="13"/>
  <c r="R910" i="13"/>
  <c r="R911" i="13"/>
  <c r="R912" i="13"/>
  <c r="R913" i="13"/>
  <c r="R914" i="13"/>
  <c r="R916" i="13"/>
  <c r="R917" i="13"/>
  <c r="R918" i="13"/>
  <c r="R919" i="13"/>
  <c r="R920" i="13"/>
  <c r="R921" i="13"/>
  <c r="R922" i="13"/>
  <c r="R923" i="13"/>
  <c r="R924" i="13"/>
  <c r="R925" i="13"/>
  <c r="R926" i="13"/>
  <c r="R927" i="13"/>
  <c r="R928" i="13"/>
  <c r="R929" i="13"/>
  <c r="R930" i="13"/>
  <c r="R931" i="13"/>
  <c r="R932" i="13"/>
  <c r="R933" i="13"/>
  <c r="R934" i="13"/>
  <c r="R935" i="13"/>
  <c r="R936" i="13"/>
  <c r="R937" i="13"/>
  <c r="R938" i="13"/>
  <c r="R939" i="13"/>
  <c r="R940" i="13"/>
  <c r="R941" i="13"/>
  <c r="R942" i="13"/>
  <c r="R943" i="13"/>
  <c r="R944" i="13"/>
  <c r="R945" i="13"/>
  <c r="R946" i="13"/>
  <c r="R947" i="13"/>
  <c r="R948" i="13"/>
  <c r="R949" i="13"/>
  <c r="R950" i="13"/>
  <c r="R951" i="13"/>
  <c r="R952" i="13"/>
  <c r="R953" i="13"/>
  <c r="R954" i="13"/>
  <c r="R955" i="13"/>
  <c r="R956" i="13"/>
  <c r="R957" i="13"/>
  <c r="R958" i="13"/>
  <c r="R959" i="13"/>
  <c r="R960" i="13"/>
  <c r="R961" i="13"/>
  <c r="R962" i="13"/>
  <c r="R963" i="13"/>
  <c r="R964" i="13"/>
  <c r="R965" i="13"/>
  <c r="R966" i="13"/>
  <c r="R967" i="13"/>
  <c r="R968" i="13"/>
  <c r="R969" i="13"/>
  <c r="R970" i="13"/>
  <c r="R971" i="13"/>
  <c r="R972" i="13"/>
  <c r="R973" i="13"/>
  <c r="R974" i="13"/>
  <c r="R975" i="13"/>
  <c r="R976" i="13"/>
  <c r="R977" i="13"/>
  <c r="R978" i="13"/>
  <c r="R979" i="13"/>
  <c r="R980" i="13"/>
  <c r="R981" i="13"/>
  <c r="R982" i="13"/>
  <c r="R983" i="13"/>
  <c r="R984" i="13"/>
  <c r="R985" i="13"/>
  <c r="R986" i="13"/>
  <c r="R987" i="13"/>
  <c r="R988" i="13"/>
  <c r="R989" i="13"/>
  <c r="R990" i="13"/>
  <c r="R991" i="13"/>
  <c r="R992" i="13"/>
  <c r="R993" i="13"/>
  <c r="R994" i="13"/>
  <c r="R995" i="13"/>
  <c r="R996" i="13"/>
  <c r="R997" i="13"/>
  <c r="R998" i="13"/>
  <c r="R999" i="13"/>
  <c r="R1000" i="13"/>
  <c r="R1001" i="13"/>
  <c r="R1002" i="13"/>
  <c r="R1003" i="13"/>
  <c r="R1004" i="13"/>
  <c r="R1005" i="13"/>
  <c r="R1006" i="13"/>
  <c r="R1007" i="13"/>
  <c r="R1008" i="13"/>
  <c r="R1009" i="13"/>
  <c r="R1010" i="13"/>
  <c r="R1011" i="13"/>
  <c r="R1012" i="13"/>
  <c r="R1013" i="13"/>
  <c r="R1014" i="13"/>
  <c r="R1015" i="13"/>
  <c r="R1016" i="13"/>
  <c r="R1017" i="13"/>
  <c r="R1019" i="13"/>
  <c r="R1020" i="13"/>
  <c r="R1021" i="13"/>
  <c r="R1022" i="13"/>
  <c r="R1023" i="13"/>
  <c r="R1024" i="13"/>
  <c r="R1025" i="13"/>
  <c r="R1026" i="13"/>
  <c r="R1027" i="13"/>
  <c r="R1028" i="13"/>
  <c r="R1029" i="13"/>
  <c r="R1030" i="13"/>
  <c r="R1031" i="13"/>
  <c r="R1032" i="13"/>
  <c r="R1033" i="13"/>
  <c r="R1034" i="13"/>
  <c r="R1035" i="13"/>
  <c r="R1037" i="13"/>
  <c r="R1038" i="13"/>
  <c r="R1039" i="13"/>
  <c r="R1040" i="13"/>
  <c r="R1041" i="13"/>
  <c r="R1042" i="13"/>
  <c r="R1043" i="13"/>
  <c r="R1044" i="13"/>
  <c r="R1045" i="13"/>
  <c r="R1046" i="13"/>
  <c r="R1047" i="13"/>
  <c r="R1048" i="13"/>
  <c r="R1049" i="13"/>
  <c r="R1050" i="13"/>
  <c r="R1051" i="13"/>
  <c r="R1053" i="13"/>
  <c r="R1055" i="13"/>
  <c r="R1056" i="13"/>
  <c r="R1057" i="13"/>
  <c r="R1058" i="13"/>
  <c r="R1059" i="13"/>
  <c r="R1060" i="13"/>
  <c r="R1061" i="13"/>
  <c r="R1062" i="13"/>
  <c r="R1063" i="13"/>
  <c r="R1064" i="13"/>
  <c r="R1065" i="13"/>
  <c r="R1066" i="13"/>
  <c r="R1067" i="13"/>
  <c r="R1068" i="13"/>
  <c r="R1070" i="13"/>
  <c r="R1071" i="13"/>
  <c r="R1072" i="13"/>
  <c r="R1073" i="13"/>
  <c r="R1074" i="13"/>
  <c r="R1075" i="13"/>
  <c r="R1076" i="13"/>
  <c r="R1077" i="13"/>
  <c r="R1078" i="13"/>
  <c r="R1079" i="13"/>
  <c r="R1080" i="13"/>
  <c r="R1081" i="13"/>
  <c r="R1082" i="13"/>
  <c r="R1084" i="13"/>
  <c r="R1085" i="13"/>
  <c r="R1086" i="13"/>
  <c r="R1087" i="13"/>
  <c r="R1088" i="13"/>
  <c r="R1089" i="13"/>
  <c r="R1091" i="13"/>
  <c r="R1092" i="13"/>
  <c r="R1093" i="13"/>
  <c r="R1094" i="13"/>
  <c r="R1095" i="13"/>
  <c r="R1096" i="13"/>
  <c r="R1097" i="13"/>
  <c r="R1098" i="13"/>
  <c r="R1099" i="13"/>
  <c r="R1100" i="13"/>
  <c r="R1101" i="13"/>
  <c r="R1102" i="13"/>
  <c r="R1103" i="13"/>
  <c r="R1104" i="13"/>
  <c r="R1105" i="13"/>
  <c r="R1106" i="13"/>
  <c r="R1107" i="13"/>
  <c r="R1108" i="13"/>
  <c r="R1109" i="13"/>
  <c r="R1110" i="13"/>
  <c r="R1111" i="13"/>
  <c r="R1112" i="13"/>
  <c r="R1113" i="13"/>
  <c r="R1114" i="13"/>
  <c r="R1115" i="13"/>
  <c r="R1117" i="13"/>
  <c r="R1118" i="13"/>
  <c r="R1119" i="13"/>
  <c r="R1120" i="13"/>
  <c r="R1121" i="13"/>
  <c r="R1122" i="13"/>
  <c r="R1123" i="13"/>
  <c r="R1124" i="13"/>
  <c r="R1125" i="13"/>
  <c r="R1126" i="13"/>
  <c r="R1127" i="13"/>
  <c r="R1129" i="13"/>
  <c r="R1130" i="13"/>
  <c r="R1131" i="13"/>
  <c r="R1132" i="13"/>
  <c r="R1133" i="13"/>
  <c r="R1135" i="13"/>
  <c r="R1136" i="13"/>
  <c r="R1137" i="13"/>
  <c r="R1138" i="13"/>
  <c r="R1139" i="13"/>
  <c r="R1140" i="13"/>
  <c r="R1141" i="13"/>
  <c r="R1142" i="13"/>
  <c r="R1143" i="13"/>
  <c r="R1144" i="13"/>
  <c r="R1145" i="13"/>
  <c r="R1146" i="13"/>
  <c r="R1147" i="13"/>
  <c r="R1148" i="13"/>
  <c r="R1149" i="13"/>
  <c r="R1150" i="13"/>
  <c r="R1151" i="13"/>
  <c r="R1152" i="13"/>
  <c r="R1153" i="13"/>
  <c r="R1154" i="13"/>
  <c r="R1155" i="13"/>
  <c r="R1156" i="13"/>
  <c r="R1157" i="13"/>
  <c r="R1158" i="13"/>
  <c r="R1159" i="13"/>
  <c r="R1160" i="13"/>
  <c r="R1161" i="13"/>
  <c r="R1162" i="13"/>
  <c r="R1163" i="13"/>
  <c r="R1164" i="13"/>
  <c r="R1165" i="13"/>
  <c r="R1166" i="13"/>
  <c r="R1167" i="13"/>
  <c r="R1168" i="13"/>
  <c r="R1169" i="13"/>
  <c r="R1170" i="13"/>
  <c r="R1172" i="13"/>
  <c r="R1173" i="13"/>
  <c r="R1174" i="13"/>
  <c r="R1175" i="13"/>
  <c r="R1176" i="13"/>
  <c r="R1177" i="13"/>
  <c r="R1178" i="13"/>
  <c r="R1179" i="13"/>
  <c r="R1180" i="13"/>
  <c r="R1181" i="13"/>
  <c r="R1182" i="13"/>
  <c r="R1183" i="13"/>
  <c r="R1184" i="13"/>
  <c r="R1185" i="13"/>
  <c r="R1186" i="13"/>
  <c r="R1187" i="13"/>
  <c r="R1188" i="13"/>
  <c r="R1189" i="13"/>
  <c r="R1190" i="13"/>
  <c r="R1191" i="13"/>
  <c r="R1192" i="13"/>
  <c r="R1193" i="13"/>
  <c r="R1194" i="13"/>
  <c r="R1195" i="13"/>
  <c r="R1196" i="13"/>
  <c r="R1197" i="13"/>
  <c r="R1198" i="13"/>
  <c r="R1199" i="13"/>
  <c r="R1201" i="13"/>
  <c r="R1202" i="13"/>
  <c r="R1203" i="13"/>
  <c r="R1204" i="13"/>
  <c r="R1205" i="13"/>
  <c r="R1206" i="13"/>
  <c r="R1207" i="13"/>
  <c r="R1208" i="13"/>
  <c r="R1209" i="13"/>
  <c r="R1210" i="13"/>
  <c r="R1211" i="13"/>
  <c r="R1212" i="13"/>
  <c r="R1213" i="13"/>
  <c r="R1214" i="13"/>
  <c r="R1215" i="13"/>
  <c r="R1216" i="13"/>
  <c r="R1217" i="13"/>
  <c r="R1218" i="13"/>
  <c r="R1219" i="13"/>
  <c r="R1220" i="13"/>
  <c r="R1221" i="13"/>
  <c r="R1222" i="13"/>
  <c r="R1223" i="13"/>
  <c r="R1224" i="13"/>
  <c r="R1225" i="13"/>
  <c r="R1226" i="13"/>
  <c r="R1227" i="13"/>
  <c r="R1229" i="13"/>
  <c r="R1230" i="13"/>
  <c r="R1231" i="13"/>
  <c r="R1232" i="13"/>
  <c r="R1234" i="13"/>
  <c r="R1235" i="13"/>
  <c r="R1236" i="13"/>
  <c r="R1238" i="13"/>
  <c r="R1239" i="13"/>
  <c r="R1240" i="13"/>
  <c r="R1242" i="13"/>
  <c r="R1243" i="13"/>
  <c r="R1244" i="13"/>
  <c r="R1245" i="13"/>
  <c r="R1246" i="13"/>
  <c r="R1247" i="13"/>
  <c r="R1248" i="13"/>
  <c r="R1249" i="13"/>
  <c r="R1250" i="13"/>
  <c r="R1251" i="13"/>
  <c r="R1252" i="13"/>
  <c r="R1253" i="13"/>
  <c r="R1254" i="13"/>
  <c r="R1256" i="13"/>
  <c r="R1258" i="13"/>
  <c r="R1259" i="13"/>
  <c r="R1261" i="13"/>
  <c r="R1262" i="13"/>
  <c r="R1263" i="13"/>
  <c r="R1264" i="13"/>
  <c r="R1265" i="13"/>
  <c r="R1266" i="13"/>
  <c r="R1268" i="13"/>
  <c r="R1269" i="13"/>
  <c r="R1270" i="13"/>
  <c r="R1271" i="13"/>
  <c r="R1273" i="13"/>
  <c r="R1274" i="13"/>
  <c r="R1275" i="13"/>
  <c r="R1276" i="13"/>
  <c r="R1278" i="13"/>
  <c r="R1279" i="13"/>
  <c r="R1280" i="13"/>
  <c r="R1281" i="13"/>
  <c r="R1282" i="13"/>
  <c r="R1283" i="13"/>
  <c r="R1284" i="13"/>
  <c r="R1285" i="13"/>
  <c r="R1286" i="13"/>
  <c r="R1287" i="13"/>
  <c r="R1288" i="13"/>
  <c r="R1289" i="13"/>
  <c r="R1290" i="13"/>
  <c r="R1291" i="13"/>
  <c r="R1292" i="13"/>
  <c r="R1293" i="13"/>
  <c r="R1294" i="13"/>
  <c r="R1295" i="13"/>
  <c r="R1296" i="13"/>
  <c r="R1297" i="13"/>
  <c r="R1299" i="13"/>
  <c r="R1300" i="13"/>
  <c r="R1301" i="13"/>
  <c r="R1302" i="13"/>
  <c r="R1303" i="13"/>
  <c r="R1304" i="13"/>
  <c r="R1305" i="13"/>
  <c r="R1306" i="13"/>
  <c r="R1307" i="13"/>
  <c r="R1308" i="13"/>
  <c r="R1309" i="13"/>
  <c r="R1310" i="13"/>
  <c r="R1311" i="13"/>
  <c r="R1312" i="13"/>
  <c r="R1313" i="13"/>
  <c r="R1314" i="13"/>
  <c r="R1315" i="13"/>
  <c r="R1318" i="13"/>
  <c r="R1319" i="13"/>
  <c r="R1320" i="13"/>
  <c r="R1321" i="13"/>
  <c r="R1322" i="13"/>
  <c r="R1323" i="13"/>
  <c r="R1324" i="13"/>
  <c r="R1325" i="13"/>
  <c r="R1326" i="13"/>
  <c r="R1327" i="13"/>
  <c r="R1328" i="13"/>
  <c r="R1329" i="13"/>
  <c r="R1330" i="13"/>
  <c r="R1331" i="13"/>
  <c r="R1332" i="13"/>
  <c r="R1333" i="13"/>
  <c r="R1334" i="13"/>
  <c r="R1335" i="13"/>
  <c r="R1336" i="13"/>
  <c r="R1338" i="13"/>
  <c r="R1339" i="13"/>
  <c r="R1340" i="13"/>
  <c r="R1341" i="13"/>
  <c r="R1342" i="13"/>
  <c r="R1343" i="13"/>
  <c r="R1344" i="13"/>
  <c r="R1345" i="13"/>
  <c r="R1346" i="13"/>
  <c r="R1347" i="13"/>
  <c r="R1348" i="13"/>
  <c r="R1349" i="13"/>
  <c r="R1350" i="13"/>
  <c r="R1351" i="13"/>
  <c r="R1353" i="13"/>
  <c r="R1354" i="13"/>
  <c r="R1355" i="13"/>
  <c r="R1356" i="13"/>
  <c r="R1357" i="13"/>
  <c r="R1358" i="13"/>
  <c r="R1359" i="13"/>
  <c r="R1360" i="13"/>
  <c r="R1361" i="13"/>
  <c r="R1362" i="13"/>
  <c r="R1363" i="13"/>
  <c r="R1364" i="13"/>
  <c r="R1365" i="13"/>
  <c r="R1366" i="13"/>
  <c r="R1367" i="13"/>
  <c r="R1368" i="13"/>
  <c r="R1369" i="13"/>
  <c r="R1370" i="13"/>
  <c r="R1371" i="13"/>
  <c r="R1372" i="13"/>
  <c r="R1373" i="13"/>
  <c r="R1375" i="13"/>
  <c r="R1376" i="13"/>
  <c r="R1377" i="13"/>
  <c r="R1378" i="13"/>
  <c r="R1379" i="13"/>
  <c r="R1380" i="13"/>
  <c r="R1381" i="13"/>
  <c r="R1382" i="13"/>
  <c r="R1384" i="13"/>
  <c r="R1385" i="13"/>
  <c r="R1386" i="13"/>
  <c r="R1387" i="13"/>
  <c r="R1388" i="13"/>
  <c r="R1389" i="13"/>
  <c r="R1390" i="13"/>
  <c r="R1391" i="13"/>
  <c r="R1392" i="13"/>
  <c r="R1393" i="13"/>
  <c r="R1394" i="13"/>
  <c r="R1395" i="13"/>
  <c r="R1396" i="13"/>
  <c r="R1397" i="13"/>
  <c r="R1398" i="13"/>
  <c r="R1399" i="13"/>
  <c r="R1401" i="13"/>
  <c r="R1402" i="13"/>
  <c r="R1403" i="13"/>
  <c r="R1404" i="13"/>
  <c r="R1405" i="13"/>
  <c r="R1406" i="13"/>
  <c r="R1407" i="13"/>
  <c r="R1408" i="13"/>
  <c r="R1409" i="13"/>
  <c r="R1410" i="13"/>
  <c r="R1411" i="13"/>
  <c r="R1413" i="13"/>
  <c r="R1414" i="13"/>
  <c r="R1415" i="13"/>
  <c r="R1416" i="13"/>
  <c r="R1417" i="13"/>
  <c r="R1418" i="13"/>
  <c r="R1419" i="13"/>
  <c r="R1420" i="13"/>
  <c r="R1421" i="13"/>
  <c r="R1422" i="13"/>
  <c r="R1423" i="13"/>
  <c r="R1424" i="13"/>
  <c r="R1425" i="13"/>
  <c r="R1426" i="13"/>
  <c r="R1427" i="13"/>
  <c r="R1428" i="13"/>
  <c r="R1429" i="13"/>
  <c r="R1430" i="13"/>
  <c r="R1431" i="13"/>
  <c r="R1432" i="13"/>
  <c r="R1433" i="13"/>
  <c r="R1434" i="13"/>
  <c r="R1435" i="13"/>
  <c r="R1436" i="13"/>
  <c r="R1437" i="13"/>
  <c r="R1438" i="13"/>
  <c r="R1439" i="13"/>
  <c r="R1440" i="13"/>
  <c r="R1441" i="13"/>
  <c r="R1442" i="13"/>
  <c r="R1443" i="13"/>
  <c r="R1444" i="13"/>
  <c r="R1445" i="13"/>
  <c r="R1446" i="13"/>
  <c r="R1447" i="13"/>
  <c r="R1448" i="13"/>
  <c r="R1449" i="13"/>
  <c r="R1450" i="13"/>
  <c r="R1451" i="13"/>
  <c r="R1452" i="13"/>
  <c r="R1453" i="13"/>
  <c r="R1454" i="13"/>
  <c r="R1455" i="13"/>
  <c r="R1456" i="13"/>
  <c r="R1457" i="13"/>
  <c r="R1458" i="13"/>
  <c r="R1459" i="13"/>
  <c r="R1460" i="13"/>
  <c r="R1461" i="13"/>
  <c r="R1462" i="13"/>
  <c r="R1463" i="13"/>
  <c r="R1464" i="13"/>
  <c r="R1465" i="13"/>
  <c r="R1466" i="13"/>
  <c r="R1467" i="13"/>
  <c r="R1468" i="13"/>
  <c r="R1469" i="13"/>
  <c r="R1470" i="13"/>
  <c r="R1471" i="13"/>
  <c r="R1472" i="13"/>
  <c r="R1473" i="13"/>
  <c r="R1474" i="13"/>
  <c r="R1475" i="13"/>
  <c r="R1476" i="13"/>
  <c r="R1477" i="13"/>
  <c r="R1478" i="13"/>
  <c r="R1479" i="13"/>
  <c r="R1480" i="13"/>
  <c r="R1481" i="13"/>
  <c r="R1482" i="13"/>
  <c r="R1483" i="13"/>
  <c r="R1484" i="13"/>
  <c r="R1485" i="13"/>
  <c r="R1486" i="13"/>
  <c r="R1487" i="13"/>
  <c r="R1488" i="13"/>
  <c r="R1489" i="13"/>
  <c r="R1490" i="13"/>
  <c r="R1491" i="13"/>
  <c r="R1492" i="13"/>
  <c r="R1493" i="13"/>
  <c r="R1494" i="13"/>
  <c r="R1495" i="13"/>
  <c r="R1496" i="13"/>
  <c r="R1497" i="13"/>
  <c r="R1498" i="13"/>
  <c r="R1499" i="13"/>
  <c r="R1500" i="13"/>
  <c r="R1501" i="13"/>
  <c r="R1502" i="13"/>
  <c r="R1503" i="13"/>
  <c r="R1504" i="13"/>
  <c r="R1505" i="13"/>
  <c r="R1506" i="13"/>
  <c r="R1508" i="13"/>
  <c r="R1509" i="13"/>
  <c r="R1510" i="13"/>
  <c r="R1511" i="13"/>
  <c r="R1512" i="13"/>
  <c r="R1513" i="13"/>
  <c r="R1514" i="13"/>
  <c r="R1515" i="13"/>
  <c r="R1516" i="13"/>
  <c r="R1517" i="13"/>
  <c r="R1518" i="13"/>
  <c r="R1519" i="13"/>
  <c r="R1520" i="13"/>
  <c r="R1521" i="13"/>
  <c r="R1522" i="13"/>
  <c r="R1523" i="13"/>
  <c r="R1524" i="13"/>
  <c r="R1525" i="13"/>
  <c r="R1526" i="13"/>
  <c r="R1527" i="13"/>
  <c r="R1528" i="13"/>
  <c r="R1529" i="13"/>
  <c r="R1530" i="13"/>
  <c r="R1531" i="13"/>
  <c r="R1532" i="13"/>
  <c r="R1533" i="13"/>
  <c r="R1534" i="13"/>
  <c r="R1536" i="13"/>
  <c r="R1537" i="13"/>
  <c r="R1538" i="13"/>
  <c r="R1539" i="13"/>
  <c r="R1540" i="13"/>
  <c r="R1541" i="13"/>
  <c r="R1542" i="13"/>
  <c r="R1543" i="13"/>
  <c r="R1544" i="13"/>
  <c r="R1545" i="13"/>
  <c r="R1546" i="13"/>
  <c r="R1547" i="13"/>
  <c r="R1548" i="13"/>
  <c r="R1549" i="13"/>
  <c r="R1550" i="13"/>
  <c r="R1551" i="13"/>
  <c r="R1552" i="13"/>
  <c r="R1553" i="13"/>
  <c r="R1554" i="13"/>
  <c r="R1555" i="13"/>
  <c r="R1556" i="13"/>
  <c r="R1557" i="13"/>
  <c r="R1558" i="13"/>
  <c r="R1559" i="13"/>
  <c r="R1560" i="13"/>
  <c r="R1561" i="13"/>
  <c r="R1562" i="13"/>
  <c r="R1563" i="13"/>
  <c r="R1564" i="13"/>
  <c r="R1565" i="13"/>
  <c r="R1566" i="13"/>
  <c r="R1567" i="13"/>
  <c r="R1568" i="13"/>
  <c r="R1569" i="13"/>
  <c r="R1570" i="13"/>
  <c r="R1571" i="13"/>
  <c r="R1572" i="13"/>
  <c r="R1573" i="13"/>
  <c r="R1574" i="13"/>
  <c r="R1575" i="13"/>
  <c r="R1576" i="13"/>
  <c r="R1577" i="13"/>
  <c r="R1578" i="13"/>
  <c r="R1579" i="13"/>
  <c r="R1580" i="13"/>
  <c r="R1581" i="13"/>
  <c r="R1582" i="13"/>
  <c r="R1583" i="13"/>
  <c r="R1584" i="13"/>
  <c r="R1585" i="13"/>
  <c r="R1587" i="13"/>
  <c r="R1588" i="13"/>
  <c r="R1589" i="13"/>
  <c r="R1590" i="13"/>
  <c r="R1591" i="13"/>
  <c r="R1592" i="13"/>
  <c r="R1593" i="13"/>
  <c r="R1594" i="13"/>
  <c r="R1595" i="13"/>
  <c r="R1596" i="13"/>
  <c r="R1597" i="13"/>
  <c r="R1598" i="13"/>
  <c r="R1599" i="13"/>
  <c r="R1600" i="13"/>
  <c r="R1602" i="13"/>
  <c r="R1603" i="13"/>
  <c r="R1604" i="13"/>
  <c r="R1605" i="13"/>
  <c r="R1606" i="13"/>
  <c r="R1607" i="13"/>
  <c r="R1608" i="13"/>
  <c r="R1609" i="13"/>
  <c r="R1610" i="13"/>
  <c r="R1611" i="13"/>
  <c r="R1612" i="13"/>
  <c r="R1613" i="13"/>
  <c r="R1614" i="13"/>
  <c r="R1615" i="13"/>
  <c r="R1616" i="13"/>
  <c r="R1617" i="13"/>
  <c r="R1618" i="13"/>
  <c r="R1619" i="13"/>
  <c r="R1620" i="13"/>
  <c r="R1621" i="13"/>
  <c r="R1622" i="13"/>
  <c r="R1623" i="13"/>
  <c r="R1624" i="13"/>
  <c r="R1625" i="13"/>
  <c r="R1626" i="13"/>
  <c r="R1628" i="13"/>
  <c r="R1629" i="13"/>
  <c r="R1630" i="13"/>
  <c r="R1631" i="13"/>
  <c r="R1632" i="13"/>
  <c r="R1633" i="13"/>
  <c r="R1634" i="13"/>
  <c r="R1635" i="13"/>
  <c r="R1636" i="13"/>
  <c r="R1637" i="13"/>
  <c r="R1638" i="13"/>
  <c r="R1639" i="13"/>
  <c r="R1640" i="13"/>
  <c r="R1641" i="13"/>
  <c r="R1642" i="13"/>
  <c r="R1643" i="13"/>
  <c r="R1644" i="13"/>
  <c r="R1645" i="13"/>
  <c r="R1646" i="13"/>
  <c r="R1647" i="13"/>
  <c r="R1648" i="13"/>
  <c r="R1649" i="13"/>
  <c r="R1650" i="13"/>
  <c r="R1651" i="13"/>
  <c r="R1653" i="13"/>
  <c r="R1654" i="13"/>
  <c r="R1657" i="13"/>
  <c r="R1658" i="13"/>
  <c r="R1659" i="13"/>
  <c r="R1660" i="13"/>
  <c r="R1661" i="13"/>
  <c r="R1662" i="13"/>
  <c r="R1663" i="13"/>
  <c r="R1664" i="13"/>
  <c r="R1665" i="13"/>
  <c r="R1666" i="13"/>
  <c r="R1667" i="13"/>
  <c r="R1668" i="13"/>
  <c r="R1669" i="13"/>
  <c r="R1670" i="13"/>
  <c r="R1671" i="13"/>
  <c r="R1672" i="13"/>
  <c r="R1673" i="13"/>
  <c r="R1674" i="13"/>
  <c r="R1675" i="13"/>
  <c r="R1676" i="13"/>
  <c r="R1677" i="13"/>
  <c r="R1678" i="13"/>
  <c r="R1679" i="13"/>
  <c r="R1680" i="13"/>
  <c r="R1681" i="13"/>
  <c r="R1682" i="13"/>
  <c r="R1683" i="13"/>
  <c r="R1684" i="13"/>
  <c r="R1685" i="13"/>
  <c r="R1686" i="13"/>
  <c r="R1687" i="13"/>
  <c r="R1688" i="13"/>
  <c r="R1689" i="13"/>
  <c r="R1690" i="13"/>
  <c r="R1691" i="13"/>
  <c r="R1692" i="13"/>
  <c r="R1693" i="13"/>
  <c r="R1694" i="13"/>
  <c r="R1695" i="13"/>
  <c r="R1696" i="13"/>
  <c r="R1697" i="13"/>
  <c r="R1698" i="13"/>
  <c r="R1699" i="13"/>
  <c r="R1700" i="13"/>
  <c r="R1701" i="13"/>
  <c r="R1702" i="13"/>
  <c r="R1703" i="13"/>
  <c r="R1704" i="13"/>
  <c r="R1705" i="13"/>
  <c r="R1706" i="13"/>
  <c r="R1707" i="13"/>
  <c r="R1708" i="13"/>
  <c r="R1709" i="13"/>
  <c r="R1710" i="13"/>
  <c r="R1711" i="13"/>
  <c r="R1712" i="13"/>
  <c r="R1713" i="13"/>
  <c r="R1714" i="13"/>
  <c r="R1715" i="13"/>
  <c r="R1716" i="13"/>
  <c r="R1717" i="13"/>
  <c r="R1718" i="13"/>
  <c r="R1719" i="13"/>
  <c r="R1721" i="13"/>
  <c r="R1722" i="13"/>
  <c r="R1723" i="13"/>
  <c r="R1724" i="13"/>
  <c r="R1725" i="13"/>
  <c r="R1726" i="13"/>
  <c r="R1727" i="13"/>
  <c r="R1728" i="13"/>
  <c r="R1729" i="13"/>
  <c r="R1731" i="13"/>
  <c r="R1732" i="13"/>
  <c r="R1733" i="13"/>
  <c r="R1734" i="13"/>
  <c r="R1735" i="13"/>
  <c r="R1736" i="13"/>
  <c r="R1737" i="13"/>
  <c r="R1738" i="13"/>
  <c r="R1739" i="13"/>
  <c r="R1740" i="13"/>
  <c r="R1741" i="13"/>
  <c r="R1742" i="13"/>
  <c r="R1744" i="13"/>
  <c r="R1745" i="13"/>
  <c r="R1746" i="13"/>
  <c r="R1747" i="13"/>
  <c r="R1748" i="13"/>
  <c r="R1749" i="13"/>
  <c r="R1750" i="13"/>
  <c r="R1751" i="13"/>
  <c r="R1752" i="13"/>
  <c r="R1753" i="13"/>
  <c r="R1754" i="13"/>
  <c r="R1755" i="13"/>
  <c r="R1756" i="13"/>
  <c r="R1757" i="13"/>
  <c r="R1758" i="13"/>
  <c r="R1759" i="13"/>
  <c r="R1760" i="13"/>
  <c r="R1761" i="13"/>
  <c r="R1762" i="13"/>
  <c r="R1763" i="13"/>
  <c r="R1764" i="13"/>
  <c r="R1765" i="13"/>
  <c r="R1766" i="13"/>
  <c r="R1767" i="13"/>
  <c r="R1768" i="13"/>
  <c r="R1769" i="13"/>
  <c r="R1770" i="13"/>
  <c r="R1771" i="13"/>
  <c r="R1772" i="13"/>
  <c r="R1773" i="13"/>
  <c r="R1774" i="13"/>
  <c r="R1775" i="13"/>
  <c r="R1776" i="13"/>
  <c r="R1778" i="13"/>
  <c r="R1779" i="13"/>
  <c r="R1780" i="13"/>
  <c r="R1781" i="13"/>
  <c r="R1782" i="13"/>
  <c r="R1783" i="13"/>
  <c r="R1784" i="13"/>
  <c r="R1785" i="13"/>
  <c r="R1786" i="13"/>
  <c r="R1787" i="13"/>
  <c r="R1788" i="13"/>
  <c r="R1789" i="13"/>
  <c r="R1790" i="13"/>
  <c r="R1791" i="13"/>
  <c r="R1792" i="13"/>
  <c r="R1793" i="13"/>
  <c r="R1794" i="13"/>
  <c r="R1796" i="13"/>
  <c r="R1797" i="13"/>
  <c r="R1798" i="13"/>
  <c r="R1799" i="13"/>
  <c r="R1800" i="13"/>
  <c r="R1801" i="13"/>
  <c r="R1802" i="13"/>
  <c r="R1803" i="13"/>
  <c r="R1804" i="13"/>
  <c r="R1805" i="13"/>
  <c r="R1806" i="13"/>
  <c r="R1807" i="13"/>
  <c r="R1808" i="13"/>
  <c r="R1809" i="13"/>
  <c r="R1810" i="13"/>
  <c r="R1811" i="13"/>
  <c r="R1812" i="13"/>
  <c r="R1813" i="13"/>
  <c r="R1814" i="13"/>
  <c r="R1815" i="13"/>
  <c r="R1816" i="13"/>
  <c r="R1817" i="13"/>
  <c r="R1818" i="13"/>
  <c r="R1819" i="13"/>
  <c r="R1820" i="13"/>
  <c r="R1821" i="13"/>
  <c r="R1822" i="13"/>
  <c r="R1823" i="13"/>
  <c r="R1824" i="13"/>
  <c r="R1825" i="13"/>
  <c r="R1826" i="13"/>
  <c r="R1827" i="13"/>
  <c r="R1828" i="13"/>
  <c r="R1829" i="13"/>
  <c r="R1830" i="13"/>
  <c r="R1831" i="13"/>
  <c r="R1832" i="13"/>
  <c r="R1833" i="13"/>
  <c r="R1834" i="13"/>
  <c r="R1835" i="13"/>
  <c r="R1836" i="13"/>
  <c r="R1837" i="13"/>
  <c r="R1838" i="13"/>
  <c r="R1839" i="13"/>
  <c r="R1840" i="13"/>
  <c r="R1841" i="13"/>
  <c r="R1842" i="13"/>
  <c r="R1843" i="13"/>
  <c r="R1844" i="13"/>
  <c r="R1845" i="13"/>
  <c r="R1846" i="13"/>
  <c r="R1847" i="13"/>
  <c r="R1849" i="13"/>
  <c r="R1850" i="13"/>
  <c r="R1851" i="13"/>
  <c r="R1852" i="13"/>
  <c r="R1853" i="13"/>
  <c r="R1854" i="13"/>
  <c r="R1855" i="13"/>
  <c r="R1856" i="13"/>
  <c r="R1857" i="13"/>
  <c r="R1858" i="13"/>
  <c r="R1859" i="13"/>
  <c r="R1860" i="13"/>
  <c r="R1861" i="13"/>
  <c r="R1862" i="13"/>
  <c r="R1863" i="13"/>
  <c r="R1864" i="13"/>
  <c r="R1865" i="13"/>
  <c r="R1866" i="13"/>
  <c r="R1867" i="13"/>
  <c r="R1868" i="13"/>
  <c r="R1869" i="13"/>
  <c r="R1870" i="13"/>
  <c r="R1871" i="13"/>
  <c r="R1872" i="13"/>
  <c r="R1873" i="13"/>
  <c r="R1874" i="13"/>
  <c r="R1875" i="13"/>
  <c r="R1876" i="13"/>
  <c r="R1877" i="13"/>
  <c r="R1878" i="13"/>
  <c r="R1879" i="13"/>
  <c r="R1880" i="13"/>
  <c r="R1881" i="13"/>
  <c r="R1882" i="13"/>
  <c r="R1883" i="13"/>
  <c r="R1885" i="13"/>
  <c r="R1886" i="13"/>
  <c r="R1887" i="13"/>
  <c r="R1888" i="13"/>
  <c r="R1889" i="13"/>
  <c r="R1890" i="13"/>
  <c r="R1891" i="13"/>
  <c r="R1892" i="13"/>
  <c r="R1893" i="13"/>
  <c r="R1894" i="13"/>
  <c r="R1895" i="13"/>
  <c r="R1896" i="13"/>
  <c r="R1898" i="13"/>
  <c r="R1899" i="13"/>
  <c r="R1900" i="13"/>
  <c r="R1901" i="13"/>
  <c r="R1902" i="13"/>
  <c r="R1903" i="13"/>
  <c r="R1904" i="13"/>
  <c r="R1905" i="13"/>
  <c r="R1906" i="13"/>
  <c r="R1907" i="13"/>
  <c r="R1908" i="13"/>
  <c r="R1909" i="13"/>
  <c r="R1910" i="13"/>
  <c r="R1911" i="13"/>
  <c r="R1912" i="13"/>
  <c r="R1913" i="13"/>
  <c r="R1914" i="13"/>
  <c r="R1915" i="13"/>
  <c r="R1917" i="13"/>
  <c r="R1918" i="13"/>
  <c r="R1919" i="13"/>
  <c r="R1920" i="13"/>
  <c r="R1922" i="13"/>
  <c r="R1923" i="13"/>
  <c r="R1924" i="13"/>
  <c r="R1925" i="13"/>
  <c r="R1926" i="13"/>
  <c r="R1927" i="13"/>
  <c r="R1928" i="13"/>
  <c r="R1929" i="13"/>
  <c r="R1930" i="13"/>
  <c r="R1931" i="13"/>
  <c r="R1932" i="13"/>
  <c r="R1933" i="13"/>
  <c r="R1934" i="13"/>
  <c r="R1935" i="13"/>
  <c r="R1936" i="13"/>
  <c r="R1937" i="13"/>
  <c r="R1938" i="13"/>
  <c r="R1939" i="13"/>
  <c r="R1940" i="13"/>
  <c r="R1941" i="13"/>
  <c r="R1942" i="13"/>
  <c r="R1943" i="13"/>
  <c r="R1944" i="13"/>
  <c r="R1945" i="13"/>
  <c r="R1946" i="13"/>
  <c r="R1947" i="13"/>
  <c r="R1948" i="13"/>
  <c r="R1949" i="13"/>
  <c r="R1950" i="13"/>
  <c r="R1951" i="13"/>
  <c r="R1952" i="13"/>
  <c r="R1953" i="13"/>
  <c r="R1954" i="13"/>
  <c r="R1955" i="13"/>
  <c r="R1956" i="13"/>
  <c r="R1957" i="13"/>
  <c r="R1958" i="13"/>
  <c r="R1959" i="13"/>
  <c r="R1960" i="13"/>
  <c r="R1961" i="13"/>
  <c r="R1962" i="13"/>
  <c r="R1963" i="13"/>
  <c r="R1964" i="13"/>
  <c r="R1965" i="13"/>
  <c r="R1966" i="13"/>
  <c r="R1967" i="13"/>
  <c r="R1968" i="13"/>
  <c r="R1969" i="13"/>
  <c r="R1970" i="13"/>
  <c r="R1971" i="13"/>
  <c r="R1972" i="13"/>
  <c r="R1973" i="13"/>
  <c r="R1974" i="13"/>
  <c r="R1975" i="13"/>
  <c r="R1976" i="13"/>
  <c r="R1977" i="13"/>
  <c r="R1978" i="13"/>
  <c r="R1979" i="13"/>
  <c r="R1980" i="13"/>
  <c r="R1981" i="13"/>
  <c r="R1982" i="13"/>
  <c r="R1983" i="13"/>
  <c r="R1984" i="13"/>
  <c r="R1985" i="13"/>
  <c r="R1986" i="13"/>
  <c r="R1987" i="13"/>
  <c r="R1988" i="13"/>
  <c r="R1989" i="13"/>
  <c r="R1990" i="13"/>
  <c r="R1991" i="13"/>
  <c r="R1992" i="13"/>
  <c r="R1993" i="13"/>
  <c r="R1994" i="13"/>
  <c r="R1995" i="13"/>
  <c r="R1996" i="13"/>
  <c r="R1997" i="13"/>
  <c r="R1998" i="13"/>
  <c r="R1999" i="13"/>
  <c r="R2000" i="13"/>
  <c r="R2001" i="13"/>
  <c r="R2002" i="13"/>
  <c r="R2003" i="13"/>
  <c r="R2004" i="13"/>
  <c r="R2005" i="13"/>
  <c r="R2006" i="13"/>
  <c r="R2007" i="13"/>
  <c r="R2008" i="13"/>
  <c r="R2009" i="13"/>
  <c r="R2010" i="13"/>
  <c r="R2011" i="13"/>
  <c r="R2012" i="13"/>
  <c r="R2013" i="13"/>
  <c r="R2014" i="13"/>
  <c r="R2015" i="13"/>
  <c r="R2016" i="13"/>
  <c r="R2017" i="13"/>
  <c r="R2018" i="13"/>
  <c r="R2019" i="13"/>
  <c r="R2020" i="13"/>
  <c r="R2021" i="13"/>
  <c r="R2022" i="13"/>
  <c r="R2023" i="13"/>
  <c r="R2024" i="13"/>
  <c r="R2025" i="13"/>
  <c r="R2026" i="13"/>
  <c r="R2027" i="13"/>
  <c r="R2028" i="13"/>
  <c r="R2029" i="13"/>
  <c r="R2030" i="13"/>
  <c r="R2031" i="13"/>
  <c r="R2032" i="13"/>
  <c r="R2033" i="13"/>
  <c r="R2034" i="13"/>
  <c r="R2035" i="13"/>
  <c r="R2036" i="13"/>
  <c r="R2037" i="13"/>
  <c r="R2038" i="13"/>
  <c r="R2039" i="13"/>
  <c r="R2040" i="13"/>
  <c r="R2041" i="13"/>
  <c r="R2042" i="13"/>
  <c r="R2043" i="13"/>
  <c r="R2044" i="13"/>
  <c r="R2045" i="13"/>
  <c r="R2046" i="13"/>
  <c r="R2047" i="13"/>
  <c r="R2048" i="13"/>
  <c r="R2049" i="13"/>
  <c r="R2050" i="13"/>
  <c r="R2051" i="13"/>
  <c r="R2052" i="13"/>
  <c r="R2053" i="13"/>
  <c r="R2054" i="13"/>
  <c r="R2055" i="13"/>
  <c r="R2056" i="13"/>
  <c r="R2057" i="13"/>
  <c r="R2058" i="13"/>
  <c r="R2059" i="13"/>
  <c r="R2060" i="13"/>
  <c r="R2061" i="13"/>
  <c r="R2062" i="13"/>
  <c r="R2063" i="13"/>
  <c r="R2064" i="13"/>
  <c r="R2065" i="13"/>
  <c r="R2066" i="13"/>
  <c r="R2067" i="13"/>
  <c r="R2068" i="13"/>
  <c r="R2069" i="13"/>
  <c r="R2070" i="13"/>
  <c r="R2071" i="13"/>
  <c r="R2072" i="13"/>
  <c r="R2073" i="13"/>
  <c r="R2074" i="13"/>
  <c r="R2075" i="13"/>
  <c r="R2076" i="13"/>
  <c r="R2077" i="13"/>
  <c r="R2078" i="13"/>
  <c r="R2079" i="13"/>
  <c r="R2080" i="13"/>
  <c r="R2081" i="13"/>
  <c r="R2082" i="13"/>
  <c r="R2083" i="13"/>
  <c r="R2084" i="13"/>
  <c r="R2085" i="13"/>
  <c r="R2086" i="13"/>
  <c r="R2087" i="13"/>
  <c r="R2088" i="13"/>
  <c r="R2089" i="13"/>
  <c r="R2090" i="13"/>
  <c r="R2091" i="13"/>
  <c r="R2092" i="13"/>
  <c r="R2093" i="13"/>
  <c r="R2094" i="13"/>
  <c r="R2095" i="13"/>
  <c r="R2096" i="13"/>
  <c r="R2097" i="13"/>
  <c r="R2098" i="13"/>
  <c r="R2099" i="13"/>
  <c r="R2100" i="13"/>
  <c r="R2101" i="13"/>
  <c r="R2102" i="13"/>
  <c r="R2103" i="13"/>
  <c r="R2104" i="13"/>
  <c r="R2106" i="13"/>
  <c r="R2107" i="13"/>
  <c r="R2108" i="13"/>
  <c r="R2109" i="13"/>
  <c r="R2110" i="13"/>
  <c r="R2112" i="13"/>
  <c r="R2113" i="13"/>
  <c r="R2114" i="13"/>
  <c r="R2116" i="13"/>
  <c r="R2117" i="13"/>
  <c r="R2118" i="13"/>
  <c r="R2120" i="13"/>
  <c r="R2121" i="13"/>
  <c r="R2122" i="13"/>
  <c r="R2123" i="13"/>
  <c r="R2124" i="13"/>
  <c r="R2125" i="13"/>
  <c r="R2126" i="13"/>
  <c r="R2127" i="13"/>
  <c r="R2128" i="13"/>
  <c r="R2129" i="13"/>
  <c r="R2132" i="13"/>
  <c r="R2133" i="13"/>
  <c r="R2135" i="13"/>
  <c r="X388" i="14"/>
  <c r="X387" i="14"/>
  <c r="X370" i="14"/>
  <c r="X372" i="14"/>
  <c r="R2169" i="13" s="1"/>
  <c r="X350" i="14" l="1"/>
  <c r="R2166" i="13" s="1"/>
  <c r="X273" i="14" l="1"/>
  <c r="R79" i="13" s="1"/>
  <c r="X271" i="14"/>
  <c r="X160" i="14"/>
  <c r="X324" i="14"/>
  <c r="X264" i="14"/>
  <c r="X154" i="14"/>
  <c r="P8" i="12"/>
  <c r="P9" i="12"/>
  <c r="P10" i="12"/>
  <c r="P11" i="12"/>
  <c r="P12" i="12"/>
  <c r="P7" i="12"/>
  <c r="O241" i="13"/>
  <c r="O207" i="13"/>
  <c r="O114" i="13"/>
  <c r="O283" i="13"/>
  <c r="O282" i="13"/>
  <c r="O206" i="13"/>
  <c r="O117" i="13"/>
  <c r="O195" i="13"/>
  <c r="O200" i="13"/>
  <c r="O120" i="13"/>
  <c r="O204" i="13"/>
  <c r="O122" i="13"/>
  <c r="O123" i="13"/>
  <c r="O124" i="13"/>
  <c r="O194" i="13"/>
  <c r="O190" i="13"/>
  <c r="O193" i="13"/>
  <c r="O192" i="13"/>
  <c r="O129" i="13"/>
  <c r="O186" i="13"/>
  <c r="O131" i="13"/>
  <c r="O183" i="13"/>
  <c r="O188" i="13"/>
  <c r="O187" i="13"/>
  <c r="O179" i="13"/>
  <c r="O135" i="13"/>
  <c r="O20" i="13"/>
  <c r="O178" i="13"/>
  <c r="O137" i="13"/>
  <c r="O3" i="13"/>
  <c r="O115" i="13"/>
  <c r="O149" i="13"/>
  <c r="O233" i="13"/>
  <c r="O177" i="13"/>
  <c r="O5" i="13"/>
  <c r="O116" i="13"/>
  <c r="O152" i="13"/>
  <c r="O146" i="13"/>
  <c r="O147" i="13"/>
  <c r="O148" i="13"/>
  <c r="O170" i="13"/>
  <c r="O171" i="13"/>
  <c r="O151" i="13"/>
  <c r="O21" i="13"/>
  <c r="O285" i="13"/>
  <c r="O173" i="13"/>
  <c r="O155" i="13"/>
  <c r="O156" i="13"/>
  <c r="O157" i="13"/>
  <c r="O180" i="13"/>
  <c r="O163" i="13"/>
  <c r="O164" i="13"/>
  <c r="O167" i="13"/>
  <c r="O168" i="13"/>
  <c r="O118" i="13"/>
  <c r="O256" i="13"/>
  <c r="O169" i="13"/>
  <c r="O165" i="13"/>
  <c r="O166" i="13"/>
  <c r="O159" i="13"/>
  <c r="O160" i="13"/>
  <c r="O161" i="13"/>
  <c r="O162" i="13"/>
  <c r="O158" i="13"/>
  <c r="O153" i="13"/>
  <c r="O172" i="13"/>
  <c r="O249" i="13"/>
  <c r="O174" i="13"/>
  <c r="O175" i="13"/>
  <c r="O176" i="13"/>
  <c r="O145" i="13"/>
  <c r="O150" i="13"/>
  <c r="O222" i="13"/>
  <c r="O142" i="13"/>
  <c r="O274" i="13"/>
  <c r="O19" i="13"/>
  <c r="O143" i="13"/>
  <c r="O144" i="13"/>
  <c r="O184" i="13"/>
  <c r="O185" i="13"/>
  <c r="O209" i="13"/>
  <c r="O210" i="13"/>
  <c r="O211" i="13"/>
  <c r="O189" i="13"/>
  <c r="O141" i="13"/>
  <c r="O191" i="13"/>
  <c r="O287" i="13"/>
  <c r="O223" i="13"/>
  <c r="O181" i="13"/>
  <c r="O246" i="13"/>
  <c r="O196" i="13"/>
  <c r="O197" i="13"/>
  <c r="O198" i="13"/>
  <c r="O199" i="13"/>
  <c r="O182" i="13"/>
  <c r="O201" i="13"/>
  <c r="O202" i="13"/>
  <c r="O203" i="13"/>
  <c r="O61" i="13"/>
  <c r="O205" i="13"/>
  <c r="O10" i="13"/>
  <c r="O101" i="13"/>
  <c r="O11" i="13"/>
  <c r="O12" i="13"/>
  <c r="O26" i="13"/>
  <c r="O13" i="13"/>
  <c r="O14" i="13"/>
  <c r="O15" i="13"/>
  <c r="O92" i="13"/>
  <c r="O16" i="13"/>
  <c r="O255" i="13"/>
  <c r="O17" i="13"/>
  <c r="O18" i="13"/>
  <c r="O212" i="13"/>
  <c r="O102" i="13"/>
  <c r="O119" i="13"/>
  <c r="O27" i="13"/>
  <c r="O28" i="13"/>
  <c r="O91" i="13"/>
  <c r="O22" i="13"/>
  <c r="O213" i="13"/>
  <c r="O214" i="13"/>
  <c r="O29" i="13"/>
  <c r="O24" i="13"/>
  <c r="O215" i="13"/>
  <c r="O216" i="13"/>
  <c r="O31" i="13"/>
  <c r="O218" i="13"/>
  <c r="O219" i="13"/>
  <c r="O289" i="13"/>
  <c r="O250" i="13"/>
  <c r="O297" i="13"/>
  <c r="O103" i="13"/>
  <c r="O220" i="13"/>
  <c r="O221" i="13"/>
  <c r="O25" i="13"/>
  <c r="O154" i="13"/>
  <c r="O32" i="13"/>
  <c r="O30" i="13"/>
  <c r="O224" i="13"/>
  <c r="O225" i="13"/>
  <c r="O226" i="13"/>
  <c r="O299" i="13"/>
  <c r="O104" i="13"/>
  <c r="O228" i="13"/>
  <c r="O229" i="13"/>
  <c r="O301" i="13"/>
  <c r="O231" i="13"/>
  <c r="O217" i="13"/>
  <c r="O232" i="13"/>
  <c r="O302" i="13"/>
  <c r="O234" i="13"/>
  <c r="O235" i="13"/>
  <c r="O236" i="13"/>
  <c r="O237" i="13"/>
  <c r="O238" i="13"/>
  <c r="O239" i="13"/>
  <c r="O240" i="13"/>
  <c r="O304" i="13"/>
  <c r="O242" i="13"/>
  <c r="O243" i="13"/>
  <c r="O34" i="13"/>
  <c r="O35" i="13"/>
  <c r="O36" i="13"/>
  <c r="O37" i="13"/>
  <c r="O244" i="13"/>
  <c r="O38" i="13"/>
  <c r="O245" i="13"/>
  <c r="O315" i="13"/>
  <c r="O247" i="13"/>
  <c r="O248" i="13"/>
  <c r="O319" i="13"/>
  <c r="O281" i="13"/>
  <c r="O251" i="13"/>
  <c r="O321" i="13"/>
  <c r="O253" i="13"/>
  <c r="O254" i="13"/>
  <c r="O77" i="13"/>
  <c r="O325" i="13"/>
  <c r="O257" i="13"/>
  <c r="O39" i="13"/>
  <c r="O342" i="13"/>
  <c r="O258" i="13"/>
  <c r="O259" i="13"/>
  <c r="O260" i="13"/>
  <c r="O261" i="13"/>
  <c r="O262" i="13"/>
  <c r="O263" i="13"/>
  <c r="O266" i="13"/>
  <c r="O265" i="13"/>
  <c r="O352" i="13"/>
  <c r="O267" i="13"/>
  <c r="O268" i="13"/>
  <c r="O269" i="13"/>
  <c r="O270" i="13"/>
  <c r="O271" i="13"/>
  <c r="O272" i="13"/>
  <c r="O273" i="13"/>
  <c r="O354" i="13"/>
  <c r="O275" i="13"/>
  <c r="O276" i="13"/>
  <c r="O41" i="13"/>
  <c r="O277" i="13"/>
  <c r="O278" i="13"/>
  <c r="O279" i="13"/>
  <c r="O280" i="13"/>
  <c r="O356" i="13"/>
  <c r="O357" i="13"/>
  <c r="O252" i="13"/>
  <c r="O284" i="13"/>
  <c r="O362" i="13"/>
  <c r="O286" i="13"/>
  <c r="O264" i="13"/>
  <c r="O42" i="13"/>
  <c r="O288" i="13"/>
  <c r="O80" i="13"/>
  <c r="O368" i="13"/>
  <c r="O290" i="13"/>
  <c r="O291" i="13"/>
  <c r="O292" i="13"/>
  <c r="O293" i="13"/>
  <c r="O294" i="13"/>
  <c r="O295" i="13"/>
  <c r="O296" i="13"/>
  <c r="O2138" i="13"/>
  <c r="O298" i="13"/>
  <c r="O81" i="13"/>
  <c r="O2139" i="13"/>
  <c r="O300" i="13"/>
  <c r="O2140" i="13"/>
  <c r="O2141" i="13"/>
  <c r="O303" i="13"/>
  <c r="O2142" i="13"/>
  <c r="O305" i="13"/>
  <c r="O306" i="13"/>
  <c r="O307" i="13"/>
  <c r="O308" i="13"/>
  <c r="O309" i="13"/>
  <c r="O310" i="13"/>
  <c r="O311" i="13"/>
  <c r="O312" i="13"/>
  <c r="O313" i="13"/>
  <c r="O314" i="13"/>
  <c r="O2143" i="13"/>
  <c r="O82" i="13"/>
  <c r="O46" i="13"/>
  <c r="O316" i="13"/>
  <c r="O317" i="13"/>
  <c r="O318" i="13"/>
  <c r="O2144" i="13"/>
  <c r="O320" i="13"/>
  <c r="O2145" i="13"/>
  <c r="O322" i="13"/>
  <c r="O323" i="13"/>
  <c r="O324" i="13"/>
  <c r="O2146" i="13"/>
  <c r="O326" i="13"/>
  <c r="O327" i="13"/>
  <c r="O47" i="13"/>
  <c r="O328" i="13"/>
  <c r="O329" i="13"/>
  <c r="O330" i="13"/>
  <c r="O331" i="13"/>
  <c r="O332" i="13"/>
  <c r="O333" i="13"/>
  <c r="O334" i="13"/>
  <c r="O335" i="13"/>
  <c r="O336" i="13"/>
  <c r="O337" i="13"/>
  <c r="O338" i="13"/>
  <c r="O339" i="13"/>
  <c r="O340" i="13"/>
  <c r="O341" i="13"/>
  <c r="O2147" i="13"/>
  <c r="O343" i="13"/>
  <c r="O344" i="13"/>
  <c r="O345" i="13"/>
  <c r="O346" i="13"/>
  <c r="O347" i="13"/>
  <c r="O348" i="13"/>
  <c r="O349" i="13"/>
  <c r="O350" i="13"/>
  <c r="O351" i="13"/>
  <c r="O83" i="13"/>
  <c r="O2148" i="13"/>
  <c r="O353" i="13"/>
  <c r="O49" i="13"/>
  <c r="O2149" i="13"/>
  <c r="O355" i="13"/>
  <c r="O50" i="13"/>
  <c r="O2150" i="13"/>
  <c r="O2151" i="13"/>
  <c r="O358" i="13"/>
  <c r="O359" i="13"/>
  <c r="O360" i="13"/>
  <c r="O361" i="13"/>
  <c r="O2152" i="13"/>
  <c r="O363" i="13"/>
  <c r="O364" i="13"/>
  <c r="O365" i="13"/>
  <c r="O366" i="13"/>
  <c r="O367" i="13"/>
  <c r="O2153" i="13"/>
  <c r="O369" i="13"/>
  <c r="O370" i="13"/>
  <c r="O371" i="13"/>
  <c r="O372" i="13"/>
  <c r="O373" i="13"/>
  <c r="O374" i="13"/>
  <c r="O375" i="13"/>
  <c r="O376" i="13"/>
  <c r="O377" i="13"/>
  <c r="O378" i="13"/>
  <c r="O379" i="13"/>
  <c r="O380" i="13"/>
  <c r="O381" i="13"/>
  <c r="O382" i="13"/>
  <c r="O383" i="13"/>
  <c r="O384" i="13"/>
  <c r="O385" i="13"/>
  <c r="O386" i="13"/>
  <c r="O387" i="13"/>
  <c r="O388" i="13"/>
  <c r="O389" i="13"/>
  <c r="O390" i="13"/>
  <c r="O391" i="13"/>
  <c r="O392" i="13"/>
  <c r="O393" i="13"/>
  <c r="O394" i="13"/>
  <c r="O395" i="13"/>
  <c r="O396" i="13"/>
  <c r="O397" i="13"/>
  <c r="O398" i="13"/>
  <c r="O399" i="13"/>
  <c r="O400" i="13"/>
  <c r="O401" i="13"/>
  <c r="O402" i="13"/>
  <c r="O403" i="13"/>
  <c r="O404" i="13"/>
  <c r="O405" i="13"/>
  <c r="O406" i="13"/>
  <c r="O407" i="13"/>
  <c r="O408" i="13"/>
  <c r="O409" i="13"/>
  <c r="O410" i="13"/>
  <c r="O411" i="13"/>
  <c r="O412" i="13"/>
  <c r="O413" i="13"/>
  <c r="O414" i="13"/>
  <c r="O415" i="13"/>
  <c r="O416" i="13"/>
  <c r="O417" i="13"/>
  <c r="O418" i="13"/>
  <c r="O419" i="13"/>
  <c r="O420" i="13"/>
  <c r="O421" i="13"/>
  <c r="O422" i="13"/>
  <c r="O423" i="13"/>
  <c r="O424" i="13"/>
  <c r="O425" i="13"/>
  <c r="O426" i="13"/>
  <c r="O427" i="13"/>
  <c r="O428" i="13"/>
  <c r="O429" i="13"/>
  <c r="O430" i="13"/>
  <c r="O431" i="13"/>
  <c r="O432" i="13"/>
  <c r="O433" i="13"/>
  <c r="O434" i="13"/>
  <c r="O435" i="13"/>
  <c r="O436" i="13"/>
  <c r="O437" i="13"/>
  <c r="O438" i="13"/>
  <c r="O439" i="13"/>
  <c r="O440" i="13"/>
  <c r="O441" i="13"/>
  <c r="O442" i="13"/>
  <c r="O443" i="13"/>
  <c r="O444" i="13"/>
  <c r="O445" i="13"/>
  <c r="O446" i="13"/>
  <c r="O447" i="13"/>
  <c r="O448" i="13"/>
  <c r="O449" i="13"/>
  <c r="O450" i="13"/>
  <c r="O451" i="13"/>
  <c r="O452" i="13"/>
  <c r="O453" i="13"/>
  <c r="O454" i="13"/>
  <c r="O455" i="13"/>
  <c r="O456" i="13"/>
  <c r="O457" i="13"/>
  <c r="O458" i="13"/>
  <c r="O459" i="13"/>
  <c r="O460" i="13"/>
  <c r="O461" i="13"/>
  <c r="O462" i="13"/>
  <c r="O463" i="13"/>
  <c r="X306" i="14"/>
  <c r="X305" i="14"/>
  <c r="X304" i="14"/>
  <c r="X301" i="14"/>
  <c r="D7" i="12"/>
  <c r="X247" i="14"/>
  <c r="X246" i="14"/>
  <c r="X249" i="14"/>
  <c r="X250" i="14"/>
  <c r="X251" i="14"/>
  <c r="X252" i="14"/>
  <c r="X253" i="14"/>
  <c r="X254" i="14"/>
  <c r="R78" i="13" s="1"/>
  <c r="X255" i="14"/>
  <c r="X256" i="14"/>
  <c r="X257" i="14"/>
  <c r="R60" i="13" s="1"/>
  <c r="X258" i="14"/>
  <c r="X259" i="14"/>
  <c r="X260" i="14"/>
  <c r="X261" i="14"/>
  <c r="X262" i="14"/>
  <c r="X278" i="14"/>
  <c r="X279" i="14"/>
  <c r="X280" i="14"/>
  <c r="X281" i="14"/>
  <c r="X282" i="14"/>
  <c r="X283" i="14"/>
  <c r="X284" i="14"/>
  <c r="X285" i="14"/>
  <c r="X286" i="14"/>
  <c r="X287" i="14"/>
  <c r="X288" i="14"/>
  <c r="X289" i="14"/>
  <c r="R54" i="13" s="1"/>
  <c r="X290" i="14"/>
  <c r="X291" i="14"/>
  <c r="X292" i="14"/>
  <c r="R2158" i="13" s="1"/>
  <c r="X293" i="14"/>
  <c r="X294" i="14"/>
  <c r="X295" i="14"/>
  <c r="X296" i="14"/>
  <c r="R89" i="13" s="1"/>
  <c r="X297" i="14"/>
  <c r="X298" i="14"/>
  <c r="X299" i="14"/>
  <c r="X300" i="14"/>
  <c r="X302" i="14"/>
  <c r="X303" i="14"/>
  <c r="X307" i="14"/>
  <c r="X308" i="14"/>
  <c r="X309" i="14"/>
  <c r="X310" i="14"/>
  <c r="R66" i="13" s="1"/>
  <c r="X276" i="14"/>
  <c r="X275" i="14"/>
  <c r="X205" i="14"/>
  <c r="X196" i="14"/>
  <c r="X195" i="14"/>
  <c r="X193" i="14"/>
  <c r="X194" i="14"/>
  <c r="X197" i="14"/>
  <c r="R48" i="13" s="1"/>
  <c r="X198" i="14"/>
  <c r="R2154" i="13" s="1"/>
  <c r="X199" i="14"/>
  <c r="X200" i="14"/>
  <c r="X201" i="14"/>
  <c r="R208" i="13" s="1"/>
  <c r="X202" i="14"/>
  <c r="R6" i="13" s="1"/>
  <c r="X203" i="14"/>
  <c r="R7" i="13" s="1"/>
  <c r="X204" i="14"/>
  <c r="X274" i="14"/>
  <c r="X206" i="14"/>
  <c r="X207" i="14"/>
  <c r="X208" i="14"/>
  <c r="X209" i="14"/>
  <c r="X210" i="14"/>
  <c r="X211" i="14"/>
  <c r="X212" i="14"/>
  <c r="X213" i="14"/>
  <c r="X214" i="14"/>
  <c r="X215" i="14"/>
  <c r="R23" i="13" s="1"/>
  <c r="X216" i="14"/>
  <c r="X217" i="14"/>
  <c r="X218" i="14"/>
  <c r="X219" i="14"/>
  <c r="X220" i="14"/>
  <c r="X221" i="14"/>
  <c r="X222" i="14"/>
  <c r="X223" i="14"/>
  <c r="X224" i="14"/>
  <c r="X225" i="14"/>
  <c r="X226" i="14"/>
  <c r="X227" i="14"/>
  <c r="R53" i="13" s="1"/>
  <c r="X228" i="14"/>
  <c r="X229" i="14"/>
  <c r="X230" i="14"/>
  <c r="X231" i="14"/>
  <c r="X232" i="14"/>
  <c r="X233" i="14"/>
  <c r="X234" i="14"/>
  <c r="X235" i="14"/>
  <c r="X236" i="14"/>
  <c r="X237" i="14"/>
  <c r="X238" i="14"/>
  <c r="X239" i="14"/>
  <c r="X241" i="14"/>
  <c r="X242" i="14"/>
  <c r="X243" i="14"/>
  <c r="X244" i="14"/>
  <c r="R62" i="13" s="1"/>
  <c r="X312" i="14"/>
  <c r="X313" i="14"/>
  <c r="R68" i="13" s="1"/>
  <c r="X314" i="14"/>
  <c r="R69" i="13" s="1"/>
  <c r="X315" i="14"/>
  <c r="R70" i="13" s="1"/>
  <c r="X316" i="14"/>
  <c r="X317" i="14"/>
  <c r="R72" i="13" s="1"/>
  <c r="X318" i="14"/>
  <c r="R2160" i="13" s="1"/>
  <c r="X319" i="14"/>
  <c r="R73" i="13" s="1"/>
  <c r="X320" i="14"/>
  <c r="R74" i="13" s="1"/>
  <c r="X321" i="14"/>
  <c r="X322" i="14"/>
  <c r="X323" i="14"/>
  <c r="X43" i="14"/>
  <c r="X44" i="14"/>
  <c r="X68" i="14"/>
  <c r="X69" i="14"/>
  <c r="X79" i="14"/>
  <c r="X82" i="14"/>
  <c r="X94" i="14"/>
  <c r="X100" i="14"/>
  <c r="X123" i="14"/>
  <c r="X131" i="14"/>
  <c r="X145" i="14"/>
  <c r="X146" i="14"/>
  <c r="X147" i="14"/>
  <c r="X156" i="14"/>
  <c r="X157" i="14"/>
  <c r="X158" i="14"/>
  <c r="X162" i="14"/>
  <c r="X166" i="14"/>
  <c r="X172" i="14"/>
  <c r="X176" i="14"/>
  <c r="X179" i="14"/>
  <c r="X183" i="14"/>
  <c r="X185" i="14"/>
  <c r="X186" i="14"/>
  <c r="X190" i="14"/>
  <c r="X263" i="14"/>
  <c r="R76" i="13" s="1"/>
  <c r="X95" i="14"/>
  <c r="X265" i="14"/>
  <c r="X266" i="14"/>
  <c r="X267" i="14"/>
  <c r="X268" i="14"/>
  <c r="X269" i="14"/>
  <c r="X270" i="14"/>
  <c r="X272" i="14"/>
  <c r="X45" i="14"/>
  <c r="X83" i="14"/>
  <c r="X148" i="14"/>
  <c r="X149" i="14"/>
  <c r="X325" i="14"/>
  <c r="R85" i="13" s="1"/>
  <c r="X326" i="14"/>
  <c r="R86" i="13" s="1"/>
  <c r="X327" i="14"/>
  <c r="X328" i="14"/>
  <c r="X329" i="14"/>
  <c r="X330" i="14"/>
  <c r="X331" i="14"/>
  <c r="X332" i="14"/>
  <c r="X333" i="14"/>
  <c r="X334" i="14"/>
  <c r="R87" i="13" s="1"/>
  <c r="X335" i="14"/>
  <c r="X336" i="14"/>
  <c r="X46" i="14"/>
  <c r="X84" i="14"/>
  <c r="X85" i="14"/>
  <c r="X150" i="14"/>
  <c r="X155" i="14"/>
  <c r="X163" i="14"/>
  <c r="X177" i="14"/>
  <c r="X180" i="14"/>
  <c r="X337" i="14"/>
  <c r="R90" i="13" s="1"/>
  <c r="X338" i="14"/>
  <c r="X339" i="14"/>
  <c r="X340" i="14"/>
  <c r="X341" i="14"/>
  <c r="X342" i="14"/>
  <c r="X159" i="14"/>
  <c r="X167" i="14"/>
  <c r="X182" i="14"/>
  <c r="X343" i="14"/>
  <c r="R93" i="13" s="1"/>
  <c r="X344" i="14"/>
  <c r="R94" i="13" s="1"/>
  <c r="X345" i="14"/>
  <c r="R95" i="13" s="1"/>
  <c r="X346" i="14"/>
  <c r="R2165" i="13" s="1"/>
  <c r="X347" i="14"/>
  <c r="R96" i="13" s="1"/>
  <c r="X348" i="14"/>
  <c r="R97" i="13" s="1"/>
  <c r="X349" i="14"/>
  <c r="R98" i="13" s="1"/>
  <c r="X351" i="14"/>
  <c r="R99" i="13" s="1"/>
  <c r="X352" i="14"/>
  <c r="R100" i="13" s="1"/>
  <c r="X353" i="14"/>
  <c r="X354" i="14"/>
  <c r="R2167" i="13" s="1"/>
  <c r="X355" i="14"/>
  <c r="X356" i="14"/>
  <c r="X357" i="14"/>
  <c r="X358" i="14"/>
  <c r="X359" i="14"/>
  <c r="X360" i="14"/>
  <c r="X361" i="14"/>
  <c r="X362" i="14"/>
  <c r="X363" i="14"/>
  <c r="R673" i="13" s="1"/>
  <c r="X364" i="14"/>
  <c r="X365" i="14"/>
  <c r="X366" i="14"/>
  <c r="X367" i="14"/>
  <c r="X368" i="14"/>
  <c r="X369" i="14"/>
  <c r="X371" i="14"/>
  <c r="X373" i="14"/>
  <c r="X374" i="14"/>
  <c r="X375" i="14"/>
  <c r="X376" i="14"/>
  <c r="X377" i="14"/>
  <c r="R2170" i="13" s="1"/>
  <c r="X378" i="14"/>
  <c r="R2171" i="13" s="1"/>
  <c r="X379" i="14"/>
  <c r="X380" i="14"/>
  <c r="X381" i="14"/>
  <c r="X382" i="14"/>
  <c r="X383" i="14"/>
  <c r="X384" i="14"/>
  <c r="X385" i="14"/>
  <c r="X386" i="14"/>
  <c r="X389" i="14"/>
  <c r="X390" i="14"/>
  <c r="X391" i="14"/>
  <c r="X392" i="14"/>
  <c r="X393" i="14"/>
  <c r="X394" i="14"/>
  <c r="X395" i="14"/>
  <c r="X396" i="14"/>
  <c r="X397" i="14"/>
  <c r="X398" i="14"/>
  <c r="X399" i="14"/>
  <c r="X400" i="14"/>
  <c r="X401" i="14"/>
  <c r="X402" i="14"/>
  <c r="X403" i="14"/>
  <c r="X404" i="14"/>
  <c r="X405" i="14"/>
  <c r="X406" i="14"/>
  <c r="R2173" i="13" s="1"/>
  <c r="X407" i="14"/>
  <c r="X408" i="14"/>
  <c r="X409" i="14"/>
  <c r="X410" i="14"/>
  <c r="X411" i="14"/>
  <c r="X412" i="14"/>
  <c r="X413" i="14"/>
  <c r="X414" i="14"/>
  <c r="X415" i="14"/>
  <c r="X416" i="14"/>
  <c r="X417" i="14"/>
  <c r="X418" i="14"/>
  <c r="X419" i="14"/>
  <c r="X420" i="14"/>
  <c r="X421" i="14"/>
  <c r="X422" i="14"/>
  <c r="X423" i="14"/>
  <c r="X424" i="14"/>
  <c r="X425" i="14"/>
  <c r="X426" i="14"/>
  <c r="X427" i="14"/>
  <c r="X428" i="14"/>
  <c r="X430" i="14"/>
  <c r="X431" i="14"/>
  <c r="X432" i="14"/>
  <c r="X433" i="14"/>
  <c r="X434" i="14"/>
  <c r="X435" i="14"/>
  <c r="X436" i="14"/>
  <c r="X437" i="14"/>
  <c r="X438" i="14"/>
  <c r="X439" i="14"/>
  <c r="X440" i="14"/>
  <c r="X441" i="14"/>
  <c r="X442" i="14"/>
  <c r="X443" i="14"/>
  <c r="X444" i="14"/>
  <c r="X445" i="14"/>
  <c r="X446" i="14"/>
  <c r="X447" i="14"/>
  <c r="X448" i="14"/>
  <c r="X449" i="14"/>
  <c r="X450" i="14"/>
  <c r="X451" i="14"/>
  <c r="X453" i="14"/>
  <c r="X454" i="14"/>
  <c r="X455" i="14"/>
  <c r="X456" i="14"/>
  <c r="X457" i="14"/>
  <c r="X458" i="14"/>
  <c r="X460" i="14"/>
  <c r="X462" i="14"/>
  <c r="X463" i="14"/>
  <c r="X464" i="14"/>
  <c r="X465" i="14"/>
  <c r="X466" i="14"/>
  <c r="X467" i="14"/>
  <c r="X468" i="14"/>
  <c r="X469" i="14"/>
  <c r="X470" i="14"/>
  <c r="X471" i="14"/>
  <c r="X472" i="14"/>
  <c r="X473" i="14"/>
  <c r="X474" i="14"/>
  <c r="X475" i="14"/>
  <c r="X477" i="14"/>
  <c r="X478" i="14"/>
  <c r="X479" i="14"/>
  <c r="X480" i="14"/>
  <c r="X481" i="14"/>
  <c r="X482" i="14"/>
  <c r="X483" i="14"/>
  <c r="X484" i="14"/>
  <c r="X485" i="14"/>
  <c r="X486" i="14"/>
  <c r="X488" i="14"/>
  <c r="X489" i="14"/>
  <c r="X491" i="14"/>
  <c r="X492" i="14"/>
  <c r="X493" i="14"/>
  <c r="X494" i="14"/>
  <c r="X496" i="14"/>
  <c r="X497" i="14"/>
  <c r="X499" i="14"/>
  <c r="X500" i="14"/>
  <c r="X501" i="14"/>
  <c r="X502" i="14"/>
  <c r="X503" i="14"/>
  <c r="X504" i="14"/>
  <c r="X505" i="14"/>
  <c r="X506" i="14"/>
  <c r="X507" i="14"/>
  <c r="X508" i="14"/>
  <c r="X509" i="14"/>
  <c r="X510" i="14"/>
  <c r="X511" i="14"/>
  <c r="X512" i="14"/>
  <c r="X513" i="14"/>
  <c r="X514" i="14"/>
  <c r="X515" i="14"/>
  <c r="X517" i="14"/>
  <c r="X518" i="14"/>
  <c r="X521" i="14"/>
  <c r="X522" i="14"/>
  <c r="X523" i="14"/>
  <c r="X524" i="14"/>
  <c r="X525" i="14"/>
  <c r="X526" i="14"/>
  <c r="X528" i="14"/>
  <c r="X529" i="14"/>
  <c r="X530" i="14"/>
  <c r="X531" i="14"/>
  <c r="X534" i="14"/>
  <c r="X535" i="14"/>
  <c r="X536" i="14"/>
  <c r="X537" i="14"/>
  <c r="X538" i="14"/>
  <c r="X539" i="14"/>
  <c r="X540" i="14"/>
  <c r="X541" i="14"/>
  <c r="X542" i="14"/>
  <c r="X543" i="14"/>
  <c r="X544" i="14"/>
  <c r="X545" i="14"/>
  <c r="X546" i="14"/>
  <c r="X547" i="14"/>
  <c r="X553" i="14"/>
  <c r="X554" i="14"/>
  <c r="X555" i="14"/>
  <c r="X556" i="14"/>
  <c r="X557" i="14"/>
  <c r="X568" i="14"/>
  <c r="X569" i="14"/>
  <c r="X570" i="14"/>
  <c r="X571" i="14"/>
  <c r="X572" i="14"/>
  <c r="X573" i="14"/>
  <c r="X574" i="14"/>
  <c r="X575" i="14"/>
  <c r="X576" i="14"/>
  <c r="X577" i="14"/>
  <c r="X578" i="14"/>
  <c r="X579" i="14"/>
  <c r="X580" i="14"/>
  <c r="X581" i="14"/>
  <c r="X582" i="14"/>
  <c r="X583" i="14"/>
  <c r="X584" i="14"/>
  <c r="X585" i="14"/>
  <c r="X586" i="14"/>
  <c r="X587" i="14"/>
  <c r="X588" i="14"/>
  <c r="X589" i="14"/>
  <c r="X590" i="14"/>
  <c r="R2105" i="13" s="1"/>
  <c r="X591" i="14"/>
  <c r="X593" i="14"/>
  <c r="X594" i="14"/>
  <c r="X599" i="14"/>
  <c r="X601" i="14"/>
  <c r="X602" i="14"/>
  <c r="R550" i="13"/>
  <c r="X605" i="14"/>
  <c r="X606" i="14"/>
  <c r="X608" i="14"/>
  <c r="X609" i="14"/>
  <c r="X610" i="14"/>
  <c r="X611" i="14"/>
  <c r="X612" i="14"/>
  <c r="X613" i="14"/>
  <c r="X614" i="14"/>
  <c r="X615" i="14"/>
  <c r="R1507" i="13" s="1"/>
  <c r="X616" i="14"/>
  <c r="X617" i="14"/>
  <c r="X618" i="14"/>
  <c r="X619" i="14"/>
  <c r="X620" i="14"/>
  <c r="X621" i="14"/>
  <c r="X626" i="14"/>
  <c r="X627" i="14"/>
  <c r="R2134" i="13" s="1"/>
  <c r="X628" i="14"/>
  <c r="X629" i="14"/>
  <c r="X630" i="14"/>
  <c r="X631" i="14"/>
  <c r="X632" i="14"/>
  <c r="R1116" i="13" s="1"/>
  <c r="X633" i="14"/>
  <c r="X634" i="14"/>
  <c r="R1400" i="13" s="1"/>
  <c r="X635" i="14"/>
  <c r="R1652" i="13" s="1"/>
  <c r="X636" i="14"/>
  <c r="R714" i="13" s="1"/>
  <c r="X638" i="14"/>
  <c r="R559" i="13" s="1"/>
  <c r="X639" i="14"/>
  <c r="R562" i="13" s="1"/>
  <c r="X640" i="14"/>
  <c r="R1255" i="13" s="1"/>
  <c r="X641" i="14"/>
  <c r="X643" i="14"/>
  <c r="R536" i="13"/>
  <c r="R593" i="13"/>
  <c r="R1128" i="13"/>
  <c r="R1134" i="13"/>
  <c r="X646" i="14"/>
  <c r="R1228" i="13" s="1"/>
  <c r="X647" i="14"/>
  <c r="R1241" i="13" s="1"/>
  <c r="R1267" i="13"/>
  <c r="R1720" i="13"/>
  <c r="R890" i="13"/>
  <c r="R1352" i="13"/>
  <c r="X652" i="14"/>
  <c r="R1884" i="13" s="1"/>
  <c r="X653" i="14"/>
  <c r="R1897" i="13" s="1"/>
  <c r="X654" i="14"/>
  <c r="R1257" i="13" s="1"/>
  <c r="R1412" i="13"/>
  <c r="R1586" i="13"/>
  <c r="R1921" i="13"/>
  <c r="X658" i="14"/>
  <c r="X659" i="14"/>
  <c r="X660" i="14"/>
  <c r="X661" i="14"/>
  <c r="X662" i="14"/>
  <c r="X663" i="14"/>
  <c r="X664" i="14"/>
  <c r="X665" i="14"/>
  <c r="X666" i="14"/>
  <c r="X667" i="14"/>
  <c r="X669" i="14"/>
  <c r="X670" i="14"/>
  <c r="X672" i="14"/>
  <c r="X673" i="14"/>
  <c r="X674" i="14"/>
  <c r="X675" i="14"/>
  <c r="X676" i="14"/>
  <c r="X677" i="14"/>
  <c r="X175" i="14"/>
  <c r="X678" i="14"/>
  <c r="X679" i="14"/>
  <c r="X680" i="14"/>
  <c r="X681" i="14"/>
  <c r="X682" i="14"/>
  <c r="X683" i="14"/>
  <c r="X684" i="14"/>
  <c r="R1018" i="13" s="1"/>
  <c r="X685" i="14"/>
  <c r="R1036" i="13" s="1"/>
  <c r="R1052" i="13"/>
  <c r="X686" i="14"/>
  <c r="R1083" i="13" s="1"/>
  <c r="X687" i="14"/>
  <c r="R1171" i="13" s="1"/>
  <c r="X688" i="14"/>
  <c r="R1383" i="13" s="1"/>
  <c r="R473" i="13"/>
  <c r="R867" i="13"/>
  <c r="X692" i="14"/>
  <c r="R1090" i="13" s="1"/>
  <c r="X693" i="14"/>
  <c r="R1200" i="13" s="1"/>
  <c r="R1317" i="13"/>
  <c r="R1795" i="13"/>
  <c r="X695" i="14"/>
  <c r="X696" i="14"/>
  <c r="X702" i="14"/>
  <c r="R1535" i="13" s="1"/>
  <c r="X703" i="14"/>
  <c r="X704" i="14"/>
  <c r="R1374" i="13" s="1"/>
  <c r="X705" i="14"/>
  <c r="X706" i="14"/>
  <c r="X707" i="14"/>
  <c r="X708" i="14"/>
  <c r="X709" i="14"/>
  <c r="X710" i="14"/>
  <c r="X711" i="14"/>
  <c r="X713" i="14"/>
  <c r="X714" i="14"/>
  <c r="X715" i="14"/>
  <c r="X716" i="14"/>
  <c r="X718" i="14"/>
  <c r="X719" i="14"/>
  <c r="X722" i="14"/>
  <c r="X723" i="14"/>
  <c r="X727" i="14"/>
  <c r="X730" i="14"/>
  <c r="R1237" i="13" s="1"/>
  <c r="X731" i="14"/>
  <c r="R1272" i="13" s="1"/>
  <c r="X732" i="14"/>
  <c r="R1277" i="13" s="1"/>
  <c r="X733" i="14"/>
  <c r="R1298" i="13" s="1"/>
  <c r="R1337" i="13"/>
  <c r="X735" i="14"/>
  <c r="X738" i="14"/>
  <c r="X739" i="14"/>
  <c r="X740" i="14"/>
  <c r="X741" i="14"/>
  <c r="X742" i="14"/>
  <c r="X744" i="14"/>
  <c r="X745" i="14"/>
  <c r="X746" i="14"/>
  <c r="X747" i="14"/>
  <c r="X748" i="14"/>
  <c r="X749" i="14"/>
  <c r="X750" i="14"/>
  <c r="X751" i="14"/>
  <c r="X752" i="14"/>
  <c r="X757" i="14"/>
  <c r="X758" i="14"/>
  <c r="X762" i="14"/>
  <c r="X764" i="14"/>
  <c r="X765" i="14"/>
  <c r="X766" i="14"/>
  <c r="R580" i="13" s="1"/>
  <c r="R1916" i="13"/>
  <c r="X772" i="14"/>
  <c r="X775" i="14"/>
  <c r="X776" i="14"/>
  <c r="X778" i="14"/>
  <c r="X780" i="14"/>
  <c r="X784" i="14"/>
  <c r="X785" i="14"/>
  <c r="R852" i="13" s="1"/>
  <c r="X786" i="14"/>
  <c r="X787" i="14"/>
  <c r="X788" i="14"/>
  <c r="X789" i="14"/>
  <c r="X790" i="14"/>
  <c r="X791" i="14"/>
  <c r="X792" i="14"/>
  <c r="X793" i="14"/>
  <c r="R915" i="13" s="1"/>
  <c r="X794" i="14"/>
  <c r="X795" i="14"/>
  <c r="X796" i="14"/>
  <c r="X797" i="14"/>
  <c r="X798" i="14"/>
  <c r="X801" i="14"/>
  <c r="X802" i="14"/>
  <c r="X803" i="14"/>
  <c r="X804" i="14"/>
  <c r="X805" i="14"/>
  <c r="X806" i="14"/>
  <c r="X807" i="14"/>
  <c r="X808" i="14"/>
  <c r="X809" i="14"/>
  <c r="X810" i="14"/>
  <c r="X811" i="14"/>
  <c r="X812" i="14"/>
  <c r="X813" i="14"/>
  <c r="X814" i="14"/>
  <c r="X815" i="14"/>
  <c r="X816" i="14"/>
  <c r="X817" i="14"/>
  <c r="X818" i="14"/>
  <c r="X819" i="14"/>
  <c r="X820" i="14"/>
  <c r="X821" i="14"/>
  <c r="X822" i="14"/>
  <c r="X823" i="14"/>
  <c r="X824" i="14"/>
  <c r="X825" i="14"/>
  <c r="X826" i="14"/>
  <c r="X827" i="14"/>
  <c r="X828" i="14"/>
  <c r="X829" i="14"/>
  <c r="X830" i="14"/>
  <c r="X831" i="14"/>
  <c r="X832" i="14"/>
  <c r="X833" i="14"/>
  <c r="X834" i="14"/>
  <c r="X835" i="14"/>
  <c r="X836" i="14"/>
  <c r="X837" i="14"/>
  <c r="X838" i="14"/>
  <c r="X839" i="14"/>
  <c r="X840" i="14"/>
  <c r="X841" i="14"/>
  <c r="X842" i="14"/>
  <c r="X843" i="14"/>
  <c r="X844" i="14"/>
  <c r="X845" i="14"/>
  <c r="X846" i="14"/>
  <c r="X847" i="14"/>
  <c r="X848" i="14"/>
  <c r="X849" i="14"/>
  <c r="X850" i="14"/>
  <c r="X851" i="14"/>
  <c r="X852" i="14"/>
  <c r="X853" i="14"/>
  <c r="X854" i="14"/>
  <c r="X855" i="14"/>
  <c r="X856" i="14"/>
  <c r="X857" i="14"/>
  <c r="X858" i="14"/>
  <c r="X859" i="14"/>
  <c r="X860" i="14"/>
  <c r="X861" i="14"/>
  <c r="X862" i="14"/>
  <c r="X863" i="14"/>
  <c r="X864" i="14"/>
  <c r="X865" i="14"/>
  <c r="X866" i="14"/>
  <c r="X867" i="14"/>
  <c r="X868" i="14"/>
  <c r="X869" i="14"/>
  <c r="X870" i="14"/>
  <c r="X871" i="14"/>
  <c r="X872" i="14"/>
  <c r="X873" i="14"/>
  <c r="X874" i="14"/>
  <c r="X875" i="14"/>
  <c r="X876" i="14"/>
  <c r="X877" i="14"/>
  <c r="X878" i="14"/>
  <c r="X879" i="14"/>
  <c r="X880" i="14"/>
  <c r="X881" i="14"/>
  <c r="X882" i="14"/>
  <c r="X883" i="14"/>
  <c r="X884" i="14"/>
  <c r="X885" i="14"/>
  <c r="X886" i="14"/>
  <c r="X887" i="14"/>
  <c r="X888" i="14"/>
  <c r="X889" i="14"/>
  <c r="X890" i="14"/>
  <c r="X891" i="14"/>
  <c r="X892" i="14"/>
  <c r="X893" i="14"/>
  <c r="X894" i="14"/>
  <c r="X895" i="14"/>
  <c r="X896" i="14"/>
  <c r="X897" i="14"/>
  <c r="X898" i="14"/>
  <c r="X899" i="14"/>
  <c r="X900" i="14"/>
  <c r="X901" i="14"/>
  <c r="X902" i="14"/>
  <c r="X903" i="14"/>
  <c r="X904" i="14"/>
  <c r="X905" i="14"/>
  <c r="X906" i="14"/>
  <c r="X907" i="14"/>
  <c r="X908" i="14"/>
  <c r="X909" i="14"/>
  <c r="X910" i="14"/>
  <c r="X911" i="14"/>
  <c r="X912" i="14"/>
  <c r="X913" i="14"/>
  <c r="X914" i="14"/>
  <c r="X915" i="14"/>
  <c r="X916" i="14"/>
  <c r="X917" i="14"/>
  <c r="X918" i="14"/>
  <c r="X919" i="14"/>
  <c r="X920" i="14"/>
  <c r="X921" i="14"/>
  <c r="X922" i="14"/>
  <c r="X923" i="14"/>
  <c r="X924" i="14"/>
  <c r="X925" i="14"/>
  <c r="X926" i="14"/>
  <c r="X927" i="14"/>
  <c r="X928" i="14"/>
  <c r="X929" i="14"/>
  <c r="X930" i="14"/>
  <c r="X931" i="14"/>
  <c r="X932" i="14"/>
  <c r="X933" i="14"/>
  <c r="X934" i="14"/>
  <c r="X935" i="14"/>
  <c r="X936" i="14"/>
  <c r="X937" i="14"/>
  <c r="X938" i="14"/>
  <c r="X939" i="14"/>
  <c r="X940" i="14"/>
  <c r="X941" i="14"/>
  <c r="X942" i="14"/>
  <c r="X943" i="14"/>
  <c r="X944" i="14"/>
  <c r="X945" i="14"/>
  <c r="X946" i="14"/>
  <c r="X947" i="14"/>
  <c r="X948" i="14"/>
  <c r="X949" i="14"/>
  <c r="X950" i="14"/>
  <c r="X951" i="14"/>
  <c r="X952" i="14"/>
  <c r="X953" i="14"/>
  <c r="X954" i="14"/>
  <c r="X955" i="14"/>
  <c r="X956" i="14"/>
  <c r="X957" i="14"/>
  <c r="X958" i="14"/>
  <c r="X959" i="14"/>
  <c r="X960" i="14"/>
  <c r="X961" i="14"/>
  <c r="X962" i="14"/>
  <c r="X963" i="14"/>
  <c r="X964" i="14"/>
  <c r="X965" i="14"/>
  <c r="X966" i="14"/>
  <c r="X967" i="14"/>
  <c r="X968" i="14"/>
  <c r="X969" i="14"/>
  <c r="X970" i="14"/>
  <c r="X971" i="14"/>
  <c r="X972" i="14"/>
  <c r="X973" i="14"/>
  <c r="X974" i="14"/>
  <c r="X975" i="14"/>
  <c r="X976" i="14"/>
  <c r="X977" i="14"/>
  <c r="X978" i="14"/>
  <c r="X979" i="14"/>
  <c r="X980" i="14"/>
  <c r="X981" i="14"/>
  <c r="X982" i="14"/>
  <c r="X983" i="14"/>
  <c r="X984" i="14"/>
  <c r="X985" i="14"/>
  <c r="X986" i="14"/>
  <c r="X987" i="14"/>
  <c r="X988" i="14"/>
  <c r="X989" i="14"/>
  <c r="X990" i="14"/>
  <c r="X991" i="14"/>
  <c r="X992" i="14"/>
  <c r="X993" i="14"/>
  <c r="X994" i="14"/>
  <c r="X995" i="14"/>
  <c r="X996" i="14"/>
  <c r="X997" i="14"/>
  <c r="X998" i="14"/>
  <c r="X999" i="14"/>
  <c r="X1000" i="14"/>
  <c r="X1001" i="14"/>
  <c r="X1002" i="14"/>
  <c r="X1003" i="14"/>
  <c r="X1004" i="14"/>
  <c r="X1005" i="14"/>
  <c r="X1006" i="14"/>
  <c r="X1007" i="14"/>
  <c r="X1008" i="14"/>
  <c r="X1009" i="14"/>
  <c r="X1010" i="14"/>
  <c r="X1011" i="14"/>
  <c r="X1012" i="14"/>
  <c r="X1013" i="14"/>
  <c r="X1014" i="14"/>
  <c r="X1015" i="14"/>
  <c r="X1016" i="14"/>
  <c r="X1017" i="14"/>
  <c r="X1018" i="14"/>
  <c r="X1019" i="14"/>
  <c r="X1020" i="14"/>
  <c r="X1021" i="14"/>
  <c r="X1022" i="14"/>
  <c r="X1023" i="14"/>
  <c r="X1024" i="14"/>
  <c r="X1025" i="14"/>
  <c r="X1026" i="14"/>
  <c r="X1027" i="14"/>
  <c r="X1028" i="14"/>
  <c r="X1029" i="14"/>
  <c r="X1030" i="14"/>
  <c r="X1031" i="14"/>
  <c r="X1032" i="14"/>
  <c r="X1033" i="14"/>
  <c r="X1034" i="14"/>
  <c r="X1035" i="14"/>
  <c r="X1036" i="14"/>
  <c r="X1037" i="14"/>
  <c r="X1038" i="14"/>
  <c r="X1039" i="14"/>
  <c r="X1040" i="14"/>
  <c r="X1041" i="14"/>
  <c r="X1042" i="14"/>
  <c r="X1043" i="14"/>
  <c r="X1044" i="14"/>
  <c r="X1045" i="14"/>
  <c r="X1046" i="14"/>
  <c r="X1047" i="14"/>
  <c r="X1048" i="14"/>
  <c r="X1049" i="14"/>
  <c r="X1050" i="14"/>
  <c r="X1051" i="14"/>
  <c r="X1052" i="14"/>
  <c r="X1053" i="14"/>
  <c r="X1054" i="14"/>
  <c r="X1055" i="14"/>
  <c r="X1056" i="14"/>
  <c r="X1057" i="14"/>
  <c r="X1058" i="14"/>
  <c r="X1059" i="14"/>
  <c r="X1060" i="14"/>
  <c r="X1061" i="14"/>
  <c r="X1062" i="14"/>
  <c r="X1063" i="14"/>
  <c r="X1064" i="14"/>
  <c r="X1065" i="14"/>
  <c r="X1066" i="14"/>
  <c r="X1067" i="14"/>
  <c r="X1068" i="14"/>
  <c r="X1069" i="14"/>
  <c r="X1070" i="14"/>
  <c r="X1071" i="14"/>
  <c r="X1072" i="14"/>
  <c r="X1073" i="14"/>
  <c r="X1074" i="14"/>
  <c r="X1075" i="14"/>
  <c r="X1076" i="14"/>
  <c r="X1077" i="14"/>
  <c r="X1078" i="14"/>
  <c r="X1079" i="14"/>
  <c r="X1080" i="14"/>
  <c r="X1081" i="14"/>
  <c r="X1082" i="14"/>
  <c r="X1083" i="14"/>
  <c r="X1084" i="14"/>
  <c r="X1085" i="14"/>
  <c r="X1086" i="14"/>
  <c r="X1087" i="14"/>
  <c r="X1088" i="14"/>
  <c r="X1089" i="14"/>
  <c r="X1090" i="14"/>
  <c r="X1091" i="14"/>
  <c r="X1092" i="14"/>
  <c r="X1093" i="14"/>
  <c r="X1094" i="14"/>
  <c r="X1095" i="14"/>
  <c r="X1096" i="14"/>
  <c r="X1097" i="14"/>
  <c r="X1098" i="14"/>
  <c r="X1099" i="14"/>
  <c r="X1100" i="14"/>
  <c r="X1101" i="14"/>
  <c r="X1102" i="14"/>
  <c r="X1103" i="14"/>
  <c r="X1104" i="14"/>
  <c r="X1105" i="14"/>
  <c r="X1106" i="14"/>
  <c r="X1107" i="14"/>
  <c r="X1108" i="14"/>
  <c r="X1109" i="14"/>
  <c r="X1110" i="14"/>
  <c r="X1111" i="14"/>
  <c r="X1112" i="14"/>
  <c r="X1113" i="14"/>
  <c r="X1114" i="14"/>
  <c r="X1115" i="14"/>
  <c r="X1116" i="14"/>
  <c r="X1117" i="14"/>
  <c r="X1118" i="14"/>
  <c r="X1119" i="14"/>
  <c r="X1120" i="14"/>
  <c r="X1121" i="14"/>
  <c r="X1122" i="14"/>
  <c r="X1123" i="14"/>
  <c r="X1124" i="14"/>
  <c r="X1125" i="14"/>
  <c r="X1126" i="14"/>
  <c r="X1127" i="14"/>
  <c r="X1128" i="14"/>
  <c r="X1129" i="14"/>
  <c r="X1130" i="14"/>
  <c r="X1131" i="14"/>
  <c r="X1132" i="14"/>
  <c r="X1133" i="14"/>
  <c r="X1134" i="14"/>
  <c r="X1135" i="14"/>
  <c r="X1136" i="14"/>
  <c r="X1137" i="14"/>
  <c r="X1138" i="14"/>
  <c r="X1139" i="14"/>
  <c r="X1140" i="14"/>
  <c r="X1141" i="14"/>
  <c r="X1142" i="14"/>
  <c r="X1143" i="14"/>
  <c r="X1144" i="14"/>
  <c r="X1145" i="14"/>
  <c r="X1146" i="14"/>
  <c r="X1147" i="14"/>
  <c r="X1148" i="14"/>
  <c r="X1149" i="14"/>
  <c r="X1150" i="14"/>
  <c r="X1151" i="14"/>
  <c r="X1152" i="14"/>
  <c r="X1153" i="14"/>
  <c r="X1154" i="14"/>
  <c r="X1155" i="14"/>
  <c r="X1156" i="14"/>
  <c r="X1157" i="14"/>
  <c r="X1158" i="14"/>
  <c r="X1159" i="14"/>
  <c r="X1160" i="14"/>
  <c r="X1161" i="14"/>
  <c r="X1162" i="14"/>
  <c r="X1163" i="14"/>
  <c r="X1164" i="14"/>
  <c r="X1165" i="14"/>
  <c r="X1166" i="14"/>
  <c r="X1167" i="14"/>
  <c r="X1168" i="14"/>
  <c r="X1169" i="14"/>
  <c r="X1170" i="14"/>
  <c r="X1171" i="14"/>
  <c r="X1172" i="14"/>
  <c r="X1173" i="14"/>
  <c r="X1174" i="14"/>
  <c r="X1175" i="14"/>
  <c r="X1176" i="14"/>
  <c r="X1177" i="14"/>
  <c r="X1178" i="14"/>
  <c r="X1179" i="14"/>
  <c r="X1180" i="14"/>
  <c r="X1181" i="14"/>
  <c r="X1182" i="14"/>
  <c r="X1183" i="14"/>
  <c r="X1184" i="14"/>
  <c r="X1185" i="14"/>
  <c r="X1186" i="14"/>
  <c r="X1187" i="14"/>
  <c r="X1188" i="14"/>
  <c r="X1189" i="14"/>
  <c r="X1190" i="14"/>
  <c r="X1191" i="14"/>
  <c r="X1192" i="14"/>
  <c r="X1193" i="14"/>
  <c r="X1194" i="14"/>
  <c r="X1195" i="14"/>
  <c r="X1196" i="14"/>
  <c r="X1197" i="14"/>
  <c r="X1198" i="14"/>
  <c r="X1199" i="14"/>
  <c r="X1200" i="14"/>
  <c r="X1201" i="14"/>
  <c r="X1202" i="14"/>
  <c r="X1203" i="14"/>
  <c r="X1204" i="14"/>
  <c r="X1205" i="14"/>
  <c r="X1206" i="14"/>
  <c r="X1207" i="14"/>
  <c r="X1208" i="14"/>
  <c r="X1209" i="14"/>
  <c r="X1210" i="14"/>
  <c r="X1211" i="14"/>
  <c r="X1212" i="14"/>
  <c r="X1213" i="14"/>
  <c r="X1214" i="14"/>
  <c r="X1215" i="14"/>
  <c r="X1216" i="14"/>
  <c r="X1217" i="14"/>
  <c r="X1218" i="14"/>
  <c r="X1219" i="14"/>
  <c r="X1220" i="14"/>
  <c r="X1221" i="14"/>
  <c r="X1222" i="14"/>
  <c r="X1223" i="14"/>
  <c r="X1224" i="14"/>
  <c r="X1225" i="14"/>
  <c r="X1226" i="14"/>
  <c r="X1227" i="14"/>
  <c r="X1228" i="14"/>
  <c r="X1229" i="14"/>
  <c r="X1230" i="14"/>
  <c r="X1231" i="14"/>
  <c r="X1232" i="14"/>
  <c r="X1233" i="14"/>
  <c r="X1234" i="14"/>
  <c r="X1235" i="14"/>
  <c r="X1236" i="14"/>
  <c r="X1237" i="14"/>
  <c r="X1238" i="14"/>
  <c r="X1239" i="14"/>
  <c r="X1240" i="14"/>
  <c r="X1241" i="14"/>
  <c r="X1242" i="14"/>
  <c r="X1243" i="14"/>
  <c r="X1244" i="14"/>
  <c r="X1245" i="14"/>
  <c r="X1246" i="14"/>
  <c r="X1247" i="14"/>
  <c r="X1248" i="14"/>
  <c r="X1249" i="14"/>
  <c r="X1250" i="14"/>
  <c r="X1251" i="14"/>
  <c r="X1252" i="14"/>
  <c r="X1253" i="14"/>
  <c r="X1254" i="14"/>
  <c r="X1255" i="14"/>
  <c r="X1256" i="14"/>
  <c r="X1257" i="14"/>
  <c r="X1258" i="14"/>
  <c r="X1259" i="14"/>
  <c r="X1260" i="14"/>
  <c r="X1261" i="14"/>
  <c r="X1262" i="14"/>
  <c r="X1263" i="14"/>
  <c r="X1264" i="14"/>
  <c r="X1265" i="14"/>
  <c r="X1266" i="14"/>
  <c r="X1267" i="14"/>
  <c r="X1268" i="14"/>
  <c r="X1269" i="14"/>
  <c r="X1270" i="14"/>
  <c r="X1271" i="14"/>
  <c r="X1272" i="14"/>
  <c r="X1273" i="14"/>
  <c r="X1274" i="14"/>
  <c r="X1275" i="14"/>
  <c r="X1276" i="14"/>
  <c r="X1277" i="14"/>
  <c r="X1278" i="14"/>
  <c r="X1279" i="14"/>
  <c r="X1280" i="14"/>
  <c r="X1281" i="14"/>
  <c r="X1282" i="14"/>
  <c r="X1283" i="14"/>
  <c r="X1284" i="14"/>
  <c r="X1285" i="14"/>
  <c r="X1286" i="14"/>
  <c r="X1287" i="14"/>
  <c r="X1288" i="14"/>
  <c r="X1289" i="14"/>
  <c r="X1290" i="14"/>
  <c r="X1291" i="14"/>
  <c r="X1292" i="14"/>
  <c r="X1293" i="14"/>
  <c r="X1294" i="14"/>
  <c r="X1295" i="14"/>
  <c r="X1296" i="14"/>
  <c r="X1297" i="14"/>
  <c r="X1298" i="14"/>
  <c r="X1299" i="14"/>
  <c r="X1300" i="14"/>
  <c r="X1301" i="14"/>
  <c r="X1302" i="14"/>
  <c r="X1303" i="14"/>
  <c r="X1304" i="14"/>
  <c r="X1305" i="14"/>
  <c r="X1306" i="14"/>
  <c r="X1307" i="14"/>
  <c r="X1308" i="14"/>
  <c r="X1309" i="14"/>
  <c r="X1310" i="14"/>
  <c r="X1311" i="14"/>
  <c r="X1312" i="14"/>
  <c r="X1313" i="14"/>
  <c r="X1314" i="14"/>
  <c r="X1315" i="14"/>
  <c r="X1316" i="14"/>
  <c r="X1317" i="14"/>
  <c r="X1318" i="14"/>
  <c r="X1319" i="14"/>
  <c r="X1320" i="14"/>
  <c r="X1321" i="14"/>
  <c r="X1322" i="14"/>
  <c r="X1323" i="14"/>
  <c r="X1324" i="14"/>
  <c r="X1325" i="14"/>
  <c r="X1326" i="14"/>
  <c r="X1327" i="14"/>
  <c r="X1328" i="14"/>
  <c r="X1329" i="14"/>
  <c r="X1330" i="14"/>
  <c r="X1331" i="14"/>
  <c r="X1332" i="14"/>
  <c r="X1333" i="14"/>
  <c r="X1334" i="14"/>
  <c r="X1335" i="14"/>
  <c r="X1336" i="14"/>
  <c r="X1337" i="14"/>
  <c r="X1338" i="14"/>
  <c r="X1339" i="14"/>
  <c r="X1340" i="14"/>
  <c r="X1341" i="14"/>
  <c r="X1342" i="14"/>
  <c r="X1343" i="14"/>
  <c r="X1344" i="14"/>
  <c r="X1345" i="14"/>
  <c r="X1346" i="14"/>
  <c r="X1347" i="14"/>
  <c r="X1348" i="14"/>
  <c r="X1349" i="14"/>
  <c r="X1350" i="14"/>
  <c r="X1351" i="14"/>
  <c r="X1352" i="14"/>
  <c r="X1353" i="14"/>
  <c r="X1354" i="14"/>
  <c r="X1355" i="14"/>
  <c r="X1356" i="14"/>
  <c r="X1357" i="14"/>
  <c r="X1358" i="14"/>
  <c r="X1359" i="14"/>
  <c r="X1360" i="14"/>
  <c r="X1361" i="14"/>
  <c r="X1362" i="14"/>
  <c r="X1363" i="14"/>
  <c r="X1364" i="14"/>
  <c r="X1365" i="14"/>
  <c r="X1366" i="14"/>
  <c r="X1367" i="14"/>
  <c r="X1368" i="14"/>
  <c r="X1369" i="14"/>
  <c r="X1370" i="14"/>
  <c r="X1371" i="14"/>
  <c r="X1372" i="14"/>
  <c r="X1373" i="14"/>
  <c r="X1374" i="14"/>
  <c r="X1375" i="14"/>
  <c r="X1376" i="14"/>
  <c r="X1377" i="14"/>
  <c r="X1378" i="14"/>
  <c r="X1379" i="14"/>
  <c r="X1380" i="14"/>
  <c r="X1381" i="14"/>
  <c r="X1382" i="14"/>
  <c r="X1383" i="14"/>
  <c r="X1384" i="14"/>
  <c r="X1385" i="14"/>
  <c r="X1386" i="14"/>
  <c r="X1387" i="14"/>
  <c r="X1388" i="14"/>
  <c r="X1389" i="14"/>
  <c r="X1390" i="14"/>
  <c r="X1391" i="14"/>
  <c r="X1392" i="14"/>
  <c r="X1393" i="14"/>
  <c r="X1394" i="14"/>
  <c r="X1395" i="14"/>
  <c r="X1396" i="14"/>
  <c r="X1397" i="14"/>
  <c r="X1398" i="14"/>
  <c r="X1399" i="14"/>
  <c r="X1400" i="14"/>
  <c r="X1401" i="14"/>
  <c r="X1402" i="14"/>
  <c r="X1403" i="14"/>
  <c r="X1404" i="14"/>
  <c r="X1405" i="14"/>
  <c r="X1406" i="14"/>
  <c r="X1407" i="14"/>
  <c r="X1408" i="14"/>
  <c r="X1409" i="14"/>
  <c r="X1410" i="14"/>
  <c r="X1411" i="14"/>
  <c r="X1412" i="14"/>
  <c r="X1413" i="14"/>
  <c r="X1414" i="14"/>
  <c r="X1415" i="14"/>
  <c r="X1416" i="14"/>
  <c r="X1417" i="14"/>
  <c r="X1418" i="14"/>
  <c r="X1419" i="14"/>
  <c r="X1420" i="14"/>
  <c r="X1421" i="14"/>
  <c r="X1422" i="14"/>
  <c r="X1423" i="14"/>
  <c r="X1424" i="14"/>
  <c r="X1425" i="14"/>
  <c r="X1426" i="14"/>
  <c r="X1427" i="14"/>
  <c r="X1428" i="14"/>
  <c r="X1429" i="14"/>
  <c r="X1430" i="14"/>
  <c r="X1431" i="14"/>
  <c r="X1432" i="14"/>
  <c r="X1433" i="14"/>
  <c r="X1434" i="14"/>
  <c r="X1435" i="14"/>
  <c r="X1436" i="14"/>
  <c r="X1437" i="14"/>
  <c r="X1438" i="14"/>
  <c r="X1439" i="14"/>
  <c r="X1440" i="14"/>
  <c r="X1441" i="14"/>
  <c r="X1442" i="14"/>
  <c r="X1443" i="14"/>
  <c r="X1444" i="14"/>
  <c r="X1445" i="14"/>
  <c r="X1446" i="14"/>
  <c r="X1447" i="14"/>
  <c r="X1448" i="14"/>
  <c r="X1449" i="14"/>
  <c r="X1450" i="14"/>
  <c r="X1451" i="14"/>
  <c r="X1452" i="14"/>
  <c r="X1453" i="14"/>
  <c r="X1454" i="14"/>
  <c r="X1455" i="14"/>
  <c r="X1456" i="14"/>
  <c r="X1457" i="14"/>
  <c r="X1458" i="14"/>
  <c r="X1459" i="14"/>
  <c r="X1460" i="14"/>
  <c r="X1461" i="14"/>
  <c r="X1462" i="14"/>
  <c r="X1463" i="14"/>
  <c r="X1464" i="14"/>
  <c r="X1465" i="14"/>
  <c r="X1466" i="14"/>
  <c r="X1467" i="14"/>
  <c r="X1468" i="14"/>
  <c r="X1469" i="14"/>
  <c r="X1470" i="14"/>
  <c r="X1471" i="14"/>
  <c r="X1472" i="14"/>
  <c r="X1473" i="14"/>
  <c r="X1474" i="14"/>
  <c r="X1475" i="14"/>
  <c r="X1476" i="14"/>
  <c r="X1477" i="14"/>
  <c r="X1478" i="14"/>
  <c r="X1479" i="14"/>
  <c r="X1480" i="14"/>
  <c r="X1481" i="14"/>
  <c r="X1482" i="14"/>
  <c r="X1483" i="14"/>
  <c r="X1484" i="14"/>
  <c r="X1485" i="14"/>
  <c r="X1486" i="14"/>
  <c r="X1487" i="14"/>
  <c r="X1488" i="14"/>
  <c r="X1489" i="14"/>
  <c r="X1490" i="14"/>
  <c r="X1491" i="14"/>
  <c r="X1492" i="14"/>
  <c r="X1493" i="14"/>
  <c r="X1494" i="14"/>
  <c r="X1495" i="14"/>
  <c r="X1496" i="14"/>
  <c r="X1497" i="14"/>
  <c r="X1498" i="14"/>
  <c r="X1499" i="14"/>
  <c r="X1500" i="14"/>
  <c r="X1501" i="14"/>
  <c r="X1502" i="14"/>
  <c r="X1503" i="14"/>
  <c r="X1504" i="14"/>
  <c r="X1505" i="14"/>
  <c r="X1506" i="14"/>
  <c r="X1507" i="14"/>
  <c r="X1508" i="14"/>
  <c r="X1509" i="14"/>
  <c r="X1510" i="14"/>
  <c r="X1511" i="14"/>
  <c r="X1512" i="14"/>
  <c r="X1513" i="14"/>
  <c r="X1514" i="14"/>
  <c r="X1515" i="14"/>
  <c r="X1516" i="14"/>
  <c r="X1517" i="14"/>
  <c r="X1518" i="14"/>
  <c r="X1519" i="14"/>
  <c r="X1520" i="14"/>
  <c r="X1521" i="14"/>
  <c r="X1522" i="14"/>
  <c r="X1523" i="14"/>
  <c r="X1524" i="14"/>
  <c r="X1525" i="14"/>
  <c r="X1526" i="14"/>
  <c r="X1527" i="14"/>
  <c r="X1528" i="14"/>
  <c r="X1529" i="14"/>
  <c r="X1530" i="14"/>
  <c r="X1531" i="14"/>
  <c r="X1532" i="14"/>
  <c r="X1533" i="14"/>
  <c r="X1534" i="14"/>
  <c r="X1535" i="14"/>
  <c r="X1536" i="14"/>
  <c r="X1537" i="14"/>
  <c r="X1538" i="14"/>
  <c r="X1539" i="14"/>
  <c r="X1540" i="14"/>
  <c r="X1541" i="14"/>
  <c r="X1542" i="14"/>
  <c r="X1543" i="14"/>
  <c r="X1544" i="14"/>
  <c r="X1545" i="14"/>
  <c r="X1546" i="14"/>
  <c r="X1547" i="14"/>
  <c r="X1548" i="14"/>
  <c r="X1549" i="14"/>
  <c r="X1550" i="14"/>
  <c r="X1551" i="14"/>
  <c r="X1552" i="14"/>
  <c r="X1553" i="14"/>
  <c r="X1554" i="14"/>
  <c r="X1555" i="14"/>
  <c r="X1556" i="14"/>
  <c r="X1557" i="14"/>
  <c r="X1558" i="14"/>
  <c r="X1559" i="14"/>
  <c r="X1560" i="14"/>
  <c r="X1561" i="14"/>
  <c r="X1562" i="14"/>
  <c r="X1563" i="14"/>
  <c r="X1564" i="14"/>
  <c r="X1565" i="14"/>
  <c r="X1566" i="14"/>
  <c r="X1567" i="14"/>
  <c r="X1568" i="14"/>
  <c r="X1569" i="14"/>
  <c r="X1570" i="14"/>
  <c r="X1571" i="14"/>
  <c r="X1572" i="14"/>
  <c r="X1573" i="14"/>
  <c r="X1574" i="14"/>
  <c r="X1575" i="14"/>
  <c r="X1576" i="14"/>
  <c r="X1577" i="14"/>
  <c r="X1578" i="14"/>
  <c r="X1579" i="14"/>
  <c r="X1580" i="14"/>
  <c r="X1581" i="14"/>
  <c r="X1582" i="14"/>
  <c r="X1583" i="14"/>
  <c r="X1584" i="14"/>
  <c r="X1585" i="14"/>
  <c r="X1586" i="14"/>
  <c r="X1587" i="14"/>
  <c r="X1588" i="14"/>
  <c r="X1589" i="14"/>
  <c r="X1590" i="14"/>
  <c r="X1591" i="14"/>
  <c r="X1592" i="14"/>
  <c r="X1593" i="14"/>
  <c r="X1594" i="14"/>
  <c r="X1595" i="14"/>
  <c r="X1596" i="14"/>
  <c r="X1597" i="14"/>
  <c r="X1598" i="14"/>
  <c r="X1599" i="14"/>
  <c r="X1600" i="14"/>
  <c r="X1601" i="14"/>
  <c r="X1602" i="14"/>
  <c r="X1603" i="14"/>
  <c r="X1604" i="14"/>
  <c r="X1605" i="14"/>
  <c r="X1606" i="14"/>
  <c r="X1607" i="14"/>
  <c r="X1608" i="14"/>
  <c r="X1609" i="14"/>
  <c r="X1610" i="14"/>
  <c r="X1611" i="14"/>
  <c r="X1612" i="14"/>
  <c r="X1613" i="14"/>
  <c r="X1614" i="14"/>
  <c r="X1615" i="14"/>
  <c r="X1616" i="14"/>
  <c r="X1617" i="14"/>
  <c r="X1618" i="14"/>
  <c r="X1619" i="14"/>
  <c r="X1620" i="14"/>
  <c r="X1621" i="14"/>
  <c r="X1622" i="14"/>
  <c r="X1623" i="14"/>
  <c r="X1624" i="14"/>
  <c r="X1625" i="14"/>
  <c r="X1626" i="14"/>
  <c r="X1627" i="14"/>
  <c r="X1628" i="14"/>
  <c r="X1629" i="14"/>
  <c r="X1630" i="14"/>
  <c r="X1631" i="14"/>
  <c r="X1632" i="14"/>
  <c r="X1633" i="14"/>
  <c r="X1634" i="14"/>
  <c r="X1635" i="14"/>
  <c r="X1636" i="14"/>
  <c r="X1637" i="14"/>
  <c r="X1638" i="14"/>
  <c r="X1639" i="14"/>
  <c r="X1640" i="14"/>
  <c r="X1641" i="14"/>
  <c r="X1642" i="14"/>
  <c r="X1643" i="14"/>
  <c r="X1644" i="14"/>
  <c r="X1645" i="14"/>
  <c r="X1646" i="14"/>
  <c r="X1647" i="14"/>
  <c r="X1648" i="14"/>
  <c r="X1649" i="14"/>
  <c r="X1650" i="14"/>
  <c r="X1651" i="14"/>
  <c r="X1652" i="14"/>
  <c r="X1653" i="14"/>
  <c r="X1654" i="14"/>
  <c r="X1655" i="14"/>
  <c r="X1656" i="14"/>
  <c r="X1657" i="14"/>
  <c r="X1658" i="14"/>
  <c r="X1659" i="14"/>
  <c r="X1660" i="14"/>
  <c r="X1661" i="14"/>
  <c r="X1662" i="14"/>
  <c r="X1663" i="14"/>
  <c r="X1664" i="14"/>
  <c r="X1665" i="14"/>
  <c r="X1666" i="14"/>
  <c r="X1667" i="14"/>
  <c r="X1668" i="14"/>
  <c r="X1669" i="14"/>
  <c r="X1670" i="14"/>
  <c r="X1671" i="14"/>
  <c r="X1672" i="14"/>
  <c r="X1673" i="14"/>
  <c r="X1674" i="14"/>
  <c r="X1675" i="14"/>
  <c r="X1676" i="14"/>
  <c r="X1677" i="14"/>
  <c r="X1678" i="14"/>
  <c r="X1679" i="14"/>
  <c r="X1680" i="14"/>
  <c r="X1681" i="14"/>
  <c r="X1682" i="14"/>
  <c r="X1683" i="14"/>
  <c r="X1684" i="14"/>
  <c r="X1685" i="14"/>
  <c r="X1686" i="14"/>
  <c r="X1687" i="14"/>
  <c r="X1688" i="14"/>
  <c r="X1689" i="14"/>
  <c r="X1690" i="14"/>
  <c r="X1691" i="14"/>
  <c r="X1692" i="14"/>
  <c r="X1693" i="14"/>
  <c r="X1694" i="14"/>
  <c r="X1695" i="14"/>
  <c r="X1696" i="14"/>
  <c r="X1697" i="14"/>
  <c r="X1698" i="14"/>
  <c r="X1699" i="14"/>
  <c r="X1700" i="14"/>
  <c r="X1701" i="14"/>
  <c r="X1702" i="14"/>
  <c r="X1703" i="14"/>
  <c r="X1704" i="14"/>
  <c r="X1705" i="14"/>
  <c r="X1706" i="14"/>
  <c r="X1707" i="14"/>
  <c r="X1708" i="14"/>
  <c r="X1709" i="14"/>
  <c r="X1710" i="14"/>
  <c r="X1711" i="14"/>
  <c r="X1712" i="14"/>
  <c r="X1713" i="14"/>
  <c r="X1714" i="14"/>
  <c r="X1715" i="14"/>
  <c r="X1716" i="14"/>
  <c r="X1717" i="14"/>
  <c r="X1718" i="14"/>
  <c r="X1719" i="14"/>
  <c r="X1720" i="14"/>
  <c r="X1721" i="14"/>
  <c r="X1722" i="14"/>
  <c r="X1723" i="14"/>
  <c r="X1724" i="14"/>
  <c r="X1725" i="14"/>
  <c r="X1726" i="14"/>
  <c r="X1727" i="14"/>
  <c r="X1728" i="14"/>
  <c r="X1729" i="14"/>
  <c r="X1730" i="14"/>
  <c r="X1731" i="14"/>
  <c r="X1732" i="14"/>
  <c r="X1733" i="14"/>
  <c r="X1734" i="14"/>
  <c r="X1735" i="14"/>
  <c r="X1736" i="14"/>
  <c r="X1737" i="14"/>
  <c r="X1738" i="14"/>
  <c r="X1739" i="14"/>
  <c r="X1740" i="14"/>
  <c r="X1741" i="14"/>
  <c r="X1742" i="14"/>
  <c r="X1743" i="14"/>
  <c r="X1744" i="14"/>
  <c r="X1745" i="14"/>
  <c r="X1746" i="14"/>
  <c r="X1747" i="14"/>
  <c r="X1748" i="14"/>
  <c r="X1749" i="14"/>
  <c r="X1750" i="14"/>
  <c r="X1751" i="14"/>
  <c r="X1752" i="14"/>
  <c r="X1753" i="14"/>
  <c r="X1754" i="14"/>
  <c r="X1755" i="14"/>
  <c r="X1756" i="14"/>
  <c r="X1757" i="14"/>
  <c r="X1758" i="14"/>
  <c r="X1759" i="14"/>
  <c r="X1760" i="14"/>
  <c r="X1761" i="14"/>
  <c r="X1762" i="14"/>
  <c r="X1763" i="14"/>
  <c r="X1764" i="14"/>
  <c r="X1765" i="14"/>
  <c r="X1766" i="14"/>
  <c r="X1767" i="14"/>
  <c r="X1768" i="14"/>
  <c r="X1769" i="14"/>
  <c r="X1770" i="14"/>
  <c r="X1771" i="14"/>
  <c r="X1772" i="14"/>
  <c r="X1773" i="14"/>
  <c r="X1774" i="14"/>
  <c r="X1775" i="14"/>
  <c r="X1776" i="14"/>
  <c r="X1777" i="14"/>
  <c r="X1778" i="14"/>
  <c r="X1779" i="14"/>
  <c r="X1780" i="14"/>
  <c r="X1781" i="14"/>
  <c r="X1782" i="14"/>
  <c r="X1783" i="14"/>
  <c r="X1784" i="14"/>
  <c r="X1785" i="14"/>
  <c r="X1786" i="14"/>
  <c r="X1787" i="14"/>
  <c r="X1788" i="14"/>
  <c r="X1789" i="14"/>
  <c r="X1790" i="14"/>
  <c r="X1791" i="14"/>
  <c r="X1792" i="14"/>
  <c r="X1793" i="14"/>
  <c r="X1794" i="14"/>
  <c r="X1795" i="14"/>
  <c r="X1796" i="14"/>
  <c r="X1797" i="14"/>
  <c r="X1798" i="14"/>
  <c r="X1799" i="14"/>
  <c r="X1800" i="14"/>
  <c r="X1801" i="14"/>
  <c r="X1802" i="14"/>
  <c r="X1803" i="14"/>
  <c r="X1804" i="14"/>
  <c r="X1805" i="14"/>
  <c r="X1806" i="14"/>
  <c r="X1807" i="14"/>
  <c r="X1808" i="14"/>
  <c r="X1809" i="14"/>
  <c r="X1810" i="14"/>
  <c r="X1811" i="14"/>
  <c r="X1812" i="14"/>
  <c r="X1813" i="14"/>
  <c r="X1814" i="14"/>
  <c r="X1815" i="14"/>
  <c r="X1816" i="14"/>
  <c r="X1817" i="14"/>
  <c r="X1818" i="14"/>
  <c r="X1819" i="14"/>
  <c r="X1820" i="14"/>
  <c r="X1821" i="14"/>
  <c r="X1822" i="14"/>
  <c r="X1823" i="14"/>
  <c r="X1824" i="14"/>
  <c r="X1825" i="14"/>
  <c r="X1826" i="14"/>
  <c r="X1827" i="14"/>
  <c r="X1828" i="14"/>
  <c r="X1829" i="14"/>
  <c r="X1830" i="14"/>
  <c r="X1831" i="14"/>
  <c r="X1832" i="14"/>
  <c r="X1833" i="14"/>
  <c r="X1834" i="14"/>
  <c r="X1835" i="14"/>
  <c r="X1836" i="14"/>
  <c r="X1837" i="14"/>
  <c r="X1838" i="14"/>
  <c r="X1839" i="14"/>
  <c r="X1840" i="14"/>
  <c r="X1841" i="14"/>
  <c r="X1842" i="14"/>
  <c r="X1843" i="14"/>
  <c r="X1844" i="14"/>
  <c r="X1845" i="14"/>
  <c r="X1846" i="14"/>
  <c r="X1847" i="14"/>
  <c r="X1848" i="14"/>
  <c r="X1849" i="14"/>
  <c r="X1850" i="14"/>
  <c r="X1851" i="14"/>
  <c r="X1852" i="14"/>
  <c r="X1853" i="14"/>
  <c r="X1854" i="14"/>
  <c r="X1855" i="14"/>
  <c r="X1856" i="14"/>
  <c r="X1857" i="14"/>
  <c r="X1858" i="14"/>
  <c r="X1859" i="14"/>
  <c r="X1860" i="14"/>
  <c r="X1861" i="14"/>
  <c r="X1862" i="14"/>
  <c r="X1863" i="14"/>
  <c r="X1864" i="14"/>
  <c r="X1865" i="14"/>
  <c r="X1866" i="14"/>
  <c r="X1867" i="14"/>
  <c r="X1868" i="14"/>
  <c r="X1869" i="14"/>
  <c r="X1870" i="14"/>
  <c r="X1871" i="14"/>
  <c r="X1872" i="14"/>
  <c r="X1873" i="14"/>
  <c r="X1874" i="14"/>
  <c r="X1875" i="14"/>
  <c r="X1876" i="14"/>
  <c r="X1877" i="14"/>
  <c r="X1878" i="14"/>
  <c r="X1879" i="14"/>
  <c r="X1880" i="14"/>
  <c r="X1881" i="14"/>
  <c r="X1882" i="14"/>
  <c r="X1883" i="14"/>
  <c r="X1884" i="14"/>
  <c r="X1885" i="14"/>
  <c r="X1886" i="14"/>
  <c r="X1887" i="14"/>
  <c r="X1888" i="14"/>
  <c r="X1889" i="14"/>
  <c r="X1890" i="14"/>
  <c r="X1891" i="14"/>
  <c r="X1892" i="14"/>
  <c r="X1893" i="14"/>
  <c r="X1894" i="14"/>
  <c r="X1895" i="14"/>
  <c r="X1896" i="14"/>
  <c r="X1897" i="14"/>
  <c r="X1898" i="14"/>
  <c r="X1899" i="14"/>
  <c r="X1900" i="14"/>
  <c r="X1901" i="14"/>
  <c r="X1902" i="14"/>
  <c r="X1903" i="14"/>
  <c r="X1904" i="14"/>
  <c r="X1905" i="14"/>
  <c r="X1906" i="14"/>
  <c r="X1907" i="14"/>
  <c r="X1908" i="14"/>
  <c r="X1909" i="14"/>
  <c r="X1910" i="14"/>
  <c r="X39" i="14"/>
  <c r="M189" i="13"/>
  <c r="X168" i="14"/>
  <c r="X170" i="14"/>
  <c r="X171" i="14"/>
  <c r="X188" i="14"/>
  <c r="X189" i="14"/>
  <c r="X191" i="14"/>
  <c r="X192" i="14"/>
  <c r="X277" i="14"/>
  <c r="X165" i="14"/>
  <c r="R1848" i="13" l="1"/>
  <c r="R2119" i="13"/>
  <c r="R1069" i="13"/>
  <c r="R1233" i="13"/>
  <c r="R1730" i="13"/>
  <c r="R1777" i="13"/>
  <c r="R1743" i="13"/>
  <c r="R1601" i="13"/>
  <c r="R132" i="13"/>
  <c r="R127" i="13"/>
  <c r="R128" i="13"/>
  <c r="R130" i="13"/>
  <c r="R140" i="13"/>
  <c r="R126" i="13"/>
  <c r="R125" i="13"/>
  <c r="R133" i="13"/>
  <c r="R105" i="13"/>
  <c r="R138" i="13"/>
  <c r="R136" i="13"/>
  <c r="R2136" i="13"/>
  <c r="R134" i="13"/>
  <c r="R107" i="13"/>
  <c r="R2111" i="13"/>
  <c r="R2137" i="13"/>
  <c r="R2115" i="13"/>
  <c r="R2130" i="13"/>
  <c r="R2131" i="13"/>
  <c r="R1054" i="13"/>
  <c r="R108" i="13"/>
  <c r="R110" i="13"/>
  <c r="R109" i="13"/>
  <c r="R106" i="13"/>
  <c r="R113" i="13"/>
  <c r="R112" i="13"/>
  <c r="R111" i="13"/>
  <c r="R43" i="13"/>
  <c r="R40" i="13"/>
  <c r="R2161" i="13"/>
  <c r="R2162" i="13"/>
  <c r="R2163" i="13"/>
  <c r="R2172" i="13"/>
  <c r="R2174" i="13"/>
  <c r="R75" i="13"/>
  <c r="R64" i="13"/>
  <c r="R44" i="13"/>
  <c r="R45" i="13"/>
  <c r="R2168" i="13"/>
  <c r="R2164" i="13"/>
  <c r="R8" i="13"/>
  <c r="R9" i="13"/>
  <c r="R139" i="13"/>
  <c r="R121" i="13"/>
  <c r="R862" i="13"/>
  <c r="R2157" i="13"/>
  <c r="R59" i="13"/>
  <c r="R88" i="13"/>
  <c r="R84" i="13"/>
  <c r="R63" i="13"/>
  <c r="R67" i="13"/>
  <c r="R2155" i="13"/>
  <c r="R2159" i="13"/>
  <c r="R1260" i="13"/>
  <c r="R2156" i="13"/>
  <c r="R71" i="13"/>
  <c r="R65" i="13"/>
  <c r="R230" i="13"/>
  <c r="R227" i="13"/>
  <c r="R58" i="13"/>
  <c r="R57" i="13"/>
  <c r="R52" i="13"/>
  <c r="R56" i="13"/>
  <c r="X152" i="14"/>
  <c r="X164" i="14"/>
  <c r="M207" i="13"/>
  <c r="M114" i="13"/>
  <c r="M283" i="13"/>
  <c r="M282" i="13"/>
  <c r="M206" i="13"/>
  <c r="M117" i="13"/>
  <c r="M195" i="13"/>
  <c r="M200" i="13"/>
  <c r="M120" i="13"/>
  <c r="M204" i="13"/>
  <c r="M122" i="13"/>
  <c r="M123" i="13"/>
  <c r="M124" i="13"/>
  <c r="M194" i="13"/>
  <c r="M190" i="13"/>
  <c r="M193" i="13"/>
  <c r="M192" i="13"/>
  <c r="M129" i="13"/>
  <c r="M186" i="13"/>
  <c r="M131" i="13"/>
  <c r="M183" i="13"/>
  <c r="M188" i="13"/>
  <c r="M187" i="13"/>
  <c r="M179" i="13"/>
  <c r="M135" i="13"/>
  <c r="M20" i="13"/>
  <c r="M178" i="13"/>
  <c r="M137" i="13"/>
  <c r="M3" i="13"/>
  <c r="M115" i="13"/>
  <c r="M149" i="13"/>
  <c r="M233" i="13"/>
  <c r="M177" i="13"/>
  <c r="M5" i="13"/>
  <c r="M116" i="13"/>
  <c r="M152" i="13"/>
  <c r="M146" i="13"/>
  <c r="M147" i="13"/>
  <c r="M148" i="13"/>
  <c r="M170" i="13"/>
  <c r="M171" i="13"/>
  <c r="M151" i="13"/>
  <c r="M21" i="13"/>
  <c r="M285" i="13"/>
  <c r="M173" i="13"/>
  <c r="M155" i="13"/>
  <c r="M156" i="13"/>
  <c r="M157" i="13"/>
  <c r="M180" i="13"/>
  <c r="M163" i="13"/>
  <c r="M164" i="13"/>
  <c r="M167" i="13"/>
  <c r="M168" i="13"/>
  <c r="M118" i="13"/>
  <c r="M256" i="13"/>
  <c r="M169" i="13"/>
  <c r="M165" i="13"/>
  <c r="M166" i="13"/>
  <c r="M159" i="13"/>
  <c r="M160" i="13"/>
  <c r="M161" i="13"/>
  <c r="M162" i="13"/>
  <c r="M158" i="13"/>
  <c r="M153" i="13"/>
  <c r="M172" i="13"/>
  <c r="M249" i="13"/>
  <c r="M174" i="13"/>
  <c r="M175" i="13"/>
  <c r="M176" i="13"/>
  <c r="M145" i="13"/>
  <c r="M150" i="13"/>
  <c r="M222" i="13"/>
  <c r="M142" i="13"/>
  <c r="M274" i="13"/>
  <c r="M19" i="13"/>
  <c r="M143" i="13"/>
  <c r="M144" i="13"/>
  <c r="M184" i="13"/>
  <c r="M185" i="13"/>
  <c r="M209" i="13"/>
  <c r="M210" i="13"/>
  <c r="M211" i="13"/>
  <c r="M141" i="13"/>
  <c r="M191" i="13"/>
  <c r="M287" i="13"/>
  <c r="M223" i="13"/>
  <c r="M181" i="13"/>
  <c r="M246" i="13"/>
  <c r="M196" i="13"/>
  <c r="M197" i="13"/>
  <c r="M198" i="13"/>
  <c r="M199" i="13"/>
  <c r="M182" i="13"/>
  <c r="M201" i="13"/>
  <c r="M202" i="13"/>
  <c r="M203" i="13"/>
  <c r="M61" i="13"/>
  <c r="M205" i="13"/>
  <c r="M10" i="13"/>
  <c r="M101" i="13"/>
  <c r="M11" i="13"/>
  <c r="M12" i="13"/>
  <c r="M26" i="13"/>
  <c r="M13" i="13"/>
  <c r="M14" i="13"/>
  <c r="M15" i="13"/>
  <c r="M92" i="13"/>
  <c r="M16" i="13"/>
  <c r="M255" i="13"/>
  <c r="M17" i="13"/>
  <c r="M18" i="13"/>
  <c r="M212" i="13"/>
  <c r="M102" i="13"/>
  <c r="M119" i="13"/>
  <c r="M27" i="13"/>
  <c r="M28" i="13"/>
  <c r="M91" i="13"/>
  <c r="M22" i="13"/>
  <c r="M213" i="13"/>
  <c r="M214" i="13"/>
  <c r="M29" i="13"/>
  <c r="M24" i="13"/>
  <c r="M215" i="13"/>
  <c r="M216" i="13"/>
  <c r="M31" i="13"/>
  <c r="M218" i="13"/>
  <c r="M219" i="13"/>
  <c r="M289" i="13"/>
  <c r="M250" i="13"/>
  <c r="M297" i="13"/>
  <c r="M103" i="13"/>
  <c r="M220" i="13"/>
  <c r="M221" i="13"/>
  <c r="M25" i="13"/>
  <c r="M154" i="13"/>
  <c r="M32" i="13"/>
  <c r="M30" i="13"/>
  <c r="M224" i="13"/>
  <c r="M225" i="13"/>
  <c r="M226" i="13"/>
  <c r="M299" i="13"/>
  <c r="M104" i="13"/>
  <c r="M228" i="13"/>
  <c r="M229" i="13"/>
  <c r="M301" i="13"/>
  <c r="M231" i="13"/>
  <c r="M217" i="13"/>
  <c r="M232" i="13"/>
  <c r="M302" i="13"/>
  <c r="M234" i="13"/>
  <c r="M235" i="13"/>
  <c r="M236" i="13"/>
  <c r="M237" i="13"/>
  <c r="M238" i="13"/>
  <c r="M239" i="13"/>
  <c r="M240" i="13"/>
  <c r="M304" i="13"/>
  <c r="M241" i="13"/>
  <c r="M242" i="13"/>
  <c r="M243" i="13"/>
  <c r="M34" i="13"/>
  <c r="M35" i="13"/>
  <c r="M36" i="13"/>
  <c r="M37" i="13"/>
  <c r="M244" i="13"/>
  <c r="M38" i="13"/>
  <c r="M245" i="13"/>
  <c r="M315" i="13"/>
  <c r="M247" i="13"/>
  <c r="M248" i="13"/>
  <c r="M319" i="13"/>
  <c r="M281" i="13"/>
  <c r="M251" i="13"/>
  <c r="M321" i="13"/>
  <c r="M253" i="13"/>
  <c r="M254" i="13"/>
  <c r="M77" i="13"/>
  <c r="M325" i="13"/>
  <c r="M257" i="13"/>
  <c r="M39" i="13"/>
  <c r="M342" i="13"/>
  <c r="M258" i="13"/>
  <c r="M259" i="13"/>
  <c r="M260" i="13"/>
  <c r="M261" i="13"/>
  <c r="M262" i="13"/>
  <c r="M263" i="13"/>
  <c r="M266" i="13"/>
  <c r="M265" i="13"/>
  <c r="M352" i="13"/>
  <c r="M267" i="13"/>
  <c r="M268" i="13"/>
  <c r="M269" i="13"/>
  <c r="M270" i="13"/>
  <c r="M271" i="13"/>
  <c r="M272" i="13"/>
  <c r="M273" i="13"/>
  <c r="M354" i="13"/>
  <c r="M275" i="13"/>
  <c r="M276" i="13"/>
  <c r="M41" i="13"/>
  <c r="M277" i="13"/>
  <c r="M278" i="13"/>
  <c r="M279" i="13"/>
  <c r="M280" i="13"/>
  <c r="M356" i="13"/>
  <c r="M357" i="13"/>
  <c r="M252" i="13"/>
  <c r="M284" i="13"/>
  <c r="M362" i="13"/>
  <c r="M286" i="13"/>
  <c r="M264" i="13"/>
  <c r="M42" i="13"/>
  <c r="M288" i="13"/>
  <c r="M80" i="13"/>
  <c r="M368" i="13"/>
  <c r="M290" i="13"/>
  <c r="M291" i="13"/>
  <c r="M292" i="13"/>
  <c r="M293" i="13"/>
  <c r="M294" i="13"/>
  <c r="M295" i="13"/>
  <c r="M296" i="13"/>
  <c r="M2138" i="13"/>
  <c r="M298" i="13"/>
  <c r="M81" i="13"/>
  <c r="M2139" i="13"/>
  <c r="M300" i="13"/>
  <c r="M2140" i="13"/>
  <c r="M2141" i="13"/>
  <c r="M303" i="13"/>
  <c r="M2142" i="13"/>
  <c r="M305" i="13"/>
  <c r="M306" i="13"/>
  <c r="M307" i="13"/>
  <c r="M308" i="13"/>
  <c r="M309" i="13"/>
  <c r="M310" i="13"/>
  <c r="M311" i="13"/>
  <c r="M312" i="13"/>
  <c r="M313" i="13"/>
  <c r="M314" i="13"/>
  <c r="M2143" i="13"/>
  <c r="M82" i="13"/>
  <c r="M46" i="13"/>
  <c r="M316" i="13"/>
  <c r="M317" i="13"/>
  <c r="M318" i="13"/>
  <c r="M2144" i="13"/>
  <c r="M320" i="13"/>
  <c r="M2145" i="13"/>
  <c r="M322" i="13"/>
  <c r="M323" i="13"/>
  <c r="M324" i="13"/>
  <c r="M2146" i="13"/>
  <c r="M326" i="13"/>
  <c r="M327" i="13"/>
  <c r="M47" i="13"/>
  <c r="M328" i="13"/>
  <c r="M329" i="13"/>
  <c r="M330" i="13"/>
  <c r="M331" i="13"/>
  <c r="M332" i="13"/>
  <c r="M333" i="13"/>
  <c r="M334" i="13"/>
  <c r="M335" i="13"/>
  <c r="M336" i="13"/>
  <c r="M337" i="13"/>
  <c r="M338" i="13"/>
  <c r="M339" i="13"/>
  <c r="M340" i="13"/>
  <c r="M341" i="13"/>
  <c r="M2147" i="13"/>
  <c r="M343" i="13"/>
  <c r="M344" i="13"/>
  <c r="M345" i="13"/>
  <c r="M346" i="13"/>
  <c r="M347" i="13"/>
  <c r="M348" i="13"/>
  <c r="M349" i="13"/>
  <c r="M350" i="13"/>
  <c r="M351" i="13"/>
  <c r="M83" i="13"/>
  <c r="M2148" i="13"/>
  <c r="M353" i="13"/>
  <c r="M49" i="13"/>
  <c r="M2149" i="13"/>
  <c r="M355" i="13"/>
  <c r="M50" i="13"/>
  <c r="M2150" i="13"/>
  <c r="M2151" i="13"/>
  <c r="M358" i="13"/>
  <c r="M359" i="13"/>
  <c r="M360" i="13"/>
  <c r="M361" i="13"/>
  <c r="M2152" i="13"/>
  <c r="M363" i="13"/>
  <c r="M364" i="13"/>
  <c r="M365" i="13"/>
  <c r="M366" i="13"/>
  <c r="M367" i="13"/>
  <c r="M2153" i="13"/>
  <c r="M369" i="13"/>
  <c r="M370" i="13"/>
  <c r="M371" i="13"/>
  <c r="M372" i="13"/>
  <c r="M373" i="13"/>
  <c r="M374" i="13"/>
  <c r="M375" i="13"/>
  <c r="M376" i="13"/>
  <c r="M377" i="13"/>
  <c r="M378" i="13"/>
  <c r="M379" i="13"/>
  <c r="M380" i="13"/>
  <c r="M381" i="13"/>
  <c r="M382" i="13"/>
  <c r="M383" i="13"/>
  <c r="M384" i="13"/>
  <c r="M385" i="13"/>
  <c r="M386" i="13"/>
  <c r="M387" i="13"/>
  <c r="M388" i="13"/>
  <c r="M389" i="13"/>
  <c r="M390" i="13"/>
  <c r="M391" i="13"/>
  <c r="M392" i="13"/>
  <c r="M393" i="13"/>
  <c r="M394" i="13"/>
  <c r="M395" i="13"/>
  <c r="M396" i="13"/>
  <c r="M397" i="13"/>
  <c r="M398" i="13"/>
  <c r="M399" i="13"/>
  <c r="M400" i="13"/>
  <c r="M401" i="13"/>
  <c r="M402" i="13"/>
  <c r="M403" i="13"/>
  <c r="M404" i="13"/>
  <c r="M405" i="13"/>
  <c r="M406" i="13"/>
  <c r="M407" i="13"/>
  <c r="M408" i="13"/>
  <c r="M409" i="13"/>
  <c r="M410" i="13"/>
  <c r="M411" i="13"/>
  <c r="M412" i="13"/>
  <c r="M413" i="13"/>
  <c r="M414" i="13"/>
  <c r="M415" i="13"/>
  <c r="M416" i="13"/>
  <c r="M417" i="13"/>
  <c r="M418" i="13"/>
  <c r="M419" i="13"/>
  <c r="M420" i="13"/>
  <c r="M421" i="13"/>
  <c r="M422" i="13"/>
  <c r="M423" i="13"/>
  <c r="M424" i="13"/>
  <c r="M425" i="13"/>
  <c r="M426" i="13"/>
  <c r="M427" i="13"/>
  <c r="M428" i="13"/>
  <c r="M429" i="13"/>
  <c r="M430" i="13"/>
  <c r="M431" i="13"/>
  <c r="M432" i="13"/>
  <c r="M433" i="13"/>
  <c r="M434" i="13"/>
  <c r="M435" i="13"/>
  <c r="M436" i="13"/>
  <c r="M437" i="13"/>
  <c r="M438" i="13"/>
  <c r="M439" i="13"/>
  <c r="M440" i="13"/>
  <c r="M441" i="13"/>
  <c r="M442" i="13"/>
  <c r="M443" i="13"/>
  <c r="M444" i="13"/>
  <c r="M445" i="13"/>
  <c r="M446" i="13"/>
  <c r="M447" i="13"/>
  <c r="M448" i="13"/>
  <c r="M449" i="13"/>
  <c r="M450" i="13"/>
  <c r="M451" i="13"/>
  <c r="M452" i="13"/>
  <c r="M453" i="13"/>
  <c r="M454" i="13"/>
  <c r="M455" i="13"/>
  <c r="M456" i="13"/>
  <c r="M457" i="13"/>
  <c r="M458" i="13"/>
  <c r="M459" i="13"/>
  <c r="M460" i="13"/>
  <c r="M461" i="13"/>
  <c r="M462" i="13"/>
  <c r="M463" i="13"/>
  <c r="I8" i="12"/>
  <c r="I9" i="12"/>
  <c r="I10" i="12"/>
  <c r="I11" i="12"/>
  <c r="I12" i="12"/>
  <c r="I7" i="12"/>
  <c r="H8" i="12"/>
  <c r="H9" i="12"/>
  <c r="H10" i="12"/>
  <c r="H11" i="12"/>
  <c r="H12" i="12"/>
  <c r="H7" i="12"/>
  <c r="G8" i="12"/>
  <c r="G9" i="12"/>
  <c r="G10" i="12"/>
  <c r="G11" i="12"/>
  <c r="G12" i="12"/>
  <c r="G7" i="12"/>
  <c r="F8" i="12"/>
  <c r="F9" i="12"/>
  <c r="F10" i="12"/>
  <c r="F11" i="12"/>
  <c r="F12" i="12"/>
  <c r="F7" i="12"/>
  <c r="K7" i="12"/>
  <c r="D12" i="12"/>
  <c r="L7" i="12"/>
  <c r="M7" i="12"/>
  <c r="N7" i="12"/>
  <c r="Q7" i="12"/>
  <c r="S7" i="12"/>
  <c r="T7" i="12"/>
  <c r="K8" i="12"/>
  <c r="L8" i="12"/>
  <c r="M8" i="12"/>
  <c r="N8" i="12"/>
  <c r="Q8" i="12"/>
  <c r="S8" i="12"/>
  <c r="T8" i="12"/>
  <c r="K9" i="12"/>
  <c r="L9" i="12"/>
  <c r="M9" i="12"/>
  <c r="N9" i="12"/>
  <c r="Q9" i="12"/>
  <c r="S9" i="12"/>
  <c r="T9" i="12"/>
  <c r="K10" i="12"/>
  <c r="L10" i="12"/>
  <c r="M10" i="12"/>
  <c r="N10" i="12"/>
  <c r="Q10" i="12"/>
  <c r="S10" i="12"/>
  <c r="T10" i="12"/>
  <c r="K11" i="12"/>
  <c r="L11" i="12"/>
  <c r="M11" i="12"/>
  <c r="N11" i="12"/>
  <c r="Q11" i="12"/>
  <c r="S11" i="12"/>
  <c r="T11" i="12"/>
  <c r="K12" i="12"/>
  <c r="L12" i="12"/>
  <c r="M12" i="12"/>
  <c r="N12" i="12"/>
  <c r="Q12" i="12"/>
  <c r="S12" i="12"/>
  <c r="T12" i="12"/>
  <c r="D8" i="12"/>
  <c r="D9" i="12"/>
  <c r="D10" i="12"/>
  <c r="D11" i="12"/>
  <c r="F13" i="12" l="1"/>
  <c r="D13" i="12"/>
  <c r="K13" i="12"/>
  <c r="S13" i="12"/>
  <c r="Q13" i="12"/>
  <c r="I13" i="12"/>
  <c r="T13" i="12"/>
  <c r="P13" i="12"/>
  <c r="N13" i="12"/>
  <c r="H13" i="12"/>
  <c r="M13" i="12"/>
  <c r="L13" i="12"/>
  <c r="G13" i="12"/>
  <c r="T400" i="16" l="1"/>
  <c r="S400" i="16"/>
  <c r="R400" i="16"/>
  <c r="Q400" i="16"/>
  <c r="O400" i="16"/>
  <c r="N400" i="16"/>
  <c r="M400" i="16"/>
  <c r="L400" i="16"/>
  <c r="K400" i="16"/>
  <c r="T399" i="16"/>
  <c r="S399" i="16"/>
  <c r="R399" i="16"/>
  <c r="Q399" i="16"/>
  <c r="O399" i="16"/>
  <c r="N399" i="16"/>
  <c r="M399" i="16"/>
  <c r="L399" i="16"/>
  <c r="K399" i="16"/>
  <c r="T398" i="16"/>
  <c r="S398" i="16"/>
  <c r="R398" i="16"/>
  <c r="Q398" i="16"/>
  <c r="O398" i="16"/>
  <c r="N398" i="16"/>
  <c r="M398" i="16"/>
  <c r="L398" i="16"/>
  <c r="K398" i="16"/>
  <c r="T397" i="16"/>
  <c r="S397" i="16"/>
  <c r="R397" i="16"/>
  <c r="Q397" i="16"/>
  <c r="O397" i="16"/>
  <c r="N397" i="16"/>
  <c r="M397" i="16"/>
  <c r="L397" i="16"/>
  <c r="K397" i="16"/>
  <c r="T396" i="16"/>
  <c r="S396" i="16"/>
  <c r="R396" i="16"/>
  <c r="Q396" i="16"/>
  <c r="O396" i="16"/>
  <c r="N396" i="16"/>
  <c r="M396" i="16"/>
  <c r="L396" i="16"/>
  <c r="K396" i="16"/>
  <c r="T395" i="16"/>
  <c r="S395" i="16"/>
  <c r="R395" i="16"/>
  <c r="Q395" i="16"/>
  <c r="O395" i="16"/>
  <c r="N395" i="16"/>
  <c r="M395" i="16"/>
  <c r="L395" i="16"/>
  <c r="K395" i="16"/>
  <c r="T394" i="16"/>
  <c r="S394" i="16"/>
  <c r="R394" i="16"/>
  <c r="Q394" i="16"/>
  <c r="O394" i="16"/>
  <c r="N394" i="16"/>
  <c r="M394" i="16"/>
  <c r="L394" i="16"/>
  <c r="K394" i="16"/>
  <c r="T393" i="16"/>
  <c r="S393" i="16"/>
  <c r="R393" i="16"/>
  <c r="Q393" i="16"/>
  <c r="O393" i="16"/>
  <c r="N393" i="16"/>
  <c r="M393" i="16"/>
  <c r="L393" i="16"/>
  <c r="K393" i="16"/>
  <c r="T392" i="16"/>
  <c r="S392" i="16"/>
  <c r="R392" i="16"/>
  <c r="Q392" i="16"/>
  <c r="O392" i="16"/>
  <c r="N392" i="16"/>
  <c r="M392" i="16"/>
  <c r="L392" i="16"/>
  <c r="K392" i="16"/>
  <c r="T391" i="16"/>
  <c r="S391" i="16"/>
  <c r="R391" i="16"/>
  <c r="Q391" i="16"/>
  <c r="O391" i="16"/>
  <c r="N391" i="16"/>
  <c r="M391" i="16"/>
  <c r="L391" i="16"/>
  <c r="K391" i="16"/>
  <c r="T390" i="16"/>
  <c r="S390" i="16"/>
  <c r="R390" i="16"/>
  <c r="Q390" i="16"/>
  <c r="O390" i="16"/>
  <c r="N390" i="16"/>
  <c r="M390" i="16"/>
  <c r="L390" i="16"/>
  <c r="K390" i="16"/>
  <c r="T389" i="16"/>
  <c r="S389" i="16"/>
  <c r="R389" i="16"/>
  <c r="Q389" i="16"/>
  <c r="O389" i="16"/>
  <c r="N389" i="16"/>
  <c r="M389" i="16"/>
  <c r="L389" i="16"/>
  <c r="K389" i="16"/>
  <c r="T388" i="16"/>
  <c r="S388" i="16"/>
  <c r="R388" i="16"/>
  <c r="Q388" i="16"/>
  <c r="O388" i="16"/>
  <c r="N388" i="16"/>
  <c r="M388" i="16"/>
  <c r="L388" i="16"/>
  <c r="K388" i="16"/>
  <c r="T387" i="16"/>
  <c r="S387" i="16"/>
  <c r="R387" i="16"/>
  <c r="Q387" i="16"/>
  <c r="O387" i="16"/>
  <c r="N387" i="16"/>
  <c r="M387" i="16"/>
  <c r="L387" i="16"/>
  <c r="K387" i="16"/>
  <c r="T386" i="16"/>
  <c r="S386" i="16"/>
  <c r="R386" i="16"/>
  <c r="Q386" i="16"/>
  <c r="O386" i="16"/>
  <c r="N386" i="16"/>
  <c r="M386" i="16"/>
  <c r="L386" i="16"/>
  <c r="K386" i="16"/>
  <c r="T385" i="16"/>
  <c r="S385" i="16"/>
  <c r="R385" i="16"/>
  <c r="Q385" i="16"/>
  <c r="O385" i="16"/>
  <c r="N385" i="16"/>
  <c r="M385" i="16"/>
  <c r="L385" i="16"/>
  <c r="K385" i="16"/>
  <c r="T384" i="16"/>
  <c r="S384" i="16"/>
  <c r="R384" i="16"/>
  <c r="Q384" i="16"/>
  <c r="O384" i="16"/>
  <c r="N384" i="16"/>
  <c r="M384" i="16"/>
  <c r="L384" i="16"/>
  <c r="K384" i="16"/>
  <c r="T383" i="16"/>
  <c r="S383" i="16"/>
  <c r="R383" i="16"/>
  <c r="Q383" i="16"/>
  <c r="O383" i="16"/>
  <c r="N383" i="16"/>
  <c r="M383" i="16"/>
  <c r="L383" i="16"/>
  <c r="K383" i="16"/>
  <c r="T382" i="16"/>
  <c r="S382" i="16"/>
  <c r="R382" i="16"/>
  <c r="Q382" i="16"/>
  <c r="O382" i="16"/>
  <c r="N382" i="16"/>
  <c r="M382" i="16"/>
  <c r="L382" i="16"/>
  <c r="K382" i="16"/>
  <c r="T381" i="16"/>
  <c r="S381" i="16"/>
  <c r="R381" i="16"/>
  <c r="Q381" i="16"/>
  <c r="O381" i="16"/>
  <c r="N381" i="16"/>
  <c r="M381" i="16"/>
  <c r="L381" i="16"/>
  <c r="K381" i="16"/>
  <c r="T380" i="16"/>
  <c r="S380" i="16"/>
  <c r="R380" i="16"/>
  <c r="Q380" i="16"/>
  <c r="O380" i="16"/>
  <c r="N380" i="16"/>
  <c r="M380" i="16"/>
  <c r="L380" i="16"/>
  <c r="K380" i="16"/>
  <c r="T379" i="16"/>
  <c r="S379" i="16"/>
  <c r="R379" i="16"/>
  <c r="Q379" i="16"/>
  <c r="O379" i="16"/>
  <c r="N379" i="16"/>
  <c r="M379" i="16"/>
  <c r="L379" i="16"/>
  <c r="K379" i="16"/>
  <c r="T378" i="16"/>
  <c r="S378" i="16"/>
  <c r="R378" i="16"/>
  <c r="Q378" i="16"/>
  <c r="O378" i="16"/>
  <c r="N378" i="16"/>
  <c r="M378" i="16"/>
  <c r="L378" i="16"/>
  <c r="K378" i="16"/>
  <c r="T377" i="16"/>
  <c r="S377" i="16"/>
  <c r="R377" i="16"/>
  <c r="Q377" i="16"/>
  <c r="O377" i="16"/>
  <c r="N377" i="16"/>
  <c r="M377" i="16"/>
  <c r="L377" i="16"/>
  <c r="K377" i="16"/>
  <c r="T376" i="16"/>
  <c r="S376" i="16"/>
  <c r="R376" i="16"/>
  <c r="Q376" i="16"/>
  <c r="O376" i="16"/>
  <c r="N376" i="16"/>
  <c r="M376" i="16"/>
  <c r="L376" i="16"/>
  <c r="K376" i="16"/>
  <c r="T375" i="16"/>
  <c r="S375" i="16"/>
  <c r="R375" i="16"/>
  <c r="Q375" i="16"/>
  <c r="O375" i="16"/>
  <c r="N375" i="16"/>
  <c r="M375" i="16"/>
  <c r="L375" i="16"/>
  <c r="K375" i="16"/>
  <c r="T374" i="16"/>
  <c r="S374" i="16"/>
  <c r="R374" i="16"/>
  <c r="Q374" i="16"/>
  <c r="O374" i="16"/>
  <c r="N374" i="16"/>
  <c r="M374" i="16"/>
  <c r="L374" i="16"/>
  <c r="K374" i="16"/>
  <c r="T373" i="16"/>
  <c r="S373" i="16"/>
  <c r="R373" i="16"/>
  <c r="Q373" i="16"/>
  <c r="O373" i="16"/>
  <c r="N373" i="16"/>
  <c r="M373" i="16"/>
  <c r="L373" i="16"/>
  <c r="K373" i="16"/>
  <c r="T372" i="16"/>
  <c r="S372" i="16"/>
  <c r="R372" i="16"/>
  <c r="Q372" i="16"/>
  <c r="O372" i="16"/>
  <c r="N372" i="16"/>
  <c r="M372" i="16"/>
  <c r="L372" i="16"/>
  <c r="K372" i="16"/>
  <c r="T371" i="16"/>
  <c r="S371" i="16"/>
  <c r="R371" i="16"/>
  <c r="Q371" i="16"/>
  <c r="O371" i="16"/>
  <c r="N371" i="16"/>
  <c r="M371" i="16"/>
  <c r="L371" i="16"/>
  <c r="K371" i="16"/>
  <c r="T370" i="16"/>
  <c r="S370" i="16"/>
  <c r="R370" i="16"/>
  <c r="Q370" i="16"/>
  <c r="O370" i="16"/>
  <c r="N370" i="16"/>
  <c r="M370" i="16"/>
  <c r="L370" i="16"/>
  <c r="K370" i="16"/>
  <c r="T369" i="16"/>
  <c r="S369" i="16"/>
  <c r="R369" i="16"/>
  <c r="Q369" i="16"/>
  <c r="O369" i="16"/>
  <c r="N369" i="16"/>
  <c r="M369" i="16"/>
  <c r="L369" i="16"/>
  <c r="K369" i="16"/>
  <c r="T368" i="16"/>
  <c r="S368" i="16"/>
  <c r="R368" i="16"/>
  <c r="Q368" i="16"/>
  <c r="O368" i="16"/>
  <c r="N368" i="16"/>
  <c r="M368" i="16"/>
  <c r="L368" i="16"/>
  <c r="K368" i="16"/>
  <c r="T367" i="16"/>
  <c r="S367" i="16"/>
  <c r="R367" i="16"/>
  <c r="Q367" i="16"/>
  <c r="O367" i="16"/>
  <c r="N367" i="16"/>
  <c r="M367" i="16"/>
  <c r="L367" i="16"/>
  <c r="K367" i="16"/>
  <c r="T366" i="16"/>
  <c r="S366" i="16"/>
  <c r="R366" i="16"/>
  <c r="Q366" i="16"/>
  <c r="O366" i="16"/>
  <c r="N366" i="16"/>
  <c r="M366" i="16"/>
  <c r="L366" i="16"/>
  <c r="K366" i="16"/>
  <c r="T365" i="16"/>
  <c r="S365" i="16"/>
  <c r="R365" i="16"/>
  <c r="Q365" i="16"/>
  <c r="O365" i="16"/>
  <c r="N365" i="16"/>
  <c r="M365" i="16"/>
  <c r="L365" i="16"/>
  <c r="K365" i="16"/>
  <c r="T364" i="16"/>
  <c r="S364" i="16"/>
  <c r="R364" i="16"/>
  <c r="Q364" i="16"/>
  <c r="O364" i="16"/>
  <c r="N364" i="16"/>
  <c r="M364" i="16"/>
  <c r="L364" i="16"/>
  <c r="K364" i="16"/>
  <c r="T363" i="16"/>
  <c r="S363" i="16"/>
  <c r="R363" i="16"/>
  <c r="Q363" i="16"/>
  <c r="O363" i="16"/>
  <c r="N363" i="16"/>
  <c r="M363" i="16"/>
  <c r="L363" i="16"/>
  <c r="K363" i="16"/>
  <c r="T362" i="16"/>
  <c r="S362" i="16"/>
  <c r="R362" i="16"/>
  <c r="Q362" i="16"/>
  <c r="O362" i="16"/>
  <c r="N362" i="16"/>
  <c r="M362" i="16"/>
  <c r="L362" i="16"/>
  <c r="K362" i="16"/>
  <c r="T361" i="16"/>
  <c r="S361" i="16"/>
  <c r="R361" i="16"/>
  <c r="Q361" i="16"/>
  <c r="O361" i="16"/>
  <c r="N361" i="16"/>
  <c r="M361" i="16"/>
  <c r="L361" i="16"/>
  <c r="K361" i="16"/>
  <c r="T360" i="16"/>
  <c r="S360" i="16"/>
  <c r="R360" i="16"/>
  <c r="Q360" i="16"/>
  <c r="O360" i="16"/>
  <c r="N360" i="16"/>
  <c r="M360" i="16"/>
  <c r="L360" i="16"/>
  <c r="K360" i="16"/>
  <c r="T359" i="16"/>
  <c r="S359" i="16"/>
  <c r="R359" i="16"/>
  <c r="Q359" i="16"/>
  <c r="O359" i="16"/>
  <c r="N359" i="16"/>
  <c r="M359" i="16"/>
  <c r="L359" i="16"/>
  <c r="K359" i="16"/>
  <c r="T358" i="16"/>
  <c r="S358" i="16"/>
  <c r="R358" i="16"/>
  <c r="Q358" i="16"/>
  <c r="O358" i="16"/>
  <c r="N358" i="16"/>
  <c r="M358" i="16"/>
  <c r="L358" i="16"/>
  <c r="K358" i="16"/>
  <c r="T357" i="16"/>
  <c r="S357" i="16"/>
  <c r="R357" i="16"/>
  <c r="Q357" i="16"/>
  <c r="O357" i="16"/>
  <c r="N357" i="16"/>
  <c r="M357" i="16"/>
  <c r="L357" i="16"/>
  <c r="K357" i="16"/>
  <c r="T356" i="16"/>
  <c r="S356" i="16"/>
  <c r="R356" i="16"/>
  <c r="Q356" i="16"/>
  <c r="O356" i="16"/>
  <c r="N356" i="16"/>
  <c r="M356" i="16"/>
  <c r="L356" i="16"/>
  <c r="K356" i="16"/>
  <c r="T355" i="16"/>
  <c r="S355" i="16"/>
  <c r="R355" i="16"/>
  <c r="Q355" i="16"/>
  <c r="O355" i="16"/>
  <c r="N355" i="16"/>
  <c r="M355" i="16"/>
  <c r="L355" i="16"/>
  <c r="K355" i="16"/>
  <c r="T354" i="16"/>
  <c r="S354" i="16"/>
  <c r="R354" i="16"/>
  <c r="Q354" i="16"/>
  <c r="O354" i="16"/>
  <c r="N354" i="16"/>
  <c r="M354" i="16"/>
  <c r="L354" i="16"/>
  <c r="K354" i="16"/>
  <c r="T353" i="16"/>
  <c r="S353" i="16"/>
  <c r="R353" i="16"/>
  <c r="Q353" i="16"/>
  <c r="O353" i="16"/>
  <c r="N353" i="16"/>
  <c r="M353" i="16"/>
  <c r="L353" i="16"/>
  <c r="K353" i="16"/>
  <c r="T352" i="16"/>
  <c r="S352" i="16"/>
  <c r="R352" i="16"/>
  <c r="Q352" i="16"/>
  <c r="O352" i="16"/>
  <c r="N352" i="16"/>
  <c r="M352" i="16"/>
  <c r="L352" i="16"/>
  <c r="K352" i="16"/>
  <c r="T351" i="16"/>
  <c r="S351" i="16"/>
  <c r="R351" i="16"/>
  <c r="Q351" i="16"/>
  <c r="O351" i="16"/>
  <c r="N351" i="16"/>
  <c r="M351" i="16"/>
  <c r="L351" i="16"/>
  <c r="K351" i="16"/>
  <c r="T350" i="16"/>
  <c r="S350" i="16"/>
  <c r="R350" i="16"/>
  <c r="Q350" i="16"/>
  <c r="O350" i="16"/>
  <c r="N350" i="16"/>
  <c r="M350" i="16"/>
  <c r="L350" i="16"/>
  <c r="K350" i="16"/>
  <c r="T349" i="16"/>
  <c r="S349" i="16"/>
  <c r="R349" i="16"/>
  <c r="Q349" i="16"/>
  <c r="O349" i="16"/>
  <c r="N349" i="16"/>
  <c r="M349" i="16"/>
  <c r="L349" i="16"/>
  <c r="K349" i="16"/>
  <c r="T348" i="16"/>
  <c r="S348" i="16"/>
  <c r="R348" i="16"/>
  <c r="Q348" i="16"/>
  <c r="O348" i="16"/>
  <c r="N348" i="16"/>
  <c r="M348" i="16"/>
  <c r="L348" i="16"/>
  <c r="K348" i="16"/>
  <c r="T347" i="16"/>
  <c r="S347" i="16"/>
  <c r="R347" i="16"/>
  <c r="Q347" i="16"/>
  <c r="O347" i="16"/>
  <c r="N347" i="16"/>
  <c r="M347" i="16"/>
  <c r="L347" i="16"/>
  <c r="K347" i="16"/>
  <c r="T346" i="16"/>
  <c r="S346" i="16"/>
  <c r="R346" i="16"/>
  <c r="Q346" i="16"/>
  <c r="O346" i="16"/>
  <c r="N346" i="16"/>
  <c r="M346" i="16"/>
  <c r="L346" i="16"/>
  <c r="K346" i="16"/>
  <c r="T345" i="16"/>
  <c r="S345" i="16"/>
  <c r="R345" i="16"/>
  <c r="Q345" i="16"/>
  <c r="O345" i="16"/>
  <c r="N345" i="16"/>
  <c r="M345" i="16"/>
  <c r="L345" i="16"/>
  <c r="K345" i="16"/>
  <c r="T344" i="16"/>
  <c r="S344" i="16"/>
  <c r="R344" i="16"/>
  <c r="Q344" i="16"/>
  <c r="O344" i="16"/>
  <c r="N344" i="16"/>
  <c r="M344" i="16"/>
  <c r="L344" i="16"/>
  <c r="K344" i="16"/>
  <c r="T343" i="16"/>
  <c r="S343" i="16"/>
  <c r="R343" i="16"/>
  <c r="Q343" i="16"/>
  <c r="O343" i="16"/>
  <c r="N343" i="16"/>
  <c r="M343" i="16"/>
  <c r="L343" i="16"/>
  <c r="K343" i="16"/>
  <c r="T342" i="16"/>
  <c r="S342" i="16"/>
  <c r="R342" i="16"/>
  <c r="Q342" i="16"/>
  <c r="O342" i="16"/>
  <c r="N342" i="16"/>
  <c r="M342" i="16"/>
  <c r="L342" i="16"/>
  <c r="K342" i="16"/>
  <c r="T341" i="16"/>
  <c r="S341" i="16"/>
  <c r="R341" i="16"/>
  <c r="Q341" i="16"/>
  <c r="O341" i="16"/>
  <c r="N341" i="16"/>
  <c r="M341" i="16"/>
  <c r="L341" i="16"/>
  <c r="K341" i="16"/>
  <c r="T340" i="16"/>
  <c r="S340" i="16"/>
  <c r="R340" i="16"/>
  <c r="Q340" i="16"/>
  <c r="O340" i="16"/>
  <c r="N340" i="16"/>
  <c r="M340" i="16"/>
  <c r="L340" i="16"/>
  <c r="K340" i="16"/>
  <c r="T339" i="16"/>
  <c r="S339" i="16"/>
  <c r="R339" i="16"/>
  <c r="Q339" i="16"/>
  <c r="O339" i="16"/>
  <c r="N339" i="16"/>
  <c r="M339" i="16"/>
  <c r="L339" i="16"/>
  <c r="K339" i="16"/>
  <c r="T338" i="16"/>
  <c r="S338" i="16"/>
  <c r="R338" i="16"/>
  <c r="Q338" i="16"/>
  <c r="O338" i="16"/>
  <c r="N338" i="16"/>
  <c r="M338" i="16"/>
  <c r="L338" i="16"/>
  <c r="K338" i="16"/>
  <c r="T337" i="16"/>
  <c r="S337" i="16"/>
  <c r="R337" i="16"/>
  <c r="Q337" i="16"/>
  <c r="O337" i="16"/>
  <c r="N337" i="16"/>
  <c r="M337" i="16"/>
  <c r="L337" i="16"/>
  <c r="K337" i="16"/>
  <c r="T336" i="16"/>
  <c r="S336" i="16"/>
  <c r="R336" i="16"/>
  <c r="Q336" i="16"/>
  <c r="O336" i="16"/>
  <c r="N336" i="16"/>
  <c r="M336" i="16"/>
  <c r="L336" i="16"/>
  <c r="K336" i="16"/>
  <c r="T335" i="16"/>
  <c r="S335" i="16"/>
  <c r="R335" i="16"/>
  <c r="Q335" i="16"/>
  <c r="O335" i="16"/>
  <c r="N335" i="16"/>
  <c r="M335" i="16"/>
  <c r="L335" i="16"/>
  <c r="K335" i="16"/>
  <c r="T334" i="16"/>
  <c r="S334" i="16"/>
  <c r="R334" i="16"/>
  <c r="Q334" i="16"/>
  <c r="O334" i="16"/>
  <c r="N334" i="16"/>
  <c r="M334" i="16"/>
  <c r="L334" i="16"/>
  <c r="K334" i="16"/>
  <c r="T333" i="16"/>
  <c r="S333" i="16"/>
  <c r="R333" i="16"/>
  <c r="Q333" i="16"/>
  <c r="O333" i="16"/>
  <c r="N333" i="16"/>
  <c r="M333" i="16"/>
  <c r="L333" i="16"/>
  <c r="K333" i="16"/>
  <c r="T332" i="16"/>
  <c r="S332" i="16"/>
  <c r="R332" i="16"/>
  <c r="Q332" i="16"/>
  <c r="O332" i="16"/>
  <c r="N332" i="16"/>
  <c r="M332" i="16"/>
  <c r="L332" i="16"/>
  <c r="K332" i="16"/>
  <c r="T331" i="16"/>
  <c r="S331" i="16"/>
  <c r="R331" i="16"/>
  <c r="Q331" i="16"/>
  <c r="O331" i="16"/>
  <c r="N331" i="16"/>
  <c r="M331" i="16"/>
  <c r="L331" i="16"/>
  <c r="K331" i="16"/>
  <c r="T330" i="16"/>
  <c r="S330" i="16"/>
  <c r="R330" i="16"/>
  <c r="Q330" i="16"/>
  <c r="O330" i="16"/>
  <c r="N330" i="16"/>
  <c r="M330" i="16"/>
  <c r="L330" i="16"/>
  <c r="K330" i="16"/>
  <c r="T329" i="16"/>
  <c r="S329" i="16"/>
  <c r="R329" i="16"/>
  <c r="Q329" i="16"/>
  <c r="O329" i="16"/>
  <c r="N329" i="16"/>
  <c r="M329" i="16"/>
  <c r="L329" i="16"/>
  <c r="K329" i="16"/>
  <c r="T328" i="16"/>
  <c r="S328" i="16"/>
  <c r="R328" i="16"/>
  <c r="Q328" i="16"/>
  <c r="O328" i="16"/>
  <c r="N328" i="16"/>
  <c r="M328" i="16"/>
  <c r="L328" i="16"/>
  <c r="K328" i="16"/>
  <c r="T327" i="16"/>
  <c r="S327" i="16"/>
  <c r="R327" i="16"/>
  <c r="Q327" i="16"/>
  <c r="O327" i="16"/>
  <c r="N327" i="16"/>
  <c r="M327" i="16"/>
  <c r="L327" i="16"/>
  <c r="K327" i="16"/>
  <c r="T326" i="16"/>
  <c r="S326" i="16"/>
  <c r="R326" i="16"/>
  <c r="Q326" i="16"/>
  <c r="O326" i="16"/>
  <c r="N326" i="16"/>
  <c r="M326" i="16"/>
  <c r="L326" i="16"/>
  <c r="K326" i="16"/>
  <c r="T325" i="16"/>
  <c r="S325" i="16"/>
  <c r="R325" i="16"/>
  <c r="Q325" i="16"/>
  <c r="O325" i="16"/>
  <c r="N325" i="16"/>
  <c r="M325" i="16"/>
  <c r="L325" i="16"/>
  <c r="K325" i="16"/>
  <c r="T324" i="16"/>
  <c r="S324" i="16"/>
  <c r="R324" i="16"/>
  <c r="Q324" i="16"/>
  <c r="O324" i="16"/>
  <c r="N324" i="16"/>
  <c r="M324" i="16"/>
  <c r="L324" i="16"/>
  <c r="K324" i="16"/>
  <c r="T323" i="16"/>
  <c r="S323" i="16"/>
  <c r="R323" i="16"/>
  <c r="Q323" i="16"/>
  <c r="O323" i="16"/>
  <c r="N323" i="16"/>
  <c r="M323" i="16"/>
  <c r="L323" i="16"/>
  <c r="K323" i="16"/>
  <c r="T322" i="16"/>
  <c r="S322" i="16"/>
  <c r="R322" i="16"/>
  <c r="Q322" i="16"/>
  <c r="O322" i="16"/>
  <c r="N322" i="16"/>
  <c r="M322" i="16"/>
  <c r="L322" i="16"/>
  <c r="K322" i="16"/>
  <c r="T321" i="16"/>
  <c r="S321" i="16"/>
  <c r="R321" i="16"/>
  <c r="Q321" i="16"/>
  <c r="O321" i="16"/>
  <c r="N321" i="16"/>
  <c r="M321" i="16"/>
  <c r="L321" i="16"/>
  <c r="K321" i="16"/>
  <c r="T320" i="16"/>
  <c r="S320" i="16"/>
  <c r="R320" i="16"/>
  <c r="Q320" i="16"/>
  <c r="O320" i="16"/>
  <c r="N320" i="16"/>
  <c r="M320" i="16"/>
  <c r="L320" i="16"/>
  <c r="K320" i="16"/>
  <c r="T319" i="16"/>
  <c r="S319" i="16"/>
  <c r="R319" i="16"/>
  <c r="Q319" i="16"/>
  <c r="O319" i="16"/>
  <c r="N319" i="16"/>
  <c r="M319" i="16"/>
  <c r="L319" i="16"/>
  <c r="K319" i="16"/>
  <c r="T318" i="16"/>
  <c r="S318" i="16"/>
  <c r="R318" i="16"/>
  <c r="Q318" i="16"/>
  <c r="O318" i="16"/>
  <c r="N318" i="16"/>
  <c r="M318" i="16"/>
  <c r="L318" i="16"/>
  <c r="K318" i="16"/>
  <c r="T317" i="16"/>
  <c r="S317" i="16"/>
  <c r="R317" i="16"/>
  <c r="Q317" i="16"/>
  <c r="O317" i="16"/>
  <c r="N317" i="16"/>
  <c r="M317" i="16"/>
  <c r="L317" i="16"/>
  <c r="K317" i="16"/>
  <c r="T316" i="16"/>
  <c r="S316" i="16"/>
  <c r="R316" i="16"/>
  <c r="Q316" i="16"/>
  <c r="O316" i="16"/>
  <c r="N316" i="16"/>
  <c r="M316" i="16"/>
  <c r="L316" i="16"/>
  <c r="K316" i="16"/>
  <c r="T315" i="16"/>
  <c r="S315" i="16"/>
  <c r="R315" i="16"/>
  <c r="Q315" i="16"/>
  <c r="O315" i="16"/>
  <c r="N315" i="16"/>
  <c r="M315" i="16"/>
  <c r="L315" i="16"/>
  <c r="K315" i="16"/>
  <c r="T314" i="16"/>
  <c r="S314" i="16"/>
  <c r="R314" i="16"/>
  <c r="Q314" i="16"/>
  <c r="O314" i="16"/>
  <c r="N314" i="16"/>
  <c r="M314" i="16"/>
  <c r="L314" i="16"/>
  <c r="K314" i="16"/>
  <c r="T313" i="16"/>
  <c r="S313" i="16"/>
  <c r="R313" i="16"/>
  <c r="Q313" i="16"/>
  <c r="O313" i="16"/>
  <c r="N313" i="16"/>
  <c r="M313" i="16"/>
  <c r="L313" i="16"/>
  <c r="K313" i="16"/>
  <c r="T312" i="16"/>
  <c r="S312" i="16"/>
  <c r="R312" i="16"/>
  <c r="Q312" i="16"/>
  <c r="O312" i="16"/>
  <c r="N312" i="16"/>
  <c r="M312" i="16"/>
  <c r="L312" i="16"/>
  <c r="K312" i="16"/>
  <c r="T311" i="16"/>
  <c r="S311" i="16"/>
  <c r="R311" i="16"/>
  <c r="Q311" i="16"/>
  <c r="O311" i="16"/>
  <c r="N311" i="16"/>
  <c r="M311" i="16"/>
  <c r="L311" i="16"/>
  <c r="K311" i="16"/>
  <c r="T310" i="16"/>
  <c r="S310" i="16"/>
  <c r="R310" i="16"/>
  <c r="Q310" i="16"/>
  <c r="O310" i="16"/>
  <c r="N310" i="16"/>
  <c r="M310" i="16"/>
  <c r="L310" i="16"/>
  <c r="K310" i="16"/>
  <c r="T309" i="16"/>
  <c r="S309" i="16"/>
  <c r="R309" i="16"/>
  <c r="Q309" i="16"/>
  <c r="O309" i="16"/>
  <c r="N309" i="16"/>
  <c r="M309" i="16"/>
  <c r="L309" i="16"/>
  <c r="K309" i="16"/>
  <c r="T308" i="16"/>
  <c r="S308" i="16"/>
  <c r="R308" i="16"/>
  <c r="Q308" i="16"/>
  <c r="O308" i="16"/>
  <c r="N308" i="16"/>
  <c r="M308" i="16"/>
  <c r="L308" i="16"/>
  <c r="K308" i="16"/>
  <c r="T307" i="16"/>
  <c r="S307" i="16"/>
  <c r="R307" i="16"/>
  <c r="Q307" i="16"/>
  <c r="O307" i="16"/>
  <c r="N307" i="16"/>
  <c r="M307" i="16"/>
  <c r="L307" i="16"/>
  <c r="K307" i="16"/>
  <c r="T306" i="16"/>
  <c r="S306" i="16"/>
  <c r="R306" i="16"/>
  <c r="Q306" i="16"/>
  <c r="O306" i="16"/>
  <c r="N306" i="16"/>
  <c r="M306" i="16"/>
  <c r="L306" i="16"/>
  <c r="K306" i="16"/>
  <c r="T305" i="16"/>
  <c r="S305" i="16"/>
  <c r="R305" i="16"/>
  <c r="Q305" i="16"/>
  <c r="O305" i="16"/>
  <c r="N305" i="16"/>
  <c r="M305" i="16"/>
  <c r="L305" i="16"/>
  <c r="K305" i="16"/>
  <c r="T304" i="16"/>
  <c r="S304" i="16"/>
  <c r="R304" i="16"/>
  <c r="Q304" i="16"/>
  <c r="O304" i="16"/>
  <c r="N304" i="16"/>
  <c r="M304" i="16"/>
  <c r="L304" i="16"/>
  <c r="K304" i="16"/>
  <c r="T303" i="16"/>
  <c r="S303" i="16"/>
  <c r="R303" i="16"/>
  <c r="Q303" i="16"/>
  <c r="O303" i="16"/>
  <c r="N303" i="16"/>
  <c r="M303" i="16"/>
  <c r="L303" i="16"/>
  <c r="K303" i="16"/>
  <c r="T302" i="16"/>
  <c r="S302" i="16"/>
  <c r="R302" i="16"/>
  <c r="Q302" i="16"/>
  <c r="O302" i="16"/>
  <c r="N302" i="16"/>
  <c r="M302" i="16"/>
  <c r="L302" i="16"/>
  <c r="K302" i="16"/>
  <c r="T301" i="16"/>
  <c r="S301" i="16"/>
  <c r="R301" i="16"/>
  <c r="Q301" i="16"/>
  <c r="O301" i="16"/>
  <c r="N301" i="16"/>
  <c r="M301" i="16"/>
  <c r="L301" i="16"/>
  <c r="K301" i="16"/>
  <c r="T300" i="16"/>
  <c r="S300" i="16"/>
  <c r="R300" i="16"/>
  <c r="Q300" i="16"/>
  <c r="O300" i="16"/>
  <c r="N300" i="16"/>
  <c r="M300" i="16"/>
  <c r="L300" i="16"/>
  <c r="K300" i="16"/>
  <c r="T299" i="16"/>
  <c r="S299" i="16"/>
  <c r="R299" i="16"/>
  <c r="Q299" i="16"/>
  <c r="O299" i="16"/>
  <c r="N299" i="16"/>
  <c r="M299" i="16"/>
  <c r="L299" i="16"/>
  <c r="K299" i="16"/>
  <c r="T298" i="16"/>
  <c r="S298" i="16"/>
  <c r="R298" i="16"/>
  <c r="Q298" i="16"/>
  <c r="O298" i="16"/>
  <c r="N298" i="16"/>
  <c r="M298" i="16"/>
  <c r="L298" i="16"/>
  <c r="K298" i="16"/>
  <c r="T297" i="16"/>
  <c r="S297" i="16"/>
  <c r="R297" i="16"/>
  <c r="Q297" i="16"/>
  <c r="O297" i="16"/>
  <c r="N297" i="16"/>
  <c r="M297" i="16"/>
  <c r="L297" i="16"/>
  <c r="K297" i="16"/>
  <c r="T296" i="16"/>
  <c r="S296" i="16"/>
  <c r="R296" i="16"/>
  <c r="Q296" i="16"/>
  <c r="O296" i="16"/>
  <c r="N296" i="16"/>
  <c r="M296" i="16"/>
  <c r="L296" i="16"/>
  <c r="K296" i="16"/>
  <c r="T295" i="16"/>
  <c r="S295" i="16"/>
  <c r="R295" i="16"/>
  <c r="Q295" i="16"/>
  <c r="O295" i="16"/>
  <c r="N295" i="16"/>
  <c r="M295" i="16"/>
  <c r="L295" i="16"/>
  <c r="K295" i="16"/>
  <c r="T294" i="16"/>
  <c r="S294" i="16"/>
  <c r="R294" i="16"/>
  <c r="Q294" i="16"/>
  <c r="O294" i="16"/>
  <c r="N294" i="16"/>
  <c r="M294" i="16"/>
  <c r="L294" i="16"/>
  <c r="K294" i="16"/>
  <c r="T293" i="16"/>
  <c r="S293" i="16"/>
  <c r="R293" i="16"/>
  <c r="Q293" i="16"/>
  <c r="O293" i="16"/>
  <c r="N293" i="16"/>
  <c r="M293" i="16"/>
  <c r="L293" i="16"/>
  <c r="K293" i="16"/>
  <c r="T292" i="16"/>
  <c r="S292" i="16"/>
  <c r="R292" i="16"/>
  <c r="Q292" i="16"/>
  <c r="O292" i="16"/>
  <c r="N292" i="16"/>
  <c r="M292" i="16"/>
  <c r="L292" i="16"/>
  <c r="K292" i="16"/>
  <c r="T291" i="16"/>
  <c r="S291" i="16"/>
  <c r="R291" i="16"/>
  <c r="Q291" i="16"/>
  <c r="O291" i="16"/>
  <c r="N291" i="16"/>
  <c r="M291" i="16"/>
  <c r="L291" i="16"/>
  <c r="K291" i="16"/>
  <c r="T290" i="16"/>
  <c r="S290" i="16"/>
  <c r="R290" i="16"/>
  <c r="Q290" i="16"/>
  <c r="O290" i="16"/>
  <c r="N290" i="16"/>
  <c r="M290" i="16"/>
  <c r="L290" i="16"/>
  <c r="K290" i="16"/>
  <c r="T289" i="16"/>
  <c r="S289" i="16"/>
  <c r="R289" i="16"/>
  <c r="Q289" i="16"/>
  <c r="O289" i="16"/>
  <c r="N289" i="16"/>
  <c r="M289" i="16"/>
  <c r="L289" i="16"/>
  <c r="K289" i="16"/>
  <c r="T288" i="16"/>
  <c r="S288" i="16"/>
  <c r="R288" i="16"/>
  <c r="Q288" i="16"/>
  <c r="O288" i="16"/>
  <c r="N288" i="16"/>
  <c r="M288" i="16"/>
  <c r="L288" i="16"/>
  <c r="K288" i="16"/>
  <c r="T287" i="16"/>
  <c r="S287" i="16"/>
  <c r="R287" i="16"/>
  <c r="Q287" i="16"/>
  <c r="O287" i="16"/>
  <c r="N287" i="16"/>
  <c r="M287" i="16"/>
  <c r="L287" i="16"/>
  <c r="K287" i="16"/>
  <c r="T286" i="16"/>
  <c r="S286" i="16"/>
  <c r="R286" i="16"/>
  <c r="Q286" i="16"/>
  <c r="O286" i="16"/>
  <c r="N286" i="16"/>
  <c r="M286" i="16"/>
  <c r="L286" i="16"/>
  <c r="K286" i="16"/>
  <c r="T285" i="16"/>
  <c r="S285" i="16"/>
  <c r="R285" i="16"/>
  <c r="Q285" i="16"/>
  <c r="O285" i="16"/>
  <c r="N285" i="16"/>
  <c r="M285" i="16"/>
  <c r="L285" i="16"/>
  <c r="K285" i="16"/>
  <c r="T284" i="16"/>
  <c r="S284" i="16"/>
  <c r="R284" i="16"/>
  <c r="Q284" i="16"/>
  <c r="O284" i="16"/>
  <c r="N284" i="16"/>
  <c r="M284" i="16"/>
  <c r="L284" i="16"/>
  <c r="K284" i="16"/>
  <c r="T283" i="16"/>
  <c r="S283" i="16"/>
  <c r="R283" i="16"/>
  <c r="Q283" i="16"/>
  <c r="O283" i="16"/>
  <c r="N283" i="16"/>
  <c r="M283" i="16"/>
  <c r="L283" i="16"/>
  <c r="K283" i="16"/>
  <c r="T282" i="16"/>
  <c r="S282" i="16"/>
  <c r="R282" i="16"/>
  <c r="Q282" i="16"/>
  <c r="O282" i="16"/>
  <c r="N282" i="16"/>
  <c r="M282" i="16"/>
  <c r="L282" i="16"/>
  <c r="K282" i="16"/>
  <c r="T281" i="16"/>
  <c r="S281" i="16"/>
  <c r="R281" i="16"/>
  <c r="Q281" i="16"/>
  <c r="O281" i="16"/>
  <c r="N281" i="16"/>
  <c r="M281" i="16"/>
  <c r="L281" i="16"/>
  <c r="K281" i="16"/>
  <c r="T280" i="16"/>
  <c r="S280" i="16"/>
  <c r="R280" i="16"/>
  <c r="Q280" i="16"/>
  <c r="O280" i="16"/>
  <c r="N280" i="16"/>
  <c r="M280" i="16"/>
  <c r="L280" i="16"/>
  <c r="K280" i="16"/>
  <c r="T279" i="16"/>
  <c r="S279" i="16"/>
  <c r="R279" i="16"/>
  <c r="Q279" i="16"/>
  <c r="O279" i="16"/>
  <c r="N279" i="16"/>
  <c r="M279" i="16"/>
  <c r="L279" i="16"/>
  <c r="K279" i="16"/>
  <c r="T278" i="16"/>
  <c r="S278" i="16"/>
  <c r="R278" i="16"/>
  <c r="Q278" i="16"/>
  <c r="O278" i="16"/>
  <c r="N278" i="16"/>
  <c r="M278" i="16"/>
  <c r="L278" i="16"/>
  <c r="K278" i="16"/>
  <c r="T277" i="16"/>
  <c r="S277" i="16"/>
  <c r="R277" i="16"/>
  <c r="Q277" i="16"/>
  <c r="O277" i="16"/>
  <c r="N277" i="16"/>
  <c r="M277" i="16"/>
  <c r="L277" i="16"/>
  <c r="K277" i="16"/>
  <c r="T276" i="16"/>
  <c r="S276" i="16"/>
  <c r="R276" i="16"/>
  <c r="Q276" i="16"/>
  <c r="O276" i="16"/>
  <c r="N276" i="16"/>
  <c r="M276" i="16"/>
  <c r="L276" i="16"/>
  <c r="K276" i="16"/>
  <c r="T275" i="16"/>
  <c r="S275" i="16"/>
  <c r="R275" i="16"/>
  <c r="Q275" i="16"/>
  <c r="O275" i="16"/>
  <c r="N275" i="16"/>
  <c r="M275" i="16"/>
  <c r="L275" i="16"/>
  <c r="K275" i="16"/>
  <c r="T274" i="16"/>
  <c r="S274" i="16"/>
  <c r="R274" i="16"/>
  <c r="Q274" i="16"/>
  <c r="O274" i="16"/>
  <c r="N274" i="16"/>
  <c r="M274" i="16"/>
  <c r="L274" i="16"/>
  <c r="K274" i="16"/>
  <c r="T273" i="16"/>
  <c r="S273" i="16"/>
  <c r="R273" i="16"/>
  <c r="Q273" i="16"/>
  <c r="O273" i="16"/>
  <c r="N273" i="16"/>
  <c r="M273" i="16"/>
  <c r="L273" i="16"/>
  <c r="K273" i="16"/>
  <c r="T272" i="16"/>
  <c r="S272" i="16"/>
  <c r="R272" i="16"/>
  <c r="Q272" i="16"/>
  <c r="O272" i="16"/>
  <c r="N272" i="16"/>
  <c r="M272" i="16"/>
  <c r="L272" i="16"/>
  <c r="K272" i="16"/>
  <c r="T271" i="16"/>
  <c r="S271" i="16"/>
  <c r="R271" i="16"/>
  <c r="Q271" i="16"/>
  <c r="O271" i="16"/>
  <c r="N271" i="16"/>
  <c r="M271" i="16"/>
  <c r="L271" i="16"/>
  <c r="K271" i="16"/>
  <c r="T270" i="16"/>
  <c r="S270" i="16"/>
  <c r="R270" i="16"/>
  <c r="Q270" i="16"/>
  <c r="O270" i="16"/>
  <c r="N270" i="16"/>
  <c r="M270" i="16"/>
  <c r="L270" i="16"/>
  <c r="K270" i="16"/>
  <c r="T269" i="16"/>
  <c r="S269" i="16"/>
  <c r="R269" i="16"/>
  <c r="Q269" i="16"/>
  <c r="O269" i="16"/>
  <c r="N269" i="16"/>
  <c r="M269" i="16"/>
  <c r="L269" i="16"/>
  <c r="K269" i="16"/>
  <c r="T268" i="16"/>
  <c r="S268" i="16"/>
  <c r="R268" i="16"/>
  <c r="Q268" i="16"/>
  <c r="O268" i="16"/>
  <c r="N268" i="16"/>
  <c r="M268" i="16"/>
  <c r="L268" i="16"/>
  <c r="K268" i="16"/>
  <c r="T267" i="16"/>
  <c r="S267" i="16"/>
  <c r="R267" i="16"/>
  <c r="Q267" i="16"/>
  <c r="O267" i="16"/>
  <c r="N267" i="16"/>
  <c r="M267" i="16"/>
  <c r="L267" i="16"/>
  <c r="K267" i="16"/>
  <c r="T266" i="16"/>
  <c r="S266" i="16"/>
  <c r="R266" i="16"/>
  <c r="Q266" i="16"/>
  <c r="O266" i="16"/>
  <c r="N266" i="16"/>
  <c r="M266" i="16"/>
  <c r="L266" i="16"/>
  <c r="K266" i="16"/>
  <c r="T265" i="16"/>
  <c r="S265" i="16"/>
  <c r="R265" i="16"/>
  <c r="Q265" i="16"/>
  <c r="O265" i="16"/>
  <c r="N265" i="16"/>
  <c r="M265" i="16"/>
  <c r="L265" i="16"/>
  <c r="K265" i="16"/>
  <c r="T264" i="16"/>
  <c r="S264" i="16"/>
  <c r="R264" i="16"/>
  <c r="Q264" i="16"/>
  <c r="O264" i="16"/>
  <c r="N264" i="16"/>
  <c r="M264" i="16"/>
  <c r="L264" i="16"/>
  <c r="K264" i="16"/>
  <c r="T263" i="16"/>
  <c r="S263" i="16"/>
  <c r="R263" i="16"/>
  <c r="Q263" i="16"/>
  <c r="O263" i="16"/>
  <c r="N263" i="16"/>
  <c r="M263" i="16"/>
  <c r="L263" i="16"/>
  <c r="K263" i="16"/>
  <c r="T262" i="16"/>
  <c r="S262" i="16"/>
  <c r="R262" i="16"/>
  <c r="Q262" i="16"/>
  <c r="O262" i="16"/>
  <c r="N262" i="16"/>
  <c r="M262" i="16"/>
  <c r="L262" i="16"/>
  <c r="K262" i="16"/>
  <c r="T261" i="16"/>
  <c r="S261" i="16"/>
  <c r="R261" i="16"/>
  <c r="Q261" i="16"/>
  <c r="O261" i="16"/>
  <c r="N261" i="16"/>
  <c r="M261" i="16"/>
  <c r="L261" i="16"/>
  <c r="K261" i="16"/>
  <c r="T260" i="16"/>
  <c r="S260" i="16"/>
  <c r="R260" i="16"/>
  <c r="Q260" i="16"/>
  <c r="O260" i="16"/>
  <c r="N260" i="16"/>
  <c r="M260" i="16"/>
  <c r="L260" i="16"/>
  <c r="K260" i="16"/>
  <c r="T259" i="16"/>
  <c r="S259" i="16"/>
  <c r="R259" i="16"/>
  <c r="Q259" i="16"/>
  <c r="O259" i="16"/>
  <c r="N259" i="16"/>
  <c r="M259" i="16"/>
  <c r="L259" i="16"/>
  <c r="K259" i="16"/>
  <c r="T258" i="16"/>
  <c r="S258" i="16"/>
  <c r="R258" i="16"/>
  <c r="Q258" i="16"/>
  <c r="O258" i="16"/>
  <c r="N258" i="16"/>
  <c r="M258" i="16"/>
  <c r="L258" i="16"/>
  <c r="K258" i="16"/>
  <c r="T257" i="16"/>
  <c r="S257" i="16"/>
  <c r="R257" i="16"/>
  <c r="Q257" i="16"/>
  <c r="O257" i="16"/>
  <c r="N257" i="16"/>
  <c r="M257" i="16"/>
  <c r="L257" i="16"/>
  <c r="K257" i="16"/>
  <c r="T256" i="16"/>
  <c r="S256" i="16"/>
  <c r="R256" i="16"/>
  <c r="Q256" i="16"/>
  <c r="O256" i="16"/>
  <c r="N256" i="16"/>
  <c r="M256" i="16"/>
  <c r="L256" i="16"/>
  <c r="K256" i="16"/>
  <c r="T255" i="16"/>
  <c r="S255" i="16"/>
  <c r="R255" i="16"/>
  <c r="Q255" i="16"/>
  <c r="O255" i="16"/>
  <c r="N255" i="16"/>
  <c r="M255" i="16"/>
  <c r="L255" i="16"/>
  <c r="K255" i="16"/>
  <c r="T254" i="16"/>
  <c r="S254" i="16"/>
  <c r="R254" i="16"/>
  <c r="Q254" i="16"/>
  <c r="O254" i="16"/>
  <c r="N254" i="16"/>
  <c r="M254" i="16"/>
  <c r="L254" i="16"/>
  <c r="K254" i="16"/>
  <c r="T253" i="16"/>
  <c r="S253" i="16"/>
  <c r="R253" i="16"/>
  <c r="Q253" i="16"/>
  <c r="O253" i="16"/>
  <c r="N253" i="16"/>
  <c r="M253" i="16"/>
  <c r="L253" i="16"/>
  <c r="K253" i="16"/>
  <c r="T252" i="16"/>
  <c r="S252" i="16"/>
  <c r="R252" i="16"/>
  <c r="Q252" i="16"/>
  <c r="O252" i="16"/>
  <c r="N252" i="16"/>
  <c r="M252" i="16"/>
  <c r="L252" i="16"/>
  <c r="K252" i="16"/>
  <c r="T251" i="16"/>
  <c r="S251" i="16"/>
  <c r="R251" i="16"/>
  <c r="Q251" i="16"/>
  <c r="O251" i="16"/>
  <c r="N251" i="16"/>
  <c r="M251" i="16"/>
  <c r="L251" i="16"/>
  <c r="K251" i="16"/>
  <c r="T250" i="16"/>
  <c r="S250" i="16"/>
  <c r="R250" i="16"/>
  <c r="Q250" i="16"/>
  <c r="O250" i="16"/>
  <c r="N250" i="16"/>
  <c r="M250" i="16"/>
  <c r="L250" i="16"/>
  <c r="K250" i="16"/>
  <c r="T249" i="16"/>
  <c r="S249" i="16"/>
  <c r="R249" i="16"/>
  <c r="Q249" i="16"/>
  <c r="O249" i="16"/>
  <c r="N249" i="16"/>
  <c r="M249" i="16"/>
  <c r="L249" i="16"/>
  <c r="K249" i="16"/>
  <c r="T248" i="16"/>
  <c r="S248" i="16"/>
  <c r="R248" i="16"/>
  <c r="Q248" i="16"/>
  <c r="O248" i="16"/>
  <c r="N248" i="16"/>
  <c r="M248" i="16"/>
  <c r="L248" i="16"/>
  <c r="K248" i="16"/>
  <c r="T247" i="16"/>
  <c r="S247" i="16"/>
  <c r="R247" i="16"/>
  <c r="Q247" i="16"/>
  <c r="O247" i="16"/>
  <c r="N247" i="16"/>
  <c r="M247" i="16"/>
  <c r="L247" i="16"/>
  <c r="K247" i="16"/>
  <c r="T246" i="16"/>
  <c r="S246" i="16"/>
  <c r="R246" i="16"/>
  <c r="Q246" i="16"/>
  <c r="O246" i="16"/>
  <c r="N246" i="16"/>
  <c r="M246" i="16"/>
  <c r="L246" i="16"/>
  <c r="K246" i="16"/>
  <c r="T245" i="16"/>
  <c r="S245" i="16"/>
  <c r="R245" i="16"/>
  <c r="Q245" i="16"/>
  <c r="O245" i="16"/>
  <c r="N245" i="16"/>
  <c r="M245" i="16"/>
  <c r="L245" i="16"/>
  <c r="K245" i="16"/>
  <c r="T244" i="16"/>
  <c r="S244" i="16"/>
  <c r="R244" i="16"/>
  <c r="Q244" i="16"/>
  <c r="O244" i="16"/>
  <c r="N244" i="16"/>
  <c r="M244" i="16"/>
  <c r="L244" i="16"/>
  <c r="K244" i="16"/>
  <c r="T243" i="16"/>
  <c r="S243" i="16"/>
  <c r="R243" i="16"/>
  <c r="Q243" i="16"/>
  <c r="O243" i="16"/>
  <c r="N243" i="16"/>
  <c r="M243" i="16"/>
  <c r="L243" i="16"/>
  <c r="K243" i="16"/>
  <c r="T242" i="16"/>
  <c r="S242" i="16"/>
  <c r="R242" i="16"/>
  <c r="Q242" i="16"/>
  <c r="O242" i="16"/>
  <c r="N242" i="16"/>
  <c r="M242" i="16"/>
  <c r="L242" i="16"/>
  <c r="K242" i="16"/>
  <c r="T241" i="16"/>
  <c r="S241" i="16"/>
  <c r="R241" i="16"/>
  <c r="Q241" i="16"/>
  <c r="O241" i="16"/>
  <c r="N241" i="16"/>
  <c r="M241" i="16"/>
  <c r="L241" i="16"/>
  <c r="K241" i="16"/>
  <c r="T240" i="16"/>
  <c r="S240" i="16"/>
  <c r="R240" i="16"/>
  <c r="Q240" i="16"/>
  <c r="O240" i="16"/>
  <c r="N240" i="16"/>
  <c r="M240" i="16"/>
  <c r="L240" i="16"/>
  <c r="K240" i="16"/>
  <c r="T239" i="16"/>
  <c r="S239" i="16"/>
  <c r="R239" i="16"/>
  <c r="Q239" i="16"/>
  <c r="O239" i="16"/>
  <c r="N239" i="16"/>
  <c r="M239" i="16"/>
  <c r="L239" i="16"/>
  <c r="K239" i="16"/>
  <c r="T238" i="16"/>
  <c r="S238" i="16"/>
  <c r="R238" i="16"/>
  <c r="Q238" i="16"/>
  <c r="O238" i="16"/>
  <c r="N238" i="16"/>
  <c r="M238" i="16"/>
  <c r="L238" i="16"/>
  <c r="K238" i="16"/>
  <c r="T237" i="16"/>
  <c r="S237" i="16"/>
  <c r="R237" i="16"/>
  <c r="Q237" i="16"/>
  <c r="O237" i="16"/>
  <c r="N237" i="16"/>
  <c r="M237" i="16"/>
  <c r="L237" i="16"/>
  <c r="K237" i="16"/>
  <c r="T236" i="16"/>
  <c r="S236" i="16"/>
  <c r="R236" i="16"/>
  <c r="Q236" i="16"/>
  <c r="O236" i="16"/>
  <c r="N236" i="16"/>
  <c r="M236" i="16"/>
  <c r="L236" i="16"/>
  <c r="K236" i="16"/>
  <c r="T235" i="16"/>
  <c r="S235" i="16"/>
  <c r="R235" i="16"/>
  <c r="Q235" i="16"/>
  <c r="O235" i="16"/>
  <c r="N235" i="16"/>
  <c r="M235" i="16"/>
  <c r="L235" i="16"/>
  <c r="K235" i="16"/>
  <c r="T234" i="16"/>
  <c r="S234" i="16"/>
  <c r="R234" i="16"/>
  <c r="Q234" i="16"/>
  <c r="O234" i="16"/>
  <c r="N234" i="16"/>
  <c r="M234" i="16"/>
  <c r="L234" i="16"/>
  <c r="K234" i="16"/>
  <c r="T233" i="16"/>
  <c r="S233" i="16"/>
  <c r="R233" i="16"/>
  <c r="Q233" i="16"/>
  <c r="O233" i="16"/>
  <c r="N233" i="16"/>
  <c r="M233" i="16"/>
  <c r="L233" i="16"/>
  <c r="K233" i="16"/>
  <c r="T232" i="16"/>
  <c r="S232" i="16"/>
  <c r="R232" i="16"/>
  <c r="Q232" i="16"/>
  <c r="O232" i="16"/>
  <c r="N232" i="16"/>
  <c r="M232" i="16"/>
  <c r="L232" i="16"/>
  <c r="K232" i="16"/>
  <c r="T231" i="16"/>
  <c r="S231" i="16"/>
  <c r="R231" i="16"/>
  <c r="Q231" i="16"/>
  <c r="O231" i="16"/>
  <c r="N231" i="16"/>
  <c r="M231" i="16"/>
  <c r="L231" i="16"/>
  <c r="K231" i="16"/>
  <c r="T230" i="16"/>
  <c r="S230" i="16"/>
  <c r="R230" i="16"/>
  <c r="Q230" i="16"/>
  <c r="O230" i="16"/>
  <c r="N230" i="16"/>
  <c r="M230" i="16"/>
  <c r="L230" i="16"/>
  <c r="K230" i="16"/>
  <c r="T229" i="16"/>
  <c r="S229" i="16"/>
  <c r="R229" i="16"/>
  <c r="Q229" i="16"/>
  <c r="O229" i="16"/>
  <c r="N229" i="16"/>
  <c r="M229" i="16"/>
  <c r="L229" i="16"/>
  <c r="K229" i="16"/>
  <c r="T228" i="16"/>
  <c r="S228" i="16"/>
  <c r="R228" i="16"/>
  <c r="Q228" i="16"/>
  <c r="O228" i="16"/>
  <c r="N228" i="16"/>
  <c r="M228" i="16"/>
  <c r="L228" i="16"/>
  <c r="K228" i="16"/>
  <c r="T227" i="16"/>
  <c r="S227" i="16"/>
  <c r="R227" i="16"/>
  <c r="Q227" i="16"/>
  <c r="O227" i="16"/>
  <c r="N227" i="16"/>
  <c r="M227" i="16"/>
  <c r="L227" i="16"/>
  <c r="K227" i="16"/>
  <c r="T226" i="16"/>
  <c r="S226" i="16"/>
  <c r="R226" i="16"/>
  <c r="Q226" i="16"/>
  <c r="O226" i="16"/>
  <c r="N226" i="16"/>
  <c r="M226" i="16"/>
  <c r="L226" i="16"/>
  <c r="K226" i="16"/>
  <c r="T225" i="16"/>
  <c r="S225" i="16"/>
  <c r="R225" i="16"/>
  <c r="Q225" i="16"/>
  <c r="O225" i="16"/>
  <c r="N225" i="16"/>
  <c r="M225" i="16"/>
  <c r="L225" i="16"/>
  <c r="K225" i="16"/>
  <c r="T224" i="16"/>
  <c r="S224" i="16"/>
  <c r="R224" i="16"/>
  <c r="Q224" i="16"/>
  <c r="O224" i="16"/>
  <c r="N224" i="16"/>
  <c r="M224" i="16"/>
  <c r="L224" i="16"/>
  <c r="K224" i="16"/>
  <c r="T223" i="16"/>
  <c r="S223" i="16"/>
  <c r="R223" i="16"/>
  <c r="Q223" i="16"/>
  <c r="O223" i="16"/>
  <c r="N223" i="16"/>
  <c r="M223" i="16"/>
  <c r="L223" i="16"/>
  <c r="K223" i="16"/>
  <c r="T222" i="16"/>
  <c r="S222" i="16"/>
  <c r="R222" i="16"/>
  <c r="Q222" i="16"/>
  <c r="O222" i="16"/>
  <c r="N222" i="16"/>
  <c r="M222" i="16"/>
  <c r="L222" i="16"/>
  <c r="K222" i="16"/>
  <c r="T221" i="16"/>
  <c r="S221" i="16"/>
  <c r="R221" i="16"/>
  <c r="Q221" i="16"/>
  <c r="O221" i="16"/>
  <c r="N221" i="16"/>
  <c r="M221" i="16"/>
  <c r="L221" i="16"/>
  <c r="K221" i="16"/>
  <c r="T220" i="16"/>
  <c r="S220" i="16"/>
  <c r="R220" i="16"/>
  <c r="Q220" i="16"/>
  <c r="O220" i="16"/>
  <c r="N220" i="16"/>
  <c r="M220" i="16"/>
  <c r="L220" i="16"/>
  <c r="K220" i="16"/>
  <c r="T219" i="16"/>
  <c r="S219" i="16"/>
  <c r="R219" i="16"/>
  <c r="Q219" i="16"/>
  <c r="O219" i="16"/>
  <c r="N219" i="16"/>
  <c r="M219" i="16"/>
  <c r="L219" i="16"/>
  <c r="K219" i="16"/>
  <c r="T218" i="16"/>
  <c r="S218" i="16"/>
  <c r="R218" i="16"/>
  <c r="Q218" i="16"/>
  <c r="O218" i="16"/>
  <c r="N218" i="16"/>
  <c r="M218" i="16"/>
  <c r="L218" i="16"/>
  <c r="K218" i="16"/>
  <c r="T217" i="16"/>
  <c r="S217" i="16"/>
  <c r="R217" i="16"/>
  <c r="Q217" i="16"/>
  <c r="O217" i="16"/>
  <c r="N217" i="16"/>
  <c r="M217" i="16"/>
  <c r="L217" i="16"/>
  <c r="K217" i="16"/>
  <c r="T216" i="16"/>
  <c r="S216" i="16"/>
  <c r="R216" i="16"/>
  <c r="Q216" i="16"/>
  <c r="O216" i="16"/>
  <c r="N216" i="16"/>
  <c r="M216" i="16"/>
  <c r="L216" i="16"/>
  <c r="K216" i="16"/>
  <c r="T215" i="16"/>
  <c r="S215" i="16"/>
  <c r="R215" i="16"/>
  <c r="Q215" i="16"/>
  <c r="O215" i="16"/>
  <c r="N215" i="16"/>
  <c r="M215" i="16"/>
  <c r="L215" i="16"/>
  <c r="K215" i="16"/>
  <c r="T214" i="16"/>
  <c r="S214" i="16"/>
  <c r="R214" i="16"/>
  <c r="Q214" i="16"/>
  <c r="O214" i="16"/>
  <c r="N214" i="16"/>
  <c r="M214" i="16"/>
  <c r="L214" i="16"/>
  <c r="K214" i="16"/>
  <c r="T213" i="16"/>
  <c r="S213" i="16"/>
  <c r="R213" i="16"/>
  <c r="Q213" i="16"/>
  <c r="O213" i="16"/>
  <c r="N213" i="16"/>
  <c r="M213" i="16"/>
  <c r="L213" i="16"/>
  <c r="K213" i="16"/>
  <c r="T212" i="16"/>
  <c r="S212" i="16"/>
  <c r="R212" i="16"/>
  <c r="Q212" i="16"/>
  <c r="O212" i="16"/>
  <c r="N212" i="16"/>
  <c r="M212" i="16"/>
  <c r="L212" i="16"/>
  <c r="K212" i="16"/>
  <c r="T211" i="16"/>
  <c r="S211" i="16"/>
  <c r="R211" i="16"/>
  <c r="Q211" i="16"/>
  <c r="O211" i="16"/>
  <c r="N211" i="16"/>
  <c r="M211" i="16"/>
  <c r="L211" i="16"/>
  <c r="K211" i="16"/>
  <c r="T210" i="16"/>
  <c r="S210" i="16"/>
  <c r="R210" i="16"/>
  <c r="Q210" i="16"/>
  <c r="O210" i="16"/>
  <c r="N210" i="16"/>
  <c r="M210" i="16"/>
  <c r="L210" i="16"/>
  <c r="K210" i="16"/>
  <c r="T209" i="16"/>
  <c r="S209" i="16"/>
  <c r="R209" i="16"/>
  <c r="Q209" i="16"/>
  <c r="O209" i="16"/>
  <c r="N209" i="16"/>
  <c r="M209" i="16"/>
  <c r="L209" i="16"/>
  <c r="K209" i="16"/>
  <c r="T208" i="16"/>
  <c r="S208" i="16"/>
  <c r="R208" i="16"/>
  <c r="Q208" i="16"/>
  <c r="O208" i="16"/>
  <c r="N208" i="16"/>
  <c r="M208" i="16"/>
  <c r="L208" i="16"/>
  <c r="K208" i="16"/>
  <c r="T207" i="16"/>
  <c r="S207" i="16"/>
  <c r="R207" i="16"/>
  <c r="Q207" i="16"/>
  <c r="O207" i="16"/>
  <c r="N207" i="16"/>
  <c r="M207" i="16"/>
  <c r="L207" i="16"/>
  <c r="K207" i="16"/>
  <c r="T206" i="16"/>
  <c r="S206" i="16"/>
  <c r="R206" i="16"/>
  <c r="Q206" i="16"/>
  <c r="O206" i="16"/>
  <c r="N206" i="16"/>
  <c r="M206" i="16"/>
  <c r="L206" i="16"/>
  <c r="K206" i="16"/>
  <c r="T205" i="16"/>
  <c r="S205" i="16"/>
  <c r="R205" i="16"/>
  <c r="Q205" i="16"/>
  <c r="O205" i="16"/>
  <c r="N205" i="16"/>
  <c r="M205" i="16"/>
  <c r="L205" i="16"/>
  <c r="K205" i="16"/>
  <c r="T204" i="16"/>
  <c r="S204" i="16"/>
  <c r="R204" i="16"/>
  <c r="Q204" i="16"/>
  <c r="O204" i="16"/>
  <c r="N204" i="16"/>
  <c r="M204" i="16"/>
  <c r="L204" i="16"/>
  <c r="K204" i="16"/>
  <c r="T203" i="16"/>
  <c r="S203" i="16"/>
  <c r="R203" i="16"/>
  <c r="Q203" i="16"/>
  <c r="O203" i="16"/>
  <c r="N203" i="16"/>
  <c r="M203" i="16"/>
  <c r="L203" i="16"/>
  <c r="K203" i="16"/>
  <c r="T202" i="16"/>
  <c r="S202" i="16"/>
  <c r="R202" i="16"/>
  <c r="Q202" i="16"/>
  <c r="O202" i="16"/>
  <c r="N202" i="16"/>
  <c r="M202" i="16"/>
  <c r="L202" i="16"/>
  <c r="K202" i="16"/>
  <c r="T201" i="16"/>
  <c r="S201" i="16"/>
  <c r="R201" i="16"/>
  <c r="Q201" i="16"/>
  <c r="O201" i="16"/>
  <c r="N201" i="16"/>
  <c r="M201" i="16"/>
  <c r="L201" i="16"/>
  <c r="K201" i="16"/>
  <c r="T200" i="16"/>
  <c r="S200" i="16"/>
  <c r="R200" i="16"/>
  <c r="Q200" i="16"/>
  <c r="O200" i="16"/>
  <c r="N200" i="16"/>
  <c r="M200" i="16"/>
  <c r="L200" i="16"/>
  <c r="K200" i="16"/>
  <c r="T199" i="16"/>
  <c r="S199" i="16"/>
  <c r="R199" i="16"/>
  <c r="Q199" i="16"/>
  <c r="O199" i="16"/>
  <c r="N199" i="16"/>
  <c r="M199" i="16"/>
  <c r="L199" i="16"/>
  <c r="K199" i="16"/>
  <c r="T198" i="16"/>
  <c r="S198" i="16"/>
  <c r="R198" i="16"/>
  <c r="Q198" i="16"/>
  <c r="O198" i="16"/>
  <c r="N198" i="16"/>
  <c r="M198" i="16"/>
  <c r="L198" i="16"/>
  <c r="K198" i="16"/>
  <c r="T197" i="16"/>
  <c r="S197" i="16"/>
  <c r="R197" i="16"/>
  <c r="Q197" i="16"/>
  <c r="O197" i="16"/>
  <c r="N197" i="16"/>
  <c r="M197" i="16"/>
  <c r="L197" i="16"/>
  <c r="K197" i="16"/>
  <c r="T196" i="16"/>
  <c r="S196" i="16"/>
  <c r="R196" i="16"/>
  <c r="Q196" i="16"/>
  <c r="O196" i="16"/>
  <c r="N196" i="16"/>
  <c r="M196" i="16"/>
  <c r="L196" i="16"/>
  <c r="K196" i="16"/>
  <c r="T195" i="16"/>
  <c r="S195" i="16"/>
  <c r="R195" i="16"/>
  <c r="Q195" i="16"/>
  <c r="O195" i="16"/>
  <c r="N195" i="16"/>
  <c r="M195" i="16"/>
  <c r="L195" i="16"/>
  <c r="K195" i="16"/>
  <c r="T194" i="16"/>
  <c r="S194" i="16"/>
  <c r="R194" i="16"/>
  <c r="Q194" i="16"/>
  <c r="O194" i="16"/>
  <c r="N194" i="16"/>
  <c r="M194" i="16"/>
  <c r="L194" i="16"/>
  <c r="K194" i="16"/>
  <c r="T193" i="16"/>
  <c r="S193" i="16"/>
  <c r="R193" i="16"/>
  <c r="Q193" i="16"/>
  <c r="O193" i="16"/>
  <c r="N193" i="16"/>
  <c r="M193" i="16"/>
  <c r="L193" i="16"/>
  <c r="K193" i="16"/>
  <c r="T192" i="16"/>
  <c r="S192" i="16"/>
  <c r="R192" i="16"/>
  <c r="Q192" i="16"/>
  <c r="O192" i="16"/>
  <c r="N192" i="16"/>
  <c r="M192" i="16"/>
  <c r="L192" i="16"/>
  <c r="K192" i="16"/>
  <c r="T191" i="16"/>
  <c r="S191" i="16"/>
  <c r="R191" i="16"/>
  <c r="Q191" i="16"/>
  <c r="O191" i="16"/>
  <c r="N191" i="16"/>
  <c r="M191" i="16"/>
  <c r="L191" i="16"/>
  <c r="K191" i="16"/>
  <c r="T190" i="16"/>
  <c r="S190" i="16"/>
  <c r="R190" i="16"/>
  <c r="Q190" i="16"/>
  <c r="O190" i="16"/>
  <c r="N190" i="16"/>
  <c r="M190" i="16"/>
  <c r="L190" i="16"/>
  <c r="K190" i="16"/>
  <c r="T189" i="16"/>
  <c r="S189" i="16"/>
  <c r="R189" i="16"/>
  <c r="Q189" i="16"/>
  <c r="O189" i="16"/>
  <c r="N189" i="16"/>
  <c r="M189" i="16"/>
  <c r="L189" i="16"/>
  <c r="K189" i="16"/>
  <c r="T188" i="16"/>
  <c r="S188" i="16"/>
  <c r="R188" i="16"/>
  <c r="Q188" i="16"/>
  <c r="O188" i="16"/>
  <c r="N188" i="16"/>
  <c r="M188" i="16"/>
  <c r="L188" i="16"/>
  <c r="K188" i="16"/>
  <c r="T187" i="16"/>
  <c r="S187" i="16"/>
  <c r="R187" i="16"/>
  <c r="Q187" i="16"/>
  <c r="O187" i="16"/>
  <c r="N187" i="16"/>
  <c r="M187" i="16"/>
  <c r="L187" i="16"/>
  <c r="K187" i="16"/>
  <c r="T186" i="16"/>
  <c r="S186" i="16"/>
  <c r="R186" i="16"/>
  <c r="Q186" i="16"/>
  <c r="O186" i="16"/>
  <c r="N186" i="16"/>
  <c r="M186" i="16"/>
  <c r="L186" i="16"/>
  <c r="K186" i="16"/>
  <c r="T185" i="16"/>
  <c r="S185" i="16"/>
  <c r="R185" i="16"/>
  <c r="Q185" i="16"/>
  <c r="O185" i="16"/>
  <c r="N185" i="16"/>
  <c r="M185" i="16"/>
  <c r="L185" i="16"/>
  <c r="K185" i="16"/>
  <c r="T184" i="16"/>
  <c r="S184" i="16"/>
  <c r="R184" i="16"/>
  <c r="Q184" i="16"/>
  <c r="O184" i="16"/>
  <c r="N184" i="16"/>
  <c r="M184" i="16"/>
  <c r="L184" i="16"/>
  <c r="K184" i="16"/>
  <c r="T183" i="16"/>
  <c r="S183" i="16"/>
  <c r="R183" i="16"/>
  <c r="Q183" i="16"/>
  <c r="O183" i="16"/>
  <c r="N183" i="16"/>
  <c r="M183" i="16"/>
  <c r="L183" i="16"/>
  <c r="K183" i="16"/>
  <c r="T182" i="16"/>
  <c r="S182" i="16"/>
  <c r="R182" i="16"/>
  <c r="Q182" i="16"/>
  <c r="O182" i="16"/>
  <c r="N182" i="16"/>
  <c r="M182" i="16"/>
  <c r="L182" i="16"/>
  <c r="K182" i="16"/>
  <c r="T181" i="16"/>
  <c r="S181" i="16"/>
  <c r="R181" i="16"/>
  <c r="Q181" i="16"/>
  <c r="O181" i="16"/>
  <c r="N181" i="16"/>
  <c r="M181" i="16"/>
  <c r="L181" i="16"/>
  <c r="K181" i="16"/>
  <c r="T180" i="16"/>
  <c r="S180" i="16"/>
  <c r="R180" i="16"/>
  <c r="Q180" i="16"/>
  <c r="O180" i="16"/>
  <c r="N180" i="16"/>
  <c r="M180" i="16"/>
  <c r="L180" i="16"/>
  <c r="K180" i="16"/>
  <c r="T179" i="16"/>
  <c r="S179" i="16"/>
  <c r="R179" i="16"/>
  <c r="Q179" i="16"/>
  <c r="O179" i="16"/>
  <c r="N179" i="16"/>
  <c r="M179" i="16"/>
  <c r="L179" i="16"/>
  <c r="K179" i="16"/>
  <c r="T178" i="16"/>
  <c r="S178" i="16"/>
  <c r="R178" i="16"/>
  <c r="Q178" i="16"/>
  <c r="O178" i="16"/>
  <c r="N178" i="16"/>
  <c r="M178" i="16"/>
  <c r="L178" i="16"/>
  <c r="K178" i="16"/>
  <c r="T177" i="16"/>
  <c r="S177" i="16"/>
  <c r="R177" i="16"/>
  <c r="Q177" i="16"/>
  <c r="O177" i="16"/>
  <c r="N177" i="16"/>
  <c r="M177" i="16"/>
  <c r="L177" i="16"/>
  <c r="K177" i="16"/>
  <c r="T176" i="16"/>
  <c r="S176" i="16"/>
  <c r="R176" i="16"/>
  <c r="Q176" i="16"/>
  <c r="O176" i="16"/>
  <c r="N176" i="16"/>
  <c r="M176" i="16"/>
  <c r="L176" i="16"/>
  <c r="K176" i="16"/>
  <c r="T175" i="16"/>
  <c r="S175" i="16"/>
  <c r="R175" i="16"/>
  <c r="Q175" i="16"/>
  <c r="O175" i="16"/>
  <c r="N175" i="16"/>
  <c r="M175" i="16"/>
  <c r="L175" i="16"/>
  <c r="K175" i="16"/>
  <c r="T174" i="16"/>
  <c r="S174" i="16"/>
  <c r="R174" i="16"/>
  <c r="Q174" i="16"/>
  <c r="O174" i="16"/>
  <c r="N174" i="16"/>
  <c r="M174" i="16"/>
  <c r="L174" i="16"/>
  <c r="K174" i="16"/>
  <c r="T173" i="16"/>
  <c r="S173" i="16"/>
  <c r="R173" i="16"/>
  <c r="Q173" i="16"/>
  <c r="O173" i="16"/>
  <c r="N173" i="16"/>
  <c r="M173" i="16"/>
  <c r="L173" i="16"/>
  <c r="K173" i="16"/>
  <c r="T172" i="16"/>
  <c r="S172" i="16"/>
  <c r="R172" i="16"/>
  <c r="Q172" i="16"/>
  <c r="O172" i="16"/>
  <c r="N172" i="16"/>
  <c r="M172" i="16"/>
  <c r="L172" i="16"/>
  <c r="K172" i="16"/>
  <c r="T171" i="16"/>
  <c r="S171" i="16"/>
  <c r="R171" i="16"/>
  <c r="Q171" i="16"/>
  <c r="O171" i="16"/>
  <c r="N171" i="16"/>
  <c r="M171" i="16"/>
  <c r="L171" i="16"/>
  <c r="K171" i="16"/>
  <c r="T170" i="16"/>
  <c r="S170" i="16"/>
  <c r="R170" i="16"/>
  <c r="Q170" i="16"/>
  <c r="O170" i="16"/>
  <c r="N170" i="16"/>
  <c r="M170" i="16"/>
  <c r="L170" i="16"/>
  <c r="K170" i="16"/>
  <c r="T169" i="16"/>
  <c r="S169" i="16"/>
  <c r="R169" i="16"/>
  <c r="Q169" i="16"/>
  <c r="O169" i="16"/>
  <c r="N169" i="16"/>
  <c r="M169" i="16"/>
  <c r="L169" i="16"/>
  <c r="K169" i="16"/>
  <c r="T168" i="16"/>
  <c r="S168" i="16"/>
  <c r="R168" i="16"/>
  <c r="Q168" i="16"/>
  <c r="O168" i="16"/>
  <c r="N168" i="16"/>
  <c r="M168" i="16"/>
  <c r="L168" i="16"/>
  <c r="K168" i="16"/>
  <c r="T167" i="16"/>
  <c r="S167" i="16"/>
  <c r="R167" i="16"/>
  <c r="Q167" i="16"/>
  <c r="O167" i="16"/>
  <c r="N167" i="16"/>
  <c r="M167" i="16"/>
  <c r="L167" i="16"/>
  <c r="K167" i="16"/>
  <c r="T166" i="16"/>
  <c r="S166" i="16"/>
  <c r="R166" i="16"/>
  <c r="Q166" i="16"/>
  <c r="O166" i="16"/>
  <c r="N166" i="16"/>
  <c r="M166" i="16"/>
  <c r="L166" i="16"/>
  <c r="K166" i="16"/>
  <c r="T165" i="16"/>
  <c r="S165" i="16"/>
  <c r="R165" i="16"/>
  <c r="Q165" i="16"/>
  <c r="O165" i="16"/>
  <c r="N165" i="16"/>
  <c r="M165" i="16"/>
  <c r="L165" i="16"/>
  <c r="K165" i="16"/>
  <c r="T164" i="16"/>
  <c r="S164" i="16"/>
  <c r="R164" i="16"/>
  <c r="Q164" i="16"/>
  <c r="O164" i="16"/>
  <c r="N164" i="16"/>
  <c r="M164" i="16"/>
  <c r="L164" i="16"/>
  <c r="K164" i="16"/>
  <c r="T163" i="16"/>
  <c r="S163" i="16"/>
  <c r="R163" i="16"/>
  <c r="Q163" i="16"/>
  <c r="O163" i="16"/>
  <c r="N163" i="16"/>
  <c r="M163" i="16"/>
  <c r="L163" i="16"/>
  <c r="K163" i="16"/>
  <c r="T162" i="16"/>
  <c r="S162" i="16"/>
  <c r="R162" i="16"/>
  <c r="Q162" i="16"/>
  <c r="O162" i="16"/>
  <c r="N162" i="16"/>
  <c r="M162" i="16"/>
  <c r="L162" i="16"/>
  <c r="K162" i="16"/>
  <c r="T161" i="16"/>
  <c r="S161" i="16"/>
  <c r="R161" i="16"/>
  <c r="Q161" i="16"/>
  <c r="O161" i="16"/>
  <c r="N161" i="16"/>
  <c r="M161" i="16"/>
  <c r="L161" i="16"/>
  <c r="K161" i="16"/>
  <c r="T160" i="16"/>
  <c r="S160" i="16"/>
  <c r="R160" i="16"/>
  <c r="Q160" i="16"/>
  <c r="O160" i="16"/>
  <c r="N160" i="16"/>
  <c r="M160" i="16"/>
  <c r="L160" i="16"/>
  <c r="K160" i="16"/>
  <c r="T159" i="16"/>
  <c r="S159" i="16"/>
  <c r="R159" i="16"/>
  <c r="Q159" i="16"/>
  <c r="O159" i="16"/>
  <c r="N159" i="16"/>
  <c r="M159" i="16"/>
  <c r="L159" i="16"/>
  <c r="K159" i="16"/>
  <c r="T158" i="16"/>
  <c r="S158" i="16"/>
  <c r="R158" i="16"/>
  <c r="Q158" i="16"/>
  <c r="O158" i="16"/>
  <c r="N158" i="16"/>
  <c r="M158" i="16"/>
  <c r="L158" i="16"/>
  <c r="K158" i="16"/>
  <c r="T157" i="16"/>
  <c r="S157" i="16"/>
  <c r="R157" i="16"/>
  <c r="Q157" i="16"/>
  <c r="O157" i="16"/>
  <c r="N157" i="16"/>
  <c r="M157" i="16"/>
  <c r="L157" i="16"/>
  <c r="K157" i="16"/>
  <c r="T156" i="16"/>
  <c r="S156" i="16"/>
  <c r="R156" i="16"/>
  <c r="Q156" i="16"/>
  <c r="O156" i="16"/>
  <c r="N156" i="16"/>
  <c r="M156" i="16"/>
  <c r="L156" i="16"/>
  <c r="K156" i="16"/>
  <c r="T155" i="16"/>
  <c r="S155" i="16"/>
  <c r="R155" i="16"/>
  <c r="Q155" i="16"/>
  <c r="O155" i="16"/>
  <c r="N155" i="16"/>
  <c r="M155" i="16"/>
  <c r="L155" i="16"/>
  <c r="K155" i="16"/>
  <c r="T154" i="16"/>
  <c r="S154" i="16"/>
  <c r="R154" i="16"/>
  <c r="Q154" i="16"/>
  <c r="O154" i="16"/>
  <c r="N154" i="16"/>
  <c r="M154" i="16"/>
  <c r="L154" i="16"/>
  <c r="K154" i="16"/>
  <c r="T153" i="16"/>
  <c r="S153" i="16"/>
  <c r="R153" i="16"/>
  <c r="Q153" i="16"/>
  <c r="O153" i="16"/>
  <c r="N153" i="16"/>
  <c r="M153" i="16"/>
  <c r="L153" i="16"/>
  <c r="K153" i="16"/>
  <c r="T152" i="16"/>
  <c r="S152" i="16"/>
  <c r="R152" i="16"/>
  <c r="Q152" i="16"/>
  <c r="O152" i="16"/>
  <c r="N152" i="16"/>
  <c r="M152" i="16"/>
  <c r="L152" i="16"/>
  <c r="K152" i="16"/>
  <c r="T151" i="16"/>
  <c r="S151" i="16"/>
  <c r="R151" i="16"/>
  <c r="Q151" i="16"/>
  <c r="O151" i="16"/>
  <c r="N151" i="16"/>
  <c r="M151" i="16"/>
  <c r="L151" i="16"/>
  <c r="K151" i="16"/>
  <c r="T150" i="16"/>
  <c r="S150" i="16"/>
  <c r="R150" i="16"/>
  <c r="Q150" i="16"/>
  <c r="O150" i="16"/>
  <c r="N150" i="16"/>
  <c r="M150" i="16"/>
  <c r="L150" i="16"/>
  <c r="K150" i="16"/>
  <c r="T149" i="16"/>
  <c r="S149" i="16"/>
  <c r="R149" i="16"/>
  <c r="Q149" i="16"/>
  <c r="O149" i="16"/>
  <c r="N149" i="16"/>
  <c r="M149" i="16"/>
  <c r="L149" i="16"/>
  <c r="K149" i="16"/>
  <c r="T148" i="16"/>
  <c r="S148" i="16"/>
  <c r="R148" i="16"/>
  <c r="Q148" i="16"/>
  <c r="O148" i="16"/>
  <c r="N148" i="16"/>
  <c r="M148" i="16"/>
  <c r="L148" i="16"/>
  <c r="K148" i="16"/>
  <c r="T147" i="16"/>
  <c r="S147" i="16"/>
  <c r="R147" i="16"/>
  <c r="Q147" i="16"/>
  <c r="O147" i="16"/>
  <c r="N147" i="16"/>
  <c r="M147" i="16"/>
  <c r="L147" i="16"/>
  <c r="K147" i="16"/>
  <c r="T146" i="16"/>
  <c r="S146" i="16"/>
  <c r="R146" i="16"/>
  <c r="Q146" i="16"/>
  <c r="O146" i="16"/>
  <c r="N146" i="16"/>
  <c r="M146" i="16"/>
  <c r="L146" i="16"/>
  <c r="K146" i="16"/>
  <c r="T145" i="16"/>
  <c r="S145" i="16"/>
  <c r="R145" i="16"/>
  <c r="Q145" i="16"/>
  <c r="O145" i="16"/>
  <c r="N145" i="16"/>
  <c r="M145" i="16"/>
  <c r="L145" i="16"/>
  <c r="K145" i="16"/>
  <c r="T144" i="16"/>
  <c r="S144" i="16"/>
  <c r="R144" i="16"/>
  <c r="Q144" i="16"/>
  <c r="O144" i="16"/>
  <c r="N144" i="16"/>
  <c r="M144" i="16"/>
  <c r="L144" i="16"/>
  <c r="K144" i="16"/>
  <c r="T143" i="16"/>
  <c r="S143" i="16"/>
  <c r="R143" i="16"/>
  <c r="Q143" i="16"/>
  <c r="O143" i="16"/>
  <c r="N143" i="16"/>
  <c r="M143" i="16"/>
  <c r="L143" i="16"/>
  <c r="K143" i="16"/>
  <c r="T142" i="16"/>
  <c r="S142" i="16"/>
  <c r="R142" i="16"/>
  <c r="Q142" i="16"/>
  <c r="O142" i="16"/>
  <c r="N142" i="16"/>
  <c r="M142" i="16"/>
  <c r="L142" i="16"/>
  <c r="K142" i="16"/>
  <c r="T141" i="16"/>
  <c r="S141" i="16"/>
  <c r="R141" i="16"/>
  <c r="Q141" i="16"/>
  <c r="O141" i="16"/>
  <c r="N141" i="16"/>
  <c r="M141" i="16"/>
  <c r="L141" i="16"/>
  <c r="K141" i="16"/>
  <c r="T140" i="16"/>
  <c r="S140" i="16"/>
  <c r="R140" i="16"/>
  <c r="Q140" i="16"/>
  <c r="O140" i="16"/>
  <c r="N140" i="16"/>
  <c r="M140" i="16"/>
  <c r="L140" i="16"/>
  <c r="K140" i="16"/>
  <c r="T139" i="16"/>
  <c r="S139" i="16"/>
  <c r="R139" i="16"/>
  <c r="Q139" i="16"/>
  <c r="O139" i="16"/>
  <c r="N139" i="16"/>
  <c r="M139" i="16"/>
  <c r="L139" i="16"/>
  <c r="K139" i="16"/>
  <c r="T138" i="16"/>
  <c r="S138" i="16"/>
  <c r="R138" i="16"/>
  <c r="Q138" i="16"/>
  <c r="O138" i="16"/>
  <c r="N138" i="16"/>
  <c r="M138" i="16"/>
  <c r="L138" i="16"/>
  <c r="K138" i="16"/>
  <c r="T137" i="16"/>
  <c r="S137" i="16"/>
  <c r="R137" i="16"/>
  <c r="Q137" i="16"/>
  <c r="O137" i="16"/>
  <c r="N137" i="16"/>
  <c r="M137" i="16"/>
  <c r="L137" i="16"/>
  <c r="K137" i="16"/>
  <c r="T136" i="16"/>
  <c r="S136" i="16"/>
  <c r="R136" i="16"/>
  <c r="Q136" i="16"/>
  <c r="O136" i="16"/>
  <c r="N136" i="16"/>
  <c r="M136" i="16"/>
  <c r="L136" i="16"/>
  <c r="K136" i="16"/>
  <c r="T135" i="16"/>
  <c r="S135" i="16"/>
  <c r="R135" i="16"/>
  <c r="Q135" i="16"/>
  <c r="O135" i="16"/>
  <c r="N135" i="16"/>
  <c r="M135" i="16"/>
  <c r="L135" i="16"/>
  <c r="K135" i="16"/>
  <c r="T134" i="16"/>
  <c r="S134" i="16"/>
  <c r="R134" i="16"/>
  <c r="Q134" i="16"/>
  <c r="O134" i="16"/>
  <c r="N134" i="16"/>
  <c r="M134" i="16"/>
  <c r="L134" i="16"/>
  <c r="K134" i="16"/>
  <c r="T133" i="16"/>
  <c r="S133" i="16"/>
  <c r="R133" i="16"/>
  <c r="Q133" i="16"/>
  <c r="O133" i="16"/>
  <c r="N133" i="16"/>
  <c r="M133" i="16"/>
  <c r="L133" i="16"/>
  <c r="K133" i="16"/>
  <c r="T132" i="16"/>
  <c r="S132" i="16"/>
  <c r="R132" i="16"/>
  <c r="Q132" i="16"/>
  <c r="O132" i="16"/>
  <c r="N132" i="16"/>
  <c r="M132" i="16"/>
  <c r="L132" i="16"/>
  <c r="K132" i="16"/>
  <c r="T131" i="16"/>
  <c r="S131" i="16"/>
  <c r="R131" i="16"/>
  <c r="Q131" i="16"/>
  <c r="O131" i="16"/>
  <c r="N131" i="16"/>
  <c r="M131" i="16"/>
  <c r="L131" i="16"/>
  <c r="K131" i="16"/>
  <c r="T130" i="16"/>
  <c r="S130" i="16"/>
  <c r="R130" i="16"/>
  <c r="Q130" i="16"/>
  <c r="O130" i="16"/>
  <c r="N130" i="16"/>
  <c r="M130" i="16"/>
  <c r="L130" i="16"/>
  <c r="K130" i="16"/>
  <c r="T129" i="16"/>
  <c r="S129" i="16"/>
  <c r="R129" i="16"/>
  <c r="Q129" i="16"/>
  <c r="O129" i="16"/>
  <c r="N129" i="16"/>
  <c r="M129" i="16"/>
  <c r="L129" i="16"/>
  <c r="K129" i="16"/>
  <c r="T128" i="16"/>
  <c r="S128" i="16"/>
  <c r="R128" i="16"/>
  <c r="Q128" i="16"/>
  <c r="O128" i="16"/>
  <c r="N128" i="16"/>
  <c r="M128" i="16"/>
  <c r="L128" i="16"/>
  <c r="K128" i="16"/>
  <c r="T127" i="16"/>
  <c r="S127" i="16"/>
  <c r="R127" i="16"/>
  <c r="Q127" i="16"/>
  <c r="O127" i="16"/>
  <c r="N127" i="16"/>
  <c r="M127" i="16"/>
  <c r="L127" i="16"/>
  <c r="K127" i="16"/>
  <c r="T126" i="16"/>
  <c r="S126" i="16"/>
  <c r="R126" i="16"/>
  <c r="Q126" i="16"/>
  <c r="O126" i="16"/>
  <c r="N126" i="16"/>
  <c r="M126" i="16"/>
  <c r="L126" i="16"/>
  <c r="K126" i="16"/>
  <c r="T125" i="16"/>
  <c r="S125" i="16"/>
  <c r="R125" i="16"/>
  <c r="Q125" i="16"/>
  <c r="O125" i="16"/>
  <c r="N125" i="16"/>
  <c r="M125" i="16"/>
  <c r="L125" i="16"/>
  <c r="K125" i="16"/>
  <c r="T124" i="16"/>
  <c r="S124" i="16"/>
  <c r="R124" i="16"/>
  <c r="Q124" i="16"/>
  <c r="O124" i="16"/>
  <c r="N124" i="16"/>
  <c r="M124" i="16"/>
  <c r="L124" i="16"/>
  <c r="K124" i="16"/>
  <c r="T123" i="16"/>
  <c r="S123" i="16"/>
  <c r="R123" i="16"/>
  <c r="Q123" i="16"/>
  <c r="O123" i="16"/>
  <c r="N123" i="16"/>
  <c r="M123" i="16"/>
  <c r="L123" i="16"/>
  <c r="K123" i="16"/>
  <c r="T122" i="16"/>
  <c r="S122" i="16"/>
  <c r="R122" i="16"/>
  <c r="Q122" i="16"/>
  <c r="O122" i="16"/>
  <c r="N122" i="16"/>
  <c r="M122" i="16"/>
  <c r="L122" i="16"/>
  <c r="K122" i="16"/>
  <c r="T121" i="16"/>
  <c r="S121" i="16"/>
  <c r="R121" i="16"/>
  <c r="Q121" i="16"/>
  <c r="O121" i="16"/>
  <c r="N121" i="16"/>
  <c r="M121" i="16"/>
  <c r="L121" i="16"/>
  <c r="K121" i="16"/>
  <c r="T120" i="16"/>
  <c r="S120" i="16"/>
  <c r="R120" i="16"/>
  <c r="Q120" i="16"/>
  <c r="O120" i="16"/>
  <c r="N120" i="16"/>
  <c r="M120" i="16"/>
  <c r="L120" i="16"/>
  <c r="K120" i="16"/>
  <c r="T119" i="16"/>
  <c r="S119" i="16"/>
  <c r="R119" i="16"/>
  <c r="Q119" i="16"/>
  <c r="O119" i="16"/>
  <c r="N119" i="16"/>
  <c r="M119" i="16"/>
  <c r="L119" i="16"/>
  <c r="K119" i="16"/>
  <c r="T118" i="16"/>
  <c r="S118" i="16"/>
  <c r="R118" i="16"/>
  <c r="Q118" i="16"/>
  <c r="O118" i="16"/>
  <c r="N118" i="16"/>
  <c r="M118" i="16"/>
  <c r="L118" i="16"/>
  <c r="K118" i="16"/>
  <c r="T117" i="16"/>
  <c r="S117" i="16"/>
  <c r="R117" i="16"/>
  <c r="Q117" i="16"/>
  <c r="O117" i="16"/>
  <c r="N117" i="16"/>
  <c r="M117" i="16"/>
  <c r="L117" i="16"/>
  <c r="K117" i="16"/>
  <c r="T116" i="16"/>
  <c r="S116" i="16"/>
  <c r="R116" i="16"/>
  <c r="Q116" i="16"/>
  <c r="O116" i="16"/>
  <c r="N116" i="16"/>
  <c r="M116" i="16"/>
  <c r="L116" i="16"/>
  <c r="K116" i="16"/>
  <c r="T115" i="16"/>
  <c r="S115" i="16"/>
  <c r="R115" i="16"/>
  <c r="Q115" i="16"/>
  <c r="O115" i="16"/>
  <c r="N115" i="16"/>
  <c r="M115" i="16"/>
  <c r="L115" i="16"/>
  <c r="K115" i="16"/>
  <c r="T114" i="16"/>
  <c r="S114" i="16"/>
  <c r="R114" i="16"/>
  <c r="Q114" i="16"/>
  <c r="O114" i="16"/>
  <c r="N114" i="16"/>
  <c r="M114" i="16"/>
  <c r="L114" i="16"/>
  <c r="K114" i="16"/>
  <c r="T113" i="16"/>
  <c r="S113" i="16"/>
  <c r="R113" i="16"/>
  <c r="Q113" i="16"/>
  <c r="O113" i="16"/>
  <c r="N113" i="16"/>
  <c r="M113" i="16"/>
  <c r="L113" i="16"/>
  <c r="K113" i="16"/>
  <c r="T112" i="16"/>
  <c r="S112" i="16"/>
  <c r="R112" i="16"/>
  <c r="Q112" i="16"/>
  <c r="O112" i="16"/>
  <c r="N112" i="16"/>
  <c r="M112" i="16"/>
  <c r="L112" i="16"/>
  <c r="K112" i="16"/>
  <c r="T111" i="16"/>
  <c r="S111" i="16"/>
  <c r="R111" i="16"/>
  <c r="Q111" i="16"/>
  <c r="O111" i="16"/>
  <c r="N111" i="16"/>
  <c r="M111" i="16"/>
  <c r="L111" i="16"/>
  <c r="K111" i="16"/>
  <c r="T110" i="16"/>
  <c r="S110" i="16"/>
  <c r="R110" i="16"/>
  <c r="Q110" i="16"/>
  <c r="O110" i="16"/>
  <c r="N110" i="16"/>
  <c r="M110" i="16"/>
  <c r="L110" i="16"/>
  <c r="K110" i="16"/>
  <c r="T109" i="16"/>
  <c r="S109" i="16"/>
  <c r="R109" i="16"/>
  <c r="Q109" i="16"/>
  <c r="O109" i="16"/>
  <c r="N109" i="16"/>
  <c r="M109" i="16"/>
  <c r="L109" i="16"/>
  <c r="K109" i="16"/>
  <c r="T108" i="16"/>
  <c r="S108" i="16"/>
  <c r="R108" i="16"/>
  <c r="Q108" i="16"/>
  <c r="O108" i="16"/>
  <c r="N108" i="16"/>
  <c r="M108" i="16"/>
  <c r="L108" i="16"/>
  <c r="K108" i="16"/>
  <c r="T107" i="16"/>
  <c r="S107" i="16"/>
  <c r="R107" i="16"/>
  <c r="Q107" i="16"/>
  <c r="O107" i="16"/>
  <c r="N107" i="16"/>
  <c r="M107" i="16"/>
  <c r="L107" i="16"/>
  <c r="K107" i="16"/>
  <c r="T106" i="16"/>
  <c r="S106" i="16"/>
  <c r="R106" i="16"/>
  <c r="Q106" i="16"/>
  <c r="O106" i="16"/>
  <c r="N106" i="16"/>
  <c r="M106" i="16"/>
  <c r="L106" i="16"/>
  <c r="K106" i="16"/>
  <c r="T105" i="16"/>
  <c r="S105" i="16"/>
  <c r="R105" i="16"/>
  <c r="Q105" i="16"/>
  <c r="O105" i="16"/>
  <c r="N105" i="16"/>
  <c r="M105" i="16"/>
  <c r="L105" i="16"/>
  <c r="K105" i="16"/>
  <c r="T104" i="16"/>
  <c r="S104" i="16"/>
  <c r="R104" i="16"/>
  <c r="Q104" i="16"/>
  <c r="O104" i="16"/>
  <c r="N104" i="16"/>
  <c r="M104" i="16"/>
  <c r="L104" i="16"/>
  <c r="K104" i="16"/>
  <c r="T103" i="16"/>
  <c r="S103" i="16"/>
  <c r="R103" i="16"/>
  <c r="Q103" i="16"/>
  <c r="O103" i="16"/>
  <c r="N103" i="16"/>
  <c r="M103" i="16"/>
  <c r="L103" i="16"/>
  <c r="K103" i="16"/>
  <c r="T102" i="16"/>
  <c r="S102" i="16"/>
  <c r="R102" i="16"/>
  <c r="Q102" i="16"/>
  <c r="O102" i="16"/>
  <c r="N102" i="16"/>
  <c r="M102" i="16"/>
  <c r="L102" i="16"/>
  <c r="K102" i="16"/>
  <c r="T101" i="16"/>
  <c r="S101" i="16"/>
  <c r="R101" i="16"/>
  <c r="Q101" i="16"/>
  <c r="O101" i="16"/>
  <c r="N101" i="16"/>
  <c r="M101" i="16"/>
  <c r="L101" i="16"/>
  <c r="K101" i="16"/>
  <c r="T100" i="16"/>
  <c r="S100" i="16"/>
  <c r="R100" i="16"/>
  <c r="Q100" i="16"/>
  <c r="O100" i="16"/>
  <c r="N100" i="16"/>
  <c r="M100" i="16"/>
  <c r="L100" i="16"/>
  <c r="K100" i="16"/>
  <c r="T99" i="16"/>
  <c r="S99" i="16"/>
  <c r="R99" i="16"/>
  <c r="Q99" i="16"/>
  <c r="O99" i="16"/>
  <c r="N99" i="16"/>
  <c r="M99" i="16"/>
  <c r="L99" i="16"/>
  <c r="K99" i="16"/>
  <c r="T98" i="16"/>
  <c r="S98" i="16"/>
  <c r="R98" i="16"/>
  <c r="Q98" i="16"/>
  <c r="O98" i="16"/>
  <c r="N98" i="16"/>
  <c r="M98" i="16"/>
  <c r="L98" i="16"/>
  <c r="K98" i="16"/>
  <c r="T97" i="16"/>
  <c r="S97" i="16"/>
  <c r="R97" i="16"/>
  <c r="Q97" i="16"/>
  <c r="O97" i="16"/>
  <c r="N97" i="16"/>
  <c r="M97" i="16"/>
  <c r="L97" i="16"/>
  <c r="K97" i="16"/>
  <c r="T96" i="16"/>
  <c r="S96" i="16"/>
  <c r="R96" i="16"/>
  <c r="Q96" i="16"/>
  <c r="O96" i="16"/>
  <c r="N96" i="16"/>
  <c r="M96" i="16"/>
  <c r="L96" i="16"/>
  <c r="K96" i="16"/>
  <c r="T95" i="16"/>
  <c r="S95" i="16"/>
  <c r="R95" i="16"/>
  <c r="Q95" i="16"/>
  <c r="O95" i="16"/>
  <c r="N95" i="16"/>
  <c r="M95" i="16"/>
  <c r="L95" i="16"/>
  <c r="K95" i="16"/>
  <c r="T94" i="16"/>
  <c r="S94" i="16"/>
  <c r="R94" i="16"/>
  <c r="Q94" i="16"/>
  <c r="O94" i="16"/>
  <c r="N94" i="16"/>
  <c r="M94" i="16"/>
  <c r="L94" i="16"/>
  <c r="K94" i="16"/>
  <c r="T93" i="16"/>
  <c r="S93" i="16"/>
  <c r="R93" i="16"/>
  <c r="Q93" i="16"/>
  <c r="O93" i="16"/>
  <c r="N93" i="16"/>
  <c r="M93" i="16"/>
  <c r="L93" i="16"/>
  <c r="K93" i="16"/>
  <c r="T92" i="16"/>
  <c r="S92" i="16"/>
  <c r="R92" i="16"/>
  <c r="Q92" i="16"/>
  <c r="O92" i="16"/>
  <c r="N92" i="16"/>
  <c r="M92" i="16"/>
  <c r="L92" i="16"/>
  <c r="K92" i="16"/>
  <c r="T91" i="16"/>
  <c r="S91" i="16"/>
  <c r="R91" i="16"/>
  <c r="Q91" i="16"/>
  <c r="O91" i="16"/>
  <c r="N91" i="16"/>
  <c r="M91" i="16"/>
  <c r="L91" i="16"/>
  <c r="K91" i="16"/>
  <c r="T90" i="16"/>
  <c r="S90" i="16"/>
  <c r="R90" i="16"/>
  <c r="Q90" i="16"/>
  <c r="O90" i="16"/>
  <c r="N90" i="16"/>
  <c r="M90" i="16"/>
  <c r="L90" i="16"/>
  <c r="K90" i="16"/>
  <c r="T89" i="16"/>
  <c r="S89" i="16"/>
  <c r="R89" i="16"/>
  <c r="Q89" i="16"/>
  <c r="O89" i="16"/>
  <c r="N89" i="16"/>
  <c r="M89" i="16"/>
  <c r="L89" i="16"/>
  <c r="K89" i="16"/>
  <c r="T88" i="16"/>
  <c r="S88" i="16"/>
  <c r="R88" i="16"/>
  <c r="Q88" i="16"/>
  <c r="O88" i="16"/>
  <c r="N88" i="16"/>
  <c r="M88" i="16"/>
  <c r="L88" i="16"/>
  <c r="K88" i="16"/>
  <c r="T87" i="16"/>
  <c r="S87" i="16"/>
  <c r="R87" i="16"/>
  <c r="Q87" i="16"/>
  <c r="O87" i="16"/>
  <c r="N87" i="16"/>
  <c r="M87" i="16"/>
  <c r="L87" i="16"/>
  <c r="K87" i="16"/>
  <c r="T86" i="16"/>
  <c r="S86" i="16"/>
  <c r="R86" i="16"/>
  <c r="Q86" i="16"/>
  <c r="O86" i="16"/>
  <c r="N86" i="16"/>
  <c r="M86" i="16"/>
  <c r="L86" i="16"/>
  <c r="K86" i="16"/>
  <c r="T85" i="16"/>
  <c r="S85" i="16"/>
  <c r="R85" i="16"/>
  <c r="Q85" i="16"/>
  <c r="O85" i="16"/>
  <c r="N85" i="16"/>
  <c r="M85" i="16"/>
  <c r="L85" i="16"/>
  <c r="K85" i="16"/>
  <c r="T84" i="16"/>
  <c r="S84" i="16"/>
  <c r="R84" i="16"/>
  <c r="Q84" i="16"/>
  <c r="O84" i="16"/>
  <c r="N84" i="16"/>
  <c r="M84" i="16"/>
  <c r="L84" i="16"/>
  <c r="K84" i="16"/>
  <c r="T83" i="16"/>
  <c r="S83" i="16"/>
  <c r="R83" i="16"/>
  <c r="Q83" i="16"/>
  <c r="O83" i="16"/>
  <c r="N83" i="16"/>
  <c r="M83" i="16"/>
  <c r="L83" i="16"/>
  <c r="K83" i="16"/>
  <c r="T82" i="16"/>
  <c r="S82" i="16"/>
  <c r="R82" i="16"/>
  <c r="Q82" i="16"/>
  <c r="O82" i="16"/>
  <c r="N82" i="16"/>
  <c r="M82" i="16"/>
  <c r="L82" i="16"/>
  <c r="K82" i="16"/>
  <c r="T81" i="16"/>
  <c r="S81" i="16"/>
  <c r="R81" i="16"/>
  <c r="Q81" i="16"/>
  <c r="O81" i="16"/>
  <c r="N81" i="16"/>
  <c r="M81" i="16"/>
  <c r="L81" i="16"/>
  <c r="K81" i="16"/>
  <c r="T80" i="16"/>
  <c r="S80" i="16"/>
  <c r="R80" i="16"/>
  <c r="Q80" i="16"/>
  <c r="O80" i="16"/>
  <c r="N80" i="16"/>
  <c r="M80" i="16"/>
  <c r="L80" i="16"/>
  <c r="K80" i="16"/>
  <c r="T79" i="16"/>
  <c r="S79" i="16"/>
  <c r="R79" i="16"/>
  <c r="Q79" i="16"/>
  <c r="O79" i="16"/>
  <c r="N79" i="16"/>
  <c r="M79" i="16"/>
  <c r="L79" i="16"/>
  <c r="K79" i="16"/>
  <c r="T78" i="16"/>
  <c r="S78" i="16"/>
  <c r="R78" i="16"/>
  <c r="Q78" i="16"/>
  <c r="O78" i="16"/>
  <c r="N78" i="16"/>
  <c r="M78" i="16"/>
  <c r="L78" i="16"/>
  <c r="K78" i="16"/>
  <c r="T77" i="16"/>
  <c r="S77" i="16"/>
  <c r="R77" i="16"/>
  <c r="Q77" i="16"/>
  <c r="O77" i="16"/>
  <c r="N77" i="16"/>
  <c r="M77" i="16"/>
  <c r="L77" i="16"/>
  <c r="K77" i="16"/>
  <c r="T76" i="16"/>
  <c r="S76" i="16"/>
  <c r="R76" i="16"/>
  <c r="Q76" i="16"/>
  <c r="O76" i="16"/>
  <c r="N76" i="16"/>
  <c r="M76" i="16"/>
  <c r="L76" i="16"/>
  <c r="K76" i="16"/>
  <c r="T75" i="16"/>
  <c r="S75" i="16"/>
  <c r="R75" i="16"/>
  <c r="Q75" i="16"/>
  <c r="O75" i="16"/>
  <c r="N75" i="16"/>
  <c r="M75" i="16"/>
  <c r="L75" i="16"/>
  <c r="K75" i="16"/>
  <c r="T74" i="16"/>
  <c r="S74" i="16"/>
  <c r="R74" i="16"/>
  <c r="Q74" i="16"/>
  <c r="O74" i="16"/>
  <c r="N74" i="16"/>
  <c r="M74" i="16"/>
  <c r="L74" i="16"/>
  <c r="K74" i="16"/>
  <c r="T73" i="16"/>
  <c r="S73" i="16"/>
  <c r="R73" i="16"/>
  <c r="Q73" i="16"/>
  <c r="O73" i="16"/>
  <c r="N73" i="16"/>
  <c r="M73" i="16"/>
  <c r="L73" i="16"/>
  <c r="K73" i="16"/>
  <c r="T72" i="16"/>
  <c r="S72" i="16"/>
  <c r="R72" i="16"/>
  <c r="Q72" i="16"/>
  <c r="O72" i="16"/>
  <c r="N72" i="16"/>
  <c r="M72" i="16"/>
  <c r="L72" i="16"/>
  <c r="K72" i="16"/>
  <c r="T71" i="16"/>
  <c r="S71" i="16"/>
  <c r="R71" i="16"/>
  <c r="Q71" i="16"/>
  <c r="O71" i="16"/>
  <c r="N71" i="16"/>
  <c r="M71" i="16"/>
  <c r="L71" i="16"/>
  <c r="K71" i="16"/>
  <c r="T70" i="16"/>
  <c r="S70" i="16"/>
  <c r="R70" i="16"/>
  <c r="Q70" i="16"/>
  <c r="O70" i="16"/>
  <c r="N70" i="16"/>
  <c r="M70" i="16"/>
  <c r="L70" i="16"/>
  <c r="K70" i="16"/>
  <c r="T69" i="16"/>
  <c r="S69" i="16"/>
  <c r="R69" i="16"/>
  <c r="Q69" i="16"/>
  <c r="O69" i="16"/>
  <c r="N69" i="16"/>
  <c r="M69" i="16"/>
  <c r="L69" i="16"/>
  <c r="K69" i="16"/>
  <c r="T68" i="16"/>
  <c r="S68" i="16"/>
  <c r="R68" i="16"/>
  <c r="Q68" i="16"/>
  <c r="O68" i="16"/>
  <c r="N68" i="16"/>
  <c r="M68" i="16"/>
  <c r="L68" i="16"/>
  <c r="K68" i="16"/>
  <c r="T67" i="16"/>
  <c r="S67" i="16"/>
  <c r="R67" i="16"/>
  <c r="Q67" i="16"/>
  <c r="O67" i="16"/>
  <c r="N67" i="16"/>
  <c r="M67" i="16"/>
  <c r="L67" i="16"/>
  <c r="K67" i="16"/>
  <c r="T66" i="16"/>
  <c r="S66" i="16"/>
  <c r="R66" i="16"/>
  <c r="Q66" i="16"/>
  <c r="O66" i="16"/>
  <c r="N66" i="16"/>
  <c r="M66" i="16"/>
  <c r="L66" i="16"/>
  <c r="K66" i="16"/>
  <c r="T65" i="16"/>
  <c r="S65" i="16"/>
  <c r="R65" i="16"/>
  <c r="Q65" i="16"/>
  <c r="O65" i="16"/>
  <c r="N65" i="16"/>
  <c r="M65" i="16"/>
  <c r="L65" i="16"/>
  <c r="K65" i="16"/>
  <c r="T64" i="16"/>
  <c r="S64" i="16"/>
  <c r="R64" i="16"/>
  <c r="Q64" i="16"/>
  <c r="O64" i="16"/>
  <c r="N64" i="16"/>
  <c r="M64" i="16"/>
  <c r="L64" i="16"/>
  <c r="K64" i="16"/>
  <c r="T63" i="16"/>
  <c r="S63" i="16"/>
  <c r="R63" i="16"/>
  <c r="Q63" i="16"/>
  <c r="O63" i="16"/>
  <c r="N63" i="16"/>
  <c r="M63" i="16"/>
  <c r="L63" i="16"/>
  <c r="K63" i="16"/>
  <c r="T62" i="16"/>
  <c r="S62" i="16"/>
  <c r="R62" i="16"/>
  <c r="Q62" i="16"/>
  <c r="O62" i="16"/>
  <c r="N62" i="16"/>
  <c r="M62" i="16"/>
  <c r="L62" i="16"/>
  <c r="K62" i="16"/>
  <c r="T61" i="16"/>
  <c r="S61" i="16"/>
  <c r="R61" i="16"/>
  <c r="Q61" i="16"/>
  <c r="O61" i="16"/>
  <c r="N61" i="16"/>
  <c r="M61" i="16"/>
  <c r="L61" i="16"/>
  <c r="K61" i="16"/>
  <c r="T60" i="16"/>
  <c r="S60" i="16"/>
  <c r="R60" i="16"/>
  <c r="Q60" i="16"/>
  <c r="O60" i="16"/>
  <c r="N60" i="16"/>
  <c r="M60" i="16"/>
  <c r="L60" i="16"/>
  <c r="K60" i="16"/>
  <c r="T59" i="16"/>
  <c r="S59" i="16"/>
  <c r="R59" i="16"/>
  <c r="Q59" i="16"/>
  <c r="O59" i="16"/>
  <c r="N59" i="16"/>
  <c r="M59" i="16"/>
  <c r="L59" i="16"/>
  <c r="K59" i="16"/>
  <c r="T58" i="16"/>
  <c r="S58" i="16"/>
  <c r="R58" i="16"/>
  <c r="Q58" i="16"/>
  <c r="O58" i="16"/>
  <c r="N58" i="16"/>
  <c r="M58" i="16"/>
  <c r="L58" i="16"/>
  <c r="K58" i="16"/>
  <c r="T57" i="16"/>
  <c r="S57" i="16"/>
  <c r="R57" i="16"/>
  <c r="Q57" i="16"/>
  <c r="O57" i="16"/>
  <c r="N57" i="16"/>
  <c r="M57" i="16"/>
  <c r="L57" i="16"/>
  <c r="K57" i="16"/>
  <c r="T56" i="16"/>
  <c r="S56" i="16"/>
  <c r="R56" i="16"/>
  <c r="Q56" i="16"/>
  <c r="O56" i="16"/>
  <c r="N56" i="16"/>
  <c r="M56" i="16"/>
  <c r="L56" i="16"/>
  <c r="K56" i="16"/>
  <c r="T55" i="16"/>
  <c r="S55" i="16"/>
  <c r="R55" i="16"/>
  <c r="Q55" i="16"/>
  <c r="O55" i="16"/>
  <c r="N55" i="16"/>
  <c r="M55" i="16"/>
  <c r="L55" i="16"/>
  <c r="K55" i="16"/>
  <c r="T54" i="16"/>
  <c r="S54" i="16"/>
  <c r="R54" i="16"/>
  <c r="Q54" i="16"/>
  <c r="O54" i="16"/>
  <c r="N54" i="16"/>
  <c r="M54" i="16"/>
  <c r="L54" i="16"/>
  <c r="K54" i="16"/>
  <c r="T53" i="16"/>
  <c r="S53" i="16"/>
  <c r="R53" i="16"/>
  <c r="Q53" i="16"/>
  <c r="O53" i="16"/>
  <c r="N53" i="16"/>
  <c r="M53" i="16"/>
  <c r="L53" i="16"/>
  <c r="K53" i="16"/>
  <c r="T52" i="16"/>
  <c r="S52" i="16"/>
  <c r="R52" i="16"/>
  <c r="Q52" i="16"/>
  <c r="O52" i="16"/>
  <c r="N52" i="16"/>
  <c r="M52" i="16"/>
  <c r="L52" i="16"/>
  <c r="K52" i="16"/>
  <c r="T51" i="16"/>
  <c r="S51" i="16"/>
  <c r="R51" i="16"/>
  <c r="Q51" i="16"/>
  <c r="O51" i="16"/>
  <c r="N51" i="16"/>
  <c r="M51" i="16"/>
  <c r="L51" i="16"/>
  <c r="K51" i="16"/>
  <c r="T50" i="16"/>
  <c r="S50" i="16"/>
  <c r="R50" i="16"/>
  <c r="Q50" i="16"/>
  <c r="O50" i="16"/>
  <c r="N50" i="16"/>
  <c r="M50" i="16"/>
  <c r="L50" i="16"/>
  <c r="K50" i="16"/>
  <c r="T49" i="16"/>
  <c r="S49" i="16"/>
  <c r="R49" i="16"/>
  <c r="Q49" i="16"/>
  <c r="O49" i="16"/>
  <c r="N49" i="16"/>
  <c r="M49" i="16"/>
  <c r="L49" i="16"/>
  <c r="K49" i="16"/>
  <c r="T48" i="16"/>
  <c r="S48" i="16"/>
  <c r="R48" i="16"/>
  <c r="Q48" i="16"/>
  <c r="O48" i="16"/>
  <c r="N48" i="16"/>
  <c r="M48" i="16"/>
  <c r="L48" i="16"/>
  <c r="K48" i="16"/>
  <c r="T47" i="16"/>
  <c r="S47" i="16"/>
  <c r="R47" i="16"/>
  <c r="Q47" i="16"/>
  <c r="O47" i="16"/>
  <c r="N47" i="16"/>
  <c r="M47" i="16"/>
  <c r="L47" i="16"/>
  <c r="K47" i="16"/>
  <c r="T46" i="16"/>
  <c r="S46" i="16"/>
  <c r="R46" i="16"/>
  <c r="Q46" i="16"/>
  <c r="O46" i="16"/>
  <c r="N46" i="16"/>
  <c r="M46" i="16"/>
  <c r="L46" i="16"/>
  <c r="K46" i="16"/>
  <c r="T45" i="16"/>
  <c r="S45" i="16"/>
  <c r="R45" i="16"/>
  <c r="Q45" i="16"/>
  <c r="O45" i="16"/>
  <c r="N45" i="16"/>
  <c r="M45" i="16"/>
  <c r="L45" i="16"/>
  <c r="K45" i="16"/>
  <c r="T44" i="16"/>
  <c r="S44" i="16"/>
  <c r="R44" i="16"/>
  <c r="Q44" i="16"/>
  <c r="O44" i="16"/>
  <c r="N44" i="16"/>
  <c r="M44" i="16"/>
  <c r="L44" i="16"/>
  <c r="K44" i="16"/>
  <c r="T43" i="16"/>
  <c r="S43" i="16"/>
  <c r="R43" i="16"/>
  <c r="Q43" i="16"/>
  <c r="O43" i="16"/>
  <c r="N43" i="16"/>
  <c r="M43" i="16"/>
  <c r="L43" i="16"/>
  <c r="K43" i="16"/>
  <c r="T42" i="16"/>
  <c r="S42" i="16"/>
  <c r="R42" i="16"/>
  <c r="Q42" i="16"/>
  <c r="O42" i="16"/>
  <c r="N42" i="16"/>
  <c r="M42" i="16"/>
  <c r="L42" i="16"/>
  <c r="K42" i="16"/>
  <c r="T41" i="16"/>
  <c r="S41" i="16"/>
  <c r="R41" i="16"/>
  <c r="Q41" i="16"/>
  <c r="O41" i="16"/>
  <c r="N41" i="16"/>
  <c r="M41" i="16"/>
  <c r="L41" i="16"/>
  <c r="K41" i="16"/>
  <c r="T40" i="16"/>
  <c r="S40" i="16"/>
  <c r="R40" i="16"/>
  <c r="Q40" i="16"/>
  <c r="O40" i="16"/>
  <c r="N40" i="16"/>
  <c r="M40" i="16"/>
  <c r="L40" i="16"/>
  <c r="K40" i="16"/>
  <c r="T39" i="16"/>
  <c r="S39" i="16"/>
  <c r="R39" i="16"/>
  <c r="Q39" i="16"/>
  <c r="O39" i="16"/>
  <c r="N39" i="16"/>
  <c r="M39" i="16"/>
  <c r="L39" i="16"/>
  <c r="K39" i="16"/>
  <c r="T38" i="16"/>
  <c r="S38" i="16"/>
  <c r="R38" i="16"/>
  <c r="Q38" i="16"/>
  <c r="O38" i="16"/>
  <c r="N38" i="16"/>
  <c r="M38" i="16"/>
  <c r="L38" i="16"/>
  <c r="K38" i="16"/>
  <c r="T37" i="16"/>
  <c r="S37" i="16"/>
  <c r="R37" i="16"/>
  <c r="Q37" i="16"/>
  <c r="O37" i="16"/>
  <c r="N37" i="16"/>
  <c r="M37" i="16"/>
  <c r="L37" i="16"/>
  <c r="K37" i="16"/>
  <c r="T36" i="16"/>
  <c r="S36" i="16"/>
  <c r="R36" i="16"/>
  <c r="Q36" i="16"/>
  <c r="O36" i="16"/>
  <c r="N36" i="16"/>
  <c r="M36" i="16"/>
  <c r="L36" i="16"/>
  <c r="K36" i="16"/>
  <c r="T35" i="16"/>
  <c r="S35" i="16"/>
  <c r="R35" i="16"/>
  <c r="Q35" i="16"/>
  <c r="O35" i="16"/>
  <c r="N35" i="16"/>
  <c r="M35" i="16"/>
  <c r="L35" i="16"/>
  <c r="K35" i="16"/>
  <c r="T34" i="16"/>
  <c r="S34" i="16"/>
  <c r="R34" i="16"/>
  <c r="Q34" i="16"/>
  <c r="O34" i="16"/>
  <c r="N34" i="16"/>
  <c r="M34" i="16"/>
  <c r="L34" i="16"/>
  <c r="K34" i="16"/>
  <c r="T33" i="16"/>
  <c r="S33" i="16"/>
  <c r="R33" i="16"/>
  <c r="Q33" i="16"/>
  <c r="O33" i="16"/>
  <c r="N33" i="16"/>
  <c r="M33" i="16"/>
  <c r="L33" i="16"/>
  <c r="K33" i="16"/>
  <c r="T32" i="16"/>
  <c r="S32" i="16"/>
  <c r="R32" i="16"/>
  <c r="Q32" i="16"/>
  <c r="O32" i="16"/>
  <c r="N32" i="16"/>
  <c r="M32" i="16"/>
  <c r="L32" i="16"/>
  <c r="K32" i="16"/>
  <c r="T31" i="16"/>
  <c r="S31" i="16"/>
  <c r="R31" i="16"/>
  <c r="Q31" i="16"/>
  <c r="O31" i="16"/>
  <c r="N31" i="16"/>
  <c r="M31" i="16"/>
  <c r="L31" i="16"/>
  <c r="K31" i="16"/>
  <c r="T30" i="16"/>
  <c r="S30" i="16"/>
  <c r="R30" i="16"/>
  <c r="Q30" i="16"/>
  <c r="O30" i="16"/>
  <c r="N30" i="16"/>
  <c r="M30" i="16"/>
  <c r="L30" i="16"/>
  <c r="K30" i="16"/>
  <c r="T29" i="16"/>
  <c r="S29" i="16"/>
  <c r="R29" i="16"/>
  <c r="Q29" i="16"/>
  <c r="O29" i="16"/>
  <c r="N29" i="16"/>
  <c r="M29" i="16"/>
  <c r="L29" i="16"/>
  <c r="K29" i="16"/>
  <c r="T28" i="16"/>
  <c r="S28" i="16"/>
  <c r="R28" i="16"/>
  <c r="Q28" i="16"/>
  <c r="O28" i="16"/>
  <c r="N28" i="16"/>
  <c r="M28" i="16"/>
  <c r="L28" i="16"/>
  <c r="K28" i="16"/>
  <c r="T27" i="16"/>
  <c r="S27" i="16"/>
  <c r="R27" i="16"/>
  <c r="Q27" i="16"/>
  <c r="O27" i="16"/>
  <c r="N27" i="16"/>
  <c r="M27" i="16"/>
  <c r="L27" i="16"/>
  <c r="K27" i="16"/>
  <c r="T26" i="16"/>
  <c r="S26" i="16"/>
  <c r="R26" i="16"/>
  <c r="Q26" i="16"/>
  <c r="O26" i="16"/>
  <c r="N26" i="16"/>
  <c r="M26" i="16"/>
  <c r="L26" i="16"/>
  <c r="K26" i="16"/>
  <c r="T25" i="16"/>
  <c r="S25" i="16"/>
  <c r="R25" i="16"/>
  <c r="Q25" i="16"/>
  <c r="O25" i="16"/>
  <c r="N25" i="16"/>
  <c r="M25" i="16"/>
  <c r="L25" i="16"/>
  <c r="K25" i="16"/>
  <c r="T24" i="16"/>
  <c r="S24" i="16"/>
  <c r="R24" i="16"/>
  <c r="Q24" i="16"/>
  <c r="O24" i="16"/>
  <c r="N24" i="16"/>
  <c r="M24" i="16"/>
  <c r="L24" i="16"/>
  <c r="K24" i="16"/>
  <c r="T23" i="16"/>
  <c r="S23" i="16"/>
  <c r="R23" i="16"/>
  <c r="Q23" i="16"/>
  <c r="O23" i="16"/>
  <c r="N23" i="16"/>
  <c r="M23" i="16"/>
  <c r="L23" i="16"/>
  <c r="K23" i="16"/>
  <c r="T22" i="16"/>
  <c r="S22" i="16"/>
  <c r="R22" i="16"/>
  <c r="Q22" i="16"/>
  <c r="O22" i="16"/>
  <c r="N22" i="16"/>
  <c r="M22" i="16"/>
  <c r="L22" i="16"/>
  <c r="K22" i="16"/>
  <c r="T21" i="16"/>
  <c r="S21" i="16"/>
  <c r="R21" i="16"/>
  <c r="Q21" i="16"/>
  <c r="O21" i="16"/>
  <c r="N21" i="16"/>
  <c r="M21" i="16"/>
  <c r="L21" i="16"/>
  <c r="K21" i="16"/>
  <c r="T20" i="16"/>
  <c r="S20" i="16"/>
  <c r="R20" i="16"/>
  <c r="Q20" i="16"/>
  <c r="O20" i="16"/>
  <c r="N20" i="16"/>
  <c r="M20" i="16"/>
  <c r="L20" i="16"/>
  <c r="K20" i="16"/>
  <c r="T19" i="16"/>
  <c r="S19" i="16"/>
  <c r="R19" i="16"/>
  <c r="Q19" i="16"/>
  <c r="O19" i="16"/>
  <c r="N19" i="16"/>
  <c r="M19" i="16"/>
  <c r="L19" i="16"/>
  <c r="K19" i="16"/>
  <c r="T18" i="16"/>
  <c r="S18" i="16"/>
  <c r="R18" i="16"/>
  <c r="Q18" i="16"/>
  <c r="O18" i="16"/>
  <c r="N18" i="16"/>
  <c r="M18" i="16"/>
  <c r="L18" i="16"/>
  <c r="K18" i="16"/>
  <c r="T17" i="16"/>
  <c r="S17" i="16"/>
  <c r="R17" i="16"/>
  <c r="Q17" i="16"/>
  <c r="O17" i="16"/>
  <c r="N17" i="16"/>
  <c r="M17" i="16"/>
  <c r="L17" i="16"/>
  <c r="K17" i="16"/>
  <c r="T16" i="16"/>
  <c r="S16" i="16"/>
  <c r="R16" i="16"/>
  <c r="Q16" i="16"/>
  <c r="O16" i="16"/>
  <c r="N16" i="16"/>
  <c r="M16" i="16"/>
  <c r="L16" i="16"/>
  <c r="K16" i="16"/>
  <c r="T15" i="16"/>
  <c r="S15" i="16"/>
  <c r="R15" i="16"/>
  <c r="Q15" i="16"/>
  <c r="O15" i="16"/>
  <c r="N15" i="16"/>
  <c r="M15" i="16"/>
  <c r="L15" i="16"/>
  <c r="K15" i="16"/>
  <c r="T14" i="16"/>
  <c r="S14" i="16"/>
  <c r="R14" i="16"/>
  <c r="Q14" i="16"/>
  <c r="O14" i="16"/>
  <c r="N14" i="16"/>
  <c r="M14" i="16"/>
  <c r="L14" i="16"/>
  <c r="K14" i="16"/>
  <c r="T13" i="16"/>
  <c r="S13" i="16"/>
  <c r="R13" i="16"/>
  <c r="Q13" i="16"/>
  <c r="O13" i="16"/>
  <c r="N13" i="16"/>
  <c r="M13" i="16"/>
  <c r="L13" i="16"/>
  <c r="K13" i="16"/>
  <c r="T12" i="16"/>
  <c r="S12" i="16"/>
  <c r="R12" i="16"/>
  <c r="Q12" i="16"/>
  <c r="O12" i="16"/>
  <c r="N12" i="16"/>
  <c r="M12" i="16"/>
  <c r="L12" i="16"/>
  <c r="K12" i="16"/>
  <c r="T11" i="16"/>
  <c r="S11" i="16"/>
  <c r="R11" i="16"/>
  <c r="Q11" i="16"/>
  <c r="O11" i="16"/>
  <c r="N11" i="16"/>
  <c r="M11" i="16"/>
  <c r="L11" i="16"/>
  <c r="K11" i="16"/>
  <c r="T10" i="16"/>
  <c r="S10" i="16"/>
  <c r="R10" i="16"/>
  <c r="Q10" i="16"/>
  <c r="O10" i="16"/>
  <c r="N10" i="16"/>
  <c r="M10" i="16"/>
  <c r="L10" i="16"/>
  <c r="K10" i="16"/>
  <c r="T9" i="16"/>
  <c r="S9" i="16"/>
  <c r="R9" i="16"/>
  <c r="Q9" i="16"/>
  <c r="O9" i="16"/>
  <c r="N9" i="16"/>
  <c r="M9" i="16"/>
  <c r="L9" i="16"/>
  <c r="K9" i="16"/>
  <c r="T8" i="16"/>
  <c r="S8" i="16"/>
  <c r="R8" i="16"/>
  <c r="Q8" i="16"/>
  <c r="O8" i="16"/>
  <c r="N8" i="16"/>
  <c r="M8" i="16"/>
  <c r="L8" i="16"/>
  <c r="K8" i="16"/>
  <c r="T7" i="16"/>
  <c r="S7" i="16"/>
  <c r="R7" i="16"/>
  <c r="Q7" i="16"/>
  <c r="O7" i="16"/>
  <c r="N7" i="16"/>
  <c r="M7" i="16"/>
  <c r="L7" i="16"/>
  <c r="K7" i="16"/>
  <c r="T6" i="16"/>
  <c r="S6" i="16"/>
  <c r="R6" i="16"/>
  <c r="Q6" i="16"/>
  <c r="O6" i="16"/>
  <c r="N6" i="16"/>
  <c r="M6" i="16"/>
  <c r="L6" i="16"/>
  <c r="K6" i="16"/>
  <c r="T5" i="16"/>
  <c r="S5" i="16"/>
  <c r="R5" i="16"/>
  <c r="Q5" i="16"/>
  <c r="O5" i="16"/>
  <c r="N5" i="16"/>
  <c r="M5" i="16"/>
  <c r="L5" i="16"/>
  <c r="K5" i="16"/>
  <c r="T4" i="16"/>
  <c r="S4" i="16"/>
  <c r="R4" i="16"/>
  <c r="Q4" i="16"/>
  <c r="O4" i="16"/>
  <c r="N4" i="16"/>
  <c r="M4" i="16"/>
  <c r="L4" i="16"/>
  <c r="K4" i="16"/>
  <c r="T3" i="16"/>
  <c r="S3" i="16"/>
  <c r="R3" i="16"/>
  <c r="Q3" i="16"/>
  <c r="O3" i="16"/>
  <c r="N3" i="16"/>
  <c r="M3" i="16"/>
  <c r="L3" i="16"/>
  <c r="K3" i="16"/>
  <c r="P207" i="13"/>
  <c r="R218" i="13"/>
  <c r="R299" i="13"/>
  <c r="R38" i="13"/>
  <c r="R332" i="13"/>
  <c r="R371" i="13"/>
  <c r="R372" i="13"/>
  <c r="R373" i="13"/>
  <c r="R374" i="13"/>
  <c r="R375" i="13"/>
  <c r="R376" i="13"/>
  <c r="R377" i="13"/>
  <c r="R378" i="13"/>
  <c r="R379" i="13"/>
  <c r="R380" i="13"/>
  <c r="R381" i="13"/>
  <c r="R382" i="13"/>
  <c r="R383" i="13"/>
  <c r="R384" i="13"/>
  <c r="R385" i="13"/>
  <c r="R386" i="13"/>
  <c r="R387" i="13"/>
  <c r="R388" i="13"/>
  <c r="R389" i="13"/>
  <c r="R390" i="13"/>
  <c r="R391" i="13"/>
  <c r="R392" i="13"/>
  <c r="R393" i="13"/>
  <c r="R394" i="13"/>
  <c r="R395" i="13"/>
  <c r="R396" i="13"/>
  <c r="R397" i="13"/>
  <c r="R398" i="13"/>
  <c r="R399" i="13"/>
  <c r="R400" i="13"/>
  <c r="R401" i="13"/>
  <c r="R402" i="13"/>
  <c r="R403" i="13"/>
  <c r="R404" i="13"/>
  <c r="R405" i="13"/>
  <c r="R406" i="13"/>
  <c r="R407" i="13"/>
  <c r="R408" i="13"/>
  <c r="R409" i="13"/>
  <c r="R410" i="13"/>
  <c r="R411" i="13"/>
  <c r="R412" i="13"/>
  <c r="R413" i="13"/>
  <c r="R414" i="13"/>
  <c r="R415" i="13"/>
  <c r="R416" i="13"/>
  <c r="R417" i="13"/>
  <c r="R418" i="13"/>
  <c r="R419" i="13"/>
  <c r="R420" i="13"/>
  <c r="R421" i="13"/>
  <c r="R422" i="13"/>
  <c r="R423" i="13"/>
  <c r="R424" i="13"/>
  <c r="R425" i="13"/>
  <c r="R426" i="13"/>
  <c r="R427" i="13"/>
  <c r="R428" i="13"/>
  <c r="R429" i="13"/>
  <c r="R430" i="13"/>
  <c r="R431" i="13"/>
  <c r="R432" i="13"/>
  <c r="R433" i="13"/>
  <c r="R434" i="13"/>
  <c r="R435" i="13"/>
  <c r="R436" i="13"/>
  <c r="R437" i="13"/>
  <c r="R438" i="13"/>
  <c r="R439" i="13"/>
  <c r="R440" i="13"/>
  <c r="R441" i="13"/>
  <c r="R442" i="13"/>
  <c r="R443" i="13"/>
  <c r="R444" i="13"/>
  <c r="R445" i="13"/>
  <c r="R446" i="13"/>
  <c r="R447" i="13"/>
  <c r="R448" i="13"/>
  <c r="R449" i="13"/>
  <c r="R450" i="13"/>
  <c r="R451" i="13"/>
  <c r="R452" i="13"/>
  <c r="R453" i="13"/>
  <c r="R454" i="13"/>
  <c r="R455" i="13"/>
  <c r="R456" i="13"/>
  <c r="R457" i="13"/>
  <c r="R458" i="13"/>
  <c r="R459" i="13"/>
  <c r="R460" i="13"/>
  <c r="R461" i="13"/>
  <c r="R462" i="13"/>
  <c r="R463" i="13"/>
  <c r="N207" i="13"/>
  <c r="N114" i="13"/>
  <c r="N283" i="13"/>
  <c r="N282" i="13"/>
  <c r="N206" i="13"/>
  <c r="N117" i="13"/>
  <c r="N195" i="13"/>
  <c r="N200" i="13"/>
  <c r="N120" i="13"/>
  <c r="N204" i="13"/>
  <c r="N122" i="13"/>
  <c r="N123" i="13"/>
  <c r="N124" i="13"/>
  <c r="N194" i="13"/>
  <c r="N190" i="13"/>
  <c r="N193" i="13"/>
  <c r="N192" i="13"/>
  <c r="N129" i="13"/>
  <c r="N186" i="13"/>
  <c r="N131" i="13"/>
  <c r="N183" i="13"/>
  <c r="N188" i="13"/>
  <c r="N187" i="13"/>
  <c r="N179" i="13"/>
  <c r="N135" i="13"/>
  <c r="N20" i="13"/>
  <c r="N178" i="13"/>
  <c r="N137" i="13"/>
  <c r="N3" i="13"/>
  <c r="N115" i="13"/>
  <c r="N149" i="13"/>
  <c r="N233" i="13"/>
  <c r="N177" i="13"/>
  <c r="N5" i="13"/>
  <c r="N116" i="13"/>
  <c r="N152" i="13"/>
  <c r="N146" i="13"/>
  <c r="N147" i="13"/>
  <c r="N148" i="13"/>
  <c r="N170" i="13"/>
  <c r="N171" i="13"/>
  <c r="N151" i="13"/>
  <c r="N21" i="13"/>
  <c r="N285" i="13"/>
  <c r="N173" i="13"/>
  <c r="N155" i="13"/>
  <c r="N156" i="13"/>
  <c r="N157" i="13"/>
  <c r="N180" i="13"/>
  <c r="N163" i="13"/>
  <c r="N164" i="13"/>
  <c r="N167" i="13"/>
  <c r="N168" i="13"/>
  <c r="N118" i="13"/>
  <c r="N256" i="13"/>
  <c r="N169" i="13"/>
  <c r="N165" i="13"/>
  <c r="N166" i="13"/>
  <c r="N159" i="13"/>
  <c r="N160" i="13"/>
  <c r="N161" i="13"/>
  <c r="N162" i="13"/>
  <c r="N158" i="13"/>
  <c r="N153" i="13"/>
  <c r="N172" i="13"/>
  <c r="N249" i="13"/>
  <c r="N174" i="13"/>
  <c r="N175" i="13"/>
  <c r="N176" i="13"/>
  <c r="N145" i="13"/>
  <c r="N150" i="13"/>
  <c r="N222" i="13"/>
  <c r="N142" i="13"/>
  <c r="N274" i="13"/>
  <c r="N19" i="13"/>
  <c r="N143" i="13"/>
  <c r="N144" i="13"/>
  <c r="N184" i="13"/>
  <c r="N185" i="13"/>
  <c r="N209" i="13"/>
  <c r="N210" i="13"/>
  <c r="N211" i="13"/>
  <c r="N189" i="13"/>
  <c r="N141" i="13"/>
  <c r="N191" i="13"/>
  <c r="N287" i="13"/>
  <c r="N223" i="13"/>
  <c r="N181" i="13"/>
  <c r="N246" i="13"/>
  <c r="N196" i="13"/>
  <c r="N197" i="13"/>
  <c r="N198" i="13"/>
  <c r="N199" i="13"/>
  <c r="N182" i="13"/>
  <c r="N201" i="13"/>
  <c r="N202" i="13"/>
  <c r="N203" i="13"/>
  <c r="N61" i="13"/>
  <c r="N205" i="13"/>
  <c r="N10" i="13"/>
  <c r="N101" i="13"/>
  <c r="N11" i="13"/>
  <c r="N12" i="13"/>
  <c r="N26" i="13"/>
  <c r="N13" i="13"/>
  <c r="N14" i="13"/>
  <c r="N15" i="13"/>
  <c r="N92" i="13"/>
  <c r="N16" i="13"/>
  <c r="N255" i="13"/>
  <c r="N17" i="13"/>
  <c r="N18" i="13"/>
  <c r="N212" i="13"/>
  <c r="N102" i="13"/>
  <c r="N119" i="13"/>
  <c r="N27" i="13"/>
  <c r="N28" i="13"/>
  <c r="N91" i="13"/>
  <c r="N22" i="13"/>
  <c r="N213" i="13"/>
  <c r="N214" i="13"/>
  <c r="N29" i="13"/>
  <c r="N24" i="13"/>
  <c r="N215" i="13"/>
  <c r="N216" i="13"/>
  <c r="N31" i="13"/>
  <c r="N218" i="13"/>
  <c r="N219" i="13"/>
  <c r="N289" i="13"/>
  <c r="N250" i="13"/>
  <c r="N297" i="13"/>
  <c r="N103" i="13"/>
  <c r="N220" i="13"/>
  <c r="N221" i="13"/>
  <c r="N25" i="13"/>
  <c r="N154" i="13"/>
  <c r="N32" i="13"/>
  <c r="N30" i="13"/>
  <c r="N224" i="13"/>
  <c r="N225" i="13"/>
  <c r="N226" i="13"/>
  <c r="N299" i="13"/>
  <c r="N104" i="13"/>
  <c r="N228" i="13"/>
  <c r="N229" i="13"/>
  <c r="N301" i="13"/>
  <c r="N231" i="13"/>
  <c r="N217" i="13"/>
  <c r="N232" i="13"/>
  <c r="N302" i="13"/>
  <c r="N234" i="13"/>
  <c r="N235" i="13"/>
  <c r="N236" i="13"/>
  <c r="N237" i="13"/>
  <c r="N238" i="13"/>
  <c r="N239" i="13"/>
  <c r="N240" i="13"/>
  <c r="N304" i="13"/>
  <c r="N241" i="13"/>
  <c r="N242" i="13"/>
  <c r="N243" i="13"/>
  <c r="N34" i="13"/>
  <c r="N35" i="13"/>
  <c r="N36" i="13"/>
  <c r="N37" i="13"/>
  <c r="N244" i="13"/>
  <c r="N38" i="13"/>
  <c r="N245" i="13"/>
  <c r="N315" i="13"/>
  <c r="N247" i="13"/>
  <c r="N248" i="13"/>
  <c r="N319" i="13"/>
  <c r="N281" i="13"/>
  <c r="N251" i="13"/>
  <c r="N321" i="13"/>
  <c r="N253" i="13"/>
  <c r="N254" i="13"/>
  <c r="N77" i="13"/>
  <c r="N325" i="13"/>
  <c r="N257" i="13"/>
  <c r="N39" i="13"/>
  <c r="N342" i="13"/>
  <c r="N258" i="13"/>
  <c r="N259" i="13"/>
  <c r="N260" i="13"/>
  <c r="N261" i="13"/>
  <c r="N262" i="13"/>
  <c r="N263" i="13"/>
  <c r="N266" i="13"/>
  <c r="N265" i="13"/>
  <c r="N352" i="13"/>
  <c r="N267" i="13"/>
  <c r="N268" i="13"/>
  <c r="N269" i="13"/>
  <c r="N270" i="13"/>
  <c r="N271" i="13"/>
  <c r="N272" i="13"/>
  <c r="N273" i="13"/>
  <c r="N354" i="13"/>
  <c r="N275" i="13"/>
  <c r="N276" i="13"/>
  <c r="N41" i="13"/>
  <c r="N277" i="13"/>
  <c r="N278" i="13"/>
  <c r="N279" i="13"/>
  <c r="N280" i="13"/>
  <c r="N356" i="13"/>
  <c r="N357" i="13"/>
  <c r="N252" i="13"/>
  <c r="N284" i="13"/>
  <c r="N362" i="13"/>
  <c r="N286" i="13"/>
  <c r="N264" i="13"/>
  <c r="N42" i="13"/>
  <c r="N288" i="13"/>
  <c r="N80" i="13"/>
  <c r="N368" i="13"/>
  <c r="N290" i="13"/>
  <c r="N291" i="13"/>
  <c r="N292" i="13"/>
  <c r="N293" i="13"/>
  <c r="N294" i="13"/>
  <c r="N295" i="13"/>
  <c r="N296" i="13"/>
  <c r="N2138" i="13"/>
  <c r="N298" i="13"/>
  <c r="N81" i="13"/>
  <c r="N2139" i="13"/>
  <c r="N300" i="13"/>
  <c r="N2140" i="13"/>
  <c r="N2141" i="13"/>
  <c r="N303" i="13"/>
  <c r="N2142" i="13"/>
  <c r="N305" i="13"/>
  <c r="N306" i="13"/>
  <c r="N307" i="13"/>
  <c r="N308" i="13"/>
  <c r="N309" i="13"/>
  <c r="N310" i="13"/>
  <c r="N311" i="13"/>
  <c r="N312" i="13"/>
  <c r="N313" i="13"/>
  <c r="N314" i="13"/>
  <c r="N2143" i="13"/>
  <c r="N82" i="13"/>
  <c r="N46" i="13"/>
  <c r="N316" i="13"/>
  <c r="N317" i="13"/>
  <c r="N318" i="13"/>
  <c r="N2144" i="13"/>
  <c r="N320" i="13"/>
  <c r="N2145" i="13"/>
  <c r="N322" i="13"/>
  <c r="N323" i="13"/>
  <c r="N324" i="13"/>
  <c r="N2146" i="13"/>
  <c r="N326" i="13"/>
  <c r="N327" i="13"/>
  <c r="N47" i="13"/>
  <c r="N328" i="13"/>
  <c r="N329" i="13"/>
  <c r="N330" i="13"/>
  <c r="N331" i="13"/>
  <c r="N332" i="13"/>
  <c r="N333" i="13"/>
  <c r="N334" i="13"/>
  <c r="N335" i="13"/>
  <c r="N336" i="13"/>
  <c r="N337" i="13"/>
  <c r="N338" i="13"/>
  <c r="N339" i="13"/>
  <c r="N340" i="13"/>
  <c r="N341" i="13"/>
  <c r="N2147" i="13"/>
  <c r="N343" i="13"/>
  <c r="N344" i="13"/>
  <c r="N345" i="13"/>
  <c r="N346" i="13"/>
  <c r="N347" i="13"/>
  <c r="N348" i="13"/>
  <c r="N349" i="13"/>
  <c r="N350" i="13"/>
  <c r="N351" i="13"/>
  <c r="N83" i="13"/>
  <c r="N2148" i="13"/>
  <c r="N353" i="13"/>
  <c r="N49" i="13"/>
  <c r="N2149" i="13"/>
  <c r="N355" i="13"/>
  <c r="N50" i="13"/>
  <c r="N2150" i="13"/>
  <c r="N2151" i="13"/>
  <c r="N358" i="13"/>
  <c r="N359" i="13"/>
  <c r="N360" i="13"/>
  <c r="N361" i="13"/>
  <c r="N2152" i="13"/>
  <c r="N363" i="13"/>
  <c r="N364" i="13"/>
  <c r="N365" i="13"/>
  <c r="N366" i="13"/>
  <c r="N367" i="13"/>
  <c r="N2153" i="13"/>
  <c r="N369" i="13"/>
  <c r="N370" i="13"/>
  <c r="N371" i="13"/>
  <c r="N372" i="13"/>
  <c r="N373" i="13"/>
  <c r="N374" i="13"/>
  <c r="N375" i="13"/>
  <c r="N376" i="13"/>
  <c r="N377" i="13"/>
  <c r="N378" i="13"/>
  <c r="N379" i="13"/>
  <c r="N380" i="13"/>
  <c r="N381" i="13"/>
  <c r="N382" i="13"/>
  <c r="N383" i="13"/>
  <c r="N384" i="13"/>
  <c r="N385" i="13"/>
  <c r="N386" i="13"/>
  <c r="N387" i="13"/>
  <c r="N388" i="13"/>
  <c r="N389" i="13"/>
  <c r="N390" i="13"/>
  <c r="N391" i="13"/>
  <c r="N392" i="13"/>
  <c r="N393" i="13"/>
  <c r="N394" i="13"/>
  <c r="N395" i="13"/>
  <c r="N396" i="13"/>
  <c r="N397" i="13"/>
  <c r="N398" i="13"/>
  <c r="N399" i="13"/>
  <c r="N400" i="13"/>
  <c r="N401" i="13"/>
  <c r="N402" i="13"/>
  <c r="N403" i="13"/>
  <c r="N404" i="13"/>
  <c r="N405" i="13"/>
  <c r="N406" i="13"/>
  <c r="N407" i="13"/>
  <c r="N408" i="13"/>
  <c r="N409" i="13"/>
  <c r="N410" i="13"/>
  <c r="N411" i="13"/>
  <c r="N412" i="13"/>
  <c r="N413" i="13"/>
  <c r="N414" i="13"/>
  <c r="N415" i="13"/>
  <c r="N416" i="13"/>
  <c r="N417" i="13"/>
  <c r="N418" i="13"/>
  <c r="N419" i="13"/>
  <c r="N420" i="13"/>
  <c r="N421" i="13"/>
  <c r="N422" i="13"/>
  <c r="N423" i="13"/>
  <c r="N424" i="13"/>
  <c r="N425" i="13"/>
  <c r="N426" i="13"/>
  <c r="N427" i="13"/>
  <c r="N428" i="13"/>
  <c r="N429" i="13"/>
  <c r="N430" i="13"/>
  <c r="N431" i="13"/>
  <c r="N432" i="13"/>
  <c r="N433" i="13"/>
  <c r="N434" i="13"/>
  <c r="N435" i="13"/>
  <c r="N436" i="13"/>
  <c r="N437" i="13"/>
  <c r="N438" i="13"/>
  <c r="N439" i="13"/>
  <c r="N440" i="13"/>
  <c r="N441" i="13"/>
  <c r="N442" i="13"/>
  <c r="N443" i="13"/>
  <c r="N444" i="13"/>
  <c r="N445" i="13"/>
  <c r="N446" i="13"/>
  <c r="N447" i="13"/>
  <c r="N448" i="13"/>
  <c r="N449" i="13"/>
  <c r="N450" i="13"/>
  <c r="N451" i="13"/>
  <c r="N452" i="13"/>
  <c r="N453" i="13"/>
  <c r="N454" i="13"/>
  <c r="N455" i="13"/>
  <c r="N456" i="13"/>
  <c r="N457" i="13"/>
  <c r="N458" i="13"/>
  <c r="N459" i="13"/>
  <c r="N460" i="13"/>
  <c r="N461" i="13"/>
  <c r="N462" i="13"/>
  <c r="N463" i="13"/>
  <c r="P328" i="13"/>
  <c r="P329" i="13"/>
  <c r="P330" i="13"/>
  <c r="P331" i="13"/>
  <c r="P332" i="13"/>
  <c r="P333" i="13"/>
  <c r="P334" i="13"/>
  <c r="P335" i="13"/>
  <c r="P336" i="13"/>
  <c r="P337" i="13"/>
  <c r="P338" i="13"/>
  <c r="P339" i="13"/>
  <c r="P340" i="13"/>
  <c r="P341" i="13"/>
  <c r="P2147" i="13"/>
  <c r="P343" i="13"/>
  <c r="P344" i="13"/>
  <c r="P345" i="13"/>
  <c r="P346" i="13"/>
  <c r="P347" i="13"/>
  <c r="P348" i="13"/>
  <c r="P349" i="13"/>
  <c r="P350" i="13"/>
  <c r="P351" i="13"/>
  <c r="P83" i="13"/>
  <c r="P2148" i="13"/>
  <c r="P353" i="13"/>
  <c r="P49" i="13"/>
  <c r="P2149" i="13"/>
  <c r="P355" i="13"/>
  <c r="P50" i="13"/>
  <c r="P2150" i="13"/>
  <c r="P2151" i="13"/>
  <c r="P358" i="13"/>
  <c r="P359" i="13"/>
  <c r="P360" i="13"/>
  <c r="P361" i="13"/>
  <c r="P2152" i="13"/>
  <c r="P363" i="13"/>
  <c r="P364" i="13"/>
  <c r="P365" i="13"/>
  <c r="P366" i="13"/>
  <c r="P367" i="13"/>
  <c r="P2153" i="13"/>
  <c r="P369" i="13"/>
  <c r="P370" i="13"/>
  <c r="P371" i="13"/>
  <c r="P372" i="13"/>
  <c r="P373" i="13"/>
  <c r="P374" i="13"/>
  <c r="P375" i="13"/>
  <c r="P376" i="13"/>
  <c r="P377" i="13"/>
  <c r="P378" i="13"/>
  <c r="P379" i="13"/>
  <c r="P380" i="13"/>
  <c r="P381" i="13"/>
  <c r="P382" i="13"/>
  <c r="P383" i="13"/>
  <c r="P384" i="13"/>
  <c r="P385" i="13"/>
  <c r="P386" i="13"/>
  <c r="P387" i="13"/>
  <c r="P388" i="13"/>
  <c r="P389" i="13"/>
  <c r="P390" i="13"/>
  <c r="P391" i="13"/>
  <c r="P392" i="13"/>
  <c r="P393" i="13"/>
  <c r="P394" i="13"/>
  <c r="P395" i="13"/>
  <c r="P396" i="13"/>
  <c r="P397" i="13"/>
  <c r="P398" i="13"/>
  <c r="P399" i="13"/>
  <c r="P400" i="13"/>
  <c r="P401" i="13"/>
  <c r="P402" i="13"/>
  <c r="P403" i="13"/>
  <c r="P404" i="13"/>
  <c r="P405" i="13"/>
  <c r="P406" i="13"/>
  <c r="P407" i="13"/>
  <c r="P408" i="13"/>
  <c r="P409" i="13"/>
  <c r="P410" i="13"/>
  <c r="P411" i="13"/>
  <c r="P412" i="13"/>
  <c r="P413" i="13"/>
  <c r="P414" i="13"/>
  <c r="P415" i="13"/>
  <c r="P416" i="13"/>
  <c r="P417" i="13"/>
  <c r="P418" i="13"/>
  <c r="P419" i="13"/>
  <c r="P420" i="13"/>
  <c r="P421" i="13"/>
  <c r="P422" i="13"/>
  <c r="P423" i="13"/>
  <c r="P424" i="13"/>
  <c r="P425" i="13"/>
  <c r="P426" i="13"/>
  <c r="P427" i="13"/>
  <c r="P428" i="13"/>
  <c r="P429" i="13"/>
  <c r="P430" i="13"/>
  <c r="P431" i="13"/>
  <c r="P432" i="13"/>
  <c r="P433" i="13"/>
  <c r="P434" i="13"/>
  <c r="P435" i="13"/>
  <c r="P436" i="13"/>
  <c r="P437" i="13"/>
  <c r="P438" i="13"/>
  <c r="P439" i="13"/>
  <c r="P440" i="13"/>
  <c r="P441" i="13"/>
  <c r="P442" i="13"/>
  <c r="P443" i="13"/>
  <c r="P444" i="13"/>
  <c r="P445" i="13"/>
  <c r="P446" i="13"/>
  <c r="P447" i="13"/>
  <c r="P448" i="13"/>
  <c r="P449" i="13"/>
  <c r="P450" i="13"/>
  <c r="P451" i="13"/>
  <c r="P452" i="13"/>
  <c r="P453" i="13"/>
  <c r="P454" i="13"/>
  <c r="P455" i="13"/>
  <c r="P456" i="13"/>
  <c r="P457" i="13"/>
  <c r="P458" i="13"/>
  <c r="P459" i="13"/>
  <c r="P460" i="13"/>
  <c r="P461" i="13"/>
  <c r="P462" i="13"/>
  <c r="P463" i="13"/>
  <c r="R80" i="13"/>
  <c r="R303" i="13"/>
  <c r="R311" i="13"/>
  <c r="R207" i="13"/>
  <c r="X3" i="14"/>
  <c r="R114" i="13" s="1"/>
  <c r="X4" i="14"/>
  <c r="R283" i="13" s="1"/>
  <c r="X6" i="14"/>
  <c r="R282" i="13" s="1"/>
  <c r="X5" i="14"/>
  <c r="R206" i="13" s="1"/>
  <c r="X8" i="14"/>
  <c r="R117" i="13" s="1"/>
  <c r="X9" i="14"/>
  <c r="R195" i="13" s="1"/>
  <c r="X7" i="14"/>
  <c r="R200" i="13" s="1"/>
  <c r="X10" i="14"/>
  <c r="R120" i="13" s="1"/>
  <c r="X13" i="14"/>
  <c r="R204" i="13" s="1"/>
  <c r="X12" i="14"/>
  <c r="R122" i="13" s="1"/>
  <c r="X11" i="14"/>
  <c r="R123" i="13" s="1"/>
  <c r="X14" i="14"/>
  <c r="X15" i="14"/>
  <c r="R194" i="13" s="1"/>
  <c r="X18" i="14"/>
  <c r="R190" i="13" s="1"/>
  <c r="X17" i="14"/>
  <c r="R193" i="13" s="1"/>
  <c r="X16" i="14"/>
  <c r="R192" i="13" s="1"/>
  <c r="X19" i="14"/>
  <c r="R129" i="13" s="1"/>
  <c r="X22" i="14"/>
  <c r="R186" i="13" s="1"/>
  <c r="X20" i="14"/>
  <c r="R131" i="13" s="1"/>
  <c r="X21" i="14"/>
  <c r="R183" i="13" s="1"/>
  <c r="X24" i="14"/>
  <c r="R188" i="13" s="1"/>
  <c r="X23" i="14"/>
  <c r="R187" i="13" s="1"/>
  <c r="X27" i="14"/>
  <c r="X26" i="14"/>
  <c r="R135" i="13" s="1"/>
  <c r="X29" i="14"/>
  <c r="R20" i="13" s="1"/>
  <c r="X30" i="14"/>
  <c r="X25" i="14"/>
  <c r="R137" i="13" s="1"/>
  <c r="X28" i="14"/>
  <c r="R3" i="13" s="1"/>
  <c r="X33" i="14"/>
  <c r="R115" i="13" s="1"/>
  <c r="X37" i="14"/>
  <c r="X38" i="14"/>
  <c r="X34" i="14"/>
  <c r="R177" i="13" s="1"/>
  <c r="X36" i="14"/>
  <c r="X35" i="14"/>
  <c r="X47" i="14"/>
  <c r="X49" i="14"/>
  <c r="X50" i="14"/>
  <c r="R148" i="13" s="1"/>
  <c r="X54" i="14"/>
  <c r="X51" i="14"/>
  <c r="X48" i="14"/>
  <c r="X53" i="14"/>
  <c r="R21" i="13" s="1"/>
  <c r="X55" i="14"/>
  <c r="R285" i="13" s="1"/>
  <c r="X52" i="14"/>
  <c r="R173" i="13" s="1"/>
  <c r="X61" i="14"/>
  <c r="R155" i="13" s="1"/>
  <c r="X58" i="14"/>
  <c r="R156" i="13" s="1"/>
  <c r="X62" i="14"/>
  <c r="R157" i="13" s="1"/>
  <c r="X67" i="14"/>
  <c r="R180" i="13" s="1"/>
  <c r="X60" i="14"/>
  <c r="R163" i="13" s="1"/>
  <c r="X57" i="14"/>
  <c r="R164" i="13" s="1"/>
  <c r="X64" i="14"/>
  <c r="R167" i="13" s="1"/>
  <c r="X65" i="14"/>
  <c r="R168" i="13" s="1"/>
  <c r="X66" i="14"/>
  <c r="R118" i="13" s="1"/>
  <c r="X63" i="14"/>
  <c r="R256" i="13" s="1"/>
  <c r="X59" i="14"/>
  <c r="R169" i="13" s="1"/>
  <c r="X71" i="14"/>
  <c r="X70" i="14"/>
  <c r="R166" i="13" s="1"/>
  <c r="X72" i="14"/>
  <c r="R159" i="13" s="1"/>
  <c r="X75" i="14"/>
  <c r="R160" i="13" s="1"/>
  <c r="X74" i="14"/>
  <c r="R161" i="13" s="1"/>
  <c r="X73" i="14"/>
  <c r="R162" i="13" s="1"/>
  <c r="X77" i="14"/>
  <c r="R158" i="13" s="1"/>
  <c r="X76" i="14"/>
  <c r="R153" i="13" s="1"/>
  <c r="X78" i="14"/>
  <c r="R172" i="13" s="1"/>
  <c r="X81" i="14"/>
  <c r="R249" i="13" s="1"/>
  <c r="X80" i="14"/>
  <c r="R174" i="13" s="1"/>
  <c r="X86" i="14"/>
  <c r="R175" i="13" s="1"/>
  <c r="X89" i="14"/>
  <c r="R176" i="13" s="1"/>
  <c r="X88" i="14"/>
  <c r="R145" i="13" s="1"/>
  <c r="X87" i="14"/>
  <c r="R150" i="13" s="1"/>
  <c r="X92" i="14"/>
  <c r="R222" i="13" s="1"/>
  <c r="X91" i="14"/>
  <c r="R142" i="13" s="1"/>
  <c r="X90" i="14"/>
  <c r="R274" i="13" s="1"/>
  <c r="X98" i="14"/>
  <c r="R19" i="13" s="1"/>
  <c r="X96" i="14"/>
  <c r="R143" i="13" s="1"/>
  <c r="X97" i="14"/>
  <c r="R144" i="13" s="1"/>
  <c r="X103" i="14"/>
  <c r="R184" i="13" s="1"/>
  <c r="X107" i="14"/>
  <c r="R185" i="13" s="1"/>
  <c r="X104" i="14"/>
  <c r="X105" i="14"/>
  <c r="R209" i="13" s="1"/>
  <c r="X106" i="14"/>
  <c r="R211" i="13" s="1"/>
  <c r="X101" i="14"/>
  <c r="R189" i="13" s="1"/>
  <c r="X108" i="14"/>
  <c r="R141" i="13" s="1"/>
  <c r="X102" i="14"/>
  <c r="R191" i="13" s="1"/>
  <c r="X111" i="14"/>
  <c r="R287" i="13" s="1"/>
  <c r="X117" i="14"/>
  <c r="R223" i="13" s="1"/>
  <c r="X115" i="14"/>
  <c r="R181" i="13" s="1"/>
  <c r="X113" i="14"/>
  <c r="R246" i="13" s="1"/>
  <c r="X110" i="14"/>
  <c r="R196" i="13" s="1"/>
  <c r="X109" i="14"/>
  <c r="R197" i="13" s="1"/>
  <c r="X114" i="14"/>
  <c r="R198" i="13" s="1"/>
  <c r="X112" i="14"/>
  <c r="R199" i="13" s="1"/>
  <c r="X116" i="14"/>
  <c r="R182" i="13" s="1"/>
  <c r="X121" i="14"/>
  <c r="R201" i="13" s="1"/>
  <c r="X122" i="14"/>
  <c r="R202" i="13" s="1"/>
  <c r="X119" i="14"/>
  <c r="R203" i="13" s="1"/>
  <c r="X118" i="14"/>
  <c r="R61" i="13" s="1"/>
  <c r="X120" i="14"/>
  <c r="R205" i="13" s="1"/>
  <c r="X125" i="14"/>
  <c r="R10" i="13" s="1"/>
  <c r="X126" i="14"/>
  <c r="R101" i="13" s="1"/>
  <c r="X124" i="14"/>
  <c r="R11" i="13" s="1"/>
  <c r="X127" i="14"/>
  <c r="R12" i="13" s="1"/>
  <c r="X130" i="14"/>
  <c r="R26" i="13" s="1"/>
  <c r="X129" i="14"/>
  <c r="R13" i="13" s="1"/>
  <c r="X128" i="14"/>
  <c r="R14" i="13" s="1"/>
  <c r="X135" i="14"/>
  <c r="X137" i="14"/>
  <c r="R92" i="13" s="1"/>
  <c r="X136" i="14"/>
  <c r="R16" i="13" s="1"/>
  <c r="X134" i="14"/>
  <c r="R255" i="13" s="1"/>
  <c r="X138" i="14"/>
  <c r="R17" i="13" s="1"/>
  <c r="X133" i="14"/>
  <c r="R18" i="13" s="1"/>
  <c r="X132" i="14"/>
  <c r="R212" i="13" s="1"/>
  <c r="X139" i="14"/>
  <c r="R102" i="13" s="1"/>
  <c r="X141" i="14"/>
  <c r="R119" i="13" s="1"/>
  <c r="X142" i="14"/>
  <c r="R27" i="13" s="1"/>
  <c r="X144" i="14"/>
  <c r="R28" i="13" s="1"/>
  <c r="X143" i="14"/>
  <c r="R91" i="13" s="1"/>
  <c r="X151" i="14"/>
  <c r="R22" i="13" s="1"/>
  <c r="R29" i="13"/>
  <c r="R219" i="13"/>
  <c r="R250" i="13"/>
  <c r="R103" i="13"/>
  <c r="R154" i="13"/>
  <c r="R30" i="13"/>
  <c r="R229" i="13"/>
  <c r="R301" i="13"/>
  <c r="R231" i="13"/>
  <c r="R302" i="13"/>
  <c r="R235" i="13"/>
  <c r="R236" i="13"/>
  <c r="R240" i="13"/>
  <c r="R243" i="13"/>
  <c r="R34" i="13"/>
  <c r="R244" i="13"/>
  <c r="R247" i="13"/>
  <c r="R248" i="13"/>
  <c r="R281" i="13"/>
  <c r="R251" i="13"/>
  <c r="R321" i="13"/>
  <c r="R253" i="13"/>
  <c r="R325" i="13"/>
  <c r="R257" i="13"/>
  <c r="R39" i="13"/>
  <c r="R259" i="13"/>
  <c r="R261" i="13"/>
  <c r="R262" i="13"/>
  <c r="R263" i="13"/>
  <c r="P114" i="13"/>
  <c r="P283" i="13"/>
  <c r="P282" i="13"/>
  <c r="P206" i="13"/>
  <c r="P117" i="13"/>
  <c r="P195" i="13"/>
  <c r="P200" i="13"/>
  <c r="P120" i="13"/>
  <c r="P204" i="13"/>
  <c r="P122" i="13"/>
  <c r="P123" i="13"/>
  <c r="P124" i="13"/>
  <c r="P194" i="13"/>
  <c r="P190" i="13"/>
  <c r="P193" i="13"/>
  <c r="P192" i="13"/>
  <c r="P129" i="13"/>
  <c r="P186" i="13"/>
  <c r="P131" i="13"/>
  <c r="P183" i="13"/>
  <c r="P188" i="13"/>
  <c r="P187" i="13"/>
  <c r="P179" i="13"/>
  <c r="P135" i="13"/>
  <c r="P20" i="13"/>
  <c r="P178" i="13"/>
  <c r="P137" i="13"/>
  <c r="P3" i="13"/>
  <c r="P115" i="13"/>
  <c r="P149" i="13"/>
  <c r="P233" i="13"/>
  <c r="P177" i="13"/>
  <c r="P5" i="13"/>
  <c r="P116" i="13"/>
  <c r="P152" i="13"/>
  <c r="P146" i="13"/>
  <c r="P147" i="13"/>
  <c r="P148" i="13"/>
  <c r="P170" i="13"/>
  <c r="P171" i="13"/>
  <c r="P151" i="13"/>
  <c r="P21" i="13"/>
  <c r="P285" i="13"/>
  <c r="P173" i="13"/>
  <c r="P155" i="13"/>
  <c r="P156" i="13"/>
  <c r="P157" i="13"/>
  <c r="P180" i="13"/>
  <c r="P163" i="13"/>
  <c r="P164" i="13"/>
  <c r="P167" i="13"/>
  <c r="P168" i="13"/>
  <c r="P118" i="13"/>
  <c r="P256" i="13"/>
  <c r="P169" i="13"/>
  <c r="P165" i="13"/>
  <c r="P166" i="13"/>
  <c r="P159" i="13"/>
  <c r="P160" i="13"/>
  <c r="P161" i="13"/>
  <c r="P162" i="13"/>
  <c r="P158" i="13"/>
  <c r="P153" i="13"/>
  <c r="P172" i="13"/>
  <c r="P249" i="13"/>
  <c r="P174" i="13"/>
  <c r="P175" i="13"/>
  <c r="P176" i="13"/>
  <c r="P145" i="13"/>
  <c r="P150" i="13"/>
  <c r="P222" i="13"/>
  <c r="P142" i="13"/>
  <c r="P274" i="13"/>
  <c r="P19" i="13"/>
  <c r="P143" i="13"/>
  <c r="P144" i="13"/>
  <c r="P184" i="13"/>
  <c r="P185" i="13"/>
  <c r="P209" i="13"/>
  <c r="P210" i="13"/>
  <c r="P211" i="13"/>
  <c r="P189" i="13"/>
  <c r="P141" i="13"/>
  <c r="P191" i="13"/>
  <c r="P287" i="13"/>
  <c r="P223" i="13"/>
  <c r="P181" i="13"/>
  <c r="P246" i="13"/>
  <c r="P196" i="13"/>
  <c r="P197" i="13"/>
  <c r="P198" i="13"/>
  <c r="P199" i="13"/>
  <c r="P182" i="13"/>
  <c r="P201" i="13"/>
  <c r="P202" i="13"/>
  <c r="P203" i="13"/>
  <c r="P61" i="13"/>
  <c r="P205" i="13"/>
  <c r="P10" i="13"/>
  <c r="P101" i="13"/>
  <c r="P11" i="13"/>
  <c r="P12" i="13"/>
  <c r="P26" i="13"/>
  <c r="P13" i="13"/>
  <c r="P14" i="13"/>
  <c r="P15" i="13"/>
  <c r="P92" i="13"/>
  <c r="P16" i="13"/>
  <c r="P255" i="13"/>
  <c r="P17" i="13"/>
  <c r="P18" i="13"/>
  <c r="P212" i="13"/>
  <c r="P102" i="13"/>
  <c r="P119" i="13"/>
  <c r="P27" i="13"/>
  <c r="P28" i="13"/>
  <c r="P91" i="13"/>
  <c r="P22" i="13"/>
  <c r="P213" i="13"/>
  <c r="P214" i="13"/>
  <c r="P29" i="13"/>
  <c r="P24" i="13"/>
  <c r="P215" i="13"/>
  <c r="P216" i="13"/>
  <c r="P31" i="13"/>
  <c r="P218" i="13"/>
  <c r="P219" i="13"/>
  <c r="P289" i="13"/>
  <c r="P250" i="13"/>
  <c r="P297" i="13"/>
  <c r="P103" i="13"/>
  <c r="P220" i="13"/>
  <c r="P221" i="13"/>
  <c r="P25" i="13"/>
  <c r="P154" i="13"/>
  <c r="P32" i="13"/>
  <c r="P30" i="13"/>
  <c r="P224" i="13"/>
  <c r="P225" i="13"/>
  <c r="P226" i="13"/>
  <c r="P299" i="13"/>
  <c r="P104" i="13"/>
  <c r="P228" i="13"/>
  <c r="P229" i="13"/>
  <c r="P301" i="13"/>
  <c r="P231" i="13"/>
  <c r="P217" i="13"/>
  <c r="P232" i="13"/>
  <c r="P302" i="13"/>
  <c r="P234" i="13"/>
  <c r="P235" i="13"/>
  <c r="P236" i="13"/>
  <c r="P237" i="13"/>
  <c r="P238" i="13"/>
  <c r="P239" i="13"/>
  <c r="P240" i="13"/>
  <c r="P304" i="13"/>
  <c r="P241" i="13"/>
  <c r="P242" i="13"/>
  <c r="P243" i="13"/>
  <c r="P34" i="13"/>
  <c r="P35" i="13"/>
  <c r="P36" i="13"/>
  <c r="P37" i="13"/>
  <c r="P244" i="13"/>
  <c r="P38" i="13"/>
  <c r="P245" i="13"/>
  <c r="P315" i="13"/>
  <c r="P247" i="13"/>
  <c r="P248" i="13"/>
  <c r="P319" i="13"/>
  <c r="P281" i="13"/>
  <c r="P251" i="13"/>
  <c r="P321" i="13"/>
  <c r="P253" i="13"/>
  <c r="P254" i="13"/>
  <c r="P77" i="13"/>
  <c r="P325" i="13"/>
  <c r="P257" i="13"/>
  <c r="P39" i="13"/>
  <c r="P342" i="13"/>
  <c r="P258" i="13"/>
  <c r="P259" i="13"/>
  <c r="P260" i="13"/>
  <c r="P261" i="13"/>
  <c r="P262" i="13"/>
  <c r="P263" i="13"/>
  <c r="P266" i="13"/>
  <c r="P265" i="13"/>
  <c r="P352" i="13"/>
  <c r="P267" i="13"/>
  <c r="P268" i="13"/>
  <c r="P269" i="13"/>
  <c r="P270" i="13"/>
  <c r="P271" i="13"/>
  <c r="P272" i="13"/>
  <c r="P273" i="13"/>
  <c r="P354" i="13"/>
  <c r="P275" i="13"/>
  <c r="P276" i="13"/>
  <c r="P41" i="13"/>
  <c r="P277" i="13"/>
  <c r="P278" i="13"/>
  <c r="P279" i="13"/>
  <c r="P280" i="13"/>
  <c r="P356" i="13"/>
  <c r="P357" i="13"/>
  <c r="P252" i="13"/>
  <c r="P284" i="13"/>
  <c r="P362" i="13"/>
  <c r="P286" i="13"/>
  <c r="P264" i="13"/>
  <c r="P42" i="13"/>
  <c r="P288" i="13"/>
  <c r="P80" i="13"/>
  <c r="P368" i="13"/>
  <c r="P290" i="13"/>
  <c r="P291" i="13"/>
  <c r="P292" i="13"/>
  <c r="P293" i="13"/>
  <c r="P294" i="13"/>
  <c r="P295" i="13"/>
  <c r="P296" i="13"/>
  <c r="P2138" i="13"/>
  <c r="P298" i="13"/>
  <c r="P81" i="13"/>
  <c r="P2139" i="13"/>
  <c r="P300" i="13"/>
  <c r="P2140" i="13"/>
  <c r="P2141" i="13"/>
  <c r="P303" i="13"/>
  <c r="P2142" i="13"/>
  <c r="P305" i="13"/>
  <c r="P306" i="13"/>
  <c r="P307" i="13"/>
  <c r="P308" i="13"/>
  <c r="P309" i="13"/>
  <c r="P310" i="13"/>
  <c r="P311" i="13"/>
  <c r="P312" i="13"/>
  <c r="P313" i="13"/>
  <c r="P314" i="13"/>
  <c r="P2143" i="13"/>
  <c r="P82" i="13"/>
  <c r="P46" i="13"/>
  <c r="P316" i="13"/>
  <c r="P317" i="13"/>
  <c r="P318" i="13"/>
  <c r="P2144" i="13"/>
  <c r="P320" i="13"/>
  <c r="P2145" i="13"/>
  <c r="P322" i="13"/>
  <c r="P323" i="13"/>
  <c r="P324" i="13"/>
  <c r="P2146" i="13"/>
  <c r="P326" i="13"/>
  <c r="P327" i="13"/>
  <c r="P47" i="13"/>
  <c r="R15" i="13" l="1"/>
  <c r="R55" i="13"/>
  <c r="R51" i="13"/>
  <c r="R124" i="13"/>
  <c r="R1316" i="13"/>
  <c r="R165" i="13"/>
  <c r="R625" i="13"/>
  <c r="R1627" i="13"/>
  <c r="R1655" i="13"/>
  <c r="R582" i="13"/>
  <c r="R1656" i="13"/>
  <c r="R317" i="13"/>
  <c r="R346" i="13"/>
  <c r="R338" i="13"/>
  <c r="R330" i="13"/>
  <c r="R309" i="13"/>
  <c r="R2140" i="13"/>
  <c r="R294" i="13"/>
  <c r="R343" i="13"/>
  <c r="R335" i="13"/>
  <c r="R47" i="13"/>
  <c r="R320" i="13"/>
  <c r="R306" i="13"/>
  <c r="R81" i="13"/>
  <c r="R297" i="13"/>
  <c r="R365" i="13"/>
  <c r="R216" i="13"/>
  <c r="R337" i="13"/>
  <c r="R329" i="13"/>
  <c r="R82" i="13"/>
  <c r="R308" i="13"/>
  <c r="R300" i="13"/>
  <c r="R264" i="13"/>
  <c r="R232" i="13"/>
  <c r="R36" i="13"/>
  <c r="R35" i="13"/>
  <c r="R366" i="13"/>
  <c r="R358" i="13"/>
  <c r="R226" i="13"/>
  <c r="R2148" i="13"/>
  <c r="R2151" i="13"/>
  <c r="R2149" i="13"/>
  <c r="R245" i="13"/>
  <c r="R24" i="13"/>
  <c r="R228" i="13"/>
  <c r="R351" i="13"/>
  <c r="R2138" i="13"/>
  <c r="R260" i="13"/>
  <c r="R319" i="13"/>
  <c r="R239" i="13"/>
  <c r="R31" i="13"/>
  <c r="R2153" i="13"/>
  <c r="R360" i="13"/>
  <c r="R254" i="13"/>
  <c r="R241" i="13"/>
  <c r="R367" i="13"/>
  <c r="R359" i="13"/>
  <c r="R83" i="13"/>
  <c r="R2150" i="13"/>
  <c r="R2147" i="13"/>
  <c r="R334" i="13"/>
  <c r="R327" i="13"/>
  <c r="R298" i="13"/>
  <c r="R304" i="13"/>
  <c r="R104" i="13"/>
  <c r="R289" i="13"/>
  <c r="R355" i="13"/>
  <c r="R258" i="13"/>
  <c r="R238" i="13"/>
  <c r="R225" i="13"/>
  <c r="R364" i="13"/>
  <c r="R50" i="13"/>
  <c r="R347" i="13"/>
  <c r="R331" i="13"/>
  <c r="R316" i="13"/>
  <c r="R310" i="13"/>
  <c r="R2141" i="13"/>
  <c r="R342" i="13"/>
  <c r="R315" i="13"/>
  <c r="R237" i="13"/>
  <c r="R32" i="13"/>
  <c r="R215" i="13"/>
  <c r="R37" i="13"/>
  <c r="R363" i="13"/>
  <c r="R234" i="13"/>
  <c r="R25" i="13"/>
  <c r="R370" i="13"/>
  <c r="R2152" i="13"/>
  <c r="R221" i="13"/>
  <c r="R213" i="13"/>
  <c r="R369" i="13"/>
  <c r="R361" i="13"/>
  <c r="R353" i="13"/>
  <c r="R344" i="13"/>
  <c r="R336" i="13"/>
  <c r="R328" i="13"/>
  <c r="R2143" i="13"/>
  <c r="R307" i="13"/>
  <c r="R2139" i="13"/>
  <c r="R77" i="13"/>
  <c r="R242" i="13"/>
  <c r="R217" i="13"/>
  <c r="R220" i="13"/>
  <c r="R210" i="13"/>
  <c r="R333" i="13"/>
  <c r="R341" i="13"/>
  <c r="R323" i="13"/>
  <c r="R324" i="13"/>
  <c r="R280" i="13"/>
  <c r="R271" i="13"/>
  <c r="R2144" i="13"/>
  <c r="R290" i="13"/>
  <c r="R267" i="13"/>
  <c r="R296" i="13"/>
  <c r="R295" i="13"/>
  <c r="R288" i="13"/>
  <c r="R42" i="13"/>
  <c r="R352" i="13"/>
  <c r="R357" i="13"/>
  <c r="R368" i="13"/>
  <c r="R356" i="13"/>
  <c r="R345" i="13"/>
  <c r="R279" i="13"/>
  <c r="R266" i="13"/>
  <c r="R305" i="13"/>
  <c r="R286" i="13"/>
  <c r="R314" i="13"/>
  <c r="R277" i="13"/>
  <c r="R350" i="13"/>
  <c r="R326" i="13"/>
  <c r="R278" i="13"/>
  <c r="R349" i="13"/>
  <c r="R313" i="13"/>
  <c r="R2142" i="13"/>
  <c r="R293" i="13"/>
  <c r="R362" i="13"/>
  <c r="R41" i="13"/>
  <c r="R269" i="13"/>
  <c r="R2146" i="13"/>
  <c r="R275" i="13"/>
  <c r="R322" i="13"/>
  <c r="R312" i="13"/>
  <c r="R292" i="13"/>
  <c r="R284" i="13"/>
  <c r="R276" i="13"/>
  <c r="R268" i="13"/>
  <c r="R340" i="13"/>
  <c r="R354" i="13"/>
  <c r="R2145" i="13"/>
  <c r="R291" i="13"/>
  <c r="R252" i="13"/>
  <c r="R270" i="13"/>
  <c r="R224" i="13"/>
  <c r="R348" i="13"/>
  <c r="R339" i="13"/>
  <c r="R318" i="13"/>
  <c r="R272" i="13"/>
  <c r="R49" i="13"/>
  <c r="R46" i="13"/>
  <c r="R273" i="13"/>
  <c r="R265" i="13"/>
  <c r="R214" i="13"/>
  <c r="R151" i="13"/>
  <c r="R147" i="13"/>
  <c r="R178" i="13"/>
  <c r="R116" i="13"/>
  <c r="R233" i="13"/>
  <c r="R146" i="13"/>
  <c r="R149" i="13"/>
  <c r="R171" i="13"/>
  <c r="R179" i="13"/>
  <c r="R152" i="13"/>
  <c r="R170" i="13"/>
  <c r="R5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Atendimento2</author>
  </authors>
  <commentList>
    <comment ref="T296" authorId="0" shapeId="0" xr:uid="{2FFEA834-5CD3-4BC1-8A2F-649E17209279}">
      <text>
        <r>
          <rPr>
            <b/>
            <sz val="9"/>
            <color indexed="81"/>
            <rFont val="Segoe UI"/>
            <family val="2"/>
          </rPr>
          <t>Atendimento2:</t>
        </r>
        <r>
          <rPr>
            <sz val="9"/>
            <color indexed="81"/>
            <rFont val="Segoe UI"/>
            <family val="2"/>
          </rPr>
          <t xml:space="preserve">
DESLIGOU QUANDO INFORMEI SER DA VITAO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tc={4F0B7786-B12C-4C24-9FF9-20B52F319D7E}</author>
    <author>tc={59E9D25F-468F-4044-8B08-8D59130F78D3}</author>
  </authors>
  <commentList>
    <comment ref="S6" authorId="0" shapeId="0" xr:uid="{4F0B7786-B12C-4C24-9FF9-20B52F319D7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SOLICITAR ALTERAÇÃO DE CADASTRO - INATIVAÇÃO
</t>
      </text>
    </comment>
    <comment ref="T6" authorId="1" shapeId="0" xr:uid="{59E9D25F-468F-4044-8B08-8D59130F78D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NOVO CONTATO </t>
      </text>
    </comment>
  </commentList>
</comments>
</file>

<file path=xl/sharedStrings.xml><?xml version="1.0" encoding="utf-8"?>
<sst xmlns="http://schemas.openxmlformats.org/spreadsheetml/2006/main" count="31994" uniqueCount="4915">
  <si>
    <t>Nome fantasia</t>
  </si>
  <si>
    <t>CNPJ/CPF</t>
  </si>
  <si>
    <t>Estado</t>
  </si>
  <si>
    <t>Vendedor do último pedido</t>
  </si>
  <si>
    <t>Data do último pedido</t>
  </si>
  <si>
    <t>Valor do último pedido</t>
  </si>
  <si>
    <t>Dias sem comprar</t>
  </si>
  <si>
    <t>Ciclo médio de compra</t>
  </si>
  <si>
    <t>Situação</t>
  </si>
  <si>
    <t>GRANUM CAFE</t>
  </si>
  <si>
    <t>18.010.232/0001-96</t>
  </si>
  <si>
    <t>SP</t>
  </si>
  <si>
    <t>Manu Ditzel</t>
  </si>
  <si>
    <t>11/09/2025</t>
  </si>
  <si>
    <t>Ativo</t>
  </si>
  <si>
    <t>ALICE NO PAIS DOS GRAOS COMERCIO DE ALIMENTOS</t>
  </si>
  <si>
    <t>41.626.544/0001-40</t>
  </si>
  <si>
    <t>RS</t>
  </si>
  <si>
    <t>Larissa Padilha</t>
  </si>
  <si>
    <t>10/09/2025</t>
  </si>
  <si>
    <t>INTENSE CACAU</t>
  </si>
  <si>
    <t>12.886.112/0001-70</t>
  </si>
  <si>
    <t>PR</t>
  </si>
  <si>
    <t>05/09/2025</t>
  </si>
  <si>
    <t>SOLAR PORTO DE GALINHAS</t>
  </si>
  <si>
    <t>08.895.369/0001-11</t>
  </si>
  <si>
    <t>PE</t>
  </si>
  <si>
    <t>ITALO ZILMER BEDERODE LTDA</t>
  </si>
  <si>
    <t>53.754.257/0001-03</t>
  </si>
  <si>
    <t>A CEREALISSIMA</t>
  </si>
  <si>
    <t>15.265.760/0001-06</t>
  </si>
  <si>
    <t>GO</t>
  </si>
  <si>
    <t>Central - Daiane</t>
  </si>
  <si>
    <t>04/09/2025</t>
  </si>
  <si>
    <t>ARMAZÉM ESTIVA</t>
  </si>
  <si>
    <t>38.614.942/0001-32</t>
  </si>
  <si>
    <t>RJ</t>
  </si>
  <si>
    <t>50.342.650 PRISCILA LILIANE ROSSETO</t>
  </si>
  <si>
    <t>50.342.650/0001-93</t>
  </si>
  <si>
    <t>BIO MUNDO GURUPI</t>
  </si>
  <si>
    <t>55.861.609/0001-47</t>
  </si>
  <si>
    <t>TO</t>
  </si>
  <si>
    <t>PUDIMZERA</t>
  </si>
  <si>
    <t>22.180.402/0001-58</t>
  </si>
  <si>
    <t>MINHA QUITANDINHA - AGUA VERDE - BLUMENAU</t>
  </si>
  <si>
    <t>54.729.143/0001-68</t>
  </si>
  <si>
    <t>SC</t>
  </si>
  <si>
    <t>LAURA ISABEL RICARDO OCHOA</t>
  </si>
  <si>
    <t>52.655.585/0001-81</t>
  </si>
  <si>
    <t>BA</t>
  </si>
  <si>
    <t>NATU &amp; FIT</t>
  </si>
  <si>
    <t>28.088.475/0001-09</t>
  </si>
  <si>
    <t>ES</t>
  </si>
  <si>
    <t>Helder Brunkow</t>
  </si>
  <si>
    <t>03/09/2025</t>
  </si>
  <si>
    <t>REDE NOVO TEMPO DE COMUNICACAO</t>
  </si>
  <si>
    <t>01.385.423/0001-30</t>
  </si>
  <si>
    <t>KUWADA COMPANIA LTDA</t>
  </si>
  <si>
    <t>18.997.672/0001-89</t>
  </si>
  <si>
    <t>MT</t>
  </si>
  <si>
    <t>02/09/2025</t>
  </si>
  <si>
    <t>HERTZ NUTRITION</t>
  </si>
  <si>
    <t>17.039.758/0001-36</t>
  </si>
  <si>
    <t>EMPORIO TRIBO VERDE</t>
  </si>
  <si>
    <t>48.391.847/0001-70</t>
  </si>
  <si>
    <t>PROSAUDE - NOVO PROGRESSO</t>
  </si>
  <si>
    <t>22.081.589/0001-32</t>
  </si>
  <si>
    <t>PA</t>
  </si>
  <si>
    <t>01/09/2025</t>
  </si>
  <si>
    <t>TEMPEROS &amp; MEL</t>
  </si>
  <si>
    <t>22.105.950/0001-13</t>
  </si>
  <si>
    <t>DF</t>
  </si>
  <si>
    <t>29/08/2025</t>
  </si>
  <si>
    <t>KLOSTERMANN NUTRICAO</t>
  </si>
  <si>
    <t>58.072.623/0001-50</t>
  </si>
  <si>
    <t>MERCADO FERREIRA</t>
  </si>
  <si>
    <t>14.419.497/0001-91</t>
  </si>
  <si>
    <t>VIDA LEVE CANOAS</t>
  </si>
  <si>
    <t>60.821.190/0001-30</t>
  </si>
  <si>
    <t>VIDA LEVE - CHAPADAO</t>
  </si>
  <si>
    <t>61.327.765/0001-25</t>
  </si>
  <si>
    <t>NATURALIS PRODUTOS NATURAIS</t>
  </si>
  <si>
    <t>31.545.180/0001-10</t>
  </si>
  <si>
    <t>28/08/2025</t>
  </si>
  <si>
    <t>EMPORIO GAMBOA - ESPECIARIAS E PRODUTOS NATURAIS</t>
  </si>
  <si>
    <t>23.143.632/0001-00</t>
  </si>
  <si>
    <t>SHOPPING NATURAL</t>
  </si>
  <si>
    <t>15.428.647/0001-96</t>
  </si>
  <si>
    <t>TROPICAL SUPERMERCADOS</t>
  </si>
  <si>
    <t>23.014.826/0001-05</t>
  </si>
  <si>
    <t>DESTAQUE SHAPE</t>
  </si>
  <si>
    <t>59.794.577/0001-65</t>
  </si>
  <si>
    <t>NATUREZA EM KILO</t>
  </si>
  <si>
    <t>00.211.115/0002-06</t>
  </si>
  <si>
    <t>CASA HIRATA - SUPERMERCADO</t>
  </si>
  <si>
    <t>55.615.538/0002-83</t>
  </si>
  <si>
    <t>27/08/2025</t>
  </si>
  <si>
    <t>SAFITA DOCES</t>
  </si>
  <si>
    <t>43.023.380/0001-92</t>
  </si>
  <si>
    <t>SUPERMERCADO MERCOCENTRO</t>
  </si>
  <si>
    <t>05.382.867/0001-72</t>
  </si>
  <si>
    <t>CONTORNO ARMAZEM</t>
  </si>
  <si>
    <t>29.466.137/0001-18</t>
  </si>
  <si>
    <t>NATHALIA DE JESUS SILVA COSTA LTDA</t>
  </si>
  <si>
    <t>59.244.884/0001-72</t>
  </si>
  <si>
    <t>WOLFI MACHINES</t>
  </si>
  <si>
    <t>61.932.319/0001-40</t>
  </si>
  <si>
    <t>MINI MERCADO FAMILIA</t>
  </si>
  <si>
    <t>35.743.795/0001-02</t>
  </si>
  <si>
    <t>FIT LAGES COMERCIO DE SUPLEMENTOS E PRODUTOS NATURAIS</t>
  </si>
  <si>
    <t>52.607.036/0001-31</t>
  </si>
  <si>
    <t>26/08/2025</t>
  </si>
  <si>
    <t>FIT SJB</t>
  </si>
  <si>
    <t>43.732.530/0001-37</t>
  </si>
  <si>
    <t>FITLAND BLUMENAU AGUA VERDE</t>
  </si>
  <si>
    <t>49.982.339/0001-20</t>
  </si>
  <si>
    <t>SUPERACAO &amp; VIDA SAUDAVEL</t>
  </si>
  <si>
    <t>34.060.666/0001-57</t>
  </si>
  <si>
    <t>NATERRA SLZ</t>
  </si>
  <si>
    <t>09.088.606/0001-03</t>
  </si>
  <si>
    <t>MA</t>
  </si>
  <si>
    <t>FIT NUTRICAO</t>
  </si>
  <si>
    <t>57.425.671/0001-11</t>
  </si>
  <si>
    <t>RAIZES E SABORES</t>
  </si>
  <si>
    <t>35.031.254/0001-51</t>
  </si>
  <si>
    <t>VIDA LEVE ESPECIARIAS</t>
  </si>
  <si>
    <t>32.203.302/0001-53</t>
  </si>
  <si>
    <t>POWER SUPLEMENTOS</t>
  </si>
  <si>
    <t>48.606.158/0001-36</t>
  </si>
  <si>
    <t>FRANQUIA FITLAND BLUMENAU</t>
  </si>
  <si>
    <t>40.917.018/0001-77</t>
  </si>
  <si>
    <t>25/08/2025</t>
  </si>
  <si>
    <t>BIO SC COMERCIO DE ALIMENTOS</t>
  </si>
  <si>
    <t>46.945.954/0001-78</t>
  </si>
  <si>
    <t>FRANQUIA FITLAND POMERODE</t>
  </si>
  <si>
    <t>55.717.635/0001-04</t>
  </si>
  <si>
    <t>SONIA IOLANDA DUARTE</t>
  </si>
  <si>
    <t>37.266.276/0001-26</t>
  </si>
  <si>
    <t>FIT &amp; GRANEL</t>
  </si>
  <si>
    <t>41.069.473/0001-22</t>
  </si>
  <si>
    <t>MG</t>
  </si>
  <si>
    <t>40.185.487 ANTONIO JURANDI DA SILVA</t>
  </si>
  <si>
    <t>40.185.487/0001-49</t>
  </si>
  <si>
    <t>MERCADO KRAU'S</t>
  </si>
  <si>
    <t>29.841.719/0001-37</t>
  </si>
  <si>
    <t>MS</t>
  </si>
  <si>
    <t>MUNDO FITNESS</t>
  </si>
  <si>
    <t>37.717.783/0001-39</t>
  </si>
  <si>
    <t>SACOLAO CURITIBA</t>
  </si>
  <si>
    <t>04.846.161/0001-51</t>
  </si>
  <si>
    <t>MARILIA RAFAELA FERREIRA DA LUZ LTDA</t>
  </si>
  <si>
    <t>61.746.555/0001-71</t>
  </si>
  <si>
    <t>BISTROZINHO INFANTIL</t>
  </si>
  <si>
    <t>52.575.072/0001-60</t>
  </si>
  <si>
    <t>PROSAUDE</t>
  </si>
  <si>
    <t>21.437.528/0001-00</t>
  </si>
  <si>
    <t>22/08/2025</t>
  </si>
  <si>
    <t>CECILIA DIAS SUPLEMENTOS</t>
  </si>
  <si>
    <t>54.679.245/0001-16</t>
  </si>
  <si>
    <t>DIVINA TERRA SORRISO</t>
  </si>
  <si>
    <t>50.772.174/0001-40</t>
  </si>
  <si>
    <t>21/08/2025</t>
  </si>
  <si>
    <t>VITA PRODUTOS NATURAIS</t>
  </si>
  <si>
    <t>16.762.003/0001-00</t>
  </si>
  <si>
    <t>MISTER GRAOS SS MOCOQUINHA LTDA</t>
  </si>
  <si>
    <t>58.434.075/0001-60</t>
  </si>
  <si>
    <t>JAQUELINE MACHADO COUTO 08791417600</t>
  </si>
  <si>
    <t>45.120.770/0001-06</t>
  </si>
  <si>
    <t>FORCE SUPLEMENTOS</t>
  </si>
  <si>
    <t>26.240.684/0002-73</t>
  </si>
  <si>
    <t>20/08/2025</t>
  </si>
  <si>
    <t>EMPORIO VIDA E SAUDE</t>
  </si>
  <si>
    <t>20.021.355/0001-74</t>
  </si>
  <si>
    <t>TICO AUTO POSTO LOBATO</t>
  </si>
  <si>
    <t>34.788.640/0001-20</t>
  </si>
  <si>
    <t>NUTRI LEVE</t>
  </si>
  <si>
    <t>12.659.548/0001-27</t>
  </si>
  <si>
    <t>19/08/2025</t>
  </si>
  <si>
    <t>CENTRAL ATACAREJO</t>
  </si>
  <si>
    <t>48.252.719/0001-46</t>
  </si>
  <si>
    <t>RAIZES COMERCIO DE PRODUTOS NATURAIS E INCLUSIVOS LTDA</t>
  </si>
  <si>
    <t>32.093.388/0001-09</t>
  </si>
  <si>
    <t>18/08/2025</t>
  </si>
  <si>
    <t>LM NUTRICAO BOMBINHAS</t>
  </si>
  <si>
    <t>54.904.619/0001-50</t>
  </si>
  <si>
    <t>15/08/2025</t>
  </si>
  <si>
    <t>EMPORIO POMAR URBANO</t>
  </si>
  <si>
    <t>22.332.946/0001-98</t>
  </si>
  <si>
    <t>48.097.578 SALAH UD DIN ALE CHARKIE</t>
  </si>
  <si>
    <t>48.097.578/0001-34</t>
  </si>
  <si>
    <t>SUPERMERCADO OFERTAO</t>
  </si>
  <si>
    <t>07.316.826/0001-03</t>
  </si>
  <si>
    <t>PADOCA DA BAXA</t>
  </si>
  <si>
    <t>55.906.608/0001-71</t>
  </si>
  <si>
    <t>NEM PEIXE</t>
  </si>
  <si>
    <t>56.608.812/0001-79</t>
  </si>
  <si>
    <t>SWEET AND FIT ATELIER</t>
  </si>
  <si>
    <t>37.370.567/0001-60</t>
  </si>
  <si>
    <t>14/08/2025</t>
  </si>
  <si>
    <t>LAKOSKI MERCEARIA SEM GLUTEN</t>
  </si>
  <si>
    <t>60.484.125/0001-66</t>
  </si>
  <si>
    <t>MENEGAZ SUPERMERCADO</t>
  </si>
  <si>
    <t>95.772.216/0001-81</t>
  </si>
  <si>
    <t>Mundo Verde Icaraí</t>
  </si>
  <si>
    <t>13.664.585/0001-96</t>
  </si>
  <si>
    <t>13/08/2025</t>
  </si>
  <si>
    <t>PONTO CERTO NATURAL</t>
  </si>
  <si>
    <t>15.626.213/0001-09</t>
  </si>
  <si>
    <t>AL</t>
  </si>
  <si>
    <t>NATURVIDA</t>
  </si>
  <si>
    <t>09.185.428/0004-73</t>
  </si>
  <si>
    <t>09.185.428/0001-20</t>
  </si>
  <si>
    <t>NATURVIDA MERCADO SAUDAVEL LTDA</t>
  </si>
  <si>
    <t>09.185.428/0003-92</t>
  </si>
  <si>
    <t>BV ALIMENTOS LTDA</t>
  </si>
  <si>
    <t>60.475.933/0001-67</t>
  </si>
  <si>
    <t>VIDA LEVE - SÃO JOSE DO RIO PRETO</t>
  </si>
  <si>
    <t>60.209.127/0001-47</t>
  </si>
  <si>
    <t>LUANA CRISTINA DE ANGELO VALVASSORI</t>
  </si>
  <si>
    <t>55.222.424/0001-92</t>
  </si>
  <si>
    <t>Lorrany</t>
  </si>
  <si>
    <t>JARDIM DAS ERVAS</t>
  </si>
  <si>
    <t>10.908.265/0010-37</t>
  </si>
  <si>
    <t>12/08/2025</t>
  </si>
  <si>
    <t>VERCATTO BOUTIQUE SÁUDAVEL</t>
  </si>
  <si>
    <t>41.711.232/0001-35</t>
  </si>
  <si>
    <t>VERCATTO - BARIGUI</t>
  </si>
  <si>
    <t>42.657.490/0001-43</t>
  </si>
  <si>
    <t>MUNDO VERDE FRIBURGO PRAÇA</t>
  </si>
  <si>
    <t>18.078.522/0001-71</t>
  </si>
  <si>
    <t>GRAO E VIDA TABOADO</t>
  </si>
  <si>
    <t>49.620.132/0001-05</t>
  </si>
  <si>
    <t>BEVILACQUA CEREAIS</t>
  </si>
  <si>
    <t>42.535.786/0001-91</t>
  </si>
  <si>
    <t>SR A GRANEL</t>
  </si>
  <si>
    <t>35.751.273/0001-52</t>
  </si>
  <si>
    <t>MOA EMPORIO</t>
  </si>
  <si>
    <t>52.035.194/0001-64</t>
  </si>
  <si>
    <t>VERCATTO BOUTIQUE - ALTO DA XV</t>
  </si>
  <si>
    <t>53.934.453/0001-51</t>
  </si>
  <si>
    <t>SALES SUPERMERCADO</t>
  </si>
  <si>
    <t>34.901.637/0001-70</t>
  </si>
  <si>
    <t>11/08/2025</t>
  </si>
  <si>
    <t>SIMPLES E SAUDAVEL COMERCIO PRODUTOS NATURAIS LTDA</t>
  </si>
  <si>
    <t>41.418.074/0001-20</t>
  </si>
  <si>
    <t>HIPER CORDEIRO JUA</t>
  </si>
  <si>
    <t>10.337.748/0001-38</t>
  </si>
  <si>
    <t>COMPLEX NUTRITION</t>
  </si>
  <si>
    <t>34.316.966/0001-54</t>
  </si>
  <si>
    <t>J&amp;D EMPORIO NATURAL</t>
  </si>
  <si>
    <t>57.609.668/0001-58</t>
  </si>
  <si>
    <t>CEREALISSIMA MGV</t>
  </si>
  <si>
    <t>28.825.262/0001-04</t>
  </si>
  <si>
    <t>08/08/2025</t>
  </si>
  <si>
    <t>E-labore</t>
  </si>
  <si>
    <t>13.495.805/0001-03</t>
  </si>
  <si>
    <t>ASSOCIACAO DE PAIS E AMIGOS DOS EXCEPCIONAIS DE S PAULO</t>
  </si>
  <si>
    <t>60.502.242/0001-05</t>
  </si>
  <si>
    <t>NOSSO GREEN MARKET</t>
  </si>
  <si>
    <t>52.916.686/0001-69</t>
  </si>
  <si>
    <t>VIPI SUPERMERCADOS E BONNO ATACADO E VAREJO</t>
  </si>
  <si>
    <t>78.516.440/0006-06</t>
  </si>
  <si>
    <t>07/08/2025</t>
  </si>
  <si>
    <t>PORTONUTRY ALIMENTACAO SAUDAVEL</t>
  </si>
  <si>
    <t>61.668.179/0001-44</t>
  </si>
  <si>
    <t>EMPORIO MULTI ARMAZEM</t>
  </si>
  <si>
    <t>59.182.148/0001-37</t>
  </si>
  <si>
    <t>DIVINA TERRA</t>
  </si>
  <si>
    <t>42.415.997/0001-90</t>
  </si>
  <si>
    <t>06/08/2025</t>
  </si>
  <si>
    <t>MUNDO VERDE VOCE MAIS SAUDAVEL</t>
  </si>
  <si>
    <t>28.019.593/0001-57</t>
  </si>
  <si>
    <t>MUNDO FIT</t>
  </si>
  <si>
    <t>29.402.498/0001-09</t>
  </si>
  <si>
    <t>CENTRAL SICREDI PR/SP/RJ</t>
  </si>
  <si>
    <t>80.230.774/0001-48</t>
  </si>
  <si>
    <t>SUPERMERCADO PEDROSA</t>
  </si>
  <si>
    <t>11.322.507/0001-88</t>
  </si>
  <si>
    <t>CARIMBO ACAI E BEBIDAS DO NORTE</t>
  </si>
  <si>
    <t>26.176.117/0001-14</t>
  </si>
  <si>
    <t>ACADEMIA LIFE ENERGY</t>
  </si>
  <si>
    <t>13.154.456/0002-39</t>
  </si>
  <si>
    <t>TERCEIRIZE FOODS</t>
  </si>
  <si>
    <t>07.192.414/0013-42</t>
  </si>
  <si>
    <t>DELICIAS TRIUNFAL</t>
  </si>
  <si>
    <t>79.725.255/0001-71</t>
  </si>
  <si>
    <t>05/08/2025</t>
  </si>
  <si>
    <t>MAIS NATURAL COMERCIO DE PRODUTOS NATURAIS</t>
  </si>
  <si>
    <t>17.880.439/0002-30</t>
  </si>
  <si>
    <t>NICE STORE PRESENTES</t>
  </si>
  <si>
    <t>32.940.804/0001-67</t>
  </si>
  <si>
    <t>MJ PRODUTOS NATURAIS</t>
  </si>
  <si>
    <t>60.670.819/0001-98</t>
  </si>
  <si>
    <t>49.844.222 LUIS CARLOS VIEIRA</t>
  </si>
  <si>
    <t>49.844.222/0001-80</t>
  </si>
  <si>
    <t>04/08/2025</t>
  </si>
  <si>
    <t>FIT PELOTAS</t>
  </si>
  <si>
    <t>47.766.246/0001-32</t>
  </si>
  <si>
    <t>31/07/2025</t>
  </si>
  <si>
    <t>47.766.246/0002-13</t>
  </si>
  <si>
    <t>BATEL GOURMET HORTIFRUTI E EMPORIO</t>
  </si>
  <si>
    <t>30.289.781/0001-47</t>
  </si>
  <si>
    <t>RAYNARA PAULINA ROCHA FRANCO - JUSTGO</t>
  </si>
  <si>
    <t>61.819.408/0001-84</t>
  </si>
  <si>
    <t>POSTO LP</t>
  </si>
  <si>
    <t>03.207.136/0001-65</t>
  </si>
  <si>
    <t>VILLA HORTIFRUTI</t>
  </si>
  <si>
    <t>22.787.082/0001-07</t>
  </si>
  <si>
    <t>30/07/2025</t>
  </si>
  <si>
    <t>FAZENDINHA SALU.D LTDA</t>
  </si>
  <si>
    <t>45.100.604/0001-48</t>
  </si>
  <si>
    <t>REI DO NORTE PRODUTOS ALIMENTICIOS LTDA</t>
  </si>
  <si>
    <t>32.293.063/0001-70</t>
  </si>
  <si>
    <t>FRANQUIA FITLAND TIMBO</t>
  </si>
  <si>
    <t>53.304.073/0001-33</t>
  </si>
  <si>
    <t>29/07/2025</t>
  </si>
  <si>
    <t>CANTINA DA NUTRI</t>
  </si>
  <si>
    <t>39.579.910/0001-06</t>
  </si>
  <si>
    <t>FIBRA ALIMENTOS</t>
  </si>
  <si>
    <t>08.226.720/0001-81</t>
  </si>
  <si>
    <t>MINI MERCADO - RENATA</t>
  </si>
  <si>
    <t>33.589.783/0001-40</t>
  </si>
  <si>
    <t>FITIBU</t>
  </si>
  <si>
    <t>61.030.585/0001-87</t>
  </si>
  <si>
    <t xml:space="preserve"> EMPORIUM GRÃOS E ESPECIARIAS LTDA</t>
  </si>
  <si>
    <t>06.202.229/0001-95</t>
  </si>
  <si>
    <t>FRANCIJANE MARQUES LEAL</t>
  </si>
  <si>
    <t>57.320.249/0001-00</t>
  </si>
  <si>
    <t>PI</t>
  </si>
  <si>
    <t>VIDA LEVE BARIGUI</t>
  </si>
  <si>
    <t>54.423.411/0001-19</t>
  </si>
  <si>
    <t>MODESTA VEGANA</t>
  </si>
  <si>
    <t>36.093.651/0001-10</t>
  </si>
  <si>
    <t>28/07/2025</t>
  </si>
  <si>
    <t>RIKATI PRODUTOS NATURAIS</t>
  </si>
  <si>
    <t>59.876.252/0001-21</t>
  </si>
  <si>
    <t>25/07/2025</t>
  </si>
  <si>
    <t>MAGOGA HORTIFRUTI LTDA</t>
  </si>
  <si>
    <t>54.211.982/0001-90</t>
  </si>
  <si>
    <t>DS NUTRICAO</t>
  </si>
  <si>
    <t>53.266.705/0002-00</t>
  </si>
  <si>
    <t>O2 NUTRICAO LTDA</t>
  </si>
  <si>
    <t>53.413.839/0001-18</t>
  </si>
  <si>
    <t>58.188.486 TERESINHA PEREIRA DA SILVA NETA</t>
  </si>
  <si>
    <t>58.188.486/0001-13</t>
  </si>
  <si>
    <t>CIA DA SAUDE INDAIAL</t>
  </si>
  <si>
    <t>45.161.877/0001-00</t>
  </si>
  <si>
    <t>24/07/2025</t>
  </si>
  <si>
    <t>BELLA VITA - CAFE</t>
  </si>
  <si>
    <t>39.251.980/0001-30</t>
  </si>
  <si>
    <t>AMME NATURA</t>
  </si>
  <si>
    <t>60.023.278/0001-06</t>
  </si>
  <si>
    <t>EXPRESSO CEREALISTA</t>
  </si>
  <si>
    <t>49.366.518/0001-32</t>
  </si>
  <si>
    <t>22/07/2025</t>
  </si>
  <si>
    <t>BCG ALIMENTOS</t>
  </si>
  <si>
    <t>37.974.794/0001-02</t>
  </si>
  <si>
    <t>Nutrindo+</t>
  </si>
  <si>
    <t>60.641.605/0001-93</t>
  </si>
  <si>
    <t>CHOKOLATEN</t>
  </si>
  <si>
    <t>41.887.017/0001-90</t>
  </si>
  <si>
    <t>ARMAZEM SAO JUDAS TADEU</t>
  </si>
  <si>
    <t>46.992.372/0001-42</t>
  </si>
  <si>
    <t>21/07/2025</t>
  </si>
  <si>
    <t>ABTM LTDA</t>
  </si>
  <si>
    <t>45.345.641/0001-16</t>
  </si>
  <si>
    <t>HBA DISTRIBUIDORA LTDA</t>
  </si>
  <si>
    <t>59.460.012/0001-41</t>
  </si>
  <si>
    <t>PETIT MERCADO RECIFE</t>
  </si>
  <si>
    <t>42.045.188/0001-34</t>
  </si>
  <si>
    <t>18/07/2025</t>
  </si>
  <si>
    <t>TRILHAS DA AMAZONIA</t>
  </si>
  <si>
    <t>57.185.527/0001-55</t>
  </si>
  <si>
    <t>MARLUCE VIEIRA VASQUES</t>
  </si>
  <si>
    <t>08.452.814/0001-79</t>
  </si>
  <si>
    <t>17/07/2025</t>
  </si>
  <si>
    <t>SABOR DA ROCA EMPORIO</t>
  </si>
  <si>
    <t>48.681.846/0001-60</t>
  </si>
  <si>
    <t>SAGAZ E DAMAZIO</t>
  </si>
  <si>
    <t>61.357.031/0001-99</t>
  </si>
  <si>
    <t>GRAO VIDA</t>
  </si>
  <si>
    <t>31.599.810/0001-30</t>
  </si>
  <si>
    <t>16/07/2025</t>
  </si>
  <si>
    <t>ARMAZEM DA 18</t>
  </si>
  <si>
    <t>21.691.717/0001-05</t>
  </si>
  <si>
    <t>HS NUTRICAO</t>
  </si>
  <si>
    <t>60.183.440/0001-53</t>
  </si>
  <si>
    <t>15/07/2025</t>
  </si>
  <si>
    <t>55.274.946 MARCELO FERREIRA BASTOS JUNIOR</t>
  </si>
  <si>
    <t>55.274.946/0001-38</t>
  </si>
  <si>
    <t>14/07/2025</t>
  </si>
  <si>
    <t>SUPERMERCADOS MACHADO</t>
  </si>
  <si>
    <t>03.790.904/0001-56</t>
  </si>
  <si>
    <t>MACHADAO ATACADISTA</t>
  </si>
  <si>
    <t>03.790.904/0004-07</t>
  </si>
  <si>
    <t>03.790.904/0005-80</t>
  </si>
  <si>
    <t>13.338.712/0002-48</t>
  </si>
  <si>
    <t>13.338.712/0004-00</t>
  </si>
  <si>
    <t>ARROBA EMBALAGENS LTDA</t>
  </si>
  <si>
    <t>03.411.217/0001-82</t>
  </si>
  <si>
    <t>NATURE PRODUTOS NATURAIS</t>
  </si>
  <si>
    <t>46.814.160/0001-75</t>
  </si>
  <si>
    <t>11/07/2025</t>
  </si>
  <si>
    <t>Inativo recente</t>
  </si>
  <si>
    <t>QUINOA NATURAL - CAMPINAS</t>
  </si>
  <si>
    <t>27.433.919/0001-25</t>
  </si>
  <si>
    <t>BRCOMBOS ALIMENTACAO</t>
  </si>
  <si>
    <t>33.463.112/0001-38</t>
  </si>
  <si>
    <t>TP NUTRICAO</t>
  </si>
  <si>
    <t>48.486.297/0001-73</t>
  </si>
  <si>
    <t>09/07/2025</t>
  </si>
  <si>
    <t>IMPERIUM SAUDAVEL</t>
  </si>
  <si>
    <t>41.920.449/0001-55</t>
  </si>
  <si>
    <t>07/07/2025</t>
  </si>
  <si>
    <t>PIQUINIQUE FRESH FOOD LTDA</t>
  </si>
  <si>
    <t>31.727.331/0001-51</t>
  </si>
  <si>
    <t>04/07/2025</t>
  </si>
  <si>
    <t>RADISSON HOTEL CURITIBA</t>
  </si>
  <si>
    <t>03.554.611/0003-31</t>
  </si>
  <si>
    <t>03/07/2025</t>
  </si>
  <si>
    <t>CASA MISSÃO</t>
  </si>
  <si>
    <t>07.621.230/0001-17</t>
  </si>
  <si>
    <t>02/07/2025</t>
  </si>
  <si>
    <t>NATURALLE EMPORIO</t>
  </si>
  <si>
    <t>31.921.194/0001-91</t>
  </si>
  <si>
    <t>30/06/2025</t>
  </si>
  <si>
    <t>GC NATURALIS</t>
  </si>
  <si>
    <t>54.801.197/0001-97</t>
  </si>
  <si>
    <t>S&amp;P NUTRICAO VIDA E SAUDE</t>
  </si>
  <si>
    <t>52.923.234/0001-04</t>
  </si>
  <si>
    <t>RAW MARKET ALIMENTOS SAUDAVEIS</t>
  </si>
  <si>
    <t>40.607.315/0001-16</t>
  </si>
  <si>
    <t>BESCO</t>
  </si>
  <si>
    <t>14.133.092/0001-92</t>
  </si>
  <si>
    <t>SUPERMERCADO REDEPAS</t>
  </si>
  <si>
    <t>04.755.895/0001-25</t>
  </si>
  <si>
    <t>SUPERMERCADO SERVE BEM</t>
  </si>
  <si>
    <t>02.672.868/0001-63</t>
  </si>
  <si>
    <t>COMERCIAL JD</t>
  </si>
  <si>
    <t>07.523.884/0001-08</t>
  </si>
  <si>
    <t>ARMAZEM GIRASSOL COMERCIO DE ALIMENTOS LTDA</t>
  </si>
  <si>
    <t>17.641.819/0001-30</t>
  </si>
  <si>
    <t>RO</t>
  </si>
  <si>
    <t>27/06/2025</t>
  </si>
  <si>
    <t>TERRITORIO SAUDE CABRAL</t>
  </si>
  <si>
    <t>58.820.609/0001-97</t>
  </si>
  <si>
    <t>TERRITORIO SAUDE SJP</t>
  </si>
  <si>
    <t>59.394.889/0001-81</t>
  </si>
  <si>
    <t>PRO FIT SUPLEMENTOS</t>
  </si>
  <si>
    <t>57.701.048/0001-44</t>
  </si>
  <si>
    <t>LF NUTRI VIDA</t>
  </si>
  <si>
    <t>53.918.909/0001-90</t>
  </si>
  <si>
    <t>26/06/2025</t>
  </si>
  <si>
    <t>L &amp; M NUTRICAO</t>
  </si>
  <si>
    <t>52.261.228/0002-10</t>
  </si>
  <si>
    <t>EMPÓRIO GAIA</t>
  </si>
  <si>
    <t>28.180.051/0001-61</t>
  </si>
  <si>
    <t>ROCHA NUTRICAO</t>
  </si>
  <si>
    <t>53.357.667/0002-93</t>
  </si>
  <si>
    <t>CANTINA UNIVERSITARIO</t>
  </si>
  <si>
    <t>01.665.966/0001-00</t>
  </si>
  <si>
    <t>53.266.705/0001-11</t>
  </si>
  <si>
    <t>53.357.667/0001-02</t>
  </si>
  <si>
    <t>AR NUTRICAO</t>
  </si>
  <si>
    <t>53.192.289/0002-35</t>
  </si>
  <si>
    <t>MS NUTRICAO</t>
  </si>
  <si>
    <t>53.191.899/0001-33</t>
  </si>
  <si>
    <t>PACHECO FIT NUTRICAO</t>
  </si>
  <si>
    <t>53.773.154/0001-82</t>
  </si>
  <si>
    <t>MS NITRICAO</t>
  </si>
  <si>
    <t>53.191.899/0002-14</t>
  </si>
  <si>
    <t>25/06/2025</t>
  </si>
  <si>
    <t>53.111.830/0001-52</t>
  </si>
  <si>
    <t>FRAN FIT</t>
  </si>
  <si>
    <t>05.926.581/0001-00</t>
  </si>
  <si>
    <t>53.191.899/0003-03</t>
  </si>
  <si>
    <t>MUNDO VERDE</t>
  </si>
  <si>
    <t>72.500.887/0001-98</t>
  </si>
  <si>
    <t>KLOSTERMANN SUPLEMENTOS</t>
  </si>
  <si>
    <t>56.157.640/0001-64</t>
  </si>
  <si>
    <t>24/06/2025</t>
  </si>
  <si>
    <t>60.764.392 WELLINGTON LOPES PINHEIRO</t>
  </si>
  <si>
    <t>60.764.392/0001-97</t>
  </si>
  <si>
    <t>23/06/2025</t>
  </si>
  <si>
    <t>Inativo antigo</t>
  </si>
  <si>
    <t>LOJA MULTIBOM</t>
  </si>
  <si>
    <t>17.261.509/0018-39</t>
  </si>
  <si>
    <t>EMPORIO DOLL PRODUTOS NATURAIS</t>
  </si>
  <si>
    <t>33.778.381/0001-93</t>
  </si>
  <si>
    <t>20/06/2025</t>
  </si>
  <si>
    <t>EMPORIO NATU</t>
  </si>
  <si>
    <t>38.449.259/0001-97</t>
  </si>
  <si>
    <t>SAUDE TOTAL</t>
  </si>
  <si>
    <t>58.281.843/0001-93</t>
  </si>
  <si>
    <t>SOARES DISTRIBUIDORA</t>
  </si>
  <si>
    <t>34.924.371/0001-81</t>
  </si>
  <si>
    <t>CENTRAL SAO CARLOS DISTRIBUIDORA DE PRODUTOS NATURAIS E DIETETICOS LTDA</t>
  </si>
  <si>
    <t>00.815.797/0001-85</t>
  </si>
  <si>
    <t>AMME FIT NUTRICAO</t>
  </si>
  <si>
    <t>58.104.865/0001-88</t>
  </si>
  <si>
    <t>RAIZES DA VIDA PRODUTOS ORGANICOS E NATURAIS</t>
  </si>
  <si>
    <t>46.384.752/0001-02</t>
  </si>
  <si>
    <t>18/06/2025</t>
  </si>
  <si>
    <t>EMPORIO MAIS VIDA</t>
  </si>
  <si>
    <t>30.698.924/0001-74</t>
  </si>
  <si>
    <t>17/06/2025</t>
  </si>
  <si>
    <t>NATURHAUS</t>
  </si>
  <si>
    <t>08.626.347/0001-56</t>
  </si>
  <si>
    <t>16/06/2025</t>
  </si>
  <si>
    <t>EQUILLIBRIUN</t>
  </si>
  <si>
    <t>12.165.772/0001-62</t>
  </si>
  <si>
    <t>RN</t>
  </si>
  <si>
    <t>57.480.928 WESLLEY APARECIDO COSTA DA SILVA</t>
  </si>
  <si>
    <t>57.480.928/0001-38</t>
  </si>
  <si>
    <t>STYLO FARMA CURITIBA</t>
  </si>
  <si>
    <t>55.795.646/0001-02</t>
  </si>
  <si>
    <t>CHOCOLATES CASEIRO GAROPABA</t>
  </si>
  <si>
    <t>81.586.596/0001-55</t>
  </si>
  <si>
    <t>CORPUS SUPPLEMENTS NUTRICAO ESPORTIVA</t>
  </si>
  <si>
    <t>36.833.981/0001-03</t>
  </si>
  <si>
    <t>F. MATTOS DA SILVA</t>
  </si>
  <si>
    <t>54.943.813/0001-44</t>
  </si>
  <si>
    <t>RR</t>
  </si>
  <si>
    <t>12/06/2025</t>
  </si>
  <si>
    <t>FIT PEDRA BRANCA</t>
  </si>
  <si>
    <t>60.546.169/0001-73</t>
  </si>
  <si>
    <t>FRANQUIA FITLAND BLUMENAU SALTO WEISSBACH</t>
  </si>
  <si>
    <t>55.483.453/0001-08</t>
  </si>
  <si>
    <t>11/06/2025</t>
  </si>
  <si>
    <t>EMPORIO JAYA DISTRIBUICAO</t>
  </si>
  <si>
    <t>22.746.850/0001-76</t>
  </si>
  <si>
    <t>TOP FIT</t>
  </si>
  <si>
    <t>57.200.778/0001-61</t>
  </si>
  <si>
    <t>KORIN</t>
  </si>
  <si>
    <t>18.885.226/0001-82</t>
  </si>
  <si>
    <t>EMAGRECENTRO JUIZ DE FORA</t>
  </si>
  <si>
    <t>46.796.336/0001-03</t>
  </si>
  <si>
    <t>CAPITAL FITNESS - 2/3</t>
  </si>
  <si>
    <t>43.922.481/0002-86</t>
  </si>
  <si>
    <t>JARDIM DO GRANEL COMERCIO DE ALIMENTOS LTDA</t>
  </si>
  <si>
    <t>51.213.425/0001-10</t>
  </si>
  <si>
    <t>09/06/2025</t>
  </si>
  <si>
    <t>VIPI SUPERMARCADOS E BONNO ATACADO E VAREJO</t>
  </si>
  <si>
    <t>78.516.440/0004-36</t>
  </si>
  <si>
    <t>ATLAS BRASIL COMERCIALIZADORA DE ENERGIA S.A.</t>
  </si>
  <si>
    <t>24.337.192/0001-94</t>
  </si>
  <si>
    <t>GRANO &amp; VITA</t>
  </si>
  <si>
    <t>21.757.527/0001-35</t>
  </si>
  <si>
    <t>06/06/2025</t>
  </si>
  <si>
    <t>NUTRIBOM</t>
  </si>
  <si>
    <t>30.880.916/0001-44</t>
  </si>
  <si>
    <t>05/06/2025</t>
  </si>
  <si>
    <t>DROGARIA BARBOSA</t>
  </si>
  <si>
    <t>38.598.934/0001-40</t>
  </si>
  <si>
    <t>SUPERMERCADO COSER</t>
  </si>
  <si>
    <t>13.435.819/0001-23</t>
  </si>
  <si>
    <t>VIDA NA VIDA EMPORIO NATURAL</t>
  </si>
  <si>
    <t>39.565.216/0001-30</t>
  </si>
  <si>
    <t>04/06/2025</t>
  </si>
  <si>
    <t>MUITO MAIS</t>
  </si>
  <si>
    <t>03.300.974/0038-70</t>
  </si>
  <si>
    <t>VIVA PORTO DE GALINHAS RESORT</t>
  </si>
  <si>
    <t>00.939.085/0001-78</t>
  </si>
  <si>
    <t>VILLAGGIO VERDE MERCADO DE PRODUTOS NATURAIS</t>
  </si>
  <si>
    <t>58.831.467/0001-63</t>
  </si>
  <si>
    <t>02/06/2025</t>
  </si>
  <si>
    <t>MIL FOLHAS PREMIUM</t>
  </si>
  <si>
    <t>39.290.070/0001-67</t>
  </si>
  <si>
    <t>30/05/2025</t>
  </si>
  <si>
    <t>WILLIAN YUKIO ITO MARQUES 33406633862</t>
  </si>
  <si>
    <t>23.777.036/0001-81</t>
  </si>
  <si>
    <t>54.993.650 KELMA LIMA DA SILVA BORGES</t>
  </si>
  <si>
    <t>54.993.650/0001-04</t>
  </si>
  <si>
    <t>54.116.382/0001-42</t>
  </si>
  <si>
    <t>27/05/2025</t>
  </si>
  <si>
    <t>EMPORIO DA MATA PRODUTOS NATURAIS</t>
  </si>
  <si>
    <t>52.212.261/0001-79</t>
  </si>
  <si>
    <t>26/05/2025</t>
  </si>
  <si>
    <t>EMPÓRIO MANJERICÃO</t>
  </si>
  <si>
    <t>29.693.450/0001-99</t>
  </si>
  <si>
    <t>Leandro Garcia</t>
  </si>
  <si>
    <t>23/05/2025</t>
  </si>
  <si>
    <t>Saboramais Comercio de Alimentos Ltda.</t>
  </si>
  <si>
    <t>30.327.498/0001-62</t>
  </si>
  <si>
    <t>22/05/2025</t>
  </si>
  <si>
    <t>SUPERMERCADO TIO ANTONIO LTDA</t>
  </si>
  <si>
    <t>16.693.613/0003-53</t>
  </si>
  <si>
    <t>BIO MUNDO</t>
  </si>
  <si>
    <t>33.950.384/0001-62</t>
  </si>
  <si>
    <t>21/05/2025</t>
  </si>
  <si>
    <t>TERRITORIO SAUDE XV</t>
  </si>
  <si>
    <t>55.726.945/0001-87</t>
  </si>
  <si>
    <t>20/05/2025</t>
  </si>
  <si>
    <t>58.429.130/0001-24</t>
  </si>
  <si>
    <t>SHOPPER COMERCIO ALIMENTICIO LTDA</t>
  </si>
  <si>
    <t>24.583.557/0003-22</t>
  </si>
  <si>
    <t>SAUDE NOS ALIMENTOS</t>
  </si>
  <si>
    <t>40.053.395/0001-05</t>
  </si>
  <si>
    <t>19/05/2025</t>
  </si>
  <si>
    <t>ESMERALDA CARAGUATA</t>
  </si>
  <si>
    <t>06.905.607/0003-69</t>
  </si>
  <si>
    <t>CE.NHORINHA COZINHA FUNCIONAL</t>
  </si>
  <si>
    <t>38.272.246/0001-95</t>
  </si>
  <si>
    <t>16/05/2025</t>
  </si>
  <si>
    <t>UNIAO SUL BRASILEIRA DA IGREJA ADVENTISTA DO SETIMO DIA</t>
  </si>
  <si>
    <t>79.080.602/0001-56</t>
  </si>
  <si>
    <t>ASSOCIACAO DOS FENILCETONURICOS E HOMOCISTINURICOS DO PARANA - AFEH-PR</t>
  </si>
  <si>
    <t>72.326.119/0001-60</t>
  </si>
  <si>
    <t>CIA DA SAUDE - PRODUTOS NATURAIS</t>
  </si>
  <si>
    <t>22.570.775/0001-35</t>
  </si>
  <si>
    <t>15/05/2025</t>
  </si>
  <si>
    <t>EMPORIO VIDA VERDE</t>
  </si>
  <si>
    <t>50.126.687/0001-84</t>
  </si>
  <si>
    <t>13/05/2025</t>
  </si>
  <si>
    <t>+VERDE</t>
  </si>
  <si>
    <t>58.249.963/0001-03</t>
  </si>
  <si>
    <t>REDE BARÃO REDENTORA SJP</t>
  </si>
  <si>
    <t>75.176.859/0003-17</t>
  </si>
  <si>
    <t>Julio Gadret</t>
  </si>
  <si>
    <t>12/05/2025</t>
  </si>
  <si>
    <t>SUPERMERCADOS OSANA</t>
  </si>
  <si>
    <t>06.982.791/0001-89</t>
  </si>
  <si>
    <t>SAINT CLAIRE BAKERY</t>
  </si>
  <si>
    <t>31.833.282/0001-31</t>
  </si>
  <si>
    <t>10/05/2025</t>
  </si>
  <si>
    <t>DIVINA TERRA XANXERE</t>
  </si>
  <si>
    <t>55.666.250/0001-57</t>
  </si>
  <si>
    <t>08/05/2025</t>
  </si>
  <si>
    <t>J F COMERCIO DE ALIMENTOS LTDA</t>
  </si>
  <si>
    <t>49.639.041/0001-11</t>
  </si>
  <si>
    <t>BIO MUNDO ARAGUAINA</t>
  </si>
  <si>
    <t>50.860.678/0001-12</t>
  </si>
  <si>
    <t>26.225.527/0001-08</t>
  </si>
  <si>
    <t>06/05/2025</t>
  </si>
  <si>
    <t>HIPER DOCE SAQUAREMA</t>
  </si>
  <si>
    <t>42.502.454/0001-00</t>
  </si>
  <si>
    <t>REDE HIPER GRAOS RIO DAS OSTRAS LTDA</t>
  </si>
  <si>
    <t>50.324.818/0001-38</t>
  </si>
  <si>
    <t>REDE HIPER GRAOS RODOVIARIA RJ COMERCIO LTDA</t>
  </si>
  <si>
    <t>48.506.346/0001-92</t>
  </si>
  <si>
    <t xml:space="preserve">GRÃO SAÚDE </t>
  </si>
  <si>
    <t>41.610.352/0001-46</t>
  </si>
  <si>
    <t>SJ INDUSTRIA DA PANIFICACAO LTDA</t>
  </si>
  <si>
    <t>06.938.837/0001-62</t>
  </si>
  <si>
    <t>05/05/2025</t>
  </si>
  <si>
    <t>POSTO SALVARO CASIL</t>
  </si>
  <si>
    <t>28.239.223/0001-25</t>
  </si>
  <si>
    <t>POSTO SALVARO JLS</t>
  </si>
  <si>
    <t>34.159.229/0001-95</t>
  </si>
  <si>
    <t>AUTO POSTO AFONSO PENA LTDA</t>
  </si>
  <si>
    <t>43.691.842/0001-40</t>
  </si>
  <si>
    <t>POSTO AVENTADOR</t>
  </si>
  <si>
    <t>28.998.910/0001-24</t>
  </si>
  <si>
    <t>56.237.854 SAMUELL CARVALHO LUCIANO</t>
  </si>
  <si>
    <t>56.237.854/0001-40</t>
  </si>
  <si>
    <t>02/05/2025</t>
  </si>
  <si>
    <t>BORGER &amp; DOMINGUES LTDA</t>
  </si>
  <si>
    <t>53.454.684/0001-68</t>
  </si>
  <si>
    <t>ESMERALDA JARDIM PAULISTA</t>
  </si>
  <si>
    <t>06.905.607/0004-40</t>
  </si>
  <si>
    <t>29/04/2025</t>
  </si>
  <si>
    <t xml:space="preserve">ESMERALDA SÃO JOSÉ </t>
  </si>
  <si>
    <t>06.905.607/0005-20</t>
  </si>
  <si>
    <t>ESMERALDA RIO BONITO</t>
  </si>
  <si>
    <t>06.905.607/0001-05</t>
  </si>
  <si>
    <t xml:space="preserve">ESMERALDA MENINO DEUS </t>
  </si>
  <si>
    <t>06.905.607/0007-92</t>
  </si>
  <si>
    <t>ESMERALDA CONVENIENCIAS LTDA</t>
  </si>
  <si>
    <t>06.905.607/0006-01</t>
  </si>
  <si>
    <t>ESMERALDA OSORIO</t>
  </si>
  <si>
    <t>06.905.607/0002-88</t>
  </si>
  <si>
    <t>TRIP COMESTIVEIS E SERVICOS LTDA</t>
  </si>
  <si>
    <t>80.204.332/0001-27</t>
  </si>
  <si>
    <t>TRIP</t>
  </si>
  <si>
    <t>80.204.332/0002-08</t>
  </si>
  <si>
    <t>HABITTUDE</t>
  </si>
  <si>
    <t>44.238.838/0001-93</t>
  </si>
  <si>
    <t>28/04/2025</t>
  </si>
  <si>
    <t>VITALY'S ESPECIARIAS E EMBALAGENS</t>
  </si>
  <si>
    <t>07.750.414/0001-87</t>
  </si>
  <si>
    <t>25/04/2025</t>
  </si>
  <si>
    <t>EMPORIO MISO</t>
  </si>
  <si>
    <t>43.249.227/0001-88</t>
  </si>
  <si>
    <t>33.016.679/0001-66</t>
  </si>
  <si>
    <t>IMPORT LAND DOCES</t>
  </si>
  <si>
    <t>60.487.702/0001-73</t>
  </si>
  <si>
    <t>BIO GOIANIA SHOPPING</t>
  </si>
  <si>
    <t>54.126.104/0001-76</t>
  </si>
  <si>
    <t>22/04/2025</t>
  </si>
  <si>
    <t>40.724.765/0001-99</t>
  </si>
  <si>
    <t>17/04/2025</t>
  </si>
  <si>
    <t>BIO FORCE NATURAIS E SUPLEMENTOS LTDA</t>
  </si>
  <si>
    <t>22.853.928/0001-51</t>
  </si>
  <si>
    <t>14/04/2025</t>
  </si>
  <si>
    <t>SUPLEMENT WORLD SHOP LTDA</t>
  </si>
  <si>
    <t>61.401.282/0001-23</t>
  </si>
  <si>
    <t>10/04/2025</t>
  </si>
  <si>
    <t>EMPORIO AGORA ECO</t>
  </si>
  <si>
    <t>39.324.235/0001-74</t>
  </si>
  <si>
    <t>03/04/2025</t>
  </si>
  <si>
    <t>MIX TUDO COMERCIO DE ALIMENTOS E SERVICOS LTDA</t>
  </si>
  <si>
    <t>26.249.561/0004-65</t>
  </si>
  <si>
    <t>DELFINO FESTAS EMBALAGENS &amp; EQUIPAMENTOS</t>
  </si>
  <si>
    <t>26.593.516/0001-80</t>
  </si>
  <si>
    <t>CIA DA SAUDE CAMPINAS</t>
  </si>
  <si>
    <t>20.243.285/0001-07</t>
  </si>
  <si>
    <t>01/04/2025</t>
  </si>
  <si>
    <t>BEM NATURAL</t>
  </si>
  <si>
    <t>39.557.193/0001-11</t>
  </si>
  <si>
    <t>MAIS NATURAL</t>
  </si>
  <si>
    <t>30.112.498/0001-45</t>
  </si>
  <si>
    <t>31/03/2025</t>
  </si>
  <si>
    <t>LIDIANA APARECIDA DE ASSIS LUQUE</t>
  </si>
  <si>
    <t>36.213.071/0001-10</t>
  </si>
  <si>
    <t>SUPER PILOES</t>
  </si>
  <si>
    <t>37.015.609/0001-44</t>
  </si>
  <si>
    <t>26/03/2025</t>
  </si>
  <si>
    <t>50.620.234 GEISIANE RODRIGUES MACHADO</t>
  </si>
  <si>
    <t>50.620.234/0001-00</t>
  </si>
  <si>
    <t>24/03/2025</t>
  </si>
  <si>
    <t>43.497.241 BIANCA PAIVA SOARES</t>
  </si>
  <si>
    <t>43.497.241/0001-09</t>
  </si>
  <si>
    <t>CE</t>
  </si>
  <si>
    <t>20/03/2025</t>
  </si>
  <si>
    <t>ENERGIZE PRODUTOS NATURAIS</t>
  </si>
  <si>
    <t>38.431.127/0001-38</t>
  </si>
  <si>
    <t>18/03/2025</t>
  </si>
  <si>
    <t>EMPORIO GRAOTERRA</t>
  </si>
  <si>
    <t>31.574.092/0001-47</t>
  </si>
  <si>
    <t>Redes e Franquias</t>
  </si>
  <si>
    <t>17/03/2025</t>
  </si>
  <si>
    <t>NUTRIR PRODUTOS NATURAIS</t>
  </si>
  <si>
    <t>27.376.725/0001-35</t>
  </si>
  <si>
    <t>13/03/2025</t>
  </si>
  <si>
    <t>Coluna1</t>
  </si>
  <si>
    <t xml:space="preserve">status </t>
  </si>
  <si>
    <t>ULTIMO CONTATO</t>
  </si>
  <si>
    <t>RESULTADO ATUAL</t>
  </si>
  <si>
    <t>AÇÃO</t>
  </si>
  <si>
    <t>Coluna12</t>
  </si>
  <si>
    <t>FOLLOW UP</t>
  </si>
  <si>
    <t>ATIVO</t>
  </si>
  <si>
    <t>INATIVO RECENTE</t>
  </si>
  <si>
    <t>INATIVO ANTIGO</t>
  </si>
  <si>
    <t>DATA</t>
  </si>
  <si>
    <t xml:space="preserve">NOME FANTASIA </t>
  </si>
  <si>
    <t>UF</t>
  </si>
  <si>
    <t xml:space="preserve">VENDEDOR DO ULTIMO PEDIDO </t>
  </si>
  <si>
    <t xml:space="preserve">DATA DE ULTIMO </t>
  </si>
  <si>
    <t xml:space="preserve">VALOR DE PEDIDO </t>
  </si>
  <si>
    <t>DIAS SEM COMPRAR</t>
  </si>
  <si>
    <t xml:space="preserve">CICLO MÉDIO DE COMPRA </t>
  </si>
  <si>
    <t>SITUAÇÃO</t>
  </si>
  <si>
    <t>STATUS</t>
  </si>
  <si>
    <t xml:space="preserve">WHATSAPP </t>
  </si>
  <si>
    <t>LIGAÇÃO</t>
  </si>
  <si>
    <t>LIGAÇÃO ATENDIDA</t>
  </si>
  <si>
    <t>TIPO AÇÃO</t>
  </si>
  <si>
    <t xml:space="preserve">TIPO DO CONTATO </t>
  </si>
  <si>
    <t xml:space="preserve">RESULTADO </t>
  </si>
  <si>
    <t>FOLLOW-UP</t>
  </si>
  <si>
    <t xml:space="preserve">MERCOS ATUALIZADO </t>
  </si>
  <si>
    <t xml:space="preserve">EXACTSALES  ATUALIZADO </t>
  </si>
  <si>
    <t>NOTA DO DIA  / AÇÃO</t>
  </si>
  <si>
    <t>SIM</t>
  </si>
  <si>
    <t>ATENDIMENTO CLIENTES INATIVOS</t>
  </si>
  <si>
    <t>VENDA</t>
  </si>
  <si>
    <t xml:space="preserve">RECOMPRA </t>
  </si>
  <si>
    <t>PROSPECÇÃO NOVOS CLIENTES</t>
  </si>
  <si>
    <t>NÃO</t>
  </si>
  <si>
    <t>ATENDIMENTO CLIENTES ATIVOS</t>
  </si>
  <si>
    <t xml:space="preserve">VENDA </t>
  </si>
  <si>
    <t>FAZER FOLLOW-UP</t>
  </si>
  <si>
    <t>RECEPTIVO</t>
  </si>
  <si>
    <t>RECUPERAÇÃO</t>
  </si>
  <si>
    <t>FEITO CONTATO, PARA RECUPERAÇÃO!</t>
  </si>
  <si>
    <t>PÓS VENDA / RELACIONAMENTO</t>
  </si>
  <si>
    <t>SUPORTE</t>
  </si>
  <si>
    <t>ENTREGA</t>
  </si>
  <si>
    <t>CLIENTE ESTAVA QUESTIONANDO SOBRE A ENTREGA, JÁ CHEGOU</t>
  </si>
  <si>
    <t>EM ATENDIMENTO</t>
  </si>
  <si>
    <t xml:space="preserve">FAZER  PÓS VENDA </t>
  </si>
  <si>
    <t>RECOMPRA</t>
  </si>
  <si>
    <t>REOMPRA PARA AS TRES UNIDADES</t>
  </si>
  <si>
    <t xml:space="preserve">NOTA DE DEVOLUÇAO </t>
  </si>
  <si>
    <t xml:space="preserve">PEDIDO FALTANDO ITENS </t>
  </si>
  <si>
    <t>CLIENTE JÁ MANDA PEDIDO PRONTO</t>
  </si>
  <si>
    <t>CD NÃO ESTAVA AUTORIZANDO ENTREGA, FOI RESOLVIDO. jÁ ESTÁ ENTREGUE</t>
  </si>
  <si>
    <t>FEITO RECOMPRA</t>
  </si>
  <si>
    <t>SAIDA DOS PRODUTOS</t>
  </si>
  <si>
    <t>FALOU QUE TEM UM POUCO DE TUDO</t>
  </si>
  <si>
    <t>CLIENTE TEM MUITO TEMPO SEM COMPRA, VENDO QUE PODE SER FEITO</t>
  </si>
  <si>
    <t>Daiane Stavicki</t>
  </si>
  <si>
    <t xml:space="preserve">Cliente precisa com urgencia do pedido, pois sumiu o pedido dele do sistema </t>
  </si>
  <si>
    <t xml:space="preserve">NOVO PEDIDO </t>
  </si>
  <si>
    <t>AINDA TEM ESTOQUE</t>
  </si>
  <si>
    <t>PERDA / NÃO VENDA</t>
  </si>
  <si>
    <t xml:space="preserve">LOJA FECHOU </t>
  </si>
  <si>
    <t>MENSAGEM</t>
  </si>
  <si>
    <t>VERIFICAR COM A CLIENTE SE A MESMA JÁ CONFERIU ESTOQUE</t>
  </si>
  <si>
    <t>VERIFICANDO SE CHEGOU PEDIDO DA CLIENTE</t>
  </si>
  <si>
    <t>PRIMEIRA COMPRA</t>
  </si>
  <si>
    <t>VERIFICAR SE ESTA PRECISANDO DE PRODUTOS</t>
  </si>
  <si>
    <t>VERIFICANDO SE CHEGOU TUDO CERTO</t>
  </si>
  <si>
    <t>CLIENTE VEIO DO SITE, TEM INTERESSE NOS PRODUTOS A GRANEL PARA MATERIA PRIMA</t>
  </si>
  <si>
    <t>PRIMEIRO PEDIDO</t>
  </si>
  <si>
    <t>QUESTIONANDO SE CHEGOU TUDO CERTO</t>
  </si>
  <si>
    <t>RECOMPRA/ CLIENTE DE VISITA</t>
  </si>
  <si>
    <t>RETORNO</t>
  </si>
  <si>
    <t>VERIFICAR SE O CLIENTE NÃO PRECISA DE PRODUTOS</t>
  </si>
  <si>
    <t>ESTOQUE</t>
  </si>
  <si>
    <t xml:space="preserve">CLEINTE TINHA PEDIDO MUITO PEQUENO NÃO DAVA O MINIMO, VERIICANDO AGORA </t>
  </si>
  <si>
    <t xml:space="preserve">CLIENTE TINHA PEDIDO RETORNO AGUARDANDO </t>
  </si>
  <si>
    <t>CONTATOS PASSIVO / SUPORTE</t>
  </si>
  <si>
    <t>RASTREIO</t>
  </si>
  <si>
    <t>GRANO DI FELICITÁ</t>
  </si>
  <si>
    <t>50.853.004/0001-90</t>
  </si>
  <si>
    <t>CLIENTE MUITO ANTIGO, FICOU SEM ATENDIMENTO DEVIDO A ALTA DEMANDA</t>
  </si>
  <si>
    <t>QUESTAO DE GOSTO</t>
  </si>
  <si>
    <t>04.048.449/0001-80</t>
  </si>
  <si>
    <t>CLIENTE LIGOU POIS TEM UMA CASA DE PRODUTOS NATURAIS</t>
  </si>
  <si>
    <t>COMPANHIA TERMA DO RIO QUENTE</t>
  </si>
  <si>
    <t>01.540.533/0001-29</t>
  </si>
  <si>
    <t>AMOSTRAS</t>
  </si>
  <si>
    <t>NENHUM RETORNO PARA VENDA, AINDA NÃO TEM DEMANDA</t>
  </si>
  <si>
    <t xml:space="preserve">SIRSI </t>
  </si>
  <si>
    <t xml:space="preserve">CLIENTE QUER A TAMARA COM CHOCOLATE </t>
  </si>
  <si>
    <t>EMBALEME</t>
  </si>
  <si>
    <t>00.458.459/0001-33</t>
  </si>
  <si>
    <t xml:space="preserve">Manu Ditzel </t>
  </si>
  <si>
    <t>AGUARDANDO RETORNO DO ORÇAMENTO</t>
  </si>
  <si>
    <t xml:space="preserve">PRECISA PASSAR OS PREÇOS DOS NOSSOS PROD A GRANEIS </t>
  </si>
  <si>
    <t>KF - COMPRAS ANDRE</t>
  </si>
  <si>
    <t>NÃO TIVE MAIS RETORNO</t>
  </si>
  <si>
    <t>JSC COMERCIO LTDA</t>
  </si>
  <si>
    <t>57.609.477/0001-96</t>
  </si>
  <si>
    <t>REDE QUITANDINHA</t>
  </si>
  <si>
    <t>VENDA REDE MINHA QUITANDINHA</t>
  </si>
  <si>
    <t>ERICA BALDIN</t>
  </si>
  <si>
    <t>ORÇAMENTO</t>
  </si>
  <si>
    <t>LICITAÇÃO</t>
  </si>
  <si>
    <t>F &amp; G VITALIDADE NATURAL </t>
  </si>
  <si>
    <t>58.319.253/0001-02</t>
  </si>
  <si>
    <t>E-COMMERCE EM ANDAMENTO</t>
  </si>
  <si>
    <t>VARIOS ORÇAMENTOS</t>
  </si>
  <si>
    <t>PESQUISA DE MERCADO</t>
  </si>
  <si>
    <t>RECOMPRA SOMENTE PARA UMA UNIDADE</t>
  </si>
  <si>
    <t>PRO ABELHA</t>
  </si>
  <si>
    <t>31.983.992/0001-48</t>
  </si>
  <si>
    <t>CADASTRO</t>
  </si>
  <si>
    <t>EM CADASTRO</t>
  </si>
  <si>
    <t>INOVASMART SOLUTIONS LTDA</t>
  </si>
  <si>
    <t>59.087.175/0001-20</t>
  </si>
  <si>
    <t>MAIARA LORCA DE OLIVEIRA</t>
  </si>
  <si>
    <t>PROBLEMAS COM PRODUTOS</t>
  </si>
  <si>
    <t>CHEGOU TAMARAS COM VENCIMENTO MUITO PROXIMO</t>
  </si>
  <si>
    <t>ESSENCIAS E FESTAS CONFEITARIA</t>
  </si>
  <si>
    <t>46.894.141/0001-04</t>
  </si>
  <si>
    <t>SIMPLES E SAUDAVEL</t>
  </si>
  <si>
    <t xml:space="preserve">PROBLEMAS COM ENTREGA, CLIENTE PEDIU CHOCOLATE VEG E FOI NORMAL, ERRO INTERNO NOSSO </t>
  </si>
  <si>
    <t>CHEGOU XAROPE TAMARAS COM VENCIMENTO MUITO PROXIMO</t>
  </si>
  <si>
    <t>SUPERMERCADO CASTILHO DE CAFELANDIA LTDA</t>
  </si>
  <si>
    <t>PEDIDO DELE ESTA COBRANDO FRETE, TENTANDO AUMENTAR PARA IR COMO CIF</t>
  </si>
  <si>
    <t>GENESIO</t>
  </si>
  <si>
    <t>51.599.613/0001-28</t>
  </si>
  <si>
    <t>LIGADOPARA AUXILIO NO LINK DO CARTÃO</t>
  </si>
  <si>
    <t>AGUARDANDO APROVAÇÃO DO ORÇAMENTO</t>
  </si>
  <si>
    <t>CB CURITIBA COMERCIO DE ALIMENTOS</t>
  </si>
  <si>
    <t>23.502.037/0001-13</t>
  </si>
  <si>
    <t>TRANFERIDO ATENDIMENTO</t>
  </si>
  <si>
    <t>CLIENTE DA JOICE, ENTROU EM CONTATO ... JÁ TRANSFERIDO</t>
  </si>
  <si>
    <t>LIGAR</t>
  </si>
  <si>
    <t>UPORTE PAGAMENTO</t>
  </si>
  <si>
    <t>CLIENTE DIFICIL, QUER MUITAS BONIFICAÇÕES E NÃO TEMOS ESSAS AUTORIZAÇÃO E TAMBEM NÃO TEM VOL,UMETRIA DO PEDIDO</t>
  </si>
  <si>
    <t>AGUARDANDO CLIENTE</t>
  </si>
  <si>
    <t>ESTA VERIFIANDO O ESTOQUE, AGUARDANDO</t>
  </si>
  <si>
    <t>SUBIR PEDIDO SEGUNDA FEIRA</t>
  </si>
  <si>
    <t>CLIENTE INATIVO</t>
  </si>
  <si>
    <t>ULTIMAS TENTATIVAS</t>
  </si>
  <si>
    <t xml:space="preserve">CLIENTE NÃO DA RETORNO, FEITO TODAS AS MANEIRAS </t>
  </si>
  <si>
    <t>DIFICULDADE DE COMPREENSÃO</t>
  </si>
  <si>
    <t>QUERIA NF E RASTREIO</t>
  </si>
  <si>
    <t xml:space="preserve">MINI MERCADO - </t>
  </si>
  <si>
    <t>COBRANDO PAGAMENTO DE ORÇAMENTO</t>
  </si>
  <si>
    <t>SUPER MASSA</t>
  </si>
  <si>
    <t>PRECISA DE VISITA PRESENCIAL</t>
  </si>
  <si>
    <t>POSTOS LP</t>
  </si>
  <si>
    <t xml:space="preserve">VARIEDEX </t>
  </si>
  <si>
    <t>LEAD</t>
  </si>
  <si>
    <t>EMPORIO GAIA</t>
  </si>
  <si>
    <t>C J LIFE LTDA - ME</t>
  </si>
  <si>
    <t>58.258.680/0001-28</t>
  </si>
  <si>
    <t>CLIENTE REDE VIDA LEVE ESTA PARA INAUGURAR, VENDO COM O JEAN</t>
  </si>
  <si>
    <t>CATIMBAU</t>
  </si>
  <si>
    <t>47.725.529/0001-36</t>
  </si>
  <si>
    <t>BASE TOTAL</t>
  </si>
  <si>
    <t>NOVOS CLIENTES 30 DIAS</t>
  </si>
  <si>
    <t>CLIENTES ATIVOS</t>
  </si>
  <si>
    <t>CLIENTES INATIVOS RECENTE</t>
  </si>
  <si>
    <t>CLIENTES INATIVO ANTIGO</t>
  </si>
  <si>
    <t>POSITIVAÇÃO ATIVA</t>
  </si>
  <si>
    <t>POSITIVAÇAO PASSIVA</t>
  </si>
  <si>
    <t xml:space="preserve">TOTAL </t>
  </si>
  <si>
    <t>Puxar direto do Mercos / exact</t>
  </si>
  <si>
    <t>NOME FANTASIA</t>
  </si>
  <si>
    <t>CNPJ</t>
  </si>
  <si>
    <t>VENDEDOR</t>
  </si>
  <si>
    <t>R$ - ULTIMO PEDIDO</t>
  </si>
  <si>
    <t>CICLO MÉDIO</t>
  </si>
  <si>
    <t>DATA ULTIMA VENDA</t>
  </si>
  <si>
    <t>SITUAÇÃO  ATUAL</t>
  </si>
  <si>
    <t>NÃO ATENDE</t>
  </si>
  <si>
    <t>RECUSOU LIGAÇÃO</t>
  </si>
  <si>
    <t>NÃO RESPONDE</t>
  </si>
  <si>
    <t>PERIODO</t>
  </si>
  <si>
    <t>Time</t>
  </si>
  <si>
    <t>TIPO DO CONTATO</t>
  </si>
  <si>
    <t>TOTAL</t>
  </si>
  <si>
    <t>CONTATOS REALIZADOS</t>
  </si>
  <si>
    <t>FUNIL DE VENDA</t>
  </si>
  <si>
    <t>RELACIONAMENTO</t>
  </si>
  <si>
    <t>NÃO VENDA</t>
  </si>
  <si>
    <t>CONTATO WHATSAPP</t>
  </si>
  <si>
    <t>LIGAÇÃO REALIZADAS</t>
  </si>
  <si>
    <t>LIGAÇÕES ATENDIDAS</t>
  </si>
  <si>
    <t>LIGAÇÕES NÃO ATENDIDAS</t>
  </si>
  <si>
    <t>ENVIO DE MATERIAL - MKT</t>
  </si>
  <si>
    <t>TEMPO ULTIMA VENDA</t>
  </si>
  <si>
    <t>RESULTADO DO CONTATO</t>
  </si>
  <si>
    <t>EM RISCO</t>
  </si>
  <si>
    <t>NOVO</t>
  </si>
  <si>
    <t>PROSPECT</t>
  </si>
  <si>
    <t>LEAD (DAI)</t>
  </si>
  <si>
    <t>*</t>
  </si>
  <si>
    <t>EMPORIO GOURMET</t>
  </si>
  <si>
    <t>LIGOU PARA INFORMAÇÔES</t>
  </si>
  <si>
    <t>FINALIZADO VENDA</t>
  </si>
  <si>
    <t>SUPER MENEGAZ</t>
  </si>
  <si>
    <t>95.772.216/0002-62</t>
  </si>
  <si>
    <t>FEITO ULTIMOS AJUSTE DE VENDA</t>
  </si>
  <si>
    <t>CLIENTE AINDA NÃO PASSOU COMO FICARA O PEDIDO</t>
  </si>
  <si>
    <t>PRODUTO CHEGOU AMASSADO E VENCIDO</t>
  </si>
  <si>
    <t>DOCE PUDIM</t>
  </si>
  <si>
    <t>INTERESSE EM LASCAS</t>
  </si>
  <si>
    <t>49.946.160/0001-17</t>
  </si>
  <si>
    <t>MARGHERITA </t>
  </si>
  <si>
    <t>VOLTANDO PARA VER SE A CLIENTE CONSEGUIU ACESSAR NOSSO E-COMMERCE</t>
  </si>
  <si>
    <t>E-COMMERCE</t>
  </si>
  <si>
    <t>O ARMAZEM DE PRODUTOS NATURAIS E EMBALAGENS</t>
  </si>
  <si>
    <t>23.468.249/0001-21</t>
  </si>
  <si>
    <t xml:space="preserve">CLIENTE NUNCA MAIS ATENDEU OU RESPONDEU </t>
  </si>
  <si>
    <t>FEITO ULTIMO CONTATO PARA VER PARCERIA</t>
  </si>
  <si>
    <t>GRANELLO</t>
  </si>
  <si>
    <t>51.515.279/0001-87</t>
  </si>
  <si>
    <t>SKINA SUPERMERCADO</t>
  </si>
  <si>
    <t>MERCADO REGIÃO PRAIA, COMPRAVA COM A BDL</t>
  </si>
  <si>
    <t>FORCE</t>
  </si>
  <si>
    <t>26.240.684/0001-92</t>
  </si>
  <si>
    <t>RECLAMANDO DE VALORES</t>
  </si>
  <si>
    <t>CLIENTE QUER OS MESMO VALORES SEMPRE, TENTANDO RESOLVER</t>
  </si>
  <si>
    <t>DUVIDA SOBRE PRODUTO</t>
  </si>
  <si>
    <t>DUVIDA SOBRE PRODUTO / PTS</t>
  </si>
  <si>
    <t>CLIENTE COMPROU 30KG DE SAL, NÃO FOI AUTORIZADO, ENTREI EM CONTATO PARA MUDAR PARA 10 KG</t>
  </si>
  <si>
    <t>MUDANÇA NO PEDIDO</t>
  </si>
  <si>
    <t>EMPORIO DOLL</t>
  </si>
  <si>
    <t>CLIENTE COMEÇOU E-COMMERCE</t>
  </si>
  <si>
    <t>CLIENTE DA LARISSA SEM RETORNO, RESPONDI PARA AJUDAR</t>
  </si>
  <si>
    <t>SHOPPER</t>
  </si>
  <si>
    <t>CLIENTE ALEGANDO ERRO NO BOLETO</t>
  </si>
  <si>
    <t>CE.NHORINHA</t>
  </si>
  <si>
    <t>CLIENTE NÃO RESPONDE MAIS</t>
  </si>
  <si>
    <t>FEITO CONTATO PARA ENTENDER O MOTIVO DA NÃO VENDA</t>
  </si>
  <si>
    <t>CLIENTE DISSE QUE OS PRODUTOS NÃO VENDEM</t>
  </si>
  <si>
    <t>AGUARDANDO RETORNO</t>
  </si>
  <si>
    <t>CLIENTE QUERIA RASTREIO DO PEDIDO</t>
  </si>
  <si>
    <t>FEITO RASTREIO, CHEGANDO O PEDIDO</t>
  </si>
  <si>
    <t>NÃO QUER POR CAUSA DO VALOR</t>
  </si>
  <si>
    <t>CLIENTE COMPROU QUANDO ESTAVAMOS COM CAMPANHA DE CHOCOLATE, E AGORA NÃO QUER MAIS PAGAR O PREÇO, MESMO COLOCANDO O MAXIMO DE DESCONTO A MESMA NÃO ACEITA</t>
  </si>
  <si>
    <t>FEITO ULTIMA COBRANÇA DE VALORES EM HAVER</t>
  </si>
  <si>
    <t>ENVIADO PARA O FARMA VER SE CONSEGUE REVETER COM A TABELA QUE TEM LA!</t>
  </si>
  <si>
    <t>LOJA FECHADA</t>
  </si>
  <si>
    <t>ESSA UNIDADE NÃO VENDE COMO AS DEMAIS, CLIENTE OPTOU POR DEIXAR DE COMPRAR</t>
  </si>
  <si>
    <t>PEDIDO AUXILIO EXTERNO PARA ESSE CLIENTE</t>
  </si>
  <si>
    <t>CLIENTE TROCOU O COMPRAS</t>
  </si>
  <si>
    <t>COMPRA NOSSO CHOCOLATE PARA PASSAR EM SUA ROLHA DE AMENDOIM</t>
  </si>
  <si>
    <t>BELLA VITA</t>
  </si>
  <si>
    <t xml:space="preserve">CONTATO PARA ENTENDER SAIDA </t>
  </si>
  <si>
    <t>CLIEENTE TEM 60 DIAS SEM COMPRAR, TENTANDO ENTENDER NO QUE POSSO AJUDAR !!</t>
  </si>
  <si>
    <t>RISOTTERIA - ALEX</t>
  </si>
  <si>
    <t>14.304.144/0002-27</t>
  </si>
  <si>
    <t>PRECISA DE UM DISTRIBUIDOR</t>
  </si>
  <si>
    <t>TENTEI PASSAR A VENDA POR AQUI MAS O PRAZO QUE ELE PRECISA DO PRODUTO EU NÃO CONSIGO ENVIAR</t>
  </si>
  <si>
    <t>BATEL GOURMET HORTIFRUIT</t>
  </si>
  <si>
    <t>CONTATO PARA RECOMPRA</t>
  </si>
  <si>
    <t>FEITO CONTATO PARA POSSIVEL RECOMPRA, SE RETORNO</t>
  </si>
  <si>
    <t>AGUARDANDO CLIENTE APROVAR ORÇAMENTO</t>
  </si>
  <si>
    <t>MAESTRIA VERDE</t>
  </si>
  <si>
    <t>LEAD PASSADO PELO MAICON, OS MESMOS NÃO PODEM REPASSAR CONTATO, ESTOU TENTANDO DE OUTRAS MANEIRAS</t>
  </si>
  <si>
    <t>INDICAÇÃO MAICON</t>
  </si>
  <si>
    <t>MS DISTRIBUIDORA</t>
  </si>
  <si>
    <t>37.790.248/0001-03</t>
  </si>
  <si>
    <t>PRODUTOS DA TERRA COM DE CEREAIS PROD NATURAIS LTDA</t>
  </si>
  <si>
    <t>BOLETOS</t>
  </si>
  <si>
    <t>VENDA FINALIZADA</t>
  </si>
  <si>
    <t>VENDA FINALIZADA E-COMMERCE</t>
  </si>
  <si>
    <t>29.619.670/0001-72</t>
  </si>
  <si>
    <t>POMAR URBANO</t>
  </si>
  <si>
    <t>SUPORTE PARA E-COMMERCE</t>
  </si>
  <si>
    <t>VENDA  FINALIZADA</t>
  </si>
  <si>
    <t xml:space="preserve">APÓS VARIOS DIAS POR RUPTURA DE PEDIDO, CLIENTE ALTEROU ALGUNS ITENS PARA FINALIZARMOS PEDIDO! </t>
  </si>
  <si>
    <t>INTERBRANDS FOODS LTDA</t>
  </si>
  <si>
    <t>00.288.948/0006-07</t>
  </si>
  <si>
    <t>COBRANDO RETORNO DE AMOSTRAS</t>
  </si>
  <si>
    <t> 41.711.232/0001-35</t>
  </si>
  <si>
    <t>NADAI CONFORT HOTEL &amp; SPA</t>
  </si>
  <si>
    <t>75.608.620/0001-07</t>
  </si>
  <si>
    <t>HOTEL EM FOZ DO IGUAÇU, PRECISA DE AMOSTRA DOS SNACK</t>
  </si>
  <si>
    <t>CLIENTE MANDOU ESPELHO DO PEDIDO</t>
  </si>
  <si>
    <t>AGUARDANDO OK PARA FINALIZAR</t>
  </si>
  <si>
    <t>61.472.205/0001-64</t>
  </si>
  <si>
    <t>57.369.293/0001-04</t>
  </si>
  <si>
    <t>00.310.595/0001-81</t>
  </si>
  <si>
    <t>42.956.843/0001-06</t>
  </si>
  <si>
    <t>04.999.525/0001-33</t>
  </si>
  <si>
    <t>51.774.001/0001-24</t>
  </si>
  <si>
    <t>13.152.698/0001-02</t>
  </si>
  <si>
    <t>06.042.176/0001-92</t>
  </si>
  <si>
    <t>45.663.004/0001-98</t>
  </si>
  <si>
    <t>I.B.A.C. INDUSTRIA BRASILEIRA DE ALIMENT</t>
  </si>
  <si>
    <t>NUTRIFIT RIO DO SUL LTDA - ME</t>
  </si>
  <si>
    <t>RDS ULTRA EMPORIO &amp; SUPLEMENTOS LTDA - M</t>
  </si>
  <si>
    <t>UVA PASSA PRODUTOS NATURAIS LTDA - ME</t>
  </si>
  <si>
    <t>L. SENDESKI SCHUERMAN LTDA - EPP</t>
  </si>
  <si>
    <t>VIVA MAIS SUBLIME LTDA - ME</t>
  </si>
  <si>
    <t>ANDRESSA MARIA PEDON LTDA - ME</t>
  </si>
  <si>
    <t>JOSE CARLOS ROSSA - EPP (MINIMERCADO ROSSA)</t>
  </si>
  <si>
    <t>EMPORIUM COMERCIO DE ALIMENTOS - ME</t>
  </si>
  <si>
    <t>REDE VIDA LEVE</t>
  </si>
  <si>
    <t>PROSPECÇÃO, CACAU SHOW, FOI ENVIADO AMOSTRA, AGUARDANDO ...</t>
  </si>
  <si>
    <t>FEITO CONTATO PARA AVALIAR PARCERIA</t>
  </si>
  <si>
    <t>LOJA DA FRANQUIA FECHOU</t>
  </si>
  <si>
    <t>VENDA FINALIZADA E-COMMERCE COM AUXILIO</t>
  </si>
  <si>
    <t>79.037.181/0001-80</t>
  </si>
  <si>
    <t>WILSON DE REZENDE PENHA - ME</t>
  </si>
  <si>
    <t>CLIENTE FEZ 20KG DE LASCAS</t>
  </si>
  <si>
    <t>FEITO CONTATO PARA REPOSIÇÃO</t>
  </si>
  <si>
    <t>POSSIVEL RECOMPRA</t>
  </si>
  <si>
    <t>CLIENTE DE TAMARAS</t>
  </si>
  <si>
    <t>CLIENTE SO COMPRA TAMARAS, AGUARDANDO CHEGAR CARGA NOVA</t>
  </si>
  <si>
    <t>CLIENTE AINDA TEM PRODUTO</t>
  </si>
  <si>
    <t>CLIENTE IRÁ FAZER O PEDIDO MAIS FIM DO MÊS</t>
  </si>
  <si>
    <t>CLIENTE IRÁ FAZER O PEDIDO MAIS COMEÇO DO MÊS</t>
  </si>
  <si>
    <t>CLIENTE COMPRA MENSAL</t>
  </si>
  <si>
    <t>FOLLOW UP 7</t>
  </si>
  <si>
    <t>FOLLOW UP 15</t>
  </si>
  <si>
    <t>CLIENTE ABRIU PARCIAL A LOJA</t>
  </si>
  <si>
    <t>CLIENTE NÃO TEM TEMPO PARA VER</t>
  </si>
  <si>
    <t>ESTÁ EM INAUGURAÇÃO DA LOJA, FALOU QUE ESTA SEM TEMPO.</t>
  </si>
  <si>
    <t>FEITO CONTATO PARA POSSIVEL RECOMPRA</t>
  </si>
  <si>
    <t>NÃO CONSEGUE VENDER OS PRODUTOS</t>
  </si>
  <si>
    <t>MUDOU O COMPRAS</t>
  </si>
  <si>
    <t>AGUARDANDO RETORNO DO NOVO COMPRAS</t>
  </si>
  <si>
    <t>TEM NUGALI NA LOJA NOSSOS NÃO ESTÃO SAINDO</t>
  </si>
  <si>
    <t>VERIFICANDO ESTOQUE</t>
  </si>
  <si>
    <t>MERCADO FABRIL</t>
  </si>
  <si>
    <t xml:space="preserve">CLIENTE QUER REPRESENTATE </t>
  </si>
  <si>
    <t>APRESENTEI NOSSO FORMATO DE TRABALHO // AGUARADANDO RETORNO</t>
  </si>
  <si>
    <t>LIGOU PARA ENTENDER POLITICAS COMERCIAIS</t>
  </si>
  <si>
    <t>AGUARDANDO RETORNO PARA PARCERIA</t>
  </si>
  <si>
    <t>MUITAS TENTATIVAS, SEM RETORNO</t>
  </si>
  <si>
    <t>CLIENTE PEDIR RETORNO MAIS METADE DO MÊS</t>
  </si>
  <si>
    <t>MUNDO VERDE ICARAÍ</t>
  </si>
  <si>
    <t>CONSUMIDORA FINAL CELIACA</t>
  </si>
  <si>
    <t>CLIENTE AINDA TEM ESTOQUE</t>
  </si>
  <si>
    <t>QUER FAZER PEDIDO ABAIXO DO MINIMO</t>
  </si>
  <si>
    <t>CLIENTE NÃO ATENDE MAIS</t>
  </si>
  <si>
    <t xml:space="preserve">AGUARDANDO RETORNO </t>
  </si>
  <si>
    <t>CLIENTE NÃO COMPRA FAZ TEMPO</t>
  </si>
  <si>
    <t>AJUDA DA DAIANE</t>
  </si>
  <si>
    <t>COMPRA LASCAS</t>
  </si>
  <si>
    <t>54.406.218/0001-70</t>
  </si>
  <si>
    <t>KAUCLINICAL CARE</t>
  </si>
  <si>
    <t>CLIENTE AINDA ESTA SUBINDO VALOR DO PEDIDO</t>
  </si>
  <si>
    <t>FEITO CONTATO PARA VER SAIDA DOS PRODUTOS E POSSIVEL RECOMPRA</t>
  </si>
  <si>
    <t>SAO CARLOS DISTRIBUIDORA</t>
  </si>
  <si>
    <t>SABOR NATURAL</t>
  </si>
  <si>
    <t>TENTAR REATIVAR</t>
  </si>
  <si>
    <t>CLIENTE NUNCA MAIS COMPROU</t>
  </si>
  <si>
    <t>ULTRA SUPLEMENTOS</t>
  </si>
  <si>
    <t>FEITO INUMEROS CONTATOS</t>
  </si>
  <si>
    <t>CLIENTE INATIVAR SE NÃO RETORNAR</t>
  </si>
  <si>
    <t>FEITO CONTATO PARA RECOMPRA</t>
  </si>
  <si>
    <t>MUDOU PARA A CARTEIRA DA DAIANE</t>
  </si>
  <si>
    <t>MOENDA DOS GRAOS PRODUTOS NATURAIS LTDA</t>
  </si>
  <si>
    <t>17.352.028/0001-90</t>
  </si>
  <si>
    <t>PROPECÇÃO BASE SAP</t>
  </si>
  <si>
    <t>DENI</t>
  </si>
  <si>
    <t>VEIO ATRAS DOS NOSSO GRANEL</t>
  </si>
  <si>
    <t>CLIENTE RECEPTIVO</t>
  </si>
  <si>
    <t>NUTRICROK</t>
  </si>
  <si>
    <t>CLIENTE ESTA RELUTANTE A VALOR</t>
  </si>
  <si>
    <t>CLIENTE ESTA VENDENDO BEM OS PRODUTOS</t>
  </si>
  <si>
    <t>CLIENTE NO MOMENTO NÃO ESTA PRECISANDO DE PRODUTOS</t>
  </si>
  <si>
    <t>VERIFICAR SE VENDEU MELHOR</t>
  </si>
  <si>
    <t>CLIENTE SÓ FALA QUE TEM ESTOQUE</t>
  </si>
  <si>
    <t>NÃO DA ABERTURA PARA PERGUNTAS</t>
  </si>
  <si>
    <t>MILA VEG</t>
  </si>
  <si>
    <t>VEIO ATRAS DAS LASCAS</t>
  </si>
  <si>
    <t>OVNI VEGANO</t>
  </si>
  <si>
    <t>INDICAÇÃO NEM PEIXE</t>
  </si>
  <si>
    <t>ERIVAS LANCHONETE</t>
  </si>
  <si>
    <t>AGUARDANDO APROVAÇÃO</t>
  </si>
  <si>
    <t>CLIENTE ESTA DE FAZER CARRINHO NO E-COMMERCE</t>
  </si>
  <si>
    <t>PROBLEMAS COM BOLETO</t>
  </si>
  <si>
    <t>ENTRANDO EM CONTATO PARA POSSIVEL RECOMPRA</t>
  </si>
  <si>
    <t>VIAJANDO SO SEMANA QUE VEM</t>
  </si>
  <si>
    <t>CLIENTE NÃO ESTA VENDENDO</t>
  </si>
  <si>
    <t>TEM UMA FABRICA DE PAÇOCA COMPRA DE 3 EM 3 MESE</t>
  </si>
  <si>
    <t>DIMANGIARE ALIMENTOS</t>
  </si>
  <si>
    <t>15.415.386/0001-70</t>
  </si>
  <si>
    <t>CLIENTE QUER GOTAS PARA CHOCOTONE</t>
  </si>
  <si>
    <t>RASTREIO DA ENTREGA</t>
  </si>
  <si>
    <t>ENTREGUE</t>
  </si>
  <si>
    <t>EM INVENTARIO, PRECISAVA RAPIDO, NAO CONSEGUIMOS ATENDER DESSA VEZ</t>
  </si>
  <si>
    <t>CLIENTE COMPRA CHOCOLATE MUITO BARATO</t>
  </si>
  <si>
    <t>PREÇO FORA DE NEGOCIAÇÃO</t>
  </si>
  <si>
    <t>42.104.920/0001-08</t>
  </si>
  <si>
    <t>CREPES DA DEUSA</t>
  </si>
  <si>
    <t>AGUARDANDO ANALISE DE CREDITO</t>
  </si>
  <si>
    <t>WATA COMERCIAL</t>
  </si>
  <si>
    <t>11.307.933/0001-42</t>
  </si>
  <si>
    <t>COMPRA PARA HOSPITAIS</t>
  </si>
  <si>
    <t>AGUARDANDO APROVAÇÃO DE ORÇAMENTO</t>
  </si>
  <si>
    <t>CLIENTES QUE FORAM PARA OUTRAS BASES</t>
  </si>
  <si>
    <t>39.695.922/0001-04</t>
  </si>
  <si>
    <t>29/09/2025</t>
  </si>
  <si>
    <t>SUPERMERCADOS PAGOTO LTDA</t>
  </si>
  <si>
    <t>27.277.961/0001-02</t>
  </si>
  <si>
    <t>26/09/2025</t>
  </si>
  <si>
    <t>GRAO E VIDA</t>
  </si>
  <si>
    <t>43.590.125/0001-21</t>
  </si>
  <si>
    <t>LARISSA DA SILVA PADILHA</t>
  </si>
  <si>
    <t>42.149.466/0001-01</t>
  </si>
  <si>
    <t>25/09/2025</t>
  </si>
  <si>
    <t>GAN NUTRICAO</t>
  </si>
  <si>
    <t>34.313.930/0001-17</t>
  </si>
  <si>
    <t>VALDECI APARECIDO DE NICOLAI</t>
  </si>
  <si>
    <t>37.633.350/0001-03</t>
  </si>
  <si>
    <t>24/09/2025</t>
  </si>
  <si>
    <t>LOJA VIDA LEVE VILA ARENS</t>
  </si>
  <si>
    <t>62.004.109/0001-54</t>
  </si>
  <si>
    <t>VIDA NATURAL FSA</t>
  </si>
  <si>
    <t>62.617.017/0001-40</t>
  </si>
  <si>
    <t>23/09/2025</t>
  </si>
  <si>
    <t>VIDA NATURAL</t>
  </si>
  <si>
    <t>61.791.187/0001-83</t>
  </si>
  <si>
    <t>22/09/2025</t>
  </si>
  <si>
    <t>C.CORREA LTDA</t>
  </si>
  <si>
    <t>62.106.171/0001-57</t>
  </si>
  <si>
    <t>AVILA SUPLEMENTOS</t>
  </si>
  <si>
    <t>16.966.212/0001-68</t>
  </si>
  <si>
    <t>19/09/2025</t>
  </si>
  <si>
    <t>Ávila Natural</t>
  </si>
  <si>
    <t>76.384.908/0001-08</t>
  </si>
  <si>
    <t>18/09/2025</t>
  </si>
  <si>
    <t>17/09/2025</t>
  </si>
  <si>
    <t>L.A. PRODUTOS NATURAIS</t>
  </si>
  <si>
    <t>56.174.184/0001-60</t>
  </si>
  <si>
    <t>16/09/2025</t>
  </si>
  <si>
    <t>CPQ BRASIL S/A - EM RECUPERACAO JUDICIAL</t>
  </si>
  <si>
    <t>74.552.068/0001-10</t>
  </si>
  <si>
    <t>HENRI G. VALCARENGHI LTDA</t>
  </si>
  <si>
    <t>57.963.322/0001-53</t>
  </si>
  <si>
    <t>PICADO'S DA TERRA PRODUTOS NATURAIS</t>
  </si>
  <si>
    <t>37.680.783/0002-92</t>
  </si>
  <si>
    <t>15/09/2025</t>
  </si>
  <si>
    <t>CSJ BRASIL ALIMENTOS LTDA</t>
  </si>
  <si>
    <t>58.363.567/0001-02</t>
  </si>
  <si>
    <t>UNIMED JARAGUA DO SUL</t>
  </si>
  <si>
    <t>03.855.214/0002-19</t>
  </si>
  <si>
    <t>PICADOS DA TERRA</t>
  </si>
  <si>
    <t>59.633.825/0001-96</t>
  </si>
  <si>
    <t>TUDO EM GRAOS COMERCIO DE ALIMENTOS LTDA</t>
  </si>
  <si>
    <t>20.474.456/0001-09</t>
  </si>
  <si>
    <t>VILLA DOS GRAOS</t>
  </si>
  <si>
    <t>31.118.319/0001-40</t>
  </si>
  <si>
    <t>09/09/2025</t>
  </si>
  <si>
    <t>05.382.867/0002-53</t>
  </si>
  <si>
    <t>60.822.789/0001-98</t>
  </si>
  <si>
    <t>Vida leve Barreiras</t>
  </si>
  <si>
    <t>52.169.809/0001-45</t>
  </si>
  <si>
    <t>CONVENIENCIA D-PORT</t>
  </si>
  <si>
    <t>42.627.934/0001-06</t>
  </si>
  <si>
    <t>MENEGAZ SUPERMERCADO 2</t>
  </si>
  <si>
    <t>Divina Terra Capão da Canoa</t>
  </si>
  <si>
    <t>49.300.020/0001-77</t>
  </si>
  <si>
    <t xml:space="preserve"> Pro Abelha Comercio e Ind Prod Alimentcios LTDA</t>
  </si>
  <si>
    <t>51.599.613 GENESIO PAIXAO DE JESUS</t>
  </si>
  <si>
    <t>MINHA QUITANDINHA</t>
  </si>
  <si>
    <t>DIVINA TERRA - BLUMENAU</t>
  </si>
  <si>
    <t>62.341.898/0001-19</t>
  </si>
  <si>
    <t>MIX TUDO COMERCIO DE ALIMENTOS E SERVICOS</t>
  </si>
  <si>
    <t>CASAL MONSTRO SUPLEMENTOS</t>
  </si>
  <si>
    <t>29.301.639/0001-99</t>
  </si>
  <si>
    <t>PRODUTOS DA TERRA</t>
  </si>
  <si>
    <t>13.975.801/0001-14</t>
  </si>
  <si>
    <t>EVOLUCAO FIT NUTRICAO</t>
  </si>
  <si>
    <t>62.555.863/0001-82</t>
  </si>
  <si>
    <t>06.982.791/0006-93</t>
  </si>
  <si>
    <t>MERCADINHO PAULISTA I I</t>
  </si>
  <si>
    <t>34.404.590/0003-00</t>
  </si>
  <si>
    <t>MERCADINHO PAULISTA I</t>
  </si>
  <si>
    <t>34.404.590/0001-30</t>
  </si>
  <si>
    <t>BUFFET PARTHENON</t>
  </si>
  <si>
    <t>01.005.782/0001-14</t>
  </si>
  <si>
    <t>07/10/2025</t>
  </si>
  <si>
    <t>23.777.036 WILLIAN YUKIO ITO MARQUES</t>
  </si>
  <si>
    <t>REDE HIPER DOCE DE CABO FRIO LTDA</t>
  </si>
  <si>
    <t>BANCA12 ARMAZEM DE PRODUTOS NATURAIS LTDA</t>
  </si>
  <si>
    <t>92.916.360/0002-37</t>
  </si>
  <si>
    <t>GEISIANE RODRIGUES MACHADO</t>
  </si>
  <si>
    <t>PRATINHO CRIATIVO</t>
  </si>
  <si>
    <t>06/10/2025</t>
  </si>
  <si>
    <t>01/10/2025</t>
  </si>
  <si>
    <t>Julio  Gadret</t>
  </si>
  <si>
    <t>30/09/2025</t>
  </si>
  <si>
    <t>12/09/2025</t>
  </si>
  <si>
    <t>CAMILA VEDOI - COMERCIO VAREJISTA DE ALI</t>
  </si>
  <si>
    <t>R&amp;B PRODUTOS NATURAIS LTDA - ME</t>
  </si>
  <si>
    <t>SABORES &amp; GRAOS PRODUTOS NATURAIS LTDA -</t>
  </si>
  <si>
    <t>27.561.057 FERNANDO LUIS FELICIO - ME</t>
  </si>
  <si>
    <t>TONON COMERCIO DE PRODUTOS NATURAIS LTDA</t>
  </si>
  <si>
    <t>PONTO NATURAL COMERCIO DE ALIMENTOS LTDA</t>
  </si>
  <si>
    <t>ESTAR BEM PRODUTOS NATURAIS LTDA - ME</t>
  </si>
  <si>
    <t>GRATIGRAO COMERCIO DE ALIMENTOS LTDA -ME</t>
  </si>
  <si>
    <t>NUTRI LINDA LTDA - ME</t>
  </si>
  <si>
    <t>EMPORIUM SAUDE PLENA LTDA - ME</t>
  </si>
  <si>
    <t>FECHOU</t>
  </si>
  <si>
    <t>CLIENTES BASE SAP</t>
  </si>
  <si>
    <t>42.080.716/0001-96</t>
  </si>
  <si>
    <t>06.128.069/0001-81</t>
  </si>
  <si>
    <t>17.989.340/0001-90</t>
  </si>
  <si>
    <t>27.561.057/0001-16</t>
  </si>
  <si>
    <t>30.741.171/0001-32</t>
  </si>
  <si>
    <t>32.040.626/0001-18</t>
  </si>
  <si>
    <t>35.860.012/0001-70</t>
  </si>
  <si>
    <t>39.565.864/0002-77</t>
  </si>
  <si>
    <t>13.226.373/0001-27</t>
  </si>
  <si>
    <t>35.622.295/0001-12</t>
  </si>
  <si>
    <t>MAQUINAS DE COMIDA, POSSIVEL RECOMPRA</t>
  </si>
  <si>
    <t>LAILA DE CASSIA - NUTRI</t>
  </si>
  <si>
    <t>PASSADO PARA A LARISSA</t>
  </si>
  <si>
    <t>CLIENTE PROSPECTADA ANTES DA CARTEIRA SER MUDADS, PASSEI PARA A LARISSA</t>
  </si>
  <si>
    <t>JÁ COMPRAVA COM DISTRIBUIDOR</t>
  </si>
  <si>
    <t>CLIENTE DIFICIL DE RESPONDER, FAZ PEDIDO QUANDO QUER</t>
  </si>
  <si>
    <t>TEM UM SACOLÃO, AGUARDANDO RETORNO</t>
  </si>
  <si>
    <t>CLIENTE TINHA PEDIDO PARA ENTRAR EM CONTATO COMEÇO DE MÊS</t>
  </si>
  <si>
    <t xml:space="preserve">CLIENTE AINDA NÃO ABRIU </t>
  </si>
  <si>
    <t>ESTA ABERTO DE FORMA PARCIAL</t>
  </si>
  <si>
    <t>CLIENTE COMPRA EM 2 CNPJ</t>
  </si>
  <si>
    <t>ABASTECIDA EM AMBOS O CNPJ</t>
  </si>
  <si>
    <t>COMPRA SO AVEIA</t>
  </si>
  <si>
    <t>COMPRA COM 39% DE DESC.</t>
  </si>
  <si>
    <t>FEZ COMPRA PARA UMA LOJA SÓ, QUESTIONANDO</t>
  </si>
  <si>
    <t>CLIENTE COMPRA PARA FUNCIONARIOS</t>
  </si>
  <si>
    <t>EMPRESA TERCERIZADA</t>
  </si>
  <si>
    <t>COMPRA SOBE DEMANDA</t>
  </si>
  <si>
    <t>HOSPITAL PEDIU DEGUSTAÇÃO</t>
  </si>
  <si>
    <t>GERALDO BONFIM CASTILHO - ME</t>
  </si>
  <si>
    <t>H. MAKISHI - COMERCIO DE PRODUTOS ALIMEN</t>
  </si>
  <si>
    <t>FINAS ERVAS LTDA - ME</t>
  </si>
  <si>
    <t>NOVA DESPENSA COMERCIO DE PRODUTOS ALIME</t>
  </si>
  <si>
    <t>GRANO NATURALE PRODUTOS NATURAIS LTDA -M</t>
  </si>
  <si>
    <t>YAMA 3D LTDA - EPP</t>
  </si>
  <si>
    <t>VIVIANE SALES DA SILVA PAIONK - ME</t>
  </si>
  <si>
    <t>EMPORIO RIZZO COMERCIO DE PRODUTOS ALIME</t>
  </si>
  <si>
    <t>GREEN LIFE PRODUTOS NATURAIS LTDA - ME</t>
  </si>
  <si>
    <t>LOJA ALIMENTO E SAUDE COMERCIO DE PRODUT</t>
  </si>
  <si>
    <t>14.914.364/0001-91</t>
  </si>
  <si>
    <t>30.721.610/0001-45</t>
  </si>
  <si>
    <t>32.482.296/0001-10</t>
  </si>
  <si>
    <t>41.006.563/0001-74</t>
  </si>
  <si>
    <t>32.689.331/0001-77</t>
  </si>
  <si>
    <t>24.521.457/0001-00</t>
  </si>
  <si>
    <t>35.685.790/0001-70</t>
  </si>
  <si>
    <t>01.530.940/0001-55</t>
  </si>
  <si>
    <t>42.293.380/0001-40</t>
  </si>
  <si>
    <t>07.329.841/0001-96</t>
  </si>
  <si>
    <t>51.149.374/0001-04</t>
  </si>
  <si>
    <t>CENTRO DE DISTRIBUICAO MAV LTDA</t>
  </si>
  <si>
    <t>53.609.845/0001-45</t>
  </si>
  <si>
    <t>MBF FOODS LTDA</t>
  </si>
  <si>
    <t>ENVIADO SUGESTÃO</t>
  </si>
  <si>
    <t>CLIENTE ESTA COM O CNPJ SUJO</t>
  </si>
  <si>
    <t>FEITO OFERTA DE OUTROS METODOS DE PAGAMENTO</t>
  </si>
  <si>
    <t>NEGOCIADO RENAN/ FAZER ACOMPANHAMENTO DE VALORES</t>
  </si>
  <si>
    <t>ENVIADO BONIFICAÇÃO JUNTO</t>
  </si>
  <si>
    <t>CLIENTE FALOU QUE AINDA TEM ESTOQUE</t>
  </si>
  <si>
    <t>, PEDIU RETORNO PARA A PROXIMA SEMANA</t>
  </si>
  <si>
    <t>CLIENTE EVITA COMPRAR CHOCOLATE NESSA EPOCA DO ANO, MAS AINDA TEM ESTOQUE</t>
  </si>
  <si>
    <t>CHAMA QUANDO QUER</t>
  </si>
  <si>
    <t>PEDIU PARA ENTRAR EM CONTATO NOVAMENTE</t>
  </si>
  <si>
    <t>CLIENTE VAI FAZER PEDIDO ESSE MÊS</t>
  </si>
  <si>
    <t>COMPROU EM 1 CNPJ PARA TODAS AS LOJAS</t>
  </si>
  <si>
    <t>CLIENTE FICOU DE VER ESTOQUE</t>
  </si>
  <si>
    <t>CLIENTE ESTA COM DIFICULDADE DE VENDA</t>
  </si>
  <si>
    <t>MARCOS AUGUSTO COSTA LEMES 07453646910 -</t>
  </si>
  <si>
    <t>BATEL ALIMENTOS SAUDAVEIS LTDA - ME</t>
  </si>
  <si>
    <t>AROMA DE HORTELA COMERCIO DE PRODUTOS NA</t>
  </si>
  <si>
    <t>EMPORIO PIRES LTDA - ME</t>
  </si>
  <si>
    <t>MATHEUS GOMES DA ROCHA - ME</t>
  </si>
  <si>
    <t>FACHINETTO PRODUTOS NATURAIS LTDA - ME</t>
  </si>
  <si>
    <t>S. R. B. PRODUTOS NATURAIS LTDA - ME</t>
  </si>
  <si>
    <t>MERCEARIA IMPERIAL COMERCIO DE ALIMENTOS</t>
  </si>
  <si>
    <t>JARDIM DOS SABORES COMERCIO DE ALIMENTOS</t>
  </si>
  <si>
    <t>MERCEARIA O BARRACAO LTDA - ME</t>
  </si>
  <si>
    <t xml:space="preserve">ENVIADO MENSAGEM, AINDA TENTANDO ENTENDER SOBRE O QUE É </t>
  </si>
  <si>
    <t>REDE</t>
  </si>
  <si>
    <t>FEITO CONTATO E WPP PARA AVALIAR PARCERIA</t>
  </si>
  <si>
    <t>41.668.495/0001-09</t>
  </si>
  <si>
    <t>45.937.322/0001-08</t>
  </si>
  <si>
    <t>50.008.271/0001-61</t>
  </si>
  <si>
    <t>31.685.466/0001-00</t>
  </si>
  <si>
    <t>33.858.339/0001-82</t>
  </si>
  <si>
    <t>31.475.982/0001-00</t>
  </si>
  <si>
    <t>17.198.943/0001-73</t>
  </si>
  <si>
    <t>33.252.395/0001-79</t>
  </si>
  <si>
    <t>09.519.015/0008-01</t>
  </si>
  <si>
    <t>25.224.851/0001-49</t>
  </si>
  <si>
    <t>42.886.209/0001-44</t>
  </si>
  <si>
    <t>MINHA QUITANDINHA - LILI</t>
  </si>
  <si>
    <t>FALOU QUE NÃO TEM PRODUTOS QUE LHE INTERESSE</t>
  </si>
  <si>
    <t>FEITO OBJEÇÕES, MAS NÇAO ACEITOU MESMO ASSIM</t>
  </si>
  <si>
    <t>CLIENTE PEDIU NF</t>
  </si>
  <si>
    <t>FOI ENVIADO AMOSTRAS</t>
  </si>
  <si>
    <t>ENTREI EM CONTATO COM A CLIENTE ONTEM, HOJE VEIO PEDIDO</t>
  </si>
  <si>
    <t>COBRANDO ORÇAMENTO</t>
  </si>
  <si>
    <t>COBRANDO ESTOQUE</t>
  </si>
  <si>
    <t>NÃO TEM COMO PAGAR E NÃO APROVA BOLETO</t>
  </si>
  <si>
    <t>LUIZA LOURO DE FREITAS</t>
  </si>
  <si>
    <t>44.823.864/0001-89</t>
  </si>
  <si>
    <t>ANALISANDO POSSIVEL PARCERIA</t>
  </si>
  <si>
    <t>AFS FLORIANÓPOLIS - SC</t>
  </si>
  <si>
    <t>31.318.458/0001-17</t>
  </si>
  <si>
    <t>Prospect</t>
  </si>
  <si>
    <t>AFS CURITIBA BATEL - PR</t>
  </si>
  <si>
    <t>AFS JURERE - SC</t>
  </si>
  <si>
    <t>36.327.837/0001-97</t>
  </si>
  <si>
    <t>ARMAZEM FIT STORE</t>
  </si>
  <si>
    <t>44.027.890/0001-09</t>
  </si>
  <si>
    <t>ARMAZEM FIT STORE SANTA ROSA</t>
  </si>
  <si>
    <t>14.808.571/0001-61</t>
  </si>
  <si>
    <t>CERRADO VERDE PRODUTOS NATURAIS LTDA</t>
  </si>
  <si>
    <t>46.926.733/0001-52</t>
  </si>
  <si>
    <t>CIA DA SAUDE - Praia Comprida</t>
  </si>
  <si>
    <t>32.149.829/0001-47</t>
  </si>
  <si>
    <t>32.149.829/0002-28</t>
  </si>
  <si>
    <t>CIA DA SAUDE PRINCIPE</t>
  </si>
  <si>
    <t>05.675.955/0001-62</t>
  </si>
  <si>
    <t>BRASIL MAIS VERDE PRODUTOS NATURAIS</t>
  </si>
  <si>
    <t>30.200.838/0001-90</t>
  </si>
  <si>
    <t>CIA DA SAÚDE CONDOR BOA VISTA</t>
  </si>
  <si>
    <t>41.899.387/0001-47</t>
  </si>
  <si>
    <t>VERDE E VIDA cia da saude Laguna</t>
  </si>
  <si>
    <t>05.193.104/0001-83</t>
  </si>
  <si>
    <t>CIA DA SAUDE PRODUTOS NATURAIS</t>
  </si>
  <si>
    <t>20.121.652/0001-91</t>
  </si>
  <si>
    <t>EMPORIO HIBISCU S</t>
  </si>
  <si>
    <t>23.735.858/0001-08</t>
  </si>
  <si>
    <t>CIA DA SAUDE GIASSI</t>
  </si>
  <si>
    <t>09.290.043/0002-04</t>
  </si>
  <si>
    <t>ERVA DOCE</t>
  </si>
  <si>
    <t>09.290.043/0001-23</t>
  </si>
  <si>
    <t>CIA DA SAUDE</t>
  </si>
  <si>
    <t>31.081.296/0001-46</t>
  </si>
  <si>
    <t>31.081.296/0002-27</t>
  </si>
  <si>
    <t>CIA da Saúde Canasvieiras</t>
  </si>
  <si>
    <t>10.925.547/0001-51</t>
  </si>
  <si>
    <t>CIA DA SAUDE ESTEVES JR</t>
  </si>
  <si>
    <t>21.035.762/0001-01</t>
  </si>
  <si>
    <t>08.808.355/0004-66</t>
  </si>
  <si>
    <t>CIA DA SUDE</t>
  </si>
  <si>
    <t>08.808.355/0006-28</t>
  </si>
  <si>
    <t>13.253.288/0001-58</t>
  </si>
  <si>
    <t>CIA DA SAUDE PONTE DO IMARUIM</t>
  </si>
  <si>
    <t>39.753.276/0001-86</t>
  </si>
  <si>
    <t>11.709.486/0001-58</t>
  </si>
  <si>
    <t>MANA PRODUTOS NATURAIS</t>
  </si>
  <si>
    <t>24.239.571/0001-41</t>
  </si>
  <si>
    <t>CIA DA SAÚDE TORRES</t>
  </si>
  <si>
    <t>27.684.184/0001-02</t>
  </si>
  <si>
    <t>30.399.876/0001-13</t>
  </si>
  <si>
    <t>09.026.103/0001-03</t>
  </si>
  <si>
    <t>CIATUBARAO</t>
  </si>
  <si>
    <t>43.603.248/0002-30</t>
  </si>
  <si>
    <t>NATURAL FOODS</t>
  </si>
  <si>
    <t>46.672.896/0001-56</t>
  </si>
  <si>
    <t>PITA COMERCIO VAREJISTA DE ALIMENTOS LTDA ME</t>
  </si>
  <si>
    <t>11.167.922/0002-95</t>
  </si>
  <si>
    <t>VIDA SAUDAVEL</t>
  </si>
  <si>
    <t>28.158.256/0001-40</t>
  </si>
  <si>
    <t>NATURELLE EMPORIO SAUDAVEL</t>
  </si>
  <si>
    <t>46.512.358/0001-02</t>
  </si>
  <si>
    <t>37.098.465/0001-37</t>
  </si>
  <si>
    <t>CIA DA SAUDE SOUL SAUDAVEL</t>
  </si>
  <si>
    <t>53.819.430/0001-04</t>
  </si>
  <si>
    <t>MTV COMERCIO</t>
  </si>
  <si>
    <t>33.960.098/0001-88</t>
  </si>
  <si>
    <t>CIA DA SAUDE SÃO JOAQUIM</t>
  </si>
  <si>
    <t>19.731.451/0001-27</t>
  </si>
  <si>
    <t>CIA DA SAUDE ITAPEMA MEIA PRAIA</t>
  </si>
  <si>
    <t>24.130.308/0001-10</t>
  </si>
  <si>
    <t>50.853.004 JESSICA CAROLINE PANDOLFO TOSIN</t>
  </si>
  <si>
    <t>56.928.225 WAGNER LOPES</t>
  </si>
  <si>
    <t>56.928.225/0001-67</t>
  </si>
  <si>
    <t>ARMAZEM ALMA NATURAL</t>
  </si>
  <si>
    <t>57.399.323/0001-17</t>
  </si>
  <si>
    <t>JJ EMPORIO</t>
  </si>
  <si>
    <t>55.910.297/0001-14</t>
  </si>
  <si>
    <t>NATIVA Prime Kobrasol</t>
  </si>
  <si>
    <t>31.322.208/0001-50</t>
  </si>
  <si>
    <t>COMERCIO VAREJISTA 7 DE SETEMBRO</t>
  </si>
  <si>
    <t>43.162.029/0001-82</t>
  </si>
  <si>
    <t>VOVÓ NANA</t>
  </si>
  <si>
    <t>37.560.549/0001-40</t>
  </si>
  <si>
    <t>ARMAZÉM NATURAL</t>
  </si>
  <si>
    <t>08.464.416/0001-72</t>
  </si>
  <si>
    <t>DIVINA TERRA TAQUARA</t>
  </si>
  <si>
    <t>45.024.614/0001-41</t>
  </si>
  <si>
    <t>Vida Leve Londrina</t>
  </si>
  <si>
    <t>40.891.994/0001-06</t>
  </si>
  <si>
    <t>CICHOCKI &amp; CICHOCKI LTDA</t>
  </si>
  <si>
    <t>35.824.166/0002-98</t>
  </si>
  <si>
    <t>ALUSCON</t>
  </si>
  <si>
    <t>44.173.462/0001-86</t>
  </si>
  <si>
    <t>Quitanda Verde</t>
  </si>
  <si>
    <t>28.672.240/0001-51</t>
  </si>
  <si>
    <t>CASA DO CAMPO</t>
  </si>
  <si>
    <t>42.096.622/0001-05</t>
  </si>
  <si>
    <t>ELIO ANTONIO RODRIGUES LEMES</t>
  </si>
  <si>
    <t>41.329.482/0001-05</t>
  </si>
  <si>
    <t>VIVER MAIS PRODUTOS NATURAIS</t>
  </si>
  <si>
    <t>22.738.189/0001-57</t>
  </si>
  <si>
    <t>EMPORIO FLAMINGOS - PRODUTOS NATURAIS</t>
  </si>
  <si>
    <t>38.252.751/0001-78</t>
  </si>
  <si>
    <t>EMPORIO RIZZO PRODUTOS NATURAIS</t>
  </si>
  <si>
    <t>EMPORIO SALZ</t>
  </si>
  <si>
    <t>28.709.644/0001-72</t>
  </si>
  <si>
    <t>VIDA MAIS PRODUTOS NATURAIS</t>
  </si>
  <si>
    <t>BAUI CONFEITARIA INCLUSIVA</t>
  </si>
  <si>
    <t>24.642.057/0001-52</t>
  </si>
  <si>
    <t>DT GRAMADO</t>
  </si>
  <si>
    <t>21.650.838/0001-09</t>
  </si>
  <si>
    <t>IMPERIO VERDE JF</t>
  </si>
  <si>
    <t>42.581.436/0001-61</t>
  </si>
  <si>
    <t>EMPORIO TIROLES</t>
  </si>
  <si>
    <t>40.341.231/0001-83</t>
  </si>
  <si>
    <t>GRANARIUM COMÉRCIO DE PRODUTOS ALIMENTÍCIOS LTDA</t>
  </si>
  <si>
    <t>PRO SAUDE JOINVILLE</t>
  </si>
  <si>
    <t>43.291.085/0001-17</t>
  </si>
  <si>
    <t>EMPORIO J. COSTA - AROMAS E SABORES</t>
  </si>
  <si>
    <t>83.129.098/0002-90</t>
  </si>
  <si>
    <t>PORTO DOS GRAOS</t>
  </si>
  <si>
    <t>26.464.715/0001-99</t>
  </si>
  <si>
    <t>JL SUPLEMENTOS E PRODUTOS NATURAIS LTDA</t>
  </si>
  <si>
    <t>42.428.368/0001-03</t>
  </si>
  <si>
    <t>QUINTAL DA NONA</t>
  </si>
  <si>
    <t>45.979.939/0001-88</t>
  </si>
  <si>
    <t>NATURITTA</t>
  </si>
  <si>
    <t>15.320.455/0001-61</t>
  </si>
  <si>
    <t>NATIVA PRIME Casa do Barão</t>
  </si>
  <si>
    <t>27.866.661/0001-50</t>
  </si>
  <si>
    <t>NATTUREBA</t>
  </si>
  <si>
    <t>29.700.142/0001-43</t>
  </si>
  <si>
    <t>NUTRIVITTA</t>
  </si>
  <si>
    <t>34.216.624/0001-62</t>
  </si>
  <si>
    <t>O PADEIRO ARTISAN BAKERY-BC</t>
  </si>
  <si>
    <t>22.929.643/0001-57</t>
  </si>
  <si>
    <t>CAMELLIA PRODUTOS NATURAIS</t>
  </si>
  <si>
    <t>42.832.149/0001-87</t>
  </si>
  <si>
    <t>Produtos Naturais Rocha</t>
  </si>
  <si>
    <t>34.554.577/0001-67</t>
  </si>
  <si>
    <t>EQUILIBRIO GASTRONOMIA FUNCIONAL</t>
  </si>
  <si>
    <t>19.094.362/0001-17</t>
  </si>
  <si>
    <t>NATURALLE ALIMENTOS</t>
  </si>
  <si>
    <t>28.613.477/0001-61</t>
  </si>
  <si>
    <t>QUIOSQUE DE CHOPP DA BRAHMA</t>
  </si>
  <si>
    <t>10.014.386/0001-44</t>
  </si>
  <si>
    <t>ORA PRO NOBIS</t>
  </si>
  <si>
    <t>33.451.806/0001-55</t>
  </si>
  <si>
    <t>RANCHO BOM</t>
  </si>
  <si>
    <t>08.597.765/0004-05</t>
  </si>
  <si>
    <t>MARIA MILAGROSA</t>
  </si>
  <si>
    <t>42.426.893/0001-81</t>
  </si>
  <si>
    <t>VERATONI SUPERMERCADOS</t>
  </si>
  <si>
    <t>22.674.424/0001-74</t>
  </si>
  <si>
    <t>GREENHOUSE</t>
  </si>
  <si>
    <t>41.510.727/0001-04</t>
  </si>
  <si>
    <t>NATURA MEL</t>
  </si>
  <si>
    <t>33.099.799/0001-74</t>
  </si>
  <si>
    <t>VIDA NATURAL - EMPORIUM</t>
  </si>
  <si>
    <t>03.154.456/0001-02</t>
  </si>
  <si>
    <t>DIVINA TERRA GRAMADO</t>
  </si>
  <si>
    <t>31.395.334/0002-16</t>
  </si>
  <si>
    <t>39.555.554/0001-90</t>
  </si>
  <si>
    <t>EMPORIO BARRA VELHA PRODUTOS NATURAL</t>
  </si>
  <si>
    <t>27.782.129/0001-55</t>
  </si>
  <si>
    <t>DIVINA TERRA ERECHIM</t>
  </si>
  <si>
    <t>33.758.443/0001-03</t>
  </si>
  <si>
    <t>Ana Terra</t>
  </si>
  <si>
    <t>28.348.318/0001-87</t>
  </si>
  <si>
    <t>DIVINOSS ALIMENTACAO</t>
  </si>
  <si>
    <t>33.927.546/0001-41</t>
  </si>
  <si>
    <t>DIVINA TERRA ITAPEMA</t>
  </si>
  <si>
    <t>42.403.607/0001-62</t>
  </si>
  <si>
    <t>36.030.744/0001-04</t>
  </si>
  <si>
    <t>Divina Terra Itajaí II</t>
  </si>
  <si>
    <t>55.412.314/0001-93</t>
  </si>
  <si>
    <t>DIVINA TERRA ESTEIO RS</t>
  </si>
  <si>
    <t>39.702.520/0001-81</t>
  </si>
  <si>
    <t>DIVINA TERRA PORTO ALEGRE</t>
  </si>
  <si>
    <t>27.175.273/0001-23</t>
  </si>
  <si>
    <t>27.175.273/0002-04</t>
  </si>
  <si>
    <t>Divina Terra Praia de Belas</t>
  </si>
  <si>
    <t>51.461.811/0001-20</t>
  </si>
  <si>
    <t>DIVINA TERRA DOIS IRMAOS RS</t>
  </si>
  <si>
    <t>39.253.862/0001-61</t>
  </si>
  <si>
    <t>DIVINA TERRA VENANCIO RS</t>
  </si>
  <si>
    <t>34.120.035/0001-86</t>
  </si>
  <si>
    <t>SOARES &amp; DESTRI PRODUTOS NATURAIS LTDA MONTENEGRO 1</t>
  </si>
  <si>
    <t>40.652.613/0001-28</t>
  </si>
  <si>
    <t>DIVINA TERRA SAPIRANGA</t>
  </si>
  <si>
    <t>29.529.521/0001-12</t>
  </si>
  <si>
    <t>TEMPERO NATURAL</t>
  </si>
  <si>
    <t>12.433.743/0001-34</t>
  </si>
  <si>
    <t>ELEVE PRODUTOS NATURAIS</t>
  </si>
  <si>
    <t>29.912.195/0001-28</t>
  </si>
  <si>
    <t>BEM ME QUERO EMPORIO NATURAL</t>
  </si>
  <si>
    <t>19.547.200/0001-97</t>
  </si>
  <si>
    <t>WSB MOVEIS</t>
  </si>
  <si>
    <t>19.684.667/0001-89</t>
  </si>
  <si>
    <t>BEM NATURAL ALIMENTOS FUNCIONAIS</t>
  </si>
  <si>
    <t>19.719.096/0001-70</t>
  </si>
  <si>
    <t>FITLAND JOINVILLE CENTRO</t>
  </si>
  <si>
    <t>18.916.467/0001-41</t>
  </si>
  <si>
    <t>A &amp; C COMERCIO DE PRODUTOS NATURAIS</t>
  </si>
  <si>
    <t>22.068.856/0001-31</t>
  </si>
  <si>
    <t>27.020.646/0001-97</t>
  </si>
  <si>
    <t>DOVILLA PRODUTOS NATURAIS</t>
  </si>
  <si>
    <t>28.034.388/0001-60</t>
  </si>
  <si>
    <t>PRINT CONCORDIA</t>
  </si>
  <si>
    <t>28.147.169/0001-98</t>
  </si>
  <si>
    <t>BIVITAL</t>
  </si>
  <si>
    <t>28.220.272/0001-16</t>
  </si>
  <si>
    <t>GATO PRETO REPRESENTACOES</t>
  </si>
  <si>
    <t>29.561.187/0001-84</t>
  </si>
  <si>
    <t>ARUNA</t>
  </si>
  <si>
    <t>32.550.153/0001-07</t>
  </si>
  <si>
    <t>GAVEA SUPRIMENTOS</t>
  </si>
  <si>
    <t>34.690.323/0001-76</t>
  </si>
  <si>
    <t>ZETE BRASIL</t>
  </si>
  <si>
    <t>35.747.217/0001-44</t>
  </si>
  <si>
    <t>GIASA EMPORIO NATURAL</t>
  </si>
  <si>
    <t>36.524.337/0001-45</t>
  </si>
  <si>
    <t>36.612.675 IVANI MARIA NIENOV SEBASTIANY</t>
  </si>
  <si>
    <t>36.612.675/0001-39</t>
  </si>
  <si>
    <t>37.747.081 ANDREIA MADALENA DE SOUZA</t>
  </si>
  <si>
    <t>37.747.081/0001-06</t>
  </si>
  <si>
    <t>39.624.867/0001-53</t>
  </si>
  <si>
    <t>AFS VIDEIRA - SC</t>
  </si>
  <si>
    <t>41.073.559/0001-29</t>
  </si>
  <si>
    <t>VIDA LEVE PRODUTOS NATURAIS</t>
  </si>
  <si>
    <t>40.421.709/0001-85</t>
  </si>
  <si>
    <t>MILENA CACERES DA FONTOURA</t>
  </si>
  <si>
    <t>40.569.178/0001-72</t>
  </si>
  <si>
    <t>Naturalmente Produtos Naturais e Orgânicos</t>
  </si>
  <si>
    <t>40.711.977/0001-31</t>
  </si>
  <si>
    <t>40.961.888 LUIZ AUGUSTO VANZ</t>
  </si>
  <si>
    <t>40.961.888/0001-43</t>
  </si>
  <si>
    <t>GC FERREIRA</t>
  </si>
  <si>
    <t>41.249.797/0001-42</t>
  </si>
  <si>
    <t>NATURAIS PRODUTOS E ESPECIARIAS</t>
  </si>
  <si>
    <t>41.442.665/0001-32</t>
  </si>
  <si>
    <t>VIVA MAIS NATURAL</t>
  </si>
  <si>
    <t>41.517.902/0001-87</t>
  </si>
  <si>
    <t>VIDA LEVE</t>
  </si>
  <si>
    <t>42.288.031/0001-30</t>
  </si>
  <si>
    <t>43.631.046 JOSIELI DE SOUZA</t>
  </si>
  <si>
    <t>43.631.046/0001-11</t>
  </si>
  <si>
    <t>45.611.327 TAIS APOLINARIO KLEIN</t>
  </si>
  <si>
    <t>45.611.327/0001-38</t>
  </si>
  <si>
    <t>MELISSA ROHRBACHER DA SILVA</t>
  </si>
  <si>
    <t>46.685.493/0001-41</t>
  </si>
  <si>
    <t>47.577.436/0001-01</t>
  </si>
  <si>
    <t>47.661.498/0001-05</t>
  </si>
  <si>
    <t>48.897.578/0001-19</t>
  </si>
  <si>
    <t>ALINE DALLAGNOL</t>
  </si>
  <si>
    <t>49.009.185/0001-94</t>
  </si>
  <si>
    <t>CELEIRO ALECRIM</t>
  </si>
  <si>
    <t>49.164.754/0001-76</t>
  </si>
  <si>
    <t>EMPORIO LIMOEIRO</t>
  </si>
  <si>
    <t>49.168.359/0001-61</t>
  </si>
  <si>
    <t>NUTRICAO E ARTE</t>
  </si>
  <si>
    <t>49.188.699/0001-54</t>
  </si>
  <si>
    <t>DA TERRA TEMPEROS E ESPECIARIAS</t>
  </si>
  <si>
    <t>49.291.961/0001-91</t>
  </si>
  <si>
    <t>LIMAO GALEGO PRODUTOS NATURAIS</t>
  </si>
  <si>
    <t>49.353.191/0001-64</t>
  </si>
  <si>
    <t>NATTURE PRODUTOS NATURAIS</t>
  </si>
  <si>
    <t>49.380.414/0001-82</t>
  </si>
  <si>
    <t>ARMAZEM OLIVEIRA</t>
  </si>
  <si>
    <t>49.416.162/0001-02</t>
  </si>
  <si>
    <t>SOUL SAUDE</t>
  </si>
  <si>
    <t>49.442.648/0001-07</t>
  </si>
  <si>
    <t>ARMAZEM LANALLU</t>
  </si>
  <si>
    <t>49.461.768/0001-51</t>
  </si>
  <si>
    <t>SK PRODUTOS NATURAIS</t>
  </si>
  <si>
    <t>49.548.291/0001-46</t>
  </si>
  <si>
    <t>CELEIRO OLIVA</t>
  </si>
  <si>
    <t>49.638.250/0001-40</t>
  </si>
  <si>
    <t>Espaço Saúde Produtos Naturais</t>
  </si>
  <si>
    <t>49.641.497/0001-16</t>
  </si>
  <si>
    <t>49.659.053/0001-08</t>
  </si>
  <si>
    <t>PONTO VERDE</t>
  </si>
  <si>
    <t>49.671.361/0001-59</t>
  </si>
  <si>
    <t>49.704.144 YARA PRUDENCIO DA SILVA ALVES CARVALHO</t>
  </si>
  <si>
    <t>49.704.144/0001-18</t>
  </si>
  <si>
    <t>49.737.846 MARIA CAROLINA ROSA ANTUNES</t>
  </si>
  <si>
    <t>49.737.846/0001-06</t>
  </si>
  <si>
    <t>INCLUSIVA CHOCOLATERIA</t>
  </si>
  <si>
    <t>49.971.762/0001-24</t>
  </si>
  <si>
    <t>CIA DO VINHO</t>
  </si>
  <si>
    <t>35.902.995/0001-60</t>
  </si>
  <si>
    <t>GRAO DA ILHA</t>
  </si>
  <si>
    <t>50.054.440/0001-08</t>
  </si>
  <si>
    <t>PROSAUDE BRAGANEY</t>
  </si>
  <si>
    <t>50.088.222/0001-86</t>
  </si>
  <si>
    <t>BVRS</t>
  </si>
  <si>
    <t>50.117.013/0001-13</t>
  </si>
  <si>
    <t>OPIS! PRODUTOS NATURAIS</t>
  </si>
  <si>
    <t>50.182.712/0001-47</t>
  </si>
  <si>
    <t>HORTIFRUTI DIAS</t>
  </si>
  <si>
    <t>50.229.135/0001-00</t>
  </si>
  <si>
    <t>3 MARIAS PRODUTOS NATURAIS</t>
  </si>
  <si>
    <t>50.416.694/0001-10</t>
  </si>
  <si>
    <t>EQUILIBRIO PRODUTOS NATURAIS E SUPLEMENTOS</t>
  </si>
  <si>
    <t>50.483.373/0001-39</t>
  </si>
  <si>
    <t>CASA DO GRANEL - PRODUTOS NATURAIS</t>
  </si>
  <si>
    <t>50.508.699/0001-73</t>
  </si>
  <si>
    <t>NATURAL FITNESS</t>
  </si>
  <si>
    <t>50.658.044/0001-81</t>
  </si>
  <si>
    <t>50.711.687/0001-41</t>
  </si>
  <si>
    <t>CELEIRO</t>
  </si>
  <si>
    <t>50.746.642/0001-02</t>
  </si>
  <si>
    <t>CHEF MAIS LEVE</t>
  </si>
  <si>
    <t>50.764.180/0001-56</t>
  </si>
  <si>
    <t>SABORES E GRAOS</t>
  </si>
  <si>
    <t>50.969.798/0001-52</t>
  </si>
  <si>
    <t>BIO GRANO - SUPLEMENTOS E PRODUTOS NATURAIS</t>
  </si>
  <si>
    <t>51.228.478/0001-04</t>
  </si>
  <si>
    <t>SALUTE NATURAIS QUATRO BARRAS</t>
  </si>
  <si>
    <t>51.613.874/0001-55</t>
  </si>
  <si>
    <t>51.830.360 ANA MARIA GONCALVES DA SILVA JACYNTHO</t>
  </si>
  <si>
    <t>51.830.360/0001-51</t>
  </si>
  <si>
    <t>EMPORIUM VIVA A VIDA SAUDAVEL</t>
  </si>
  <si>
    <t>51.899.787/0001-06</t>
  </si>
  <si>
    <t>NATURALE SABOR E SAUDE</t>
  </si>
  <si>
    <t>51.924.211/0001-51</t>
  </si>
  <si>
    <t>52.142.948 FAVIANA ISABEL PUENTES GUILLEN</t>
  </si>
  <si>
    <t>52.142.948/0001-85</t>
  </si>
  <si>
    <t>LEILA MARQUES DA SILVA</t>
  </si>
  <si>
    <t>52.342.000/0001-73</t>
  </si>
  <si>
    <t>52.514.245 EDILAINE PERUSSO</t>
  </si>
  <si>
    <t>52.514.245/0001-30</t>
  </si>
  <si>
    <t>52.544.221 DALINE GUERRO</t>
  </si>
  <si>
    <t>52.544.221/0001-24</t>
  </si>
  <si>
    <t>MANDAKARU EMPORIO GOURMET</t>
  </si>
  <si>
    <t>52.665.425/0001-13</t>
  </si>
  <si>
    <t>CONFRARIA NATURAL</t>
  </si>
  <si>
    <t>53.094.772/0001-04</t>
  </si>
  <si>
    <t>Viver com Saúde</t>
  </si>
  <si>
    <t>53.162.733/0001-99</t>
  </si>
  <si>
    <t>54.028.917 BRYANN LUCAS LOCATELLI</t>
  </si>
  <si>
    <t>54.028.917/0001-23</t>
  </si>
  <si>
    <t>54.248.508 KAMILE DO ROCIO RODRIGUES SILVA</t>
  </si>
  <si>
    <t>54.248.508/0001-32</t>
  </si>
  <si>
    <t>54.294.207 NICOLI TAUANA VOLTOLINI ZIMERMANN</t>
  </si>
  <si>
    <t>54.294.207/0001-45</t>
  </si>
  <si>
    <t>VIDA E SAÚDE MP</t>
  </si>
  <si>
    <t>54.345.643/0001-04</t>
  </si>
  <si>
    <t>54.455.697/0001-14</t>
  </si>
  <si>
    <t>54.676.349/0001-77</t>
  </si>
  <si>
    <t>54.926.770 PRISCILA BRUM PAIM</t>
  </si>
  <si>
    <t>54.926.770/0001-99</t>
  </si>
  <si>
    <t>IMPERIO ADONAI</t>
  </si>
  <si>
    <t>55.175.614/0001-04</t>
  </si>
  <si>
    <t>55.270.568 GISELE REGINA OLIVEIRA MUNIZ ARSENIO ROSA DE LIZ</t>
  </si>
  <si>
    <t>55.270.568/0001-14</t>
  </si>
  <si>
    <t>55.414.754/0001-80</t>
  </si>
  <si>
    <t>EMPORIO BANCA DO NANDO</t>
  </si>
  <si>
    <t>17.967.914/0001-29</t>
  </si>
  <si>
    <t>MERCADO DA CASTANHA</t>
  </si>
  <si>
    <t>35.137.970/0001-18</t>
  </si>
  <si>
    <t>BEM ESTAR PRODUTOS NATURAIS</t>
  </si>
  <si>
    <t>12.702.063/0001-79</t>
  </si>
  <si>
    <t>AFS SANTO ANTONIO DA PLATINA - PR</t>
  </si>
  <si>
    <t>43.373.921/0001-02</t>
  </si>
  <si>
    <t>EMPORIO PRO SAUDE</t>
  </si>
  <si>
    <t>28.871.647/0001-08</t>
  </si>
  <si>
    <t>ESTACAO DAS SEMENTES</t>
  </si>
  <si>
    <t>42.019.062/0001-95</t>
  </si>
  <si>
    <t>GREEN DAY</t>
  </si>
  <si>
    <t>35.284.965/0001-38</t>
  </si>
  <si>
    <t>PRÓ SAÚDE ITUPORANGA</t>
  </si>
  <si>
    <t>41.607.567/0001-08</t>
  </si>
  <si>
    <t>VIDA BOA - MERCADO SAUDAVEL</t>
  </si>
  <si>
    <t>21.061.887/0001-06</t>
  </si>
  <si>
    <t>SABOR &amp; CIA</t>
  </si>
  <si>
    <t>02.895.335/0001-40</t>
  </si>
  <si>
    <t>açafrão da terra lagoa</t>
  </si>
  <si>
    <t>38.001.934/0001-10</t>
  </si>
  <si>
    <t>ACAI ORIGENS</t>
  </si>
  <si>
    <t>21.347.400/0001-48</t>
  </si>
  <si>
    <t>Biomundo Blumenau</t>
  </si>
  <si>
    <t>43.249.369/0001-45</t>
  </si>
  <si>
    <t>INUTTRE EMPORIO NATURAL</t>
  </si>
  <si>
    <t>46.342.740/0001-07</t>
  </si>
  <si>
    <t>SÓ SAÚDE PRODUTOS NATURAIS</t>
  </si>
  <si>
    <t>13.336.925/0001-50</t>
  </si>
  <si>
    <t>ACE ASSESSORIA EMPRESARIAL</t>
  </si>
  <si>
    <t>38.160.689/0001-94</t>
  </si>
  <si>
    <t>EMPORIO SALUTARE - CONSUMINDO QUALIDADE EM SAUDE</t>
  </si>
  <si>
    <t>39.359.675/0001-67</t>
  </si>
  <si>
    <t>KAIROS PRODUTOS NATURAIS</t>
  </si>
  <si>
    <t>40.535.482/0001-07</t>
  </si>
  <si>
    <t>21.824.220/0001-00</t>
  </si>
  <si>
    <t>GRANU EMPORIO NATURAL</t>
  </si>
  <si>
    <t>44.210.183/0001-45</t>
  </si>
  <si>
    <t>40.043.608/0001-18</t>
  </si>
  <si>
    <t>AHARA PRODUTOS NATURAIS</t>
  </si>
  <si>
    <t>43.207.693/0001-09</t>
  </si>
  <si>
    <t>PRODUTOS NATURAIS FLORA AZUL</t>
  </si>
  <si>
    <t>34.466.725/0001-91</t>
  </si>
  <si>
    <t>91.234.773/0001-98</t>
  </si>
  <si>
    <t>EMPORIO VIVA NATURAL</t>
  </si>
  <si>
    <t>15.704.113/0001-45</t>
  </si>
  <si>
    <t>NUTRI VIDA - EQUIPE ALAN CARLOS PRESTES</t>
  </si>
  <si>
    <t>32.626.591/0001-01</t>
  </si>
  <si>
    <t>NUTRI MAIS</t>
  </si>
  <si>
    <t>29.852.157/0001-27</t>
  </si>
  <si>
    <t>NUTRITIVA BISTRO - ALIMENTACAO SAUDAVEL</t>
  </si>
  <si>
    <t>43.783.148/0001-52</t>
  </si>
  <si>
    <t>COMERCIAL BOGONI</t>
  </si>
  <si>
    <t>23.910.332/0001-09</t>
  </si>
  <si>
    <t>28.168.361/0001-60</t>
  </si>
  <si>
    <t>ALDEBARAN MONTEIRO ANGREVES</t>
  </si>
  <si>
    <t>35.423.131/0001-66</t>
  </si>
  <si>
    <t>ALECA</t>
  </si>
  <si>
    <t>07.002.649/0001-90</t>
  </si>
  <si>
    <t>NAÇÃO VERDE SANTA CRUZ DO SUL</t>
  </si>
  <si>
    <t>29.688.308/0001-53</t>
  </si>
  <si>
    <t>ALEM DO CACAU</t>
  </si>
  <si>
    <t>53.302.466/0001-08</t>
  </si>
  <si>
    <t>FINO SABOR MERCEARIA GOURMET</t>
  </si>
  <si>
    <t>24.320.589/0001-73</t>
  </si>
  <si>
    <t>37.410.787/0001-70</t>
  </si>
  <si>
    <t>ESPACO NATURAL</t>
  </si>
  <si>
    <t>40.303.014/0001-07</t>
  </si>
  <si>
    <t>VITALE PRODUTOS NATURAIS</t>
  </si>
  <si>
    <t>42.597.733/0001-03</t>
  </si>
  <si>
    <t>NATURALE</t>
  </si>
  <si>
    <t>35.072.249/0001-97</t>
  </si>
  <si>
    <t>NUTRISPORT</t>
  </si>
  <si>
    <t>38.464.219/0001-14</t>
  </si>
  <si>
    <t>FLOR DE CALENDULA</t>
  </si>
  <si>
    <t>23.489.454/0001-73</t>
  </si>
  <si>
    <t>KILO E CIA PRODUTOS A GRANEL.</t>
  </si>
  <si>
    <t>34.985.567/0001-86</t>
  </si>
  <si>
    <t>MCL - DISTRIBUIDORA DE PRODUTOS NATURAIS</t>
  </si>
  <si>
    <t>29.943.155/0001-43</t>
  </si>
  <si>
    <t>NATUR'ALL</t>
  </si>
  <si>
    <t>35.317.316/0001-96</t>
  </si>
  <si>
    <t>VIDA MIX PRODUTOS NATURAIS</t>
  </si>
  <si>
    <t>40.601.877/0001-52</t>
  </si>
  <si>
    <t>MANAH NATURAL</t>
  </si>
  <si>
    <t>39.606.265/0001-73</t>
  </si>
  <si>
    <t>21.437.971/0001-73</t>
  </si>
  <si>
    <t>NECTAR VITAL CONFEITARIA SAUDAVEL</t>
  </si>
  <si>
    <t>42.934.465/0001-60</t>
  </si>
  <si>
    <t>376.400.418-56</t>
  </si>
  <si>
    <t>Amora Produtos naturais</t>
  </si>
  <si>
    <t>33.015.831/0001-96</t>
  </si>
  <si>
    <t>FITLAND FLORIANOPOLIS</t>
  </si>
  <si>
    <t>34.150.781/0001-12</t>
  </si>
  <si>
    <t>FITLAND CONTAINER SAUDE ESPORTE E NUTRIÇÃO</t>
  </si>
  <si>
    <t>17.351.223/0001-04</t>
  </si>
  <si>
    <t>SOLEVITA PRODUTOS NATURAIS</t>
  </si>
  <si>
    <t>36.951.987/0001-77</t>
  </si>
  <si>
    <t>ARMAZEM DO GRAO RG</t>
  </si>
  <si>
    <t>37.511.212/0001-43</t>
  </si>
  <si>
    <t>BELLA VITA ALIMENTOS</t>
  </si>
  <si>
    <t>11.915.115/0001-22</t>
  </si>
  <si>
    <t>ALLES GRUN PRODUTOS NATURAIS</t>
  </si>
  <si>
    <t>35.251.096/0001-45</t>
  </si>
  <si>
    <t>ALMENDRAS EMPORIUM</t>
  </si>
  <si>
    <t>12.320.442/0001-02</t>
  </si>
  <si>
    <t>ALO EMBALAGENS</t>
  </si>
  <si>
    <t>04.744.695/0001-77</t>
  </si>
  <si>
    <t>SOTTI SILVA</t>
  </si>
  <si>
    <t>31.420.497/0001-20</t>
  </si>
  <si>
    <t>DOM EKO ORGANICOS</t>
  </si>
  <si>
    <t>42.128.283/0001-00</t>
  </si>
  <si>
    <t>Eleve produtos naturais</t>
  </si>
  <si>
    <t>34.370.589/0001-31</t>
  </si>
  <si>
    <t>AMAZÔNIA NATIVA</t>
  </si>
  <si>
    <t>22.408.091/0001-31</t>
  </si>
  <si>
    <t>AME GASTRONOMIA FUNCIONAL (MATRIZ)</t>
  </si>
  <si>
    <t>20.122.095/0001-23</t>
  </si>
  <si>
    <t>41.881.406/0001-08</t>
  </si>
  <si>
    <t>03.851.333/0001-12</t>
  </si>
  <si>
    <t>AMMO FUNCIONAL ALIMENTOS</t>
  </si>
  <si>
    <t>49.298.004/0001-97</t>
  </si>
  <si>
    <t>AMOA BAKERY</t>
  </si>
  <si>
    <t>19.113.617/0001-41</t>
  </si>
  <si>
    <t>AMORA ESPACO SAUDE LTDA</t>
  </si>
  <si>
    <t>24.103.626/0002-72</t>
  </si>
  <si>
    <t>EMPORIO DA KUTE</t>
  </si>
  <si>
    <t>22.621.900/0001-99</t>
  </si>
  <si>
    <t>33.630.579/0001-25</t>
  </si>
  <si>
    <t>SHOP NATURAL</t>
  </si>
  <si>
    <t>40.770.680/0001-47</t>
  </si>
  <si>
    <t>ESSENCIA SAUDAVEL</t>
  </si>
  <si>
    <t>42.885.688/0001-84</t>
  </si>
  <si>
    <t>ARMAZEM SECOS &amp; MOLHADOS</t>
  </si>
  <si>
    <t>40.852.662/0001-04</t>
  </si>
  <si>
    <t>ARMAZÉM DOS ORGÂNICOS</t>
  </si>
  <si>
    <t>14.979.599/0001-61</t>
  </si>
  <si>
    <t>ALEGRAR NATURAIS</t>
  </si>
  <si>
    <t>20.505.638/0001-91</t>
  </si>
  <si>
    <t>NATURALY</t>
  </si>
  <si>
    <t>36.702.441/0001-82</t>
  </si>
  <si>
    <t>NUTRIE PRODUTOS NATURAIS</t>
  </si>
  <si>
    <t>45.989.885/0001-31</t>
  </si>
  <si>
    <t>PRODUTOS CASEIROS JUNCKES</t>
  </si>
  <si>
    <t>18.430.281/0001-88</t>
  </si>
  <si>
    <t>EMPÓRIO DO FELIPE</t>
  </si>
  <si>
    <t>32.145.431/0001-32</t>
  </si>
  <si>
    <t>DELLANA</t>
  </si>
  <si>
    <t>45.571.404/0001-73</t>
  </si>
  <si>
    <t>VIVA MAIS PRODUTOS NATURAIS</t>
  </si>
  <si>
    <t>40.362.641/0001-00</t>
  </si>
  <si>
    <t>ARMAZEM CAPIM LIMÃO</t>
  </si>
  <si>
    <t>28.998.444/0001-87</t>
  </si>
  <si>
    <t>ARMAZEM NATURAL</t>
  </si>
  <si>
    <t>15.380.599/0001-03</t>
  </si>
  <si>
    <t>17.758.804/0001-57</t>
  </si>
  <si>
    <t>NUTRI VIDA PRODUTOS NATURAIS</t>
  </si>
  <si>
    <t>41.600.490/0001-44</t>
  </si>
  <si>
    <t>ALBANO' S PRODUTOS NATURAIS</t>
  </si>
  <si>
    <t>33.621.596/0001-04</t>
  </si>
  <si>
    <t>CRIATIVA MODAS</t>
  </si>
  <si>
    <t>32.340.635/0001-24</t>
  </si>
  <si>
    <t>PRÓ SAUDE</t>
  </si>
  <si>
    <t>36.224.140/0001-90</t>
  </si>
  <si>
    <t>COOKIES ARTESANAIS E CONFEITARIA</t>
  </si>
  <si>
    <t>29.839.960/0001-21</t>
  </si>
  <si>
    <t>EMPÓRIO DOS GRÃOS</t>
  </si>
  <si>
    <t>10.374.751/0001-21</t>
  </si>
  <si>
    <t>PRO SAUDE CELEIRO MATELANDIA</t>
  </si>
  <si>
    <t>29.473.647/0001-12</t>
  </si>
  <si>
    <t>30.850.584/0001-55</t>
  </si>
  <si>
    <t>TRIBO DO GRAO</t>
  </si>
  <si>
    <t>39.670.002/0001-23</t>
  </si>
  <si>
    <t>QUITANDA DO CEREAL</t>
  </si>
  <si>
    <t>47.389.122/0001-85</t>
  </si>
  <si>
    <t>DA ILHA EMPORIO DE PRODUTOS NATURAIS</t>
  </si>
  <si>
    <t>17.655.116/0001-61</t>
  </si>
  <si>
    <t>NUTTRIMIX - PRODUTOS NATURAIS E SUPLEMENTOS ALIMENTARES</t>
  </si>
  <si>
    <t>24.880.157/0001-17</t>
  </si>
  <si>
    <t>LA TORRE DO VINHO VO LUIZ</t>
  </si>
  <si>
    <t>07.091.866/0001-02</t>
  </si>
  <si>
    <t>BENEVIVA</t>
  </si>
  <si>
    <t>50.265.500/0001-23</t>
  </si>
  <si>
    <t>ANIS E AROMAS PRODUTOS NATURAIS LTDA</t>
  </si>
  <si>
    <t>41.467.591/0001-99</t>
  </si>
  <si>
    <t>CASA DA NUTRICAO</t>
  </si>
  <si>
    <t>29.563.609/0001-50</t>
  </si>
  <si>
    <t>ANNIS PRODUTOS NATURAIS</t>
  </si>
  <si>
    <t>38.012.319/0001-00</t>
  </si>
  <si>
    <t>PROSAUDE CORBELIA</t>
  </si>
  <si>
    <t>39.744.942/0001-10</t>
  </si>
  <si>
    <t>AO NATURAL PRODUTOS NATURAIS</t>
  </si>
  <si>
    <t>11.061.653/0001-05</t>
  </si>
  <si>
    <t>PANIGOOD</t>
  </si>
  <si>
    <t>22.414.527/0001-03</t>
  </si>
  <si>
    <t>ARENA DOST BEACH</t>
  </si>
  <si>
    <t>49.742.135/0001-11</t>
  </si>
  <si>
    <t>ARENA FIT STORE</t>
  </si>
  <si>
    <t>41.605.670/0001-19</t>
  </si>
  <si>
    <t>ALTERNATIVA SAUDÁVEL PRODUTOS NATURAIS</t>
  </si>
  <si>
    <t>43.451.132/0001-42</t>
  </si>
  <si>
    <t>ARMARINHO DOS GRÃOS</t>
  </si>
  <si>
    <t>22.254.303/0001-73</t>
  </si>
  <si>
    <t>FITLAND ITAJAI</t>
  </si>
  <si>
    <t>42.734.557/0002-87</t>
  </si>
  <si>
    <t>FITLAND BRUSQUE</t>
  </si>
  <si>
    <t>37.849.315/0001-18</t>
  </si>
  <si>
    <t>MAIS NATURAL IJUÍ</t>
  </si>
  <si>
    <t>51.335.042/0001-14</t>
  </si>
  <si>
    <t>MAIS NATURAL PRODUTOS NATURAIS</t>
  </si>
  <si>
    <t>37.837.751/0001-77</t>
  </si>
  <si>
    <t>MAIS NATURAL ALEGRIA</t>
  </si>
  <si>
    <t>24.843.137/0001-76</t>
  </si>
  <si>
    <t>MAIS NATURAL SANTA ROSA</t>
  </si>
  <si>
    <t>32.623.103/0001-02</t>
  </si>
  <si>
    <t>MAIS NATURAL PASSO FUNDO</t>
  </si>
  <si>
    <t>43.116.265/0001-62</t>
  </si>
  <si>
    <t>MAIS NATURAL CAPINZAL</t>
  </si>
  <si>
    <t>35.894.972/0001-51</t>
  </si>
  <si>
    <t>MAIS NATURAL PORTO XAVIER</t>
  </si>
  <si>
    <t>36.618.443/0001-98</t>
  </si>
  <si>
    <t>MAIS NATURAL PINHAO</t>
  </si>
  <si>
    <t>41.159.139/0001-60</t>
  </si>
  <si>
    <t>36.255.160/0001-29</t>
  </si>
  <si>
    <t>MAIS NATURAL SANTA MARIA</t>
  </si>
  <si>
    <t>40.431.050/0001-48</t>
  </si>
  <si>
    <t>17.880.439/0001-59</t>
  </si>
  <si>
    <t>34.003.296/0001-16</t>
  </si>
  <si>
    <t>18.339.360/0001-88</t>
  </si>
  <si>
    <t>24.034.083/0001-06</t>
  </si>
  <si>
    <t>21.514.144/0001-36</t>
  </si>
  <si>
    <t>MAIS NATURAL HORIZONTINA</t>
  </si>
  <si>
    <t>16.782.520/0001-33</t>
  </si>
  <si>
    <t>MAIS NATURAL GIRUA</t>
  </si>
  <si>
    <t>25.376.074/0001-58</t>
  </si>
  <si>
    <t>MAIS NATURAL SANTO CRISTO</t>
  </si>
  <si>
    <t>27.503.957/0001-07</t>
  </si>
  <si>
    <t>VITTONI COMERCIO DE PRODUTOS NATURAIS</t>
  </si>
  <si>
    <t>30.515.235/0001-87</t>
  </si>
  <si>
    <t>32.451.003/0001-38</t>
  </si>
  <si>
    <t>FLORIPA VIDA SAUDAVEL LTDA</t>
  </si>
  <si>
    <t>09.639.996/0001-54</t>
  </si>
  <si>
    <t>MAPA PRODUTOS NATURAIS LTDA</t>
  </si>
  <si>
    <t>31.923.112/0001-48</t>
  </si>
  <si>
    <t>MUNDO VERDE - JOINVILLE</t>
  </si>
  <si>
    <t>11.860.220/0001-01</t>
  </si>
  <si>
    <t>23.367.160/0001-79</t>
  </si>
  <si>
    <t>18.019.481/0001-42</t>
  </si>
  <si>
    <t>TUDO EM GRÃOS - PELOTAS</t>
  </si>
  <si>
    <t>37.306.932/0001-77</t>
  </si>
  <si>
    <t>TUDO EM GRAOS SANTA MONICA FLORIPA</t>
  </si>
  <si>
    <t>50.624.913/0001-57</t>
  </si>
  <si>
    <t>ARMAZEM BONATTO</t>
  </si>
  <si>
    <t>09.216.310/0001-12</t>
  </si>
  <si>
    <t>ARMAZEM DOS PRESENTES</t>
  </si>
  <si>
    <t>13.700.355/0001-35</t>
  </si>
  <si>
    <t>ARMAZEM DO CENTRO</t>
  </si>
  <si>
    <t>35.108.310/0001-09</t>
  </si>
  <si>
    <t>ARMAZEM DO GRANEL</t>
  </si>
  <si>
    <t>39.852.887/0001-81</t>
  </si>
  <si>
    <t>ARMAZÉM DONA VINNA PRODUTOS NATURAIS</t>
  </si>
  <si>
    <t>45.495.448/0001-61</t>
  </si>
  <si>
    <t>ARMAZEM DOS GRAOS</t>
  </si>
  <si>
    <t>33.809.874/0001-43</t>
  </si>
  <si>
    <t>AFS GARIBALDI - RS</t>
  </si>
  <si>
    <t>34.404.593/0001-73</t>
  </si>
  <si>
    <t>ARMAZEM NATUREBA</t>
  </si>
  <si>
    <t>40.871.066/0001-71</t>
  </si>
  <si>
    <t>ARMAZEM SAO BENTO LTDA</t>
  </si>
  <si>
    <t>41.482.849/0001-26</t>
  </si>
  <si>
    <t>AFS CAXIAS DO SUL - RS</t>
  </si>
  <si>
    <t>28.240.922/0001-95</t>
  </si>
  <si>
    <t>ARMAZEM VERDE</t>
  </si>
  <si>
    <t>21.617.756/0001-54</t>
  </si>
  <si>
    <t>ARMAZÉM VITAL</t>
  </si>
  <si>
    <t>05.376.415/0001-88</t>
  </si>
  <si>
    <t>AROMA DE HORTELA</t>
  </si>
  <si>
    <t>ORZO COZI</t>
  </si>
  <si>
    <t>90.425.026/0001-74</t>
  </si>
  <si>
    <t>ARTEMIS PRODUTOS NATURAIS</t>
  </si>
  <si>
    <t>79.007.530/0001-11</t>
  </si>
  <si>
    <t>NUTRITIVA PRODUTOS NATURAIS</t>
  </si>
  <si>
    <t>44.309.491/0001-22</t>
  </si>
  <si>
    <t>ARMAZEM 314</t>
  </si>
  <si>
    <t>39.920.274/0001-34</t>
  </si>
  <si>
    <t>ATELIE NATURAL</t>
  </si>
  <si>
    <t>18.304.512/0001-07</t>
  </si>
  <si>
    <t>ATITUDE VERDE</t>
  </si>
  <si>
    <t>26.997.644/0001-90</t>
  </si>
  <si>
    <t>CHA E VITTA</t>
  </si>
  <si>
    <t>42.435.340/0001-95</t>
  </si>
  <si>
    <t>HORTIFRUTI ALDO E EMPORIO DOS GRAOS FONTANA</t>
  </si>
  <si>
    <t>23.994.045/0001-24</t>
  </si>
  <si>
    <t>10.143.993/0002-95</t>
  </si>
  <si>
    <t>EMPORIUM NUTRIBOM PRODUTOS NATURAIS</t>
  </si>
  <si>
    <t>02.523.805/0002-26</t>
  </si>
  <si>
    <t>CIA DA SAUDE SPORTS NUTRITION</t>
  </si>
  <si>
    <t>08.986.931/0001-12</t>
  </si>
  <si>
    <t>AVOCADO PRODUTOS NATURAIS</t>
  </si>
  <si>
    <t>42.000.517/0001-20</t>
  </si>
  <si>
    <t>AVOKADO NUTRICAO SAUDAVEL</t>
  </si>
  <si>
    <t>47.519.470/0001-20</t>
  </si>
  <si>
    <t>BELA VIDA PRODUTOS NATURAIS</t>
  </si>
  <si>
    <t>43.543.006/0001-18</t>
  </si>
  <si>
    <t>BACETTO &amp; CAMPOS LTDA</t>
  </si>
  <si>
    <t>45.570.659/0001-11</t>
  </si>
  <si>
    <t>CONFEITARIA Q DELICIA-PR</t>
  </si>
  <si>
    <t>81.437.352/0001-00</t>
  </si>
  <si>
    <t>BAMBOO BOX</t>
  </si>
  <si>
    <t>51.492.788/0001-31</t>
  </si>
  <si>
    <t>BAMBOO EMPORIO DE PRODUTOS SAUDAVEIS</t>
  </si>
  <si>
    <t>51.958.662/0001-00</t>
  </si>
  <si>
    <t>BANANA DA TERRA PRODUTOS NATURAIS</t>
  </si>
  <si>
    <t>44.409.122/0001-01</t>
  </si>
  <si>
    <t>04.380.116/0001-54</t>
  </si>
  <si>
    <t>BANCA DO PORTUGA COMERCIO E SERVICOS LTDA (PROSPECT)</t>
  </si>
  <si>
    <t>07.036.538/0001-03</t>
  </si>
  <si>
    <t>JOYTABLE</t>
  </si>
  <si>
    <t>36.874.867/0001-13</t>
  </si>
  <si>
    <t>EMPORIO BEM ESTAR</t>
  </si>
  <si>
    <t>43.966.248/0001-14</t>
  </si>
  <si>
    <t>14.364.047/0001-49</t>
  </si>
  <si>
    <t>BATEZINI PRODUTOS NATURAIS LTDA</t>
  </si>
  <si>
    <t>45.181.418/0001-80</t>
  </si>
  <si>
    <t>ACAI E CEREAIS</t>
  </si>
  <si>
    <t>07.169.073/0001-50</t>
  </si>
  <si>
    <t>ARMAZEM DE CEREAIS</t>
  </si>
  <si>
    <t>03.979.024/0001-22</t>
  </si>
  <si>
    <t>CUQUISSIMA</t>
  </si>
  <si>
    <t>23.487.526/0001-43</t>
  </si>
  <si>
    <t>LOVE SUGAR POR JU NICOLAU</t>
  </si>
  <si>
    <t>09.590.310/0001-88</t>
  </si>
  <si>
    <t>BELALUPA</t>
  </si>
  <si>
    <t>41.455.508/0001-61</t>
  </si>
  <si>
    <t>53.015.172/0001-03</t>
  </si>
  <si>
    <t>BEM DITA MISTURA ALIMENTOS SEM GLUTEN</t>
  </si>
  <si>
    <t>29.845.217/0001-84</t>
  </si>
  <si>
    <t>BEM ESTAR - PRODUTOS NATURAIS</t>
  </si>
  <si>
    <t>15.619.958/0001-32</t>
  </si>
  <si>
    <t>SAUDE NATURAL COMERCIO</t>
  </si>
  <si>
    <t>53.939.218/0001-72</t>
  </si>
  <si>
    <t>BEM TI QUERO PRODUTOS NATURAIS</t>
  </si>
  <si>
    <t>38.530.120/0001-73</t>
  </si>
  <si>
    <t>GRANO AZUL PRODUTOS NATURAIS</t>
  </si>
  <si>
    <t>38.437.787/0001-26</t>
  </si>
  <si>
    <t>NATURE RINCAO</t>
  </si>
  <si>
    <t>08.932.978/0001-01</t>
  </si>
  <si>
    <t>BENA PRODUTOS NATURAIS</t>
  </si>
  <si>
    <t>49.205.715/0001-70</t>
  </si>
  <si>
    <t>Empório Bendita Terra</t>
  </si>
  <si>
    <t>38.092.922/0001-49</t>
  </si>
  <si>
    <t>BETANIA MOREIRA RODRIGUES 69885001034</t>
  </si>
  <si>
    <t>33.743.482/0001-29</t>
  </si>
  <si>
    <t>BETHEL</t>
  </si>
  <si>
    <t>44.023.987/0001-35</t>
  </si>
  <si>
    <t>BETOGRAOS PRODUTOS NATURAIS</t>
  </si>
  <si>
    <t>33.432.241/0001-69</t>
  </si>
  <si>
    <t>NUTRIDOVE ALIMENTOS SAUDAVEIS</t>
  </si>
  <si>
    <t>38.149.656/0001-43</t>
  </si>
  <si>
    <t>CRISTINA BALSINI CONFEITARIA SAUDAVEL</t>
  </si>
  <si>
    <t>30.035.181/0001-52</t>
  </si>
  <si>
    <t>EVEL PRODUTOS NATURAIS</t>
  </si>
  <si>
    <t>52.966.961/0001-59</t>
  </si>
  <si>
    <t>EMPORIO GERACAO</t>
  </si>
  <si>
    <t>42.491.684/0001-11</t>
  </si>
  <si>
    <t>ESPACO BIOFILICO</t>
  </si>
  <si>
    <t>39.981.710/0001-85</t>
  </si>
  <si>
    <t>CASA A GRANEL</t>
  </si>
  <si>
    <t>45.096.114/0001-15</t>
  </si>
  <si>
    <t>CASA DOS AROMAS &amp; SINET ESPORTES</t>
  </si>
  <si>
    <t>07.768.472/0001-38</t>
  </si>
  <si>
    <t>BIO MUNDO FOZ</t>
  </si>
  <si>
    <t>30.109.429/0001-82</t>
  </si>
  <si>
    <t>BIO NATURAL</t>
  </si>
  <si>
    <t>41.285.843/0001-69</t>
  </si>
  <si>
    <t>BIO VITAL BRASIL</t>
  </si>
  <si>
    <t>37.234.766/0001-40</t>
  </si>
  <si>
    <t>BISTEK</t>
  </si>
  <si>
    <t>83.261.420/0012-01</t>
  </si>
  <si>
    <t>GREENFIT</t>
  </si>
  <si>
    <t>37.744.076/0001-31</t>
  </si>
  <si>
    <t>BIZETTO E GALACCI LTDA</t>
  </si>
  <si>
    <t>37.286.472/0001-62</t>
  </si>
  <si>
    <t>BLU NATURAL</t>
  </si>
  <si>
    <t>31.498.574/0001-65</t>
  </si>
  <si>
    <t>VILA NATURAIS</t>
  </si>
  <si>
    <t>33.598.167/0001-55</t>
  </si>
  <si>
    <t>24.371.431/0001-22</t>
  </si>
  <si>
    <t>BLUM FLORA PRODUTOS NATURAIS LTDA</t>
  </si>
  <si>
    <t>23.291.613/0001-20</t>
  </si>
  <si>
    <t>MEU LADO NATUREBA</t>
  </si>
  <si>
    <t>26.505.761/0001-99</t>
  </si>
  <si>
    <t>05.085.317/0001-91</t>
  </si>
  <si>
    <t>CELEIRO DA TERRA</t>
  </si>
  <si>
    <t>28.986.539/0001-80</t>
  </si>
  <si>
    <t>BOTICA NATIVA</t>
  </si>
  <si>
    <t>81.598.484/0001-14</t>
  </si>
  <si>
    <t>38.352.531/0001-16</t>
  </si>
  <si>
    <t>40.649.532/0001-79</t>
  </si>
  <si>
    <t>08.474.768/0001-09</t>
  </si>
  <si>
    <t>NATTU+ PRODUTOS NATURAIS</t>
  </si>
  <si>
    <t>47.005.803/0001-00</t>
  </si>
  <si>
    <t>PANIFICADORA ALANO</t>
  </si>
  <si>
    <t>24.537.327/0001-65</t>
  </si>
  <si>
    <t>45.428.194/0001-69</t>
  </si>
  <si>
    <t>48.824.143/0001-44</t>
  </si>
  <si>
    <t>LES DELICES</t>
  </si>
  <si>
    <t>39.408.710/0001-90</t>
  </si>
  <si>
    <t>NATULOMBA PRODUTOS NATURAIS E SUPLEMENT</t>
  </si>
  <si>
    <t>41.842.702/0001-08</t>
  </si>
  <si>
    <t>SAUDE &amp; FORMA PRODUTOS NATURAIS</t>
  </si>
  <si>
    <t>46.366.062/0001-12</t>
  </si>
  <si>
    <t>MILANESKA SAUDE</t>
  </si>
  <si>
    <t>01.975.009/0001-80</t>
  </si>
  <si>
    <t>MERCEARIA KIMURA</t>
  </si>
  <si>
    <t>04.987.790/0001-00</t>
  </si>
  <si>
    <t>24.965.213/0001-16</t>
  </si>
  <si>
    <t>C&amp;C FIT STORE</t>
  </si>
  <si>
    <t>31.012.688/0001-53</t>
  </si>
  <si>
    <t>SABOR E SAUDE ALIMENTOS</t>
  </si>
  <si>
    <t>21.949.901/0001-02</t>
  </si>
  <si>
    <t>FINAS ERVAS PRODUTOS NATURAIS</t>
  </si>
  <si>
    <t>CELEIRO NACIONAL</t>
  </si>
  <si>
    <t>09.664.416/0001-89</t>
  </si>
  <si>
    <t>CACAU COMERCIO DE CHOCOLATES LTDA</t>
  </si>
  <si>
    <t>47.468.123/0001-15</t>
  </si>
  <si>
    <t>CAFE CULTURA LAB</t>
  </si>
  <si>
    <t>11.052.801/0001-17</t>
  </si>
  <si>
    <t>PATRICIA GOEDERT DOCARIA</t>
  </si>
  <si>
    <t>10.724.079/0001-57</t>
  </si>
  <si>
    <t>CAFE.BRASIL</t>
  </si>
  <si>
    <t>47.006.529/0001-86</t>
  </si>
  <si>
    <t>ALECRIM PRODUTOS NATURAIS E ORGANICOS</t>
  </si>
  <si>
    <t>33.763.930/0001-56</t>
  </si>
  <si>
    <t>NECTAR VITAL ALIMENTACAO CONFEITARIA</t>
  </si>
  <si>
    <t>38.349.499/0001-10</t>
  </si>
  <si>
    <t>FINO GRAO PRODUTOS NATURAIS</t>
  </si>
  <si>
    <t>25.209.584/0001-30</t>
  </si>
  <si>
    <t>NUTRI VIDA</t>
  </si>
  <si>
    <t>32.788.091/0001-68</t>
  </si>
  <si>
    <t>NUTRIE PRODUTOS NATURAIS E SUPLEMENTOS</t>
  </si>
  <si>
    <t>32.981.777/0001-70</t>
  </si>
  <si>
    <t>CONFEITOS E AFETOS</t>
  </si>
  <si>
    <t>31.260.223/0001-11</t>
  </si>
  <si>
    <t>E FIT- PR</t>
  </si>
  <si>
    <t>28.257.246/0001-62</t>
  </si>
  <si>
    <t>FITLAND PENHA</t>
  </si>
  <si>
    <t>34.042.908/0001-80</t>
  </si>
  <si>
    <t>FITLAND BARRA VELHA</t>
  </si>
  <si>
    <t>34.042.908/0002-60</t>
  </si>
  <si>
    <t>FITLAND BALNEARIO PICARRAS</t>
  </si>
  <si>
    <t>34.042.908/0003-41</t>
  </si>
  <si>
    <t>BENDITO EMPORIO</t>
  </si>
  <si>
    <t>EMPORIO DO CEREAL</t>
  </si>
  <si>
    <t>43.063.953/0001-01</t>
  </si>
  <si>
    <t>CANTINHO DE ALIMENTOS SAUDAVEIS</t>
  </si>
  <si>
    <t>05.694.516/0001-05</t>
  </si>
  <si>
    <t>00.969.288/0001-07</t>
  </si>
  <si>
    <t>CANTINHO DA SAUDE LTDA</t>
  </si>
  <si>
    <t>19.156.423/0001-23</t>
  </si>
  <si>
    <t>CANTO VERDE PRODUTOS NATURAIS LTDA</t>
  </si>
  <si>
    <t>52.268.346/0001-79</t>
  </si>
  <si>
    <t>CONTAINER PORTO BELO</t>
  </si>
  <si>
    <t>27.141.630/0004-85</t>
  </si>
  <si>
    <t>CONTAINER TIJUCAS</t>
  </si>
  <si>
    <t>27.141.630/0002-13</t>
  </si>
  <si>
    <t>CONTAINER ITAPEMA</t>
  </si>
  <si>
    <t>27.141.630/0005-66</t>
  </si>
  <si>
    <t>CARD NUTRICAO</t>
  </si>
  <si>
    <t>27.141.630/0006-47</t>
  </si>
  <si>
    <t>27.656.426/0001-54</t>
  </si>
  <si>
    <t>ARMAZEM VIDA SAUDAVEL</t>
  </si>
  <si>
    <t>33.629.436/0001-01</t>
  </si>
  <si>
    <t>CRUX RAW CAKE</t>
  </si>
  <si>
    <t>37.820.549/0001-32</t>
  </si>
  <si>
    <t>EMPÓRIO CRAVO E CANELA</t>
  </si>
  <si>
    <t>29.923.024/0001-02</t>
  </si>
  <si>
    <t>CARLOS H ROYER</t>
  </si>
  <si>
    <t>41.716.315/0001-17</t>
  </si>
  <si>
    <t>CARMEL- GELA BOCA- ULTRA AÇAI</t>
  </si>
  <si>
    <t>28.620.040/0001-55</t>
  </si>
  <si>
    <t>CAROLINE DE SOUZA</t>
  </si>
  <si>
    <t>33.136.728/0001-02</t>
  </si>
  <si>
    <t>SEMPRE SAUDAVEL PRODUTOS NATURAIS</t>
  </si>
  <si>
    <t>19.021.582/0001-10</t>
  </si>
  <si>
    <t>A GRANEL PRODUTOS NATURAIS</t>
  </si>
  <si>
    <t>26.015.440/0001-06</t>
  </si>
  <si>
    <t>CARVALHO E GODINHO LTDA</t>
  </si>
  <si>
    <t>42.401.954/0001-56</t>
  </si>
  <si>
    <t>SAUDE E VIDA</t>
  </si>
  <si>
    <t>10.826.276/0001-87</t>
  </si>
  <si>
    <t>CASA CONTI CAFÉ E EMPÓRIO</t>
  </si>
  <si>
    <t>37.507.947/0001-01</t>
  </si>
  <si>
    <t>CASA DA VILA COMERCIO A GRANEL</t>
  </si>
  <si>
    <t>39.760.133/0001-00</t>
  </si>
  <si>
    <t>CASA DAS ESPECIARIAS</t>
  </si>
  <si>
    <t>37.932.121/0001-81</t>
  </si>
  <si>
    <t>CASA DAS ESPECIARIAS COMERCIO LTDA</t>
  </si>
  <si>
    <t>37.932.121/0002-62</t>
  </si>
  <si>
    <t>26.230.820/0001-63</t>
  </si>
  <si>
    <t>MOINHO DAS ESPECIARIAS</t>
  </si>
  <si>
    <t>00.100.945/0001-85</t>
  </si>
  <si>
    <t>CIA CEREAIS</t>
  </si>
  <si>
    <t>04.592.757/0001-72</t>
  </si>
  <si>
    <t>Produto Natural Pinheira</t>
  </si>
  <si>
    <t>42.899.277/0001-48</t>
  </si>
  <si>
    <t>CASA DO CHÁ</t>
  </si>
  <si>
    <t>41.716.315/0002-06</t>
  </si>
  <si>
    <t>CASA DO SALAME</t>
  </si>
  <si>
    <t>37.920.721/0001-20</t>
  </si>
  <si>
    <t>CASA DO TEMPERO</t>
  </si>
  <si>
    <t>28.155.005/0001-02</t>
  </si>
  <si>
    <t>CASA ITAPIRANGA PRODUTOS COLONIAIS E NATURAIS</t>
  </si>
  <si>
    <t>40.008.813/0001-42</t>
  </si>
  <si>
    <t>CASA LE GRAIN</t>
  </si>
  <si>
    <t>28.807.448/0001-30</t>
  </si>
  <si>
    <t>CASA RIVIE ALIMENTAÇÃO SAUDÁVEL.</t>
  </si>
  <si>
    <t>31.525.495/0001-04</t>
  </si>
  <si>
    <t>EMPORIO ATITUDE SAUDAVEL - PRODUTOS NATURAIS</t>
  </si>
  <si>
    <t>37.744.688/0001-24</t>
  </si>
  <si>
    <t>LONDRINUTRI PRODUTOS NATURAIS</t>
  </si>
  <si>
    <t>41.233.745/0001-88</t>
  </si>
  <si>
    <t>CASSIAFIT</t>
  </si>
  <si>
    <t>34.037.842/0001-30</t>
  </si>
  <si>
    <t>15.424.243/0001-24</t>
  </si>
  <si>
    <t>EMPÓRIO DA ARLETE</t>
  </si>
  <si>
    <t>19.404.032/0001-80</t>
  </si>
  <si>
    <t>CELEIRO GRAOS DA TERRA</t>
  </si>
  <si>
    <t>13.275.020/0001-17</t>
  </si>
  <si>
    <t>CELEIRO NATURAL</t>
  </si>
  <si>
    <t>03.708.953/0001-05</t>
  </si>
  <si>
    <t>CELERO NACIONAL</t>
  </si>
  <si>
    <t>13.230.377/0001-89</t>
  </si>
  <si>
    <t>NATUREBA</t>
  </si>
  <si>
    <t>11.841.695/0001-50</t>
  </si>
  <si>
    <t>EMPORIO DOS GRAOS</t>
  </si>
  <si>
    <t>50.027.221/0001-21</t>
  </si>
  <si>
    <t>ARMAZEM SEU CHICO</t>
  </si>
  <si>
    <t>36.838.679/0001-30</t>
  </si>
  <si>
    <t>BIG SHAPE</t>
  </si>
  <si>
    <t>18.953.062/0001-83</t>
  </si>
  <si>
    <t>CERVEJARIA BERG BRAU</t>
  </si>
  <si>
    <t>26.831.071/0001-20</t>
  </si>
  <si>
    <t>82.134.214/0001-15</t>
  </si>
  <si>
    <t>ESSENCIA DA SAUDE</t>
  </si>
  <si>
    <t>43.022.172/0001-79</t>
  </si>
  <si>
    <t>DOM CACAU CHOCOLATES</t>
  </si>
  <si>
    <t>03.750.899/0001-58</t>
  </si>
  <si>
    <t>FESTVAL</t>
  </si>
  <si>
    <t>78.116.670/0007-50</t>
  </si>
  <si>
    <t>VIANA FIT PRODUTOS NATURAIS</t>
  </si>
  <si>
    <t>45.568.434/0001-20</t>
  </si>
  <si>
    <t>37.789.936/0001-53</t>
  </si>
  <si>
    <t>MAIS SAUDE</t>
  </si>
  <si>
    <t>21.831.483/0001-46</t>
  </si>
  <si>
    <t>CJP ALIMENTOS NATURAIS</t>
  </si>
  <si>
    <t>38.118.266/0001-06</t>
  </si>
  <si>
    <t>GRANNO &amp; CIA</t>
  </si>
  <si>
    <t>14.916.722/0001-03</t>
  </si>
  <si>
    <t>Claudinei Fernando Eschholz</t>
  </si>
  <si>
    <t>34.762.129/0001-59</t>
  </si>
  <si>
    <t>CLAUDIO'S MERCEARIA</t>
  </si>
  <si>
    <t>04.796.022/0001-60</t>
  </si>
  <si>
    <t>SAUDE NATURAL</t>
  </si>
  <si>
    <t>32.905.035/0001-66</t>
  </si>
  <si>
    <t>49.015.607/0001-34</t>
  </si>
  <si>
    <t>SACOLAO DAS FRUTAS</t>
  </si>
  <si>
    <t>08.940.384/0001-34</t>
  </si>
  <si>
    <t>CLEUSA REPRESENTACOES</t>
  </si>
  <si>
    <t>18.650.916/0001-52</t>
  </si>
  <si>
    <t>ELO SAUDE PRODUTOS NATURAIS</t>
  </si>
  <si>
    <t>32.639.761/0001-84</t>
  </si>
  <si>
    <t>CLINICA RODRIGUEZ</t>
  </si>
  <si>
    <t>04.249.061/0001-48</t>
  </si>
  <si>
    <t>COCO GRANEL</t>
  </si>
  <si>
    <t>42.461.255/0001-00</t>
  </si>
  <si>
    <t>BELLA TERRA PRODUTOS NATURAIS LTDA</t>
  </si>
  <si>
    <t>16.859.572/0001-60</t>
  </si>
  <si>
    <t>ERENO ALIMENTOS</t>
  </si>
  <si>
    <t>04.123.140/0001-08</t>
  </si>
  <si>
    <t>SUPERMERCADO MOTTER</t>
  </si>
  <si>
    <t>08.474.895/0001-08</t>
  </si>
  <si>
    <t>TOP HAUS</t>
  </si>
  <si>
    <t>06.928.223/0001-08</t>
  </si>
  <si>
    <t>NATUREZA &amp; VIDA</t>
  </si>
  <si>
    <t>00.958.415/0001-72</t>
  </si>
  <si>
    <t>EMPORIO YAMA NATURA</t>
  </si>
  <si>
    <t>PROSAUDE LAJEADO-RS</t>
  </si>
  <si>
    <t>47.082.328/0001-68</t>
  </si>
  <si>
    <t>EMPORIO NATURAL SANTA LAURA</t>
  </si>
  <si>
    <t>40.147.120/0001-30</t>
  </si>
  <si>
    <t>07.069.193/0001-86</t>
  </si>
  <si>
    <t>MUNDO DAS FRUTAS &amp; CEREAIS</t>
  </si>
  <si>
    <t>06.134.326/0001-98</t>
  </si>
  <si>
    <t>O CELEIRO</t>
  </si>
  <si>
    <t>01.638.126/0001-59</t>
  </si>
  <si>
    <t>NATURAIS KB</t>
  </si>
  <si>
    <t>32.409.651/0001-26</t>
  </si>
  <si>
    <t>BEM VIVER</t>
  </si>
  <si>
    <t>28.204.548/0001-72</t>
  </si>
  <si>
    <t>ESKIMO SORVETES</t>
  </si>
  <si>
    <t>75.503.821/0001-40</t>
  </si>
  <si>
    <t>CIA DAS NOZES E CASTANHAS</t>
  </si>
  <si>
    <t>00.515.217/0001-34</t>
  </si>
  <si>
    <t>EMPORIO SANTO ANTONIO</t>
  </si>
  <si>
    <t>10.406.459/0001-43</t>
  </si>
  <si>
    <t>GRAOS MANIA</t>
  </si>
  <si>
    <t>12.086.693/0001-66</t>
  </si>
  <si>
    <t>PARADISO MERCATO E CAFFE</t>
  </si>
  <si>
    <t>30.842.043/0001-85</t>
  </si>
  <si>
    <t>AFS Toledo - PR</t>
  </si>
  <si>
    <t>31.858.151/0001-09</t>
  </si>
  <si>
    <t>AFS PORTO ALEGRE MOINHOS - RS</t>
  </si>
  <si>
    <t>33.288.353/0001-98</t>
  </si>
  <si>
    <t>CONFEITARIA SEM ACUCAR</t>
  </si>
  <si>
    <t>04.988.999/0001-80</t>
  </si>
  <si>
    <t>TORTEN PARADIES</t>
  </si>
  <si>
    <t>80.495.625/0001-00</t>
  </si>
  <si>
    <t>EMPORIO DI SALUTE</t>
  </si>
  <si>
    <t>05.821.923/0002-09</t>
  </si>
  <si>
    <t>PADARIA CENTRAL COOPER</t>
  </si>
  <si>
    <t>07.555.351/0002-99</t>
  </si>
  <si>
    <t>PRODUTOS PARIZE</t>
  </si>
  <si>
    <t>08.147.012/0010-46</t>
  </si>
  <si>
    <t>05.976.779/0001-07</t>
  </si>
  <si>
    <t>SANTO GRAO</t>
  </si>
  <si>
    <t>34.473.869/0001-75</t>
  </si>
  <si>
    <t>CAJUSUL</t>
  </si>
  <si>
    <t>00.094.461/0003-32</t>
  </si>
  <si>
    <t>MISTURA VERDE</t>
  </si>
  <si>
    <t>20.523.869/0001-28</t>
  </si>
  <si>
    <t>VIDA COM SAUDE PRODUTOS NATURAIS</t>
  </si>
  <si>
    <t>23.295.236/0001-06</t>
  </si>
  <si>
    <t>11.126.269/0002-16</t>
  </si>
  <si>
    <t>SABOR MANIA PRODUTOS NATURAIS E COLONIAIS</t>
  </si>
  <si>
    <t>24.580.718/0001-62</t>
  </si>
  <si>
    <t>EMPÓRIO NATURAL FLOR DE SAL</t>
  </si>
  <si>
    <t>37.027.908/0001-07</t>
  </si>
  <si>
    <t>MAGIA DO GRÃO PRODUTOS NATURAIS</t>
  </si>
  <si>
    <t>31.486.078/0001-91</t>
  </si>
  <si>
    <t>KILO &amp; CIA</t>
  </si>
  <si>
    <t>29.453.375/0001-99</t>
  </si>
  <si>
    <t>LEVEL PRO SUPLEMENTOS</t>
  </si>
  <si>
    <t>31.573.112/0001-65</t>
  </si>
  <si>
    <t>EMPORIO NATURAL-SC</t>
  </si>
  <si>
    <t>05.907.831/0001-65</t>
  </si>
  <si>
    <t>CIA DA SAUDE FILIAL JGS</t>
  </si>
  <si>
    <t>34.716.657/0002-52</t>
  </si>
  <si>
    <t>04.424.527/0001-02</t>
  </si>
  <si>
    <t>AFS - SÃO JOSE</t>
  </si>
  <si>
    <t>41.102.866/0001-90</t>
  </si>
  <si>
    <t>AFS SÃO JOSÉ - SC</t>
  </si>
  <si>
    <t>UNIVERSO GRANEL</t>
  </si>
  <si>
    <t>20.057.883/0001-83</t>
  </si>
  <si>
    <t>D'VINO EMPORIO</t>
  </si>
  <si>
    <t>34.631.195/0001-90</t>
  </si>
  <si>
    <t>34.606.937/0001-27</t>
  </si>
  <si>
    <t>MARMITAS DA NUTRI</t>
  </si>
  <si>
    <t>37.467.555/0001-58</t>
  </si>
  <si>
    <t>DACOLONIA</t>
  </si>
  <si>
    <t>04.330.736/0001-89</t>
  </si>
  <si>
    <t>EKO GRAOS</t>
  </si>
  <si>
    <t>33.080.379/0001-46</t>
  </si>
  <si>
    <t>Mais Saúde Jurerê</t>
  </si>
  <si>
    <t>41.637.690/0001-71</t>
  </si>
  <si>
    <t>120.483.189-08</t>
  </si>
  <si>
    <t>VIVA SAUDE PRODUTOS NATURAIS E SUPLEMENTOS</t>
  </si>
  <si>
    <t>00.524.635/0001-98</t>
  </si>
  <si>
    <t>DAMAY CAFE E CONFEITARIA</t>
  </si>
  <si>
    <t>07.146.547/0001-49</t>
  </si>
  <si>
    <t>M&amp;B</t>
  </si>
  <si>
    <t>34.499.478/0001-20</t>
  </si>
  <si>
    <t>13.779.804/0001-82</t>
  </si>
  <si>
    <t>FOI POR VOCE, PRODUTOS NATURAIS</t>
  </si>
  <si>
    <t>38.658.394/0001-42</t>
  </si>
  <si>
    <t>FLORIPA NATURAL EMPORIO DE SAUDAVEIS</t>
  </si>
  <si>
    <t>45.806.865/0001-88</t>
  </si>
  <si>
    <t>ESPIGUETAS CERIAIS</t>
  </si>
  <si>
    <t>33.814.048/0001-92</t>
  </si>
  <si>
    <t>EMPORIO NATURAL</t>
  </si>
  <si>
    <t>47.029.750/0001-50</t>
  </si>
  <si>
    <t>CAPIM LIMAO PRODUTOS NATURAIS</t>
  </si>
  <si>
    <t>40.263.538/0001-03</t>
  </si>
  <si>
    <t>ROCHA NUTRI</t>
  </si>
  <si>
    <t>40.558.982/0001-56</t>
  </si>
  <si>
    <t>NATURALMENTE FELIZ</t>
  </si>
  <si>
    <t>21.233.646/0001-99</t>
  </si>
  <si>
    <t>10.594.586/0001-13</t>
  </si>
  <si>
    <t>DARCILA HILLESHAIM 29714729904</t>
  </si>
  <si>
    <t>39.617.046/0001-90</t>
  </si>
  <si>
    <t>M&amp;B CAPELETTI</t>
  </si>
  <si>
    <t>43.066.731/0001-42</t>
  </si>
  <si>
    <t>05.752.359/0001-39</t>
  </si>
  <si>
    <t>ESPACO RURAL</t>
  </si>
  <si>
    <t>18.400.342/0001-64</t>
  </si>
  <si>
    <t>CANTO NATURALE PRODUTOS NATURAIS</t>
  </si>
  <si>
    <t>41.804.194/0001-65</t>
  </si>
  <si>
    <t>QUITANDA DO BEM</t>
  </si>
  <si>
    <t>39.306.438/0001-38</t>
  </si>
  <si>
    <t>CONFITNESS CONFEITARIA SAUDAVEL</t>
  </si>
  <si>
    <t>24.897.315/0001-41</t>
  </si>
  <si>
    <t>DIVINA MASSA SEM GLUTEN</t>
  </si>
  <si>
    <t>05.521.522/0001-52</t>
  </si>
  <si>
    <t>EMPORIO DA PATI</t>
  </si>
  <si>
    <t>10.627.480/0001-79</t>
  </si>
  <si>
    <t>FLAVOR GARAGE</t>
  </si>
  <si>
    <t>43.844.022/0001-40</t>
  </si>
  <si>
    <t>DERMONUTRI - PRODUTOS NATURAIS</t>
  </si>
  <si>
    <t>20.533.951/0001-33</t>
  </si>
  <si>
    <t>FORNERIA ORIGINAL BLUMENAU</t>
  </si>
  <si>
    <t>43.613.092/0001-98</t>
  </si>
  <si>
    <t>39.648.917/0001-32</t>
  </si>
  <si>
    <t>Nação Verde</t>
  </si>
  <si>
    <t>43.199.529/0001-99</t>
  </si>
  <si>
    <t>47.784.748/0001-96</t>
  </si>
  <si>
    <t>EMPORIUM &amp; CIA</t>
  </si>
  <si>
    <t>30.533.326/0001-45</t>
  </si>
  <si>
    <t>EMPORIO RIO BONITO</t>
  </si>
  <si>
    <t>46.458.944/0001-08</t>
  </si>
  <si>
    <t>O CEREALISTA MERCADO NATURAL</t>
  </si>
  <si>
    <t>40.068.003/0001-81</t>
  </si>
  <si>
    <t>NATURIMBE</t>
  </si>
  <si>
    <t>09.552.606/0001-04</t>
  </si>
  <si>
    <t>FLOR DE SAL</t>
  </si>
  <si>
    <t>43.416.265/0001-88</t>
  </si>
  <si>
    <t>DINARA DOS PRODUTOS</t>
  </si>
  <si>
    <t>31.898.212/0001-61</t>
  </si>
  <si>
    <t>DISTRIBUIDORA MULLER</t>
  </si>
  <si>
    <t>84.298.900/0001-57</t>
  </si>
  <si>
    <t>LAURITA KARAMELL</t>
  </si>
  <si>
    <t>48.213.208/0001-15</t>
  </si>
  <si>
    <t>CHÁ E VITTA</t>
  </si>
  <si>
    <t>74.073.396/0001-33</t>
  </si>
  <si>
    <t>DUPONT PRODUTOS SAUDAVEIS E CAFETERIA LTDA</t>
  </si>
  <si>
    <t>35.202.466/0001-54</t>
  </si>
  <si>
    <t>29.011.720/0001-34</t>
  </si>
  <si>
    <t>SEU DIVINO-Gaspar</t>
  </si>
  <si>
    <t>10.476.699/0001-14</t>
  </si>
  <si>
    <t>DIVINO ARMAZEM - EMPORIO PRODUTOS NATURAIS</t>
  </si>
  <si>
    <t>51.284.304/0001-69</t>
  </si>
  <si>
    <t>MERCEDES GRASTRONOMIA</t>
  </si>
  <si>
    <t>05.898.426/0001-28</t>
  </si>
  <si>
    <t>DOCE BEIJO</t>
  </si>
  <si>
    <t>81.570.020/0001-08</t>
  </si>
  <si>
    <t>DOCE VIDA DIABETES</t>
  </si>
  <si>
    <t>28.830.954/0001-40</t>
  </si>
  <si>
    <t>DOLOMITI WINE &amp; SPIRITS EMPORIO</t>
  </si>
  <si>
    <t>45.401.986/0001-40</t>
  </si>
  <si>
    <t>DOM'S EMPORIO E CAFE LTDA</t>
  </si>
  <si>
    <t>49.138.706/0001-03</t>
  </si>
  <si>
    <t>DONA SEMENTE</t>
  </si>
  <si>
    <t>31.202.293/0001-13</t>
  </si>
  <si>
    <t>DONNAJU CONFEITARIA</t>
  </si>
  <si>
    <t>29.686.463/0001-30</t>
  </si>
  <si>
    <t>DORABELLA REFEICOES SEM GLUTEN</t>
  </si>
  <si>
    <t>52.509.958/0001-06</t>
  </si>
  <si>
    <t>ALL NATURAL</t>
  </si>
  <si>
    <t>14.485.653/0001-12</t>
  </si>
  <si>
    <t>14.485.653/0002-01</t>
  </si>
  <si>
    <t>DOUMA NATURAL</t>
  </si>
  <si>
    <t>45.193.713/0001-57</t>
  </si>
  <si>
    <t>teashsjkahjksqhdkqwjdsbqw</t>
  </si>
  <si>
    <t>42.688.387/0001-60</t>
  </si>
  <si>
    <t>MARABIJU</t>
  </si>
  <si>
    <t>18.408.184/0001-99</t>
  </si>
  <si>
    <t>INTEGRAL PRODUTOS SAUDAVEIS</t>
  </si>
  <si>
    <t>45.261.219/0001-82</t>
  </si>
  <si>
    <t>ESPACO TERAPIAS &amp; VIDA SAUDAVEL</t>
  </si>
  <si>
    <t>51.054.835/0001-65</t>
  </si>
  <si>
    <t>Nutri e Cia Produtos Naturais</t>
  </si>
  <si>
    <t>06.307.541/0001-43</t>
  </si>
  <si>
    <t>05.283.867/0001-15</t>
  </si>
  <si>
    <t>PRÓ SAÚDE</t>
  </si>
  <si>
    <t>26.488.512/0001-32</t>
  </si>
  <si>
    <t>36.765.800/0001-40</t>
  </si>
  <si>
    <t>SYRIUS IMPORTADORA</t>
  </si>
  <si>
    <t>35.654.913/0001-06</t>
  </si>
  <si>
    <t>37.243.210/0001-10</t>
  </si>
  <si>
    <t>EATSY ALIMENTAÇÃO SAUDÁVEL</t>
  </si>
  <si>
    <t>36.969.664/0001-00</t>
  </si>
  <si>
    <t>ECO NUTS</t>
  </si>
  <si>
    <t>38.320.857/0001-61</t>
  </si>
  <si>
    <t>VIDA + SAUDÁVEL</t>
  </si>
  <si>
    <t>26.446.944/0001-80</t>
  </si>
  <si>
    <t>036.026.989-39</t>
  </si>
  <si>
    <t>EDERSON GONCALVES REZENDE</t>
  </si>
  <si>
    <t>32.960.404/0001-13</t>
  </si>
  <si>
    <t>JEL JOBIM PRODUTOS NATURAIS</t>
  </si>
  <si>
    <t>23.785.081/0001-88</t>
  </si>
  <si>
    <t>NATUACAS@ PRODUTOS IN NATURA</t>
  </si>
  <si>
    <t>37.025.875/0001-58</t>
  </si>
  <si>
    <t>EDUARDA GAIESKI DO NASCIMENTO 04728928004</t>
  </si>
  <si>
    <t>47.148.024/0001-56</t>
  </si>
  <si>
    <t>SABORES DA QUITANDA</t>
  </si>
  <si>
    <t>37.696.650/0001-23</t>
  </si>
  <si>
    <t>COFFEVILLE</t>
  </si>
  <si>
    <t>18.535.413/0001-36</t>
  </si>
  <si>
    <t>43.538.183/0001-06</t>
  </si>
  <si>
    <t>ELEN D. MANSOUR &amp; LUCIELI R. P. SENGER LTDA</t>
  </si>
  <si>
    <t>50.839.533/0001-30</t>
  </si>
  <si>
    <t>NATULIFE PRODUTOS NATURAIS</t>
  </si>
  <si>
    <t>42.199.662/0001-82</t>
  </si>
  <si>
    <t>CELEIRO+SAUDE</t>
  </si>
  <si>
    <t>26.231.757/0001-80</t>
  </si>
  <si>
    <t>VERDE PRODUTOS NATURAIS</t>
  </si>
  <si>
    <t>50.441.631/0001-14</t>
  </si>
  <si>
    <t>40.726.746/0001-00</t>
  </si>
  <si>
    <t>GREEN MARKET - ALIMENTOS FUNCIONAIS E ESPECIARIAS</t>
  </si>
  <si>
    <t>28.909.487/0001-49</t>
  </si>
  <si>
    <t>30.473.814/0001-04</t>
  </si>
  <si>
    <t>SABOR E SAUDE</t>
  </si>
  <si>
    <t>19.842.340/0001-98</t>
  </si>
  <si>
    <t>CANTINHO MINAS</t>
  </si>
  <si>
    <t>53.750.433/0002-01</t>
  </si>
  <si>
    <t>19.052.981/0001-49</t>
  </si>
  <si>
    <t>NATURALIZE</t>
  </si>
  <si>
    <t>19.801.686/0001-48</t>
  </si>
  <si>
    <t>DOCE ERVAS</t>
  </si>
  <si>
    <t>07.961.148/0001-31</t>
  </si>
  <si>
    <t>CASA NATURAL</t>
  </si>
  <si>
    <t>45.738.347/0001-74</t>
  </si>
  <si>
    <t>CASTANHAS CACHANGA</t>
  </si>
  <si>
    <t>28.281.174/0001-99</t>
  </si>
  <si>
    <t>BHL FITNESS</t>
  </si>
  <si>
    <t>27.602.784/0001-84</t>
  </si>
  <si>
    <t>TO DENTRO LOW CARB</t>
  </si>
  <si>
    <t>40.783.513/0001-30</t>
  </si>
  <si>
    <t>PH PRODUTOS NATURAIS</t>
  </si>
  <si>
    <t>08.924.956/0001-91</t>
  </si>
  <si>
    <t>24.306.008/0001-49</t>
  </si>
  <si>
    <t>30.041.434/0001-09</t>
  </si>
  <si>
    <t>EJ PRODUTO DE LIMPEZA</t>
  </si>
  <si>
    <t>43.732.815/0001-78</t>
  </si>
  <si>
    <t>AFS NOVO HAMBURGO - RS</t>
  </si>
  <si>
    <t>30.471.909/0001-99</t>
  </si>
  <si>
    <t>EMPORIO 50</t>
  </si>
  <si>
    <t>38.327.095/0001-25</t>
  </si>
  <si>
    <t>EMPORIO ACORIANO</t>
  </si>
  <si>
    <t>24.859.861/0001-98</t>
  </si>
  <si>
    <t>EMPORIO BEN HAUS LTDA</t>
  </si>
  <si>
    <t>38.495.451/0001-10</t>
  </si>
  <si>
    <t>EMPORIO BENDITA SAUDE</t>
  </si>
  <si>
    <t>45.663.103/0001-70</t>
  </si>
  <si>
    <t>EMPORIO BOM VIVER</t>
  </si>
  <si>
    <t>28.072.159/0001-30</t>
  </si>
  <si>
    <t>EMPORIO CACAU &amp; ROSA</t>
  </si>
  <si>
    <t>06.273.826/0001-00</t>
  </si>
  <si>
    <t>EMPÓRIO CACAU</t>
  </si>
  <si>
    <t>43.836.138/0001-38</t>
  </si>
  <si>
    <t>EMPORIO CAMBUHY</t>
  </si>
  <si>
    <t>40.477.041/0001-98</t>
  </si>
  <si>
    <t>EMPORIO CASA</t>
  </si>
  <si>
    <t>12.055.062/0001-80</t>
  </si>
  <si>
    <t>EMPORIO CELIACO</t>
  </si>
  <si>
    <t>41.721.789/0001-57</t>
  </si>
  <si>
    <t>EMPORIO COLINA NATURAIS E ORGANICOS</t>
  </si>
  <si>
    <t>39.406.653/0001-00</t>
  </si>
  <si>
    <t>EMPORIO DA AVENIDA</t>
  </si>
  <si>
    <t>31.228.036/0001-50</t>
  </si>
  <si>
    <t>Emporio da casa</t>
  </si>
  <si>
    <t>35.561.071/0001-48</t>
  </si>
  <si>
    <t>AFS CAPANEMA - PR</t>
  </si>
  <si>
    <t>41.463.873/0001-18</t>
  </si>
  <si>
    <t>VIDA E SAÚDE</t>
  </si>
  <si>
    <t>23.165.276/0001-25</t>
  </si>
  <si>
    <t>08.335.660/0001-35</t>
  </si>
  <si>
    <t>24.139.130/0001-78</t>
  </si>
  <si>
    <t>EMPORIO DO CANTO</t>
  </si>
  <si>
    <t>20.022.135/0001-65</t>
  </si>
  <si>
    <t>EMPORIO DO INGA PRODUTOS NATURAIS</t>
  </si>
  <si>
    <t>30.873.468/0001-51</t>
  </si>
  <si>
    <t>EMPORIO DOLL IJUI</t>
  </si>
  <si>
    <t>EMPORIO DOS GRAOS PRODUTOS NATURAIS</t>
  </si>
  <si>
    <t>41.977.659/0001-80</t>
  </si>
  <si>
    <t>EMPORIO ENERGIA NATURAL</t>
  </si>
  <si>
    <t>39.473.851/0001-97</t>
  </si>
  <si>
    <t>EMPORIO PAES E GRAOS</t>
  </si>
  <si>
    <t>33.162.166/0001-63</t>
  </si>
  <si>
    <t>EMPORIO FARID - SECOS E MOLHADOS</t>
  </si>
  <si>
    <t>18.570.629/0001-32</t>
  </si>
  <si>
    <t>EMPÓRIO FINO SABOR</t>
  </si>
  <si>
    <t>44.008.451/0001-40</t>
  </si>
  <si>
    <t>14.662.094/0001-79</t>
  </si>
  <si>
    <t>EMPORIO FRESH</t>
  </si>
  <si>
    <t>41.770.184/0001-56</t>
  </si>
  <si>
    <t>EMPORIO FUNCIONAL</t>
  </si>
  <si>
    <t>24.075.861/0001-05</t>
  </si>
  <si>
    <t>EMPORIO GAIA PRODUTOS NATURAIS LTDA</t>
  </si>
  <si>
    <t>28.180.051/0004-04</t>
  </si>
  <si>
    <t>DOCE SAUDE - A SUA LOJA DO BEM ESTAR</t>
  </si>
  <si>
    <t>07.982.840/0001-46</t>
  </si>
  <si>
    <t>EMPORIO GRAOS DA VIDA</t>
  </si>
  <si>
    <t>51.426.403/0001-38</t>
  </si>
  <si>
    <t>EMPORIO GREEN NATURE</t>
  </si>
  <si>
    <t>33.696.639/0001-02</t>
  </si>
  <si>
    <t>EMPORIO GUANABARA</t>
  </si>
  <si>
    <t>30.704.636/0001-85</t>
  </si>
  <si>
    <t>VITTA NUTRY PRODUTOS NATURAIS</t>
  </si>
  <si>
    <t>12.638.818/0001-13</t>
  </si>
  <si>
    <t>EMPÓRIO KI DELÍCIA</t>
  </si>
  <si>
    <t>37.580.946/0001-84</t>
  </si>
  <si>
    <t>30.392.983/0001-10</t>
  </si>
  <si>
    <t>EMPORIO NATUR'S</t>
  </si>
  <si>
    <t>39.846.109/0001-80</t>
  </si>
  <si>
    <t>EMPÓRIO NATURAL</t>
  </si>
  <si>
    <t>18.161.502/0001-60</t>
  </si>
  <si>
    <t>EMPORIO BARRA VELHA PRODUTOS NATURAIS</t>
  </si>
  <si>
    <t>49.407.157/0001-25</t>
  </si>
  <si>
    <t>Emporio natural</t>
  </si>
  <si>
    <t>30.650.201/0001-03</t>
  </si>
  <si>
    <t>18.262.018/0001-27</t>
  </si>
  <si>
    <t>38.065.400/0001-58</t>
  </si>
  <si>
    <t>EMPORIO NATUREBA</t>
  </si>
  <si>
    <t>35.983.495/0001-09</t>
  </si>
  <si>
    <t>EMPORIO NUTRIVIDA</t>
  </si>
  <si>
    <t>36.121.219/0001-96</t>
  </si>
  <si>
    <t>EMPORIO PIRES</t>
  </si>
  <si>
    <t>EMPORIO RAIZES NATURAIS</t>
  </si>
  <si>
    <t>53.144.799/0001-56</t>
  </si>
  <si>
    <t>EMPORIO SANDU</t>
  </si>
  <si>
    <t>40.383.510/0001-00</t>
  </si>
  <si>
    <t>EMPORIO SANTA CLARA</t>
  </si>
  <si>
    <t>02.229.989/0001-35</t>
  </si>
  <si>
    <t>EMPORIO SAO CHICO</t>
  </si>
  <si>
    <t>40.569.912/0001-01</t>
  </si>
  <si>
    <t>EMPORIO SAUDE E GRAOS LTDA</t>
  </si>
  <si>
    <t>45.992.485/0001-85</t>
  </si>
  <si>
    <t>EMPÓRIO SAÚDE - VILLA BOM JESUS</t>
  </si>
  <si>
    <t>35.521.042/0001-52</t>
  </si>
  <si>
    <t>EMPORIO SEGREDOS DA TERRA</t>
  </si>
  <si>
    <t>54.389.476/0001-95</t>
  </si>
  <si>
    <t>EMPORIO VITTA TRINDADE</t>
  </si>
  <si>
    <t>06.268.357/0001-31</t>
  </si>
  <si>
    <t>EMPORIO VIDA</t>
  </si>
  <si>
    <t>13.159.391/0001-33</t>
  </si>
  <si>
    <t>EMPORIO VIDA LEVE</t>
  </si>
  <si>
    <t>34.414.578/0001-06</t>
  </si>
  <si>
    <t>EMPORIO - VIDA SAUDAVEL</t>
  </si>
  <si>
    <t>31.071.662/0001-86</t>
  </si>
  <si>
    <t>EMPORIO VINHOS E OLIVAS</t>
  </si>
  <si>
    <t>47.461.618/0001-12</t>
  </si>
  <si>
    <t>EMPORIO Z</t>
  </si>
  <si>
    <t>36.312.870/0001-43</t>
  </si>
  <si>
    <t>EMPORIO CATARINA</t>
  </si>
  <si>
    <t>24.713.639/0001-82</t>
  </si>
  <si>
    <t>EMPORIUM LOW FIT</t>
  </si>
  <si>
    <t>EMPORIUM COMERCIO DE PRODUTOS NATURAIS LTA</t>
  </si>
  <si>
    <t>04.513.921/0001-09</t>
  </si>
  <si>
    <t>EMPORIUM KERO MAIS</t>
  </si>
  <si>
    <t>24.224.359/0002-91</t>
  </si>
  <si>
    <t>EMPORIUM VIVA</t>
  </si>
  <si>
    <t>36.163.312/0001-63</t>
  </si>
  <si>
    <t>EQUILIBRIO NATURAL</t>
  </si>
  <si>
    <t>10.332.076/0001-78</t>
  </si>
  <si>
    <t>ENCANTO VERDE CURITIBA PRODUTOS NATURAIS</t>
  </si>
  <si>
    <t>44.112.885/0001-96</t>
  </si>
  <si>
    <t>NATURAL &amp; MENTE PRODUTOS NATURAIS</t>
  </si>
  <si>
    <t>32.594.709/0001-59</t>
  </si>
  <si>
    <t>ENJOY LIFES</t>
  </si>
  <si>
    <t>37.021.195/0001-66</t>
  </si>
  <si>
    <t>EQUILIBRIO ALIMENTOS E PRODUTOS NATURAIS</t>
  </si>
  <si>
    <t>40.477.330/0001-97</t>
  </si>
  <si>
    <t>EQUILÍBRIO SAUDÁVEL</t>
  </si>
  <si>
    <t>30.540.716/0001-42</t>
  </si>
  <si>
    <t>EQUILIBRIO VITAL</t>
  </si>
  <si>
    <t>22.367.082/0001-40</t>
  </si>
  <si>
    <t>ATIVI SUPLEMENTOS</t>
  </si>
  <si>
    <t>25.975.924/0001-34</t>
  </si>
  <si>
    <t>09.290.043/0003-95</t>
  </si>
  <si>
    <t>EMPORIO SAUDE</t>
  </si>
  <si>
    <t>12.527.165/0001-03</t>
  </si>
  <si>
    <t>05.879.400/0001-32</t>
  </si>
  <si>
    <t>ESPACO MAIS SAUDE E SABOR</t>
  </si>
  <si>
    <t>20.357.397/0001-80</t>
  </si>
  <si>
    <t>EMPORIO DIVINATU</t>
  </si>
  <si>
    <t>34.843.382/0001-37</t>
  </si>
  <si>
    <t>ESQUINA SABOR EM GRAOS</t>
  </si>
  <si>
    <t>32.717.728/0001-25</t>
  </si>
  <si>
    <t>00.858.210/0001-15</t>
  </si>
  <si>
    <t>ESSENCIA DA NATUREZA</t>
  </si>
  <si>
    <t>08.237.457/0001-26</t>
  </si>
  <si>
    <t>ESSENCIA NATURAL EIRELI</t>
  </si>
  <si>
    <t>22.541.128/0001-03</t>
  </si>
  <si>
    <t>ESSENCIAFIT PRODUTOS NATURAIS</t>
  </si>
  <si>
    <t>49.984.138/0001-61</t>
  </si>
  <si>
    <t>ESTACAO 261 RESTAURANTE</t>
  </si>
  <si>
    <t>49.626.508/0001-99</t>
  </si>
  <si>
    <t>ESTAR BEM</t>
  </si>
  <si>
    <t>VERDE VIVA - PRODUTOS NATURAIS</t>
  </si>
  <si>
    <t>06.304.721/0001-71</t>
  </si>
  <si>
    <t>22.194.928/0001-97</t>
  </si>
  <si>
    <t>COMERCIO DE PRODUTOS NATURAIS</t>
  </si>
  <si>
    <t>45.536.857/0001-69</t>
  </si>
  <si>
    <t>ARMAZEM SAUDAVEL</t>
  </si>
  <si>
    <t>36.993.564/0001-10</t>
  </si>
  <si>
    <t>EXTRATO VERDE PRODUTOS NATURAIS</t>
  </si>
  <si>
    <t>41.132.813/0001-12</t>
  </si>
  <si>
    <t>EXTREMA QUALIDADE MINIMERCADO LTDA</t>
  </si>
  <si>
    <t>38.256.711/0001-02</t>
  </si>
  <si>
    <t>19.853.733/0001-05</t>
  </si>
  <si>
    <t>PADARIA BRASIL(MATRIZ)</t>
  </si>
  <si>
    <t>91.684.126/0001-88</t>
  </si>
  <si>
    <t>PADARIA BRASIL (FILIAL)</t>
  </si>
  <si>
    <t>91.684.126/0002-69</t>
  </si>
  <si>
    <t>26.856.689/0001-44</t>
  </si>
  <si>
    <t>NATIVA PRIME VIDAL RAMOS</t>
  </si>
  <si>
    <t>30.235.200/0001-94</t>
  </si>
  <si>
    <t>EMPORIO WEBER</t>
  </si>
  <si>
    <t>30.601.123/0001-49</t>
  </si>
  <si>
    <t>O ENGENHO RS - GRAOS E CEREAIS</t>
  </si>
  <si>
    <t>42.383.708/0001-19</t>
  </si>
  <si>
    <t>EMPORIO DO CAMPO</t>
  </si>
  <si>
    <t>32.971.030/0001-31</t>
  </si>
  <si>
    <t>VILLA GRANNEL PRODUTOS NATURAIS</t>
  </si>
  <si>
    <t>21.642.546/0001-16</t>
  </si>
  <si>
    <t>ARMAZEM DO COLONO</t>
  </si>
  <si>
    <t>95.773.453/0001-67</t>
  </si>
  <si>
    <t>FARMACIA MERCEDES</t>
  </si>
  <si>
    <t>06.140.817/0001-41</t>
  </si>
  <si>
    <t>FARMACIA STRAFARMA</t>
  </si>
  <si>
    <t>02.728.506/0018-95</t>
  </si>
  <si>
    <t>FARMY</t>
  </si>
  <si>
    <t>06.555.651/0001-24</t>
  </si>
  <si>
    <t>THE BEST ACAI</t>
  </si>
  <si>
    <t>39.653.661/0001-51</t>
  </si>
  <si>
    <t>CAIXA DOCE</t>
  </si>
  <si>
    <t>41.939.081/0001-77</t>
  </si>
  <si>
    <t>VOVO FITNESS</t>
  </si>
  <si>
    <t>48.008.813/0001-54</t>
  </si>
  <si>
    <t>BERGAS VERDES PRODUTOS NATURAIS</t>
  </si>
  <si>
    <t>40.251.895/0001-51</t>
  </si>
  <si>
    <t>045.100.833-27</t>
  </si>
  <si>
    <t>Cajá Alimentos</t>
  </si>
  <si>
    <t>28.788.522/0001-19</t>
  </si>
  <si>
    <t>NUTRI VIDA - PRODUTOS NATURAIS</t>
  </si>
  <si>
    <t>38.322.463/0001-42</t>
  </si>
  <si>
    <t>FIT PIE</t>
  </si>
  <si>
    <t>31.986.459/0001-30</t>
  </si>
  <si>
    <t>UNIVITAL ALIMENTACAO NATURAL</t>
  </si>
  <si>
    <t>03.652.817/0001-32</t>
  </si>
  <si>
    <t>DISTRIBUIDORFERNANDO</t>
  </si>
  <si>
    <t>FFP COMERCIO DE PRODUTOS NATURAIS LTDA</t>
  </si>
  <si>
    <t>37.244.309/0002-18</t>
  </si>
  <si>
    <t>07.668.845/0001-07</t>
  </si>
  <si>
    <t>FIKALEVE</t>
  </si>
  <si>
    <t>17.661.334/0001-09</t>
  </si>
  <si>
    <t>17.661.334/0002-90</t>
  </si>
  <si>
    <t>LOJA DO GRAO</t>
  </si>
  <si>
    <t>39.380.515/0001-08</t>
  </si>
  <si>
    <t>FINO GRAO</t>
  </si>
  <si>
    <t>24.874.180/0001-07</t>
  </si>
  <si>
    <t>AFS LAGOA FLORIANÓPOLIS - SC</t>
  </si>
  <si>
    <t>36.327.837/0002-78</t>
  </si>
  <si>
    <t>24.004.743/0001-06</t>
  </si>
  <si>
    <t>EMPORIO VO ZULMIRA</t>
  </si>
  <si>
    <t>20.292.428/0002-43</t>
  </si>
  <si>
    <t>EMPORIO FLOR &amp; MEL PRODUTOS NATURAIS</t>
  </si>
  <si>
    <t>48.427.995/0001-06</t>
  </si>
  <si>
    <t>CHOCOLICIA - CHOCOLATES DE GRAMADO</t>
  </si>
  <si>
    <t>43.057.996/0001-84</t>
  </si>
  <si>
    <t>Raiz Forte Produtos Naturais</t>
  </si>
  <si>
    <t>33.766.419/0001-08</t>
  </si>
  <si>
    <t>FLOR DE JAMBU</t>
  </si>
  <si>
    <t>32.270.262/0001-62</t>
  </si>
  <si>
    <t>FLOR DE LOTUS PRODUTOS NATURAIS</t>
  </si>
  <si>
    <t>18.924.164/0001-70</t>
  </si>
  <si>
    <t>SABOR &amp; SAUDE PRODUTOS NATURAIS</t>
  </si>
  <si>
    <t>04.727.725/0001-37</t>
  </si>
  <si>
    <t>FLOR DE SAL PRODUTOS NATURAIS</t>
  </si>
  <si>
    <t>43.399.608/0001-43</t>
  </si>
  <si>
    <t>FLORA FLOR</t>
  </si>
  <si>
    <t>21.650.610/0001-00</t>
  </si>
  <si>
    <t>FOLHA VERDE PRODUTOS NATURAIS</t>
  </si>
  <si>
    <t>33.572.325/0001-06</t>
  </si>
  <si>
    <t>FORCE SUPLEMENTOS E PRODUTOS NATURAIS LTDA - ME</t>
  </si>
  <si>
    <t>NATURALE SAUDE E SABOR</t>
  </si>
  <si>
    <t>37.036.620/0001-90</t>
  </si>
  <si>
    <t>QUE TAL VEG</t>
  </si>
  <si>
    <t>26.548.929/0001-43</t>
  </si>
  <si>
    <t>PRÓ SAÚDE ASSIS CHATEAUBRIAND</t>
  </si>
  <si>
    <t>26.586.742/0001-34</t>
  </si>
  <si>
    <t>FREE KITCHEN</t>
  </si>
  <si>
    <t>44.401.204/0001-00</t>
  </si>
  <si>
    <t>44.401.204/0002-90</t>
  </si>
  <si>
    <t>FRUTARIA JM</t>
  </si>
  <si>
    <t>48.967.561/0001-90</t>
  </si>
  <si>
    <t>OBAO EMPORIO E CAFE</t>
  </si>
  <si>
    <t>40.445.742/0001-45</t>
  </si>
  <si>
    <t>FUNFIT FAZ BEM</t>
  </si>
  <si>
    <t>26.082.712/0001-90</t>
  </si>
  <si>
    <t>ARMAZEM</t>
  </si>
  <si>
    <t>32.952.562/0001-21</t>
  </si>
  <si>
    <t>73.423.618/0001-38</t>
  </si>
  <si>
    <t>MERCADO MARAFON</t>
  </si>
  <si>
    <t>33.180.809/0001-00</t>
  </si>
  <si>
    <t>ALL NATURAL 2011</t>
  </si>
  <si>
    <t>53.211.578/0001-53</t>
  </si>
  <si>
    <t>FARMACIAS UNIPRECO</t>
  </si>
  <si>
    <t>12.044.700/0027-04</t>
  </si>
  <si>
    <t>KRIEGER FORMULAS</t>
  </si>
  <si>
    <t>05.199.692/0001-62</t>
  </si>
  <si>
    <t>GR BRANDS</t>
  </si>
  <si>
    <t>51.322.316/0001-30</t>
  </si>
  <si>
    <t>GABAMA BEM ESTAR</t>
  </si>
  <si>
    <t>47.699.116/0001-24</t>
  </si>
  <si>
    <t>GALERIA NATURAL</t>
  </si>
  <si>
    <t>43.698.589/0001-56</t>
  </si>
  <si>
    <t>GABRIELA ROXO MONTEIRO</t>
  </si>
  <si>
    <t>32.869.684/0001-59</t>
  </si>
  <si>
    <t>PAPPILA ALIMENTOS</t>
  </si>
  <si>
    <t>36.445.284/0001-77</t>
  </si>
  <si>
    <t>MAIS SAUDE PRODUTOS</t>
  </si>
  <si>
    <t>41.250.522/0001-29</t>
  </si>
  <si>
    <t>EMPÓRIO SABOR DA NATUREZA</t>
  </si>
  <si>
    <t>11.408.204/0001-82</t>
  </si>
  <si>
    <t>SEU EMPORIO QUEIJOS &amp; VINHOS</t>
  </si>
  <si>
    <t>43.548.382/0001-03</t>
  </si>
  <si>
    <t>GRANEL ENSEADA</t>
  </si>
  <si>
    <t>28.427.956/0001-93</t>
  </si>
  <si>
    <t>GAIA GRANEL</t>
  </si>
  <si>
    <t>34.665.245/0001-50</t>
  </si>
  <si>
    <t>43.098.021/0001-02</t>
  </si>
  <si>
    <t>DERMONUTRI PRODUTOS NATURAIS</t>
  </si>
  <si>
    <t>22.188.151/0001-58</t>
  </si>
  <si>
    <t>SORVETERIA GELA BOCA</t>
  </si>
  <si>
    <t>05.261.360/0001-60</t>
  </si>
  <si>
    <t>ZERO ALERGÊNICOS</t>
  </si>
  <si>
    <t>20.301.458/0001-98</t>
  </si>
  <si>
    <t>CANTINHO DAS ESPECIARIAS</t>
  </si>
  <si>
    <t>40.290.337/0001-03</t>
  </si>
  <si>
    <t>CASA NATU VERDE</t>
  </si>
  <si>
    <t>40.651.439/0001-07</t>
  </si>
  <si>
    <t>AJ COMERCIO ELETRONICO</t>
  </si>
  <si>
    <t>26.384.694/0001-00</t>
  </si>
  <si>
    <t>BONFIT PRODUTO NATURAIS</t>
  </si>
  <si>
    <t>GIVA'S PUB</t>
  </si>
  <si>
    <t>26.490.069/0001-34</t>
  </si>
  <si>
    <t>NUTRILIFE PRODUTOS NATURAIS</t>
  </si>
  <si>
    <t>31.305.996/0001-77</t>
  </si>
  <si>
    <t>07.701.029/0001-40</t>
  </si>
  <si>
    <t>EMPÓRIO VIDA SAUDÁVEL</t>
  </si>
  <si>
    <t>19.861.239/0001-84</t>
  </si>
  <si>
    <t>GIRASSOL</t>
  </si>
  <si>
    <t>52.934.851/0001-05</t>
  </si>
  <si>
    <t>GISA ZANOTELLI</t>
  </si>
  <si>
    <t>22.397.998/0001-42</t>
  </si>
  <si>
    <t>GLUTEN FREE</t>
  </si>
  <si>
    <t>20.431.867/0001-09</t>
  </si>
  <si>
    <t>NEOGRANN PRODUTOS NATURAIS</t>
  </si>
  <si>
    <t>29.093.916/0001-15</t>
  </si>
  <si>
    <t>PIE &amp; FIT BOUTIQUE</t>
  </si>
  <si>
    <t>39.477.410/0001-63</t>
  </si>
  <si>
    <t>30.697.608/0001-88</t>
  </si>
  <si>
    <t>BEM INTEGRAL</t>
  </si>
  <si>
    <t>24.068.549/0001-86</t>
  </si>
  <si>
    <t>GRAND VINHOS BRASIL</t>
  </si>
  <si>
    <t>36.999.269/0001-70</t>
  </si>
  <si>
    <t>GRANEL MAIS NATURAL</t>
  </si>
  <si>
    <t>39.432.517/0001-95</t>
  </si>
  <si>
    <t>GRANELLO PRODUTOS NATURAIS</t>
  </si>
  <si>
    <t>26.503.174/0001-60</t>
  </si>
  <si>
    <t>40.134.507/0001-52</t>
  </si>
  <si>
    <t>GRANO NATURALE</t>
  </si>
  <si>
    <t>Empório Faz Bem</t>
  </si>
  <si>
    <t>03.839.528/0001-47</t>
  </si>
  <si>
    <t>GRANOLLA PRODUTOS NATURAIS LTDA</t>
  </si>
  <si>
    <t>46.623.058/0001-92</t>
  </si>
  <si>
    <t>41.603.893/0003-09</t>
  </si>
  <si>
    <t>GRAO DE BICO GAROPABA SC</t>
  </si>
  <si>
    <t>34.348.858/0001-63</t>
  </si>
  <si>
    <t>GRÃO NATURAL</t>
  </si>
  <si>
    <t>07.663.579/0001-11</t>
  </si>
  <si>
    <t>GRAOS E OLIVAS</t>
  </si>
  <si>
    <t>47.612.234/0001-53</t>
  </si>
  <si>
    <t>GRAOS NATURALLE</t>
  </si>
  <si>
    <t>43.097.733/0001-07</t>
  </si>
  <si>
    <t>GRAOVILLE</t>
  </si>
  <si>
    <t>27.700.037/0001-89</t>
  </si>
  <si>
    <t>GRAOZERA PRODUTOS NATURAIS</t>
  </si>
  <si>
    <t>51.282.139/0001-06</t>
  </si>
  <si>
    <t>Gratigraos Produtos Naturais</t>
  </si>
  <si>
    <t>GRAZZIE CAFE GOURMET E CHOCOLATES FINOS</t>
  </si>
  <si>
    <t>45.249.118/0001-96</t>
  </si>
  <si>
    <t>BIMAD NATURAIS</t>
  </si>
  <si>
    <t>31.613.088/0001-40</t>
  </si>
  <si>
    <t>GRAZIELI ALINE KUNST</t>
  </si>
  <si>
    <t>45.288.851/0001-10</t>
  </si>
  <si>
    <t>DELICIAS FREE GLUTEN</t>
  </si>
  <si>
    <t>37.415.534/0001-99</t>
  </si>
  <si>
    <t>GREEN LIFE PRODUTOS NATURAIS</t>
  </si>
  <si>
    <t>GREEN LIFE SALADS</t>
  </si>
  <si>
    <t>27.827.472/0001-79</t>
  </si>
  <si>
    <t>VILLA ORGANI</t>
  </si>
  <si>
    <t>33.476.099/0001-51</t>
  </si>
  <si>
    <t>GUCCA NATURAL &amp; TAL</t>
  </si>
  <si>
    <t>39.783.332/0001-25</t>
  </si>
  <si>
    <t>BENESSERE PRODUTOS NATURAIS</t>
  </si>
  <si>
    <t>27.254.365/0001-07</t>
  </si>
  <si>
    <t>BRAZILIAN TRIBES SPICES</t>
  </si>
  <si>
    <t>44.426.874/0001-80</t>
  </si>
  <si>
    <t>GUINLE GOURMET</t>
  </si>
  <si>
    <t>20.096.430/0001-66</t>
  </si>
  <si>
    <t>GULA'S NATURAL FOOD</t>
  </si>
  <si>
    <t>18.253.801/0001-24</t>
  </si>
  <si>
    <t>GRAOS E SEMENTES PRODUTOS NATURAIS</t>
  </si>
  <si>
    <t>43.433.391/0001-40</t>
  </si>
  <si>
    <t>STORE EMPORIO NATURAL</t>
  </si>
  <si>
    <t>00.072.425/0001-06</t>
  </si>
  <si>
    <t>FIGHTONLINE</t>
  </si>
  <si>
    <t>26.321.896/0001-02</t>
  </si>
  <si>
    <t>NATUBRAZIL PRODUTOS NATURAIS</t>
  </si>
  <si>
    <t>NUTRIMAIS VIDA SAUDAVEL</t>
  </si>
  <si>
    <t>32.992.568/0001-22</t>
  </si>
  <si>
    <t>HARDCORE SUPLEMENTOS</t>
  </si>
  <si>
    <t>19.503.364/0001-12</t>
  </si>
  <si>
    <t>19.949.491/0001-40</t>
  </si>
  <si>
    <t>HARMONIA NATURAL TERMAS</t>
  </si>
  <si>
    <t>27.420.424/0001-61</t>
  </si>
  <si>
    <t>NATURALYS</t>
  </si>
  <si>
    <t>13.343.046/0001-55</t>
  </si>
  <si>
    <t>HOTEL 10 ITAJAI</t>
  </si>
  <si>
    <t>05.654.527/0004-04</t>
  </si>
  <si>
    <t>SEMPRE BEM PRODUTOS NATURAIS</t>
  </si>
  <si>
    <t>45.012.975/0001-78</t>
  </si>
  <si>
    <t>36.917.687/0001-71</t>
  </si>
  <si>
    <t>HELENAS</t>
  </si>
  <si>
    <t>34.198.779/0001-13</t>
  </si>
  <si>
    <t>POMAR HORTIFRUTI</t>
  </si>
  <si>
    <t>45.148.759/0001-54</t>
  </si>
  <si>
    <t>32.355.452/0001-82</t>
  </si>
  <si>
    <t>HEROIS DA PIZZA</t>
  </si>
  <si>
    <t>13.268.983/0001-93</t>
  </si>
  <si>
    <t>HIBISCO PRODUTOS NATURAIS</t>
  </si>
  <si>
    <t>32.960.553/0001-82</t>
  </si>
  <si>
    <t>HIGIA ALIMENTACAO E SAUDE</t>
  </si>
  <si>
    <t>46.185.876/0001-50</t>
  </si>
  <si>
    <t>HIPERDOCES COMERCIO DE ALIMENTOS LTDA</t>
  </si>
  <si>
    <t>03.133.404/0001-41</t>
  </si>
  <si>
    <t>HORIZONTINA PRODUTOS NATURAIS LTDA</t>
  </si>
  <si>
    <t>33.023.757/0001-50</t>
  </si>
  <si>
    <t>HORTELA PIMENTA</t>
  </si>
  <si>
    <t>22.780.866/0001-03</t>
  </si>
  <si>
    <t>HORTELA PRODUTOS NATURAIS</t>
  </si>
  <si>
    <t>32.721.402/0001-71</t>
  </si>
  <si>
    <t>HORTIFRUTI DIRETO DO CAMPO</t>
  </si>
  <si>
    <t>05.201.600/0001-31</t>
  </si>
  <si>
    <t>MARIA CASTANHA</t>
  </si>
  <si>
    <t>30.985.027/0001-41</t>
  </si>
  <si>
    <t>I N DE MENDONCA - REPRESENTAÇÃO COMERCIAL</t>
  </si>
  <si>
    <t>26.399.209/0001-63</t>
  </si>
  <si>
    <t>ESPACO NATUVIDA</t>
  </si>
  <si>
    <t>03.869.680/0001-72</t>
  </si>
  <si>
    <t>DONA GERTRUDEZ SALGATERIA</t>
  </si>
  <si>
    <t>18.584.035/0001-80</t>
  </si>
  <si>
    <t>ICE CREAM RETRO</t>
  </si>
  <si>
    <t>39.660.893/0001-37</t>
  </si>
  <si>
    <t>IDEAL SUPERMERCADO</t>
  </si>
  <si>
    <t>38.373.739/0001-11</t>
  </si>
  <si>
    <t>Armazém do Grão</t>
  </si>
  <si>
    <t>19.467.524/0001-15</t>
  </si>
  <si>
    <t>IMBUR</t>
  </si>
  <si>
    <t>48.540.974/0001-94</t>
  </si>
  <si>
    <t>MAGARI GASTRONOMIA FUNCIONAL</t>
  </si>
  <si>
    <t>31.549.853/0001-00</t>
  </si>
  <si>
    <t>DOCES SELECAO</t>
  </si>
  <si>
    <t>02.111.899/0001-45</t>
  </si>
  <si>
    <t>Pomer Sul</t>
  </si>
  <si>
    <t>26.228.375/0001-05</t>
  </si>
  <si>
    <t>25.390.354/0001-10</t>
  </si>
  <si>
    <t>40.721.041/0001-91</t>
  </si>
  <si>
    <t>EMPORIO DOLL E CAFE</t>
  </si>
  <si>
    <t>17.453.733/0001-84</t>
  </si>
  <si>
    <t>VILA VERDE PRODUTOS NATURAIS</t>
  </si>
  <si>
    <t>34.778.393/0001-80</t>
  </si>
  <si>
    <t>EMPORIO CAPIM &amp; CANELA</t>
  </si>
  <si>
    <t>08.798.311/0001-50</t>
  </si>
  <si>
    <t>MANIA NATURAL</t>
  </si>
  <si>
    <t>33.019.261/0001-02</t>
  </si>
  <si>
    <t>PRODUTOS NATURAIS FORMULA NATURAL</t>
  </si>
  <si>
    <t>34.634.235/0001-57</t>
  </si>
  <si>
    <t>55.150.348/0001-57</t>
  </si>
  <si>
    <t>34.022.945/0001-26</t>
  </si>
  <si>
    <t>23.556.396/0001-53</t>
  </si>
  <si>
    <t>83.129.098/0001-09</t>
  </si>
  <si>
    <t>TIBAGI PRODUTOS NATURAIS</t>
  </si>
  <si>
    <t>78.049.178/0001-14</t>
  </si>
  <si>
    <t>COMERCIAL HORTIFRUTIGRANJEIRO</t>
  </si>
  <si>
    <t>07.270.898/0001-67</t>
  </si>
  <si>
    <t>NATUBRAVA PRODUTOS NATURAIS</t>
  </si>
  <si>
    <t>40.502.100/0001-30</t>
  </si>
  <si>
    <t>PROSAUDE JOINVILLE</t>
  </si>
  <si>
    <t>36.959.012/0001-95</t>
  </si>
  <si>
    <t>85.388.817/0001-31</t>
  </si>
  <si>
    <t>NATURAIS &amp; ORGANICOS</t>
  </si>
  <si>
    <t>29.616.143/0001-04</t>
  </si>
  <si>
    <t>JARDIM RESTO</t>
  </si>
  <si>
    <t>22.970.577/0001-69</t>
  </si>
  <si>
    <t>DOCE AMOR</t>
  </si>
  <si>
    <t>05.549.390/0001-77</t>
  </si>
  <si>
    <t>GRAOS E ERVAS NATURAIS</t>
  </si>
  <si>
    <t>32.709.844/0001-00</t>
  </si>
  <si>
    <t>ARMAZEM NATURAL ascurra</t>
  </si>
  <si>
    <t>26.907.300/0001-42</t>
  </si>
  <si>
    <t>NATURAMEL PRODUTOS NATURAIS</t>
  </si>
  <si>
    <t>42.130.590/0001-17</t>
  </si>
  <si>
    <t>CASEIRISSIMA</t>
  </si>
  <si>
    <t>27.484.003/0001-02</t>
  </si>
  <si>
    <t>DA SERRA DELICATESSEN &amp; PRODUTOS COLONIAIS</t>
  </si>
  <si>
    <t>32.058.481/0001-82</t>
  </si>
  <si>
    <t>NUTRE FIT ALIMENTOS SAUDAVEIS</t>
  </si>
  <si>
    <t>42.505.092/0001-01</t>
  </si>
  <si>
    <t>CHOCO'GI doceria</t>
  </si>
  <si>
    <t>28.053.042/0001-00</t>
  </si>
  <si>
    <t>OHWAY</t>
  </si>
  <si>
    <t>27.108.286/0001-80</t>
  </si>
  <si>
    <t>GRÃOS DA TERRA</t>
  </si>
  <si>
    <t>19.339.149/0001-28</t>
  </si>
  <si>
    <t>MIX SAUDE EMPORIO NATURAL</t>
  </si>
  <si>
    <t>37.480.427/0001-44</t>
  </si>
  <si>
    <t>JOAO ANTONIO SARTORI</t>
  </si>
  <si>
    <t>07.758.492/0001-28</t>
  </si>
  <si>
    <t>CORDEIRO DESIGN</t>
  </si>
  <si>
    <t>46.818.732/0001-94</t>
  </si>
  <si>
    <t>NUTRI E SAUDE PRODUTOS NATURAIS</t>
  </si>
  <si>
    <t>26.935.881/0001-26</t>
  </si>
  <si>
    <t>15.734.881/0001-41</t>
  </si>
  <si>
    <t>JORDANA MILACH LAMBRECHT PORTANTIOLO</t>
  </si>
  <si>
    <t>28.792.086/0001-51</t>
  </si>
  <si>
    <t>@VIDAMAISINTEGRAL</t>
  </si>
  <si>
    <t>35.347.027/0001-30</t>
  </si>
  <si>
    <t>SERENO SILVESTRE</t>
  </si>
  <si>
    <t>21.471.011/0001-20</t>
  </si>
  <si>
    <t>JOSE CARLOS MARQUES DA SILVA 45662002053</t>
  </si>
  <si>
    <t>39.339.745/0001-15</t>
  </si>
  <si>
    <t>GRANO SPECIALE CAFE</t>
  </si>
  <si>
    <t>33.420.706/0001-61</t>
  </si>
  <si>
    <t>VITA SANA PRODUTOS NATURAIS</t>
  </si>
  <si>
    <t>42.344.413/0001-33</t>
  </si>
  <si>
    <t>BEM VIVER PRODUTOS NATURAIS</t>
  </si>
  <si>
    <t>37.427.373/0001-53</t>
  </si>
  <si>
    <t>22.403.137/0001-20</t>
  </si>
  <si>
    <t>GRUPO DUAL</t>
  </si>
  <si>
    <t>24.925.688/0001-89</t>
  </si>
  <si>
    <t>JOSIELE OLIVEIRA DE MOURA</t>
  </si>
  <si>
    <t>21.752.844/0001-69</t>
  </si>
  <si>
    <t>29.338.536/0001-01</t>
  </si>
  <si>
    <t>CASTANHAS PRODUTOS NATURAIS</t>
  </si>
  <si>
    <t>41.118.133/0001-44</t>
  </si>
  <si>
    <t>43.964.821/0001-50</t>
  </si>
  <si>
    <t>VIDA ATIVA</t>
  </si>
  <si>
    <t>48.285.893/0001-95</t>
  </si>
  <si>
    <t>PRODUTOS NATURAIS</t>
  </si>
  <si>
    <t>23.669.939/0001-49</t>
  </si>
  <si>
    <t>VIVER BEM PRODUTOS - NATURAIS</t>
  </si>
  <si>
    <t>36.122.897/0001-73</t>
  </si>
  <si>
    <t>JULEHAUS PROD. NATURAIS</t>
  </si>
  <si>
    <t>32.728.590/0001-60</t>
  </si>
  <si>
    <t>GULASFIT DAJU</t>
  </si>
  <si>
    <t>26.267.844/0001-97</t>
  </si>
  <si>
    <t>ESPACO DOM PI</t>
  </si>
  <si>
    <t>34.992.277/0001-60</t>
  </si>
  <si>
    <t>Emporio Cravo e Canela</t>
  </si>
  <si>
    <t>13.275.711/0001-10</t>
  </si>
  <si>
    <t>JULICA</t>
  </si>
  <si>
    <t>08.670.165/0001-82</t>
  </si>
  <si>
    <t>ORGANIC FIT</t>
  </si>
  <si>
    <t>32.534.032/0001-63</t>
  </si>
  <si>
    <t>MAIS SAUDAVEL</t>
  </si>
  <si>
    <t>39.413.797/0001-94</t>
  </si>
  <si>
    <t>JVS DISTRIBUIDORA</t>
  </si>
  <si>
    <t>39.475.973/0001-12</t>
  </si>
  <si>
    <t>AFS - GUAPORÉ - RS</t>
  </si>
  <si>
    <t>37.957.007/0001-06</t>
  </si>
  <si>
    <t>FEITO KAKAO CHOCOLATE &amp; CO.</t>
  </si>
  <si>
    <t>35.653.837/0001-14</t>
  </si>
  <si>
    <t>EMPORIO KA</t>
  </si>
  <si>
    <t>24.994.569/0001-88</t>
  </si>
  <si>
    <t>GRAOS DO PARAISO</t>
  </si>
  <si>
    <t>28.314.613/0001-12</t>
  </si>
  <si>
    <t>EMPORIO FINO SABOR</t>
  </si>
  <si>
    <t>29.979.728/0001-99</t>
  </si>
  <si>
    <t>32.633.328/0001-31</t>
  </si>
  <si>
    <t>EMPORIO GAUTAMA</t>
  </si>
  <si>
    <t>28.562.378/0001-06</t>
  </si>
  <si>
    <t>ALECRIM E MEL</t>
  </si>
  <si>
    <t>32.889.530/0001-29</t>
  </si>
  <si>
    <t>KRW TERAPIAS</t>
  </si>
  <si>
    <t>40.405.541/0001-14</t>
  </si>
  <si>
    <t>KAZA DU QUEIJO</t>
  </si>
  <si>
    <t>48.110.930/0001-24</t>
  </si>
  <si>
    <t>KELLY LAURA</t>
  </si>
  <si>
    <t>23.682.668/0001-61</t>
  </si>
  <si>
    <t>47.058.031/0001-67</t>
  </si>
  <si>
    <t>KLM TREINAMENTOS</t>
  </si>
  <si>
    <t>19.741.190/0001-26</t>
  </si>
  <si>
    <t>cafe verde</t>
  </si>
  <si>
    <t>18.208.810/0001-01</t>
  </si>
  <si>
    <t>NATURALMENTE SAUDAVEL</t>
  </si>
  <si>
    <t>05.809.930/0001-04</t>
  </si>
  <si>
    <t>PRO SAUDE ARARUNA --NATUVIDA PRODUTOS NATURAIS</t>
  </si>
  <si>
    <t>24.441.451/0001-22</t>
  </si>
  <si>
    <t>koisas da natureza</t>
  </si>
  <si>
    <t>04.266.000/0001-99</t>
  </si>
  <si>
    <t>35.660.129/0001-00</t>
  </si>
  <si>
    <t>EMPORIO MARIA MARGARIDA</t>
  </si>
  <si>
    <t>27.385.643/0001-57</t>
  </si>
  <si>
    <t>CELEIRO COMERCIO DE ALIMENTOS E PRODUTOS NATURAIS</t>
  </si>
  <si>
    <t>24.734.624/0001-09</t>
  </si>
  <si>
    <t>TOQUE NATURAL</t>
  </si>
  <si>
    <t>52.677.023/0001-39</t>
  </si>
  <si>
    <t>CELEIRO GRAOS DE OURO</t>
  </si>
  <si>
    <t>51.077.765/0001-60</t>
  </si>
  <si>
    <t>LEMAX BANDEIRANTES</t>
  </si>
  <si>
    <t>31.494.747/0001-77</t>
  </si>
  <si>
    <t>CIA DA SAUDE GAROPABA</t>
  </si>
  <si>
    <t>52.283.376/0001-54</t>
  </si>
  <si>
    <t>AFS CASCAVEL - PR</t>
  </si>
  <si>
    <t>33.696.749/0001-74</t>
  </si>
  <si>
    <t>VIDA E SAUDE</t>
  </si>
  <si>
    <t>NUTRISER EMPORIO &amp; CAFE</t>
  </si>
  <si>
    <t>39.749.532/0001-61</t>
  </si>
  <si>
    <t>LABELA SEMENTE GRAOS E CEREAIS</t>
  </si>
  <si>
    <t>49.945.362/0001-44</t>
  </si>
  <si>
    <t>GUANACO MERCADO SAUDAVEL</t>
  </si>
  <si>
    <t>43.309.168/0001-96</t>
  </si>
  <si>
    <t>18.019.481/0002-23</t>
  </si>
  <si>
    <t>POLAR SORVETES</t>
  </si>
  <si>
    <t>79.400.545/0001-45</t>
  </si>
  <si>
    <t>CIA DO GRAO</t>
  </si>
  <si>
    <t>34.198.040/0001-01</t>
  </si>
  <si>
    <t>EMPÓRIO CAIUA PRODUTOS NATURAIS</t>
  </si>
  <si>
    <t>35.246.626/0001-67</t>
  </si>
  <si>
    <t>SERAFINA EMPORIO NATURAL</t>
  </si>
  <si>
    <t>39.698.435/0001-97</t>
  </si>
  <si>
    <t>LATICINIO STEFANELLO LTDA</t>
  </si>
  <si>
    <t>05.418.346/0002-09</t>
  </si>
  <si>
    <t>CAIÇARA MERCEARIA E CAFE</t>
  </si>
  <si>
    <t>47.694.619/0001-07</t>
  </si>
  <si>
    <t>33.133.519/0001-05</t>
  </si>
  <si>
    <t>SAÚDE &amp; FORMA PRODUTOS NATURAIS</t>
  </si>
  <si>
    <t>31.900.569/0001-37</t>
  </si>
  <si>
    <t>SAUDE COM SABOR</t>
  </si>
  <si>
    <t>08.181.214/0001-13</t>
  </si>
  <si>
    <t>028.055.769-85</t>
  </si>
  <si>
    <t>GOOD DIET</t>
  </si>
  <si>
    <t>33.011.064/0001-47</t>
  </si>
  <si>
    <t>CASA MINEIRA</t>
  </si>
  <si>
    <t>45.227.531/0001-50</t>
  </si>
  <si>
    <t>CHA DE BAMBU</t>
  </si>
  <si>
    <t>46.820.225/0001-95</t>
  </si>
  <si>
    <t>NUTRABAKE</t>
  </si>
  <si>
    <t>40.189.281/0001-97</t>
  </si>
  <si>
    <t>ARMAZEM MEGA NUTRI</t>
  </si>
  <si>
    <t>40.982.194/0001-92</t>
  </si>
  <si>
    <t>LEBEN FIT PRODUTOS NATURAIS</t>
  </si>
  <si>
    <t>41.086.291/0001-60</t>
  </si>
  <si>
    <t>LEBRALIT COMERCIO DE ALIMENTOS</t>
  </si>
  <si>
    <t>45.006.637/0001-23</t>
  </si>
  <si>
    <t>94.037.363/0005-79</t>
  </si>
  <si>
    <t>EMPORIO CACIQUE PRODUTOS NATURAIS</t>
  </si>
  <si>
    <t>27.176.246/0001-75</t>
  </si>
  <si>
    <t>11.365.606/0001-47</t>
  </si>
  <si>
    <t>11.365.606/0002-28</t>
  </si>
  <si>
    <t>EMPORIO DEL NATURALE</t>
  </si>
  <si>
    <t>47.859.572/0001-94</t>
  </si>
  <si>
    <t>07.874.358/0001-92</t>
  </si>
  <si>
    <t>NUTRYA ARMAZEM SAUDAVEL</t>
  </si>
  <si>
    <t>35.452.792/0001-10</t>
  </si>
  <si>
    <t>ARMAZÉM DO PORTO</t>
  </si>
  <si>
    <t>26.995.166/0001-89</t>
  </si>
  <si>
    <t>41.087.919/0001-41</t>
  </si>
  <si>
    <t>EMPÓRIO BRASIL</t>
  </si>
  <si>
    <t>12.649.953/0001-64</t>
  </si>
  <si>
    <t>EMPORIO DA LE</t>
  </si>
  <si>
    <t>20.901.170/0001-54</t>
  </si>
  <si>
    <t>CASA DAS SEMENTES E CEREAIS</t>
  </si>
  <si>
    <t>25.229.406/0001-71</t>
  </si>
  <si>
    <t>GRANULARE</t>
  </si>
  <si>
    <t>17.333.904/0001-31</t>
  </si>
  <si>
    <t>LEV CONGELADOS</t>
  </si>
  <si>
    <t>30.822.284/0001-62</t>
  </si>
  <si>
    <t>CORPO E SAÚDE PRODUTOS NATURAIS</t>
  </si>
  <si>
    <t>45.666.079/0001-22</t>
  </si>
  <si>
    <t>AFS Bento Gonçalves - RS</t>
  </si>
  <si>
    <t>35.028.772/0001-16</t>
  </si>
  <si>
    <t>MERCADO SHALON</t>
  </si>
  <si>
    <t>03.510.730/0001-20</t>
  </si>
  <si>
    <t>SER NATURAL</t>
  </si>
  <si>
    <t>24.129.390/0001-62</t>
  </si>
  <si>
    <t>GRAOS DA ILHA</t>
  </si>
  <si>
    <t>04.857.149/0001-42</t>
  </si>
  <si>
    <t>LIARTH</t>
  </si>
  <si>
    <t>33.467.460/0001-83</t>
  </si>
  <si>
    <t>LIBECCA ECO EMPORIO</t>
  </si>
  <si>
    <t>27.388.542/0001-30</t>
  </si>
  <si>
    <t>LIFE NATURE</t>
  </si>
  <si>
    <t>13.124.357/0001-23</t>
  </si>
  <si>
    <t>SEU QUINTAL - PRODUTOS NATURAIS</t>
  </si>
  <si>
    <t>46.403.126/0001-08</t>
  </si>
  <si>
    <t>LILI PROUTOS NATURAIS</t>
  </si>
  <si>
    <t>40.288.640/0001-63</t>
  </si>
  <si>
    <t>EMPORIO FLOR DE LIS</t>
  </si>
  <si>
    <t>47.890.340/0001-07</t>
  </si>
  <si>
    <t>GRANEL ENSEADA PRODUTOS NATURAIS</t>
  </si>
  <si>
    <t>11.167.089/0001-00</t>
  </si>
  <si>
    <t>EMPORIO MARIA</t>
  </si>
  <si>
    <t>10.589.470/0001-96</t>
  </si>
  <si>
    <t>LIVE ROUPAS ESPORTIVAS LTDA.</t>
  </si>
  <si>
    <t>05.108.435/0001-78</t>
  </si>
  <si>
    <t>LLEVT GLUTEN FREE</t>
  </si>
  <si>
    <t>47.691.850/0001-47</t>
  </si>
  <si>
    <t>LOJA CRAVO E ROSA</t>
  </si>
  <si>
    <t>LOLLA SORVETES</t>
  </si>
  <si>
    <t>32.955.359/0002-90</t>
  </si>
  <si>
    <t>40.880.078/0001-62</t>
  </si>
  <si>
    <t>SALUTE PRODUTOS NATURAIS</t>
  </si>
  <si>
    <t>07.262.745/0001-78</t>
  </si>
  <si>
    <t>Naturalis</t>
  </si>
  <si>
    <t>11.550.059/0001-70</t>
  </si>
  <si>
    <t>MENU CONFIANCA</t>
  </si>
  <si>
    <t>28.709.659/0001-30</t>
  </si>
  <si>
    <t>LPM REPRESENTACOES</t>
  </si>
  <si>
    <t>35.034.002/0001-86</t>
  </si>
  <si>
    <t>LS COMERCIO DE PRODUTOS</t>
  </si>
  <si>
    <t>17.260.557/0001-64</t>
  </si>
  <si>
    <t>NATUS EMPORIO NATURAL</t>
  </si>
  <si>
    <t>26.075.866/0001-55</t>
  </si>
  <si>
    <t>32.641.346/0001-65</t>
  </si>
  <si>
    <t>VILLA DI GRANO</t>
  </si>
  <si>
    <t>38.079.475/0001-98</t>
  </si>
  <si>
    <t>ARMAZÉM 50</t>
  </si>
  <si>
    <t>41.858.035/0001-43</t>
  </si>
  <si>
    <t>EMPORIO AURORA</t>
  </si>
  <si>
    <t>43.821.105/0001-14</t>
  </si>
  <si>
    <t>LKC SUPLEMENTOS</t>
  </si>
  <si>
    <t>49.768.010/0001-60</t>
  </si>
  <si>
    <t>DOD'Z</t>
  </si>
  <si>
    <t>40.353.346/0001-98</t>
  </si>
  <si>
    <t>LUCIAM BORGES TRANSPORTES E TURISMO</t>
  </si>
  <si>
    <t>43.358.783/0001-92</t>
  </si>
  <si>
    <t>Seu Granel</t>
  </si>
  <si>
    <t>39.550.675/0001-40</t>
  </si>
  <si>
    <t>YUMMY ALIMENTOS SAUDAVEIS</t>
  </si>
  <si>
    <t>27.487.261/0001-34</t>
  </si>
  <si>
    <t>LUCIANE DIANI RODRIGUES GOMES</t>
  </si>
  <si>
    <t>40.549.731/0001-05</t>
  </si>
  <si>
    <t>NUNES NATURAL</t>
  </si>
  <si>
    <t>20.261.009/0001-63</t>
  </si>
  <si>
    <t>BEM ESTAR VIDA</t>
  </si>
  <si>
    <t>05.700.172/0001-91</t>
  </si>
  <si>
    <t>ESPACO DAS ERVAS</t>
  </si>
  <si>
    <t>23.205.694/0001-07</t>
  </si>
  <si>
    <t>Santo Grão produtos naturais</t>
  </si>
  <si>
    <t>36.639.927/0001-13</t>
  </si>
  <si>
    <t>VIP PRODUTOS NATURAIS E SUPLEMENTOS</t>
  </si>
  <si>
    <t>11.420.675/0001-06</t>
  </si>
  <si>
    <t>GRÃO A GRÃO</t>
  </si>
  <si>
    <t>30.192.864/0001-13</t>
  </si>
  <si>
    <t>20.161.886/0001-62</t>
  </si>
  <si>
    <t>33.673.277/0001-34</t>
  </si>
  <si>
    <t>EMPORIO DAS FRUTAS</t>
  </si>
  <si>
    <t>43.065.480/0001-81</t>
  </si>
  <si>
    <t>LUIZ CESAR CECATTO PEREIRA &amp; CIA LTDA</t>
  </si>
  <si>
    <t>02.020.104/0001-93</t>
  </si>
  <si>
    <t>CASA DE ESPECIARIAS &amp; IMPORTADOS</t>
  </si>
  <si>
    <t>00.894.641/0001-37</t>
  </si>
  <si>
    <t>MERCATTO NATURAL</t>
  </si>
  <si>
    <t>44.309.042/0001-84</t>
  </si>
  <si>
    <t>VILA NATURAL EMPORIO</t>
  </si>
  <si>
    <t>47.205.332/0001-76</t>
  </si>
  <si>
    <t>FITOGURIAS HERBANARIO</t>
  </si>
  <si>
    <t>31.265.718/0001-33</t>
  </si>
  <si>
    <t>LUMI VITA</t>
  </si>
  <si>
    <t>48.213.183/0002-30</t>
  </si>
  <si>
    <t>ESTACAO DO GRANEL</t>
  </si>
  <si>
    <t>47.824.371/0001-51</t>
  </si>
  <si>
    <t>LUZIA GRATKY 67435246700</t>
  </si>
  <si>
    <t>28.616.496/0001-41</t>
  </si>
  <si>
    <t>M &amp; M COMÉRCIO DE PRODUTOS NATURAIS E ALIMENTÍCIOS LTDA</t>
  </si>
  <si>
    <t>48.509.497/0001-02</t>
  </si>
  <si>
    <t>45.582.215/0001-04</t>
  </si>
  <si>
    <t>S K - ALIMENTOS</t>
  </si>
  <si>
    <t>19.881.037/0001-02</t>
  </si>
  <si>
    <t>GRANO GRAOS E SABORES</t>
  </si>
  <si>
    <t>36.439.329/0001-09</t>
  </si>
  <si>
    <t>ARMAZEM FLORESTA</t>
  </si>
  <si>
    <t>13.350.751/0001-80</t>
  </si>
  <si>
    <t>34.595.434/0001-01</t>
  </si>
  <si>
    <t>15.552.856/0001-47</t>
  </si>
  <si>
    <t>NATURALLY PRODUTOS NATURAIS</t>
  </si>
  <si>
    <t>27.831.811/0001-90</t>
  </si>
  <si>
    <t>28.275.285/0001-92</t>
  </si>
  <si>
    <t>MACROBIOTICA EDEN LTDA</t>
  </si>
  <si>
    <t>79.411.229/0001-79</t>
  </si>
  <si>
    <t>MACROVIDA</t>
  </si>
  <si>
    <t>01.961.888/0001-91</t>
  </si>
  <si>
    <t>LOJA MAGAZINE NATURAL</t>
  </si>
  <si>
    <t>44.114.126/0001-62</t>
  </si>
  <si>
    <t>APRESENTAÇÃO MAIS GRANEL</t>
  </si>
  <si>
    <t>38.233.558/0001-90</t>
  </si>
  <si>
    <t>MAIS GRAOS</t>
  </si>
  <si>
    <t>12.312.873/0001-19</t>
  </si>
  <si>
    <t>08.647.055/0001-08</t>
  </si>
  <si>
    <t>MAIS RAIZ</t>
  </si>
  <si>
    <t>38.029.082/0001-70</t>
  </si>
  <si>
    <t>MAIS VERDE</t>
  </si>
  <si>
    <t>44.155.246/0001-08</t>
  </si>
  <si>
    <t>MANAH CEREAIS</t>
  </si>
  <si>
    <t>14.363.631/0001-80</t>
  </si>
  <si>
    <t>MERCADO PEROLA</t>
  </si>
  <si>
    <t>05.642.690/0001-04</t>
  </si>
  <si>
    <t>MARIA GRANEL</t>
  </si>
  <si>
    <t>26.270.915/0001-00</t>
  </si>
  <si>
    <t>MARIA GRANEL FILIAL</t>
  </si>
  <si>
    <t>26.270.915/0002-91</t>
  </si>
  <si>
    <t>17.036.232/0001-00</t>
  </si>
  <si>
    <t>31.082.306/0001-68</t>
  </si>
  <si>
    <t>LIRIO DO VALE ,CASA DE GRAOS NATURAIS E</t>
  </si>
  <si>
    <t>40.549.585/0001-18</t>
  </si>
  <si>
    <t>CANTINHO NATURAL</t>
  </si>
  <si>
    <t>42.652.202/0001-68</t>
  </si>
  <si>
    <t>MARCIA DOLORES FERRAZ - COMERCIO</t>
  </si>
  <si>
    <t>17.127.926/0001-45</t>
  </si>
  <si>
    <t>armazem natural</t>
  </si>
  <si>
    <t>19.438.330/0001-91</t>
  </si>
  <si>
    <t>K10 CEREAIS</t>
  </si>
  <si>
    <t>39.596.766/0001-16</t>
  </si>
  <si>
    <t>SALUTI GRAOS E GRANEL</t>
  </si>
  <si>
    <t>41.628.986/0001-26</t>
  </si>
  <si>
    <t>NATSVIDA PRODUTOS NATURAIS</t>
  </si>
  <si>
    <t>39.752.914/0001-44</t>
  </si>
  <si>
    <t>MENTA PIMENTA</t>
  </si>
  <si>
    <t>95.806.220/0001-13</t>
  </si>
  <si>
    <t>EMPÓRIO VIDA NATURAL</t>
  </si>
  <si>
    <t>48.128.147/0001-98</t>
  </si>
  <si>
    <t>ZMS PRODUTOS NATURAIS</t>
  </si>
  <si>
    <t>39.157.629/0001-85</t>
  </si>
  <si>
    <t>ALDEIA DA FOLHA PRODUTOS NATURAIS</t>
  </si>
  <si>
    <t>15.517.168/0001-46</t>
  </si>
  <si>
    <t>MJR COMERCIO DE GELO</t>
  </si>
  <si>
    <t>34.043.718/0001-87</t>
  </si>
  <si>
    <t>MOENDA DOS GRÃOS</t>
  </si>
  <si>
    <t>CEREAIS DOCE SABOR</t>
  </si>
  <si>
    <t>25.012.016/0001-45</t>
  </si>
  <si>
    <t>GRAOS &amp; CIA</t>
  </si>
  <si>
    <t>07.787.164/0001-50</t>
  </si>
  <si>
    <t>TAIA PRODUTOS NATURAIS</t>
  </si>
  <si>
    <t>46.985.358/0001-11</t>
  </si>
  <si>
    <t>C&amp;B</t>
  </si>
  <si>
    <t>27.876.605/0001-05</t>
  </si>
  <si>
    <t>NATURE</t>
  </si>
  <si>
    <t>38.294.421/0001-45</t>
  </si>
  <si>
    <t>GRANO - ARMAZEM NATURAL</t>
  </si>
  <si>
    <t>39.269.180/0001-47</t>
  </si>
  <si>
    <t>MARIA NUTS ALIMENTACAO SAUDAVEL</t>
  </si>
  <si>
    <t>35.679.454/0001-15</t>
  </si>
  <si>
    <t>MAISAUDE EMPORIO NATURAL</t>
  </si>
  <si>
    <t>15.557.808/0001-41</t>
  </si>
  <si>
    <t>VIVA NATURAL</t>
  </si>
  <si>
    <t>26.516.780/0001-10</t>
  </si>
  <si>
    <t>SAL DA TERRA</t>
  </si>
  <si>
    <t>28.502.921/0002-52</t>
  </si>
  <si>
    <t>MARIBELLA ALIMENTOS</t>
  </si>
  <si>
    <t>27.571.333/0001-27</t>
  </si>
  <si>
    <t>MARIELLE THB</t>
  </si>
  <si>
    <t>46.098.229/0001-01</t>
  </si>
  <si>
    <t>ADEGA DI BACCO</t>
  </si>
  <si>
    <t>03.787.349/0001-03</t>
  </si>
  <si>
    <t>GrãoFarma</t>
  </si>
  <si>
    <t>41.412.022/0001-46</t>
  </si>
  <si>
    <t>ESSENCIA DE VIDA</t>
  </si>
  <si>
    <t>18.203.012/0001-89</t>
  </si>
  <si>
    <t>05.680.222/0001-16</t>
  </si>
  <si>
    <t>VITAL NATIVA</t>
  </si>
  <si>
    <t>30.518.697/0001-58</t>
  </si>
  <si>
    <t>Marjorie Secco Odontologia LTDA</t>
  </si>
  <si>
    <t>47.323.561/0001-95</t>
  </si>
  <si>
    <t>GRÃOS DOURADOS PRODUTOS NATURAIS</t>
  </si>
  <si>
    <t>37.444.077/0001-60</t>
  </si>
  <si>
    <t>18.222.144/0001-58</t>
  </si>
  <si>
    <t>ARMAZEN NATURAL</t>
  </si>
  <si>
    <t>39.308.384/0001-40</t>
  </si>
  <si>
    <t>MARTINEZ &amp; SCHMIDT LTDA</t>
  </si>
  <si>
    <t>12.058.824/0001-00</t>
  </si>
  <si>
    <t>10.751.383/0001-93</t>
  </si>
  <si>
    <t>CASA DI PÃO</t>
  </si>
  <si>
    <t>34.655.210/0001-30</t>
  </si>
  <si>
    <t>GERACAO RAIZ</t>
  </si>
  <si>
    <t>MATTO VERDE PRODUTOS NATURAIS</t>
  </si>
  <si>
    <t>41.179.189/0001-09</t>
  </si>
  <si>
    <t>5 FOLHAS</t>
  </si>
  <si>
    <t>40.301.018/0001-48</t>
  </si>
  <si>
    <t>EMPORIO VIDA &amp; SABOR</t>
  </si>
  <si>
    <t>29.949.923/0001-76</t>
  </si>
  <si>
    <t>PURA VITA</t>
  </si>
  <si>
    <t>45.037.693/0001-25</t>
  </si>
  <si>
    <t>MAXIMILIANO DA SILVA CORRALO</t>
  </si>
  <si>
    <t>93.401.024/0001-33</t>
  </si>
  <si>
    <t>AMA EMPORIO NATURAL</t>
  </si>
  <si>
    <t>41.765.526/0001-40</t>
  </si>
  <si>
    <t>SEGREDO DA TERRA</t>
  </si>
  <si>
    <t>24.056.965/0001-64</t>
  </si>
  <si>
    <t>MEGGA PRODUTOS NATURAIS</t>
  </si>
  <si>
    <t>14.557.394/0001-98</t>
  </si>
  <si>
    <t>MELGUILIPE ALIMENTOS</t>
  </si>
  <si>
    <t>22.944.611/0001-20</t>
  </si>
  <si>
    <t>MENINA ZEN</t>
  </si>
  <si>
    <t>12.679.505/0001-03</t>
  </si>
  <si>
    <t>MERCADO AGUIA AZUL</t>
  </si>
  <si>
    <t>01.837.931/0001-01</t>
  </si>
  <si>
    <t>IVONE E KIDI DOCES CASEIROS</t>
  </si>
  <si>
    <t>04.319.644/0001-06</t>
  </si>
  <si>
    <t>Ugami Mercado Natural</t>
  </si>
  <si>
    <t>29.786.133/0001-17</t>
  </si>
  <si>
    <t>MERCADO VERDE PRAIA DO ROSA</t>
  </si>
  <si>
    <t>42.955.091/0001-69</t>
  </si>
  <si>
    <t>MERCEARIA IMPERIAL</t>
  </si>
  <si>
    <t>QUE DELICIA</t>
  </si>
  <si>
    <t>78.934.478/0001-86</t>
  </si>
  <si>
    <t>MERCEARIA O BARRACAO</t>
  </si>
  <si>
    <t>METTA ACADEMIA - ATIVIDADES DE CONDICIONAMENTO FISICO E COMERCIO DE VESTUARIO LTDA</t>
  </si>
  <si>
    <t>32.514.289/0001-53</t>
  </si>
  <si>
    <t>GRAO MESTRE NATURAIS E ORGANICOS</t>
  </si>
  <si>
    <t>18.623.724/0001-57</t>
  </si>
  <si>
    <t>OLGA PRESENTES E PERFUMARIA</t>
  </si>
  <si>
    <t>20.687.689/0001-81</t>
  </si>
  <si>
    <t>MIL FOLHAS PRODUTOS NATURAIS LTDA</t>
  </si>
  <si>
    <t>07.800.440/0001-72</t>
  </si>
  <si>
    <t>WELLNESS E FITNESS</t>
  </si>
  <si>
    <t>24.500.775/0001-94</t>
  </si>
  <si>
    <t>MILGRANO MERCADO NATURAL</t>
  </si>
  <si>
    <t>38.180.334/0001-67</t>
  </si>
  <si>
    <t>MIX NATURAL PRODUTOS NATURAIS</t>
  </si>
  <si>
    <t>42.778.224/0001-79</t>
  </si>
  <si>
    <t>VIA NATURAL</t>
  </si>
  <si>
    <t>42.645.138/0001-98</t>
  </si>
  <si>
    <t>A GRANEL</t>
  </si>
  <si>
    <t>13.719.065/0002-14</t>
  </si>
  <si>
    <t>EMPÓRIO &amp; CIA</t>
  </si>
  <si>
    <t>15.176.056/0001-79</t>
  </si>
  <si>
    <t>MOOD WINE</t>
  </si>
  <si>
    <t>41.930.750/0001-40</t>
  </si>
  <si>
    <t>MORADA DOS CANYONS</t>
  </si>
  <si>
    <t>06.978.405/0001-85</t>
  </si>
  <si>
    <t>GRANO MERCADO NATURAL</t>
  </si>
  <si>
    <t>78.035.466/0001-10</t>
  </si>
  <si>
    <t>MERCEARIA 82</t>
  </si>
  <si>
    <t>27.569.891/0001-58</t>
  </si>
  <si>
    <t>MR NUTS NAÇÃO VERDE</t>
  </si>
  <si>
    <t>42.994.139/0001-48</t>
  </si>
  <si>
    <t>EMPORIO TOP - MIX</t>
  </si>
  <si>
    <t>36.096.452/0001-66</t>
  </si>
  <si>
    <t>PRÓ SAUDE PRODUTOS NATURAIS</t>
  </si>
  <si>
    <t>33.327.108/0001-42</t>
  </si>
  <si>
    <t>MULTICICLO JARAGUA LTDA</t>
  </si>
  <si>
    <t>38.221.674/0001-99</t>
  </si>
  <si>
    <t>LEMAX</t>
  </si>
  <si>
    <t>10.354.503/0001-19</t>
  </si>
  <si>
    <t>MUNDO FIT CONFEITARIA</t>
  </si>
  <si>
    <t>12.992.851/0002-28</t>
  </si>
  <si>
    <t>MUNDO SAUDAVEL</t>
  </si>
  <si>
    <t>97.547.155/0001-84</t>
  </si>
  <si>
    <t>45.658.828/0001-70</t>
  </si>
  <si>
    <t>39.888.582/0001-20</t>
  </si>
  <si>
    <t>NA COZINHA</t>
  </si>
  <si>
    <t>33.521.075/0001-77</t>
  </si>
  <si>
    <t>25.145.741/0003-53</t>
  </si>
  <si>
    <t>25.145.741/0002-72</t>
  </si>
  <si>
    <t>CIA NATURALLE</t>
  </si>
  <si>
    <t>47.926.335/0001-07</t>
  </si>
  <si>
    <t>ESSENCIALL PRODUTOS NATURAIS E FITNESS</t>
  </si>
  <si>
    <t>34.079.959/0001-86</t>
  </si>
  <si>
    <t>RAPANUI PRODUTOS NATURAIS</t>
  </si>
  <si>
    <t>08.385.613/0001-04</t>
  </si>
  <si>
    <t>Armazém Lisboa Cacupe</t>
  </si>
  <si>
    <t>27.265.302/0001-48</t>
  </si>
  <si>
    <t>NAT VIDA</t>
  </si>
  <si>
    <t>23.740.583/0003-54</t>
  </si>
  <si>
    <t>NAT VIDA EMPORIO DE ALIMENTOS</t>
  </si>
  <si>
    <t>23.740.583/0001-92</t>
  </si>
  <si>
    <t>OZONIOVITA</t>
  </si>
  <si>
    <t>46.051.276/0001-08</t>
  </si>
  <si>
    <t>NUTRILAR PRODUTOS NATURAIS</t>
  </si>
  <si>
    <t>28.092.790/0001-00</t>
  </si>
  <si>
    <t>NATTURAL ZEN EMPORIO</t>
  </si>
  <si>
    <t>44.994.476/0001-60</t>
  </si>
  <si>
    <t>NATALIA MARTINS ROSSA</t>
  </si>
  <si>
    <t>38.120.293/0001-13</t>
  </si>
  <si>
    <t>NATIELI PRODUTOS SEM GLÚTEN</t>
  </si>
  <si>
    <t>45.654.473/0001-40</t>
  </si>
  <si>
    <t>NATFIT ALIMENTOS E SUPLEMENTOS LTDA</t>
  </si>
  <si>
    <t>36.909.429/0001-43</t>
  </si>
  <si>
    <t>MERCADO FAZ BEM</t>
  </si>
  <si>
    <t>21.358.436/0001-27</t>
  </si>
  <si>
    <t>NATIVA Prime Itaguaçu</t>
  </si>
  <si>
    <t>36.631.473/0001-34</t>
  </si>
  <si>
    <t>51.136.383/0001-60</t>
  </si>
  <si>
    <t>NATTURELLA</t>
  </si>
  <si>
    <t>23.605.384/0001-71</t>
  </si>
  <si>
    <t>NATU PRODUTOS NATURAIS</t>
  </si>
  <si>
    <t>24.618.484/0001-03</t>
  </si>
  <si>
    <t>NATUCLIN COMERCIO DE PRODUTOS NATURAIS E MANUFATURADOS</t>
  </si>
  <si>
    <t>03.875.367/0002-28</t>
  </si>
  <si>
    <t>NATUCOLLI PRODUTOS NATURAIS</t>
  </si>
  <si>
    <t>32.972.835/0001-08</t>
  </si>
  <si>
    <t>AFS CURITIBA JUVEVÊ</t>
  </si>
  <si>
    <t>06.933.676/0001-14</t>
  </si>
  <si>
    <t>NATUFLORA COMERCIO DE PRODUTOS NATURAIS LTDA</t>
  </si>
  <si>
    <t>04.885.325/0001-50</t>
  </si>
  <si>
    <t>27.094.737/0001-77</t>
  </si>
  <si>
    <t>NATULIV - PRODUTOS NATURAIS E SUPLEMENTOS</t>
  </si>
  <si>
    <t>42.884.459/0001-45</t>
  </si>
  <si>
    <t>NATURA CENTER</t>
  </si>
  <si>
    <t>20.142.158/0001-03</t>
  </si>
  <si>
    <t>19.515.046/0001-71</t>
  </si>
  <si>
    <t>NATURACOM</t>
  </si>
  <si>
    <t>14.535.519/0001-89</t>
  </si>
  <si>
    <t>NATURAL PRODUTOS</t>
  </si>
  <si>
    <t>07.349.014/0001-64</t>
  </si>
  <si>
    <t>MACROBIOTICA EDEN</t>
  </si>
  <si>
    <t>43.105.565/0001-46</t>
  </si>
  <si>
    <t>NATURAL FIT</t>
  </si>
  <si>
    <t>19.103.362/0001-36</t>
  </si>
  <si>
    <t>NATURAL GARDEN</t>
  </si>
  <si>
    <t>25.454.735/0001-16</t>
  </si>
  <si>
    <t>NATURAL IMPORTS</t>
  </si>
  <si>
    <t>81.347.700/0001-59</t>
  </si>
  <si>
    <t>25.128.558/0001-88</t>
  </si>
  <si>
    <t>NATURAL&amp;MENTE</t>
  </si>
  <si>
    <t>35.253.140/0001-56</t>
  </si>
  <si>
    <t>NATURALIS</t>
  </si>
  <si>
    <t>10.368.957/0001-49</t>
  </si>
  <si>
    <t>NATURALIZ - PRODUTOS NATURAIS</t>
  </si>
  <si>
    <t>55.932.435/0001-66</t>
  </si>
  <si>
    <t>NATURALLE PRODUTOS NATURAIS</t>
  </si>
  <si>
    <t>22.213.439/0001-35</t>
  </si>
  <si>
    <t>Naturalmente</t>
  </si>
  <si>
    <t>24.578.545/0001-48</t>
  </si>
  <si>
    <t>WIFES DOCES SAUDAVEIS ARTESANAIS</t>
  </si>
  <si>
    <t>42.033.695/0001-58</t>
  </si>
  <si>
    <t>NATURALMENTE GRAOS E ERVAS</t>
  </si>
  <si>
    <t>37.953.391/0001-79</t>
  </si>
  <si>
    <t>NATURALMENTE PRODUTOS NATURAIS</t>
  </si>
  <si>
    <t>20.235.036/0001-61</t>
  </si>
  <si>
    <t>NATURAPRO COMERCIO DE PRODUTOS NATURAIS</t>
  </si>
  <si>
    <t>17.865.029/0001-39</t>
  </si>
  <si>
    <t>NATURART PRODUTOS NATURAIS LTDA</t>
  </si>
  <si>
    <t>07.620.729/0001-00</t>
  </si>
  <si>
    <t>NATUREBA HEALTHY &amp; FITNESS</t>
  </si>
  <si>
    <t>31.811.002/0001-94</t>
  </si>
  <si>
    <t>NATURELLA PRODUTOS NATURAIS E SUPLEMENTOS</t>
  </si>
  <si>
    <t>14.615.328/0001-27</t>
  </si>
  <si>
    <t>NATUTIBA</t>
  </si>
  <si>
    <t>29.025.600/0001-96</t>
  </si>
  <si>
    <t>NATUVALE PRODUTOS NATURAIS</t>
  </si>
  <si>
    <t>37.649.857/0001-47</t>
  </si>
  <si>
    <t>NATUWELLNESS</t>
  </si>
  <si>
    <t>39.809.020/0001-43</t>
  </si>
  <si>
    <t>NUTRICOLLA</t>
  </si>
  <si>
    <t>34.643.216/0001-97</t>
  </si>
  <si>
    <t>TUDO NATURAL</t>
  </si>
  <si>
    <t>24.048.227/0001-75</t>
  </si>
  <si>
    <t>NILNATURALEVE</t>
  </si>
  <si>
    <t>35.193.460/0001-68</t>
  </si>
  <si>
    <t>SAÚDE E CIA</t>
  </si>
  <si>
    <t>41.574.049/0001-35</t>
  </si>
  <si>
    <t>JDS MARMITX</t>
  </si>
  <si>
    <t>33.700.077/0001-23</t>
  </si>
  <si>
    <t>NATURAL MARKET</t>
  </si>
  <si>
    <t>29.916.052/0001-94</t>
  </si>
  <si>
    <t>43.565.055/0001-51</t>
  </si>
  <si>
    <t>PRODUTOS NATURAIS PIRES</t>
  </si>
  <si>
    <t>31.748.095/0001-50</t>
  </si>
  <si>
    <t>05.488.121/0001-48</t>
  </si>
  <si>
    <t>NEWSHAPE SUPLEMENTOS</t>
  </si>
  <si>
    <t>17.506.971/0001-00</t>
  </si>
  <si>
    <t>GAIA PRODUTOS NATURAIS</t>
  </si>
  <si>
    <t>17.942.932/0001-56</t>
  </si>
  <si>
    <t>08.989.093/0001-30</t>
  </si>
  <si>
    <t>NOSSA FORMA LITORAL</t>
  </si>
  <si>
    <t>32.438.425/0001-73</t>
  </si>
  <si>
    <t>NOVA DESPENSA</t>
  </si>
  <si>
    <t>NOVA SEMENTE ARMAZEM NATURAL</t>
  </si>
  <si>
    <t>04.765.796/0001-24</t>
  </si>
  <si>
    <t>CASANOZZ</t>
  </si>
  <si>
    <t>39.493.818/0001-29</t>
  </si>
  <si>
    <t>NEW SHAPE SUPLEMENTOS</t>
  </si>
  <si>
    <t>45.041.389/0001-51</t>
  </si>
  <si>
    <t>NSP CELULARES ASSISTENCIA TECNICA MULTIMARCAS</t>
  </si>
  <si>
    <t>33.774.117/0001-81</t>
  </si>
  <si>
    <t>Núcleo Fit</t>
  </si>
  <si>
    <t>34.622.757/0001-39</t>
  </si>
  <si>
    <t>NUTREE EMPORIO NATURAL</t>
  </si>
  <si>
    <t>46.439.515/0001-93</t>
  </si>
  <si>
    <t>41.191.401/0001-53</t>
  </si>
  <si>
    <t>NUTRI CORPUS</t>
  </si>
  <si>
    <t>22.516.422/0001-57</t>
  </si>
  <si>
    <t>NUTRI ERVAS PRODUTOS NATURAIS</t>
  </si>
  <si>
    <t>18.653.158/0001-26</t>
  </si>
  <si>
    <t>NUTRI JA</t>
  </si>
  <si>
    <t>24.893.279/0001-48</t>
  </si>
  <si>
    <t>NUTRI LINDA MULHER</t>
  </si>
  <si>
    <t>NUTRIBEM PRODUTOS NATURAIS</t>
  </si>
  <si>
    <t>17.707.576/0001-96</t>
  </si>
  <si>
    <t>17.550.307/0001-69</t>
  </si>
  <si>
    <t>ESPAÇO NATURAL</t>
  </si>
  <si>
    <t>17.304.540/0001-61</t>
  </si>
  <si>
    <t>49.616.582/0001-24</t>
  </si>
  <si>
    <t>NUTRIMIL</t>
  </si>
  <si>
    <t>20.978.588/0001-60</t>
  </si>
  <si>
    <t>NUTRIR CARE</t>
  </si>
  <si>
    <t>32.845.477/0001-64</t>
  </si>
  <si>
    <t>NUTRITIVA ARMAZÉM</t>
  </si>
  <si>
    <t>13.662.320/0001-59</t>
  </si>
  <si>
    <t>NUTRITIVA</t>
  </si>
  <si>
    <t>42.866.983/0001-93</t>
  </si>
  <si>
    <t>19.917.229/0001-13</t>
  </si>
  <si>
    <t>NUTRITIVA ALIMENTACAO SAUDAVEL</t>
  </si>
  <si>
    <t>42.269.715/0001-94</t>
  </si>
  <si>
    <t>NUTRIUP SUPLEMENTOS NUTRICIONAIS</t>
  </si>
  <si>
    <t>11.239.106/0001-69</t>
  </si>
  <si>
    <t>NUTS NATURAIS</t>
  </si>
  <si>
    <t>35.905.101/0001-96</t>
  </si>
  <si>
    <t>NUTTRINDO PRODUTOS NATURAIS E SUPLEMENTOS</t>
  </si>
  <si>
    <t>27.884.073/0001-40</t>
  </si>
  <si>
    <t>EMPORIO NATURALE VITA</t>
  </si>
  <si>
    <t>28.965.979/0001-51</t>
  </si>
  <si>
    <t>O JARDINEIRO COMERCIO DE ALIMENTOS LTDA</t>
  </si>
  <si>
    <t>51.217.036/0001-62</t>
  </si>
  <si>
    <t>O NUTRI PRODUTOS NATURAIS</t>
  </si>
  <si>
    <t>02.222.556/0001-58</t>
  </si>
  <si>
    <t>O QUINTAL PRODUTOS NATURAIS</t>
  </si>
  <si>
    <t>05.255.242/0001-40</t>
  </si>
  <si>
    <t>O TAL DO GRAO EMPORIO</t>
  </si>
  <si>
    <t>35.191.461/0001-73</t>
  </si>
  <si>
    <t>oasis</t>
  </si>
  <si>
    <t>14.623.634/0001-05</t>
  </si>
  <si>
    <t>PAPAGRAOS</t>
  </si>
  <si>
    <t>37.819.293/0001-43</t>
  </si>
  <si>
    <t>Officina Verde Empório Fit</t>
  </si>
  <si>
    <t>20.703.031/0001-16</t>
  </si>
  <si>
    <t>AFS FLORIANÓPOLIS ESTREITO - SC</t>
  </si>
  <si>
    <t>42.886.827/0001-94</t>
  </si>
  <si>
    <t>ONF REPRESENTACOES</t>
  </si>
  <si>
    <t>48.817.725/0001-01</t>
  </si>
  <si>
    <t>Produtos Naturais Alecrim</t>
  </si>
  <si>
    <t>28.003.343/0001-29</t>
  </si>
  <si>
    <t>COMANDANTE DAS ERVAS</t>
  </si>
  <si>
    <t>44.068.472/0001-51</t>
  </si>
  <si>
    <t>36.301.209/0001-32</t>
  </si>
  <si>
    <t>EMPORIO LINHA NATURAL</t>
  </si>
  <si>
    <t>26.400.752/0001-33</t>
  </si>
  <si>
    <t>EMPORIUM DOLCE VITA</t>
  </si>
  <si>
    <t>02.493.212/0001-83</t>
  </si>
  <si>
    <t>PACHECO &amp; SOUZA</t>
  </si>
  <si>
    <t>07.171.074/0001-30</t>
  </si>
  <si>
    <t>PADARIA E CONFEITARIA DA ILHA</t>
  </si>
  <si>
    <t>36.102.454/0001-10</t>
  </si>
  <si>
    <t>81.298.937/0001-97</t>
  </si>
  <si>
    <t>01.160.421/0001-42</t>
  </si>
  <si>
    <t>MAGAZINE NATURAL</t>
  </si>
  <si>
    <t>10.985.200/0001-02</t>
  </si>
  <si>
    <t>PANFIT</t>
  </si>
  <si>
    <t>37.839.408/0001-61</t>
  </si>
  <si>
    <t>00.914.623/0001-70</t>
  </si>
  <si>
    <t>PANIFICO</t>
  </si>
  <si>
    <t>30.252.722/0001-02</t>
  </si>
  <si>
    <t>PARADA COLONIAL</t>
  </si>
  <si>
    <t>43.010.233/0001-88</t>
  </si>
  <si>
    <t>HORTA PRODUTOS NATURAIS</t>
  </si>
  <si>
    <t>45.648.865/0001-05</t>
  </si>
  <si>
    <t>EMPORIO NATURAL FINKLER</t>
  </si>
  <si>
    <t>24.750.512/0001-33</t>
  </si>
  <si>
    <t>VIDA PRODUTOS NATURAIS</t>
  </si>
  <si>
    <t>31.136.883/0001-95</t>
  </si>
  <si>
    <t>NATUVIDA</t>
  </si>
  <si>
    <t>33.563.405/0001-97</t>
  </si>
  <si>
    <t>Maximus produtos naturais</t>
  </si>
  <si>
    <t>34.878.661/0001-36</t>
  </si>
  <si>
    <t>LIFE SUPLEMENTOS E PRODUTOS NATURAIS</t>
  </si>
  <si>
    <t>15.529.801/0001-16</t>
  </si>
  <si>
    <t>GREEN STORE PRODUTOS NATURAIS</t>
  </si>
  <si>
    <t>45.053.432/0001-07</t>
  </si>
  <si>
    <t>CIA DA SAUDE CHAPECO</t>
  </si>
  <si>
    <t>52.439.640/0001-04</t>
  </si>
  <si>
    <t>MT PRODUTO NATURAL</t>
  </si>
  <si>
    <t>04.854.681/0001-06</t>
  </si>
  <si>
    <t>PERGOLA COMERCIAL</t>
  </si>
  <si>
    <t>13.017.290/0001-28</t>
  </si>
  <si>
    <t>PERTIER-DISTRIBUIDORA DE PRODUTOS NATURAIS</t>
  </si>
  <si>
    <t>08.688.860/0001-71</t>
  </si>
  <si>
    <t>EMPORIO MATCHA</t>
  </si>
  <si>
    <t>32.803.970/0001-11</t>
  </si>
  <si>
    <t>GRAO DA TERRA</t>
  </si>
  <si>
    <t>38.395.799/0001-35</t>
  </si>
  <si>
    <t>PHD DISTRIBUIDORA</t>
  </si>
  <si>
    <t>09.150.984/0002-42</t>
  </si>
  <si>
    <t>PHOUSE ALIMENTOS LTDA (PROSPECT)</t>
  </si>
  <si>
    <t>13.277.497/0001-31</t>
  </si>
  <si>
    <t>38.147.565/0001-79</t>
  </si>
  <si>
    <t>38.147.366/0001-60</t>
  </si>
  <si>
    <t>38.496.074/0001-33</t>
  </si>
  <si>
    <t>38.182.774/0001-53</t>
  </si>
  <si>
    <t>23.365.295/0001-03</t>
  </si>
  <si>
    <t>PRO SAUDE</t>
  </si>
  <si>
    <t>34.396.293/0001-90</t>
  </si>
  <si>
    <t>PHYTOS PRODUTOS NATURAIS</t>
  </si>
  <si>
    <t>42.781.324/0001-54</t>
  </si>
  <si>
    <t>PICADO'S DA TERRA</t>
  </si>
  <si>
    <t>37.680.783/0001-01</t>
  </si>
  <si>
    <t>36.443.387/0002-89</t>
  </si>
  <si>
    <t>PROSAUDE SAO MIGUEL</t>
  </si>
  <si>
    <t>36.443.387/0001-06</t>
  </si>
  <si>
    <t>PILATTI DE OLIVEIRA LTDA</t>
  </si>
  <si>
    <t>49.942.814/0001-34</t>
  </si>
  <si>
    <t>PIMENTA ROSA</t>
  </si>
  <si>
    <t>06.893.509/0001-97</t>
  </si>
  <si>
    <t>BAMBUS PRODUTOS NATURAIS</t>
  </si>
  <si>
    <t>49.154.431/0001-00</t>
  </si>
  <si>
    <t>PLANTI</t>
  </si>
  <si>
    <t>48.967.398/0001-66</t>
  </si>
  <si>
    <t>BEM MAIS SAUDE</t>
  </si>
  <si>
    <t>45.129.366/0001-01</t>
  </si>
  <si>
    <t>BANCA DA ANDRADAS</t>
  </si>
  <si>
    <t>52.917.250/0001-94</t>
  </si>
  <si>
    <t>GRANOVEG</t>
  </si>
  <si>
    <t>34.259.934/0001-64</t>
  </si>
  <si>
    <t>TENDA VERDE</t>
  </si>
  <si>
    <t>35.202.427/0001-57</t>
  </si>
  <si>
    <t>POMMERCADO</t>
  </si>
  <si>
    <t>10.210.200/0001-22</t>
  </si>
  <si>
    <t>PONTO NATURAL</t>
  </si>
  <si>
    <t>43.298.114/0001-72</t>
  </si>
  <si>
    <t>CABANAS MEIA LUA</t>
  </si>
  <si>
    <t>09.336.985/0001-03</t>
  </si>
  <si>
    <t>BANCA 13</t>
  </si>
  <si>
    <t>92.700.046/0001-31</t>
  </si>
  <si>
    <t>MERCEARIA, PANIFICADORA E LANCHONETE PRESTIGIO</t>
  </si>
  <si>
    <t>13.786.808/0001-98</t>
  </si>
  <si>
    <t>MATERIA PRIMA SUPLEMENTOS TRIUNFO</t>
  </si>
  <si>
    <t>19.722.288/0001-36</t>
  </si>
  <si>
    <t>PRIMA FRUTTA COMERCIO DE ALIMENTOS EIRELI</t>
  </si>
  <si>
    <t>21.983.794/0001-20</t>
  </si>
  <si>
    <t>PRINCIPE CONGELADOS</t>
  </si>
  <si>
    <t>05.792.716/0001-92</t>
  </si>
  <si>
    <t>20.747.919/0001-50</t>
  </si>
  <si>
    <t>07.407.376/0001-64</t>
  </si>
  <si>
    <t>NATUREZA EM QUILO</t>
  </si>
  <si>
    <t>00.211.115/0001-25</t>
  </si>
  <si>
    <t>33.947.506/0001-61</t>
  </si>
  <si>
    <t>LOJA ESPAÇO NATURAL</t>
  </si>
  <si>
    <t>12.458.656/0002-12</t>
  </si>
  <si>
    <t>PRODUTOS NATURAIS K &amp; B LTDA.</t>
  </si>
  <si>
    <t>24.437.296/0001-70</t>
  </si>
  <si>
    <t>05.480.558/0002-16</t>
  </si>
  <si>
    <t>PRONAFIT PRODUTOS NATURAIS FITNESS</t>
  </si>
  <si>
    <t>29.401.398/0001-50</t>
  </si>
  <si>
    <t>PRONAPI</t>
  </si>
  <si>
    <t>03.814.093/0001-86</t>
  </si>
  <si>
    <t>33.719.213/0001-27</t>
  </si>
  <si>
    <t>43.573.236/0001-20</t>
  </si>
  <si>
    <t>PROSPERITY INFORMACOES LTDA</t>
  </si>
  <si>
    <t>18.787.074/0001-85</t>
  </si>
  <si>
    <t>VERDUREIRA PROVESI</t>
  </si>
  <si>
    <t>12.483.945/0001-90</t>
  </si>
  <si>
    <t>PROSAUDE PALHOCA</t>
  </si>
  <si>
    <t>41.056.537/0001-50</t>
  </si>
  <si>
    <t>PURO GRAO EMPORIO SAUDAVEL</t>
  </si>
  <si>
    <t>46.711.304/0001-68</t>
  </si>
  <si>
    <t>RAIZES E FOLHAS PRODUTOS NATURAIS</t>
  </si>
  <si>
    <t>08.294.051/0001-85</t>
  </si>
  <si>
    <t>QUINTAL DA MINNA</t>
  </si>
  <si>
    <t>39.531.529/0001-77</t>
  </si>
  <si>
    <t>23.916.761/0001-93</t>
  </si>
  <si>
    <t>FITLAND CAMBORIU</t>
  </si>
  <si>
    <t>36.122.137/0001-66</t>
  </si>
  <si>
    <t>FITLAND BRUSQUE GUARANI</t>
  </si>
  <si>
    <t>36.122.137/0003-28</t>
  </si>
  <si>
    <t>FITLAND TIMBO</t>
  </si>
  <si>
    <t>36.122.137/0004-09</t>
  </si>
  <si>
    <t>DRA. GRANOLA</t>
  </si>
  <si>
    <t>47.161.136/0001-47</t>
  </si>
  <si>
    <t>28.158.256/0002-21</t>
  </si>
  <si>
    <t>SLIM PRODUTOS NATURAIS</t>
  </si>
  <si>
    <t>07.953.756/0001-02</t>
  </si>
  <si>
    <t>LEVE MAIS - PRODUTOS A GRANEL</t>
  </si>
  <si>
    <t>40.630.916/0001-40</t>
  </si>
  <si>
    <t>DIVINO GRAO</t>
  </si>
  <si>
    <t>33.421.800/0001-35</t>
  </si>
  <si>
    <t>FITLAND POMERODE</t>
  </si>
  <si>
    <t>37.849.315/0002-07</t>
  </si>
  <si>
    <t>Vó Xanda - Produtos Naturais</t>
  </si>
  <si>
    <t>41.447.845/0001-07</t>
  </si>
  <si>
    <t>PROVIDA</t>
  </si>
  <si>
    <t>50.839.058/0001-00</t>
  </si>
  <si>
    <t>RAFAELA DE LIMA NASCIMENTO DE CARVALHO 06367894977</t>
  </si>
  <si>
    <t>41.583.342/0001-69</t>
  </si>
  <si>
    <t>RAIZ FORTE LTDA</t>
  </si>
  <si>
    <t>46.648.894/0001-21</t>
  </si>
  <si>
    <t>RAMO NATURAL</t>
  </si>
  <si>
    <t>46.021.199/0001-35</t>
  </si>
  <si>
    <t>RANCHO SUPLEMENTOS</t>
  </si>
  <si>
    <t>24.683.162/0001-30</t>
  </si>
  <si>
    <t>RAQUEL OLIVEIRA DA SILVA</t>
  </si>
  <si>
    <t>26.238.523/0001-64</t>
  </si>
  <si>
    <t>VILA VERDE</t>
  </si>
  <si>
    <t>27.344.036/0001-49</t>
  </si>
  <si>
    <t>EMPORIO TERRA BRASIL</t>
  </si>
  <si>
    <t>45.608.157/0001-32</t>
  </si>
  <si>
    <t>03.000.252/0001-09</t>
  </si>
  <si>
    <t>CORPOSANO NUTRICAO ESPORTIVA E PRODUTOS NATURAIS</t>
  </si>
  <si>
    <t>34.966.693/0001-93</t>
  </si>
  <si>
    <t>45.680.219/0001-17</t>
  </si>
  <si>
    <t>DI NATURALE</t>
  </si>
  <si>
    <t>45.759.070/0001-66</t>
  </si>
  <si>
    <t>R.A SUPLEMENTOS E PRODUTOS NATURAIS</t>
  </si>
  <si>
    <t>41.980.291/0001-09</t>
  </si>
  <si>
    <t>ARMAZÉM MUNDO NOVO</t>
  </si>
  <si>
    <t>41.601.855/0001-55</t>
  </si>
  <si>
    <t>RELVA VERDE</t>
  </si>
  <si>
    <t>76.654.458/0001-26</t>
  </si>
  <si>
    <t>08.847.555/0001-85</t>
  </si>
  <si>
    <t>LEMON COMERCIO DE PRODUTOS NATURAIS DO BRASIL</t>
  </si>
  <si>
    <t>47.918.130/0001-71</t>
  </si>
  <si>
    <t>CASA DAS ERVAS</t>
  </si>
  <si>
    <t>10.434.209/0001-17</t>
  </si>
  <si>
    <t>RENATA TEREZINHA DALL OGLIO 68282389072</t>
  </si>
  <si>
    <t>38.310.235/0001-52</t>
  </si>
  <si>
    <t>NUTRIFIT</t>
  </si>
  <si>
    <t>36.453.634/0001-47</t>
  </si>
  <si>
    <t>NATU ROOTS</t>
  </si>
  <si>
    <t>39.612.322/0001-27</t>
  </si>
  <si>
    <t>RESERVA NATURAL BENEFICIADORA DE PRODUTOS VEGETAIS</t>
  </si>
  <si>
    <t>30.799.235/0001-56</t>
  </si>
  <si>
    <t>RESTAURANTE E PIZZARIA SCUR</t>
  </si>
  <si>
    <t>92.142.587/0001-91</t>
  </si>
  <si>
    <t>LIFE FORMA</t>
  </si>
  <si>
    <t>16.591.782/0001-10</t>
  </si>
  <si>
    <t>DOUTOR NATURAL</t>
  </si>
  <si>
    <t>31.738.621/0001-09</t>
  </si>
  <si>
    <t>RICO ACAI</t>
  </si>
  <si>
    <t>23.318.070/0001-98</t>
  </si>
  <si>
    <t>SUBLIME ESSÊNCIA E COSMÉTICOS</t>
  </si>
  <si>
    <t>42.769.630/0001-75</t>
  </si>
  <si>
    <t>RLV DISTRIBUIDORA</t>
  </si>
  <si>
    <t>36.716.815/0001-19</t>
  </si>
  <si>
    <t>Armazem Jardim Paulista</t>
  </si>
  <si>
    <t>42.655.580/0001-03</t>
  </si>
  <si>
    <t>GRAOS E VIDA</t>
  </si>
  <si>
    <t>39.978.064/0001-05</t>
  </si>
  <si>
    <t>27.837.058/0001-40</t>
  </si>
  <si>
    <t>83.138.206/0001-00</t>
  </si>
  <si>
    <t>CELEIRO NATIVO PRODUTOS NATURAIS</t>
  </si>
  <si>
    <t>37.887.273/0001-00</t>
  </si>
  <si>
    <t>ERVAS DO CAMPO</t>
  </si>
  <si>
    <t>42.704.182/0001-21</t>
  </si>
  <si>
    <t>VEGRANOS</t>
  </si>
  <si>
    <t>33.146.611/0001-00</t>
  </si>
  <si>
    <t>37.674.743/0001-57</t>
  </si>
  <si>
    <t>NUTRA ORGANICOS</t>
  </si>
  <si>
    <t>44.859.359/0001-94</t>
  </si>
  <si>
    <t>RONALDO BARBOSA</t>
  </si>
  <si>
    <t>21.580.067/0001-12</t>
  </si>
  <si>
    <t>Equilibriun</t>
  </si>
  <si>
    <t>04.316.637/0001-42</t>
  </si>
  <si>
    <t>35.855.486/0001-24</t>
  </si>
  <si>
    <t>Rosane Lucia Stankiewicz</t>
  </si>
  <si>
    <t>14.297.376/0001-14</t>
  </si>
  <si>
    <t>RD SAUDE PRESENTES PERSONALIZADO</t>
  </si>
  <si>
    <t>42.590.048/0001-47</t>
  </si>
  <si>
    <t>EMPORIO VIVA BEM</t>
  </si>
  <si>
    <t>20.989.092/0001-91</t>
  </si>
  <si>
    <t>27.078.984/0001-80</t>
  </si>
  <si>
    <t>005.599.649-35</t>
  </si>
  <si>
    <t>LEVE COMIDA SAUDÁVEL</t>
  </si>
  <si>
    <t>18.784.854/0001-71</t>
  </si>
  <si>
    <t>VIDA NATURAL PRODUTOS NATURAIS E ORGANICOS</t>
  </si>
  <si>
    <t>08.154.464/0001-64</t>
  </si>
  <si>
    <t>PARAISO NATURAL</t>
  </si>
  <si>
    <t>51.108.717/0001-92</t>
  </si>
  <si>
    <t>ROXANA ITATI GONCALVES ANDRADE (CORRETO</t>
  </si>
  <si>
    <t>35.436.271/0001-79</t>
  </si>
  <si>
    <t>ESPACO NUTRIVIDA</t>
  </si>
  <si>
    <t>42.653.187/0001-72</t>
  </si>
  <si>
    <t>12.697.061/0001-39</t>
  </si>
  <si>
    <t>CASA VERDE - PRODUTOS NATURAIS</t>
  </si>
  <si>
    <t>28.093.738/0001-60</t>
  </si>
  <si>
    <t>EMPORIUM PRODUTOS NATURASI</t>
  </si>
  <si>
    <t>46.363.648/0001-23</t>
  </si>
  <si>
    <t>AMARU</t>
  </si>
  <si>
    <t>44.027.011/0001-30</t>
  </si>
  <si>
    <t>EMPORIUM RUBIA</t>
  </si>
  <si>
    <t>18.122.840/0001-92</t>
  </si>
  <si>
    <t>CAPIM SANTO PROD NATURAIS</t>
  </si>
  <si>
    <t>41.686.523/0001-10</t>
  </si>
  <si>
    <t>RUTH PRODUTOS NATURAIS</t>
  </si>
  <si>
    <t>13.072.718/0001-35</t>
  </si>
  <si>
    <t>S &amp; R COMERCIO DE PRODUTOS NATURAIS LTDA.</t>
  </si>
  <si>
    <t>46.839.066/0001-70</t>
  </si>
  <si>
    <t>Celeiro Bem Estar</t>
  </si>
  <si>
    <t>39.978.284/0001-20</t>
  </si>
  <si>
    <t>PRO SAUDE CRUZEIRO DO OESTE</t>
  </si>
  <si>
    <t>31.794.256/0001-41</t>
  </si>
  <si>
    <t>S L OGIHARA - COMERCIO DE PRODUTOS NATURAIS</t>
  </si>
  <si>
    <t>16.619.928/0001-99</t>
  </si>
  <si>
    <t>PRÓ SAÚDE PRODUTOS NATURAIS, ORGÂNICOS E ALIMENTOS FUNCIONAIS</t>
  </si>
  <si>
    <t>44.354.956/0001-67</t>
  </si>
  <si>
    <t>MEGA TAURUS NOVO</t>
  </si>
  <si>
    <t>SAAB COMERCIO DE ERVAS E CEREAIS</t>
  </si>
  <si>
    <t>10.909.699/0001-60</t>
  </si>
  <si>
    <t>01.771.494/0001-70</t>
  </si>
  <si>
    <t>SABOR &amp; SAUDE</t>
  </si>
  <si>
    <t>12.837.881/0001-89</t>
  </si>
  <si>
    <t>SABOR DA TERRA PRODUTOS NATURAIS E COLONIAIS</t>
  </si>
  <si>
    <t>42.632.308/0001-08</t>
  </si>
  <si>
    <t>SABOR DA VIDA PRODUTOS NATURAIS E SUPLEMENTOS</t>
  </si>
  <si>
    <t>49.930.426/0001-33</t>
  </si>
  <si>
    <t>SABOR DA VIDA</t>
  </si>
  <si>
    <t>42.927.016/0001-94</t>
  </si>
  <si>
    <t>SABOR DO CHA</t>
  </si>
  <si>
    <t>44.359.733/0001-92</t>
  </si>
  <si>
    <t>06.634.970/0001-25</t>
  </si>
  <si>
    <t>23.181.735/0001-64</t>
  </si>
  <si>
    <t>SABORES &amp; GRAOS PRODUTOS NATURAIS LTDA ME</t>
  </si>
  <si>
    <t>17.989.340/0003-51</t>
  </si>
  <si>
    <t>SABORES &amp; GRAOS PRODUTOS NATURAIS LTDA ME – MATRIZ</t>
  </si>
  <si>
    <t>SABORES DO CAMPO</t>
  </si>
  <si>
    <t>20.464.619/0001-64</t>
  </si>
  <si>
    <t>SABORES E GRÃOS PRODUTOS NATURAIS LTDA EPP</t>
  </si>
  <si>
    <t>17.989.340/0004-32</t>
  </si>
  <si>
    <t>SABRINA BLINI DA SILVA LTDA</t>
  </si>
  <si>
    <t>10.311.980/0001-05</t>
  </si>
  <si>
    <t>34.915.464/0001-40</t>
  </si>
  <si>
    <t>HEALTHY WAY</t>
  </si>
  <si>
    <t>34.575.149/0001-10</t>
  </si>
  <si>
    <t>SALUTE MERCATO NATURALE</t>
  </si>
  <si>
    <t>40.969.485/0001-40</t>
  </si>
  <si>
    <t>SALUTE PRODUTOS NATURAIS 2</t>
  </si>
  <si>
    <t>27.491.494/0001-00</t>
  </si>
  <si>
    <t>ARMAZEM VILLAREJO</t>
  </si>
  <si>
    <t>46.314.956/0001-69</t>
  </si>
  <si>
    <t>CARAMELLAFIT DOCES SAUDÁVEIS</t>
  </si>
  <si>
    <t>39.276.017/0001-01</t>
  </si>
  <si>
    <t>IMPERIO NATURAL</t>
  </si>
  <si>
    <t>23.742.900/0001-00</t>
  </si>
  <si>
    <t>48.544.087/0001-94</t>
  </si>
  <si>
    <t>FARMÁCIA SÃO LUIZ</t>
  </si>
  <si>
    <t>03.404.179/0001-30</t>
  </si>
  <si>
    <t>VIDA &amp; SAÚDE PRODUTOS NATURAIS</t>
  </si>
  <si>
    <t>39.488.844/0001-69</t>
  </si>
  <si>
    <t>ERVAS &amp; CIA</t>
  </si>
  <si>
    <t>34.010.120/0001-91</t>
  </si>
  <si>
    <t>CONFEITARIA AKITUTES</t>
  </si>
  <si>
    <t>05.115.302/0001-29</t>
  </si>
  <si>
    <t>30.821.297/0001-17</t>
  </si>
  <si>
    <t>46.170.720/0001-04</t>
  </si>
  <si>
    <t>SANTO GRÃO ALIMENTOS NATURAIS (PROSPECÇÃO)</t>
  </si>
  <si>
    <t>38.296.023/0001-68</t>
  </si>
  <si>
    <t>CACIQUE PRODUTOS NATURAIS</t>
  </si>
  <si>
    <t>49.427.554/0001-69</t>
  </si>
  <si>
    <t>37.981.111/0001-36</t>
  </si>
  <si>
    <t>AKI SARA PRODUTOS NATURAIS</t>
  </si>
  <si>
    <t>34.993.040/0001-01</t>
  </si>
  <si>
    <t>QUINTAL DA SAUDE PRODUTOS NATURAIS</t>
  </si>
  <si>
    <t>43.218.534/0001-00</t>
  </si>
  <si>
    <t>VITA LUCE</t>
  </si>
  <si>
    <t>48.752.954/0001-87</t>
  </si>
  <si>
    <t>46.945.448/0001-89</t>
  </si>
  <si>
    <t>SATTVA PRODUTOS NATURAIS</t>
  </si>
  <si>
    <t>43.477.342/0001-00</t>
  </si>
  <si>
    <t>SAUDE &amp; VIGOR PRODUTOS NATURAIS</t>
  </si>
  <si>
    <t>42.773.090/0001-01</t>
  </si>
  <si>
    <t>SAUDE A GRANEL</t>
  </si>
  <si>
    <t>32.479.543/0001-20</t>
  </si>
  <si>
    <t>SAUDE INTEGRAL</t>
  </si>
  <si>
    <t>09.081.436/0001-27</t>
  </si>
  <si>
    <t>40.021.112/0001-43</t>
  </si>
  <si>
    <t>SAUDE-SE</t>
  </si>
  <si>
    <t>38.215.736/0001-50</t>
  </si>
  <si>
    <t>DONA SALSA</t>
  </si>
  <si>
    <t>32.518.234/0001-11</t>
  </si>
  <si>
    <t>32.518.234/0002-00</t>
  </si>
  <si>
    <t>43.652.446/0001-03</t>
  </si>
  <si>
    <t>40.112.861/0001-86</t>
  </si>
  <si>
    <t>38.339.515/0001-93</t>
  </si>
  <si>
    <t>12.671.214/0001-79</t>
  </si>
  <si>
    <t>VIVA MAIS Ituporanga</t>
  </si>
  <si>
    <t>08.759.644/0001-70</t>
  </si>
  <si>
    <t>PAO IN BOX</t>
  </si>
  <si>
    <t>22.746.104/0001-82</t>
  </si>
  <si>
    <t>46.774.587/0001-97</t>
  </si>
  <si>
    <t>SELECAO NATURAL</t>
  </si>
  <si>
    <t>05.764.348/0001-79</t>
  </si>
  <si>
    <t>SELECT ALIMENTOS</t>
  </si>
  <si>
    <t>42.070.867/0001-63</t>
  </si>
  <si>
    <t>25.535.142/0001-84</t>
  </si>
  <si>
    <t>SEMENTES DA TERRA PRODUTOS NATURAIS</t>
  </si>
  <si>
    <t>18.958.064/0001-65</t>
  </si>
  <si>
    <t>SEMPRE SAUDAVEL EMPORIO DE PRODUTOS NATURAIS</t>
  </si>
  <si>
    <t>44.391.411/0001-20</t>
  </si>
  <si>
    <t>SEMPREBOM</t>
  </si>
  <si>
    <t>02.116.870/0001-56</t>
  </si>
  <si>
    <t>SETE GRAOS</t>
  </si>
  <si>
    <t>25.139.787/0001-06</t>
  </si>
  <si>
    <t>SETE GRÃOS FILIAL</t>
  </si>
  <si>
    <t>25.139.787/0002-89</t>
  </si>
  <si>
    <t>82.863.416/0001-06</t>
  </si>
  <si>
    <t>SISTERS CHEF</t>
  </si>
  <si>
    <t>45.221.509/0001-00</t>
  </si>
  <si>
    <t>DIVINO DOCE</t>
  </si>
  <si>
    <t>32.386.186/0001-55</t>
  </si>
  <si>
    <t>OPCAO NATURAL</t>
  </si>
  <si>
    <t>13.712.462/0001-83</t>
  </si>
  <si>
    <t>SONHO VERDE EMPORIO PADARIA</t>
  </si>
  <si>
    <t>44.109.045/0001-74</t>
  </si>
  <si>
    <t>VIVA MAIS NATURAL SMO</t>
  </si>
  <si>
    <t>54.955.826/0001-33</t>
  </si>
  <si>
    <t>ARMAZEM PRODUTOS NATURAIS</t>
  </si>
  <si>
    <t>40.581.372/0001-73</t>
  </si>
  <si>
    <t>DOCE ERVA PRODUTOS NATURAIS</t>
  </si>
  <si>
    <t>18.866.078/0001-59</t>
  </si>
  <si>
    <t>SIM - REDE DE POSTOS</t>
  </si>
  <si>
    <t>07.473.735/0001-81</t>
  </si>
  <si>
    <t>Casa do Nutriente</t>
  </si>
  <si>
    <t>22.984.903/0001-97</t>
  </si>
  <si>
    <t>17.652.416/0001-97</t>
  </si>
  <si>
    <t>NATURAL SIM</t>
  </si>
  <si>
    <t>27.173.901/0001-31</t>
  </si>
  <si>
    <t>GRANOLA PRODUTOS NATURAIS</t>
  </si>
  <si>
    <t>45.085.796/0001-60</t>
  </si>
  <si>
    <t>Nutri Center</t>
  </si>
  <si>
    <t>06.200.686/0001-40</t>
  </si>
  <si>
    <t>CAFE BRASIL GOURMET</t>
  </si>
  <si>
    <t>27.706.319/0001-93</t>
  </si>
  <si>
    <t>EMPORIO VIDA NATURAL</t>
  </si>
  <si>
    <t>31.323.790/0001-70</t>
  </si>
  <si>
    <t>SABOR DA TERRA</t>
  </si>
  <si>
    <t>24.652.578/0001-90</t>
  </si>
  <si>
    <t>SIMONE MODAS</t>
  </si>
  <si>
    <t>37.224.036/0001-69</t>
  </si>
  <si>
    <t>SINTONIA DA SAUDE COMERCIO DE ALIMENTOS</t>
  </si>
  <si>
    <t>28.455.428/0001-48</t>
  </si>
  <si>
    <t>BELISCO ALIMENTOS NATURAIS E DOCES</t>
  </si>
  <si>
    <t>22.599.702/0001-76</t>
  </si>
  <si>
    <t>PROSAUDE PRODUTOS NATURAIS, ORGANICOS E ALIMENTOS FUNCI</t>
  </si>
  <si>
    <t>24.545.997/0001-23</t>
  </si>
  <si>
    <t>sirlene</t>
  </si>
  <si>
    <t>24.031.860/0001-50</t>
  </si>
  <si>
    <t>40.668.888/0001-50</t>
  </si>
  <si>
    <t>EMPORIO ERVAS FINAS</t>
  </si>
  <si>
    <t>35.364.131/0001-32</t>
  </si>
  <si>
    <t>SMACHELO</t>
  </si>
  <si>
    <t>26.946.845/0001-68</t>
  </si>
  <si>
    <t>SMACK SNACK COMERCIO DE PRODUTOS ALIMENTICIOS</t>
  </si>
  <si>
    <t>46.259.763/0001-52</t>
  </si>
  <si>
    <t>GRANEL DA SERRA</t>
  </si>
  <si>
    <t>54.833.705/0001-19</t>
  </si>
  <si>
    <t>NATURALLE COMERCIO E DISTRIBUICAO DE ALIMENTOS NATURAIS</t>
  </si>
  <si>
    <t>37.329.167/0001-00</t>
  </si>
  <si>
    <t>VIDA+FT</t>
  </si>
  <si>
    <t>17.861.447/0001-58</t>
  </si>
  <si>
    <t>ARMAZEN PRODUTOS CASEIROS, NATURAIS E ORGANICOS</t>
  </si>
  <si>
    <t>40.021.854/0001-79</t>
  </si>
  <si>
    <t>MALUCE SORVETES</t>
  </si>
  <si>
    <t>95.755.591/0002-02</t>
  </si>
  <si>
    <t>SPESSATO SORVETES</t>
  </si>
  <si>
    <t>07.202.656/0001-36</t>
  </si>
  <si>
    <t>SOU FUNCIONAL</t>
  </si>
  <si>
    <t>23.440.429/0001-03</t>
  </si>
  <si>
    <t>SOU MAIS GRAOS</t>
  </si>
  <si>
    <t>29.484.180/0001-06</t>
  </si>
  <si>
    <t>SOUL FIT CAFE</t>
  </si>
  <si>
    <t>44.089.204/0001-16</t>
  </si>
  <si>
    <t>ARMAZEM CAMPECHE</t>
  </si>
  <si>
    <t>36.146.915/0001-57</t>
  </si>
  <si>
    <t>37.484.782/0001-91</t>
  </si>
  <si>
    <t>PRATICO PAES- Sr. Pão</t>
  </si>
  <si>
    <t>05.454.168/0001-90</t>
  </si>
  <si>
    <t>ARMAZEM NATURALE</t>
  </si>
  <si>
    <t>37.747.336/0001-22</t>
  </si>
  <si>
    <t>RODER ATELIE</t>
  </si>
  <si>
    <t>36.990.609/0001-00</t>
  </si>
  <si>
    <t>SCHULTZ</t>
  </si>
  <si>
    <t>40.071.004/0001-85</t>
  </si>
  <si>
    <t>GRAO A GRAO PRODUTOS NATURAIS</t>
  </si>
  <si>
    <t>41.841.522/0001-01</t>
  </si>
  <si>
    <t>ARMAZEM 129</t>
  </si>
  <si>
    <t>47.029.001/0001-22</t>
  </si>
  <si>
    <t>GIRASSOL PRODUTOS NATURAIS</t>
  </si>
  <si>
    <t>38.256.197/0001-05</t>
  </si>
  <si>
    <t>SULPLEMENTARIA</t>
  </si>
  <si>
    <t>49.963.221/0001-54</t>
  </si>
  <si>
    <t>PANIFICADORA MOTTER</t>
  </si>
  <si>
    <t>12.970.750/0001-75</t>
  </si>
  <si>
    <t>SUPER EMBALAGENS</t>
  </si>
  <si>
    <t>07.965.231/0001-89</t>
  </si>
  <si>
    <t>SUPER NATURAL - COMEOQUE</t>
  </si>
  <si>
    <t>19.735.249/0001-73</t>
  </si>
  <si>
    <t>SUPERMERCADO AMORETTI ATACADO E VAREJO EIRELI</t>
  </si>
  <si>
    <t>30.825.089/0001-96</t>
  </si>
  <si>
    <t>Sup. Duas Meninas</t>
  </si>
  <si>
    <t>27.766.669/0001-45</t>
  </si>
  <si>
    <t>GIRASSOL SUPERMERCADO</t>
  </si>
  <si>
    <t>09.437.629/0001-78</t>
  </si>
  <si>
    <t>SUSPIRO'Z CONFEITARIA</t>
  </si>
  <si>
    <t>35.384.720/0001-82</t>
  </si>
  <si>
    <t>38.318.332/0001-91</t>
  </si>
  <si>
    <t>ERVA DOCE - PRODUTOS NATURAIS E GULOSEIMAS</t>
  </si>
  <si>
    <t>24.502.321/0001-52</t>
  </si>
  <si>
    <t>18.979.365/0001-75</t>
  </si>
  <si>
    <t>CELEIRO NATURE</t>
  </si>
  <si>
    <t>13.221.164/0001-90</t>
  </si>
  <si>
    <t>TAGIANE KOHLER</t>
  </si>
  <si>
    <t>022.287.710-31</t>
  </si>
  <si>
    <t>ESPACO SAUDE - PRODUTOS NATURAIS</t>
  </si>
  <si>
    <t>28.302.213/0001-97</t>
  </si>
  <si>
    <t>TANI NUTRIBEM PRODUTOS NATURAIS E SUPLE</t>
  </si>
  <si>
    <t>40.964.922/0001-33</t>
  </si>
  <si>
    <t>VERDGRANO</t>
  </si>
  <si>
    <t>33.990.106/0001-39</t>
  </si>
  <si>
    <t>37.251.156/0001-55</t>
  </si>
  <si>
    <t>TANISE GAITKOSKI VENDRUSCOLO 94342113015</t>
  </si>
  <si>
    <t>42.739.502/0001-89</t>
  </si>
  <si>
    <t>PASOKA ALIMENTOS NATURAIS</t>
  </si>
  <si>
    <t>33.805.240/0001-12</t>
  </si>
  <si>
    <t>TATIANE CASTRO GOMES 03382728958</t>
  </si>
  <si>
    <t>33.738.203/0001-39</t>
  </si>
  <si>
    <t>IMPERIO DO SOL E BELEZA</t>
  </si>
  <si>
    <t>42.835.189/0001-82</t>
  </si>
  <si>
    <t>27.697.260/0001-14</t>
  </si>
  <si>
    <t>EMPORIO DO PARQUE</t>
  </si>
  <si>
    <t>40.290.513/0001-07</t>
  </si>
  <si>
    <t>45.473.663/0001-61</t>
  </si>
  <si>
    <t>TEMPERIN EMPORIO NATURAL</t>
  </si>
  <si>
    <t>46.023.712/0001-27</t>
  </si>
  <si>
    <t>TEMPERO E SAUDE PRODUTOS NATURAIS</t>
  </si>
  <si>
    <t>40.388.799/0001-50</t>
  </si>
  <si>
    <t>PROSAUDE PROD NATURAIS, ORGANICOS, ALIMENTOS FUNCIONAIS</t>
  </si>
  <si>
    <t>31.313.677/0001-03</t>
  </si>
  <si>
    <t>TERRA ASTRAL</t>
  </si>
  <si>
    <t>51.937.940/0001-42</t>
  </si>
  <si>
    <t>TERRAN NOVA BAR E COZINHA</t>
  </si>
  <si>
    <t>52.822.587/0001-18</t>
  </si>
  <si>
    <t>TERRAQUI</t>
  </si>
  <si>
    <t>41.314.714/0001-51</t>
  </si>
  <si>
    <t>AFS PETROPOLIS DERALDO</t>
  </si>
  <si>
    <t>48.702.354/0001-04</t>
  </si>
  <si>
    <t>TERROIR CATARINA</t>
  </si>
  <si>
    <t>30.203.508/0001-58</t>
  </si>
  <si>
    <t>direto campo</t>
  </si>
  <si>
    <t>83.646.984/0069-06</t>
  </si>
  <si>
    <t>VIVA BEM EMPORIO SAUDAVEL</t>
  </si>
  <si>
    <t>36.418.084/0001-25</t>
  </si>
  <si>
    <t>MUNDO VERDE - TOLEDO</t>
  </si>
  <si>
    <t>41.238.696/0001-76</t>
  </si>
  <si>
    <t>CLEMENTINE GLUTEN FREE</t>
  </si>
  <si>
    <t>36.951.396/0001-08</t>
  </si>
  <si>
    <t>AFS Porto Alegre Shopping Viva - RS</t>
  </si>
  <si>
    <t>35.636.472/0001-10</t>
  </si>
  <si>
    <t>NUTRIVIDA</t>
  </si>
  <si>
    <t>46.003.426/0001-08</t>
  </si>
  <si>
    <t>24.989.904/0001-50</t>
  </si>
  <si>
    <t>TIAGO FERNANDO PANZENHAGEN 01716741033</t>
  </si>
  <si>
    <t>28.023.233/0001-29</t>
  </si>
  <si>
    <t>ALFA FIT PRODUTOS NATURAIS</t>
  </si>
  <si>
    <t>44.500.849/0001-08</t>
  </si>
  <si>
    <t>TOCA NATURAL</t>
  </si>
  <si>
    <t>42.793.305/0001-48</t>
  </si>
  <si>
    <t>TODA HORA BEACH CONVENIENCIA</t>
  </si>
  <si>
    <t>21.411.014/0001-78</t>
  </si>
  <si>
    <t>40.112.845/0001-93</t>
  </si>
  <si>
    <t>KADOSH ATACADO DE CASTANHAS</t>
  </si>
  <si>
    <t>22.014.339/0001-80</t>
  </si>
  <si>
    <t>NECTAR</t>
  </si>
  <si>
    <t>45.714.993/0001-00</t>
  </si>
  <si>
    <t>TRIAJAX</t>
  </si>
  <si>
    <t>46.700.855/0001-26</t>
  </si>
  <si>
    <t>TRUSTA PIZZA</t>
  </si>
  <si>
    <t>43.657.556/0001-68</t>
  </si>
  <si>
    <t>UNIVERSO LEVE</t>
  </si>
  <si>
    <t>40.686.649/0001-22</t>
  </si>
  <si>
    <t>UPLAY FITNESS</t>
  </si>
  <si>
    <t>50.085.804/0001-09</t>
  </si>
  <si>
    <t>36.699.073/0001-60</t>
  </si>
  <si>
    <t>UVA PASSA PRODUTOS NATURAIS</t>
  </si>
  <si>
    <t>CAPIM LIMAO</t>
  </si>
  <si>
    <t>31.700.374/0001-43</t>
  </si>
  <si>
    <t>VALLENTINA HOME DECOR</t>
  </si>
  <si>
    <t>22.391.991/0001-13</t>
  </si>
  <si>
    <t>ARMAZEM GLUTEN FREE</t>
  </si>
  <si>
    <t>35.261.168/0001-35</t>
  </si>
  <si>
    <t>Q SAUDAVEL PRODUTOS NATURAIS</t>
  </si>
  <si>
    <t>33.423.172/0001-27</t>
  </si>
  <si>
    <t>BARBEARIA 3 MOSQUETEIROS</t>
  </si>
  <si>
    <t>26.252.409/0001-99</t>
  </si>
  <si>
    <t>DOCE AMARO</t>
  </si>
  <si>
    <t>05.265.080/0001-20</t>
  </si>
  <si>
    <t>BIOMASTER NATURAIS</t>
  </si>
  <si>
    <t>40.877.713/0001-52</t>
  </si>
  <si>
    <t>Flora Empório Natural</t>
  </si>
  <si>
    <t>17.621.066/0001-00</t>
  </si>
  <si>
    <t>CAPIM LIMAO FILIAL</t>
  </si>
  <si>
    <t>20.874.514/0001-83</t>
  </si>
  <si>
    <t>28.961.289/0001-24</t>
  </si>
  <si>
    <t>NUTS PRODUTOS NATURAIS</t>
  </si>
  <si>
    <t>31.553.851/0001-95</t>
  </si>
  <si>
    <t>22.237.639/0001-28</t>
  </si>
  <si>
    <t>DIVAS CONSULTORIA DE BELEZA</t>
  </si>
  <si>
    <t>34.332.161/0001-02</t>
  </si>
  <si>
    <t>VERA PRODUTOS NATURAIS</t>
  </si>
  <si>
    <t>26.297.418/0001-04</t>
  </si>
  <si>
    <t>Verde mais</t>
  </si>
  <si>
    <t>23.253.936/0001-20</t>
  </si>
  <si>
    <t>VERDE MAIS HAUER COMERCIO DE ALIMENTOS LTDA</t>
  </si>
  <si>
    <t>29.354.564/0001-04</t>
  </si>
  <si>
    <t>Verde Mais Vila Isabel</t>
  </si>
  <si>
    <t>41.124.662/0001-50</t>
  </si>
  <si>
    <t>VERDE OLIVA</t>
  </si>
  <si>
    <t>40.384.228/0001-47</t>
  </si>
  <si>
    <t>VIDA LEVE CHAPECO - PRODUTOS NATURAIS</t>
  </si>
  <si>
    <t>48.771.584/0001-25</t>
  </si>
  <si>
    <t>VIDA + LEVE LTDA</t>
  </si>
  <si>
    <t>35.449.035/0001-97</t>
  </si>
  <si>
    <t>VIDA ATIVA PRODUTOS NATURAIS</t>
  </si>
  <si>
    <t>21.822.326/0001-74</t>
  </si>
  <si>
    <t>VIDA EM EQUILIBRIO</t>
  </si>
  <si>
    <t>33.781.784/0001-91</t>
  </si>
  <si>
    <t>49.729.671/0001-87</t>
  </si>
  <si>
    <t>VIDA LEVE PB</t>
  </si>
  <si>
    <t>50.666.771/0001-90</t>
  </si>
  <si>
    <t>10.849.277/0001-47</t>
  </si>
  <si>
    <t>07.591.938/0001-72</t>
  </si>
  <si>
    <t>VIDA PLENA ALIMENTOS SAUDAVEIS</t>
  </si>
  <si>
    <t>29.230.819/0002-08</t>
  </si>
  <si>
    <t>VIDA SALUTAR</t>
  </si>
  <si>
    <t>36.522.350/0001-65</t>
  </si>
  <si>
    <t>48.122.111/0001-05</t>
  </si>
  <si>
    <t>VIDATIVA ACADEMIA</t>
  </si>
  <si>
    <t>83.061.960/0001-99</t>
  </si>
  <si>
    <t>VILA NATIVA</t>
  </si>
  <si>
    <t>50.550.910/0001-16</t>
  </si>
  <si>
    <t>VILA NATURAL</t>
  </si>
  <si>
    <t>30.257.967/0001-14</t>
  </si>
  <si>
    <t>VILLA NATURAL</t>
  </si>
  <si>
    <t>28.229.634/0001-30</t>
  </si>
  <si>
    <t>VILLA SPORTS STORE</t>
  </si>
  <si>
    <t>46.925.667/0001-04</t>
  </si>
  <si>
    <t>VINOSERRA EMPORIO DE VINHOS</t>
  </si>
  <si>
    <t>44.646.183/0001-92</t>
  </si>
  <si>
    <t>Grano Sano</t>
  </si>
  <si>
    <t>41.268.019/0001-09</t>
  </si>
  <si>
    <t>VITA NATURALE</t>
  </si>
  <si>
    <t>38.497.967/0001-01</t>
  </si>
  <si>
    <t>Bento Gonçalves - Loja 02</t>
  </si>
  <si>
    <t>36.643.431/0001-13</t>
  </si>
  <si>
    <t>VITAL E SALDANHA PRODUTOS NATURAIS E ORGANICOS</t>
  </si>
  <si>
    <t>43.801.718/0001-90</t>
  </si>
  <si>
    <t>00.502.654/0001-13</t>
  </si>
  <si>
    <t>40.460.732/0001-89</t>
  </si>
  <si>
    <t>TESTE</t>
  </si>
  <si>
    <t>04.869.719/0001-14</t>
  </si>
  <si>
    <t>VITTA Ceres</t>
  </si>
  <si>
    <t>19.164.925/0001-04</t>
  </si>
  <si>
    <t>VIVA BEM EMPORIO NATURAL</t>
  </si>
  <si>
    <t>16.733.675/0001-80</t>
  </si>
  <si>
    <t>VIVA LEVE PRODUTOS NATURAIS E SUPLEMENTACAO LTDA</t>
  </si>
  <si>
    <t>51.997.094/0001-56</t>
  </si>
  <si>
    <t>VIVA LIVRE</t>
  </si>
  <si>
    <t>22.360.199/0001-00</t>
  </si>
  <si>
    <t>VIVA MAIS SJ</t>
  </si>
  <si>
    <t>43.713.223/0001-09</t>
  </si>
  <si>
    <t>VIVA MAIS</t>
  </si>
  <si>
    <t>26.815.445/0001-13</t>
  </si>
  <si>
    <t>35.119.945/0001-01</t>
  </si>
  <si>
    <t>NATURALMENTE - DE BEM COM A VIDA</t>
  </si>
  <si>
    <t>24.279.845/0001-26</t>
  </si>
  <si>
    <t>VIVA NATUREZA</t>
  </si>
  <si>
    <t>24.884.840/0001-22</t>
  </si>
  <si>
    <t>24.823.321/0001-54</t>
  </si>
  <si>
    <t>VIVAMAIS PRODUTOS NATURAIS</t>
  </si>
  <si>
    <t>45.637.812/0001-80</t>
  </si>
  <si>
    <t>VIVER BEM</t>
  </si>
  <si>
    <t>06.107.302/0001-40</t>
  </si>
  <si>
    <t>LEVE A VIDA LEVE</t>
  </si>
  <si>
    <t>44.943.222/0001-13</t>
  </si>
  <si>
    <t>SEGREDOS DA TERRA PRODUTOS NATURAIS</t>
  </si>
  <si>
    <t>26.001.338/0001-51</t>
  </si>
  <si>
    <t>EMPORIO CAMOMILA</t>
  </si>
  <si>
    <t>18.010.308/0001-83</t>
  </si>
  <si>
    <t>VMARCHE DELIVERY VEGANO</t>
  </si>
  <si>
    <t>37.727.725/0001-96</t>
  </si>
  <si>
    <t>VO XANDA PRODUTOS NATURAIS</t>
  </si>
  <si>
    <t>33.704.961/0001-36</t>
  </si>
  <si>
    <t>Intensidade Máxima</t>
  </si>
  <si>
    <t>28.206.024/0001-10</t>
  </si>
  <si>
    <t>46.676.480/0001-06</t>
  </si>
  <si>
    <t>PIQUENIQUE NATURAL</t>
  </si>
  <si>
    <t>19.938.607/0001-45</t>
  </si>
  <si>
    <t>27.362.609/0001-67</t>
  </si>
  <si>
    <t>31.581.741/0001-37</t>
  </si>
  <si>
    <t>EMPORIO CAPIM LIMAO</t>
  </si>
  <si>
    <t>09.590.288/0001-76</t>
  </si>
  <si>
    <t>HS TODA PRODUTOS NATURAIS</t>
  </si>
  <si>
    <t>36.999.336/0001-57</t>
  </si>
  <si>
    <t>WR COMERCIO DE CHOCOLATES LTDA</t>
  </si>
  <si>
    <t>24.041.707/0001-04</t>
  </si>
  <si>
    <t>KAKTUS SORVETERIA</t>
  </si>
  <si>
    <t>73.373.987/0001-63</t>
  </si>
  <si>
    <t>PAO QUENTINHO</t>
  </si>
  <si>
    <t>05.085.252/0001-84</t>
  </si>
  <si>
    <t>NATTU ORGANICO PRODUTOS ORGANICOS E NATURAIS</t>
  </si>
  <si>
    <t>21.412.761/0001-20</t>
  </si>
  <si>
    <t>18.181.876/0001-47</t>
  </si>
  <si>
    <t>AFS ITAJAI - SC</t>
  </si>
  <si>
    <t>43.907.697/0001-91</t>
  </si>
  <si>
    <t>Teste Ricardo Design</t>
  </si>
  <si>
    <t>32.733.348/0001-84</t>
  </si>
  <si>
    <t>51.217.036/0005-96</t>
  </si>
  <si>
    <t>VITAPOINT</t>
  </si>
  <si>
    <t>07.432.226/0001-00</t>
  </si>
  <si>
    <t>58.087.394 LEONARDO RODRIGUES RABE DE OLIVEIRA</t>
  </si>
  <si>
    <t>58.087.394/0001-47</t>
  </si>
  <si>
    <t>58.688.167 FABIANA FREITAS</t>
  </si>
  <si>
    <t>58.688.167/0001-77</t>
  </si>
  <si>
    <t>ACOUGUE DO FRANGO PORTO BELO</t>
  </si>
  <si>
    <t>52.665.487/0001-25</t>
  </si>
  <si>
    <t>NIL TRANSPORTES LTDA</t>
  </si>
  <si>
    <t>03.143.533/0001-10</t>
  </si>
  <si>
    <t>CASA DO SACHE</t>
  </si>
  <si>
    <t>04.747.761/0001-62</t>
  </si>
  <si>
    <t>29.050.016 ADRIANE DO ROCIO SCHMITZ</t>
  </si>
  <si>
    <t>29.050.016/0001-90</t>
  </si>
  <si>
    <t>DISTRISUL</t>
  </si>
  <si>
    <t>06.221.233/0001-09</t>
  </si>
  <si>
    <t>PRO NUTRI</t>
  </si>
  <si>
    <t>49.388.008/0001-66</t>
  </si>
  <si>
    <t>EKO STORE</t>
  </si>
  <si>
    <t>18.507.048/0001-56</t>
  </si>
  <si>
    <t>59.769.306 ALESSANDRA APARECIDA KULKAMP</t>
  </si>
  <si>
    <t>59.769.306/0001-50</t>
  </si>
  <si>
    <t>Y G PAZA COMERCIO DE PRODUTOS NATURAIS</t>
  </si>
  <si>
    <t>51.897.343/0001-31</t>
  </si>
  <si>
    <t>60.088.708 JOSE CARLOS MARCELINO SOARES</t>
  </si>
  <si>
    <t>60.088.708/0001-78</t>
  </si>
  <si>
    <t>60.183.966 DIEGO ALVES DOS SANTOS</t>
  </si>
  <si>
    <t>60.183.966/0001-33</t>
  </si>
  <si>
    <t xml:space="preserve">REDE BARÃO POTENCIAL CERRO AZUL </t>
  </si>
  <si>
    <t>45.699.650/0001-05</t>
  </si>
  <si>
    <t>REDE BARÃO/ POTENCIAL - RUI BARBOSA</t>
  </si>
  <si>
    <t>75.176.859/0002-36</t>
  </si>
  <si>
    <t>REDE BARÃO/ POTENCIAL - SJP</t>
  </si>
  <si>
    <t>75.176.859/0005-89</t>
  </si>
  <si>
    <t xml:space="preserve">REDE BARÃO / POTENCIAL </t>
  </si>
  <si>
    <t>75.176.859/0004-06</t>
  </si>
  <si>
    <t>75.176.859/0001-55</t>
  </si>
  <si>
    <t>Chef + Leve</t>
  </si>
  <si>
    <t>52.016.791/0001-41</t>
  </si>
  <si>
    <t>MCL PRODUTOAS NATURAIS</t>
  </si>
  <si>
    <t>45.594.947/0001-06</t>
  </si>
  <si>
    <t>MERCADO ALVORADA</t>
  </si>
  <si>
    <t>50.269.619/0001-74</t>
  </si>
  <si>
    <t>POSTO KADU - MATRIZ MARI BARIGUI</t>
  </si>
  <si>
    <t>08.035.554/0001-36</t>
  </si>
  <si>
    <t>POSTO PARQUE DO BOSQUE - PEDRO RODOVIA</t>
  </si>
  <si>
    <t>02.505.963/0001-72</t>
  </si>
  <si>
    <t xml:space="preserve">Debora Cristina Teixeira </t>
  </si>
  <si>
    <t>24.991.684/0001-07</t>
  </si>
  <si>
    <t>56.239.498 AMANDA LETICIA VARGAS</t>
  </si>
  <si>
    <t>56.239.498/0001-02</t>
  </si>
  <si>
    <t>FARMACIA ARTESANAL</t>
  </si>
  <si>
    <t>02.907.061/0001-62</t>
  </si>
  <si>
    <t>POSTO ESTRELLA</t>
  </si>
  <si>
    <t>24.286.118/0001-96</t>
  </si>
  <si>
    <t>58.302.473 CAMILLE PRESTES DE OLIVEIRA DA SILVA</t>
  </si>
  <si>
    <t>58.302.473/0001-23</t>
  </si>
  <si>
    <t>BONNO FREE SHOP LTDA</t>
  </si>
  <si>
    <t>50.666.717/0001-45</t>
  </si>
  <si>
    <t>M7 DISTRIBUIDORA</t>
  </si>
  <si>
    <t>35.819.530/0001-40</t>
  </si>
  <si>
    <t>RESTAURANTE AL RAHMAN</t>
  </si>
  <si>
    <t>23.319.011/0001-34</t>
  </si>
  <si>
    <t>MRL COMERCIO DE CHOCOLATES LTDA</t>
  </si>
  <si>
    <t>59.453.450/0001-82</t>
  </si>
  <si>
    <t>TOP 1 FITT SUPLEMENTOS E CEREAIS LTDA</t>
  </si>
  <si>
    <t>54.069.868/0001-77</t>
  </si>
  <si>
    <t>D. S. A. INDUSTRIA &amp; COMERCIO LTDA</t>
  </si>
  <si>
    <t>10.657.019/0001-69</t>
  </si>
  <si>
    <t>SEM RESTRICAO</t>
  </si>
  <si>
    <t>29.653.639/0001-58</t>
  </si>
  <si>
    <t>INSTITUICAO ADVENTISTA SUL BRASILEIRA DE EDUCACAO</t>
  </si>
  <si>
    <t>76.726.884/0001-28</t>
  </si>
  <si>
    <t>CASA DAS DIETAS</t>
  </si>
  <si>
    <t>04.628.348/0001-89</t>
  </si>
  <si>
    <t>BALDIN &amp; GUIMARAES COMERCIO LTDA</t>
  </si>
  <si>
    <t>51.854.929/0001-19</t>
  </si>
  <si>
    <t>TUDO EM GRAOS NAO ME TOQUE</t>
  </si>
  <si>
    <t>59.534.790/0001-38</t>
  </si>
  <si>
    <t>37.551.225 LAND VATAM</t>
  </si>
  <si>
    <t>37.551.225/0001-46</t>
  </si>
  <si>
    <t>A L KAMINSKI &amp; CIA LTDA</t>
  </si>
  <si>
    <t>79.798.377/0001-98</t>
  </si>
  <si>
    <t>GRID NUTRI PRODUTOS SAUDAVEIS</t>
  </si>
  <si>
    <t>22.087.170/0001-98</t>
  </si>
  <si>
    <t>ARMAZEM DO NINI DISTRIBUIDORA</t>
  </si>
  <si>
    <t>13.242.886/0001-21</t>
  </si>
  <si>
    <t>NATURALE FIT</t>
  </si>
  <si>
    <t>35.107.852/0001-67</t>
  </si>
  <si>
    <t>FOORTES. SAUDE LTDA</t>
  </si>
  <si>
    <t>61.367.113/0001-14</t>
  </si>
  <si>
    <t>SAUDABLE</t>
  </si>
  <si>
    <t>53.775.140/0001-06</t>
  </si>
  <si>
    <t>RAIZ DA VIDA</t>
  </si>
  <si>
    <t>52.282.406/0001-08</t>
  </si>
  <si>
    <t>MARINO COMERCIO DE ALIMENTOS</t>
  </si>
  <si>
    <t>44.455.857/0001-71</t>
  </si>
  <si>
    <t>VIVER COM SAUDE PRODUTOS NATURAIS</t>
  </si>
  <si>
    <t>53.162.733/0002-70</t>
  </si>
  <si>
    <t>FARMAVILA</t>
  </si>
  <si>
    <t>17.254.455/0001-36</t>
  </si>
  <si>
    <t>MUNDO DAS EMBALAGENS</t>
  </si>
  <si>
    <t>27.146.677/0001-99</t>
  </si>
  <si>
    <t>FITLAND ADMINISTRACAO DE FRANQUIAS</t>
  </si>
  <si>
    <t>44.192.063/0001-62</t>
  </si>
  <si>
    <t>FORNERIA CATARINA</t>
  </si>
  <si>
    <t>11.186.155/0001-80</t>
  </si>
  <si>
    <t>VITANOVA PRODUTOS NATURAIS LTDA</t>
  </si>
  <si>
    <t>57.568.425/0001-19</t>
  </si>
  <si>
    <t>JT CANTINAS E REFEICOES</t>
  </si>
  <si>
    <t>44.966.882/0001-10</t>
  </si>
  <si>
    <t>EMPORIO KING</t>
  </si>
  <si>
    <t>35.521.042/0002-33</t>
  </si>
  <si>
    <t>MANDUKA DOCES E IMPORTADOS</t>
  </si>
  <si>
    <t>00.876.263/0001-69</t>
  </si>
  <si>
    <t>MANDUKA DOCES</t>
  </si>
  <si>
    <t>00.876.263/0003-20</t>
  </si>
  <si>
    <t>INTENSE LIFE GRAVATAI</t>
  </si>
  <si>
    <t>90.682.923/0002-44</t>
  </si>
  <si>
    <t>VIVERDE</t>
  </si>
  <si>
    <t>35.598.757/0001-03</t>
  </si>
  <si>
    <t>BEEDO BAKER</t>
  </si>
  <si>
    <t>49.032.435/0001-07</t>
  </si>
  <si>
    <t>Meire</t>
  </si>
  <si>
    <t>59.359.915/0001-30</t>
  </si>
  <si>
    <t>ANALICE BUENO GONCALVES</t>
  </si>
  <si>
    <t>58.162.718/0001-64</t>
  </si>
  <si>
    <t>Delícias do Pântano</t>
  </si>
  <si>
    <t>55.034.960/0001-64</t>
  </si>
  <si>
    <t>BEROLA</t>
  </si>
  <si>
    <t>03.877.787/0001-62</t>
  </si>
  <si>
    <t>MUNDO NATURAL - IRETAMA</t>
  </si>
  <si>
    <t>43.851.116/0001-47</t>
  </si>
  <si>
    <t>ESCUDEIRO SUPERMERCADO</t>
  </si>
  <si>
    <t>10.536.057/0001-63</t>
  </si>
  <si>
    <t>TICO AUTO POSTO FLORIDA</t>
  </si>
  <si>
    <t>34.788.640/0002-00</t>
  </si>
  <si>
    <t xml:space="preserve"> LUIZA LOURO DE FREITAS</t>
  </si>
  <si>
    <t>GADRET REPRESENTACOES</t>
  </si>
  <si>
    <t>32.130.688/0001-10</t>
  </si>
  <si>
    <t>CIA DO DOCE CAFE E CONFEITARIA</t>
  </si>
  <si>
    <t>22.244.887/0001-04</t>
  </si>
  <si>
    <t>BARRAQUINHA DA MACA LTDA</t>
  </si>
  <si>
    <t>08.888.228/0001-71</t>
  </si>
  <si>
    <t>SLAVIERO EMPREENDIMENTOS HOTELEIROS LTDA</t>
  </si>
  <si>
    <t>27.216.869/0016-00</t>
  </si>
  <si>
    <t>ALL GREEN</t>
  </si>
  <si>
    <t>58.440.304/0001-50</t>
  </si>
  <si>
    <t>TDG GESTAO EMPRESARIAL</t>
  </si>
  <si>
    <t>26.648.094/0001-01</t>
  </si>
  <si>
    <t>MINHA QUITANDINHA CASCAVEL</t>
  </si>
  <si>
    <t>53.657.130/0001-68</t>
  </si>
  <si>
    <t>MINHA QUITANDINHA - KARISA</t>
  </si>
  <si>
    <t>49.493.957/0001-06</t>
  </si>
  <si>
    <t>44.191.961/0001-04</t>
  </si>
  <si>
    <t>RENATA CARARA DE MARCH 02900060907</t>
  </si>
  <si>
    <t>47.217.413/0001-96</t>
  </si>
  <si>
    <t>MINHA QUITANDINHA - POA</t>
  </si>
  <si>
    <t>59.017.164/0001-74</t>
  </si>
  <si>
    <t>BEPS ALIMENTACAO SAUDAVEL LTDA</t>
  </si>
  <si>
    <t>37.116.189/0001-92</t>
  </si>
  <si>
    <t>45.599.188/0001-74</t>
  </si>
  <si>
    <t>HOSPITAL UNIMED</t>
  </si>
  <si>
    <t>87.638.334/0005-05</t>
  </si>
  <si>
    <t>SERENA</t>
  </si>
  <si>
    <t>62.520.059/0001-68</t>
  </si>
  <si>
    <t>JC FIT STORE</t>
  </si>
  <si>
    <t>62.274.086/0001-06</t>
  </si>
  <si>
    <t xml:space="preserve">MARGHERITA </t>
  </si>
  <si>
    <t>AVILA</t>
  </si>
  <si>
    <t>51.449.070/0001-62</t>
  </si>
  <si>
    <t>NATURAL</t>
  </si>
  <si>
    <t>51.387.549/0001-11</t>
  </si>
  <si>
    <t>RISOTTERIA SUPREMA</t>
  </si>
  <si>
    <t>51.470.572/0001-75</t>
  </si>
  <si>
    <t>JESSICA DE SOUZA KAZIMIACK 09112319945</t>
  </si>
  <si>
    <t>45.202.452/0001-94</t>
  </si>
  <si>
    <t>EMPORIUM NATTUVIDA</t>
  </si>
  <si>
    <t>20.683.490/0001-85</t>
  </si>
  <si>
    <t>HOTEL &amp; SPA DE NADAI</t>
  </si>
  <si>
    <t>Jani Cupcakes</t>
  </si>
  <si>
    <t>18.433.523/0001-97</t>
  </si>
  <si>
    <t>TUDO EM GRAOS</t>
  </si>
  <si>
    <t>61.059.082/0001-34</t>
  </si>
  <si>
    <t>NUTRICROK ALIMENTOS LTDA</t>
  </si>
  <si>
    <t>05.589.673/0001-42</t>
  </si>
  <si>
    <t>MAG ALIMENTOS</t>
  </si>
  <si>
    <t>CREPE DA DEUSA</t>
  </si>
  <si>
    <t>DI MANGIARE ALIMENTOS LTDA</t>
  </si>
  <si>
    <t xml:space="preserve"> JOSE GABRIEL MINUSSI SUDATI</t>
  </si>
  <si>
    <t>34.275.514/0001-71</t>
  </si>
  <si>
    <t>MERCADO MODELO</t>
  </si>
  <si>
    <t>12.104.010/0001-56</t>
  </si>
  <si>
    <t>CLIENTE COM ESTOQUE MUITO ALTO</t>
  </si>
  <si>
    <t>VERIFICANDO SE A CLIENTE AINDA TEM ESTOQUE</t>
  </si>
  <si>
    <t>CLIENTE AINDA TEM PRODUTO, INCLUSIVE VENCIDO</t>
  </si>
  <si>
    <t>QUANDO MANDAR OUTRO PEDIDO TEMQUE SUBIR JBP DOS PRODUTOS VENCIDOS</t>
  </si>
  <si>
    <t>CLIENTE NÃO RETORNA AS MENSAGENS0</t>
  </si>
  <si>
    <t>OFERTADO, DESCONTO. AGUARDANDO ...</t>
  </si>
  <si>
    <t>ENTREI EM CONTATO PARA VER SE O CLIENTEOLHOU O PORTAL OU VIU OS CATALOGOS !</t>
  </si>
  <si>
    <t>LIGUEI NA LOJA, ME PASSARAM O CONTATO DO COMPRAS, AGUARDANDO RETORNO</t>
  </si>
  <si>
    <t>NÃO TEM INTERESSE EM NOSSOS PRODUTOS</t>
  </si>
  <si>
    <t>MANDEI TABELA SOMENTE DE GRANEL</t>
  </si>
  <si>
    <t>NÃO RESPONDEU A ULTIMA MENSAGEM, ENVIADO NOVAMENTE</t>
  </si>
  <si>
    <t>CLIENTE AINDA NÃO RETORNOU</t>
  </si>
  <si>
    <t>PRECISA INSISTIR COM A MESMA</t>
  </si>
  <si>
    <t>MANDANDO MENSAGEM PARA INICIO DE CONTATO, NÃO REPOSNDEU A OUTRA</t>
  </si>
  <si>
    <t>FEITO UMA SUGESTÃO</t>
  </si>
  <si>
    <t>AGUARDANDO RETORNO DO CLIENTE, FEITO CONTATO PARA POSSIVEL RECOMPRA</t>
  </si>
  <si>
    <t>AGUARDANDO COMPRADOR DA CLIENTE</t>
  </si>
  <si>
    <t>COBRAR LA POR QUINTA</t>
  </si>
  <si>
    <t>CLIENTE VAI FAZER PEDIDO</t>
  </si>
  <si>
    <t>CLIENTE COMPRA DRAGEADO, ENTREI EM CONTATO PARA VER COMO ESTA O ANDAMENTO</t>
  </si>
  <si>
    <t>FEITO CONTATO COM O FABIO DONO, AGUARDANDO RETORNO</t>
  </si>
  <si>
    <t>AGUARDANDO RETORNO DO CLIENTE,COMPRA CACAU EM PO</t>
  </si>
  <si>
    <t>AGUARDANDO RETORNO DO CLIENTE, COMPRA GELEIAS</t>
  </si>
  <si>
    <t>PEDI ESPELHO DO ESTOQUE, POIS COMPRAVA BEM CONOSCO ... POREM DEIXAVA OS PRODUTOS VENCER</t>
  </si>
  <si>
    <t>PEDI AJUDA DA DAI, CLIENTE COM VINCULO .. ENTREI EM CONTATO TAMBEM ... COMPRA DRAGEADO</t>
  </si>
  <si>
    <t>CLIENTE AINDA TEM ESTOQUE, CICLO MEDIO DE COMPRA É DEMORADO</t>
  </si>
  <si>
    <t>CLIENTE COMPROU APENAS UMA VEZ, AGUARDANDO SE A MESMA PRECISA DE ALGO</t>
  </si>
  <si>
    <t>ENTRAR EM CONTATO MEIO DA SEMANA, POSSIVEL RECOMPRA</t>
  </si>
  <si>
    <t>EVITA COMPRAR CHOCOLATE NESSA EPOCA DO ANO, FEITO OS DEVIDOS QUESTIONAMENTOS.</t>
  </si>
  <si>
    <t>ENTRAR EM CONTATO MAIS FINAL DO MÊS</t>
  </si>
  <si>
    <t>CLIENTE TINHA COMENTADO QUE QUERIA ESPERAR VIRAR O MÊS POREM NÃO RESPONDE E NÃO ATENDE</t>
  </si>
  <si>
    <t>COMPRA TAMARAS, PEDIU PARA MANDAR VALORES DA CARGA NOVA</t>
  </si>
  <si>
    <t>FAZENDO LEVANTAMENTO DO ESTOQUE E MEIO DA SEMANA É PARA RETORNAR</t>
  </si>
  <si>
    <t>AGUARDANDO FINALIZAR O E-COMMERCE</t>
  </si>
  <si>
    <t>AGUARDANDO MUDANÇA DE CARTEIRA</t>
  </si>
  <si>
    <t>AGUARDANDO FINALIZAR CADASTRO</t>
  </si>
  <si>
    <t>FEITO NOVO CONTATO</t>
  </si>
  <si>
    <t>FEITO NOVO CONTATO/ ENVIADO ECOMMERCE</t>
  </si>
  <si>
    <t>ANALISEI PERFIL, POSSIVEL CLIENTE DE DRAGEADO</t>
  </si>
  <si>
    <t>PERGUNTEI VALOR QUE ESTÃO PAGANDO NO DRAG</t>
  </si>
  <si>
    <t>CLIENTE JÁ COMPRA EM OUTRO CNPJ</t>
  </si>
  <si>
    <t>NÃO ESTA ENTRANDO MENSAGEM, FEITO TENTATIVA DE CONTATO</t>
  </si>
  <si>
    <t>AINDA NÃO TEVE RETORNO DO CLIENTE DELA</t>
  </si>
  <si>
    <t>CLIENTE FEZ UM ORÇAMENTO ANTERIOR, MAS NÃO PROSSEGUIU</t>
  </si>
  <si>
    <t>TERCEIRIZADA, ENTRANDO EM CONTATO</t>
  </si>
  <si>
    <t>FEITO O CONTATO COM O MESMO PARA ANALISE DE PARCERIA NOVAMENTE0</t>
  </si>
  <si>
    <t>AGUARDANDO O RETORNO</t>
  </si>
  <si>
    <t>VERIFICANDO SE ENTROU NO E-COMMERCE</t>
  </si>
  <si>
    <t>MANDEI UM AUDIO EXPLICANDO PRODUTOS</t>
  </si>
  <si>
    <t>AGUARDANDO DECIDIR PAGAMENTO</t>
  </si>
  <si>
    <t>LAGO E TONSIG COMERCIO DE PRODUTOS NATUR</t>
  </si>
  <si>
    <t>RENASCER COMERCIO DE FRIOS E LATICINIOSL</t>
  </si>
  <si>
    <t>31.265.718 LUIZA SCOTTI CANSI - ME</t>
  </si>
  <si>
    <t>CLAUDINEI FERNANDO ESCHHOLZ - ME</t>
  </si>
  <si>
    <t>44.068.472 OZIEL DE FARIA - ME</t>
  </si>
  <si>
    <t>BEMG COMERCIO DE PRODUTOS ALIMENTICIOS L</t>
  </si>
  <si>
    <t>MARCIA KURESKI CUNHA DE CASTRO 025867859</t>
  </si>
  <si>
    <t>NATURALMENTE EMME S LTDA</t>
  </si>
  <si>
    <t>JOSE LUIZ MAROCHI 03015698940 - ME</t>
  </si>
  <si>
    <t>EMPORIUM VIVA LTDA - ME</t>
  </si>
  <si>
    <t>ENVIADO CAMPANHA, E PORTAL</t>
  </si>
  <si>
    <t>CLIENTE MUITO POTENCIAL</t>
  </si>
  <si>
    <t>NÃO É DO MESMO TIPO DE NEGOCIO</t>
  </si>
  <si>
    <t>CASA DE CHA</t>
  </si>
  <si>
    <t>PEDIU PARA LIGAR AMANHA</t>
  </si>
  <si>
    <t>LIGAR NA LOJA</t>
  </si>
  <si>
    <t>SÓ TEM O NUMERO DA LOJA</t>
  </si>
  <si>
    <t>VERIFICANDO SE TEM ABERTO</t>
  </si>
  <si>
    <t>AGUARDANDO VALIDADES FRUFRUTA</t>
  </si>
  <si>
    <t>SSW BOMBONIERE LTDA</t>
  </si>
  <si>
    <t>43.230.981/0001-76</t>
  </si>
  <si>
    <t>CLIENTE TEM UMA BOMBONIERE</t>
  </si>
  <si>
    <t>CLIENTE NÃO FINALIZOU CARRINHO</t>
  </si>
  <si>
    <t>CLIENTE FICOU DE VER O ESTOQUE</t>
  </si>
  <si>
    <t>COBRANDO PEDIDO</t>
  </si>
  <si>
    <t>CLIENTE ACHOU MUITO CARO, POIS COMPROU COM MUITO DESCONTO</t>
  </si>
  <si>
    <t>SÓ COMPRA TAMARAS, COM DESCONTO</t>
  </si>
  <si>
    <t>MANDEI CAMPANHA</t>
  </si>
  <si>
    <t>CLIENTE COMPRA CACAU EM PO</t>
  </si>
  <si>
    <t>FEITO CONTATO PARA VER ESTOQUE</t>
  </si>
  <si>
    <t>CLIENTE ESTA PRECISANDO</t>
  </si>
  <si>
    <t> 09.185.428/0004-73</t>
  </si>
  <si>
    <t xml:space="preserve">DAIANE ESTA TENTANDO CONTATO COM O MESMO </t>
  </si>
  <si>
    <t xml:space="preserve">CLIENTE AINDA TEM PRODUTO </t>
  </si>
  <si>
    <t>USA SÓ NO CAFÉ, TINHA COMPRADO BASTANTE CAIXAS</t>
  </si>
  <si>
    <t>IRÁ VER A NOITE E MANDAR AMANHA PEDIDO</t>
  </si>
  <si>
    <t>CLIENTE NÃO PRETENDE COMPRAR AGORA</t>
  </si>
  <si>
    <t>CONTATO DE RELACIONAMENTO</t>
  </si>
  <si>
    <t xml:space="preserve">MANDEI CAMPANHAS, AGUARDANDO RETORNO </t>
  </si>
  <si>
    <t>CLIENTE QUE COMPRA SÓ PELO PREÇO</t>
  </si>
  <si>
    <t>FEITO INUMEROS CONTATOS E A MESMA AINDA NÃO RETORNA</t>
  </si>
  <si>
    <t>CLIENTE JÁ VENDE DRAGEADO</t>
  </si>
  <si>
    <t>ALEX SANDRO LUCIO DE MELO 02797254937 -M</t>
  </si>
  <si>
    <t>DI NATURALE PRODUTOS NATURAIS LTDA - ME</t>
  </si>
  <si>
    <t>VIDA EM EQUILIBRIO PRODUTOS NATURAIS LTD</t>
  </si>
  <si>
    <t>EATSY ALIMENTACAO SAUDAVEL LTDA - EPP</t>
  </si>
  <si>
    <t>NASSAU COMERCIO DE ALIMENTOS LTDA - ME</t>
  </si>
  <si>
    <t>NATURALE SABOR E SAUDE LTDA -ME</t>
  </si>
  <si>
    <t>49.442.648 ELAINE DA SILVA FOLLMANN - ME</t>
  </si>
  <si>
    <t>EMPORIO MATCHA LTDA - ME</t>
  </si>
  <si>
    <t>43.821.105 LUCAS OLIVEIRA CAMPOREZZI - M</t>
  </si>
  <si>
    <t>49.461.768 CICERO JANUARIO BARBOSA JUNIO</t>
  </si>
  <si>
    <t>CLIENTES SAP</t>
  </si>
  <si>
    <t>NATURALIS PRODUTOS NATURAIS LTDA</t>
  </si>
  <si>
    <t>REPOSIÇÃO</t>
  </si>
  <si>
    <t>PEDIDO ESQUENTA BLACK</t>
  </si>
  <si>
    <t> 53.754.257/0001-03</t>
  </si>
  <si>
    <t>VAI SUBIR PEDIDO AINDA HOJE</t>
  </si>
  <si>
    <t>JÁ FEZ PEDIDO SEMANA PASSADA</t>
  </si>
  <si>
    <t>COMPRA SO CACAU, NÃO RESPONDE E NEM ATENDE</t>
  </si>
  <si>
    <t>ABANDONO DE CARRINHO</t>
  </si>
  <si>
    <t>NÃO DA MAIS RETORNO</t>
  </si>
  <si>
    <t>CLIENTE É MUITO PEQUENO AINDA TEM PRODUTO</t>
  </si>
  <si>
    <t>DIZ CLIENTE QUE AINDA TEM PRODUTOS</t>
  </si>
  <si>
    <t>VAI TER QUE AVALIAR PREÇO DE REVENDA</t>
  </si>
  <si>
    <t>CLIENTE NÃO DA ABERTURA PARA FECHAR COMIGO</t>
  </si>
  <si>
    <t>NUTRICOLLA COMERCIO DE PRODUTOS NATURAIS</t>
  </si>
  <si>
    <t>OSNILDO CANDINHO</t>
  </si>
  <si>
    <t>ATITUDE VERDE NATURAIS LTDA - ME</t>
  </si>
  <si>
    <t>PHD ANDRYBEL DISTRIBUIDORA DE PRODUTOS N</t>
  </si>
  <si>
    <t>LANALU COMERCIO DE PRODUTOS NATURAIS LTD</t>
  </si>
  <si>
    <t>GRAOVILLE COMERCIO VAREJISTA DE PRODUTOS</t>
  </si>
  <si>
    <t>SOU+GRAOS COMERCIO DE PRODUTOS NATURAIS</t>
  </si>
  <si>
    <t>O CEREALISTA MERCADO NATURAL LTDA - ME</t>
  </si>
  <si>
    <t>CASA DAS ESPECIARIAS COMERCIO LTDA - ME</t>
  </si>
  <si>
    <t>18.958.064.0001-65</t>
  </si>
  <si>
    <t>ENTREI EM CONTATO PARA POSSIVEL PARCERIA</t>
  </si>
  <si>
    <t>FEITO SEGUNDO CONTATO</t>
  </si>
  <si>
    <t>NÃO TIVE RETORNO AINDA</t>
  </si>
  <si>
    <t>FEITO PRIMEIRO CONTATO</t>
  </si>
  <si>
    <t>CLIENTE NÃO RESPONDE</t>
  </si>
  <si>
    <t>PRODUTOS NÃO SÃO COMPATIVEIS</t>
  </si>
  <si>
    <t>MANDEI CAMPANHAS NOVAMENTE</t>
  </si>
  <si>
    <t>ENTRANDO EM CONTATO NOVAMENTE COM A CLIENTE !</t>
  </si>
  <si>
    <t>MANDEI CAMPANHAS</t>
  </si>
  <si>
    <t>ABRAAO PEREIRA DOS SANTOS - ME</t>
  </si>
  <si>
    <t>50.508.699 FRANCIELI MARIA KOGUTA CAMILO</t>
  </si>
  <si>
    <t>MARIA APARECIDA EVARISTO PAPENDICK - ME</t>
  </si>
  <si>
    <t>48.008.813 FERNANDA CRISTINA CLIMACO DAS</t>
  </si>
  <si>
    <t>40.263.538 DANIELE DOS REIS DE SOUZA - M</t>
  </si>
  <si>
    <t>ELIZETE SALETE FRIGOTTO ZIBETTI - ME</t>
  </si>
  <si>
    <t>BRUNA THALIA CONSTANTINO 05198508900 - M</t>
  </si>
  <si>
    <t>MARCIO JOSE TAMBOSI 76918688987</t>
  </si>
  <si>
    <t>ROSE MARA TEODORO MARQUES 70392722100 -</t>
  </si>
  <si>
    <t>JOAO PAULO VIEIRA - ME</t>
  </si>
  <si>
    <t xml:space="preserve">FEITO PRIMEIRO CONTATO AGUARDANDO!! </t>
  </si>
  <si>
    <t xml:space="preserve">FEITO SEGUNDO CONTATO AGUARDANDO!! </t>
  </si>
  <si>
    <t>21.450.286/0001-87</t>
  </si>
  <si>
    <t>MONKEY COOKIE</t>
  </si>
  <si>
    <t> JSC COMERCIO LTDA</t>
  </si>
  <si>
    <t>MQ SOLUCOES LTDA</t>
  </si>
  <si>
    <t>39.358.176/0001-55</t>
  </si>
  <si>
    <t>VAI PRECISAR PARA EVENTOS</t>
  </si>
  <si>
    <t>COBRANDO ORÇAMENTO NOVAMENTE</t>
  </si>
  <si>
    <t>CLIENTE ESTA COM BOLETO EM ABERTO</t>
  </si>
  <si>
    <t>CLIENTE NOS LIGOU, FECHAMOS PEDIDO FOOD</t>
  </si>
  <si>
    <t>CLIENTE GOSTARIA DE SABER SE JÁ FOI FATURADO</t>
  </si>
  <si>
    <t>AGUARDANDO PEDIDO DO CLIENTE</t>
  </si>
  <si>
    <t>NOTA FOI FATURADA NO CNPJ ERRADO</t>
  </si>
  <si>
    <t>ENVIADO COMUNICADO DE RECESSO PARA PUXAR VENDA</t>
  </si>
  <si>
    <t>TENTANDO CONTATO COM A CLIENTE DESDE O DIA 25/11</t>
  </si>
  <si>
    <t>CLIENTE COMPROU RECENTE</t>
  </si>
  <si>
    <t>NUTRILEVE</t>
  </si>
  <si>
    <t>ISOLETE, NÃO RESPONDE</t>
  </si>
  <si>
    <t>EMPORIO DE LA VITA</t>
  </si>
  <si>
    <t>PROSPECÇÃO</t>
  </si>
  <si>
    <t>PROSPECÇÃO CLIENTE NOVO</t>
  </si>
  <si>
    <t>35.883.775/0001-37</t>
  </si>
  <si>
    <t>COZINHA DA MARI</t>
  </si>
  <si>
    <t>CLIENTE VAI COMPRAR CHOCOLATE SÓ COMEÇO DO ANO</t>
  </si>
  <si>
    <t>CLIENTE COMEÇOU CARRINHO NO E-COMMERCE, POREM NÃO RESPONDE MAIS</t>
  </si>
  <si>
    <t>63.300.724/0001-70</t>
  </si>
  <si>
    <t>AVIÃO AZUL DOCES</t>
  </si>
  <si>
    <t>CLIENTE COM PROBELMAS NA ENTREGA DESDE O DIA 21/11 TENTANDO AJUDAR</t>
  </si>
  <si>
    <t>EM CONTATO COM A JADLOG</t>
  </si>
  <si>
    <t>DEBORA CRISTINA TEIXEIRA</t>
  </si>
  <si>
    <t>CLIENTE GOSTARIA DE SABER SOBRE O FATURAMENTO E ENTREGA</t>
  </si>
  <si>
    <t>CLIENTE DEIXOU BOLETO IR A CARTORIO</t>
  </si>
  <si>
    <t>ALEGOU NÃO SABER QUE ERAM 2 BOLETOS // ENVIADO PARA O FINANCEIRO</t>
  </si>
  <si>
    <t>DI MANGIARE ALIMENTOS</t>
  </si>
  <si>
    <t>CONFIRMANDO COM A CLIENTE SE IRÃO BUSCAR AMANHA A MERCADORIA</t>
  </si>
  <si>
    <t>SUPERMERCADOS OSANA </t>
  </si>
  <si>
    <t>COBRAR PEDIDO DO CLIENTE</t>
  </si>
  <si>
    <t>62.619.220/0001-55</t>
  </si>
  <si>
    <t>GRAOS E FIT</t>
  </si>
  <si>
    <t>CLIENTE QUESTIONANDO VALORES MAIORES</t>
  </si>
  <si>
    <t>EM ORÇAMENTO DESDE O DIA 17/10, E AINDA NÃO FECHOU. PERDEU VALORES DE BLACK TAMBEM</t>
  </si>
  <si>
    <t>LOVE SUGAR </t>
  </si>
  <si>
    <t>APRESENTÇÃO, CLIENTE PEDIU CATALOGO</t>
  </si>
  <si>
    <t>NATALI DUDEK</t>
  </si>
  <si>
    <t>TEM INTERESSE EM CHOCOLATE VEGANO</t>
  </si>
  <si>
    <t>15.003.013/0001-91</t>
  </si>
  <si>
    <t>PADARIA FELIPAO</t>
  </si>
  <si>
    <t>TEM UMA PADARIA, SE INTERESSA EM GOTAS</t>
  </si>
  <si>
    <t>CLIENTE COMPRA COM DISTRIBUIDOR</t>
  </si>
  <si>
    <t>PRECISO SABER O DIA DE COMPRA</t>
  </si>
  <si>
    <t>DISTRIBUIDOR ESTA EM CIMA</t>
  </si>
  <si>
    <t>AGUARDANDO RETORNO SOBRE FRUFRUTAS</t>
  </si>
  <si>
    <t>DUVIDAS SOBRE GOTAS, E BOLETO</t>
  </si>
  <si>
    <t>MENSAGEM PARA NOVO RELACIOMENTO</t>
  </si>
  <si>
    <t>CASA DO SACHÊ</t>
  </si>
  <si>
    <t>CLIENTE PRECISA DE 50 KG DE GRANOLA</t>
  </si>
  <si>
    <t>CLIENTE VEM BUSCAR MERCADORIA</t>
  </si>
  <si>
    <t>PRECISAVA DO ENDEREÇO</t>
  </si>
  <si>
    <t>MARILIA RAFAELA FERREIRA DA LUZ</t>
  </si>
  <si>
    <t>CLIENTE É CONSUMIDORA FINAL, PRECISA DE PRODUTOS</t>
  </si>
  <si>
    <t>CLIENTE VAI SUBIR PEDIDO</t>
  </si>
  <si>
    <t>CLIENTE REGIÃO DE PRAIA // FICAR EM CIMA</t>
  </si>
  <si>
    <t>PRAZO DE ENTREGA</t>
  </si>
  <si>
    <t>PREFEREM PELO WHATSAPP</t>
  </si>
  <si>
    <t>NÃO ATENDEM EM NENHUM CONTATO</t>
  </si>
  <si>
    <t>PEDIU LINK DO PORTAL PARA DAR UMA OLHADA NAS PROMOÇÕES</t>
  </si>
  <si>
    <t>NÃO ATENDEU, DESLIGA</t>
  </si>
  <si>
    <t>MANDEI MENSAGEM</t>
  </si>
  <si>
    <t>DELICIAS DO PANTANO</t>
  </si>
  <si>
    <t>NÃO ATENDEU, SO CHAMA</t>
  </si>
  <si>
    <t>PEDIU PARA MANDAR POR EMAIL</t>
  </si>
  <si>
    <t>VITALLE PRODUTOS NATURAIS</t>
  </si>
  <si>
    <t>62.936.379/0001-01</t>
  </si>
  <si>
    <t>LEAD SITE</t>
  </si>
  <si>
    <t>R.R.M FAMILIA COMERCIO DE MERCADORIAS LTDA</t>
  </si>
  <si>
    <t>18.820.317/0001-30</t>
  </si>
  <si>
    <t>LIGAÇÃO SEM SUCESSO</t>
  </si>
  <si>
    <t>MANDEI WPP</t>
  </si>
  <si>
    <t>A LOJA ATENDEU, E PASSOU O NUMERO DO COMPRAS. POREM O COMPRAS NÃO ATENDE</t>
  </si>
  <si>
    <t>A LOJA ATENDEU, E PEDIU PARA MANDAR WPP</t>
  </si>
  <si>
    <t>CLIENTE ENTROU EM CONTATO, PORÉM NÃO RESPONDEU MAIS</t>
  </si>
  <si>
    <t>PEIXARIA SEU MANUEL</t>
  </si>
  <si>
    <t>CLIENTE IRÁ FAZER PEDIDO NAS PROXIMAS SEMANAS</t>
  </si>
  <si>
    <t>35.883.775 MARISA GARLINI MAGENIS</t>
  </si>
  <si>
    <t>AGUARDANDO LIBERAÇÃO MANDAR PIX</t>
  </si>
  <si>
    <t>CLIENTE COBRANDO O PIX</t>
  </si>
  <si>
    <t>MANDEI LINK PARA PAGAMENTO</t>
  </si>
  <si>
    <t>36.455.705/0001-40</t>
  </si>
  <si>
    <t>ELLES VEGAN CAFETERIA</t>
  </si>
  <si>
    <t>RISOTOLANDIA </t>
  </si>
  <si>
    <t>COMERCIAL TOLOTTI</t>
  </si>
  <si>
    <t>MANDEI LAUDOS MICROBIOLOGICOS, PARA POSSIVEL COMPRA</t>
  </si>
  <si>
    <t>MERCADO OSANA</t>
  </si>
  <si>
    <t>NÃO TEM BOLINHOS</t>
  </si>
  <si>
    <t>VERIFICANDO COM O CLIENTE SE PODE MANDAR SEM</t>
  </si>
  <si>
    <t>COBRADO SOBRE PAGAMENTO</t>
  </si>
  <si>
    <t>PAGAMENTO REALIZADO</t>
  </si>
  <si>
    <t>AGUARDANDO PAGAMENTO</t>
  </si>
  <si>
    <t>CLIENTE FICOU DE VER O PORTAL</t>
  </si>
  <si>
    <t>ESTA NO HOSPITAL</t>
  </si>
  <si>
    <t>MANDEI WHATSAPP, CLIENTE TEM INTERESSE POREM PERDEU CREDITO</t>
  </si>
  <si>
    <t>CONVENCER A COMPRAR A VISTA</t>
  </si>
  <si>
    <t>MANDEI WHATSAPP, NUMERO DE TELEFONE NÃO ATENDE</t>
  </si>
  <si>
    <t>CLIENTE SE ENROLA MUITO</t>
  </si>
  <si>
    <t>QUANDO INFORMEI QUE ERA DA VITAO DESLIGOU</t>
  </si>
  <si>
    <t xml:space="preserve">A ULTIMA VEZ QUE FALEI COM ELA, DIZ QUE TEVE PROBLEMAS COM A VENDA DOS PRODUTOS, ME OFERECI A AJUDAR POREM SEM RETORNO ! </t>
  </si>
  <si>
    <t>CLIENTE NÃO ATENDE, PREFERE MENSAGEM</t>
  </si>
  <si>
    <t>NÃO ATENDE, MANDEI MENSAGEM PARA TENTAR PUXAR VENDA</t>
  </si>
  <si>
    <t>ENVIADO AUDIO, JÁ QUE NÃO ATENDEU</t>
  </si>
  <si>
    <t>CLIENTE DE DIFICIL RETORNO</t>
  </si>
  <si>
    <t>NÃO GOSTA DE LIGAÇÕES, ENVIEI WHATSAPP</t>
  </si>
  <si>
    <t>CLIENTE RECEBEU BOLETO, PORÉM TINHA PAGADO NO CARTÃO DE CREDITO</t>
  </si>
  <si>
    <t>RESOLVIDO</t>
  </si>
  <si>
    <t>NÃO COMPRA ESSA EPOCA DO ANO</t>
  </si>
  <si>
    <t>CLIENTE POSSIVELMENTE FECHOU, LIGUEI 2X, NAO ATENDEU</t>
  </si>
  <si>
    <t>TENTAR MAIS TARDE</t>
  </si>
  <si>
    <t>CHAMA ATÉ CAIR NA CAIXA POSTAL</t>
  </si>
  <si>
    <t>TENTEI EM TODOS OS NUMEROS POSSIVEIS, NENHUM COMPLETA A LIGAÇÃO</t>
  </si>
  <si>
    <t>SO TEM O NUMERO DA LOJA, TENTEI LIGAR VAI DIRETO PARA A CAIXA POSTAL, IMAGINO QUE SEJA SOMENTE WPP</t>
  </si>
  <si>
    <t xml:space="preserve">ENVIEI MENSAGEM </t>
  </si>
  <si>
    <t>CLIENTE ATENDEU E PEDIU PARA ENVIAR O CATALOGO PARA ELA</t>
  </si>
  <si>
    <t>SOMENTE CHAMA</t>
  </si>
  <si>
    <t>KAÛMA PRODUTOS NATURAIS</t>
  </si>
  <si>
    <t>02.592.694/0001-29</t>
  </si>
  <si>
    <t>SUPERMERCADO ESTRELA</t>
  </si>
  <si>
    <t>ENVIEI PRIMEIRA MENSAGEM DE APRESENTAÇÃO</t>
  </si>
  <si>
    <t>63.791.809/0001-07</t>
  </si>
  <si>
    <t>NUTRI SAFE</t>
  </si>
  <si>
    <t>50.403.174/0001-73</t>
  </si>
  <si>
    <t>BS COMERCIO DE ALIMENTOS</t>
  </si>
  <si>
    <t>VOLTEI NA CLIENTE PARA VER SE OLHOU O CATALOGO</t>
  </si>
  <si>
    <t>50.812.539/0001-13</t>
  </si>
  <si>
    <t>ROSEANE RUBASKI BERNARDO ARAUJO</t>
  </si>
  <si>
    <t>29.502.357/0001-50</t>
  </si>
  <si>
    <t>CASA DE CHÁS</t>
  </si>
  <si>
    <t>06.338.865/0001-49</t>
  </si>
  <si>
    <t>ALEXANDRE FRANCISCO PIOVEZAN LTDA</t>
  </si>
  <si>
    <t>ENVIEI PRIMEIRA MENSAGEM DE APRESENTAÇÃO, JÁ COMPROU PELO CPF</t>
  </si>
  <si>
    <t>ENVIADO PRIMEIRA MENSAGEM DE APRESENTAÇÃO</t>
  </si>
  <si>
    <t>DEU RETORNO SOBRE INTERESSE EM NOSSOS PRODUTOS</t>
  </si>
  <si>
    <t>COMPRAVA COM A BDL</t>
  </si>
  <si>
    <t>PERCA /  REPRESENTANTE COMEÇOU A ATENDER O CLIENTE</t>
  </si>
  <si>
    <t>CLIENTE COMPROU POUCO PARA EXPERIMENTAR</t>
  </si>
  <si>
    <t>CLIENTE DEU UM RETORNO,FALOU QUE JÁ TRBALHA COM CHOCOLATES VEGANOS</t>
  </si>
  <si>
    <t>QUESTIONEI SE ERAM DA NOSSA MARCA</t>
  </si>
  <si>
    <t> 07.316.826/0001-03</t>
  </si>
  <si>
    <t>CLIENTE SÓ VAI COMPRAR ANO QUE VEM, JÁ ENCERROU AS COMPRAS</t>
  </si>
  <si>
    <t>CLIENTE SE INTERESSOU PELO PORTAL DE PEDIDOS, PASSEI POLITICAS COMERCIAIS</t>
  </si>
  <si>
    <t>CLIENTE ESTA COM PROBLEMA NA ENTREGA</t>
  </si>
  <si>
    <t>AJUDANDO ELA PARA CHEGAR O QUANTO ANTES</t>
  </si>
  <si>
    <t>MONKEY</t>
  </si>
  <si>
    <t>PRECISAVA DA NF, PARA ENTENDER OS BOLETOS</t>
  </si>
  <si>
    <t>PEDIDO AINDA NÃO CHEGOU, PRAZO ESTA PARA HOJE</t>
  </si>
  <si>
    <t>MANDEI NUMERO DO FINANCEIRO PARA ADIAR BOLETOS SE NECESSARIO</t>
  </si>
  <si>
    <t>MERCADORIA CHEGOU HOJE, E VENCIMENTO DO BOLETO ESTA PARA DIA 17/12 CLIENTE PEDIU PARA ARRUMAR PRAZO</t>
  </si>
  <si>
    <t>CLIENTE PEDIU PARA AJUSTARMOS VENCIMENTO DO BOLETO, SE RECUSOU A ENTRAR EM CONTATO COM O FINANCEIRO, AGUARDANDO RETORNO DAS MENINAS</t>
  </si>
  <si>
    <t>NUTRISAFE</t>
  </si>
  <si>
    <t>CLIENTE RESPONDEU SOBRE A MENSAGEM ENVIADA ONTEM</t>
  </si>
  <si>
    <t>CHAMOU PELA 2 VEZ HOJE, AJUDANDO ELA PARA CHEGAR O QUANTO ANTES</t>
  </si>
  <si>
    <t>COMPRA JÁ VITAO, VAI OLHAR O CATALOGO</t>
  </si>
  <si>
    <t>CLIENTE NOS INFORMOU QUE SÓ INAUGURA EM JANEIRO</t>
  </si>
  <si>
    <t>GUSTAVO RAUPP</t>
  </si>
  <si>
    <t>EENTROU EM CONTATO PARA SABER SOBRE REVENDA</t>
  </si>
  <si>
    <t>PEDIU TODOS OS BOLETOS AJUSTADOS, MANDEI</t>
  </si>
  <si>
    <t>CHAMOU PELA 3 VEZ HOJE, AJUDANDO ELA PARA CHEGAR O QUANTO ANTES</t>
  </si>
  <si>
    <t>04.908.058/0133-39</t>
  </si>
  <si>
    <t>CLIENTE MANDOU 250,00 REIAS DE PEDIDO, TENTANDO AUMENTAR</t>
  </si>
  <si>
    <t>CLIENTE DIFICIL, AGUARDANDO RETORNO</t>
  </si>
  <si>
    <t>PEDIU ACESSO AO PORTAL DE PEDIDOS, JÁ ESTA MONTANDO ALGO</t>
  </si>
  <si>
    <t>LIGUEI PEDIU PARA MANDAR NO WHATSAPP AS INFORMAÇÕES E CONDIÇÕES COMERCIAIS</t>
  </si>
  <si>
    <t>NÃO ATENDE, NÃO ENCONTREI NENHUM OUTRO NUMERO</t>
  </si>
  <si>
    <t>MINI INDUSTRIA</t>
  </si>
  <si>
    <t>PEDIU PARA MANDAR NO WHATSAPP O CATALOGO</t>
  </si>
  <si>
    <t>NÃO ATENDE MANDEI MENSAGEM NO WHATSAPP</t>
  </si>
  <si>
    <t>ENVIADO WHATSAPP, FUNCIONARIO PEDIU RETORNO PARA AMANHA PELA MANHA</t>
  </si>
  <si>
    <t>AGENDADO MENSAGEM</t>
  </si>
  <si>
    <t>SERGIO</t>
  </si>
  <si>
    <t>CLIENTE INDUSTRIA</t>
  </si>
  <si>
    <t>ENVIADO PRIMEIRA MENSAGEM PARA RELACIONAMENTO</t>
  </si>
  <si>
    <t>COBREI ORÇAMENTO DO MESMO</t>
  </si>
  <si>
    <t>CLIENTE QUERIA SABER SE TEVE REAJUSTE NOS VALORES</t>
  </si>
  <si>
    <t>CLIENTE SÓ COMPRA DE 3 EM 3 MESES, BAIXSSIMA SAIDA</t>
  </si>
  <si>
    <t>MANDAR SEMPRE CAMPANHAS</t>
  </si>
  <si>
    <t>CLIENTE VAI INAUGURAR AGORA DIA 12/12</t>
  </si>
  <si>
    <t>SÓ ANO QUE VEM</t>
  </si>
  <si>
    <t>MANDEI WHATSAPP INFORMANDO SOBRE O RECESSO</t>
  </si>
  <si>
    <t>PERGUNTEI QUANDO RETORNA EM JANEIRO</t>
  </si>
  <si>
    <t>O NUMERO É SOMENTE WHATSAPP</t>
  </si>
  <si>
    <t>AINDA TEM MUITO PRODUTO</t>
  </si>
  <si>
    <t>NÃO ATENDEU, MANDEI MENSAGEM</t>
  </si>
  <si>
    <t>CLIENTE PEDIU PARA NÃO LIGAR NUNCA MAIS</t>
  </si>
  <si>
    <t>QUANDO QUISER ELE ENTRA EM CONTATO</t>
  </si>
  <si>
    <t>CIENTE NÃO ATENDE/ CAIXA POSTAL</t>
  </si>
  <si>
    <t>CIENTE NÃO ATENDE/ CHAMA ATÉ CAIXA POSTAL</t>
  </si>
  <si>
    <t>ENVIADO MENSAGEM</t>
  </si>
  <si>
    <t>CLIENTE USA OS PRODUTOS PARA TREINAMENTO, E JÁ ENCERROU ESSE ANO</t>
  </si>
  <si>
    <t>NÃO ATENDEU, SÓ CHAMA</t>
  </si>
  <si>
    <t>PEDIU ORÇAMENTO MAS PARA ENTREGAR SO AMANHA</t>
  </si>
  <si>
    <t>MANDEI NO WHATSAPP CONFORME SOLICITADO</t>
  </si>
  <si>
    <t>FEITO CONTATO VIA WHATSAPP</t>
  </si>
  <si>
    <t>ENVIEI AUDIO</t>
  </si>
  <si>
    <t>SOMENTE PELO WHATS, O NUMERO PARA LIGAÇÃO É SOMENTE LOJA</t>
  </si>
  <si>
    <t>SEMPRE WHATSAPP</t>
  </si>
  <si>
    <t>COBREI ESTOQUE, AGUARDANDO RETORNO</t>
  </si>
  <si>
    <t>NÃO VAI COMPRAR MAIS ESSE ANO</t>
  </si>
  <si>
    <t>VERIFIQUEI SE CHEGOU TUDO CERTINHO</t>
  </si>
  <si>
    <t>SUCESSO DO CLIENTE</t>
  </si>
  <si>
    <t>,</t>
  </si>
  <si>
    <t>51.156.959 ELAINE CRISTINA KOERICH</t>
  </si>
  <si>
    <t>51.156.959/0001-51</t>
  </si>
  <si>
    <t>16.586.235 IARA REGINA MULLER DE OLIVEIRA</t>
  </si>
  <si>
    <t>16.586.235/0001-47</t>
  </si>
  <si>
    <t>59.618.403/0001-41</t>
  </si>
  <si>
    <t>FORÇANDO RECOMPRA</t>
  </si>
  <si>
    <t>ENTENDENDO SE A CLIENTE VAI PRECISAR DE PRODUTO</t>
  </si>
  <si>
    <t>CLIENTE RECEBEU PEDIDO ESSE MÊS, DEVIO A ATRASOU A RECOMPRA VAI TER QUE SER POSTERGADA !</t>
  </si>
  <si>
    <t>FEITO POS VENDA, PERGUNTANDO SOBRE ENTREGA SE CHEGOU CERTO</t>
  </si>
  <si>
    <t>CLIENTE NÃO QUER COMPRAR AGORA</t>
  </si>
  <si>
    <t>SUBIR PEDIDO NO SALES NESSE DIA</t>
  </si>
  <si>
    <t>NUTRILIFE</t>
  </si>
  <si>
    <t>51.938.854/0001-54</t>
  </si>
  <si>
    <t>CLIENTE NÃO VAI PRECISAR ESSE ANO MAIS</t>
  </si>
  <si>
    <t>REFORCEI CATALOGOS</t>
  </si>
  <si>
    <t>CLIENTE PROSPECÇÃO, AGUARDANDO RETORNO</t>
  </si>
  <si>
    <t>SOMENTE EM JANEIRO</t>
  </si>
  <si>
    <t>INFINIT BLUE SPA</t>
  </si>
  <si>
    <t>NÃO ATENDE EM NENHUM NUMERO DISPONIVEL NO GOOGLE</t>
  </si>
  <si>
    <t>PROCURAR MAIS NUMEROS</t>
  </si>
  <si>
    <t>ITA THERMAS</t>
  </si>
  <si>
    <t>RIO DO RASTRO</t>
  </si>
  <si>
    <t>AWASI RESORT</t>
  </si>
  <si>
    <t>DONA FRANCISCA HOTEL</t>
  </si>
  <si>
    <t>ATENDEU E PASSOU WPP DO COMPRAS</t>
  </si>
  <si>
    <t>APRESENTEI A VITAO A MESMA</t>
  </si>
  <si>
    <t>PASSOU EMAIL PARA MANDAR CATALOGO</t>
  </si>
  <si>
    <t>RESORT ECOAR</t>
  </si>
  <si>
    <t>POUSADA VIDA DO SOL</t>
  </si>
  <si>
    <t>SOLAR MIRADOR</t>
  </si>
  <si>
    <t>FAZENDA DO ROSA</t>
  </si>
  <si>
    <t>CAIXA D' AÇO EXCLUSIVE</t>
  </si>
  <si>
    <t>REFUGIO DO ESTALEIRO</t>
  </si>
  <si>
    <t>RECANTO ALVORADA ECO RESORT</t>
  </si>
  <si>
    <t>ECOLAND</t>
  </si>
  <si>
    <t>GARFIT COZINHA SAUDAVEL</t>
  </si>
  <si>
    <t>ADVENTISTA SUL</t>
  </si>
  <si>
    <t>52.060.534/0001-07</t>
  </si>
  <si>
    <t>HOTEL FAZENDA BOMBAS</t>
  </si>
  <si>
    <t>ATENDE POREM DESLIGA, TENTAR MAIS TARDE</t>
  </si>
  <si>
    <t>PEDIU RASTREIO</t>
  </si>
  <si>
    <t>ATENDEU PEDIU PARA MANDAR NO WHATS</t>
  </si>
  <si>
    <t>ATENDEU RECEPÇÃO E DEU O NUMERO DO COMPRAS</t>
  </si>
  <si>
    <t>SEM SUCESSO, ENVIADO WPP</t>
  </si>
  <si>
    <t>WYNDHAN GRAMADO</t>
  </si>
  <si>
    <t>COMIDA É FEITA POR TERCEIRIZADA, PASSOU O NUMERO</t>
  </si>
  <si>
    <t>PEDIU PARA RETORNAR AMANHÃ</t>
  </si>
  <si>
    <t>MANDEI SUGESTÃO DE ORÇAMENTO</t>
  </si>
  <si>
    <t>PEDIU COTAÇÃO DE COOKIES</t>
  </si>
  <si>
    <t>COMPRA PARA IGREJA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</si>
</sst>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#"/>
  </numFmts>
  <fonts count="30" x14ac:knownFonts="1">
    <font>
      <sz val="10"/>
      <name val="Arial"/>
      <charset val="1"/>
    </font>
    <font>
      <sz val="10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name val="Arial"/>
      <family val="2"/>
    </font>
    <font>
      <b/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rgb="FFFFC000"/>
      <name val="Arial"/>
      <family val="2"/>
    </font>
    <font>
      <b/>
      <sz val="10"/>
      <color rgb="FF00B0F0"/>
      <name val="Arial"/>
      <family val="2"/>
    </font>
    <font>
      <b/>
      <sz val="10"/>
      <color rgb="FFF9A807"/>
      <name val="Arial"/>
      <family val="2"/>
    </font>
    <font>
      <b/>
      <sz val="10"/>
      <color rgb="FFFF0000"/>
      <name val="Arial"/>
      <family val="2"/>
    </font>
    <font>
      <b/>
      <sz val="11"/>
      <color rgb="FFFFC000"/>
      <name val="Arial"/>
      <family val="2"/>
    </font>
    <font>
      <sz val="10"/>
      <color rgb="FFFFC000"/>
      <name val="Aptos Narrow"/>
      <family val="2"/>
      <scheme val="minor"/>
    </font>
    <font>
      <sz val="11"/>
      <name val="Arial"/>
      <family val="2"/>
      <charset val="1"/>
    </font>
    <font>
      <u/>
      <sz val="10"/>
      <color theme="10"/>
      <name val="Arial"/>
      <family val="2"/>
    </font>
    <font>
      <b/>
      <sz val="10"/>
      <color rgb="FF00B05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rgb="FFFFC000"/>
      <name val="Arial"/>
      <family val="2"/>
    </font>
    <font>
      <sz val="11"/>
      <color rgb="FFFF0000"/>
      <name val="Arial"/>
      <family val="2"/>
    </font>
    <font>
      <b/>
      <sz val="11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dashed">
        <color theme="0" tint="-0.14996795556505021"/>
      </left>
      <right style="dashed">
        <color theme="0" tint="-0.14996795556505021"/>
      </right>
      <top style="dashed">
        <color theme="0" tint="-0.14996795556505021"/>
      </top>
      <bottom style="dashed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</borders>
  <cellStyleXfs count="5">
    <xf numFmtId="0" fontId="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168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5" fillId="0" borderId="0" xfId="0" applyFont="1"/>
    <xf numFmtId="0" fontId="5" fillId="0" borderId="1" xfId="0" applyFont="1" applyBorder="1" applyAlignment="1">
      <alignment horizontal="left"/>
    </xf>
    <xf numFmtId="0" fontId="6" fillId="2" borderId="1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4" fontId="5" fillId="0" borderId="0" xfId="0" applyNumberFormat="1" applyFont="1" applyBorder="1" applyAlignment="1">
      <alignment horizontal="center" vertical="center"/>
    </xf>
    <xf numFmtId="0" fontId="0" fillId="0" borderId="1" xfId="0" applyBorder="1"/>
    <xf numFmtId="0" fontId="7" fillId="0" borderId="0" xfId="0" applyFont="1" applyAlignment="1">
      <alignment horizontal="center" vertical="center"/>
    </xf>
    <xf numFmtId="14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10" fillId="0" borderId="8" xfId="0" applyFont="1" applyFill="1" applyBorder="1" applyAlignment="1" applyProtection="1"/>
    <xf numFmtId="0" fontId="0" fillId="0" borderId="0" xfId="0" applyAlignment="1">
      <alignment horizontal="center"/>
    </xf>
    <xf numFmtId="0" fontId="0" fillId="8" borderId="0" xfId="0" applyFill="1"/>
    <xf numFmtId="0" fontId="11" fillId="2" borderId="0" xfId="0" applyFont="1" applyFill="1" applyAlignment="1">
      <alignment horizontal="left" vertical="center" wrapText="1"/>
    </xf>
    <xf numFmtId="0" fontId="12" fillId="0" borderId="9" xfId="0" applyFont="1" applyBorder="1"/>
    <xf numFmtId="0" fontId="12" fillId="0" borderId="9" xfId="0" applyNumberFormat="1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14" fontId="12" fillId="0" borderId="9" xfId="0" applyNumberFormat="1" applyFont="1" applyBorder="1" applyAlignment="1">
      <alignment horizontal="center"/>
    </xf>
    <xf numFmtId="0" fontId="13" fillId="2" borderId="9" xfId="0" applyFont="1" applyFill="1" applyBorder="1" applyAlignment="1">
      <alignment horizontal="center" vertical="center" wrapText="1"/>
    </xf>
    <xf numFmtId="14" fontId="14" fillId="3" borderId="9" xfId="0" applyNumberFormat="1" applyFont="1" applyFill="1" applyBorder="1" applyAlignment="1">
      <alignment horizontal="center" vertical="center" wrapText="1"/>
    </xf>
    <xf numFmtId="0" fontId="12" fillId="0" borderId="9" xfId="0" applyFont="1" applyBorder="1" applyAlignment="1">
      <alignment wrapText="1"/>
    </xf>
    <xf numFmtId="0" fontId="12" fillId="5" borderId="9" xfId="0" applyFont="1" applyFill="1" applyBorder="1" applyAlignment="1">
      <alignment horizontal="left"/>
    </xf>
    <xf numFmtId="44" fontId="12" fillId="5" borderId="9" xfId="2" applyFont="1" applyFill="1" applyBorder="1" applyAlignment="1">
      <alignment horizontal="left"/>
    </xf>
    <xf numFmtId="1" fontId="12" fillId="5" borderId="9" xfId="2" applyNumberFormat="1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14" fontId="12" fillId="5" borderId="9" xfId="0" applyNumberFormat="1" applyFont="1" applyFill="1" applyBorder="1" applyAlignment="1">
      <alignment horizontal="center"/>
    </xf>
    <xf numFmtId="164" fontId="12" fillId="5" borderId="9" xfId="0" applyNumberFormat="1" applyFont="1" applyFill="1" applyBorder="1" applyAlignment="1">
      <alignment horizontal="center"/>
    </xf>
    <xf numFmtId="0" fontId="12" fillId="0" borderId="9" xfId="0" applyFont="1" applyBorder="1" applyAlignment="1">
      <alignment horizontal="left" indent="1"/>
    </xf>
    <xf numFmtId="0" fontId="13" fillId="2" borderId="9" xfId="0" applyFont="1" applyFill="1" applyBorder="1" applyAlignment="1">
      <alignment horizontal="left" vertical="center" wrapText="1" indent="1"/>
    </xf>
    <xf numFmtId="0" fontId="12" fillId="5" borderId="9" xfId="0" applyFont="1" applyFill="1" applyBorder="1" applyAlignment="1">
      <alignment horizontal="left" indent="1"/>
    </xf>
    <xf numFmtId="44" fontId="12" fillId="0" borderId="9" xfId="2" applyFont="1" applyBorder="1" applyAlignment="1">
      <alignment horizontal="left"/>
    </xf>
    <xf numFmtId="1" fontId="12" fillId="0" borderId="9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5" fillId="6" borderId="9" xfId="0" applyFont="1" applyFill="1" applyBorder="1"/>
    <xf numFmtId="0" fontId="15" fillId="6" borderId="9" xfId="0" applyFont="1" applyFill="1" applyBorder="1" applyAlignment="1">
      <alignment wrapText="1"/>
    </xf>
    <xf numFmtId="0" fontId="16" fillId="5" borderId="9" xfId="0" applyFont="1" applyFill="1" applyBorder="1" applyAlignment="1">
      <alignment horizontal="center"/>
    </xf>
    <xf numFmtId="0" fontId="18" fillId="5" borderId="9" xfId="0" applyFont="1" applyFill="1" applyBorder="1" applyAlignment="1">
      <alignment horizontal="center"/>
    </xf>
    <xf numFmtId="0" fontId="17" fillId="5" borderId="9" xfId="0" applyFont="1" applyFill="1" applyBorder="1" applyAlignment="1">
      <alignment horizontal="center"/>
    </xf>
    <xf numFmtId="0" fontId="13" fillId="2" borderId="11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left" vertical="center" wrapText="1"/>
    </xf>
    <xf numFmtId="0" fontId="15" fillId="6" borderId="11" xfId="0" applyFont="1" applyFill="1" applyBorder="1" applyAlignment="1">
      <alignment wrapText="1"/>
    </xf>
    <xf numFmtId="0" fontId="12" fillId="5" borderId="11" xfId="0" applyFont="1" applyFill="1" applyBorder="1" applyAlignment="1">
      <alignment horizontal="left"/>
    </xf>
    <xf numFmtId="0" fontId="12" fillId="0" borderId="11" xfId="0" applyFont="1" applyBorder="1"/>
    <xf numFmtId="0" fontId="12" fillId="6" borderId="11" xfId="0" applyFont="1" applyFill="1" applyBorder="1"/>
    <xf numFmtId="0" fontId="12" fillId="0" borderId="11" xfId="0" applyFont="1" applyBorder="1" applyAlignment="1">
      <alignment horizontal="center"/>
    </xf>
    <xf numFmtId="14" fontId="12" fillId="0" borderId="11" xfId="0" applyNumberFormat="1" applyFont="1" applyBorder="1"/>
    <xf numFmtId="0" fontId="12" fillId="6" borderId="11" xfId="0" applyFont="1" applyFill="1" applyBorder="1" applyAlignment="1">
      <alignment wrapText="1"/>
    </xf>
    <xf numFmtId="0" fontId="14" fillId="3" borderId="11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wrapText="1"/>
    </xf>
    <xf numFmtId="0" fontId="12" fillId="6" borderId="11" xfId="0" applyFont="1" applyFill="1" applyBorder="1" applyAlignment="1">
      <alignment horizontal="left"/>
    </xf>
    <xf numFmtId="14" fontId="12" fillId="5" borderId="11" xfId="0" applyNumberFormat="1" applyFont="1" applyFill="1" applyBorder="1" applyAlignment="1">
      <alignment horizontal="left"/>
    </xf>
    <xf numFmtId="164" fontId="12" fillId="5" borderId="11" xfId="0" applyNumberFormat="1" applyFont="1" applyFill="1" applyBorder="1" applyAlignment="1">
      <alignment horizontal="left"/>
    </xf>
    <xf numFmtId="14" fontId="12" fillId="0" borderId="11" xfId="3" applyNumberFormat="1" applyFont="1" applyFill="1" applyBorder="1" applyAlignment="1">
      <alignment horizontal="center"/>
    </xf>
    <xf numFmtId="0" fontId="15" fillId="6" borderId="11" xfId="0" applyFont="1" applyFill="1" applyBorder="1"/>
    <xf numFmtId="0" fontId="19" fillId="6" borderId="11" xfId="0" applyFont="1" applyFill="1" applyBorder="1" applyAlignment="1">
      <alignment horizontal="center" vertical="center" wrapText="1"/>
    </xf>
    <xf numFmtId="0" fontId="5" fillId="6" borderId="9" xfId="0" applyFont="1" applyFill="1" applyBorder="1"/>
    <xf numFmtId="0" fontId="5" fillId="0" borderId="9" xfId="0" applyFont="1" applyBorder="1"/>
    <xf numFmtId="44" fontId="5" fillId="0" borderId="9" xfId="2" applyFont="1" applyBorder="1"/>
    <xf numFmtId="0" fontId="5" fillId="0" borderId="9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14" fontId="5" fillId="0" borderId="9" xfId="0" applyNumberFormat="1" applyFont="1" applyBorder="1" applyAlignment="1">
      <alignment horizontal="center"/>
    </xf>
    <xf numFmtId="0" fontId="5" fillId="6" borderId="9" xfId="0" applyFont="1" applyFill="1" applyBorder="1" applyAlignment="1">
      <alignment wrapText="1"/>
    </xf>
    <xf numFmtId="0" fontId="3" fillId="2" borderId="9" xfId="0" applyFont="1" applyFill="1" applyBorder="1" applyAlignment="1">
      <alignment horizontal="center" vertical="center" wrapText="1"/>
    </xf>
    <xf numFmtId="14" fontId="4" fillId="3" borderId="9" xfId="0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wrapText="1"/>
    </xf>
    <xf numFmtId="0" fontId="5" fillId="5" borderId="9" xfId="0" applyFont="1" applyFill="1" applyBorder="1" applyAlignment="1">
      <alignment horizontal="left"/>
    </xf>
    <xf numFmtId="44" fontId="5" fillId="5" borderId="9" xfId="2" applyFont="1" applyFill="1" applyBorder="1" applyAlignment="1">
      <alignment horizontal="left"/>
    </xf>
    <xf numFmtId="0" fontId="5" fillId="5" borderId="9" xfId="2" applyNumberFormat="1" applyFont="1" applyFill="1" applyBorder="1" applyAlignment="1">
      <alignment horizontal="center"/>
    </xf>
    <xf numFmtId="1" fontId="5" fillId="5" borderId="9" xfId="2" applyNumberFormat="1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14" fontId="5" fillId="5" borderId="9" xfId="0" applyNumberFormat="1" applyFont="1" applyFill="1" applyBorder="1" applyAlignment="1">
      <alignment horizontal="center"/>
    </xf>
    <xf numFmtId="164" fontId="5" fillId="5" borderId="9" xfId="0" applyNumberFormat="1" applyFont="1" applyFill="1" applyBorder="1" applyAlignment="1">
      <alignment horizontal="center"/>
    </xf>
    <xf numFmtId="164" fontId="5" fillId="0" borderId="9" xfId="0" applyNumberFormat="1" applyFont="1" applyBorder="1" applyAlignment="1">
      <alignment horizontal="center"/>
    </xf>
    <xf numFmtId="0" fontId="20" fillId="6" borderId="9" xfId="0" applyFont="1" applyFill="1" applyBorder="1"/>
    <xf numFmtId="0" fontId="20" fillId="6" borderId="9" xfId="0" applyFont="1" applyFill="1" applyBorder="1" applyAlignment="1">
      <alignment wrapText="1"/>
    </xf>
    <xf numFmtId="0" fontId="12" fillId="0" borderId="10" xfId="0" applyFont="1" applyFill="1" applyBorder="1" applyAlignment="1">
      <alignment horizontal="left"/>
    </xf>
    <xf numFmtId="0" fontId="16" fillId="0" borderId="9" xfId="0" applyFont="1" applyFill="1" applyBorder="1" applyAlignment="1">
      <alignment horizontal="center"/>
    </xf>
    <xf numFmtId="0" fontId="17" fillId="0" borderId="9" xfId="0" applyFont="1" applyFill="1" applyBorder="1" applyAlignment="1">
      <alignment horizontal="center"/>
    </xf>
    <xf numFmtId="0" fontId="18" fillId="0" borderId="9" xfId="0" applyFont="1" applyFill="1" applyBorder="1" applyAlignment="1">
      <alignment horizontal="center"/>
    </xf>
    <xf numFmtId="14" fontId="12" fillId="0" borderId="11" xfId="0" applyNumberFormat="1" applyFont="1" applyBorder="1" applyAlignment="1">
      <alignment horizontal="center"/>
    </xf>
    <xf numFmtId="0" fontId="10" fillId="2" borderId="7" xfId="0" applyFont="1" applyFill="1" applyBorder="1" applyAlignment="1" applyProtection="1">
      <alignment horizontal="left" vertical="center" wrapText="1"/>
    </xf>
    <xf numFmtId="0" fontId="10" fillId="2" borderId="7" xfId="0" applyFont="1" applyFill="1" applyBorder="1" applyAlignment="1" applyProtection="1">
      <alignment horizontal="center" vertical="center" wrapText="1"/>
    </xf>
    <xf numFmtId="0" fontId="10" fillId="8" borderId="0" xfId="0" applyFont="1" applyFill="1" applyAlignment="1">
      <alignment horizontal="left" vertical="center" wrapText="1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 applyProtection="1">
      <alignment horizontal="center"/>
    </xf>
    <xf numFmtId="0" fontId="23" fillId="0" borderId="11" xfId="0" applyFont="1" applyFill="1" applyBorder="1" applyAlignment="1">
      <alignment horizontal="center"/>
    </xf>
    <xf numFmtId="2" fontId="12" fillId="0" borderId="11" xfId="0" applyNumberFormat="1" applyFont="1" applyBorder="1" applyAlignment="1">
      <alignment horizontal="center"/>
    </xf>
    <xf numFmtId="2" fontId="14" fillId="4" borderId="11" xfId="0" applyNumberFormat="1" applyFont="1" applyFill="1" applyBorder="1" applyAlignment="1">
      <alignment horizontal="center" vertical="center" wrapText="1"/>
    </xf>
    <xf numFmtId="0" fontId="26" fillId="0" borderId="11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left"/>
    </xf>
    <xf numFmtId="0" fontId="27" fillId="0" borderId="10" xfId="0" applyFont="1" applyFill="1" applyBorder="1" applyAlignment="1">
      <alignment horizontal="left"/>
    </xf>
    <xf numFmtId="0" fontId="23" fillId="0" borderId="9" xfId="0" applyFont="1" applyFill="1" applyBorder="1" applyAlignment="1">
      <alignment horizontal="center"/>
    </xf>
    <xf numFmtId="0" fontId="26" fillId="0" borderId="9" xfId="0" applyFont="1" applyFill="1" applyBorder="1" applyAlignment="1">
      <alignment horizontal="center"/>
    </xf>
    <xf numFmtId="0" fontId="17" fillId="0" borderId="11" xfId="0" applyFont="1" applyFill="1" applyBorder="1" applyAlignment="1">
      <alignment horizontal="center"/>
    </xf>
    <xf numFmtId="0" fontId="12" fillId="6" borderId="9" xfId="0" applyFont="1" applyFill="1" applyBorder="1" applyAlignment="1">
      <alignment horizontal="left"/>
    </xf>
    <xf numFmtId="0" fontId="1" fillId="0" borderId="0" xfId="0" applyFont="1" applyFill="1" applyBorder="1" applyAlignment="1" applyProtection="1">
      <alignment horizontal="left" indent="1"/>
    </xf>
    <xf numFmtId="1" fontId="1" fillId="0" borderId="0" xfId="0" applyNumberFormat="1" applyFont="1" applyFill="1" applyBorder="1" applyAlignment="1" applyProtection="1">
      <alignment horizontal="center"/>
    </xf>
    <xf numFmtId="2" fontId="1" fillId="0" borderId="0" xfId="0" applyNumberFormat="1" applyFont="1" applyFill="1" applyBorder="1" applyAlignment="1" applyProtection="1">
      <alignment horizontal="left" indent="1"/>
    </xf>
    <xf numFmtId="2" fontId="12" fillId="0" borderId="9" xfId="0" applyNumberFormat="1" applyFont="1" applyBorder="1" applyAlignment="1">
      <alignment horizontal="center"/>
    </xf>
    <xf numFmtId="2" fontId="13" fillId="2" borderId="9" xfId="0" applyNumberFormat="1" applyFont="1" applyFill="1" applyBorder="1" applyAlignment="1">
      <alignment horizontal="center" vertical="center" wrapText="1"/>
    </xf>
    <xf numFmtId="2" fontId="12" fillId="5" borderId="9" xfId="0" applyNumberFormat="1" applyFont="1" applyFill="1" applyBorder="1" applyAlignment="1">
      <alignment horizontal="center"/>
    </xf>
    <xf numFmtId="44" fontId="10" fillId="2" borderId="7" xfId="0" applyNumberFormat="1" applyFont="1" applyFill="1" applyBorder="1" applyAlignment="1" applyProtection="1">
      <alignment horizontal="center" vertical="center" wrapText="1"/>
    </xf>
    <xf numFmtId="44" fontId="1" fillId="0" borderId="0" xfId="0" applyNumberFormat="1" applyFont="1" applyFill="1" applyBorder="1" applyAlignment="1" applyProtection="1">
      <alignment horizontal="center"/>
    </xf>
    <xf numFmtId="44" fontId="0" fillId="0" borderId="0" xfId="0" applyNumberFormat="1" applyAlignment="1">
      <alignment horizontal="center"/>
    </xf>
    <xf numFmtId="2" fontId="10" fillId="2" borderId="7" xfId="0" applyNumberFormat="1" applyFont="1" applyFill="1" applyBorder="1" applyAlignment="1" applyProtection="1">
      <alignment horizontal="center" vertical="center" wrapText="1"/>
    </xf>
    <xf numFmtId="2" fontId="0" fillId="0" borderId="0" xfId="0" applyNumberFormat="1" applyAlignment="1">
      <alignment horizontal="center"/>
    </xf>
    <xf numFmtId="1" fontId="10" fillId="2" borderId="7" xfId="0" applyNumberFormat="1" applyFont="1" applyFill="1" applyBorder="1" applyAlignment="1" applyProtection="1">
      <alignment horizontal="center" vertical="center" wrapText="1"/>
    </xf>
    <xf numFmtId="1" fontId="0" fillId="0" borderId="0" xfId="0" applyNumberFormat="1" applyAlignment="1">
      <alignment horizontal="center"/>
    </xf>
    <xf numFmtId="0" fontId="28" fillId="2" borderId="9" xfId="0" applyFont="1" applyFill="1" applyBorder="1" applyAlignment="1">
      <alignment horizontal="left" vertical="center" wrapText="1"/>
    </xf>
    <xf numFmtId="0" fontId="28" fillId="2" borderId="9" xfId="0" applyFont="1" applyFill="1" applyBorder="1" applyAlignment="1">
      <alignment horizontal="center" vertical="center" wrapText="1"/>
    </xf>
    <xf numFmtId="1" fontId="1" fillId="0" borderId="0" xfId="0" applyNumberFormat="1" applyFont="1" applyFill="1" applyBorder="1" applyAlignment="1" applyProtection="1">
      <alignment horizontal="left" indent="1"/>
    </xf>
    <xf numFmtId="2" fontId="12" fillId="5" borderId="9" xfId="0" applyNumberFormat="1" applyFont="1" applyFill="1" applyBorder="1" applyAlignment="1">
      <alignment horizontal="center" vertical="center"/>
    </xf>
    <xf numFmtId="1" fontId="12" fillId="8" borderId="9" xfId="2" applyNumberFormat="1" applyFont="1" applyFill="1" applyBorder="1" applyAlignment="1">
      <alignment horizontal="center"/>
    </xf>
    <xf numFmtId="1" fontId="12" fillId="7" borderId="9" xfId="2" applyNumberFormat="1" applyFont="1" applyFill="1" applyBorder="1" applyAlignment="1">
      <alignment horizontal="center"/>
    </xf>
    <xf numFmtId="0" fontId="12" fillId="0" borderId="11" xfId="0" applyFont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27" fillId="0" borderId="10" xfId="0" applyFont="1" applyFill="1" applyBorder="1" applyAlignment="1">
      <alignment horizontal="center" vertical="center"/>
    </xf>
    <xf numFmtId="0" fontId="29" fillId="0" borderId="0" xfId="0" applyFont="1" applyFill="1" applyBorder="1" applyAlignment="1" applyProtection="1"/>
    <xf numFmtId="2" fontId="29" fillId="0" borderId="0" xfId="0" applyNumberFormat="1" applyFont="1" applyFill="1" applyBorder="1" applyAlignment="1" applyProtection="1"/>
    <xf numFmtId="0" fontId="15" fillId="6" borderId="9" xfId="0" applyFont="1" applyFill="1" applyBorder="1" applyAlignment="1">
      <alignment horizontal="center"/>
    </xf>
    <xf numFmtId="164" fontId="15" fillId="6" borderId="9" xfId="0" applyNumberFormat="1" applyFont="1" applyFill="1" applyBorder="1" applyAlignment="1">
      <alignment horizontal="center"/>
    </xf>
    <xf numFmtId="14" fontId="12" fillId="0" borderId="12" xfId="0" applyNumberFormat="1" applyFont="1" applyBorder="1" applyAlignment="1">
      <alignment horizontal="center"/>
    </xf>
    <xf numFmtId="2" fontId="13" fillId="2" borderId="11" xfId="0" applyNumberFormat="1" applyFont="1" applyFill="1" applyBorder="1" applyAlignment="1">
      <alignment horizontal="center" vertical="center" wrapText="1"/>
    </xf>
    <xf numFmtId="2" fontId="12" fillId="0" borderId="10" xfId="0" applyNumberFormat="1" applyFont="1" applyFill="1" applyBorder="1" applyAlignment="1">
      <alignment horizontal="center" vertical="center"/>
    </xf>
    <xf numFmtId="2" fontId="12" fillId="0" borderId="9" xfId="0" applyNumberFormat="1" applyFont="1" applyFill="1" applyBorder="1" applyAlignment="1">
      <alignment horizontal="center" vertical="center"/>
    </xf>
    <xf numFmtId="0" fontId="15" fillId="6" borderId="13" xfId="0" applyFont="1" applyFill="1" applyBorder="1" applyAlignment="1">
      <alignment horizontal="center"/>
    </xf>
    <xf numFmtId="0" fontId="12" fillId="5" borderId="13" xfId="0" applyFont="1" applyFill="1" applyBorder="1" applyAlignment="1">
      <alignment horizontal="center"/>
    </xf>
    <xf numFmtId="14" fontId="12" fillId="5" borderId="13" xfId="0" applyNumberFormat="1" applyFont="1" applyFill="1" applyBorder="1" applyAlignment="1">
      <alignment horizontal="center"/>
    </xf>
    <xf numFmtId="164" fontId="12" fillId="5" borderId="13" xfId="0" applyNumberFormat="1" applyFont="1" applyFill="1" applyBorder="1" applyAlignment="1">
      <alignment horizontal="center"/>
    </xf>
    <xf numFmtId="164" fontId="15" fillId="6" borderId="13" xfId="0" applyNumberFormat="1" applyFont="1" applyFill="1" applyBorder="1" applyAlignment="1">
      <alignment horizontal="center"/>
    </xf>
    <xf numFmtId="14" fontId="12" fillId="0" borderId="14" xfId="0" applyNumberFormat="1" applyFont="1" applyBorder="1" applyAlignment="1">
      <alignment horizontal="center"/>
    </xf>
    <xf numFmtId="0" fontId="15" fillId="6" borderId="13" xfId="0" applyFont="1" applyFill="1" applyBorder="1"/>
    <xf numFmtId="44" fontId="12" fillId="0" borderId="10" xfId="0" applyNumberFormat="1" applyFont="1" applyFill="1" applyBorder="1" applyAlignment="1">
      <alignment horizontal="center"/>
    </xf>
    <xf numFmtId="1" fontId="13" fillId="2" borderId="11" xfId="0" applyNumberFormat="1" applyFont="1" applyFill="1" applyBorder="1" applyAlignment="1">
      <alignment horizontal="center" wrapText="1"/>
    </xf>
    <xf numFmtId="1" fontId="12" fillId="0" borderId="10" xfId="0" applyNumberFormat="1" applyFont="1" applyFill="1" applyBorder="1" applyAlignment="1">
      <alignment horizontal="center"/>
    </xf>
    <xf numFmtId="44" fontId="12" fillId="0" borderId="11" xfId="0" applyNumberFormat="1" applyFont="1" applyBorder="1" applyAlignment="1">
      <alignment horizontal="center"/>
    </xf>
    <xf numFmtId="1" fontId="12" fillId="0" borderId="11" xfId="0" applyNumberFormat="1" applyFont="1" applyBorder="1" applyAlignment="1">
      <alignment horizontal="center"/>
    </xf>
    <xf numFmtId="0" fontId="13" fillId="2" borderId="11" xfId="0" applyFont="1" applyFill="1" applyBorder="1" applyAlignment="1">
      <alignment horizontal="center" wrapText="1"/>
    </xf>
    <xf numFmtId="0" fontId="12" fillId="0" borderId="10" xfId="0" applyFont="1" applyFill="1" applyBorder="1" applyAlignment="1">
      <alignment horizontal="center"/>
    </xf>
    <xf numFmtId="44" fontId="12" fillId="0" borderId="11" xfId="2" applyFont="1" applyBorder="1" applyAlignment="1">
      <alignment horizontal="center"/>
    </xf>
    <xf numFmtId="14" fontId="12" fillId="0" borderId="11" xfId="3" applyNumberFormat="1" applyFont="1" applyBorder="1" applyAlignment="1">
      <alignment horizontal="left" vertical="center"/>
    </xf>
    <xf numFmtId="14" fontId="21" fillId="0" borderId="11" xfId="3" applyNumberFormat="1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4" fillId="3" borderId="11" xfId="0" applyFont="1" applyFill="1" applyBorder="1" applyAlignment="1">
      <alignment horizontal="left" vertical="center" wrapText="1"/>
    </xf>
    <xf numFmtId="0" fontId="14" fillId="3" borderId="11" xfId="0" applyFont="1" applyFill="1" applyBorder="1" applyAlignment="1">
      <alignment wrapText="1"/>
    </xf>
    <xf numFmtId="0" fontId="12" fillId="0" borderId="11" xfId="0" applyFont="1" applyBorder="1" applyAlignment="1"/>
    <xf numFmtId="14" fontId="12" fillId="0" borderId="11" xfId="3" applyNumberFormat="1" applyFont="1" applyBorder="1" applyAlignment="1"/>
    <xf numFmtId="0" fontId="18" fillId="5" borderId="15" xfId="0" applyFont="1" applyFill="1" applyBorder="1" applyAlignment="1">
      <alignment horizontal="center"/>
    </xf>
    <xf numFmtId="0" fontId="16" fillId="5" borderId="1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</cellXfs>
  <cellStyles count="5">
    <cellStyle name="Hyperlink" xfId="4" xr:uid="{00000000-000B-0000-0000-000008000000}"/>
    <cellStyle name="Moeda" xfId="2" builtinId="4"/>
    <cellStyle name="Normal" xfId="0" builtinId="0"/>
    <cellStyle name="Normal 2" xfId="1" xr:uid="{6DF12FF9-DD0D-4833-B94F-7F01172A9091}"/>
    <cellStyle name="Porcentagem" xfId="3" builtinId="5"/>
  </cellStyles>
  <dxfs count="173"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#"/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#"/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#"/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C000"/>
        <name val="Aptos Narrow"/>
        <family val="2"/>
        <scheme val="minor"/>
      </font>
      <numFmt numFmtId="164" formatCode="#"/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#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#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/>
        <bottom/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Arial"/>
        <family val="2"/>
        <scheme val="none"/>
      </font>
      <numFmt numFmtId="164" formatCode="#"/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4" formatCode="#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4" formatCode="#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relative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 defaultTableStyle="TableStyleMedium2" defaultPivotStyle="PivotStyleLight16">
    <tableStyle name="Página2-style 2" pivot="0" count="3" xr9:uid="{8634C083-1631-48F9-934F-C5107E182A50}">
      <tableStyleElement type="headerRow" dxfId="172"/>
      <tableStyleElement type="firstRowStripe" dxfId="171"/>
      <tableStyleElement type="secondRowStripe" dxfId="170"/>
    </tableStyle>
  </tableStyles>
  <colors>
    <mruColors>
      <color rgb="FFF9A807"/>
      <color rgb="FFFF4F4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mares Dornelas" id="{A04E2784-09EF-45FB-8BC7-3F946133E448}" userId="96dcc0e677748aa2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8EA504-8D36-40F7-B9FA-30E737C38609}" name="Tabela1" displayName="Tabela1" ref="C2:R2174" totalsRowShown="0" headerRowDxfId="169" dataDxfId="167" headerRowBorderDxfId="168" tableBorderDxfId="166" totalsRowBorderDxfId="165">
  <autoFilter ref="C2:R2174" xr:uid="{D188FCE8-D33C-4196-AD58-A9A5A134B3CF}">
    <filterColumn colId="3">
      <filters>
        <filter val="Manu Ditzel"/>
      </filters>
    </filterColumn>
    <filterColumn colId="15">
      <filters>
        <dateGroupItem year="2025" month="12" day="16" dateTimeGrouping="day"/>
      </filters>
    </filterColumn>
  </autoFilter>
  <sortState xmlns:xlrd2="http://schemas.microsoft.com/office/spreadsheetml/2017/richdata2" ref="C3:R2174">
    <sortCondition ref="R2:R2174"/>
  </sortState>
  <tableColumns count="16">
    <tableColumn id="2" xr3:uid="{E146CA34-4B3C-489D-99AA-19AA8A07B633}" name="Nome fantasia" dataDxfId="164"/>
    <tableColumn id="4" xr3:uid="{676F8BE2-BEE3-47D8-8814-CA40C3ECCE35}" name="CNPJ/CPF" dataDxfId="163"/>
    <tableColumn id="7" xr3:uid="{84727DB4-047B-4E71-8C6B-7E94882E6211}" name="Estado" dataDxfId="162"/>
    <tableColumn id="8" xr3:uid="{2F92EC47-AE0E-4C44-9B9D-73606180F94A}" name="Vendedor do último pedido" dataDxfId="161"/>
    <tableColumn id="18" xr3:uid="{E46ECB05-1471-481B-B357-15C29B604578}" name="Data do último pedido" dataDxfId="160"/>
    <tableColumn id="19" xr3:uid="{B90C89B9-07C0-4D7E-86DD-CEF7CBF86580}" name="Valor do último pedido" dataDxfId="159" dataCellStyle="Moeda"/>
    <tableColumn id="20" xr3:uid="{F5615005-6450-46A3-82EB-F68D1212079B}" name="Dias sem comprar" dataDxfId="158" dataCellStyle="Moeda"/>
    <tableColumn id="11" xr3:uid="{86DA76EF-A329-4413-A840-E5FF1813F690}" name="Ciclo médio de compra" dataDxfId="157" dataCellStyle="Moeda"/>
    <tableColumn id="13" xr3:uid="{3224B9A9-2DF0-423E-9E2F-F930CC51DB1D}" name="Situação" dataDxfId="156">
      <calculatedColumnFormula>IF(#REF!="","NOVO",_xlfn.XLOOKUP(TODAY()-#REF!,Regras!$C$3:$C$10,Regras!$D$3:$D$10,,1))</calculatedColumnFormula>
    </tableColumn>
    <tableColumn id="6" xr3:uid="{8310DD97-D557-4C12-8F26-8A9A323D61A1}" name="Coluna1" dataDxfId="155"/>
    <tableColumn id="14" xr3:uid="{07B8A99F-7172-4D12-9BBA-6A869C93DB0E}" name="status " dataDxfId="154">
      <calculatedColumnFormula>IF(OR(J3&lt;=0,J3=""),"","Recompra")</calculatedColumnFormula>
    </tableColumn>
    <tableColumn id="15" xr3:uid="{49023D27-DDD3-4CFA-9562-C77A8AB031B4}" name="ULTIMO CONTATO" dataDxfId="153">
      <calculatedColumnFormula>IFERROR(IF(Tabela1[[#This Row],[Nome fantasia]]="","",_xlfn.XLOOKUP($C3,Log!D:D,Log!B:B,,,-1)),"")</calculatedColumnFormula>
    </tableColumn>
    <tableColumn id="16" xr3:uid="{A6871A05-226B-4D0B-9131-25780340EB06}" name="RESULTADO ATUAL" dataDxfId="152">
      <calculatedColumnFormula>IFERROR(_xlfn.XLOOKUP($C3,Log!D:D,Log!W:W,,,-1),"")</calculatedColumnFormula>
    </tableColumn>
    <tableColumn id="5" xr3:uid="{B3925DD5-E2CB-4E8A-AD8C-1EA8CB1D8C5B}" name="AÇÃO" dataDxfId="151">
      <calculatedColumnFormula>IFERROR(_xlfn.XLOOKUP($C3,Log!D:D,Log!Y:Y,,,-1),"")</calculatedColumnFormula>
    </tableColumn>
    <tableColumn id="3" xr3:uid="{D26AE1BF-0551-4810-87D9-1273972AB78C}" name="Coluna12" dataDxfId="150"/>
    <tableColumn id="1" xr3:uid="{59B73F28-B3EE-458E-A94D-DD60B5200DCA}" name="FOLLOW UP" dataDxfId="149">
      <calculatedColumnFormula>IFERROR(IF(Tabela1[[#This Row],[Nome fantasia]]="","",_xlfn.XLOOKUP($C3,Log!D:D,Log!X:X,,,-1)),"")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952452-11EC-43B6-98CF-E548C3D80102}" name="Tabela13" displayName="Tabela13" ref="C2:T400" totalsRowShown="0" headerRowDxfId="148" dataDxfId="146" headerRowBorderDxfId="147" tableBorderDxfId="145" totalsRowBorderDxfId="144">
  <autoFilter ref="C2:T400" xr:uid="{D188FCE8-D33C-4196-AD58-A9A5A134B3CF}"/>
  <tableColumns count="18">
    <tableColumn id="2" xr3:uid="{65DE0B41-9F82-4DF6-9D87-CC5427BE938F}" name="NOME FANTASIA" dataDxfId="143"/>
    <tableColumn id="4" xr3:uid="{6FEB54E8-9787-4F32-94A6-3C9FC5360D12}" name="CNPJ" dataDxfId="142"/>
    <tableColumn id="7" xr3:uid="{B8F70563-9E2F-49F9-B19E-81D6E0A9C9AA}" name="UF" dataDxfId="141"/>
    <tableColumn id="8" xr3:uid="{8803B1B8-99E9-4B58-BCBD-8C8325F5CE31}" name="VENDEDOR" dataDxfId="140"/>
    <tableColumn id="9" xr3:uid="{64D38180-1A86-4D08-9863-BC051796CD4F}" name="R$ - ULTIMO PEDIDO" dataDxfId="139" dataCellStyle="Moeda"/>
    <tableColumn id="10" xr3:uid="{D25E6CBD-E15A-48B8-B560-6AEFDC380463}" name="DIAS SEM COMPRAR" dataDxfId="138" dataCellStyle="Moeda"/>
    <tableColumn id="11" xr3:uid="{2AD19972-2096-4C56-BD0C-AFDEF9BDB156}" name="CICLO MÉDIO" dataDxfId="137" dataCellStyle="Moeda"/>
    <tableColumn id="12" xr3:uid="{1046537F-E86C-49F7-9E8E-1C23FFE24B6A}" name="DATA ULTIMA VENDA" dataDxfId="136"/>
    <tableColumn id="13" xr3:uid="{C4DAE056-3644-4D83-96DB-FAC5F1465496}" name="STATUS" dataDxfId="135">
      <calculatedColumnFormula>IF(J3="","NOVO",_xlfn.XLOOKUP(TODAY()-J3,Regras!$C$3:$C$10,Regras!$D$3:$D$10,,1))</calculatedColumnFormula>
    </tableColumn>
    <tableColumn id="14" xr3:uid="{CC1C5CD8-EA80-44BD-A2FB-CF63472A30FE}" name="SITUAÇÃO  ATUAL" dataDxfId="134">
      <calculatedColumnFormula>IF(OR(I3&lt;=0,I3=""),"","Recompra")</calculatedColumnFormula>
    </tableColumn>
    <tableColumn id="15" xr3:uid="{87E6E7EE-A794-42A6-BB55-5D8D51AE4E9B}" name="ULTIMO CONTATO" dataDxfId="133">
      <calculatedColumnFormula>IFERROR(IF(Tabela13[[#This Row],[NOME FANTASIA]]="","",_xlfn.XLOOKUP($C3,Log!D:D,Log!B:B,,,-1)),"")</calculatedColumnFormula>
    </tableColumn>
    <tableColumn id="16" xr3:uid="{A7BE209C-C308-4A0F-939D-255156E1CBBF}" name="RESULTADO ATUAL" dataDxfId="132">
      <calculatedColumnFormula>IFERROR(_xlfn.XLOOKUP($C3,Log!D:D,Log!W:W,,,-1),"")</calculatedColumnFormula>
    </tableColumn>
    <tableColumn id="5" xr3:uid="{AF8C19FC-F55B-4966-8B69-C0F47A85B3F7}" name="AÇÃO" dataDxfId="131">
      <calculatedColumnFormula>IFERROR(_xlfn.XLOOKUP($C3,Log!D:D,Log!Y:Y,,,-1),"")</calculatedColumnFormula>
    </tableColumn>
    <tableColumn id="3" xr3:uid="{4988EC5C-A316-4C1E-803E-F1C93B27B23D}" name="Coluna1" dataDxfId="130"/>
    <tableColumn id="1" xr3:uid="{890B4AD8-F152-47D6-AA70-7421CBB5A16E}" name="FOLLOW UP" dataDxfId="129">
      <calculatedColumnFormula>IFERROR(IF(Tabela13[[#This Row],[NOME FANTASIA]]="","",_xlfn.XLOOKUP($C3,Log!D:D,Log!X:X,,,-1)),"")</calculatedColumnFormula>
    </tableColumn>
    <tableColumn id="17" xr3:uid="{199A93A4-9AF3-4F07-95DA-D92053955C04}" name="NÃO ATENDE" dataDxfId="128">
      <calculatedColumnFormula>COUNTIFS(Log!$D:$D,'Base Novos Clientes'!$C3,Log!$W:$W,'Base Novos Clientes'!R$2)</calculatedColumnFormula>
    </tableColumn>
    <tableColumn id="18" xr3:uid="{75F6D890-1FA7-4DCE-9334-F9D7BCF1EC6A}" name="RECUSOU LIGAÇÃO" dataDxfId="127">
      <calculatedColumnFormula>COUNTIFS(Log!$D:$D,'Base Novos Clientes'!$C3,Log!$W:$W,'Base Novos Clientes'!S$2)</calculatedColumnFormula>
    </tableColumn>
    <tableColumn id="19" xr3:uid="{6CB470CB-5A28-4176-9592-E4A8B34A7C33}" name="NÃO RESPONDE" dataDxfId="126">
      <calculatedColumnFormula>COUNTIFS(Log!$D:$D,'Base Novos Clientes'!$C3,Log!$W:$W,'Base Novos Clientes'!T$2)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6" dT="2025-08-18T18:44:19.07" personId="{A04E2784-09EF-45FB-8BC7-3F946133E448}" id="{4F0B7786-B12C-4C24-9FF9-20B52F319D7E}">
    <text xml:space="preserve">SOLICITAR ALTERAÇÃO DE CADASTRO - INATIVAÇÃO
</text>
  </threadedComment>
  <threadedComment ref="T6" dT="2025-08-18T18:44:28.32" personId="{A04E2784-09EF-45FB-8BC7-3F946133E448}" id="{59E9D25F-468F-4044-8B08-8D59130F78D3}">
    <text xml:space="preserve">NOVO CONTATO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mercos.com/399424/clientes/55846044/" TargetMode="External"/><Relationship Id="rId2" Type="http://schemas.openxmlformats.org/officeDocument/2006/relationships/hyperlink" Target="https://app.mercos.com/399424/clientes/56025650/" TargetMode="External"/><Relationship Id="rId1" Type="http://schemas.openxmlformats.org/officeDocument/2006/relationships/hyperlink" Target="https://app.mercos.com/399424/clientes/54327325/" TargetMode="Externa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.mercos.com/399424/clientes/50475316/" TargetMode="External"/><Relationship Id="rId18" Type="http://schemas.openxmlformats.org/officeDocument/2006/relationships/hyperlink" Target="https://app.mercos.com/399424/clientes/47574158/" TargetMode="External"/><Relationship Id="rId26" Type="http://schemas.openxmlformats.org/officeDocument/2006/relationships/hyperlink" Target="https://app.mercos.com/399424/clientes/56898763/" TargetMode="External"/><Relationship Id="rId3" Type="http://schemas.openxmlformats.org/officeDocument/2006/relationships/hyperlink" Target="https://app.mercos.com/399424/clientes/52760148/" TargetMode="External"/><Relationship Id="rId21" Type="http://schemas.openxmlformats.org/officeDocument/2006/relationships/hyperlink" Target="https://app.mercos.com/399424/clientes/51991263/" TargetMode="External"/><Relationship Id="rId7" Type="http://schemas.openxmlformats.org/officeDocument/2006/relationships/hyperlink" Target="https://app.mercos.com/399424/clientes/50752073/" TargetMode="External"/><Relationship Id="rId12" Type="http://schemas.openxmlformats.org/officeDocument/2006/relationships/hyperlink" Target="https://app.mercos.com/399424/clientes/47574189/" TargetMode="External"/><Relationship Id="rId17" Type="http://schemas.openxmlformats.org/officeDocument/2006/relationships/hyperlink" Target="https://app.mercos.com/399424/clientes/47574467/" TargetMode="External"/><Relationship Id="rId25" Type="http://schemas.openxmlformats.org/officeDocument/2006/relationships/hyperlink" Target="https://app.mercos.com/399424/clientes/56898763/" TargetMode="External"/><Relationship Id="rId33" Type="http://schemas.openxmlformats.org/officeDocument/2006/relationships/comments" Target="../comments1.xml"/><Relationship Id="rId2" Type="http://schemas.openxmlformats.org/officeDocument/2006/relationships/hyperlink" Target="https://app.mercos.com/399424/clientes/51056182/" TargetMode="External"/><Relationship Id="rId16" Type="http://schemas.openxmlformats.org/officeDocument/2006/relationships/hyperlink" Target="https://app.mercos.com/399424/clientes/54915617/" TargetMode="External"/><Relationship Id="rId20" Type="http://schemas.openxmlformats.org/officeDocument/2006/relationships/hyperlink" Target="https://app.mercos.com/399424/clientes/53497244/" TargetMode="External"/><Relationship Id="rId29" Type="http://schemas.openxmlformats.org/officeDocument/2006/relationships/hyperlink" Target="https://app.mercos.com/399424/clientes/53133272/" TargetMode="External"/><Relationship Id="rId1" Type="http://schemas.openxmlformats.org/officeDocument/2006/relationships/hyperlink" Target="https://app.mercos.com/399424/clientes/56025650/" TargetMode="External"/><Relationship Id="rId6" Type="http://schemas.openxmlformats.org/officeDocument/2006/relationships/hyperlink" Target="https://app.mercos.com/399424/clientes/51056250/" TargetMode="External"/><Relationship Id="rId11" Type="http://schemas.openxmlformats.org/officeDocument/2006/relationships/hyperlink" Target="https://app.mercos.com/399424/clientes/56574906/" TargetMode="External"/><Relationship Id="rId24" Type="http://schemas.openxmlformats.org/officeDocument/2006/relationships/hyperlink" Target="https://app.mercos.com/399424/clientes/52604766/" TargetMode="External"/><Relationship Id="rId32" Type="http://schemas.openxmlformats.org/officeDocument/2006/relationships/vmlDrawing" Target="../drawings/vmlDrawing1.vml"/><Relationship Id="rId5" Type="http://schemas.openxmlformats.org/officeDocument/2006/relationships/hyperlink" Target="https://app.mercos.com/399424/clientes/55846044/" TargetMode="External"/><Relationship Id="rId15" Type="http://schemas.openxmlformats.org/officeDocument/2006/relationships/hyperlink" Target="https://app.mercos.com/399424/clientes/53133272/" TargetMode="External"/><Relationship Id="rId23" Type="http://schemas.openxmlformats.org/officeDocument/2006/relationships/hyperlink" Target="https://app.mercos.com/399424/clientes/58136695/" TargetMode="External"/><Relationship Id="rId28" Type="http://schemas.openxmlformats.org/officeDocument/2006/relationships/hyperlink" Target="https://app.mercos.com/399424/clientes/52345696/" TargetMode="External"/><Relationship Id="rId10" Type="http://schemas.openxmlformats.org/officeDocument/2006/relationships/hyperlink" Target="https://app.mercos.com/399424/clientes/56574906/" TargetMode="External"/><Relationship Id="rId19" Type="http://schemas.openxmlformats.org/officeDocument/2006/relationships/hyperlink" Target="https://app.mercos.com/399424/clientes/47573428/" TargetMode="External"/><Relationship Id="rId31" Type="http://schemas.openxmlformats.org/officeDocument/2006/relationships/printerSettings" Target="../printerSettings/printerSettings2.bin"/><Relationship Id="rId4" Type="http://schemas.openxmlformats.org/officeDocument/2006/relationships/hyperlink" Target="https://app.mercos.com/399424/clientes/54327325/" TargetMode="External"/><Relationship Id="rId9" Type="http://schemas.openxmlformats.org/officeDocument/2006/relationships/hyperlink" Target="https://app.mercos.com/399424/clientes/47574498/" TargetMode="External"/><Relationship Id="rId14" Type="http://schemas.openxmlformats.org/officeDocument/2006/relationships/hyperlink" Target="https://app.mercos.com/399424/clientes/56619830/" TargetMode="External"/><Relationship Id="rId22" Type="http://schemas.openxmlformats.org/officeDocument/2006/relationships/hyperlink" Target="https://app.mercos.com/399424/clientes/56239454/" TargetMode="External"/><Relationship Id="rId27" Type="http://schemas.openxmlformats.org/officeDocument/2006/relationships/hyperlink" Target="https://app.mercos.com/399424/clientes/52345696/" TargetMode="External"/><Relationship Id="rId30" Type="http://schemas.openxmlformats.org/officeDocument/2006/relationships/hyperlink" Target="https://app.mercos.com/399424/clientes/53133272/" TargetMode="External"/><Relationship Id="rId8" Type="http://schemas.openxmlformats.org/officeDocument/2006/relationships/hyperlink" Target="https://app.mercos.com/399424/clientes/50752073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33083-9187-4B10-B310-CF90BE9D8B66}">
  <dimension ref="A1:M2125"/>
  <sheetViews>
    <sheetView topLeftCell="A2084" workbookViewId="0">
      <selection activeCell="A350" sqref="A350:I2125"/>
    </sheetView>
  </sheetViews>
  <sheetFormatPr defaultRowHeight="12.75" x14ac:dyDescent="0.2"/>
  <cols>
    <col min="1" max="1" width="31" customWidth="1"/>
    <col min="2" max="2" width="22.7109375" style="115" customWidth="1"/>
    <col min="3" max="3" width="9.85546875" customWidth="1"/>
    <col min="4" max="4" width="23.42578125" style="20" customWidth="1"/>
    <col min="5" max="5" width="18.7109375" style="20" bestFit="1" customWidth="1"/>
    <col min="6" max="6" width="20.28515625" style="113" customWidth="1"/>
    <col min="7" max="7" width="16" style="117" bestFit="1" customWidth="1"/>
    <col min="8" max="8" width="15.85546875" style="117" customWidth="1"/>
    <col min="9" max="9" width="17.42578125" style="20" customWidth="1"/>
    <col min="10" max="10" width="2.28515625" style="21" customWidth="1"/>
    <col min="11" max="11" width="70.140625" bestFit="1" customWidth="1"/>
    <col min="12" max="12" width="41.7109375" bestFit="1" customWidth="1"/>
    <col min="13" max="13" width="29.140625" bestFit="1" customWidth="1"/>
    <col min="254" max="254" width="52.7109375" customWidth="1"/>
    <col min="255" max="255" width="20.140625" customWidth="1"/>
    <col min="256" max="256" width="70.140625" bestFit="1" customWidth="1"/>
    <col min="257" max="257" width="41.7109375" bestFit="1" customWidth="1"/>
    <col min="258" max="258" width="29.140625" bestFit="1" customWidth="1"/>
    <col min="259" max="259" width="6.7109375" bestFit="1" customWidth="1"/>
    <col min="260" max="260" width="18.7109375" bestFit="1" customWidth="1"/>
    <col min="261" max="261" width="23" bestFit="1" customWidth="1"/>
    <col min="262" max="262" width="19.28515625" bestFit="1" customWidth="1"/>
    <col min="263" max="263" width="16" bestFit="1" customWidth="1"/>
    <col min="264" max="264" width="20" bestFit="1" customWidth="1"/>
    <col min="265" max="265" width="12.85546875" bestFit="1" customWidth="1"/>
    <col min="510" max="510" width="52.7109375" customWidth="1"/>
    <col min="511" max="511" width="20.140625" customWidth="1"/>
    <col min="512" max="512" width="70.140625" bestFit="1" customWidth="1"/>
    <col min="513" max="513" width="41.7109375" bestFit="1" customWidth="1"/>
    <col min="514" max="514" width="29.140625" bestFit="1" customWidth="1"/>
    <col min="515" max="515" width="6.7109375" bestFit="1" customWidth="1"/>
    <col min="516" max="516" width="18.7109375" bestFit="1" customWidth="1"/>
    <col min="517" max="517" width="23" bestFit="1" customWidth="1"/>
    <col min="518" max="518" width="19.28515625" bestFit="1" customWidth="1"/>
    <col min="519" max="519" width="16" bestFit="1" customWidth="1"/>
    <col min="520" max="520" width="20" bestFit="1" customWidth="1"/>
    <col min="521" max="521" width="12.85546875" bestFit="1" customWidth="1"/>
    <col min="766" max="766" width="52.7109375" customWidth="1"/>
    <col min="767" max="767" width="20.140625" customWidth="1"/>
    <col min="768" max="768" width="70.140625" bestFit="1" customWidth="1"/>
    <col min="769" max="769" width="41.7109375" bestFit="1" customWidth="1"/>
    <col min="770" max="770" width="29.140625" bestFit="1" customWidth="1"/>
    <col min="771" max="771" width="6.7109375" bestFit="1" customWidth="1"/>
    <col min="772" max="772" width="18.7109375" bestFit="1" customWidth="1"/>
    <col min="773" max="773" width="23" bestFit="1" customWidth="1"/>
    <col min="774" max="774" width="19.28515625" bestFit="1" customWidth="1"/>
    <col min="775" max="775" width="16" bestFit="1" customWidth="1"/>
    <col min="776" max="776" width="20" bestFit="1" customWidth="1"/>
    <col min="777" max="777" width="12.85546875" bestFit="1" customWidth="1"/>
    <col min="1022" max="1022" width="52.7109375" customWidth="1"/>
    <col min="1023" max="1023" width="20.140625" customWidth="1"/>
    <col min="1024" max="1024" width="70.140625" bestFit="1" customWidth="1"/>
    <col min="1025" max="1025" width="41.7109375" bestFit="1" customWidth="1"/>
    <col min="1026" max="1026" width="29.140625" bestFit="1" customWidth="1"/>
    <col min="1027" max="1027" width="6.7109375" bestFit="1" customWidth="1"/>
    <col min="1028" max="1028" width="18.7109375" bestFit="1" customWidth="1"/>
    <col min="1029" max="1029" width="23" bestFit="1" customWidth="1"/>
    <col min="1030" max="1030" width="19.28515625" bestFit="1" customWidth="1"/>
    <col min="1031" max="1031" width="16" bestFit="1" customWidth="1"/>
    <col min="1032" max="1032" width="20" bestFit="1" customWidth="1"/>
    <col min="1033" max="1033" width="12.85546875" bestFit="1" customWidth="1"/>
    <col min="1278" max="1278" width="52.7109375" customWidth="1"/>
    <col min="1279" max="1279" width="20.140625" customWidth="1"/>
    <col min="1280" max="1280" width="70.140625" bestFit="1" customWidth="1"/>
    <col min="1281" max="1281" width="41.7109375" bestFit="1" customWidth="1"/>
    <col min="1282" max="1282" width="29.140625" bestFit="1" customWidth="1"/>
    <col min="1283" max="1283" width="6.7109375" bestFit="1" customWidth="1"/>
    <col min="1284" max="1284" width="18.7109375" bestFit="1" customWidth="1"/>
    <col min="1285" max="1285" width="23" bestFit="1" customWidth="1"/>
    <col min="1286" max="1286" width="19.28515625" bestFit="1" customWidth="1"/>
    <col min="1287" max="1287" width="16" bestFit="1" customWidth="1"/>
    <col min="1288" max="1288" width="20" bestFit="1" customWidth="1"/>
    <col min="1289" max="1289" width="12.85546875" bestFit="1" customWidth="1"/>
    <col min="1534" max="1534" width="52.7109375" customWidth="1"/>
    <col min="1535" max="1535" width="20.140625" customWidth="1"/>
    <col min="1536" max="1536" width="70.140625" bestFit="1" customWidth="1"/>
    <col min="1537" max="1537" width="41.7109375" bestFit="1" customWidth="1"/>
    <col min="1538" max="1538" width="29.140625" bestFit="1" customWidth="1"/>
    <col min="1539" max="1539" width="6.7109375" bestFit="1" customWidth="1"/>
    <col min="1540" max="1540" width="18.7109375" bestFit="1" customWidth="1"/>
    <col min="1541" max="1541" width="23" bestFit="1" customWidth="1"/>
    <col min="1542" max="1542" width="19.28515625" bestFit="1" customWidth="1"/>
    <col min="1543" max="1543" width="16" bestFit="1" customWidth="1"/>
    <col min="1544" max="1544" width="20" bestFit="1" customWidth="1"/>
    <col min="1545" max="1545" width="12.85546875" bestFit="1" customWidth="1"/>
    <col min="1790" max="1790" width="52.7109375" customWidth="1"/>
    <col min="1791" max="1791" width="20.140625" customWidth="1"/>
    <col min="1792" max="1792" width="70.140625" bestFit="1" customWidth="1"/>
    <col min="1793" max="1793" width="41.7109375" bestFit="1" customWidth="1"/>
    <col min="1794" max="1794" width="29.140625" bestFit="1" customWidth="1"/>
    <col min="1795" max="1795" width="6.7109375" bestFit="1" customWidth="1"/>
    <col min="1796" max="1796" width="18.7109375" bestFit="1" customWidth="1"/>
    <col min="1797" max="1797" width="23" bestFit="1" customWidth="1"/>
    <col min="1798" max="1798" width="19.28515625" bestFit="1" customWidth="1"/>
    <col min="1799" max="1799" width="16" bestFit="1" customWidth="1"/>
    <col min="1800" max="1800" width="20" bestFit="1" customWidth="1"/>
    <col min="1801" max="1801" width="12.85546875" bestFit="1" customWidth="1"/>
    <col min="2046" max="2046" width="52.7109375" customWidth="1"/>
    <col min="2047" max="2047" width="20.140625" customWidth="1"/>
    <col min="2048" max="2048" width="70.140625" bestFit="1" customWidth="1"/>
    <col min="2049" max="2049" width="41.7109375" bestFit="1" customWidth="1"/>
    <col min="2050" max="2050" width="29.140625" bestFit="1" customWidth="1"/>
    <col min="2051" max="2051" width="6.7109375" bestFit="1" customWidth="1"/>
    <col min="2052" max="2052" width="18.7109375" bestFit="1" customWidth="1"/>
    <col min="2053" max="2053" width="23" bestFit="1" customWidth="1"/>
    <col min="2054" max="2054" width="19.28515625" bestFit="1" customWidth="1"/>
    <col min="2055" max="2055" width="16" bestFit="1" customWidth="1"/>
    <col min="2056" max="2056" width="20" bestFit="1" customWidth="1"/>
    <col min="2057" max="2057" width="12.85546875" bestFit="1" customWidth="1"/>
    <col min="2302" max="2302" width="52.7109375" customWidth="1"/>
    <col min="2303" max="2303" width="20.140625" customWidth="1"/>
    <col min="2304" max="2304" width="70.140625" bestFit="1" customWidth="1"/>
    <col min="2305" max="2305" width="41.7109375" bestFit="1" customWidth="1"/>
    <col min="2306" max="2306" width="29.140625" bestFit="1" customWidth="1"/>
    <col min="2307" max="2307" width="6.7109375" bestFit="1" customWidth="1"/>
    <col min="2308" max="2308" width="18.7109375" bestFit="1" customWidth="1"/>
    <col min="2309" max="2309" width="23" bestFit="1" customWidth="1"/>
    <col min="2310" max="2310" width="19.28515625" bestFit="1" customWidth="1"/>
    <col min="2311" max="2311" width="16" bestFit="1" customWidth="1"/>
    <col min="2312" max="2312" width="20" bestFit="1" customWidth="1"/>
    <col min="2313" max="2313" width="12.85546875" bestFit="1" customWidth="1"/>
    <col min="2558" max="2558" width="52.7109375" customWidth="1"/>
    <col min="2559" max="2559" width="20.140625" customWidth="1"/>
    <col min="2560" max="2560" width="70.140625" bestFit="1" customWidth="1"/>
    <col min="2561" max="2561" width="41.7109375" bestFit="1" customWidth="1"/>
    <col min="2562" max="2562" width="29.140625" bestFit="1" customWidth="1"/>
    <col min="2563" max="2563" width="6.7109375" bestFit="1" customWidth="1"/>
    <col min="2564" max="2564" width="18.7109375" bestFit="1" customWidth="1"/>
    <col min="2565" max="2565" width="23" bestFit="1" customWidth="1"/>
    <col min="2566" max="2566" width="19.28515625" bestFit="1" customWidth="1"/>
    <col min="2567" max="2567" width="16" bestFit="1" customWidth="1"/>
    <col min="2568" max="2568" width="20" bestFit="1" customWidth="1"/>
    <col min="2569" max="2569" width="12.85546875" bestFit="1" customWidth="1"/>
    <col min="2814" max="2814" width="52.7109375" customWidth="1"/>
    <col min="2815" max="2815" width="20.140625" customWidth="1"/>
    <col min="2816" max="2816" width="70.140625" bestFit="1" customWidth="1"/>
    <col min="2817" max="2817" width="41.7109375" bestFit="1" customWidth="1"/>
    <col min="2818" max="2818" width="29.140625" bestFit="1" customWidth="1"/>
    <col min="2819" max="2819" width="6.7109375" bestFit="1" customWidth="1"/>
    <col min="2820" max="2820" width="18.7109375" bestFit="1" customWidth="1"/>
    <col min="2821" max="2821" width="23" bestFit="1" customWidth="1"/>
    <col min="2822" max="2822" width="19.28515625" bestFit="1" customWidth="1"/>
    <col min="2823" max="2823" width="16" bestFit="1" customWidth="1"/>
    <col min="2824" max="2824" width="20" bestFit="1" customWidth="1"/>
    <col min="2825" max="2825" width="12.85546875" bestFit="1" customWidth="1"/>
    <col min="3070" max="3070" width="52.7109375" customWidth="1"/>
    <col min="3071" max="3071" width="20.140625" customWidth="1"/>
    <col min="3072" max="3072" width="70.140625" bestFit="1" customWidth="1"/>
    <col min="3073" max="3073" width="41.7109375" bestFit="1" customWidth="1"/>
    <col min="3074" max="3074" width="29.140625" bestFit="1" customWidth="1"/>
    <col min="3075" max="3075" width="6.7109375" bestFit="1" customWidth="1"/>
    <col min="3076" max="3076" width="18.7109375" bestFit="1" customWidth="1"/>
    <col min="3077" max="3077" width="23" bestFit="1" customWidth="1"/>
    <col min="3078" max="3078" width="19.28515625" bestFit="1" customWidth="1"/>
    <col min="3079" max="3079" width="16" bestFit="1" customWidth="1"/>
    <col min="3080" max="3080" width="20" bestFit="1" customWidth="1"/>
    <col min="3081" max="3081" width="12.85546875" bestFit="1" customWidth="1"/>
    <col min="3326" max="3326" width="52.7109375" customWidth="1"/>
    <col min="3327" max="3327" width="20.140625" customWidth="1"/>
    <col min="3328" max="3328" width="70.140625" bestFit="1" customWidth="1"/>
    <col min="3329" max="3329" width="41.7109375" bestFit="1" customWidth="1"/>
    <col min="3330" max="3330" width="29.140625" bestFit="1" customWidth="1"/>
    <col min="3331" max="3331" width="6.7109375" bestFit="1" customWidth="1"/>
    <col min="3332" max="3332" width="18.7109375" bestFit="1" customWidth="1"/>
    <col min="3333" max="3333" width="23" bestFit="1" customWidth="1"/>
    <col min="3334" max="3334" width="19.28515625" bestFit="1" customWidth="1"/>
    <col min="3335" max="3335" width="16" bestFit="1" customWidth="1"/>
    <col min="3336" max="3336" width="20" bestFit="1" customWidth="1"/>
    <col min="3337" max="3337" width="12.85546875" bestFit="1" customWidth="1"/>
    <col min="3582" max="3582" width="52.7109375" customWidth="1"/>
    <col min="3583" max="3583" width="20.140625" customWidth="1"/>
    <col min="3584" max="3584" width="70.140625" bestFit="1" customWidth="1"/>
    <col min="3585" max="3585" width="41.7109375" bestFit="1" customWidth="1"/>
    <col min="3586" max="3586" width="29.140625" bestFit="1" customWidth="1"/>
    <col min="3587" max="3587" width="6.7109375" bestFit="1" customWidth="1"/>
    <col min="3588" max="3588" width="18.7109375" bestFit="1" customWidth="1"/>
    <col min="3589" max="3589" width="23" bestFit="1" customWidth="1"/>
    <col min="3590" max="3590" width="19.28515625" bestFit="1" customWidth="1"/>
    <col min="3591" max="3591" width="16" bestFit="1" customWidth="1"/>
    <col min="3592" max="3592" width="20" bestFit="1" customWidth="1"/>
    <col min="3593" max="3593" width="12.85546875" bestFit="1" customWidth="1"/>
    <col min="3838" max="3838" width="52.7109375" customWidth="1"/>
    <col min="3839" max="3839" width="20.140625" customWidth="1"/>
    <col min="3840" max="3840" width="70.140625" bestFit="1" customWidth="1"/>
    <col min="3841" max="3841" width="41.7109375" bestFit="1" customWidth="1"/>
    <col min="3842" max="3842" width="29.140625" bestFit="1" customWidth="1"/>
    <col min="3843" max="3843" width="6.7109375" bestFit="1" customWidth="1"/>
    <col min="3844" max="3844" width="18.7109375" bestFit="1" customWidth="1"/>
    <col min="3845" max="3845" width="23" bestFit="1" customWidth="1"/>
    <col min="3846" max="3846" width="19.28515625" bestFit="1" customWidth="1"/>
    <col min="3847" max="3847" width="16" bestFit="1" customWidth="1"/>
    <col min="3848" max="3848" width="20" bestFit="1" customWidth="1"/>
    <col min="3849" max="3849" width="12.85546875" bestFit="1" customWidth="1"/>
    <col min="4094" max="4094" width="52.7109375" customWidth="1"/>
    <col min="4095" max="4095" width="20.140625" customWidth="1"/>
    <col min="4096" max="4096" width="70.140625" bestFit="1" customWidth="1"/>
    <col min="4097" max="4097" width="41.7109375" bestFit="1" customWidth="1"/>
    <col min="4098" max="4098" width="29.140625" bestFit="1" customWidth="1"/>
    <col min="4099" max="4099" width="6.7109375" bestFit="1" customWidth="1"/>
    <col min="4100" max="4100" width="18.7109375" bestFit="1" customWidth="1"/>
    <col min="4101" max="4101" width="23" bestFit="1" customWidth="1"/>
    <col min="4102" max="4102" width="19.28515625" bestFit="1" customWidth="1"/>
    <col min="4103" max="4103" width="16" bestFit="1" customWidth="1"/>
    <col min="4104" max="4104" width="20" bestFit="1" customWidth="1"/>
    <col min="4105" max="4105" width="12.85546875" bestFit="1" customWidth="1"/>
    <col min="4350" max="4350" width="52.7109375" customWidth="1"/>
    <col min="4351" max="4351" width="20.140625" customWidth="1"/>
    <col min="4352" max="4352" width="70.140625" bestFit="1" customWidth="1"/>
    <col min="4353" max="4353" width="41.7109375" bestFit="1" customWidth="1"/>
    <col min="4354" max="4354" width="29.140625" bestFit="1" customWidth="1"/>
    <col min="4355" max="4355" width="6.7109375" bestFit="1" customWidth="1"/>
    <col min="4356" max="4356" width="18.7109375" bestFit="1" customWidth="1"/>
    <col min="4357" max="4357" width="23" bestFit="1" customWidth="1"/>
    <col min="4358" max="4358" width="19.28515625" bestFit="1" customWidth="1"/>
    <col min="4359" max="4359" width="16" bestFit="1" customWidth="1"/>
    <col min="4360" max="4360" width="20" bestFit="1" customWidth="1"/>
    <col min="4361" max="4361" width="12.85546875" bestFit="1" customWidth="1"/>
    <col min="4606" max="4606" width="52.7109375" customWidth="1"/>
    <col min="4607" max="4607" width="20.140625" customWidth="1"/>
    <col min="4608" max="4608" width="70.140625" bestFit="1" customWidth="1"/>
    <col min="4609" max="4609" width="41.7109375" bestFit="1" customWidth="1"/>
    <col min="4610" max="4610" width="29.140625" bestFit="1" customWidth="1"/>
    <col min="4611" max="4611" width="6.7109375" bestFit="1" customWidth="1"/>
    <col min="4612" max="4612" width="18.7109375" bestFit="1" customWidth="1"/>
    <col min="4613" max="4613" width="23" bestFit="1" customWidth="1"/>
    <col min="4614" max="4614" width="19.28515625" bestFit="1" customWidth="1"/>
    <col min="4615" max="4615" width="16" bestFit="1" customWidth="1"/>
    <col min="4616" max="4616" width="20" bestFit="1" customWidth="1"/>
    <col min="4617" max="4617" width="12.85546875" bestFit="1" customWidth="1"/>
    <col min="4862" max="4862" width="52.7109375" customWidth="1"/>
    <col min="4863" max="4863" width="20.140625" customWidth="1"/>
    <col min="4864" max="4864" width="70.140625" bestFit="1" customWidth="1"/>
    <col min="4865" max="4865" width="41.7109375" bestFit="1" customWidth="1"/>
    <col min="4866" max="4866" width="29.140625" bestFit="1" customWidth="1"/>
    <col min="4867" max="4867" width="6.7109375" bestFit="1" customWidth="1"/>
    <col min="4868" max="4868" width="18.7109375" bestFit="1" customWidth="1"/>
    <col min="4869" max="4869" width="23" bestFit="1" customWidth="1"/>
    <col min="4870" max="4870" width="19.28515625" bestFit="1" customWidth="1"/>
    <col min="4871" max="4871" width="16" bestFit="1" customWidth="1"/>
    <col min="4872" max="4872" width="20" bestFit="1" customWidth="1"/>
    <col min="4873" max="4873" width="12.85546875" bestFit="1" customWidth="1"/>
    <col min="5118" max="5118" width="52.7109375" customWidth="1"/>
    <col min="5119" max="5119" width="20.140625" customWidth="1"/>
    <col min="5120" max="5120" width="70.140625" bestFit="1" customWidth="1"/>
    <col min="5121" max="5121" width="41.7109375" bestFit="1" customWidth="1"/>
    <col min="5122" max="5122" width="29.140625" bestFit="1" customWidth="1"/>
    <col min="5123" max="5123" width="6.7109375" bestFit="1" customWidth="1"/>
    <col min="5124" max="5124" width="18.7109375" bestFit="1" customWidth="1"/>
    <col min="5125" max="5125" width="23" bestFit="1" customWidth="1"/>
    <col min="5126" max="5126" width="19.28515625" bestFit="1" customWidth="1"/>
    <col min="5127" max="5127" width="16" bestFit="1" customWidth="1"/>
    <col min="5128" max="5128" width="20" bestFit="1" customWidth="1"/>
    <col min="5129" max="5129" width="12.85546875" bestFit="1" customWidth="1"/>
    <col min="5374" max="5374" width="52.7109375" customWidth="1"/>
    <col min="5375" max="5375" width="20.140625" customWidth="1"/>
    <col min="5376" max="5376" width="70.140625" bestFit="1" customWidth="1"/>
    <col min="5377" max="5377" width="41.7109375" bestFit="1" customWidth="1"/>
    <col min="5378" max="5378" width="29.140625" bestFit="1" customWidth="1"/>
    <col min="5379" max="5379" width="6.7109375" bestFit="1" customWidth="1"/>
    <col min="5380" max="5380" width="18.7109375" bestFit="1" customWidth="1"/>
    <col min="5381" max="5381" width="23" bestFit="1" customWidth="1"/>
    <col min="5382" max="5382" width="19.28515625" bestFit="1" customWidth="1"/>
    <col min="5383" max="5383" width="16" bestFit="1" customWidth="1"/>
    <col min="5384" max="5384" width="20" bestFit="1" customWidth="1"/>
    <col min="5385" max="5385" width="12.85546875" bestFit="1" customWidth="1"/>
    <col min="5630" max="5630" width="52.7109375" customWidth="1"/>
    <col min="5631" max="5631" width="20.140625" customWidth="1"/>
    <col min="5632" max="5632" width="70.140625" bestFit="1" customWidth="1"/>
    <col min="5633" max="5633" width="41.7109375" bestFit="1" customWidth="1"/>
    <col min="5634" max="5634" width="29.140625" bestFit="1" customWidth="1"/>
    <col min="5635" max="5635" width="6.7109375" bestFit="1" customWidth="1"/>
    <col min="5636" max="5636" width="18.7109375" bestFit="1" customWidth="1"/>
    <col min="5637" max="5637" width="23" bestFit="1" customWidth="1"/>
    <col min="5638" max="5638" width="19.28515625" bestFit="1" customWidth="1"/>
    <col min="5639" max="5639" width="16" bestFit="1" customWidth="1"/>
    <col min="5640" max="5640" width="20" bestFit="1" customWidth="1"/>
    <col min="5641" max="5641" width="12.85546875" bestFit="1" customWidth="1"/>
    <col min="5886" max="5886" width="52.7109375" customWidth="1"/>
    <col min="5887" max="5887" width="20.140625" customWidth="1"/>
    <col min="5888" max="5888" width="70.140625" bestFit="1" customWidth="1"/>
    <col min="5889" max="5889" width="41.7109375" bestFit="1" customWidth="1"/>
    <col min="5890" max="5890" width="29.140625" bestFit="1" customWidth="1"/>
    <col min="5891" max="5891" width="6.7109375" bestFit="1" customWidth="1"/>
    <col min="5892" max="5892" width="18.7109375" bestFit="1" customWidth="1"/>
    <col min="5893" max="5893" width="23" bestFit="1" customWidth="1"/>
    <col min="5894" max="5894" width="19.28515625" bestFit="1" customWidth="1"/>
    <col min="5895" max="5895" width="16" bestFit="1" customWidth="1"/>
    <col min="5896" max="5896" width="20" bestFit="1" customWidth="1"/>
    <col min="5897" max="5897" width="12.85546875" bestFit="1" customWidth="1"/>
    <col min="6142" max="6142" width="52.7109375" customWidth="1"/>
    <col min="6143" max="6143" width="20.140625" customWidth="1"/>
    <col min="6144" max="6144" width="70.140625" bestFit="1" customWidth="1"/>
    <col min="6145" max="6145" width="41.7109375" bestFit="1" customWidth="1"/>
    <col min="6146" max="6146" width="29.140625" bestFit="1" customWidth="1"/>
    <col min="6147" max="6147" width="6.7109375" bestFit="1" customWidth="1"/>
    <col min="6148" max="6148" width="18.7109375" bestFit="1" customWidth="1"/>
    <col min="6149" max="6149" width="23" bestFit="1" customWidth="1"/>
    <col min="6150" max="6150" width="19.28515625" bestFit="1" customWidth="1"/>
    <col min="6151" max="6151" width="16" bestFit="1" customWidth="1"/>
    <col min="6152" max="6152" width="20" bestFit="1" customWidth="1"/>
    <col min="6153" max="6153" width="12.85546875" bestFit="1" customWidth="1"/>
    <col min="6398" max="6398" width="52.7109375" customWidth="1"/>
    <col min="6399" max="6399" width="20.140625" customWidth="1"/>
    <col min="6400" max="6400" width="70.140625" bestFit="1" customWidth="1"/>
    <col min="6401" max="6401" width="41.7109375" bestFit="1" customWidth="1"/>
    <col min="6402" max="6402" width="29.140625" bestFit="1" customWidth="1"/>
    <col min="6403" max="6403" width="6.7109375" bestFit="1" customWidth="1"/>
    <col min="6404" max="6404" width="18.7109375" bestFit="1" customWidth="1"/>
    <col min="6405" max="6405" width="23" bestFit="1" customWidth="1"/>
    <col min="6406" max="6406" width="19.28515625" bestFit="1" customWidth="1"/>
    <col min="6407" max="6407" width="16" bestFit="1" customWidth="1"/>
    <col min="6408" max="6408" width="20" bestFit="1" customWidth="1"/>
    <col min="6409" max="6409" width="12.85546875" bestFit="1" customWidth="1"/>
    <col min="6654" max="6654" width="52.7109375" customWidth="1"/>
    <col min="6655" max="6655" width="20.140625" customWidth="1"/>
    <col min="6656" max="6656" width="70.140625" bestFit="1" customWidth="1"/>
    <col min="6657" max="6657" width="41.7109375" bestFit="1" customWidth="1"/>
    <col min="6658" max="6658" width="29.140625" bestFit="1" customWidth="1"/>
    <col min="6659" max="6659" width="6.7109375" bestFit="1" customWidth="1"/>
    <col min="6660" max="6660" width="18.7109375" bestFit="1" customWidth="1"/>
    <col min="6661" max="6661" width="23" bestFit="1" customWidth="1"/>
    <col min="6662" max="6662" width="19.28515625" bestFit="1" customWidth="1"/>
    <col min="6663" max="6663" width="16" bestFit="1" customWidth="1"/>
    <col min="6664" max="6664" width="20" bestFit="1" customWidth="1"/>
    <col min="6665" max="6665" width="12.85546875" bestFit="1" customWidth="1"/>
    <col min="6910" max="6910" width="52.7109375" customWidth="1"/>
    <col min="6911" max="6911" width="20.140625" customWidth="1"/>
    <col min="6912" max="6912" width="70.140625" bestFit="1" customWidth="1"/>
    <col min="6913" max="6913" width="41.7109375" bestFit="1" customWidth="1"/>
    <col min="6914" max="6914" width="29.140625" bestFit="1" customWidth="1"/>
    <col min="6915" max="6915" width="6.7109375" bestFit="1" customWidth="1"/>
    <col min="6916" max="6916" width="18.7109375" bestFit="1" customWidth="1"/>
    <col min="6917" max="6917" width="23" bestFit="1" customWidth="1"/>
    <col min="6918" max="6918" width="19.28515625" bestFit="1" customWidth="1"/>
    <col min="6919" max="6919" width="16" bestFit="1" customWidth="1"/>
    <col min="6920" max="6920" width="20" bestFit="1" customWidth="1"/>
    <col min="6921" max="6921" width="12.85546875" bestFit="1" customWidth="1"/>
    <col min="7166" max="7166" width="52.7109375" customWidth="1"/>
    <col min="7167" max="7167" width="20.140625" customWidth="1"/>
    <col min="7168" max="7168" width="70.140625" bestFit="1" customWidth="1"/>
    <col min="7169" max="7169" width="41.7109375" bestFit="1" customWidth="1"/>
    <col min="7170" max="7170" width="29.140625" bestFit="1" customWidth="1"/>
    <col min="7171" max="7171" width="6.7109375" bestFit="1" customWidth="1"/>
    <col min="7172" max="7172" width="18.7109375" bestFit="1" customWidth="1"/>
    <col min="7173" max="7173" width="23" bestFit="1" customWidth="1"/>
    <col min="7174" max="7174" width="19.28515625" bestFit="1" customWidth="1"/>
    <col min="7175" max="7175" width="16" bestFit="1" customWidth="1"/>
    <col min="7176" max="7176" width="20" bestFit="1" customWidth="1"/>
    <col min="7177" max="7177" width="12.85546875" bestFit="1" customWidth="1"/>
    <col min="7422" max="7422" width="52.7109375" customWidth="1"/>
    <col min="7423" max="7423" width="20.140625" customWidth="1"/>
    <col min="7424" max="7424" width="70.140625" bestFit="1" customWidth="1"/>
    <col min="7425" max="7425" width="41.7109375" bestFit="1" customWidth="1"/>
    <col min="7426" max="7426" width="29.140625" bestFit="1" customWidth="1"/>
    <col min="7427" max="7427" width="6.7109375" bestFit="1" customWidth="1"/>
    <col min="7428" max="7428" width="18.7109375" bestFit="1" customWidth="1"/>
    <col min="7429" max="7429" width="23" bestFit="1" customWidth="1"/>
    <col min="7430" max="7430" width="19.28515625" bestFit="1" customWidth="1"/>
    <col min="7431" max="7431" width="16" bestFit="1" customWidth="1"/>
    <col min="7432" max="7432" width="20" bestFit="1" customWidth="1"/>
    <col min="7433" max="7433" width="12.85546875" bestFit="1" customWidth="1"/>
    <col min="7678" max="7678" width="52.7109375" customWidth="1"/>
    <col min="7679" max="7679" width="20.140625" customWidth="1"/>
    <col min="7680" max="7680" width="70.140625" bestFit="1" customWidth="1"/>
    <col min="7681" max="7681" width="41.7109375" bestFit="1" customWidth="1"/>
    <col min="7682" max="7682" width="29.140625" bestFit="1" customWidth="1"/>
    <col min="7683" max="7683" width="6.7109375" bestFit="1" customWidth="1"/>
    <col min="7684" max="7684" width="18.7109375" bestFit="1" customWidth="1"/>
    <col min="7685" max="7685" width="23" bestFit="1" customWidth="1"/>
    <col min="7686" max="7686" width="19.28515625" bestFit="1" customWidth="1"/>
    <col min="7687" max="7687" width="16" bestFit="1" customWidth="1"/>
    <col min="7688" max="7688" width="20" bestFit="1" customWidth="1"/>
    <col min="7689" max="7689" width="12.85546875" bestFit="1" customWidth="1"/>
    <col min="7934" max="7934" width="52.7109375" customWidth="1"/>
    <col min="7935" max="7935" width="20.140625" customWidth="1"/>
    <col min="7936" max="7936" width="70.140625" bestFit="1" customWidth="1"/>
    <col min="7937" max="7937" width="41.7109375" bestFit="1" customWidth="1"/>
    <col min="7938" max="7938" width="29.140625" bestFit="1" customWidth="1"/>
    <col min="7939" max="7939" width="6.7109375" bestFit="1" customWidth="1"/>
    <col min="7940" max="7940" width="18.7109375" bestFit="1" customWidth="1"/>
    <col min="7941" max="7941" width="23" bestFit="1" customWidth="1"/>
    <col min="7942" max="7942" width="19.28515625" bestFit="1" customWidth="1"/>
    <col min="7943" max="7943" width="16" bestFit="1" customWidth="1"/>
    <col min="7944" max="7944" width="20" bestFit="1" customWidth="1"/>
    <col min="7945" max="7945" width="12.85546875" bestFit="1" customWidth="1"/>
    <col min="8190" max="8190" width="52.7109375" customWidth="1"/>
    <col min="8191" max="8191" width="20.140625" customWidth="1"/>
    <col min="8192" max="8192" width="70.140625" bestFit="1" customWidth="1"/>
    <col min="8193" max="8193" width="41.7109375" bestFit="1" customWidth="1"/>
    <col min="8194" max="8194" width="29.140625" bestFit="1" customWidth="1"/>
    <col min="8195" max="8195" width="6.7109375" bestFit="1" customWidth="1"/>
    <col min="8196" max="8196" width="18.7109375" bestFit="1" customWidth="1"/>
    <col min="8197" max="8197" width="23" bestFit="1" customWidth="1"/>
    <col min="8198" max="8198" width="19.28515625" bestFit="1" customWidth="1"/>
    <col min="8199" max="8199" width="16" bestFit="1" customWidth="1"/>
    <col min="8200" max="8200" width="20" bestFit="1" customWidth="1"/>
    <col min="8201" max="8201" width="12.85546875" bestFit="1" customWidth="1"/>
    <col min="8446" max="8446" width="52.7109375" customWidth="1"/>
    <col min="8447" max="8447" width="20.140625" customWidth="1"/>
    <col min="8448" max="8448" width="70.140625" bestFit="1" customWidth="1"/>
    <col min="8449" max="8449" width="41.7109375" bestFit="1" customWidth="1"/>
    <col min="8450" max="8450" width="29.140625" bestFit="1" customWidth="1"/>
    <col min="8451" max="8451" width="6.7109375" bestFit="1" customWidth="1"/>
    <col min="8452" max="8452" width="18.7109375" bestFit="1" customWidth="1"/>
    <col min="8453" max="8453" width="23" bestFit="1" customWidth="1"/>
    <col min="8454" max="8454" width="19.28515625" bestFit="1" customWidth="1"/>
    <col min="8455" max="8455" width="16" bestFit="1" customWidth="1"/>
    <col min="8456" max="8456" width="20" bestFit="1" customWidth="1"/>
    <col min="8457" max="8457" width="12.85546875" bestFit="1" customWidth="1"/>
    <col min="8702" max="8702" width="52.7109375" customWidth="1"/>
    <col min="8703" max="8703" width="20.140625" customWidth="1"/>
    <col min="8704" max="8704" width="70.140625" bestFit="1" customWidth="1"/>
    <col min="8705" max="8705" width="41.7109375" bestFit="1" customWidth="1"/>
    <col min="8706" max="8706" width="29.140625" bestFit="1" customWidth="1"/>
    <col min="8707" max="8707" width="6.7109375" bestFit="1" customWidth="1"/>
    <col min="8708" max="8708" width="18.7109375" bestFit="1" customWidth="1"/>
    <col min="8709" max="8709" width="23" bestFit="1" customWidth="1"/>
    <col min="8710" max="8710" width="19.28515625" bestFit="1" customWidth="1"/>
    <col min="8711" max="8711" width="16" bestFit="1" customWidth="1"/>
    <col min="8712" max="8712" width="20" bestFit="1" customWidth="1"/>
    <col min="8713" max="8713" width="12.85546875" bestFit="1" customWidth="1"/>
    <col min="8958" max="8958" width="52.7109375" customWidth="1"/>
    <col min="8959" max="8959" width="20.140625" customWidth="1"/>
    <col min="8960" max="8960" width="70.140625" bestFit="1" customWidth="1"/>
    <col min="8961" max="8961" width="41.7109375" bestFit="1" customWidth="1"/>
    <col min="8962" max="8962" width="29.140625" bestFit="1" customWidth="1"/>
    <col min="8963" max="8963" width="6.7109375" bestFit="1" customWidth="1"/>
    <col min="8964" max="8964" width="18.7109375" bestFit="1" customWidth="1"/>
    <col min="8965" max="8965" width="23" bestFit="1" customWidth="1"/>
    <col min="8966" max="8966" width="19.28515625" bestFit="1" customWidth="1"/>
    <col min="8967" max="8967" width="16" bestFit="1" customWidth="1"/>
    <col min="8968" max="8968" width="20" bestFit="1" customWidth="1"/>
    <col min="8969" max="8969" width="12.85546875" bestFit="1" customWidth="1"/>
    <col min="9214" max="9214" width="52.7109375" customWidth="1"/>
    <col min="9215" max="9215" width="20.140625" customWidth="1"/>
    <col min="9216" max="9216" width="70.140625" bestFit="1" customWidth="1"/>
    <col min="9217" max="9217" width="41.7109375" bestFit="1" customWidth="1"/>
    <col min="9218" max="9218" width="29.140625" bestFit="1" customWidth="1"/>
    <col min="9219" max="9219" width="6.7109375" bestFit="1" customWidth="1"/>
    <col min="9220" max="9220" width="18.7109375" bestFit="1" customWidth="1"/>
    <col min="9221" max="9221" width="23" bestFit="1" customWidth="1"/>
    <col min="9222" max="9222" width="19.28515625" bestFit="1" customWidth="1"/>
    <col min="9223" max="9223" width="16" bestFit="1" customWidth="1"/>
    <col min="9224" max="9224" width="20" bestFit="1" customWidth="1"/>
    <col min="9225" max="9225" width="12.85546875" bestFit="1" customWidth="1"/>
    <col min="9470" max="9470" width="52.7109375" customWidth="1"/>
    <col min="9471" max="9471" width="20.140625" customWidth="1"/>
    <col min="9472" max="9472" width="70.140625" bestFit="1" customWidth="1"/>
    <col min="9473" max="9473" width="41.7109375" bestFit="1" customWidth="1"/>
    <col min="9474" max="9474" width="29.140625" bestFit="1" customWidth="1"/>
    <col min="9475" max="9475" width="6.7109375" bestFit="1" customWidth="1"/>
    <col min="9476" max="9476" width="18.7109375" bestFit="1" customWidth="1"/>
    <col min="9477" max="9477" width="23" bestFit="1" customWidth="1"/>
    <col min="9478" max="9478" width="19.28515625" bestFit="1" customWidth="1"/>
    <col min="9479" max="9479" width="16" bestFit="1" customWidth="1"/>
    <col min="9480" max="9480" width="20" bestFit="1" customWidth="1"/>
    <col min="9481" max="9481" width="12.85546875" bestFit="1" customWidth="1"/>
    <col min="9726" max="9726" width="52.7109375" customWidth="1"/>
    <col min="9727" max="9727" width="20.140625" customWidth="1"/>
    <col min="9728" max="9728" width="70.140625" bestFit="1" customWidth="1"/>
    <col min="9729" max="9729" width="41.7109375" bestFit="1" customWidth="1"/>
    <col min="9730" max="9730" width="29.140625" bestFit="1" customWidth="1"/>
    <col min="9731" max="9731" width="6.7109375" bestFit="1" customWidth="1"/>
    <col min="9732" max="9732" width="18.7109375" bestFit="1" customWidth="1"/>
    <col min="9733" max="9733" width="23" bestFit="1" customWidth="1"/>
    <col min="9734" max="9734" width="19.28515625" bestFit="1" customWidth="1"/>
    <col min="9735" max="9735" width="16" bestFit="1" customWidth="1"/>
    <col min="9736" max="9736" width="20" bestFit="1" customWidth="1"/>
    <col min="9737" max="9737" width="12.85546875" bestFit="1" customWidth="1"/>
    <col min="9982" max="9982" width="52.7109375" customWidth="1"/>
    <col min="9983" max="9983" width="20.140625" customWidth="1"/>
    <col min="9984" max="9984" width="70.140625" bestFit="1" customWidth="1"/>
    <col min="9985" max="9985" width="41.7109375" bestFit="1" customWidth="1"/>
    <col min="9986" max="9986" width="29.140625" bestFit="1" customWidth="1"/>
    <col min="9987" max="9987" width="6.7109375" bestFit="1" customWidth="1"/>
    <col min="9988" max="9988" width="18.7109375" bestFit="1" customWidth="1"/>
    <col min="9989" max="9989" width="23" bestFit="1" customWidth="1"/>
    <col min="9990" max="9990" width="19.28515625" bestFit="1" customWidth="1"/>
    <col min="9991" max="9991" width="16" bestFit="1" customWidth="1"/>
    <col min="9992" max="9992" width="20" bestFit="1" customWidth="1"/>
    <col min="9993" max="9993" width="12.85546875" bestFit="1" customWidth="1"/>
    <col min="10238" max="10238" width="52.7109375" customWidth="1"/>
    <col min="10239" max="10239" width="20.140625" customWidth="1"/>
    <col min="10240" max="10240" width="70.140625" bestFit="1" customWidth="1"/>
    <col min="10241" max="10241" width="41.7109375" bestFit="1" customWidth="1"/>
    <col min="10242" max="10242" width="29.140625" bestFit="1" customWidth="1"/>
    <col min="10243" max="10243" width="6.7109375" bestFit="1" customWidth="1"/>
    <col min="10244" max="10244" width="18.7109375" bestFit="1" customWidth="1"/>
    <col min="10245" max="10245" width="23" bestFit="1" customWidth="1"/>
    <col min="10246" max="10246" width="19.28515625" bestFit="1" customWidth="1"/>
    <col min="10247" max="10247" width="16" bestFit="1" customWidth="1"/>
    <col min="10248" max="10248" width="20" bestFit="1" customWidth="1"/>
    <col min="10249" max="10249" width="12.85546875" bestFit="1" customWidth="1"/>
    <col min="10494" max="10494" width="52.7109375" customWidth="1"/>
    <col min="10495" max="10495" width="20.140625" customWidth="1"/>
    <col min="10496" max="10496" width="70.140625" bestFit="1" customWidth="1"/>
    <col min="10497" max="10497" width="41.7109375" bestFit="1" customWidth="1"/>
    <col min="10498" max="10498" width="29.140625" bestFit="1" customWidth="1"/>
    <col min="10499" max="10499" width="6.7109375" bestFit="1" customWidth="1"/>
    <col min="10500" max="10500" width="18.7109375" bestFit="1" customWidth="1"/>
    <col min="10501" max="10501" width="23" bestFit="1" customWidth="1"/>
    <col min="10502" max="10502" width="19.28515625" bestFit="1" customWidth="1"/>
    <col min="10503" max="10503" width="16" bestFit="1" customWidth="1"/>
    <col min="10504" max="10504" width="20" bestFit="1" customWidth="1"/>
    <col min="10505" max="10505" width="12.85546875" bestFit="1" customWidth="1"/>
    <col min="10750" max="10750" width="52.7109375" customWidth="1"/>
    <col min="10751" max="10751" width="20.140625" customWidth="1"/>
    <col min="10752" max="10752" width="70.140625" bestFit="1" customWidth="1"/>
    <col min="10753" max="10753" width="41.7109375" bestFit="1" customWidth="1"/>
    <col min="10754" max="10754" width="29.140625" bestFit="1" customWidth="1"/>
    <col min="10755" max="10755" width="6.7109375" bestFit="1" customWidth="1"/>
    <col min="10756" max="10756" width="18.7109375" bestFit="1" customWidth="1"/>
    <col min="10757" max="10757" width="23" bestFit="1" customWidth="1"/>
    <col min="10758" max="10758" width="19.28515625" bestFit="1" customWidth="1"/>
    <col min="10759" max="10759" width="16" bestFit="1" customWidth="1"/>
    <col min="10760" max="10760" width="20" bestFit="1" customWidth="1"/>
    <col min="10761" max="10761" width="12.85546875" bestFit="1" customWidth="1"/>
    <col min="11006" max="11006" width="52.7109375" customWidth="1"/>
    <col min="11007" max="11007" width="20.140625" customWidth="1"/>
    <col min="11008" max="11008" width="70.140625" bestFit="1" customWidth="1"/>
    <col min="11009" max="11009" width="41.7109375" bestFit="1" customWidth="1"/>
    <col min="11010" max="11010" width="29.140625" bestFit="1" customWidth="1"/>
    <col min="11011" max="11011" width="6.7109375" bestFit="1" customWidth="1"/>
    <col min="11012" max="11012" width="18.7109375" bestFit="1" customWidth="1"/>
    <col min="11013" max="11013" width="23" bestFit="1" customWidth="1"/>
    <col min="11014" max="11014" width="19.28515625" bestFit="1" customWidth="1"/>
    <col min="11015" max="11015" width="16" bestFit="1" customWidth="1"/>
    <col min="11016" max="11016" width="20" bestFit="1" customWidth="1"/>
    <col min="11017" max="11017" width="12.85546875" bestFit="1" customWidth="1"/>
    <col min="11262" max="11262" width="52.7109375" customWidth="1"/>
    <col min="11263" max="11263" width="20.140625" customWidth="1"/>
    <col min="11264" max="11264" width="70.140625" bestFit="1" customWidth="1"/>
    <col min="11265" max="11265" width="41.7109375" bestFit="1" customWidth="1"/>
    <col min="11266" max="11266" width="29.140625" bestFit="1" customWidth="1"/>
    <col min="11267" max="11267" width="6.7109375" bestFit="1" customWidth="1"/>
    <col min="11268" max="11268" width="18.7109375" bestFit="1" customWidth="1"/>
    <col min="11269" max="11269" width="23" bestFit="1" customWidth="1"/>
    <col min="11270" max="11270" width="19.28515625" bestFit="1" customWidth="1"/>
    <col min="11271" max="11271" width="16" bestFit="1" customWidth="1"/>
    <col min="11272" max="11272" width="20" bestFit="1" customWidth="1"/>
    <col min="11273" max="11273" width="12.85546875" bestFit="1" customWidth="1"/>
    <col min="11518" max="11518" width="52.7109375" customWidth="1"/>
    <col min="11519" max="11519" width="20.140625" customWidth="1"/>
    <col min="11520" max="11520" width="70.140625" bestFit="1" customWidth="1"/>
    <col min="11521" max="11521" width="41.7109375" bestFit="1" customWidth="1"/>
    <col min="11522" max="11522" width="29.140625" bestFit="1" customWidth="1"/>
    <col min="11523" max="11523" width="6.7109375" bestFit="1" customWidth="1"/>
    <col min="11524" max="11524" width="18.7109375" bestFit="1" customWidth="1"/>
    <col min="11525" max="11525" width="23" bestFit="1" customWidth="1"/>
    <col min="11526" max="11526" width="19.28515625" bestFit="1" customWidth="1"/>
    <col min="11527" max="11527" width="16" bestFit="1" customWidth="1"/>
    <col min="11528" max="11528" width="20" bestFit="1" customWidth="1"/>
    <col min="11529" max="11529" width="12.85546875" bestFit="1" customWidth="1"/>
    <col min="11774" max="11774" width="52.7109375" customWidth="1"/>
    <col min="11775" max="11775" width="20.140625" customWidth="1"/>
    <col min="11776" max="11776" width="70.140625" bestFit="1" customWidth="1"/>
    <col min="11777" max="11777" width="41.7109375" bestFit="1" customWidth="1"/>
    <col min="11778" max="11778" width="29.140625" bestFit="1" customWidth="1"/>
    <col min="11779" max="11779" width="6.7109375" bestFit="1" customWidth="1"/>
    <col min="11780" max="11780" width="18.7109375" bestFit="1" customWidth="1"/>
    <col min="11781" max="11781" width="23" bestFit="1" customWidth="1"/>
    <col min="11782" max="11782" width="19.28515625" bestFit="1" customWidth="1"/>
    <col min="11783" max="11783" width="16" bestFit="1" customWidth="1"/>
    <col min="11784" max="11784" width="20" bestFit="1" customWidth="1"/>
    <col min="11785" max="11785" width="12.85546875" bestFit="1" customWidth="1"/>
    <col min="12030" max="12030" width="52.7109375" customWidth="1"/>
    <col min="12031" max="12031" width="20.140625" customWidth="1"/>
    <col min="12032" max="12032" width="70.140625" bestFit="1" customWidth="1"/>
    <col min="12033" max="12033" width="41.7109375" bestFit="1" customWidth="1"/>
    <col min="12034" max="12034" width="29.140625" bestFit="1" customWidth="1"/>
    <col min="12035" max="12035" width="6.7109375" bestFit="1" customWidth="1"/>
    <col min="12036" max="12036" width="18.7109375" bestFit="1" customWidth="1"/>
    <col min="12037" max="12037" width="23" bestFit="1" customWidth="1"/>
    <col min="12038" max="12038" width="19.28515625" bestFit="1" customWidth="1"/>
    <col min="12039" max="12039" width="16" bestFit="1" customWidth="1"/>
    <col min="12040" max="12040" width="20" bestFit="1" customWidth="1"/>
    <col min="12041" max="12041" width="12.85546875" bestFit="1" customWidth="1"/>
    <col min="12286" max="12286" width="52.7109375" customWidth="1"/>
    <col min="12287" max="12287" width="20.140625" customWidth="1"/>
    <col min="12288" max="12288" width="70.140625" bestFit="1" customWidth="1"/>
    <col min="12289" max="12289" width="41.7109375" bestFit="1" customWidth="1"/>
    <col min="12290" max="12290" width="29.140625" bestFit="1" customWidth="1"/>
    <col min="12291" max="12291" width="6.7109375" bestFit="1" customWidth="1"/>
    <col min="12292" max="12292" width="18.7109375" bestFit="1" customWidth="1"/>
    <col min="12293" max="12293" width="23" bestFit="1" customWidth="1"/>
    <col min="12294" max="12294" width="19.28515625" bestFit="1" customWidth="1"/>
    <col min="12295" max="12295" width="16" bestFit="1" customWidth="1"/>
    <col min="12296" max="12296" width="20" bestFit="1" customWidth="1"/>
    <col min="12297" max="12297" width="12.85546875" bestFit="1" customWidth="1"/>
    <col min="12542" max="12542" width="52.7109375" customWidth="1"/>
    <col min="12543" max="12543" width="20.140625" customWidth="1"/>
    <col min="12544" max="12544" width="70.140625" bestFit="1" customWidth="1"/>
    <col min="12545" max="12545" width="41.7109375" bestFit="1" customWidth="1"/>
    <col min="12546" max="12546" width="29.140625" bestFit="1" customWidth="1"/>
    <col min="12547" max="12547" width="6.7109375" bestFit="1" customWidth="1"/>
    <col min="12548" max="12548" width="18.7109375" bestFit="1" customWidth="1"/>
    <col min="12549" max="12549" width="23" bestFit="1" customWidth="1"/>
    <col min="12550" max="12550" width="19.28515625" bestFit="1" customWidth="1"/>
    <col min="12551" max="12551" width="16" bestFit="1" customWidth="1"/>
    <col min="12552" max="12552" width="20" bestFit="1" customWidth="1"/>
    <col min="12553" max="12553" width="12.85546875" bestFit="1" customWidth="1"/>
    <col min="12798" max="12798" width="52.7109375" customWidth="1"/>
    <col min="12799" max="12799" width="20.140625" customWidth="1"/>
    <col min="12800" max="12800" width="70.140625" bestFit="1" customWidth="1"/>
    <col min="12801" max="12801" width="41.7109375" bestFit="1" customWidth="1"/>
    <col min="12802" max="12802" width="29.140625" bestFit="1" customWidth="1"/>
    <col min="12803" max="12803" width="6.7109375" bestFit="1" customWidth="1"/>
    <col min="12804" max="12804" width="18.7109375" bestFit="1" customWidth="1"/>
    <col min="12805" max="12805" width="23" bestFit="1" customWidth="1"/>
    <col min="12806" max="12806" width="19.28515625" bestFit="1" customWidth="1"/>
    <col min="12807" max="12807" width="16" bestFit="1" customWidth="1"/>
    <col min="12808" max="12808" width="20" bestFit="1" customWidth="1"/>
    <col min="12809" max="12809" width="12.85546875" bestFit="1" customWidth="1"/>
    <col min="13054" max="13054" width="52.7109375" customWidth="1"/>
    <col min="13055" max="13055" width="20.140625" customWidth="1"/>
    <col min="13056" max="13056" width="70.140625" bestFit="1" customWidth="1"/>
    <col min="13057" max="13057" width="41.7109375" bestFit="1" customWidth="1"/>
    <col min="13058" max="13058" width="29.140625" bestFit="1" customWidth="1"/>
    <col min="13059" max="13059" width="6.7109375" bestFit="1" customWidth="1"/>
    <col min="13060" max="13060" width="18.7109375" bestFit="1" customWidth="1"/>
    <col min="13061" max="13061" width="23" bestFit="1" customWidth="1"/>
    <col min="13062" max="13062" width="19.28515625" bestFit="1" customWidth="1"/>
    <col min="13063" max="13063" width="16" bestFit="1" customWidth="1"/>
    <col min="13064" max="13064" width="20" bestFit="1" customWidth="1"/>
    <col min="13065" max="13065" width="12.85546875" bestFit="1" customWidth="1"/>
    <col min="13310" max="13310" width="52.7109375" customWidth="1"/>
    <col min="13311" max="13311" width="20.140625" customWidth="1"/>
    <col min="13312" max="13312" width="70.140625" bestFit="1" customWidth="1"/>
    <col min="13313" max="13313" width="41.7109375" bestFit="1" customWidth="1"/>
    <col min="13314" max="13314" width="29.140625" bestFit="1" customWidth="1"/>
    <col min="13315" max="13315" width="6.7109375" bestFit="1" customWidth="1"/>
    <col min="13316" max="13316" width="18.7109375" bestFit="1" customWidth="1"/>
    <col min="13317" max="13317" width="23" bestFit="1" customWidth="1"/>
    <col min="13318" max="13318" width="19.28515625" bestFit="1" customWidth="1"/>
    <col min="13319" max="13319" width="16" bestFit="1" customWidth="1"/>
    <col min="13320" max="13320" width="20" bestFit="1" customWidth="1"/>
    <col min="13321" max="13321" width="12.85546875" bestFit="1" customWidth="1"/>
    <col min="13566" max="13566" width="52.7109375" customWidth="1"/>
    <col min="13567" max="13567" width="20.140625" customWidth="1"/>
    <col min="13568" max="13568" width="70.140625" bestFit="1" customWidth="1"/>
    <col min="13569" max="13569" width="41.7109375" bestFit="1" customWidth="1"/>
    <col min="13570" max="13570" width="29.140625" bestFit="1" customWidth="1"/>
    <col min="13571" max="13571" width="6.7109375" bestFit="1" customWidth="1"/>
    <col min="13572" max="13572" width="18.7109375" bestFit="1" customWidth="1"/>
    <col min="13573" max="13573" width="23" bestFit="1" customWidth="1"/>
    <col min="13574" max="13574" width="19.28515625" bestFit="1" customWidth="1"/>
    <col min="13575" max="13575" width="16" bestFit="1" customWidth="1"/>
    <col min="13576" max="13576" width="20" bestFit="1" customWidth="1"/>
    <col min="13577" max="13577" width="12.85546875" bestFit="1" customWidth="1"/>
    <col min="13822" max="13822" width="52.7109375" customWidth="1"/>
    <col min="13823" max="13823" width="20.140625" customWidth="1"/>
    <col min="13824" max="13824" width="70.140625" bestFit="1" customWidth="1"/>
    <col min="13825" max="13825" width="41.7109375" bestFit="1" customWidth="1"/>
    <col min="13826" max="13826" width="29.140625" bestFit="1" customWidth="1"/>
    <col min="13827" max="13827" width="6.7109375" bestFit="1" customWidth="1"/>
    <col min="13828" max="13828" width="18.7109375" bestFit="1" customWidth="1"/>
    <col min="13829" max="13829" width="23" bestFit="1" customWidth="1"/>
    <col min="13830" max="13830" width="19.28515625" bestFit="1" customWidth="1"/>
    <col min="13831" max="13831" width="16" bestFit="1" customWidth="1"/>
    <col min="13832" max="13832" width="20" bestFit="1" customWidth="1"/>
    <col min="13833" max="13833" width="12.85546875" bestFit="1" customWidth="1"/>
    <col min="14078" max="14078" width="52.7109375" customWidth="1"/>
    <col min="14079" max="14079" width="20.140625" customWidth="1"/>
    <col min="14080" max="14080" width="70.140625" bestFit="1" customWidth="1"/>
    <col min="14081" max="14081" width="41.7109375" bestFit="1" customWidth="1"/>
    <col min="14082" max="14082" width="29.140625" bestFit="1" customWidth="1"/>
    <col min="14083" max="14083" width="6.7109375" bestFit="1" customWidth="1"/>
    <col min="14084" max="14084" width="18.7109375" bestFit="1" customWidth="1"/>
    <col min="14085" max="14085" width="23" bestFit="1" customWidth="1"/>
    <col min="14086" max="14086" width="19.28515625" bestFit="1" customWidth="1"/>
    <col min="14087" max="14087" width="16" bestFit="1" customWidth="1"/>
    <col min="14088" max="14088" width="20" bestFit="1" customWidth="1"/>
    <col min="14089" max="14089" width="12.85546875" bestFit="1" customWidth="1"/>
    <col min="14334" max="14334" width="52.7109375" customWidth="1"/>
    <col min="14335" max="14335" width="20.140625" customWidth="1"/>
    <col min="14336" max="14336" width="70.140625" bestFit="1" customWidth="1"/>
    <col min="14337" max="14337" width="41.7109375" bestFit="1" customWidth="1"/>
    <col min="14338" max="14338" width="29.140625" bestFit="1" customWidth="1"/>
    <col min="14339" max="14339" width="6.7109375" bestFit="1" customWidth="1"/>
    <col min="14340" max="14340" width="18.7109375" bestFit="1" customWidth="1"/>
    <col min="14341" max="14341" width="23" bestFit="1" customWidth="1"/>
    <col min="14342" max="14342" width="19.28515625" bestFit="1" customWidth="1"/>
    <col min="14343" max="14343" width="16" bestFit="1" customWidth="1"/>
    <col min="14344" max="14344" width="20" bestFit="1" customWidth="1"/>
    <col min="14345" max="14345" width="12.85546875" bestFit="1" customWidth="1"/>
    <col min="14590" max="14590" width="52.7109375" customWidth="1"/>
    <col min="14591" max="14591" width="20.140625" customWidth="1"/>
    <col min="14592" max="14592" width="70.140625" bestFit="1" customWidth="1"/>
    <col min="14593" max="14593" width="41.7109375" bestFit="1" customWidth="1"/>
    <col min="14594" max="14594" width="29.140625" bestFit="1" customWidth="1"/>
    <col min="14595" max="14595" width="6.7109375" bestFit="1" customWidth="1"/>
    <col min="14596" max="14596" width="18.7109375" bestFit="1" customWidth="1"/>
    <col min="14597" max="14597" width="23" bestFit="1" customWidth="1"/>
    <col min="14598" max="14598" width="19.28515625" bestFit="1" customWidth="1"/>
    <col min="14599" max="14599" width="16" bestFit="1" customWidth="1"/>
    <col min="14600" max="14600" width="20" bestFit="1" customWidth="1"/>
    <col min="14601" max="14601" width="12.85546875" bestFit="1" customWidth="1"/>
    <col min="14846" max="14846" width="52.7109375" customWidth="1"/>
    <col min="14847" max="14847" width="20.140625" customWidth="1"/>
    <col min="14848" max="14848" width="70.140625" bestFit="1" customWidth="1"/>
    <col min="14849" max="14849" width="41.7109375" bestFit="1" customWidth="1"/>
    <col min="14850" max="14850" width="29.140625" bestFit="1" customWidth="1"/>
    <col min="14851" max="14851" width="6.7109375" bestFit="1" customWidth="1"/>
    <col min="14852" max="14852" width="18.7109375" bestFit="1" customWidth="1"/>
    <col min="14853" max="14853" width="23" bestFit="1" customWidth="1"/>
    <col min="14854" max="14854" width="19.28515625" bestFit="1" customWidth="1"/>
    <col min="14855" max="14855" width="16" bestFit="1" customWidth="1"/>
    <col min="14856" max="14856" width="20" bestFit="1" customWidth="1"/>
    <col min="14857" max="14857" width="12.85546875" bestFit="1" customWidth="1"/>
    <col min="15102" max="15102" width="52.7109375" customWidth="1"/>
    <col min="15103" max="15103" width="20.140625" customWidth="1"/>
    <col min="15104" max="15104" width="70.140625" bestFit="1" customWidth="1"/>
    <col min="15105" max="15105" width="41.7109375" bestFit="1" customWidth="1"/>
    <col min="15106" max="15106" width="29.140625" bestFit="1" customWidth="1"/>
    <col min="15107" max="15107" width="6.7109375" bestFit="1" customWidth="1"/>
    <col min="15108" max="15108" width="18.7109375" bestFit="1" customWidth="1"/>
    <col min="15109" max="15109" width="23" bestFit="1" customWidth="1"/>
    <col min="15110" max="15110" width="19.28515625" bestFit="1" customWidth="1"/>
    <col min="15111" max="15111" width="16" bestFit="1" customWidth="1"/>
    <col min="15112" max="15112" width="20" bestFit="1" customWidth="1"/>
    <col min="15113" max="15113" width="12.85546875" bestFit="1" customWidth="1"/>
    <col min="15358" max="15358" width="52.7109375" customWidth="1"/>
    <col min="15359" max="15359" width="20.140625" customWidth="1"/>
    <col min="15360" max="15360" width="70.140625" bestFit="1" customWidth="1"/>
    <col min="15361" max="15361" width="41.7109375" bestFit="1" customWidth="1"/>
    <col min="15362" max="15362" width="29.140625" bestFit="1" customWidth="1"/>
    <col min="15363" max="15363" width="6.7109375" bestFit="1" customWidth="1"/>
    <col min="15364" max="15364" width="18.7109375" bestFit="1" customWidth="1"/>
    <col min="15365" max="15365" width="23" bestFit="1" customWidth="1"/>
    <col min="15366" max="15366" width="19.28515625" bestFit="1" customWidth="1"/>
    <col min="15367" max="15367" width="16" bestFit="1" customWidth="1"/>
    <col min="15368" max="15368" width="20" bestFit="1" customWidth="1"/>
    <col min="15369" max="15369" width="12.85546875" bestFit="1" customWidth="1"/>
    <col min="15614" max="15614" width="52.7109375" customWidth="1"/>
    <col min="15615" max="15615" width="20.140625" customWidth="1"/>
    <col min="15616" max="15616" width="70.140625" bestFit="1" customWidth="1"/>
    <col min="15617" max="15617" width="41.7109375" bestFit="1" customWidth="1"/>
    <col min="15618" max="15618" width="29.140625" bestFit="1" customWidth="1"/>
    <col min="15619" max="15619" width="6.7109375" bestFit="1" customWidth="1"/>
    <col min="15620" max="15620" width="18.7109375" bestFit="1" customWidth="1"/>
    <col min="15621" max="15621" width="23" bestFit="1" customWidth="1"/>
    <col min="15622" max="15622" width="19.28515625" bestFit="1" customWidth="1"/>
    <col min="15623" max="15623" width="16" bestFit="1" customWidth="1"/>
    <col min="15624" max="15624" width="20" bestFit="1" customWidth="1"/>
    <col min="15625" max="15625" width="12.85546875" bestFit="1" customWidth="1"/>
    <col min="15870" max="15870" width="52.7109375" customWidth="1"/>
    <col min="15871" max="15871" width="20.140625" customWidth="1"/>
    <col min="15872" max="15872" width="70.140625" bestFit="1" customWidth="1"/>
    <col min="15873" max="15873" width="41.7109375" bestFit="1" customWidth="1"/>
    <col min="15874" max="15874" width="29.140625" bestFit="1" customWidth="1"/>
    <col min="15875" max="15875" width="6.7109375" bestFit="1" customWidth="1"/>
    <col min="15876" max="15876" width="18.7109375" bestFit="1" customWidth="1"/>
    <col min="15877" max="15877" width="23" bestFit="1" customWidth="1"/>
    <col min="15878" max="15878" width="19.28515625" bestFit="1" customWidth="1"/>
    <col min="15879" max="15879" width="16" bestFit="1" customWidth="1"/>
    <col min="15880" max="15880" width="20" bestFit="1" customWidth="1"/>
    <col min="15881" max="15881" width="12.85546875" bestFit="1" customWidth="1"/>
    <col min="16126" max="16126" width="52.7109375" customWidth="1"/>
    <col min="16127" max="16127" width="20.140625" customWidth="1"/>
    <col min="16128" max="16128" width="70.140625" bestFit="1" customWidth="1"/>
    <col min="16129" max="16129" width="41.7109375" bestFit="1" customWidth="1"/>
    <col min="16130" max="16130" width="29.140625" bestFit="1" customWidth="1"/>
    <col min="16131" max="16131" width="6.7109375" bestFit="1" customWidth="1"/>
    <col min="16132" max="16132" width="18.7109375" bestFit="1" customWidth="1"/>
    <col min="16133" max="16133" width="23" bestFit="1" customWidth="1"/>
    <col min="16134" max="16134" width="19.28515625" bestFit="1" customWidth="1"/>
    <col min="16135" max="16135" width="16" bestFit="1" customWidth="1"/>
    <col min="16136" max="16136" width="20" bestFit="1" customWidth="1"/>
    <col min="16137" max="16137" width="12.85546875" bestFit="1" customWidth="1"/>
  </cols>
  <sheetData>
    <row r="1" spans="1:13" s="22" customFormat="1" ht="39.6" customHeight="1" x14ac:dyDescent="0.2">
      <c r="A1" s="90" t="s">
        <v>0</v>
      </c>
      <c r="B1" s="114" t="s">
        <v>1</v>
      </c>
      <c r="C1" s="90" t="s">
        <v>2</v>
      </c>
      <c r="D1" s="91" t="s">
        <v>3</v>
      </c>
      <c r="E1" s="91" t="s">
        <v>4</v>
      </c>
      <c r="F1" s="111" t="s">
        <v>5</v>
      </c>
      <c r="G1" s="116" t="s">
        <v>6</v>
      </c>
      <c r="H1" s="116" t="s">
        <v>7</v>
      </c>
      <c r="I1" s="91" t="s">
        <v>8</v>
      </c>
      <c r="J1" s="92"/>
      <c r="K1" s="90"/>
      <c r="L1" s="90"/>
      <c r="M1" s="90"/>
    </row>
    <row r="2" spans="1:13" x14ac:dyDescent="0.2">
      <c r="A2" s="93" t="s">
        <v>1218</v>
      </c>
      <c r="B2" s="93" t="s">
        <v>1219</v>
      </c>
      <c r="C2" s="93" t="s">
        <v>17</v>
      </c>
      <c r="D2" s="93" t="s">
        <v>12</v>
      </c>
      <c r="E2" s="94" t="s">
        <v>1215</v>
      </c>
      <c r="F2" s="112">
        <v>2075.2600000000002</v>
      </c>
      <c r="G2" s="106"/>
      <c r="H2" s="106"/>
      <c r="I2" s="94" t="s">
        <v>14</v>
      </c>
      <c r="K2" s="93"/>
      <c r="L2" s="93"/>
      <c r="M2" s="93"/>
    </row>
    <row r="3" spans="1:13" x14ac:dyDescent="0.2">
      <c r="A3" s="93" t="s">
        <v>380</v>
      </c>
      <c r="B3" s="93" t="s">
        <v>381</v>
      </c>
      <c r="C3" s="93" t="s">
        <v>11</v>
      </c>
      <c r="D3" s="93" t="s">
        <v>18</v>
      </c>
      <c r="E3" s="94" t="s">
        <v>1222</v>
      </c>
      <c r="F3" s="112">
        <v>3508.11</v>
      </c>
      <c r="G3" s="106">
        <v>1</v>
      </c>
      <c r="H3" s="106">
        <v>46.666699999999999</v>
      </c>
      <c r="I3" s="94" t="s">
        <v>14</v>
      </c>
      <c r="K3" s="93"/>
      <c r="L3" s="93"/>
      <c r="M3" s="93"/>
    </row>
    <row r="4" spans="1:13" x14ac:dyDescent="0.2">
      <c r="A4" s="93" t="s">
        <v>1136</v>
      </c>
      <c r="B4" s="93" t="s">
        <v>1137</v>
      </c>
      <c r="C4" s="93" t="s">
        <v>52</v>
      </c>
      <c r="D4" s="93" t="s">
        <v>18</v>
      </c>
      <c r="E4" s="94" t="s">
        <v>1222</v>
      </c>
      <c r="F4" s="112">
        <v>1215.8</v>
      </c>
      <c r="G4" s="106">
        <v>1</v>
      </c>
      <c r="H4" s="106"/>
      <c r="I4" s="94" t="s">
        <v>14</v>
      </c>
      <c r="K4" s="93"/>
      <c r="L4" s="93"/>
      <c r="M4" s="93"/>
    </row>
    <row r="5" spans="1:13" x14ac:dyDescent="0.2">
      <c r="A5" s="93" t="s">
        <v>1139</v>
      </c>
      <c r="B5" s="93" t="s">
        <v>1140</v>
      </c>
      <c r="C5" s="93" t="s">
        <v>140</v>
      </c>
      <c r="D5" s="93" t="s">
        <v>18</v>
      </c>
      <c r="E5" s="94" t="s">
        <v>1222</v>
      </c>
      <c r="F5" s="112">
        <v>3075.94</v>
      </c>
      <c r="G5" s="106">
        <v>1</v>
      </c>
      <c r="H5" s="106"/>
      <c r="I5" s="94" t="s">
        <v>14</v>
      </c>
      <c r="K5" s="93"/>
      <c r="L5" s="93"/>
      <c r="M5" s="93"/>
    </row>
    <row r="6" spans="1:13" x14ac:dyDescent="0.2">
      <c r="A6" s="93" t="s">
        <v>1141</v>
      </c>
      <c r="B6" s="93" t="s">
        <v>1142</v>
      </c>
      <c r="C6" s="93" t="s">
        <v>46</v>
      </c>
      <c r="D6" s="93" t="s">
        <v>18</v>
      </c>
      <c r="E6" s="94" t="s">
        <v>1223</v>
      </c>
      <c r="F6" s="112">
        <v>675.8</v>
      </c>
      <c r="G6" s="106">
        <v>6</v>
      </c>
      <c r="H6" s="106"/>
      <c r="I6" s="94" t="s">
        <v>14</v>
      </c>
      <c r="K6" s="93"/>
      <c r="L6" s="93"/>
      <c r="M6" s="93"/>
    </row>
    <row r="7" spans="1:13" x14ac:dyDescent="0.2">
      <c r="A7" s="93" t="s">
        <v>293</v>
      </c>
      <c r="B7" s="93" t="s">
        <v>294</v>
      </c>
      <c r="C7" s="93" t="s">
        <v>11</v>
      </c>
      <c r="D7" s="93" t="s">
        <v>18</v>
      </c>
      <c r="E7" s="94" t="s">
        <v>1223</v>
      </c>
      <c r="F7" s="112">
        <v>659.66</v>
      </c>
      <c r="G7" s="106">
        <v>6</v>
      </c>
      <c r="H7" s="106">
        <v>62.5</v>
      </c>
      <c r="I7" s="94" t="s">
        <v>14</v>
      </c>
      <c r="K7" s="93"/>
      <c r="L7" s="93"/>
      <c r="M7" s="93"/>
    </row>
    <row r="8" spans="1:13" x14ac:dyDescent="0.2">
      <c r="A8" s="93" t="s">
        <v>465</v>
      </c>
      <c r="B8" s="93" t="s">
        <v>466</v>
      </c>
      <c r="C8" s="93" t="s">
        <v>46</v>
      </c>
      <c r="D8" s="93" t="s">
        <v>1224</v>
      </c>
      <c r="E8" s="94" t="s">
        <v>1223</v>
      </c>
      <c r="F8" s="112">
        <v>1076.4100000000001</v>
      </c>
      <c r="G8" s="106">
        <v>6</v>
      </c>
      <c r="H8" s="106">
        <v>97</v>
      </c>
      <c r="I8" s="94" t="s">
        <v>14</v>
      </c>
      <c r="K8" s="93"/>
      <c r="L8" s="93"/>
      <c r="M8" s="93"/>
    </row>
    <row r="9" spans="1:13" x14ac:dyDescent="0.2">
      <c r="A9" s="93" t="s">
        <v>329</v>
      </c>
      <c r="B9" s="93" t="s">
        <v>330</v>
      </c>
      <c r="C9" s="93" t="s">
        <v>22</v>
      </c>
      <c r="D9" s="93" t="s">
        <v>32</v>
      </c>
      <c r="E9" s="94" t="s">
        <v>1223</v>
      </c>
      <c r="F9" s="112">
        <v>603</v>
      </c>
      <c r="G9" s="106">
        <v>6</v>
      </c>
      <c r="H9" s="106">
        <v>64</v>
      </c>
      <c r="I9" s="94" t="s">
        <v>14</v>
      </c>
      <c r="K9" s="93"/>
      <c r="L9" s="93"/>
      <c r="M9" s="93"/>
    </row>
    <row r="10" spans="1:13" x14ac:dyDescent="0.2">
      <c r="A10" s="93" t="s">
        <v>1144</v>
      </c>
      <c r="B10" s="93" t="s">
        <v>1145</v>
      </c>
      <c r="C10" s="93" t="s">
        <v>46</v>
      </c>
      <c r="D10" s="93" t="s">
        <v>1224</v>
      </c>
      <c r="E10" s="94" t="s">
        <v>1223</v>
      </c>
      <c r="F10" s="112">
        <v>1593.58</v>
      </c>
      <c r="G10" s="106">
        <v>6</v>
      </c>
      <c r="H10" s="106"/>
      <c r="I10" s="94" t="s">
        <v>14</v>
      </c>
      <c r="K10" s="93"/>
      <c r="L10" s="93"/>
      <c r="M10" s="93"/>
    </row>
    <row r="11" spans="1:13" x14ac:dyDescent="0.2">
      <c r="A11" s="93" t="s">
        <v>1146</v>
      </c>
      <c r="B11" s="93" t="s">
        <v>1147</v>
      </c>
      <c r="C11" s="93" t="s">
        <v>11</v>
      </c>
      <c r="D11" s="93" t="s">
        <v>18</v>
      </c>
      <c r="E11" s="94" t="s">
        <v>1223</v>
      </c>
      <c r="F11" s="112">
        <v>1142.96</v>
      </c>
      <c r="G11" s="106">
        <v>6</v>
      </c>
      <c r="H11" s="106"/>
      <c r="I11" s="94" t="s">
        <v>14</v>
      </c>
      <c r="K11" s="93"/>
      <c r="L11" s="93"/>
      <c r="M11" s="93"/>
    </row>
    <row r="12" spans="1:13" x14ac:dyDescent="0.2">
      <c r="A12" s="93" t="s">
        <v>270</v>
      </c>
      <c r="B12" s="93" t="s">
        <v>271</v>
      </c>
      <c r="C12" s="93" t="s">
        <v>11</v>
      </c>
      <c r="D12" s="93" t="s">
        <v>32</v>
      </c>
      <c r="E12" s="94" t="s">
        <v>1225</v>
      </c>
      <c r="F12" s="112">
        <v>1928.84</v>
      </c>
      <c r="G12" s="106">
        <v>7</v>
      </c>
      <c r="H12" s="106">
        <v>55</v>
      </c>
      <c r="I12" s="94" t="s">
        <v>14</v>
      </c>
      <c r="K12" s="93"/>
      <c r="L12" s="93"/>
      <c r="M12" s="93"/>
    </row>
    <row r="13" spans="1:13" x14ac:dyDescent="0.2">
      <c r="A13" s="93" t="s">
        <v>1149</v>
      </c>
      <c r="B13" s="93" t="s">
        <v>1150</v>
      </c>
      <c r="C13" s="93" t="s">
        <v>11</v>
      </c>
      <c r="D13" s="93" t="s">
        <v>32</v>
      </c>
      <c r="E13" s="94" t="s">
        <v>1225</v>
      </c>
      <c r="F13" s="112">
        <v>1570.68</v>
      </c>
      <c r="G13" s="106">
        <v>7</v>
      </c>
      <c r="H13" s="106"/>
      <c r="I13" s="94" t="s">
        <v>14</v>
      </c>
      <c r="K13" s="93"/>
      <c r="L13" s="93"/>
      <c r="M13" s="93"/>
    </row>
    <row r="14" spans="1:13" x14ac:dyDescent="0.2">
      <c r="A14" s="93" t="s">
        <v>1151</v>
      </c>
      <c r="B14" s="93" t="s">
        <v>1152</v>
      </c>
      <c r="C14" s="93" t="s">
        <v>49</v>
      </c>
      <c r="D14" s="93" t="s">
        <v>32</v>
      </c>
      <c r="E14" s="94" t="s">
        <v>1225</v>
      </c>
      <c r="F14" s="112">
        <v>1567.26</v>
      </c>
      <c r="G14" s="106">
        <v>7</v>
      </c>
      <c r="H14" s="106"/>
      <c r="I14" s="94" t="s">
        <v>14</v>
      </c>
      <c r="K14" s="93"/>
      <c r="L14" s="93"/>
      <c r="M14" s="93"/>
    </row>
    <row r="15" spans="1:13" x14ac:dyDescent="0.2">
      <c r="A15" s="93" t="s">
        <v>1154</v>
      </c>
      <c r="B15" s="93" t="s">
        <v>1155</v>
      </c>
      <c r="C15" s="93" t="s">
        <v>67</v>
      </c>
      <c r="D15" s="93" t="s">
        <v>32</v>
      </c>
      <c r="E15" s="94" t="s">
        <v>1225</v>
      </c>
      <c r="F15" s="112">
        <v>1567.26</v>
      </c>
      <c r="G15" s="106">
        <v>7</v>
      </c>
      <c r="H15" s="106"/>
      <c r="I15" s="94" t="s">
        <v>14</v>
      </c>
      <c r="K15" s="93"/>
      <c r="L15" s="93"/>
      <c r="M15" s="93"/>
    </row>
    <row r="16" spans="1:13" x14ac:dyDescent="0.2">
      <c r="A16" s="93" t="s">
        <v>1157</v>
      </c>
      <c r="B16" s="93" t="s">
        <v>1158</v>
      </c>
      <c r="C16" s="93" t="s">
        <v>22</v>
      </c>
      <c r="D16" s="93" t="s">
        <v>32</v>
      </c>
      <c r="E16" s="94" t="s">
        <v>1225</v>
      </c>
      <c r="F16" s="112">
        <v>1618.97</v>
      </c>
      <c r="G16" s="106">
        <v>7</v>
      </c>
      <c r="H16" s="106"/>
      <c r="I16" s="94" t="s">
        <v>14</v>
      </c>
      <c r="K16" s="93"/>
      <c r="L16" s="93"/>
      <c r="M16" s="93"/>
    </row>
    <row r="17" spans="1:13" x14ac:dyDescent="0.2">
      <c r="A17" s="93" t="s">
        <v>1159</v>
      </c>
      <c r="B17" s="93" t="s">
        <v>1160</v>
      </c>
      <c r="C17" s="93" t="s">
        <v>46</v>
      </c>
      <c r="D17" s="93" t="s">
        <v>1224</v>
      </c>
      <c r="E17" s="94" t="s">
        <v>1135</v>
      </c>
      <c r="F17" s="112">
        <v>678</v>
      </c>
      <c r="G17" s="106">
        <v>8</v>
      </c>
      <c r="H17" s="106"/>
      <c r="I17" s="94" t="s">
        <v>14</v>
      </c>
      <c r="K17" s="93"/>
      <c r="L17" s="93"/>
      <c r="M17" s="93"/>
    </row>
    <row r="18" spans="1:13" x14ac:dyDescent="0.2">
      <c r="A18" s="93" t="s">
        <v>1162</v>
      </c>
      <c r="B18" s="93" t="s">
        <v>1163</v>
      </c>
      <c r="C18" s="93" t="s">
        <v>46</v>
      </c>
      <c r="D18" s="93" t="s">
        <v>1224</v>
      </c>
      <c r="E18" s="94" t="s">
        <v>1135</v>
      </c>
      <c r="F18" s="112">
        <v>658.76</v>
      </c>
      <c r="G18" s="106">
        <v>8</v>
      </c>
      <c r="H18" s="106"/>
      <c r="I18" s="94" t="s">
        <v>14</v>
      </c>
      <c r="K18" s="93"/>
      <c r="L18" s="93"/>
      <c r="M18" s="93"/>
    </row>
    <row r="19" spans="1:13" x14ac:dyDescent="0.2">
      <c r="A19" s="93" t="s">
        <v>129</v>
      </c>
      <c r="B19" s="93" t="s">
        <v>130</v>
      </c>
      <c r="C19" s="93" t="s">
        <v>46</v>
      </c>
      <c r="D19" s="93" t="s">
        <v>1224</v>
      </c>
      <c r="E19" s="94" t="s">
        <v>1135</v>
      </c>
      <c r="F19" s="112">
        <v>1347.96</v>
      </c>
      <c r="G19" s="106">
        <v>8</v>
      </c>
      <c r="H19" s="106">
        <v>27.5</v>
      </c>
      <c r="I19" s="94" t="s">
        <v>14</v>
      </c>
      <c r="K19" s="93"/>
      <c r="L19" s="93"/>
      <c r="M19" s="93"/>
    </row>
    <row r="20" spans="1:13" x14ac:dyDescent="0.2">
      <c r="A20" s="93" t="s">
        <v>109</v>
      </c>
      <c r="B20" s="93" t="s">
        <v>110</v>
      </c>
      <c r="C20" s="93" t="s">
        <v>46</v>
      </c>
      <c r="D20" s="93" t="s">
        <v>1224</v>
      </c>
      <c r="E20" s="94" t="s">
        <v>1135</v>
      </c>
      <c r="F20" s="112">
        <v>774.24</v>
      </c>
      <c r="G20" s="106">
        <v>8</v>
      </c>
      <c r="H20" s="106">
        <v>34</v>
      </c>
      <c r="I20" s="94" t="s">
        <v>14</v>
      </c>
      <c r="K20" s="93"/>
      <c r="L20" s="93"/>
      <c r="M20" s="93"/>
    </row>
    <row r="21" spans="1:13" x14ac:dyDescent="0.2">
      <c r="A21" s="93" t="s">
        <v>112</v>
      </c>
      <c r="B21" s="93" t="s">
        <v>113</v>
      </c>
      <c r="C21" s="93" t="s">
        <v>46</v>
      </c>
      <c r="D21" s="93" t="s">
        <v>1224</v>
      </c>
      <c r="E21" s="94" t="s">
        <v>1135</v>
      </c>
      <c r="F21" s="112">
        <v>1304.1500000000001</v>
      </c>
      <c r="G21" s="106">
        <v>8</v>
      </c>
      <c r="H21" s="106">
        <v>44.333300000000001</v>
      </c>
      <c r="I21" s="94" t="s">
        <v>14</v>
      </c>
      <c r="K21" s="93"/>
      <c r="L21" s="93"/>
      <c r="M21" s="93"/>
    </row>
    <row r="22" spans="1:13" x14ac:dyDescent="0.2">
      <c r="A22" s="93" t="s">
        <v>453</v>
      </c>
      <c r="B22" s="93" t="s">
        <v>454</v>
      </c>
      <c r="C22" s="93" t="s">
        <v>46</v>
      </c>
      <c r="D22" s="93" t="s">
        <v>1224</v>
      </c>
      <c r="E22" s="94" t="s">
        <v>1135</v>
      </c>
      <c r="F22" s="112">
        <v>1216.76</v>
      </c>
      <c r="G22" s="106">
        <v>8</v>
      </c>
      <c r="H22" s="106">
        <v>51.5</v>
      </c>
      <c r="I22" s="94" t="s">
        <v>14</v>
      </c>
      <c r="K22" s="93"/>
      <c r="L22" s="93"/>
      <c r="M22" s="93"/>
    </row>
    <row r="23" spans="1:13" x14ac:dyDescent="0.2">
      <c r="A23" s="93" t="s">
        <v>114</v>
      </c>
      <c r="B23" s="93" t="s">
        <v>115</v>
      </c>
      <c r="C23" s="93" t="s">
        <v>46</v>
      </c>
      <c r="D23" s="93" t="s">
        <v>1224</v>
      </c>
      <c r="E23" s="94" t="s">
        <v>1135</v>
      </c>
      <c r="F23" s="112">
        <v>2074.89</v>
      </c>
      <c r="G23" s="106">
        <v>8</v>
      </c>
      <c r="H23" s="106">
        <v>27.5</v>
      </c>
      <c r="I23" s="94" t="s">
        <v>14</v>
      </c>
      <c r="K23" s="93"/>
      <c r="L23" s="93"/>
      <c r="M23" s="93"/>
    </row>
    <row r="24" spans="1:13" x14ac:dyDescent="0.2">
      <c r="A24" s="93" t="s">
        <v>1166</v>
      </c>
      <c r="B24" s="93" t="s">
        <v>1167</v>
      </c>
      <c r="C24" s="93" t="s">
        <v>46</v>
      </c>
      <c r="D24" s="93" t="s">
        <v>1224</v>
      </c>
      <c r="E24" s="94" t="s">
        <v>1135</v>
      </c>
      <c r="F24" s="112">
        <v>1254.1099999999999</v>
      </c>
      <c r="G24" s="106">
        <v>8</v>
      </c>
      <c r="H24" s="106"/>
      <c r="I24" s="94" t="s">
        <v>14</v>
      </c>
      <c r="K24" s="93"/>
      <c r="L24" s="93"/>
      <c r="M24" s="93"/>
    </row>
    <row r="25" spans="1:13" x14ac:dyDescent="0.2">
      <c r="A25" s="93" t="s">
        <v>999</v>
      </c>
      <c r="B25" s="93" t="s">
        <v>1000</v>
      </c>
      <c r="C25" s="93" t="s">
        <v>22</v>
      </c>
      <c r="D25" s="93" t="s">
        <v>12</v>
      </c>
      <c r="E25" s="94" t="s">
        <v>1135</v>
      </c>
      <c r="F25" s="112">
        <v>985.5</v>
      </c>
      <c r="G25" s="106">
        <v>8</v>
      </c>
      <c r="H25" s="106"/>
      <c r="I25" s="94" t="s">
        <v>14</v>
      </c>
      <c r="K25" s="93"/>
      <c r="L25" s="93"/>
      <c r="M25" s="93"/>
    </row>
    <row r="26" spans="1:13" x14ac:dyDescent="0.2">
      <c r="A26" s="93" t="s">
        <v>476</v>
      </c>
      <c r="B26" s="93" t="s">
        <v>477</v>
      </c>
      <c r="C26" s="93" t="s">
        <v>36</v>
      </c>
      <c r="D26" s="93" t="s">
        <v>12</v>
      </c>
      <c r="E26" s="94" t="s">
        <v>1135</v>
      </c>
      <c r="F26" s="112">
        <v>1226.3499999999999</v>
      </c>
      <c r="G26" s="106">
        <v>8</v>
      </c>
      <c r="H26" s="106">
        <v>96</v>
      </c>
      <c r="I26" s="94" t="s">
        <v>14</v>
      </c>
      <c r="K26" s="93"/>
      <c r="L26" s="93"/>
      <c r="M26" s="93"/>
    </row>
    <row r="27" spans="1:13" x14ac:dyDescent="0.2">
      <c r="A27" s="93" t="s">
        <v>524</v>
      </c>
      <c r="B27" s="93" t="s">
        <v>525</v>
      </c>
      <c r="C27" s="93" t="s">
        <v>46</v>
      </c>
      <c r="D27" s="93" t="s">
        <v>1224</v>
      </c>
      <c r="E27" s="94" t="s">
        <v>1135</v>
      </c>
      <c r="F27" s="112">
        <v>1016.3</v>
      </c>
      <c r="G27" s="106">
        <v>8</v>
      </c>
      <c r="H27" s="106">
        <v>109</v>
      </c>
      <c r="I27" s="94" t="s">
        <v>14</v>
      </c>
      <c r="K27" s="93"/>
      <c r="L27" s="93"/>
      <c r="M27" s="93"/>
    </row>
    <row r="28" spans="1:13" x14ac:dyDescent="0.2">
      <c r="A28" s="93" t="s">
        <v>1169</v>
      </c>
      <c r="B28" s="93" t="s">
        <v>1170</v>
      </c>
      <c r="C28" s="93" t="s">
        <v>11</v>
      </c>
      <c r="D28" s="93" t="s">
        <v>18</v>
      </c>
      <c r="E28" s="94" t="s">
        <v>1135</v>
      </c>
      <c r="F28" s="112">
        <v>2015.52</v>
      </c>
      <c r="G28" s="106">
        <v>8</v>
      </c>
      <c r="H28" s="106"/>
      <c r="I28" s="94" t="s">
        <v>14</v>
      </c>
      <c r="K28" s="93"/>
      <c r="L28" s="93"/>
      <c r="M28" s="93"/>
    </row>
    <row r="29" spans="1:13" x14ac:dyDescent="0.2">
      <c r="A29" s="93" t="s">
        <v>1171</v>
      </c>
      <c r="B29" s="93" t="s">
        <v>1172</v>
      </c>
      <c r="C29" s="93" t="s">
        <v>17</v>
      </c>
      <c r="D29" s="93" t="s">
        <v>32</v>
      </c>
      <c r="E29" s="94" t="s">
        <v>1135</v>
      </c>
      <c r="F29" s="112">
        <v>871.91</v>
      </c>
      <c r="G29" s="106">
        <v>8</v>
      </c>
      <c r="H29" s="106"/>
      <c r="I29" s="94" t="s">
        <v>14</v>
      </c>
      <c r="K29" s="93"/>
      <c r="L29" s="93"/>
      <c r="M29" s="93"/>
    </row>
    <row r="30" spans="1:13" x14ac:dyDescent="0.2">
      <c r="A30" s="93" t="s">
        <v>1173</v>
      </c>
      <c r="B30" s="93" t="s">
        <v>1174</v>
      </c>
      <c r="C30" s="93" t="s">
        <v>46</v>
      </c>
      <c r="D30" s="93" t="s">
        <v>1224</v>
      </c>
      <c r="E30" s="94" t="s">
        <v>1138</v>
      </c>
      <c r="F30" s="112">
        <v>3353.25</v>
      </c>
      <c r="G30" s="106">
        <v>11</v>
      </c>
      <c r="H30" s="106"/>
      <c r="I30" s="94" t="s">
        <v>14</v>
      </c>
      <c r="K30" s="93"/>
      <c r="L30" s="93"/>
      <c r="M30" s="93"/>
    </row>
    <row r="31" spans="1:13" x14ac:dyDescent="0.2">
      <c r="A31" s="93" t="s">
        <v>1176</v>
      </c>
      <c r="B31" s="93" t="s">
        <v>1177</v>
      </c>
      <c r="C31" s="93" t="s">
        <v>46</v>
      </c>
      <c r="D31" s="93" t="s">
        <v>1224</v>
      </c>
      <c r="E31" s="94" t="s">
        <v>1138</v>
      </c>
      <c r="F31" s="112">
        <v>2710.89</v>
      </c>
      <c r="G31" s="106">
        <v>11</v>
      </c>
      <c r="H31" s="106"/>
      <c r="I31" s="94" t="s">
        <v>14</v>
      </c>
      <c r="K31" s="93"/>
      <c r="L31" s="93"/>
      <c r="M31" s="93"/>
    </row>
    <row r="32" spans="1:13" x14ac:dyDescent="0.2">
      <c r="A32" s="93" t="s">
        <v>606</v>
      </c>
      <c r="B32" s="93" t="s">
        <v>607</v>
      </c>
      <c r="C32" s="93" t="s">
        <v>22</v>
      </c>
      <c r="D32" s="93" t="s">
        <v>12</v>
      </c>
      <c r="E32" s="94" t="s">
        <v>1138</v>
      </c>
      <c r="F32" s="112">
        <v>1388.52</v>
      </c>
      <c r="G32" s="106">
        <v>11</v>
      </c>
      <c r="H32" s="106">
        <v>133</v>
      </c>
      <c r="I32" s="94" t="s">
        <v>14</v>
      </c>
      <c r="K32" s="93"/>
      <c r="L32" s="93"/>
      <c r="M32" s="93"/>
    </row>
    <row r="33" spans="1:13" x14ac:dyDescent="0.2">
      <c r="A33" s="93" t="s">
        <v>150</v>
      </c>
      <c r="B33" s="93" t="s">
        <v>151</v>
      </c>
      <c r="C33" s="93" t="s">
        <v>22</v>
      </c>
      <c r="D33" s="93" t="s">
        <v>32</v>
      </c>
      <c r="E33" s="94" t="s">
        <v>1138</v>
      </c>
      <c r="F33" s="112">
        <v>681.47</v>
      </c>
      <c r="G33" s="106">
        <v>11</v>
      </c>
      <c r="H33" s="106">
        <v>32</v>
      </c>
      <c r="I33" s="94" t="s">
        <v>14</v>
      </c>
      <c r="K33" s="93"/>
      <c r="L33" s="93"/>
      <c r="M33" s="93"/>
    </row>
    <row r="34" spans="1:13" x14ac:dyDescent="0.2">
      <c r="A34" s="93" t="s">
        <v>1178</v>
      </c>
      <c r="B34" s="93" t="s">
        <v>1179</v>
      </c>
      <c r="C34" s="93" t="s">
        <v>46</v>
      </c>
      <c r="D34" s="93" t="s">
        <v>12</v>
      </c>
      <c r="E34" s="94" t="s">
        <v>1138</v>
      </c>
      <c r="F34" s="112">
        <v>433.84</v>
      </c>
      <c r="G34" s="106">
        <v>11</v>
      </c>
      <c r="H34" s="106"/>
      <c r="I34" s="94" t="s">
        <v>14</v>
      </c>
      <c r="K34" s="93"/>
      <c r="L34" s="93"/>
      <c r="M34" s="93"/>
    </row>
    <row r="35" spans="1:13" x14ac:dyDescent="0.2">
      <c r="A35" s="93" t="s">
        <v>1180</v>
      </c>
      <c r="B35" s="93" t="s">
        <v>1181</v>
      </c>
      <c r="C35" s="93" t="s">
        <v>46</v>
      </c>
      <c r="D35" s="93" t="s">
        <v>1224</v>
      </c>
      <c r="E35" s="94" t="s">
        <v>1138</v>
      </c>
      <c r="F35" s="112">
        <v>3353.25</v>
      </c>
      <c r="G35" s="106">
        <v>11</v>
      </c>
      <c r="H35" s="106"/>
      <c r="I35" s="94" t="s">
        <v>14</v>
      </c>
      <c r="K35" s="93"/>
      <c r="L35" s="93"/>
      <c r="M35" s="93"/>
    </row>
    <row r="36" spans="1:13" x14ac:dyDescent="0.2">
      <c r="A36" s="93" t="s">
        <v>1182</v>
      </c>
      <c r="B36" s="93" t="s">
        <v>1183</v>
      </c>
      <c r="C36" s="93" t="s">
        <v>17</v>
      </c>
      <c r="D36" s="93" t="s">
        <v>32</v>
      </c>
      <c r="E36" s="94" t="s">
        <v>1143</v>
      </c>
      <c r="F36" s="112">
        <v>859.47</v>
      </c>
      <c r="G36" s="106">
        <v>12</v>
      </c>
      <c r="H36" s="106"/>
      <c r="I36" s="94" t="s">
        <v>14</v>
      </c>
      <c r="K36" s="93"/>
      <c r="L36" s="93"/>
      <c r="M36" s="93"/>
    </row>
    <row r="37" spans="1:13" x14ac:dyDescent="0.2">
      <c r="A37" s="93" t="s">
        <v>1184</v>
      </c>
      <c r="B37" s="93" t="s">
        <v>1185</v>
      </c>
      <c r="C37" s="93" t="s">
        <v>46</v>
      </c>
      <c r="D37" s="93" t="s">
        <v>1224</v>
      </c>
      <c r="E37" s="94" t="s">
        <v>1143</v>
      </c>
      <c r="F37" s="112">
        <v>2421.9899999999998</v>
      </c>
      <c r="G37" s="106">
        <v>12</v>
      </c>
      <c r="H37" s="106"/>
      <c r="I37" s="94" t="s">
        <v>14</v>
      </c>
      <c r="K37" s="93"/>
      <c r="L37" s="93"/>
      <c r="M37" s="93"/>
    </row>
    <row r="38" spans="1:13" x14ac:dyDescent="0.2">
      <c r="A38" s="93" t="s">
        <v>186</v>
      </c>
      <c r="B38" s="93" t="s">
        <v>187</v>
      </c>
      <c r="C38" s="93" t="s">
        <v>46</v>
      </c>
      <c r="D38" s="93" t="s">
        <v>12</v>
      </c>
      <c r="E38" s="94" t="s">
        <v>1143</v>
      </c>
      <c r="F38" s="112">
        <v>1354.15</v>
      </c>
      <c r="G38" s="106">
        <v>12</v>
      </c>
      <c r="H38" s="106">
        <v>41</v>
      </c>
      <c r="I38" s="94" t="s">
        <v>14</v>
      </c>
      <c r="K38" s="93"/>
      <c r="L38" s="93"/>
      <c r="M38" s="93"/>
    </row>
    <row r="39" spans="1:13" x14ac:dyDescent="0.2">
      <c r="A39" s="93" t="s">
        <v>224</v>
      </c>
      <c r="B39" s="93" t="s">
        <v>225</v>
      </c>
      <c r="C39" s="93" t="s">
        <v>22</v>
      </c>
      <c r="D39" s="93" t="s">
        <v>32</v>
      </c>
      <c r="E39" s="94" t="s">
        <v>1143</v>
      </c>
      <c r="F39" s="112">
        <v>945</v>
      </c>
      <c r="G39" s="106">
        <v>12</v>
      </c>
      <c r="H39" s="106">
        <v>22</v>
      </c>
      <c r="I39" s="94" t="s">
        <v>14</v>
      </c>
      <c r="K39" s="93"/>
      <c r="L39" s="93"/>
      <c r="M39" s="93"/>
    </row>
    <row r="40" spans="1:13" x14ac:dyDescent="0.2">
      <c r="A40" s="93" t="s">
        <v>537</v>
      </c>
      <c r="B40" s="93" t="s">
        <v>538</v>
      </c>
      <c r="C40" s="93" t="s">
        <v>41</v>
      </c>
      <c r="D40" s="93" t="s">
        <v>18</v>
      </c>
      <c r="E40" s="94" t="s">
        <v>1143</v>
      </c>
      <c r="F40" s="112">
        <v>2013.98</v>
      </c>
      <c r="G40" s="106">
        <v>12</v>
      </c>
      <c r="H40" s="106">
        <v>94</v>
      </c>
      <c r="I40" s="94" t="s">
        <v>14</v>
      </c>
      <c r="K40" s="93"/>
      <c r="L40" s="93"/>
      <c r="M40" s="93"/>
    </row>
    <row r="41" spans="1:13" x14ac:dyDescent="0.2">
      <c r="A41" s="93" t="s">
        <v>561</v>
      </c>
      <c r="B41" s="93" t="s">
        <v>562</v>
      </c>
      <c r="C41" s="93" t="s">
        <v>26</v>
      </c>
      <c r="D41" s="93" t="s">
        <v>12</v>
      </c>
      <c r="E41" s="94" t="s">
        <v>1143</v>
      </c>
      <c r="F41" s="112">
        <v>5260.84</v>
      </c>
      <c r="G41" s="106">
        <v>12</v>
      </c>
      <c r="H41" s="106">
        <v>77</v>
      </c>
      <c r="I41" s="94" t="s">
        <v>14</v>
      </c>
      <c r="K41" s="93"/>
      <c r="L41" s="93"/>
      <c r="M41" s="93"/>
    </row>
    <row r="42" spans="1:13" x14ac:dyDescent="0.2">
      <c r="A42" s="93" t="s">
        <v>116</v>
      </c>
      <c r="B42" s="93" t="s">
        <v>117</v>
      </c>
      <c r="C42" s="93" t="s">
        <v>11</v>
      </c>
      <c r="D42" s="93" t="s">
        <v>12</v>
      </c>
      <c r="E42" s="94" t="s">
        <v>1143</v>
      </c>
      <c r="F42" s="112">
        <v>1781.13</v>
      </c>
      <c r="G42" s="106">
        <v>12</v>
      </c>
      <c r="H42" s="106">
        <v>23.25</v>
      </c>
      <c r="I42" s="94" t="s">
        <v>14</v>
      </c>
      <c r="K42" s="93"/>
      <c r="L42" s="93"/>
      <c r="M42" s="93"/>
    </row>
    <row r="43" spans="1:13" x14ac:dyDescent="0.2">
      <c r="A43" s="93" t="s">
        <v>942</v>
      </c>
      <c r="B43" s="93" t="s">
        <v>1005</v>
      </c>
      <c r="C43" s="93" t="s">
        <v>31</v>
      </c>
      <c r="D43" s="93" t="s">
        <v>12</v>
      </c>
      <c r="E43" s="94" t="s">
        <v>1143</v>
      </c>
      <c r="F43" s="112">
        <v>1648.08</v>
      </c>
      <c r="G43" s="106">
        <v>12</v>
      </c>
      <c r="H43" s="106"/>
      <c r="I43" s="94" t="s">
        <v>14</v>
      </c>
      <c r="K43" s="93"/>
      <c r="L43" s="93"/>
      <c r="M43" s="93"/>
    </row>
    <row r="44" spans="1:13" x14ac:dyDescent="0.2">
      <c r="A44" s="93" t="s">
        <v>1184</v>
      </c>
      <c r="B44" s="93" t="s">
        <v>1188</v>
      </c>
      <c r="C44" s="93" t="s">
        <v>46</v>
      </c>
      <c r="D44" s="93" t="s">
        <v>1224</v>
      </c>
      <c r="E44" s="94" t="s">
        <v>1143</v>
      </c>
      <c r="F44" s="112">
        <v>2421.9899999999998</v>
      </c>
      <c r="G44" s="106">
        <v>12</v>
      </c>
      <c r="H44" s="106"/>
      <c r="I44" s="94" t="s">
        <v>14</v>
      </c>
      <c r="K44" s="93"/>
      <c r="L44" s="93"/>
      <c r="M44" s="93"/>
    </row>
    <row r="45" spans="1:13" x14ac:dyDescent="0.2">
      <c r="A45" s="93" t="s">
        <v>99</v>
      </c>
      <c r="B45" s="93" t="s">
        <v>1187</v>
      </c>
      <c r="C45" s="93" t="s">
        <v>46</v>
      </c>
      <c r="D45" s="93" t="s">
        <v>12</v>
      </c>
      <c r="E45" s="94" t="s">
        <v>1143</v>
      </c>
      <c r="F45" s="112">
        <v>2794.2</v>
      </c>
      <c r="G45" s="106">
        <v>12</v>
      </c>
      <c r="H45" s="106"/>
      <c r="I45" s="94" t="s">
        <v>14</v>
      </c>
      <c r="K45" s="93"/>
      <c r="L45" s="93"/>
      <c r="M45" s="93"/>
    </row>
    <row r="46" spans="1:13" x14ac:dyDescent="0.2">
      <c r="A46" s="93" t="s">
        <v>506</v>
      </c>
      <c r="B46" s="93" t="s">
        <v>507</v>
      </c>
      <c r="C46" s="93" t="s">
        <v>46</v>
      </c>
      <c r="D46" s="93" t="s">
        <v>12</v>
      </c>
      <c r="E46" s="94" t="s">
        <v>1148</v>
      </c>
      <c r="F46" s="112">
        <v>1025.8800000000001</v>
      </c>
      <c r="G46" s="106">
        <v>13</v>
      </c>
      <c r="H46" s="106">
        <v>100</v>
      </c>
      <c r="I46" s="94" t="s">
        <v>14</v>
      </c>
      <c r="K46" s="93"/>
      <c r="L46" s="93"/>
      <c r="M46" s="93"/>
    </row>
    <row r="47" spans="1:13" x14ac:dyDescent="0.2">
      <c r="A47" s="93" t="s">
        <v>359</v>
      </c>
      <c r="B47" s="93" t="s">
        <v>360</v>
      </c>
      <c r="C47" s="93" t="s">
        <v>46</v>
      </c>
      <c r="D47" s="93" t="s">
        <v>12</v>
      </c>
      <c r="E47" s="94" t="s">
        <v>1148</v>
      </c>
      <c r="F47" s="112">
        <v>6573.58</v>
      </c>
      <c r="G47" s="106">
        <v>13</v>
      </c>
      <c r="H47" s="106">
        <v>32</v>
      </c>
      <c r="I47" s="94" t="s">
        <v>14</v>
      </c>
      <c r="K47" s="93"/>
      <c r="L47" s="93"/>
      <c r="M47" s="93"/>
    </row>
    <row r="48" spans="1:13" x14ac:dyDescent="0.2">
      <c r="A48" s="93" t="s">
        <v>280</v>
      </c>
      <c r="B48" s="93" t="s">
        <v>281</v>
      </c>
      <c r="C48" s="93" t="s">
        <v>22</v>
      </c>
      <c r="D48" s="93" t="s">
        <v>12</v>
      </c>
      <c r="E48" s="94" t="s">
        <v>1148</v>
      </c>
      <c r="F48" s="112">
        <v>798</v>
      </c>
      <c r="G48" s="106">
        <v>13</v>
      </c>
      <c r="H48" s="106">
        <v>49</v>
      </c>
      <c r="I48" s="94" t="s">
        <v>14</v>
      </c>
      <c r="K48" s="93"/>
      <c r="L48" s="93"/>
      <c r="M48" s="93"/>
    </row>
    <row r="49" spans="1:13" x14ac:dyDescent="0.2">
      <c r="A49" s="93" t="s">
        <v>352</v>
      </c>
      <c r="B49" s="93" t="s">
        <v>353</v>
      </c>
      <c r="C49" s="93" t="s">
        <v>36</v>
      </c>
      <c r="D49" s="93" t="s">
        <v>18</v>
      </c>
      <c r="E49" s="94" t="s">
        <v>1153</v>
      </c>
      <c r="F49" s="112">
        <v>2174.7199999999998</v>
      </c>
      <c r="G49" s="106">
        <v>14</v>
      </c>
      <c r="H49" s="106">
        <v>69.5</v>
      </c>
      <c r="I49" s="94" t="s">
        <v>14</v>
      </c>
      <c r="K49" s="93"/>
      <c r="L49" s="93"/>
      <c r="M49" s="93"/>
    </row>
    <row r="50" spans="1:13" x14ac:dyDescent="0.2">
      <c r="A50" s="93" t="s">
        <v>1189</v>
      </c>
      <c r="B50" s="93" t="s">
        <v>1190</v>
      </c>
      <c r="C50" s="93" t="s">
        <v>49</v>
      </c>
      <c r="D50" s="93" t="s">
        <v>32</v>
      </c>
      <c r="E50" s="94" t="s">
        <v>1153</v>
      </c>
      <c r="F50" s="112">
        <v>1603.62</v>
      </c>
      <c r="G50" s="106">
        <v>14</v>
      </c>
      <c r="H50" s="106"/>
      <c r="I50" s="94" t="s">
        <v>14</v>
      </c>
      <c r="K50" s="93"/>
      <c r="L50" s="93"/>
      <c r="M50" s="93"/>
    </row>
    <row r="51" spans="1:13" x14ac:dyDescent="0.2">
      <c r="A51" s="93" t="s">
        <v>533</v>
      </c>
      <c r="B51" s="93" t="s">
        <v>534</v>
      </c>
      <c r="C51" s="93" t="s">
        <v>36</v>
      </c>
      <c r="D51" s="93" t="s">
        <v>18</v>
      </c>
      <c r="E51" s="94" t="s">
        <v>1153</v>
      </c>
      <c r="F51" s="112">
        <v>1269.8499999999999</v>
      </c>
      <c r="G51" s="106">
        <v>14</v>
      </c>
      <c r="H51" s="106">
        <v>83.5</v>
      </c>
      <c r="I51" s="94" t="s">
        <v>14</v>
      </c>
      <c r="K51" s="93"/>
      <c r="L51" s="93"/>
      <c r="M51" s="93"/>
    </row>
    <row r="52" spans="1:13" x14ac:dyDescent="0.2">
      <c r="A52" s="93" t="s">
        <v>448</v>
      </c>
      <c r="B52" s="93" t="s">
        <v>449</v>
      </c>
      <c r="C52" s="93" t="s">
        <v>46</v>
      </c>
      <c r="D52" s="93" t="s">
        <v>32</v>
      </c>
      <c r="E52" s="94" t="s">
        <v>1153</v>
      </c>
      <c r="F52" s="112">
        <v>1393.62</v>
      </c>
      <c r="G52" s="106">
        <v>14</v>
      </c>
      <c r="H52" s="106">
        <v>88</v>
      </c>
      <c r="I52" s="94" t="s">
        <v>14</v>
      </c>
      <c r="K52" s="93"/>
      <c r="L52" s="93"/>
      <c r="M52" s="93"/>
    </row>
    <row r="53" spans="1:13" x14ac:dyDescent="0.2">
      <c r="A53" s="93" t="s">
        <v>190</v>
      </c>
      <c r="B53" s="93" t="s">
        <v>191</v>
      </c>
      <c r="C53" s="93" t="s">
        <v>46</v>
      </c>
      <c r="D53" s="93" t="s">
        <v>12</v>
      </c>
      <c r="E53" s="94" t="s">
        <v>1153</v>
      </c>
      <c r="F53" s="112">
        <v>1824.33</v>
      </c>
      <c r="G53" s="106">
        <v>14</v>
      </c>
      <c r="H53" s="106">
        <v>38</v>
      </c>
      <c r="I53" s="94" t="s">
        <v>14</v>
      </c>
      <c r="K53" s="93"/>
      <c r="L53" s="93"/>
      <c r="M53" s="93"/>
    </row>
    <row r="54" spans="1:13" x14ac:dyDescent="0.2">
      <c r="A54" s="93" t="s">
        <v>47</v>
      </c>
      <c r="B54" s="93" t="s">
        <v>48</v>
      </c>
      <c r="C54" s="93" t="s">
        <v>49</v>
      </c>
      <c r="D54" s="93" t="s">
        <v>18</v>
      </c>
      <c r="E54" s="94" t="s">
        <v>1153</v>
      </c>
      <c r="F54" s="112">
        <v>727.86</v>
      </c>
      <c r="G54" s="106">
        <v>14</v>
      </c>
      <c r="H54" s="106">
        <v>19</v>
      </c>
      <c r="I54" s="94" t="s">
        <v>14</v>
      </c>
      <c r="K54" s="93"/>
      <c r="L54" s="93"/>
      <c r="M54" s="93"/>
    </row>
    <row r="55" spans="1:13" x14ac:dyDescent="0.2">
      <c r="A55" s="93" t="s">
        <v>1191</v>
      </c>
      <c r="B55" s="93" t="s">
        <v>1192</v>
      </c>
      <c r="C55" s="93" t="s">
        <v>11</v>
      </c>
      <c r="D55" s="93" t="s">
        <v>18</v>
      </c>
      <c r="E55" s="94" t="s">
        <v>1153</v>
      </c>
      <c r="F55" s="112">
        <v>1809</v>
      </c>
      <c r="G55" s="106">
        <v>14</v>
      </c>
      <c r="H55" s="106"/>
      <c r="I55" s="94" t="s">
        <v>14</v>
      </c>
      <c r="K55" s="93"/>
      <c r="L55" s="93"/>
      <c r="M55" s="93"/>
    </row>
    <row r="56" spans="1:13" x14ac:dyDescent="0.2">
      <c r="A56" s="93" t="s">
        <v>337</v>
      </c>
      <c r="B56" s="93" t="s">
        <v>338</v>
      </c>
      <c r="C56" s="93" t="s">
        <v>11</v>
      </c>
      <c r="D56" s="93" t="s">
        <v>18</v>
      </c>
      <c r="E56" s="94" t="s">
        <v>1156</v>
      </c>
      <c r="F56" s="112">
        <v>1879.39</v>
      </c>
      <c r="G56" s="106">
        <v>15</v>
      </c>
      <c r="H56" s="106">
        <v>34.200000000000003</v>
      </c>
      <c r="I56" s="94" t="s">
        <v>14</v>
      </c>
      <c r="K56" s="93"/>
      <c r="L56" s="93"/>
      <c r="M56" s="93"/>
    </row>
    <row r="57" spans="1:13" x14ac:dyDescent="0.2">
      <c r="A57" s="93" t="s">
        <v>893</v>
      </c>
      <c r="B57" s="93" t="s">
        <v>894</v>
      </c>
      <c r="C57" s="93" t="s">
        <v>11</v>
      </c>
      <c r="D57" s="93" t="s">
        <v>12</v>
      </c>
      <c r="E57" s="94" t="s">
        <v>1156</v>
      </c>
      <c r="F57" s="112">
        <v>681.48</v>
      </c>
      <c r="G57" s="106">
        <v>15</v>
      </c>
      <c r="H57" s="106"/>
      <c r="I57" s="94" t="s">
        <v>14</v>
      </c>
      <c r="K57" s="93"/>
      <c r="L57" s="93"/>
      <c r="M57" s="93"/>
    </row>
    <row r="58" spans="1:13" x14ac:dyDescent="0.2">
      <c r="A58" s="93" t="s">
        <v>1193</v>
      </c>
      <c r="B58" s="93" t="s">
        <v>938</v>
      </c>
      <c r="C58" s="93" t="s">
        <v>46</v>
      </c>
      <c r="D58" s="93" t="s">
        <v>12</v>
      </c>
      <c r="E58" s="94" t="s">
        <v>1156</v>
      </c>
      <c r="F58" s="112">
        <v>2525.84</v>
      </c>
      <c r="G58" s="106">
        <v>15</v>
      </c>
      <c r="H58" s="106"/>
      <c r="I58" s="94" t="s">
        <v>14</v>
      </c>
      <c r="K58" s="93"/>
      <c r="L58" s="93"/>
      <c r="M58" s="93"/>
    </row>
    <row r="59" spans="1:13" x14ac:dyDescent="0.2">
      <c r="A59" s="93" t="s">
        <v>455</v>
      </c>
      <c r="B59" s="93" t="s">
        <v>456</v>
      </c>
      <c r="C59" s="93" t="s">
        <v>17</v>
      </c>
      <c r="D59" s="93" t="s">
        <v>12</v>
      </c>
      <c r="E59" s="94" t="s">
        <v>1161</v>
      </c>
      <c r="F59" s="112">
        <v>658.4</v>
      </c>
      <c r="G59" s="106">
        <v>18</v>
      </c>
      <c r="H59" s="106">
        <v>85</v>
      </c>
      <c r="I59" s="94" t="s">
        <v>14</v>
      </c>
      <c r="K59" s="93"/>
      <c r="L59" s="93"/>
      <c r="M59" s="93"/>
    </row>
    <row r="60" spans="1:13" x14ac:dyDescent="0.2">
      <c r="A60" s="93" t="s">
        <v>388</v>
      </c>
      <c r="B60" s="93" t="s">
        <v>389</v>
      </c>
      <c r="C60" s="93" t="s">
        <v>49</v>
      </c>
      <c r="D60" s="93" t="s">
        <v>18</v>
      </c>
      <c r="E60" s="94" t="s">
        <v>1164</v>
      </c>
      <c r="F60" s="112">
        <v>1427.88</v>
      </c>
      <c r="G60" s="106">
        <v>19</v>
      </c>
      <c r="H60" s="106">
        <v>66</v>
      </c>
      <c r="I60" s="94" t="s">
        <v>14</v>
      </c>
      <c r="K60" s="93"/>
      <c r="L60" s="93"/>
      <c r="M60" s="93"/>
    </row>
    <row r="61" spans="1:13" x14ac:dyDescent="0.2">
      <c r="A61" s="93" t="s">
        <v>88</v>
      </c>
      <c r="B61" s="93" t="s">
        <v>89</v>
      </c>
      <c r="C61" s="93" t="s">
        <v>59</v>
      </c>
      <c r="D61" s="93" t="s">
        <v>18</v>
      </c>
      <c r="E61" s="94" t="s">
        <v>1164</v>
      </c>
      <c r="F61" s="112">
        <v>5299.97</v>
      </c>
      <c r="G61" s="106">
        <v>19</v>
      </c>
      <c r="H61" s="106">
        <v>29</v>
      </c>
      <c r="I61" s="94" t="s">
        <v>14</v>
      </c>
      <c r="K61" s="93"/>
      <c r="L61" s="93"/>
      <c r="M61" s="93"/>
    </row>
    <row r="62" spans="1:13" x14ac:dyDescent="0.2">
      <c r="A62" s="93" t="s">
        <v>436</v>
      </c>
      <c r="B62" s="93" t="s">
        <v>437</v>
      </c>
      <c r="C62" s="93" t="s">
        <v>140</v>
      </c>
      <c r="D62" s="93" t="s">
        <v>18</v>
      </c>
      <c r="E62" s="94" t="s">
        <v>1164</v>
      </c>
      <c r="F62" s="112">
        <v>1542.37</v>
      </c>
      <c r="G62" s="106">
        <v>19</v>
      </c>
      <c r="H62" s="106">
        <v>80</v>
      </c>
      <c r="I62" s="94" t="s">
        <v>14</v>
      </c>
      <c r="K62" s="93"/>
      <c r="L62" s="93"/>
      <c r="M62" s="93"/>
    </row>
    <row r="63" spans="1:13" x14ac:dyDescent="0.2">
      <c r="A63" s="93" t="s">
        <v>304</v>
      </c>
      <c r="B63" s="93" t="s">
        <v>305</v>
      </c>
      <c r="C63" s="93" t="s">
        <v>46</v>
      </c>
      <c r="D63" s="93" t="s">
        <v>12</v>
      </c>
      <c r="E63" s="94" t="s">
        <v>1164</v>
      </c>
      <c r="F63" s="112">
        <v>692.03</v>
      </c>
      <c r="G63" s="106">
        <v>19</v>
      </c>
      <c r="H63" s="106">
        <v>49</v>
      </c>
      <c r="I63" s="94" t="s">
        <v>14</v>
      </c>
      <c r="K63" s="93"/>
      <c r="L63" s="93"/>
      <c r="M63" s="93"/>
    </row>
    <row r="64" spans="1:13" x14ac:dyDescent="0.2">
      <c r="A64" s="93" t="s">
        <v>1194</v>
      </c>
      <c r="B64" s="93" t="s">
        <v>1195</v>
      </c>
      <c r="C64" s="93" t="s">
        <v>17</v>
      </c>
      <c r="D64" s="93" t="s">
        <v>32</v>
      </c>
      <c r="E64" s="94" t="s">
        <v>1165</v>
      </c>
      <c r="F64" s="112">
        <v>4972.49</v>
      </c>
      <c r="G64" s="106">
        <v>20</v>
      </c>
      <c r="H64" s="106"/>
      <c r="I64" s="94" t="s">
        <v>14</v>
      </c>
      <c r="K64" s="93"/>
      <c r="L64" s="93"/>
      <c r="M64" s="93"/>
    </row>
    <row r="65" spans="1:13" x14ac:dyDescent="0.2">
      <c r="A65" s="93" t="s">
        <v>168</v>
      </c>
      <c r="B65" s="93" t="s">
        <v>169</v>
      </c>
      <c r="C65" s="93" t="s">
        <v>46</v>
      </c>
      <c r="D65" s="93" t="s">
        <v>12</v>
      </c>
      <c r="E65" s="94" t="s">
        <v>1165</v>
      </c>
      <c r="F65" s="112">
        <v>2129.81</v>
      </c>
      <c r="G65" s="106">
        <v>20</v>
      </c>
      <c r="H65" s="106">
        <v>22</v>
      </c>
      <c r="I65" s="94" t="s">
        <v>14</v>
      </c>
      <c r="K65" s="93"/>
      <c r="L65" s="93"/>
      <c r="M65" s="93"/>
    </row>
    <row r="66" spans="1:13" x14ac:dyDescent="0.2">
      <c r="A66" s="93" t="s">
        <v>138</v>
      </c>
      <c r="B66" s="93" t="s">
        <v>139</v>
      </c>
      <c r="C66" s="93" t="s">
        <v>140</v>
      </c>
      <c r="D66" s="93" t="s">
        <v>18</v>
      </c>
      <c r="E66" s="94" t="s">
        <v>1165</v>
      </c>
      <c r="F66" s="112">
        <v>1680.08</v>
      </c>
      <c r="G66" s="106">
        <v>20</v>
      </c>
      <c r="H66" s="106">
        <v>28</v>
      </c>
      <c r="I66" s="94" t="s">
        <v>14</v>
      </c>
      <c r="K66" s="93"/>
      <c r="L66" s="93"/>
      <c r="M66" s="93"/>
    </row>
    <row r="67" spans="1:13" x14ac:dyDescent="0.2">
      <c r="A67" s="93" t="s">
        <v>251</v>
      </c>
      <c r="B67" s="93" t="s">
        <v>252</v>
      </c>
      <c r="C67" s="93" t="s">
        <v>31</v>
      </c>
      <c r="D67" s="93" t="s">
        <v>18</v>
      </c>
      <c r="E67" s="94" t="s">
        <v>1165</v>
      </c>
      <c r="F67" s="112">
        <v>1442.87</v>
      </c>
      <c r="G67" s="106">
        <v>20</v>
      </c>
      <c r="H67" s="106">
        <v>40</v>
      </c>
      <c r="I67" s="94" t="s">
        <v>14</v>
      </c>
      <c r="K67" s="93"/>
      <c r="L67" s="93"/>
      <c r="M67" s="93"/>
    </row>
    <row r="68" spans="1:13" x14ac:dyDescent="0.2">
      <c r="A68" s="93" t="s">
        <v>1196</v>
      </c>
      <c r="B68" s="93" t="s">
        <v>848</v>
      </c>
      <c r="C68" s="93" t="s">
        <v>36</v>
      </c>
      <c r="D68" s="93" t="s">
        <v>12</v>
      </c>
      <c r="E68" s="94" t="s">
        <v>1165</v>
      </c>
      <c r="F68" s="112">
        <v>6510.59</v>
      </c>
      <c r="G68" s="106">
        <v>20</v>
      </c>
      <c r="H68" s="106"/>
      <c r="I68" s="94" t="s">
        <v>14</v>
      </c>
      <c r="K68" s="93"/>
      <c r="L68" s="93"/>
      <c r="M68" s="93"/>
    </row>
    <row r="69" spans="1:13" x14ac:dyDescent="0.2">
      <c r="A69" s="93" t="s">
        <v>434</v>
      </c>
      <c r="B69" s="93" t="s">
        <v>435</v>
      </c>
      <c r="C69" s="93" t="s">
        <v>11</v>
      </c>
      <c r="D69" s="93" t="s">
        <v>18</v>
      </c>
      <c r="E69" s="94" t="s">
        <v>1165</v>
      </c>
      <c r="F69" s="112">
        <v>1215.54</v>
      </c>
      <c r="G69" s="106">
        <v>20</v>
      </c>
      <c r="H69" s="106">
        <v>79</v>
      </c>
      <c r="I69" s="94" t="s">
        <v>14</v>
      </c>
      <c r="K69" s="93"/>
      <c r="L69" s="93"/>
      <c r="M69" s="93"/>
    </row>
    <row r="70" spans="1:13" x14ac:dyDescent="0.2">
      <c r="A70" s="93" t="s">
        <v>196</v>
      </c>
      <c r="B70" s="93" t="s">
        <v>197</v>
      </c>
      <c r="C70" s="93" t="s">
        <v>11</v>
      </c>
      <c r="D70" s="93" t="s">
        <v>12</v>
      </c>
      <c r="E70" s="94" t="s">
        <v>1165</v>
      </c>
      <c r="F70" s="112">
        <v>3231.74</v>
      </c>
      <c r="G70" s="106">
        <v>20</v>
      </c>
      <c r="H70" s="106">
        <v>32</v>
      </c>
      <c r="I70" s="94" t="s">
        <v>14</v>
      </c>
      <c r="K70" s="93"/>
      <c r="L70" s="93"/>
      <c r="M70" s="93"/>
    </row>
    <row r="71" spans="1:13" x14ac:dyDescent="0.2">
      <c r="A71" s="93" t="s">
        <v>1197</v>
      </c>
      <c r="B71" s="93" t="s">
        <v>864</v>
      </c>
      <c r="C71" s="93" t="s">
        <v>11</v>
      </c>
      <c r="D71" s="93" t="s">
        <v>12</v>
      </c>
      <c r="E71" s="94" t="s">
        <v>1165</v>
      </c>
      <c r="F71" s="112">
        <v>687.6</v>
      </c>
      <c r="G71" s="106">
        <v>20</v>
      </c>
      <c r="H71" s="106"/>
      <c r="I71" s="94" t="s">
        <v>14</v>
      </c>
      <c r="K71" s="93"/>
      <c r="L71" s="93"/>
      <c r="M71" s="93"/>
    </row>
    <row r="72" spans="1:13" x14ac:dyDescent="0.2">
      <c r="A72" s="93" t="s">
        <v>194</v>
      </c>
      <c r="B72" s="93" t="s">
        <v>195</v>
      </c>
      <c r="C72" s="93" t="s">
        <v>17</v>
      </c>
      <c r="D72" s="93" t="s">
        <v>12</v>
      </c>
      <c r="E72" s="94" t="s">
        <v>1165</v>
      </c>
      <c r="F72" s="112">
        <v>683.35</v>
      </c>
      <c r="G72" s="106">
        <v>20</v>
      </c>
      <c r="H72" s="106">
        <v>33</v>
      </c>
      <c r="I72" s="94" t="s">
        <v>14</v>
      </c>
      <c r="K72" s="93"/>
      <c r="L72" s="93"/>
      <c r="M72" s="93"/>
    </row>
    <row r="73" spans="1:13" x14ac:dyDescent="0.2">
      <c r="A73" s="93" t="s">
        <v>856</v>
      </c>
      <c r="B73" s="93" t="s">
        <v>857</v>
      </c>
      <c r="C73" s="93" t="s">
        <v>328</v>
      </c>
      <c r="D73" s="93" t="s">
        <v>12</v>
      </c>
      <c r="E73" s="94" t="s">
        <v>1165</v>
      </c>
      <c r="F73" s="112">
        <v>2682.5</v>
      </c>
      <c r="G73" s="106">
        <v>20</v>
      </c>
      <c r="H73" s="106"/>
      <c r="I73" s="94" t="s">
        <v>14</v>
      </c>
      <c r="K73" s="93"/>
      <c r="L73" s="93"/>
      <c r="M73" s="93"/>
    </row>
    <row r="74" spans="1:13" x14ac:dyDescent="0.2">
      <c r="A74" s="93" t="s">
        <v>1198</v>
      </c>
      <c r="B74" s="93" t="s">
        <v>852</v>
      </c>
      <c r="C74" s="93" t="s">
        <v>36</v>
      </c>
      <c r="D74" s="93" t="s">
        <v>12</v>
      </c>
      <c r="E74" s="94" t="s">
        <v>1165</v>
      </c>
      <c r="F74" s="112">
        <v>668.57</v>
      </c>
      <c r="G74" s="106">
        <v>20</v>
      </c>
      <c r="H74" s="106"/>
      <c r="I74" s="94" t="s">
        <v>14</v>
      </c>
      <c r="K74" s="93"/>
      <c r="L74" s="93"/>
      <c r="M74" s="93"/>
    </row>
    <row r="75" spans="1:13" x14ac:dyDescent="0.2">
      <c r="A75" s="93" t="s">
        <v>1199</v>
      </c>
      <c r="B75" s="93" t="s">
        <v>1200</v>
      </c>
      <c r="C75" s="93" t="s">
        <v>46</v>
      </c>
      <c r="D75" s="93" t="s">
        <v>32</v>
      </c>
      <c r="E75" s="94" t="s">
        <v>1165</v>
      </c>
      <c r="F75" s="112">
        <v>1204.22</v>
      </c>
      <c r="G75" s="106">
        <v>20</v>
      </c>
      <c r="H75" s="106"/>
      <c r="I75" s="94" t="s">
        <v>14</v>
      </c>
      <c r="K75" s="93"/>
      <c r="L75" s="93"/>
      <c r="M75" s="93"/>
    </row>
    <row r="76" spans="1:13" x14ac:dyDescent="0.2">
      <c r="A76" s="93" t="s">
        <v>1201</v>
      </c>
      <c r="B76" s="93" t="s">
        <v>701</v>
      </c>
      <c r="C76" s="93" t="s">
        <v>52</v>
      </c>
      <c r="D76" s="93" t="s">
        <v>18</v>
      </c>
      <c r="E76" s="94" t="s">
        <v>1168</v>
      </c>
      <c r="F76" s="112">
        <v>1206.1199999999999</v>
      </c>
      <c r="G76" s="106">
        <v>21</v>
      </c>
      <c r="H76" s="106">
        <v>166</v>
      </c>
      <c r="I76" s="94" t="s">
        <v>14</v>
      </c>
      <c r="K76" s="93"/>
      <c r="L76" s="93"/>
      <c r="M76" s="93"/>
    </row>
    <row r="77" spans="1:13" x14ac:dyDescent="0.2">
      <c r="A77" s="93" t="s">
        <v>209</v>
      </c>
      <c r="B77" s="93" t="s">
        <v>210</v>
      </c>
      <c r="C77" s="93" t="s">
        <v>17</v>
      </c>
      <c r="D77" s="93" t="s">
        <v>12</v>
      </c>
      <c r="E77" s="94" t="s">
        <v>1168</v>
      </c>
      <c r="F77" s="112">
        <v>1310.86</v>
      </c>
      <c r="G77" s="106">
        <v>21</v>
      </c>
      <c r="H77" s="106">
        <v>45</v>
      </c>
      <c r="I77" s="94" t="s">
        <v>14</v>
      </c>
      <c r="K77" s="93"/>
      <c r="L77" s="93"/>
      <c r="M77" s="93"/>
    </row>
    <row r="78" spans="1:13" x14ac:dyDescent="0.2">
      <c r="A78" s="93" t="s">
        <v>209</v>
      </c>
      <c r="B78" s="93" t="s">
        <v>211</v>
      </c>
      <c r="C78" s="93" t="s">
        <v>17</v>
      </c>
      <c r="D78" s="93" t="s">
        <v>12</v>
      </c>
      <c r="E78" s="94" t="s">
        <v>1168</v>
      </c>
      <c r="F78" s="112">
        <v>908.9</v>
      </c>
      <c r="G78" s="106">
        <v>21</v>
      </c>
      <c r="H78" s="106">
        <v>45</v>
      </c>
      <c r="I78" s="94" t="s">
        <v>14</v>
      </c>
      <c r="K78" s="93"/>
      <c r="L78" s="93"/>
      <c r="M78" s="93"/>
    </row>
    <row r="79" spans="1:13" x14ac:dyDescent="0.2">
      <c r="A79" s="93" t="s">
        <v>212</v>
      </c>
      <c r="B79" s="93" t="s">
        <v>213</v>
      </c>
      <c r="C79" s="93" t="s">
        <v>17</v>
      </c>
      <c r="D79" s="93" t="s">
        <v>12</v>
      </c>
      <c r="E79" s="94" t="s">
        <v>1168</v>
      </c>
      <c r="F79" s="112">
        <v>2887.26</v>
      </c>
      <c r="G79" s="106">
        <v>21</v>
      </c>
      <c r="H79" s="106">
        <v>45</v>
      </c>
      <c r="I79" s="94" t="s">
        <v>14</v>
      </c>
      <c r="K79" s="93"/>
      <c r="L79" s="93"/>
      <c r="M79" s="93"/>
    </row>
    <row r="80" spans="1:13" x14ac:dyDescent="0.2">
      <c r="A80" s="93" t="s">
        <v>92</v>
      </c>
      <c r="B80" s="93" t="s">
        <v>93</v>
      </c>
      <c r="C80" s="93" t="s">
        <v>22</v>
      </c>
      <c r="D80" s="93" t="s">
        <v>12</v>
      </c>
      <c r="E80" s="94" t="s">
        <v>1168</v>
      </c>
      <c r="F80" s="112">
        <v>731.55</v>
      </c>
      <c r="G80" s="106">
        <v>21</v>
      </c>
      <c r="H80" s="106">
        <v>19</v>
      </c>
      <c r="I80" s="94" t="s">
        <v>14</v>
      </c>
      <c r="K80" s="93"/>
      <c r="L80" s="93"/>
      <c r="M80" s="93"/>
    </row>
    <row r="81" spans="1:13" x14ac:dyDescent="0.2">
      <c r="A81" s="93" t="s">
        <v>526</v>
      </c>
      <c r="B81" s="93" t="s">
        <v>527</v>
      </c>
      <c r="C81" s="93" t="s">
        <v>46</v>
      </c>
      <c r="D81" s="93" t="s">
        <v>32</v>
      </c>
      <c r="E81" s="94" t="s">
        <v>1175</v>
      </c>
      <c r="F81" s="112">
        <v>2126.48</v>
      </c>
      <c r="G81" s="106">
        <v>22</v>
      </c>
      <c r="H81" s="106">
        <v>96</v>
      </c>
      <c r="I81" s="94" t="s">
        <v>14</v>
      </c>
      <c r="K81" s="93"/>
      <c r="L81" s="93"/>
      <c r="M81" s="93"/>
    </row>
    <row r="82" spans="1:13" x14ac:dyDescent="0.2">
      <c r="A82" s="93" t="s">
        <v>1202</v>
      </c>
      <c r="B82" s="93" t="s">
        <v>1203</v>
      </c>
      <c r="C82" s="93" t="s">
        <v>36</v>
      </c>
      <c r="D82" s="93" t="s">
        <v>32</v>
      </c>
      <c r="E82" s="94" t="s">
        <v>1175</v>
      </c>
      <c r="F82" s="112">
        <v>655.21</v>
      </c>
      <c r="G82" s="106">
        <v>22</v>
      </c>
      <c r="H82" s="106"/>
      <c r="I82" s="94" t="s">
        <v>14</v>
      </c>
      <c r="K82" s="93"/>
      <c r="L82" s="93"/>
      <c r="M82" s="93"/>
    </row>
    <row r="83" spans="1:13" x14ac:dyDescent="0.2">
      <c r="A83" s="93" t="s">
        <v>1198</v>
      </c>
      <c r="B83" s="93" t="s">
        <v>835</v>
      </c>
      <c r="C83" s="93" t="s">
        <v>17</v>
      </c>
      <c r="D83" s="93" t="s">
        <v>12</v>
      </c>
      <c r="E83" s="94" t="s">
        <v>1175</v>
      </c>
      <c r="F83" s="112">
        <v>773.69</v>
      </c>
      <c r="G83" s="106">
        <v>22</v>
      </c>
      <c r="H83" s="106"/>
      <c r="I83" s="94" t="s">
        <v>14</v>
      </c>
      <c r="K83" s="93"/>
      <c r="L83" s="93"/>
      <c r="M83" s="93"/>
    </row>
    <row r="84" spans="1:13" x14ac:dyDescent="0.2">
      <c r="A84" s="93" t="s">
        <v>1204</v>
      </c>
      <c r="B84" s="93" t="s">
        <v>1205</v>
      </c>
      <c r="C84" s="93" t="s">
        <v>17</v>
      </c>
      <c r="D84" s="93" t="s">
        <v>32</v>
      </c>
      <c r="E84" s="94" t="s">
        <v>1226</v>
      </c>
      <c r="F84" s="112">
        <v>961.38</v>
      </c>
      <c r="G84" s="106">
        <v>25</v>
      </c>
      <c r="H84" s="106"/>
      <c r="I84" s="94" t="s">
        <v>14</v>
      </c>
      <c r="K84" s="93"/>
      <c r="L84" s="93"/>
      <c r="M84" s="93"/>
    </row>
    <row r="85" spans="1:13" x14ac:dyDescent="0.2">
      <c r="A85" s="93" t="s">
        <v>73</v>
      </c>
      <c r="B85" s="93" t="s">
        <v>74</v>
      </c>
      <c r="C85" s="93" t="s">
        <v>46</v>
      </c>
      <c r="D85" s="93" t="s">
        <v>32</v>
      </c>
      <c r="E85" s="94" t="s">
        <v>1226</v>
      </c>
      <c r="F85" s="112">
        <v>2748.6</v>
      </c>
      <c r="G85" s="106">
        <v>25</v>
      </c>
      <c r="H85" s="106">
        <v>42.333300000000001</v>
      </c>
      <c r="I85" s="94" t="s">
        <v>14</v>
      </c>
      <c r="K85" s="93"/>
      <c r="L85" s="93"/>
      <c r="M85" s="93"/>
    </row>
    <row r="86" spans="1:13" x14ac:dyDescent="0.2">
      <c r="A86" s="93" t="s">
        <v>1206</v>
      </c>
      <c r="B86" s="93" t="s">
        <v>1207</v>
      </c>
      <c r="C86" s="93" t="s">
        <v>22</v>
      </c>
      <c r="D86" s="93" t="s">
        <v>32</v>
      </c>
      <c r="E86" s="94" t="s">
        <v>1226</v>
      </c>
      <c r="F86" s="112">
        <v>1025.6600000000001</v>
      </c>
      <c r="G86" s="106">
        <v>25</v>
      </c>
      <c r="H86" s="106"/>
      <c r="I86" s="94" t="s">
        <v>14</v>
      </c>
      <c r="K86" s="93"/>
      <c r="L86" s="93"/>
      <c r="M86" s="93"/>
    </row>
    <row r="87" spans="1:13" x14ac:dyDescent="0.2">
      <c r="A87" s="93" t="s">
        <v>417</v>
      </c>
      <c r="B87" s="93" t="s">
        <v>418</v>
      </c>
      <c r="C87" s="93" t="s">
        <v>22</v>
      </c>
      <c r="D87" s="93" t="s">
        <v>12</v>
      </c>
      <c r="E87" s="94" t="s">
        <v>13</v>
      </c>
      <c r="F87" s="112">
        <v>1106.6300000000001</v>
      </c>
      <c r="G87" s="106">
        <v>26</v>
      </c>
      <c r="H87" s="106">
        <v>42.5</v>
      </c>
      <c r="I87" s="94" t="s">
        <v>14</v>
      </c>
      <c r="K87" s="93"/>
      <c r="L87" s="93"/>
      <c r="M87" s="93"/>
    </row>
    <row r="88" spans="1:13" x14ac:dyDescent="0.2">
      <c r="A88" s="93" t="s">
        <v>75</v>
      </c>
      <c r="B88" s="93" t="s">
        <v>76</v>
      </c>
      <c r="C88" s="93" t="s">
        <v>46</v>
      </c>
      <c r="D88" s="93" t="s">
        <v>12</v>
      </c>
      <c r="E88" s="94" t="s">
        <v>13</v>
      </c>
      <c r="F88" s="112">
        <v>1267.1099999999999</v>
      </c>
      <c r="G88" s="106">
        <v>26</v>
      </c>
      <c r="H88" s="106">
        <v>35.5</v>
      </c>
      <c r="I88" s="94" t="s">
        <v>14</v>
      </c>
      <c r="K88" s="93"/>
      <c r="L88" s="93"/>
      <c r="M88" s="93"/>
    </row>
    <row r="89" spans="1:13" x14ac:dyDescent="0.2">
      <c r="A89" s="93" t="s">
        <v>9</v>
      </c>
      <c r="B89" s="93" t="s">
        <v>10</v>
      </c>
      <c r="C89" s="93" t="s">
        <v>11</v>
      </c>
      <c r="D89" s="93" t="s">
        <v>12</v>
      </c>
      <c r="E89" s="94" t="s">
        <v>13</v>
      </c>
      <c r="F89" s="112">
        <v>1134</v>
      </c>
      <c r="G89" s="106">
        <v>26</v>
      </c>
      <c r="H89" s="106"/>
      <c r="I89" s="94" t="s">
        <v>14</v>
      </c>
      <c r="K89" s="93"/>
      <c r="L89" s="93"/>
      <c r="M89" s="93"/>
    </row>
    <row r="90" spans="1:13" x14ac:dyDescent="0.2">
      <c r="A90" s="93" t="s">
        <v>620</v>
      </c>
      <c r="B90" s="93" t="s">
        <v>1208</v>
      </c>
      <c r="C90" s="93" t="s">
        <v>17</v>
      </c>
      <c r="D90" s="93" t="s">
        <v>12</v>
      </c>
      <c r="E90" s="94" t="s">
        <v>13</v>
      </c>
      <c r="F90" s="112">
        <v>5187.1499999999996</v>
      </c>
      <c r="G90" s="106">
        <v>26</v>
      </c>
      <c r="H90" s="106"/>
      <c r="I90" s="94" t="s">
        <v>14</v>
      </c>
      <c r="K90" s="93"/>
      <c r="L90" s="93"/>
      <c r="M90" s="93"/>
    </row>
    <row r="91" spans="1:13" x14ac:dyDescent="0.2">
      <c r="A91" s="93" t="s">
        <v>1209</v>
      </c>
      <c r="B91" s="93" t="s">
        <v>1210</v>
      </c>
      <c r="C91" s="93" t="s">
        <v>49</v>
      </c>
      <c r="D91" s="93" t="s">
        <v>12</v>
      </c>
      <c r="E91" s="94" t="s">
        <v>13</v>
      </c>
      <c r="F91" s="112">
        <v>3343</v>
      </c>
      <c r="G91" s="106">
        <v>26</v>
      </c>
      <c r="H91" s="106"/>
      <c r="I91" s="94" t="s">
        <v>14</v>
      </c>
      <c r="K91" s="93"/>
      <c r="L91" s="93"/>
      <c r="M91" s="93"/>
    </row>
    <row r="92" spans="1:13" x14ac:dyDescent="0.2">
      <c r="A92" s="93" t="s">
        <v>1211</v>
      </c>
      <c r="B92" s="93" t="s">
        <v>1212</v>
      </c>
      <c r="C92" s="93" t="s">
        <v>49</v>
      </c>
      <c r="D92" s="93" t="s">
        <v>12</v>
      </c>
      <c r="E92" s="94" t="s">
        <v>13</v>
      </c>
      <c r="F92" s="112">
        <v>3863.5</v>
      </c>
      <c r="G92" s="106">
        <v>26</v>
      </c>
      <c r="H92" s="106"/>
      <c r="I92" s="94" t="s">
        <v>14</v>
      </c>
      <c r="K92" s="93"/>
      <c r="L92" s="93"/>
      <c r="M92" s="93"/>
    </row>
    <row r="93" spans="1:13" x14ac:dyDescent="0.2">
      <c r="A93" s="93" t="s">
        <v>15</v>
      </c>
      <c r="B93" s="93" t="s">
        <v>16</v>
      </c>
      <c r="C93" s="93" t="s">
        <v>17</v>
      </c>
      <c r="D93" s="93" t="s">
        <v>18</v>
      </c>
      <c r="E93" s="94" t="s">
        <v>19</v>
      </c>
      <c r="F93" s="112">
        <v>2088.6999999999998</v>
      </c>
      <c r="G93" s="106">
        <v>27</v>
      </c>
      <c r="H93" s="106">
        <v>17.5</v>
      </c>
      <c r="I93" s="94" t="s">
        <v>14</v>
      </c>
      <c r="K93" s="93"/>
      <c r="L93" s="93"/>
      <c r="M93" s="93"/>
    </row>
    <row r="94" spans="1:13" x14ac:dyDescent="0.2">
      <c r="A94" s="93" t="s">
        <v>81</v>
      </c>
      <c r="B94" s="93" t="s">
        <v>82</v>
      </c>
      <c r="C94" s="93" t="s">
        <v>46</v>
      </c>
      <c r="D94" s="93" t="s">
        <v>12</v>
      </c>
      <c r="E94" s="94" t="s">
        <v>19</v>
      </c>
      <c r="F94" s="112">
        <v>1188.55</v>
      </c>
      <c r="G94" s="106">
        <v>27</v>
      </c>
      <c r="H94" s="106">
        <v>46</v>
      </c>
      <c r="I94" s="94" t="s">
        <v>14</v>
      </c>
      <c r="K94" s="93"/>
      <c r="L94" s="93"/>
      <c r="M94" s="93"/>
    </row>
    <row r="95" spans="1:13" x14ac:dyDescent="0.2">
      <c r="A95" s="93" t="s">
        <v>604</v>
      </c>
      <c r="B95" s="93" t="s">
        <v>605</v>
      </c>
      <c r="C95" s="93" t="s">
        <v>22</v>
      </c>
      <c r="D95" s="93" t="s">
        <v>12</v>
      </c>
      <c r="E95" s="94" t="s">
        <v>19</v>
      </c>
      <c r="F95" s="112">
        <v>691.39</v>
      </c>
      <c r="G95" s="106">
        <v>27</v>
      </c>
      <c r="H95" s="106">
        <v>117</v>
      </c>
      <c r="I95" s="94" t="s">
        <v>14</v>
      </c>
      <c r="K95" s="93"/>
      <c r="L95" s="93"/>
      <c r="M95" s="93"/>
    </row>
    <row r="96" spans="1:13" x14ac:dyDescent="0.2">
      <c r="A96" s="93" t="s">
        <v>1213</v>
      </c>
      <c r="B96" s="93" t="s">
        <v>1214</v>
      </c>
      <c r="C96" s="93" t="s">
        <v>140</v>
      </c>
      <c r="D96" s="93" t="s">
        <v>12</v>
      </c>
      <c r="E96" s="94" t="s">
        <v>1186</v>
      </c>
      <c r="F96" s="112">
        <v>16230.4</v>
      </c>
      <c r="G96" s="106">
        <v>28</v>
      </c>
      <c r="H96" s="106"/>
      <c r="I96" s="94" t="s">
        <v>14</v>
      </c>
      <c r="K96" s="93"/>
      <c r="L96" s="93"/>
      <c r="M96" s="93"/>
    </row>
    <row r="97" spans="1:13" x14ac:dyDescent="0.2">
      <c r="A97" s="93" t="s">
        <v>20</v>
      </c>
      <c r="B97" s="93" t="s">
        <v>21</v>
      </c>
      <c r="C97" s="93" t="s">
        <v>22</v>
      </c>
      <c r="D97" s="93" t="s">
        <v>12</v>
      </c>
      <c r="E97" s="94" t="s">
        <v>23</v>
      </c>
      <c r="F97" s="112">
        <v>795.71</v>
      </c>
      <c r="G97" s="106">
        <v>32</v>
      </c>
      <c r="H97" s="106">
        <v>134</v>
      </c>
      <c r="I97" s="94" t="s">
        <v>14</v>
      </c>
      <c r="K97" s="93"/>
      <c r="L97" s="93"/>
      <c r="M97" s="93"/>
    </row>
    <row r="98" spans="1:13" x14ac:dyDescent="0.2">
      <c r="A98" s="93" t="s">
        <v>24</v>
      </c>
      <c r="B98" s="93" t="s">
        <v>25</v>
      </c>
      <c r="C98" s="93" t="s">
        <v>26</v>
      </c>
      <c r="D98" s="93" t="s">
        <v>12</v>
      </c>
      <c r="E98" s="94" t="s">
        <v>23</v>
      </c>
      <c r="F98" s="112">
        <v>5970</v>
      </c>
      <c r="G98" s="106">
        <v>32</v>
      </c>
      <c r="H98" s="106">
        <v>33.5</v>
      </c>
      <c r="I98" s="94" t="s">
        <v>14</v>
      </c>
      <c r="K98" s="93"/>
      <c r="L98" s="93"/>
      <c r="M98" s="93"/>
    </row>
    <row r="99" spans="1:13" x14ac:dyDescent="0.2">
      <c r="A99" s="93" t="s">
        <v>27</v>
      </c>
      <c r="B99" s="93" t="s">
        <v>28</v>
      </c>
      <c r="C99" s="93" t="s">
        <v>17</v>
      </c>
      <c r="D99" s="93" t="s">
        <v>12</v>
      </c>
      <c r="E99" s="94" t="s">
        <v>23</v>
      </c>
      <c r="F99" s="112">
        <v>1560.86</v>
      </c>
      <c r="G99" s="106">
        <v>32</v>
      </c>
      <c r="H99" s="106"/>
      <c r="I99" s="94" t="s">
        <v>14</v>
      </c>
      <c r="K99" s="93"/>
      <c r="L99" s="93"/>
      <c r="M99" s="93"/>
    </row>
    <row r="100" spans="1:13" x14ac:dyDescent="0.2">
      <c r="A100" s="93" t="s">
        <v>29</v>
      </c>
      <c r="B100" s="93" t="s">
        <v>30</v>
      </c>
      <c r="C100" s="93" t="s">
        <v>31</v>
      </c>
      <c r="D100" s="93" t="s">
        <v>12</v>
      </c>
      <c r="E100" s="94" t="s">
        <v>33</v>
      </c>
      <c r="F100" s="112">
        <v>5983.46</v>
      </c>
      <c r="G100" s="106">
        <v>33</v>
      </c>
      <c r="H100" s="106">
        <v>20</v>
      </c>
      <c r="I100" s="94" t="s">
        <v>14</v>
      </c>
      <c r="K100" s="93"/>
      <c r="L100" s="93"/>
      <c r="M100" s="93"/>
    </row>
    <row r="101" spans="1:13" x14ac:dyDescent="0.2">
      <c r="A101" s="93" t="s">
        <v>34</v>
      </c>
      <c r="B101" s="93" t="s">
        <v>35</v>
      </c>
      <c r="C101" s="93" t="s">
        <v>36</v>
      </c>
      <c r="D101" s="93" t="s">
        <v>12</v>
      </c>
      <c r="E101" s="94" t="s">
        <v>33</v>
      </c>
      <c r="F101" s="112">
        <v>2873.11</v>
      </c>
      <c r="G101" s="106">
        <v>33</v>
      </c>
      <c r="H101" s="106">
        <v>90</v>
      </c>
      <c r="I101" s="94" t="s">
        <v>14</v>
      </c>
      <c r="K101" s="93"/>
      <c r="L101" s="93"/>
      <c r="M101" s="93"/>
    </row>
    <row r="102" spans="1:13" x14ac:dyDescent="0.2">
      <c r="A102" s="93" t="s">
        <v>37</v>
      </c>
      <c r="B102" s="93" t="s">
        <v>38</v>
      </c>
      <c r="C102" s="93" t="s">
        <v>11</v>
      </c>
      <c r="D102" s="93" t="s">
        <v>12</v>
      </c>
      <c r="E102" s="94" t="s">
        <v>33</v>
      </c>
      <c r="F102" s="112">
        <v>769.47</v>
      </c>
      <c r="G102" s="106">
        <v>33</v>
      </c>
      <c r="H102" s="106">
        <v>30</v>
      </c>
      <c r="I102" s="94" t="s">
        <v>14</v>
      </c>
      <c r="K102" s="93"/>
      <c r="L102" s="93"/>
      <c r="M102" s="93"/>
    </row>
    <row r="103" spans="1:13" x14ac:dyDescent="0.2">
      <c r="A103" s="93" t="s">
        <v>39</v>
      </c>
      <c r="B103" s="93" t="s">
        <v>40</v>
      </c>
      <c r="C103" s="93" t="s">
        <v>41</v>
      </c>
      <c r="D103" s="93" t="s">
        <v>32</v>
      </c>
      <c r="E103" s="94" t="s">
        <v>33</v>
      </c>
      <c r="F103" s="112">
        <v>675.96</v>
      </c>
      <c r="G103" s="106">
        <v>33</v>
      </c>
      <c r="H103" s="106"/>
      <c r="I103" s="94" t="s">
        <v>14</v>
      </c>
      <c r="K103" s="93"/>
      <c r="L103" s="93"/>
      <c r="M103" s="93"/>
    </row>
    <row r="104" spans="1:13" x14ac:dyDescent="0.2">
      <c r="A104" s="93" t="s">
        <v>42</v>
      </c>
      <c r="B104" s="93" t="s">
        <v>43</v>
      </c>
      <c r="C104" s="93" t="s">
        <v>11</v>
      </c>
      <c r="D104" s="93" t="s">
        <v>12</v>
      </c>
      <c r="E104" s="94" t="s">
        <v>33</v>
      </c>
      <c r="F104" s="112">
        <v>397.4</v>
      </c>
      <c r="G104" s="106">
        <v>33</v>
      </c>
      <c r="H104" s="106">
        <v>10.5</v>
      </c>
      <c r="I104" s="94" t="s">
        <v>14</v>
      </c>
      <c r="K104" s="93"/>
      <c r="L104" s="93"/>
      <c r="M104" s="93"/>
    </row>
    <row r="105" spans="1:13" x14ac:dyDescent="0.2">
      <c r="A105" s="93" t="s">
        <v>44</v>
      </c>
      <c r="B105" s="93" t="s">
        <v>45</v>
      </c>
      <c r="C105" s="93" t="s">
        <v>46</v>
      </c>
      <c r="D105" s="93" t="s">
        <v>12</v>
      </c>
      <c r="E105" s="94" t="s">
        <v>33</v>
      </c>
      <c r="F105" s="112">
        <v>775.04</v>
      </c>
      <c r="G105" s="106">
        <v>33</v>
      </c>
      <c r="H105" s="106"/>
      <c r="I105" s="94" t="s">
        <v>14</v>
      </c>
      <c r="K105" s="93"/>
      <c r="L105" s="93"/>
      <c r="M105" s="93"/>
    </row>
    <row r="106" spans="1:13" x14ac:dyDescent="0.2">
      <c r="A106" s="93" t="s">
        <v>50</v>
      </c>
      <c r="B106" s="93" t="s">
        <v>51</v>
      </c>
      <c r="C106" s="93" t="s">
        <v>52</v>
      </c>
      <c r="D106" s="93" t="s">
        <v>53</v>
      </c>
      <c r="E106" s="94" t="s">
        <v>54</v>
      </c>
      <c r="F106" s="112">
        <v>1572.57</v>
      </c>
      <c r="G106" s="106">
        <v>34</v>
      </c>
      <c r="H106" s="106">
        <v>53.5</v>
      </c>
      <c r="I106" s="94" t="s">
        <v>14</v>
      </c>
      <c r="K106" s="93"/>
      <c r="L106" s="93"/>
      <c r="M106" s="93"/>
    </row>
    <row r="107" spans="1:13" x14ac:dyDescent="0.2">
      <c r="A107" s="93" t="s">
        <v>55</v>
      </c>
      <c r="B107" s="93" t="s">
        <v>56</v>
      </c>
      <c r="C107" s="93" t="s">
        <v>11</v>
      </c>
      <c r="D107" s="93" t="s">
        <v>12</v>
      </c>
      <c r="E107" s="94" t="s">
        <v>54</v>
      </c>
      <c r="F107" s="112">
        <v>1873.36</v>
      </c>
      <c r="G107" s="106">
        <v>34</v>
      </c>
      <c r="H107" s="106">
        <v>22</v>
      </c>
      <c r="I107" s="94" t="s">
        <v>14</v>
      </c>
      <c r="K107" s="93"/>
      <c r="L107" s="93"/>
      <c r="M107" s="93"/>
    </row>
    <row r="108" spans="1:13" x14ac:dyDescent="0.2">
      <c r="A108" s="93" t="s">
        <v>57</v>
      </c>
      <c r="B108" s="93" t="s">
        <v>58</v>
      </c>
      <c r="C108" s="93" t="s">
        <v>59</v>
      </c>
      <c r="D108" s="93" t="s">
        <v>12</v>
      </c>
      <c r="E108" s="94" t="s">
        <v>60</v>
      </c>
      <c r="F108" s="112">
        <v>1216.68</v>
      </c>
      <c r="G108" s="106">
        <v>35</v>
      </c>
      <c r="H108" s="106">
        <v>61</v>
      </c>
      <c r="I108" s="94" t="s">
        <v>14</v>
      </c>
      <c r="K108" s="93"/>
      <c r="L108" s="93"/>
      <c r="M108" s="93"/>
    </row>
    <row r="109" spans="1:13" x14ac:dyDescent="0.2">
      <c r="A109" s="93" t="s">
        <v>61</v>
      </c>
      <c r="B109" s="93" t="s">
        <v>62</v>
      </c>
      <c r="C109" s="93" t="s">
        <v>17</v>
      </c>
      <c r="D109" s="93" t="s">
        <v>12</v>
      </c>
      <c r="E109" s="94" t="s">
        <v>60</v>
      </c>
      <c r="F109" s="112">
        <v>1387.75</v>
      </c>
      <c r="G109" s="106">
        <v>35</v>
      </c>
      <c r="H109" s="106"/>
      <c r="I109" s="94" t="s">
        <v>14</v>
      </c>
      <c r="K109" s="93"/>
      <c r="L109" s="93"/>
      <c r="M109" s="93"/>
    </row>
    <row r="110" spans="1:13" x14ac:dyDescent="0.2">
      <c r="A110" s="93" t="s">
        <v>63</v>
      </c>
      <c r="B110" s="93" t="s">
        <v>64</v>
      </c>
      <c r="C110" s="93" t="s">
        <v>31</v>
      </c>
      <c r="D110" s="93" t="s">
        <v>12</v>
      </c>
      <c r="E110" s="94" t="s">
        <v>60</v>
      </c>
      <c r="F110" s="112">
        <v>2021.53</v>
      </c>
      <c r="G110" s="106">
        <v>35</v>
      </c>
      <c r="H110" s="106"/>
      <c r="I110" s="94" t="s">
        <v>14</v>
      </c>
      <c r="K110" s="93"/>
      <c r="L110" s="93"/>
      <c r="M110" s="93"/>
    </row>
    <row r="111" spans="1:13" x14ac:dyDescent="0.2">
      <c r="A111" s="93" t="s">
        <v>65</v>
      </c>
      <c r="B111" s="93" t="s">
        <v>66</v>
      </c>
      <c r="C111" s="93" t="s">
        <v>67</v>
      </c>
      <c r="D111" s="93" t="s">
        <v>18</v>
      </c>
      <c r="E111" s="94" t="s">
        <v>68</v>
      </c>
      <c r="F111" s="112">
        <v>858.48</v>
      </c>
      <c r="G111" s="106">
        <v>36</v>
      </c>
      <c r="H111" s="106">
        <v>153</v>
      </c>
      <c r="I111" s="94" t="s">
        <v>14</v>
      </c>
      <c r="K111" s="93"/>
      <c r="L111" s="93"/>
      <c r="M111" s="93"/>
    </row>
    <row r="112" spans="1:13" x14ac:dyDescent="0.2">
      <c r="A112" s="93" t="s">
        <v>69</v>
      </c>
      <c r="B112" s="93" t="s">
        <v>70</v>
      </c>
      <c r="C112" s="93" t="s">
        <v>71</v>
      </c>
      <c r="D112" s="93" t="s">
        <v>12</v>
      </c>
      <c r="E112" s="94" t="s">
        <v>72</v>
      </c>
      <c r="F112" s="112">
        <v>1715.21</v>
      </c>
      <c r="G112" s="106">
        <v>39</v>
      </c>
      <c r="H112" s="106">
        <v>88</v>
      </c>
      <c r="I112" s="94" t="s">
        <v>14</v>
      </c>
      <c r="K112" s="93"/>
      <c r="L112" s="93"/>
      <c r="M112" s="93"/>
    </row>
    <row r="113" spans="1:13" x14ac:dyDescent="0.2">
      <c r="A113" s="93" t="s">
        <v>77</v>
      </c>
      <c r="B113" s="93" t="s">
        <v>78</v>
      </c>
      <c r="C113" s="93" t="s">
        <v>17</v>
      </c>
      <c r="D113" s="93" t="s">
        <v>12</v>
      </c>
      <c r="E113" s="94" t="s">
        <v>72</v>
      </c>
      <c r="F113" s="112">
        <v>2969.26</v>
      </c>
      <c r="G113" s="106">
        <v>39</v>
      </c>
      <c r="H113" s="106"/>
      <c r="I113" s="94" t="s">
        <v>14</v>
      </c>
      <c r="K113" s="93"/>
      <c r="L113" s="93"/>
      <c r="M113" s="93"/>
    </row>
    <row r="114" spans="1:13" x14ac:dyDescent="0.2">
      <c r="A114" s="93" t="s">
        <v>79</v>
      </c>
      <c r="B114" s="93" t="s">
        <v>80</v>
      </c>
      <c r="C114" s="93" t="s">
        <v>31</v>
      </c>
      <c r="D114" s="93" t="s">
        <v>12</v>
      </c>
      <c r="E114" s="94" t="s">
        <v>72</v>
      </c>
      <c r="F114" s="112">
        <v>3767.53</v>
      </c>
      <c r="G114" s="106">
        <v>39</v>
      </c>
      <c r="H114" s="106"/>
      <c r="I114" s="94" t="s">
        <v>14</v>
      </c>
      <c r="K114" s="93"/>
      <c r="L114" s="93"/>
      <c r="M114" s="93"/>
    </row>
    <row r="115" spans="1:13" x14ac:dyDescent="0.2">
      <c r="A115" s="93" t="s">
        <v>84</v>
      </c>
      <c r="B115" s="93" t="s">
        <v>85</v>
      </c>
      <c r="C115" s="93" t="s">
        <v>26</v>
      </c>
      <c r="D115" s="93" t="s">
        <v>18</v>
      </c>
      <c r="E115" s="94" t="s">
        <v>83</v>
      </c>
      <c r="F115" s="112">
        <v>1570.64</v>
      </c>
      <c r="G115" s="106">
        <v>40</v>
      </c>
      <c r="H115" s="106"/>
      <c r="I115" s="94" t="s">
        <v>14</v>
      </c>
      <c r="K115" s="93"/>
      <c r="L115" s="93"/>
      <c r="M115" s="93"/>
    </row>
    <row r="116" spans="1:13" x14ac:dyDescent="0.2">
      <c r="A116" s="93" t="s">
        <v>86</v>
      </c>
      <c r="B116" s="93" t="s">
        <v>87</v>
      </c>
      <c r="C116" s="93" t="s">
        <v>59</v>
      </c>
      <c r="D116" s="93" t="s">
        <v>12</v>
      </c>
      <c r="E116" s="94" t="s">
        <v>83</v>
      </c>
      <c r="F116" s="112">
        <v>998.4</v>
      </c>
      <c r="G116" s="106">
        <v>40</v>
      </c>
      <c r="H116" s="106">
        <v>60.5</v>
      </c>
      <c r="I116" s="94" t="s">
        <v>14</v>
      </c>
      <c r="K116" s="93"/>
      <c r="L116" s="93"/>
      <c r="M116" s="93"/>
    </row>
    <row r="117" spans="1:13" x14ac:dyDescent="0.2">
      <c r="A117" s="93" t="s">
        <v>90</v>
      </c>
      <c r="B117" s="93" t="s">
        <v>91</v>
      </c>
      <c r="C117" s="93" t="s">
        <v>46</v>
      </c>
      <c r="D117" s="93" t="s">
        <v>18</v>
      </c>
      <c r="E117" s="94" t="s">
        <v>83</v>
      </c>
      <c r="F117" s="112">
        <v>876.13</v>
      </c>
      <c r="G117" s="106">
        <v>40</v>
      </c>
      <c r="H117" s="106">
        <v>63</v>
      </c>
      <c r="I117" s="94" t="s">
        <v>14</v>
      </c>
      <c r="K117" s="93"/>
      <c r="L117" s="93"/>
      <c r="M117" s="93"/>
    </row>
    <row r="118" spans="1:13" x14ac:dyDescent="0.2">
      <c r="A118" s="93" t="s">
        <v>94</v>
      </c>
      <c r="B118" s="93" t="s">
        <v>95</v>
      </c>
      <c r="C118" s="93" t="s">
        <v>11</v>
      </c>
      <c r="D118" s="93" t="s">
        <v>12</v>
      </c>
      <c r="E118" s="94" t="s">
        <v>96</v>
      </c>
      <c r="F118" s="112">
        <v>2571.8200000000002</v>
      </c>
      <c r="G118" s="106">
        <v>41</v>
      </c>
      <c r="H118" s="106">
        <v>91</v>
      </c>
      <c r="I118" s="94" t="s">
        <v>14</v>
      </c>
      <c r="K118" s="93"/>
      <c r="L118" s="93"/>
      <c r="M118" s="93"/>
    </row>
    <row r="119" spans="1:13" x14ac:dyDescent="0.2">
      <c r="A119" s="93" t="s">
        <v>97</v>
      </c>
      <c r="B119" s="93" t="s">
        <v>98</v>
      </c>
      <c r="C119" s="93" t="s">
        <v>36</v>
      </c>
      <c r="D119" s="93" t="s">
        <v>12</v>
      </c>
      <c r="E119" s="94" t="s">
        <v>96</v>
      </c>
      <c r="F119" s="112">
        <v>1490.4</v>
      </c>
      <c r="G119" s="106">
        <v>41</v>
      </c>
      <c r="H119" s="106">
        <v>72</v>
      </c>
      <c r="I119" s="94" t="s">
        <v>14</v>
      </c>
      <c r="K119" s="93"/>
      <c r="L119" s="93"/>
      <c r="M119" s="93"/>
    </row>
    <row r="120" spans="1:13" x14ac:dyDescent="0.2">
      <c r="A120" s="93" t="s">
        <v>99</v>
      </c>
      <c r="B120" s="93" t="s">
        <v>100</v>
      </c>
      <c r="C120" s="93" t="s">
        <v>46</v>
      </c>
      <c r="D120" s="93" t="s">
        <v>12</v>
      </c>
      <c r="E120" s="94" t="s">
        <v>96</v>
      </c>
      <c r="F120" s="112">
        <v>1148.79</v>
      </c>
      <c r="G120" s="106">
        <v>41</v>
      </c>
      <c r="H120" s="106">
        <v>21.5</v>
      </c>
      <c r="I120" s="94" t="s">
        <v>14</v>
      </c>
      <c r="K120" s="93"/>
      <c r="L120" s="93"/>
      <c r="M120" s="93"/>
    </row>
    <row r="121" spans="1:13" x14ac:dyDescent="0.2">
      <c r="A121" s="93" t="s">
        <v>101</v>
      </c>
      <c r="B121" s="93" t="s">
        <v>102</v>
      </c>
      <c r="C121" s="93" t="s">
        <v>11</v>
      </c>
      <c r="D121" s="93" t="s">
        <v>12</v>
      </c>
      <c r="E121" s="94" t="s">
        <v>96</v>
      </c>
      <c r="F121" s="112">
        <v>901.53</v>
      </c>
      <c r="G121" s="106">
        <v>41</v>
      </c>
      <c r="H121" s="106"/>
      <c r="I121" s="94" t="s">
        <v>14</v>
      </c>
      <c r="K121" s="93"/>
      <c r="L121" s="93"/>
      <c r="M121" s="93"/>
    </row>
    <row r="122" spans="1:13" x14ac:dyDescent="0.2">
      <c r="A122" s="93" t="s">
        <v>103</v>
      </c>
      <c r="B122" s="93" t="s">
        <v>104</v>
      </c>
      <c r="C122" s="93" t="s">
        <v>11</v>
      </c>
      <c r="D122" s="93" t="s">
        <v>12</v>
      </c>
      <c r="E122" s="94" t="s">
        <v>96</v>
      </c>
      <c r="F122" s="112">
        <v>650.29999999999995</v>
      </c>
      <c r="G122" s="106">
        <v>41</v>
      </c>
      <c r="H122" s="106"/>
      <c r="I122" s="94" t="s">
        <v>14</v>
      </c>
      <c r="K122" s="93"/>
      <c r="L122" s="93"/>
      <c r="M122" s="93"/>
    </row>
    <row r="123" spans="1:13" x14ac:dyDescent="0.2">
      <c r="A123" s="93" t="s">
        <v>105</v>
      </c>
      <c r="B123" s="93" t="s">
        <v>106</v>
      </c>
      <c r="C123" s="93" t="s">
        <v>17</v>
      </c>
      <c r="D123" s="93" t="s">
        <v>12</v>
      </c>
      <c r="E123" s="94" t="s">
        <v>96</v>
      </c>
      <c r="F123" s="112">
        <v>1199</v>
      </c>
      <c r="G123" s="106">
        <v>41</v>
      </c>
      <c r="H123" s="106"/>
      <c r="I123" s="94" t="s">
        <v>14</v>
      </c>
      <c r="K123" s="93"/>
      <c r="L123" s="93"/>
      <c r="M123" s="93"/>
    </row>
    <row r="124" spans="1:13" x14ac:dyDescent="0.2">
      <c r="A124" s="93" t="s">
        <v>107</v>
      </c>
      <c r="B124" s="93" t="s">
        <v>108</v>
      </c>
      <c r="C124" s="93" t="s">
        <v>46</v>
      </c>
      <c r="D124" s="93" t="s">
        <v>12</v>
      </c>
      <c r="E124" s="94" t="s">
        <v>96</v>
      </c>
      <c r="F124" s="112">
        <v>2161.62</v>
      </c>
      <c r="G124" s="106">
        <v>41</v>
      </c>
      <c r="H124" s="106"/>
      <c r="I124" s="94" t="s">
        <v>14</v>
      </c>
      <c r="K124" s="93"/>
      <c r="L124" s="93"/>
      <c r="M124" s="93"/>
    </row>
    <row r="125" spans="1:13" x14ac:dyDescent="0.2">
      <c r="A125" s="93" t="s">
        <v>118</v>
      </c>
      <c r="B125" s="93" t="s">
        <v>119</v>
      </c>
      <c r="C125" s="93" t="s">
        <v>120</v>
      </c>
      <c r="D125" s="93" t="s">
        <v>12</v>
      </c>
      <c r="E125" s="94" t="s">
        <v>111</v>
      </c>
      <c r="F125" s="112">
        <v>2596.83</v>
      </c>
      <c r="G125" s="106">
        <v>42</v>
      </c>
      <c r="H125" s="106">
        <v>60</v>
      </c>
      <c r="I125" s="94" t="s">
        <v>14</v>
      </c>
      <c r="K125" s="93"/>
      <c r="L125" s="93"/>
      <c r="M125" s="93"/>
    </row>
    <row r="126" spans="1:13" x14ac:dyDescent="0.2">
      <c r="A126" s="93" t="s">
        <v>121</v>
      </c>
      <c r="B126" s="93" t="s">
        <v>122</v>
      </c>
      <c r="C126" s="93" t="s">
        <v>17</v>
      </c>
      <c r="D126" s="93" t="s">
        <v>18</v>
      </c>
      <c r="E126" s="94" t="s">
        <v>111</v>
      </c>
      <c r="F126" s="112">
        <v>924.68</v>
      </c>
      <c r="G126" s="106">
        <v>42</v>
      </c>
      <c r="H126" s="106"/>
      <c r="I126" s="94" t="s">
        <v>14</v>
      </c>
      <c r="K126" s="93"/>
      <c r="L126" s="93"/>
      <c r="M126" s="93"/>
    </row>
    <row r="127" spans="1:13" x14ac:dyDescent="0.2">
      <c r="A127" s="93" t="s">
        <v>123</v>
      </c>
      <c r="B127" s="93" t="s">
        <v>124</v>
      </c>
      <c r="C127" s="93" t="s">
        <v>11</v>
      </c>
      <c r="D127" s="93" t="s">
        <v>12</v>
      </c>
      <c r="E127" s="94" t="s">
        <v>111</v>
      </c>
      <c r="F127" s="112">
        <v>936.23</v>
      </c>
      <c r="G127" s="106">
        <v>42</v>
      </c>
      <c r="H127" s="106">
        <v>21</v>
      </c>
      <c r="I127" s="94" t="s">
        <v>14</v>
      </c>
      <c r="K127" s="93"/>
      <c r="L127" s="93"/>
      <c r="M127" s="93"/>
    </row>
    <row r="128" spans="1:13" x14ac:dyDescent="0.2">
      <c r="A128" s="93" t="s">
        <v>125</v>
      </c>
      <c r="B128" s="93" t="s">
        <v>126</v>
      </c>
      <c r="C128" s="93" t="s">
        <v>49</v>
      </c>
      <c r="D128" s="93" t="s">
        <v>12</v>
      </c>
      <c r="E128" s="94" t="s">
        <v>111</v>
      </c>
      <c r="F128" s="112">
        <v>4119.1000000000004</v>
      </c>
      <c r="G128" s="106">
        <v>42</v>
      </c>
      <c r="H128" s="106"/>
      <c r="I128" s="94" t="s">
        <v>14</v>
      </c>
      <c r="K128" s="93"/>
      <c r="L128" s="93"/>
      <c r="M128" s="93"/>
    </row>
    <row r="129" spans="1:13" x14ac:dyDescent="0.2">
      <c r="A129" s="93" t="s">
        <v>127</v>
      </c>
      <c r="B129" s="93" t="s">
        <v>128</v>
      </c>
      <c r="C129" s="93" t="s">
        <v>67</v>
      </c>
      <c r="D129" s="93" t="s">
        <v>12</v>
      </c>
      <c r="E129" s="94" t="s">
        <v>111</v>
      </c>
      <c r="F129" s="112">
        <v>1160.8499999999999</v>
      </c>
      <c r="G129" s="106">
        <v>42</v>
      </c>
      <c r="H129" s="106"/>
      <c r="I129" s="94" t="s">
        <v>14</v>
      </c>
      <c r="K129" s="93"/>
      <c r="L129" s="93"/>
      <c r="M129" s="93"/>
    </row>
    <row r="130" spans="1:13" x14ac:dyDescent="0.2">
      <c r="A130" s="93" t="s">
        <v>132</v>
      </c>
      <c r="B130" s="93" t="s">
        <v>133</v>
      </c>
      <c r="C130" s="93" t="s">
        <v>46</v>
      </c>
      <c r="D130" s="93" t="s">
        <v>18</v>
      </c>
      <c r="E130" s="94" t="s">
        <v>131</v>
      </c>
      <c r="F130" s="112">
        <v>1377.68</v>
      </c>
      <c r="G130" s="106">
        <v>43</v>
      </c>
      <c r="H130" s="106">
        <v>61.5</v>
      </c>
      <c r="I130" s="94" t="s">
        <v>14</v>
      </c>
      <c r="K130" s="93"/>
      <c r="L130" s="93"/>
      <c r="M130" s="93"/>
    </row>
    <row r="131" spans="1:13" x14ac:dyDescent="0.2">
      <c r="A131" s="93" t="s">
        <v>134</v>
      </c>
      <c r="B131" s="93" t="s">
        <v>135</v>
      </c>
      <c r="C131" s="93" t="s">
        <v>46</v>
      </c>
      <c r="D131" s="93" t="s">
        <v>18</v>
      </c>
      <c r="E131" s="94" t="s">
        <v>131</v>
      </c>
      <c r="F131" s="112">
        <v>2303.38</v>
      </c>
      <c r="G131" s="106">
        <v>43</v>
      </c>
      <c r="H131" s="106">
        <v>77</v>
      </c>
      <c r="I131" s="94" t="s">
        <v>14</v>
      </c>
      <c r="K131" s="93"/>
      <c r="L131" s="93"/>
      <c r="M131" s="93"/>
    </row>
    <row r="132" spans="1:13" x14ac:dyDescent="0.2">
      <c r="A132" s="93" t="s">
        <v>136</v>
      </c>
      <c r="B132" s="93" t="s">
        <v>137</v>
      </c>
      <c r="C132" s="93" t="s">
        <v>17</v>
      </c>
      <c r="D132" s="93" t="s">
        <v>12</v>
      </c>
      <c r="E132" s="94" t="s">
        <v>131</v>
      </c>
      <c r="F132" s="112">
        <v>675.58</v>
      </c>
      <c r="G132" s="106">
        <v>43</v>
      </c>
      <c r="H132" s="106">
        <v>97</v>
      </c>
      <c r="I132" s="94" t="s">
        <v>14</v>
      </c>
      <c r="K132" s="93"/>
      <c r="L132" s="93"/>
      <c r="M132" s="93"/>
    </row>
    <row r="133" spans="1:13" x14ac:dyDescent="0.2">
      <c r="A133" s="93" t="s">
        <v>141</v>
      </c>
      <c r="B133" s="93" t="s">
        <v>142</v>
      </c>
      <c r="C133" s="93" t="s">
        <v>11</v>
      </c>
      <c r="D133" s="93" t="s">
        <v>12</v>
      </c>
      <c r="E133" s="94" t="s">
        <v>131</v>
      </c>
      <c r="F133" s="112">
        <v>812.27</v>
      </c>
      <c r="G133" s="106">
        <v>43</v>
      </c>
      <c r="H133" s="106">
        <v>73.5</v>
      </c>
      <c r="I133" s="94" t="s">
        <v>14</v>
      </c>
      <c r="K133" s="93"/>
      <c r="L133" s="93"/>
      <c r="M133" s="93"/>
    </row>
    <row r="134" spans="1:13" x14ac:dyDescent="0.2">
      <c r="A134" s="93" t="s">
        <v>143</v>
      </c>
      <c r="B134" s="93" t="s">
        <v>144</v>
      </c>
      <c r="C134" s="93" t="s">
        <v>145</v>
      </c>
      <c r="D134" s="93" t="s">
        <v>12</v>
      </c>
      <c r="E134" s="94" t="s">
        <v>131</v>
      </c>
      <c r="F134" s="112">
        <v>2363.33</v>
      </c>
      <c r="G134" s="106">
        <v>43</v>
      </c>
      <c r="H134" s="106">
        <v>144</v>
      </c>
      <c r="I134" s="94" t="s">
        <v>14</v>
      </c>
      <c r="K134" s="93"/>
      <c r="L134" s="93"/>
      <c r="M134" s="93"/>
    </row>
    <row r="135" spans="1:13" x14ac:dyDescent="0.2">
      <c r="A135" s="93" t="s">
        <v>146</v>
      </c>
      <c r="B135" s="93" t="s">
        <v>147</v>
      </c>
      <c r="C135" s="93" t="s">
        <v>140</v>
      </c>
      <c r="D135" s="93" t="s">
        <v>12</v>
      </c>
      <c r="E135" s="94" t="s">
        <v>131</v>
      </c>
      <c r="F135" s="112">
        <v>1556.38</v>
      </c>
      <c r="G135" s="106">
        <v>43</v>
      </c>
      <c r="H135" s="106">
        <v>82</v>
      </c>
      <c r="I135" s="94" t="s">
        <v>14</v>
      </c>
      <c r="K135" s="93"/>
      <c r="L135" s="93"/>
      <c r="M135" s="93"/>
    </row>
    <row r="136" spans="1:13" x14ac:dyDescent="0.2">
      <c r="A136" s="93" t="s">
        <v>148</v>
      </c>
      <c r="B136" s="93" t="s">
        <v>149</v>
      </c>
      <c r="C136" s="93" t="s">
        <v>22</v>
      </c>
      <c r="D136" s="93" t="s">
        <v>12</v>
      </c>
      <c r="E136" s="94" t="s">
        <v>131</v>
      </c>
      <c r="F136" s="112">
        <v>665.76</v>
      </c>
      <c r="G136" s="106">
        <v>43</v>
      </c>
      <c r="H136" s="106">
        <v>26</v>
      </c>
      <c r="I136" s="94" t="s">
        <v>14</v>
      </c>
      <c r="K136" s="93"/>
      <c r="L136" s="93"/>
      <c r="M136" s="93"/>
    </row>
    <row r="137" spans="1:13" x14ac:dyDescent="0.2">
      <c r="A137" s="93" t="s">
        <v>152</v>
      </c>
      <c r="B137" s="93" t="s">
        <v>153</v>
      </c>
      <c r="C137" s="93" t="s">
        <v>11</v>
      </c>
      <c r="D137" s="93" t="s">
        <v>12</v>
      </c>
      <c r="E137" s="94" t="s">
        <v>131</v>
      </c>
      <c r="F137" s="112">
        <v>658.02</v>
      </c>
      <c r="G137" s="106">
        <v>43</v>
      </c>
      <c r="H137" s="106"/>
      <c r="I137" s="94" t="s">
        <v>14</v>
      </c>
      <c r="K137" s="93"/>
      <c r="L137" s="93"/>
      <c r="M137" s="93"/>
    </row>
    <row r="138" spans="1:13" x14ac:dyDescent="0.2">
      <c r="A138" s="93" t="s">
        <v>154</v>
      </c>
      <c r="B138" s="93" t="s">
        <v>155</v>
      </c>
      <c r="C138" s="93" t="s">
        <v>17</v>
      </c>
      <c r="D138" s="93" t="s">
        <v>18</v>
      </c>
      <c r="E138" s="94" t="s">
        <v>156</v>
      </c>
      <c r="F138" s="112">
        <v>1233.6600000000001</v>
      </c>
      <c r="G138" s="106">
        <v>46</v>
      </c>
      <c r="H138" s="106"/>
      <c r="I138" s="94" t="s">
        <v>14</v>
      </c>
      <c r="K138" s="93"/>
      <c r="L138" s="93"/>
      <c r="M138" s="93"/>
    </row>
    <row r="139" spans="1:13" x14ac:dyDescent="0.2">
      <c r="A139" s="93" t="s">
        <v>157</v>
      </c>
      <c r="B139" s="93" t="s">
        <v>158</v>
      </c>
      <c r="C139" s="93" t="s">
        <v>11</v>
      </c>
      <c r="D139" s="93" t="s">
        <v>18</v>
      </c>
      <c r="E139" s="94" t="s">
        <v>156</v>
      </c>
      <c r="F139" s="112">
        <v>784.65</v>
      </c>
      <c r="G139" s="106">
        <v>46</v>
      </c>
      <c r="H139" s="106">
        <v>24</v>
      </c>
      <c r="I139" s="94" t="s">
        <v>14</v>
      </c>
      <c r="K139" s="93"/>
      <c r="L139" s="93"/>
      <c r="M139" s="93"/>
    </row>
    <row r="140" spans="1:13" x14ac:dyDescent="0.2">
      <c r="A140" s="93" t="s">
        <v>159</v>
      </c>
      <c r="B140" s="93" t="s">
        <v>160</v>
      </c>
      <c r="C140" s="93" t="s">
        <v>59</v>
      </c>
      <c r="D140" s="93" t="s">
        <v>12</v>
      </c>
      <c r="E140" s="94" t="s">
        <v>161</v>
      </c>
      <c r="F140" s="112">
        <v>1322.32</v>
      </c>
      <c r="G140" s="106">
        <v>47</v>
      </c>
      <c r="H140" s="106"/>
      <c r="I140" s="94" t="s">
        <v>14</v>
      </c>
      <c r="K140" s="93"/>
      <c r="L140" s="93"/>
      <c r="M140" s="93"/>
    </row>
    <row r="141" spans="1:13" x14ac:dyDescent="0.2">
      <c r="A141" s="93" t="s">
        <v>162</v>
      </c>
      <c r="B141" s="93" t="s">
        <v>163</v>
      </c>
      <c r="C141" s="93" t="s">
        <v>31</v>
      </c>
      <c r="D141" s="93" t="s">
        <v>12</v>
      </c>
      <c r="E141" s="94" t="s">
        <v>161</v>
      </c>
      <c r="F141" s="112">
        <v>1859.19</v>
      </c>
      <c r="G141" s="106">
        <v>47</v>
      </c>
      <c r="H141" s="106">
        <v>59.5</v>
      </c>
      <c r="I141" s="94" t="s">
        <v>14</v>
      </c>
      <c r="K141" s="93"/>
      <c r="L141" s="93"/>
      <c r="M141" s="93"/>
    </row>
    <row r="142" spans="1:13" x14ac:dyDescent="0.2">
      <c r="A142" s="93" t="s">
        <v>164</v>
      </c>
      <c r="B142" s="93" t="s">
        <v>165</v>
      </c>
      <c r="C142" s="93" t="s">
        <v>140</v>
      </c>
      <c r="D142" s="93" t="s">
        <v>12</v>
      </c>
      <c r="E142" s="94" t="s">
        <v>161</v>
      </c>
      <c r="F142" s="112">
        <v>2116.36</v>
      </c>
      <c r="G142" s="106">
        <v>47</v>
      </c>
      <c r="H142" s="106">
        <v>52</v>
      </c>
      <c r="I142" s="94" t="s">
        <v>14</v>
      </c>
      <c r="K142" s="93"/>
      <c r="L142" s="93"/>
      <c r="M142" s="93"/>
    </row>
    <row r="143" spans="1:13" x14ac:dyDescent="0.2">
      <c r="A143" s="93" t="s">
        <v>166</v>
      </c>
      <c r="B143" s="93" t="s">
        <v>167</v>
      </c>
      <c r="C143" s="93" t="s">
        <v>140</v>
      </c>
      <c r="D143" s="93" t="s">
        <v>12</v>
      </c>
      <c r="E143" s="94" t="s">
        <v>161</v>
      </c>
      <c r="F143" s="112">
        <v>933.42</v>
      </c>
      <c r="G143" s="106">
        <v>47</v>
      </c>
      <c r="H143" s="106"/>
      <c r="I143" s="94" t="s">
        <v>14</v>
      </c>
      <c r="K143" s="93"/>
      <c r="L143" s="93"/>
      <c r="M143" s="93"/>
    </row>
    <row r="144" spans="1:13" x14ac:dyDescent="0.2">
      <c r="A144" s="93" t="s">
        <v>171</v>
      </c>
      <c r="B144" s="93" t="s">
        <v>172</v>
      </c>
      <c r="C144" s="93" t="s">
        <v>22</v>
      </c>
      <c r="D144" s="93" t="s">
        <v>12</v>
      </c>
      <c r="E144" s="94" t="s">
        <v>170</v>
      </c>
      <c r="F144" s="112">
        <v>684.92</v>
      </c>
      <c r="G144" s="106">
        <v>48</v>
      </c>
      <c r="H144" s="106"/>
      <c r="I144" s="94" t="s">
        <v>14</v>
      </c>
      <c r="K144" s="93"/>
      <c r="L144" s="93"/>
      <c r="M144" s="93"/>
    </row>
    <row r="145" spans="1:13" x14ac:dyDescent="0.2">
      <c r="A145" s="93" t="s">
        <v>173</v>
      </c>
      <c r="B145" s="93" t="s">
        <v>174</v>
      </c>
      <c r="C145" s="93" t="s">
        <v>22</v>
      </c>
      <c r="D145" s="93" t="s">
        <v>32</v>
      </c>
      <c r="E145" s="94" t="s">
        <v>170</v>
      </c>
      <c r="F145" s="112">
        <v>1443.35</v>
      </c>
      <c r="G145" s="106">
        <v>48</v>
      </c>
      <c r="H145" s="106"/>
      <c r="I145" s="94" t="s">
        <v>14</v>
      </c>
      <c r="K145" s="93"/>
      <c r="L145" s="93"/>
      <c r="M145" s="93"/>
    </row>
    <row r="146" spans="1:13" x14ac:dyDescent="0.2">
      <c r="A146" s="93" t="s">
        <v>175</v>
      </c>
      <c r="B146" s="93" t="s">
        <v>176</v>
      </c>
      <c r="C146" s="93" t="s">
        <v>46</v>
      </c>
      <c r="D146" s="93" t="s">
        <v>12</v>
      </c>
      <c r="E146" s="94" t="s">
        <v>177</v>
      </c>
      <c r="F146" s="112">
        <v>1508.79</v>
      </c>
      <c r="G146" s="106">
        <v>49</v>
      </c>
      <c r="H146" s="106">
        <v>48</v>
      </c>
      <c r="I146" s="94" t="s">
        <v>14</v>
      </c>
      <c r="K146" s="93"/>
      <c r="L146" s="93"/>
      <c r="M146" s="93"/>
    </row>
    <row r="147" spans="1:13" x14ac:dyDescent="0.2">
      <c r="A147" s="93" t="s">
        <v>178</v>
      </c>
      <c r="B147" s="93" t="s">
        <v>179</v>
      </c>
      <c r="C147" s="93" t="s">
        <v>71</v>
      </c>
      <c r="D147" s="93" t="s">
        <v>53</v>
      </c>
      <c r="E147" s="94" t="s">
        <v>177</v>
      </c>
      <c r="F147" s="112">
        <v>3912.71</v>
      </c>
      <c r="G147" s="106">
        <v>49</v>
      </c>
      <c r="H147" s="106"/>
      <c r="I147" s="94" t="s">
        <v>14</v>
      </c>
      <c r="K147" s="93"/>
      <c r="L147" s="93"/>
      <c r="M147" s="93"/>
    </row>
    <row r="148" spans="1:13" x14ac:dyDescent="0.2">
      <c r="A148" s="93" t="s">
        <v>180</v>
      </c>
      <c r="B148" s="93" t="s">
        <v>181</v>
      </c>
      <c r="C148" s="93" t="s">
        <v>67</v>
      </c>
      <c r="D148" s="93" t="s">
        <v>53</v>
      </c>
      <c r="E148" s="94" t="s">
        <v>182</v>
      </c>
      <c r="F148" s="112">
        <v>2016.25</v>
      </c>
      <c r="G148" s="106">
        <v>50</v>
      </c>
      <c r="H148" s="106"/>
      <c r="I148" s="94" t="s">
        <v>14</v>
      </c>
      <c r="K148" s="93"/>
      <c r="L148" s="93"/>
      <c r="M148" s="93"/>
    </row>
    <row r="149" spans="1:13" x14ac:dyDescent="0.2">
      <c r="A149" s="93" t="s">
        <v>183</v>
      </c>
      <c r="B149" s="93" t="s">
        <v>184</v>
      </c>
      <c r="C149" s="93" t="s">
        <v>46</v>
      </c>
      <c r="D149" s="93" t="s">
        <v>18</v>
      </c>
      <c r="E149" s="94" t="s">
        <v>185</v>
      </c>
      <c r="F149" s="112">
        <v>820.8</v>
      </c>
      <c r="G149" s="106">
        <v>53</v>
      </c>
      <c r="H149" s="106">
        <v>52</v>
      </c>
      <c r="I149" s="94" t="s">
        <v>14</v>
      </c>
      <c r="K149" s="93"/>
      <c r="L149" s="93"/>
      <c r="M149" s="93"/>
    </row>
    <row r="150" spans="1:13" x14ac:dyDescent="0.2">
      <c r="A150" s="93" t="s">
        <v>188</v>
      </c>
      <c r="B150" s="93" t="s">
        <v>189</v>
      </c>
      <c r="C150" s="93" t="s">
        <v>22</v>
      </c>
      <c r="D150" s="93" t="s">
        <v>12</v>
      </c>
      <c r="E150" s="94" t="s">
        <v>185</v>
      </c>
      <c r="F150" s="112">
        <v>940.5</v>
      </c>
      <c r="G150" s="106">
        <v>53</v>
      </c>
      <c r="H150" s="106">
        <v>33.799999999999997</v>
      </c>
      <c r="I150" s="94" t="s">
        <v>14</v>
      </c>
      <c r="K150" s="93"/>
      <c r="L150" s="93"/>
      <c r="M150" s="93"/>
    </row>
    <row r="151" spans="1:13" x14ac:dyDescent="0.2">
      <c r="A151" s="93" t="s">
        <v>192</v>
      </c>
      <c r="B151" s="93" t="s">
        <v>193</v>
      </c>
      <c r="C151" s="93" t="s">
        <v>17</v>
      </c>
      <c r="D151" s="93" t="s">
        <v>12</v>
      </c>
      <c r="E151" s="94" t="s">
        <v>185</v>
      </c>
      <c r="F151" s="112">
        <v>2105.6</v>
      </c>
      <c r="G151" s="106">
        <v>53</v>
      </c>
      <c r="H151" s="106"/>
      <c r="I151" s="94" t="s">
        <v>14</v>
      </c>
      <c r="K151" s="93"/>
      <c r="L151" s="93"/>
      <c r="M151" s="93"/>
    </row>
    <row r="152" spans="1:13" x14ac:dyDescent="0.2">
      <c r="A152" s="93" t="s">
        <v>199</v>
      </c>
      <c r="B152" s="93" t="s">
        <v>200</v>
      </c>
      <c r="C152" s="93" t="s">
        <v>22</v>
      </c>
      <c r="D152" s="93" t="s">
        <v>12</v>
      </c>
      <c r="E152" s="94" t="s">
        <v>198</v>
      </c>
      <c r="F152" s="112">
        <v>653</v>
      </c>
      <c r="G152" s="106">
        <v>54</v>
      </c>
      <c r="H152" s="106"/>
      <c r="I152" s="94" t="s">
        <v>14</v>
      </c>
      <c r="K152" s="93"/>
      <c r="L152" s="93"/>
      <c r="M152" s="93"/>
    </row>
    <row r="153" spans="1:13" x14ac:dyDescent="0.2">
      <c r="A153" s="93" t="s">
        <v>201</v>
      </c>
      <c r="B153" s="93" t="s">
        <v>202</v>
      </c>
      <c r="C153" s="93" t="s">
        <v>46</v>
      </c>
      <c r="D153" s="93" t="s">
        <v>12</v>
      </c>
      <c r="E153" s="94" t="s">
        <v>198</v>
      </c>
      <c r="F153" s="112">
        <v>2505.4299999999998</v>
      </c>
      <c r="G153" s="106">
        <v>54</v>
      </c>
      <c r="H153" s="106"/>
      <c r="I153" s="94" t="s">
        <v>14</v>
      </c>
      <c r="K153" s="93"/>
      <c r="L153" s="93"/>
      <c r="M153" s="93"/>
    </row>
    <row r="154" spans="1:13" x14ac:dyDescent="0.2">
      <c r="A154" s="93" t="s">
        <v>203</v>
      </c>
      <c r="B154" s="93" t="s">
        <v>204</v>
      </c>
      <c r="C154" s="93" t="s">
        <v>36</v>
      </c>
      <c r="D154" s="93" t="s">
        <v>53</v>
      </c>
      <c r="E154" s="94" t="s">
        <v>205</v>
      </c>
      <c r="F154" s="112">
        <v>1385.71</v>
      </c>
      <c r="G154" s="106">
        <v>55</v>
      </c>
      <c r="H154" s="106"/>
      <c r="I154" s="94" t="s">
        <v>14</v>
      </c>
      <c r="K154" s="93"/>
      <c r="L154" s="93"/>
      <c r="M154" s="93"/>
    </row>
    <row r="155" spans="1:13" x14ac:dyDescent="0.2">
      <c r="A155" s="93" t="s">
        <v>206</v>
      </c>
      <c r="B155" s="93" t="s">
        <v>207</v>
      </c>
      <c r="C155" s="93" t="s">
        <v>208</v>
      </c>
      <c r="D155" s="93" t="s">
        <v>53</v>
      </c>
      <c r="E155" s="94" t="s">
        <v>205</v>
      </c>
      <c r="F155" s="112">
        <v>1699.72</v>
      </c>
      <c r="G155" s="106">
        <v>55</v>
      </c>
      <c r="H155" s="106">
        <v>84</v>
      </c>
      <c r="I155" s="94" t="s">
        <v>14</v>
      </c>
      <c r="K155" s="93"/>
      <c r="L155" s="93"/>
      <c r="M155" s="93"/>
    </row>
    <row r="156" spans="1:13" x14ac:dyDescent="0.2">
      <c r="A156" s="93" t="s">
        <v>214</v>
      </c>
      <c r="B156" s="93" t="s">
        <v>215</v>
      </c>
      <c r="C156" s="93" t="s">
        <v>26</v>
      </c>
      <c r="D156" s="93" t="s">
        <v>53</v>
      </c>
      <c r="E156" s="94" t="s">
        <v>205</v>
      </c>
      <c r="F156" s="112">
        <v>2105.0500000000002</v>
      </c>
      <c r="G156" s="106">
        <v>55</v>
      </c>
      <c r="H156" s="106"/>
      <c r="I156" s="94" t="s">
        <v>14</v>
      </c>
      <c r="K156" s="93"/>
      <c r="L156" s="93"/>
      <c r="M156" s="93"/>
    </row>
    <row r="157" spans="1:13" x14ac:dyDescent="0.2">
      <c r="A157" s="93" t="s">
        <v>216</v>
      </c>
      <c r="B157" s="93" t="s">
        <v>217</v>
      </c>
      <c r="C157" s="93" t="s">
        <v>11</v>
      </c>
      <c r="D157" s="93" t="s">
        <v>12</v>
      </c>
      <c r="E157" s="94" t="s">
        <v>205</v>
      </c>
      <c r="F157" s="112">
        <v>1341.15</v>
      </c>
      <c r="G157" s="106">
        <v>55</v>
      </c>
      <c r="H157" s="106"/>
      <c r="I157" s="94" t="s">
        <v>14</v>
      </c>
      <c r="K157" s="93"/>
      <c r="L157" s="93"/>
      <c r="M157" s="93"/>
    </row>
    <row r="158" spans="1:13" x14ac:dyDescent="0.2">
      <c r="A158" s="93" t="s">
        <v>218</v>
      </c>
      <c r="B158" s="93" t="s">
        <v>219</v>
      </c>
      <c r="C158" s="93" t="s">
        <v>11</v>
      </c>
      <c r="D158" s="93" t="s">
        <v>220</v>
      </c>
      <c r="E158" s="94" t="s">
        <v>205</v>
      </c>
      <c r="F158" s="112">
        <v>1012.6</v>
      </c>
      <c r="G158" s="106">
        <v>55</v>
      </c>
      <c r="H158" s="106"/>
      <c r="I158" s="94" t="s">
        <v>14</v>
      </c>
      <c r="K158" s="93"/>
      <c r="L158" s="93"/>
      <c r="M158" s="93"/>
    </row>
    <row r="159" spans="1:13" x14ac:dyDescent="0.2">
      <c r="A159" s="93" t="s">
        <v>221</v>
      </c>
      <c r="B159" s="93" t="s">
        <v>222</v>
      </c>
      <c r="C159" s="93" t="s">
        <v>22</v>
      </c>
      <c r="D159" s="93" t="s">
        <v>12</v>
      </c>
      <c r="E159" s="94" t="s">
        <v>223</v>
      </c>
      <c r="F159" s="112">
        <v>2931.2</v>
      </c>
      <c r="G159" s="106">
        <v>56</v>
      </c>
      <c r="H159" s="106"/>
      <c r="I159" s="94" t="s">
        <v>14</v>
      </c>
      <c r="K159" s="93"/>
      <c r="L159" s="93"/>
      <c r="M159" s="93"/>
    </row>
    <row r="160" spans="1:13" x14ac:dyDescent="0.2">
      <c r="A160" s="93" t="s">
        <v>226</v>
      </c>
      <c r="B160" s="93" t="s">
        <v>227</v>
      </c>
      <c r="C160" s="93" t="s">
        <v>22</v>
      </c>
      <c r="D160" s="93" t="s">
        <v>12</v>
      </c>
      <c r="E160" s="94" t="s">
        <v>223</v>
      </c>
      <c r="F160" s="112">
        <v>708.5</v>
      </c>
      <c r="G160" s="106">
        <v>56</v>
      </c>
      <c r="H160" s="106"/>
      <c r="I160" s="94" t="s">
        <v>14</v>
      </c>
      <c r="K160" s="93"/>
      <c r="L160" s="93"/>
      <c r="M160" s="93"/>
    </row>
    <row r="161" spans="1:13" x14ac:dyDescent="0.2">
      <c r="A161" s="93" t="s">
        <v>228</v>
      </c>
      <c r="B161" s="93" t="s">
        <v>229</v>
      </c>
      <c r="C161" s="93" t="s">
        <v>36</v>
      </c>
      <c r="D161" s="93" t="s">
        <v>12</v>
      </c>
      <c r="E161" s="94" t="s">
        <v>223</v>
      </c>
      <c r="F161" s="112">
        <v>1448.73</v>
      </c>
      <c r="G161" s="106">
        <v>56</v>
      </c>
      <c r="H161" s="106">
        <v>56</v>
      </c>
      <c r="I161" s="94" t="s">
        <v>14</v>
      </c>
      <c r="K161" s="93"/>
      <c r="L161" s="93"/>
      <c r="M161" s="93"/>
    </row>
    <row r="162" spans="1:13" x14ac:dyDescent="0.2">
      <c r="A162" s="93" t="s">
        <v>230</v>
      </c>
      <c r="B162" s="93" t="s">
        <v>231</v>
      </c>
      <c r="C162" s="93" t="s">
        <v>145</v>
      </c>
      <c r="D162" s="93" t="s">
        <v>53</v>
      </c>
      <c r="E162" s="94" t="s">
        <v>223</v>
      </c>
      <c r="F162" s="112">
        <v>2217.02</v>
      </c>
      <c r="G162" s="106">
        <v>56</v>
      </c>
      <c r="H162" s="106"/>
      <c r="I162" s="94" t="s">
        <v>14</v>
      </c>
      <c r="K162" s="93"/>
      <c r="L162" s="93"/>
      <c r="M162" s="93"/>
    </row>
    <row r="163" spans="1:13" x14ac:dyDescent="0.2">
      <c r="A163" s="93" t="s">
        <v>232</v>
      </c>
      <c r="B163" s="93" t="s">
        <v>233</v>
      </c>
      <c r="C163" s="93" t="s">
        <v>140</v>
      </c>
      <c r="D163" s="93" t="s">
        <v>53</v>
      </c>
      <c r="E163" s="94" t="s">
        <v>223</v>
      </c>
      <c r="F163" s="112">
        <v>9180</v>
      </c>
      <c r="G163" s="106">
        <v>56</v>
      </c>
      <c r="H163" s="106">
        <v>63</v>
      </c>
      <c r="I163" s="94" t="s">
        <v>14</v>
      </c>
      <c r="K163" s="93"/>
      <c r="L163" s="93"/>
      <c r="M163" s="93"/>
    </row>
    <row r="164" spans="1:13" x14ac:dyDescent="0.2">
      <c r="A164" s="93" t="s">
        <v>234</v>
      </c>
      <c r="B164" s="93" t="s">
        <v>235</v>
      </c>
      <c r="C164" s="93" t="s">
        <v>140</v>
      </c>
      <c r="D164" s="93" t="s">
        <v>53</v>
      </c>
      <c r="E164" s="94" t="s">
        <v>223</v>
      </c>
      <c r="F164" s="112">
        <v>6768.79</v>
      </c>
      <c r="G164" s="106">
        <v>56</v>
      </c>
      <c r="H164" s="106"/>
      <c r="I164" s="94" t="s">
        <v>14</v>
      </c>
      <c r="K164" s="93"/>
      <c r="L164" s="93"/>
      <c r="M164" s="93"/>
    </row>
    <row r="165" spans="1:13" x14ac:dyDescent="0.2">
      <c r="A165" s="93" t="s">
        <v>236</v>
      </c>
      <c r="B165" s="93" t="s">
        <v>237</v>
      </c>
      <c r="C165" s="93" t="s">
        <v>11</v>
      </c>
      <c r="D165" s="93" t="s">
        <v>220</v>
      </c>
      <c r="E165" s="94" t="s">
        <v>223</v>
      </c>
      <c r="F165" s="112">
        <v>898.7</v>
      </c>
      <c r="G165" s="106">
        <v>56</v>
      </c>
      <c r="H165" s="106">
        <v>40</v>
      </c>
      <c r="I165" s="94" t="s">
        <v>14</v>
      </c>
      <c r="K165" s="93"/>
      <c r="L165" s="93"/>
      <c r="M165" s="93"/>
    </row>
    <row r="166" spans="1:13" x14ac:dyDescent="0.2">
      <c r="A166" s="93" t="s">
        <v>238</v>
      </c>
      <c r="B166" s="93" t="s">
        <v>239</v>
      </c>
      <c r="C166" s="93" t="s">
        <v>22</v>
      </c>
      <c r="D166" s="93" t="s">
        <v>12</v>
      </c>
      <c r="E166" s="94" t="s">
        <v>223</v>
      </c>
      <c r="F166" s="112">
        <v>750.5</v>
      </c>
      <c r="G166" s="106">
        <v>56</v>
      </c>
      <c r="H166" s="106"/>
      <c r="I166" s="94" t="s">
        <v>14</v>
      </c>
      <c r="K166" s="93"/>
      <c r="L166" s="93"/>
      <c r="M166" s="93"/>
    </row>
    <row r="167" spans="1:13" x14ac:dyDescent="0.2">
      <c r="A167" s="93" t="s">
        <v>240</v>
      </c>
      <c r="B167" s="93" t="s">
        <v>241</v>
      </c>
      <c r="C167" s="93" t="s">
        <v>67</v>
      </c>
      <c r="D167" s="93" t="s">
        <v>53</v>
      </c>
      <c r="E167" s="94" t="s">
        <v>242</v>
      </c>
      <c r="F167" s="112">
        <v>3280.39</v>
      </c>
      <c r="G167" s="106">
        <v>57</v>
      </c>
      <c r="H167" s="106">
        <v>48.5</v>
      </c>
      <c r="I167" s="94" t="s">
        <v>14</v>
      </c>
      <c r="K167" s="93"/>
      <c r="L167" s="93"/>
      <c r="M167" s="93"/>
    </row>
    <row r="168" spans="1:13" x14ac:dyDescent="0.2">
      <c r="A168" s="93" t="s">
        <v>243</v>
      </c>
      <c r="B168" s="93" t="s">
        <v>244</v>
      </c>
      <c r="C168" s="93" t="s">
        <v>11</v>
      </c>
      <c r="D168" s="93" t="s">
        <v>53</v>
      </c>
      <c r="E168" s="94" t="s">
        <v>242</v>
      </c>
      <c r="F168" s="112">
        <v>5337.2</v>
      </c>
      <c r="G168" s="106">
        <v>57</v>
      </c>
      <c r="H168" s="106">
        <v>33</v>
      </c>
      <c r="I168" s="94" t="s">
        <v>14</v>
      </c>
      <c r="K168" s="93"/>
      <c r="L168" s="93"/>
      <c r="M168" s="93"/>
    </row>
    <row r="169" spans="1:13" x14ac:dyDescent="0.2">
      <c r="A169" s="93" t="s">
        <v>245</v>
      </c>
      <c r="B169" s="93" t="s">
        <v>246</v>
      </c>
      <c r="C169" s="93" t="s">
        <v>26</v>
      </c>
      <c r="D169" s="93" t="s">
        <v>53</v>
      </c>
      <c r="E169" s="94" t="s">
        <v>242</v>
      </c>
      <c r="F169" s="112">
        <v>2046.8</v>
      </c>
      <c r="G169" s="106">
        <v>57</v>
      </c>
      <c r="H169" s="106">
        <v>26</v>
      </c>
      <c r="I169" s="94" t="s">
        <v>14</v>
      </c>
      <c r="K169" s="93"/>
      <c r="L169" s="93"/>
      <c r="M169" s="93"/>
    </row>
    <row r="170" spans="1:13" x14ac:dyDescent="0.2">
      <c r="A170" s="93" t="s">
        <v>247</v>
      </c>
      <c r="B170" s="93" t="s">
        <v>248</v>
      </c>
      <c r="C170" s="93" t="s">
        <v>17</v>
      </c>
      <c r="D170" s="93" t="s">
        <v>12</v>
      </c>
      <c r="E170" s="94" t="s">
        <v>242</v>
      </c>
      <c r="F170" s="112">
        <v>801.51</v>
      </c>
      <c r="G170" s="106">
        <v>57</v>
      </c>
      <c r="H170" s="106"/>
      <c r="I170" s="94" t="s">
        <v>14</v>
      </c>
      <c r="K170" s="93"/>
      <c r="L170" s="93"/>
      <c r="M170" s="93"/>
    </row>
    <row r="171" spans="1:13" x14ac:dyDescent="0.2">
      <c r="A171" s="93" t="s">
        <v>249</v>
      </c>
      <c r="B171" s="93" t="s">
        <v>250</v>
      </c>
      <c r="C171" s="93" t="s">
        <v>46</v>
      </c>
      <c r="D171" s="93" t="s">
        <v>18</v>
      </c>
      <c r="E171" s="94" t="s">
        <v>242</v>
      </c>
      <c r="F171" s="112">
        <v>1256.1199999999999</v>
      </c>
      <c r="G171" s="106">
        <v>57</v>
      </c>
      <c r="H171" s="106"/>
      <c r="I171" s="94" t="s">
        <v>14</v>
      </c>
      <c r="K171" s="93"/>
      <c r="L171" s="93"/>
      <c r="M171" s="93"/>
    </row>
    <row r="172" spans="1:13" x14ac:dyDescent="0.2">
      <c r="A172" s="93" t="s">
        <v>254</v>
      </c>
      <c r="B172" s="93" t="s">
        <v>255</v>
      </c>
      <c r="C172" s="93" t="s">
        <v>46</v>
      </c>
      <c r="D172" s="93" t="s">
        <v>12</v>
      </c>
      <c r="E172" s="94" t="s">
        <v>253</v>
      </c>
      <c r="F172" s="112">
        <v>697.63</v>
      </c>
      <c r="G172" s="106">
        <v>60</v>
      </c>
      <c r="H172" s="106">
        <v>33.333300000000001</v>
      </c>
      <c r="I172" s="94" t="s">
        <v>403</v>
      </c>
      <c r="K172" s="93"/>
      <c r="L172" s="93"/>
      <c r="M172" s="93"/>
    </row>
    <row r="173" spans="1:13" x14ac:dyDescent="0.2">
      <c r="A173" s="93" t="s">
        <v>256</v>
      </c>
      <c r="B173" s="93" t="s">
        <v>257</v>
      </c>
      <c r="C173" s="93" t="s">
        <v>11</v>
      </c>
      <c r="D173" s="93" t="s">
        <v>53</v>
      </c>
      <c r="E173" s="94" t="s">
        <v>253</v>
      </c>
      <c r="F173" s="112">
        <v>2040.89</v>
      </c>
      <c r="G173" s="106">
        <v>60</v>
      </c>
      <c r="H173" s="106">
        <v>91</v>
      </c>
      <c r="I173" s="94" t="s">
        <v>403</v>
      </c>
      <c r="K173" s="93"/>
      <c r="L173" s="93"/>
      <c r="M173" s="93"/>
    </row>
    <row r="174" spans="1:13" x14ac:dyDescent="0.2">
      <c r="A174" s="93" t="s">
        <v>258</v>
      </c>
      <c r="B174" s="93" t="s">
        <v>259</v>
      </c>
      <c r="C174" s="93" t="s">
        <v>26</v>
      </c>
      <c r="D174" s="93" t="s">
        <v>53</v>
      </c>
      <c r="E174" s="94" t="s">
        <v>253</v>
      </c>
      <c r="F174" s="112">
        <v>1009.9</v>
      </c>
      <c r="G174" s="106">
        <v>60</v>
      </c>
      <c r="H174" s="106">
        <v>59</v>
      </c>
      <c r="I174" s="94" t="s">
        <v>403</v>
      </c>
      <c r="K174" s="93"/>
      <c r="L174" s="93"/>
      <c r="M174" s="93"/>
    </row>
    <row r="175" spans="1:13" x14ac:dyDescent="0.2">
      <c r="A175" s="93" t="s">
        <v>260</v>
      </c>
      <c r="B175" s="93" t="s">
        <v>261</v>
      </c>
      <c r="C175" s="93" t="s">
        <v>22</v>
      </c>
      <c r="D175" s="93" t="s">
        <v>12</v>
      </c>
      <c r="E175" s="94" t="s">
        <v>262</v>
      </c>
      <c r="F175" s="112">
        <v>1033.22</v>
      </c>
      <c r="G175" s="106">
        <v>61</v>
      </c>
      <c r="H175" s="106">
        <v>59</v>
      </c>
      <c r="I175" s="94" t="s">
        <v>403</v>
      </c>
      <c r="K175" s="93"/>
      <c r="L175" s="93"/>
      <c r="M175" s="93"/>
    </row>
    <row r="176" spans="1:13" x14ac:dyDescent="0.2">
      <c r="A176" s="93" t="s">
        <v>263</v>
      </c>
      <c r="B176" s="93" t="s">
        <v>264</v>
      </c>
      <c r="C176" s="93" t="s">
        <v>49</v>
      </c>
      <c r="D176" s="93" t="s">
        <v>18</v>
      </c>
      <c r="E176" s="94" t="s">
        <v>262</v>
      </c>
      <c r="F176" s="112">
        <v>1021.87</v>
      </c>
      <c r="G176" s="106">
        <v>61</v>
      </c>
      <c r="H176" s="106"/>
      <c r="I176" s="94" t="s">
        <v>403</v>
      </c>
      <c r="K176" s="93"/>
      <c r="L176" s="93"/>
      <c r="M176" s="93"/>
    </row>
    <row r="177" spans="1:13" x14ac:dyDescent="0.2">
      <c r="A177" s="93" t="s">
        <v>265</v>
      </c>
      <c r="B177" s="93" t="s">
        <v>266</v>
      </c>
      <c r="C177" s="93" t="s">
        <v>71</v>
      </c>
      <c r="D177" s="93" t="s">
        <v>18</v>
      </c>
      <c r="E177" s="94" t="s">
        <v>262</v>
      </c>
      <c r="F177" s="112">
        <v>1215.54</v>
      </c>
      <c r="G177" s="106">
        <v>61</v>
      </c>
      <c r="H177" s="106"/>
      <c r="I177" s="94" t="s">
        <v>403</v>
      </c>
      <c r="K177" s="93"/>
      <c r="L177" s="93"/>
      <c r="M177" s="93"/>
    </row>
    <row r="178" spans="1:13" x14ac:dyDescent="0.2">
      <c r="A178" s="93" t="s">
        <v>267</v>
      </c>
      <c r="B178" s="93" t="s">
        <v>268</v>
      </c>
      <c r="C178" s="93" t="s">
        <v>22</v>
      </c>
      <c r="D178" s="93" t="s">
        <v>18</v>
      </c>
      <c r="E178" s="94" t="s">
        <v>269</v>
      </c>
      <c r="F178" s="112">
        <v>1036.8699999999999</v>
      </c>
      <c r="G178" s="106">
        <v>62</v>
      </c>
      <c r="H178" s="106"/>
      <c r="I178" s="94" t="s">
        <v>403</v>
      </c>
      <c r="K178" s="93"/>
      <c r="L178" s="93"/>
      <c r="M178" s="93"/>
    </row>
    <row r="179" spans="1:13" x14ac:dyDescent="0.2">
      <c r="A179" s="93" t="s">
        <v>272</v>
      </c>
      <c r="B179" s="93" t="s">
        <v>273</v>
      </c>
      <c r="C179" s="93" t="s">
        <v>140</v>
      </c>
      <c r="D179" s="93" t="s">
        <v>53</v>
      </c>
      <c r="E179" s="94" t="s">
        <v>269</v>
      </c>
      <c r="F179" s="112">
        <v>1745.52</v>
      </c>
      <c r="G179" s="106">
        <v>62</v>
      </c>
      <c r="H179" s="106"/>
      <c r="I179" s="94" t="s">
        <v>403</v>
      </c>
      <c r="K179" s="93"/>
      <c r="L179" s="93"/>
      <c r="M179" s="93"/>
    </row>
    <row r="180" spans="1:13" x14ac:dyDescent="0.2">
      <c r="A180" s="93" t="s">
        <v>274</v>
      </c>
      <c r="B180" s="93" t="s">
        <v>275</v>
      </c>
      <c r="C180" s="93" t="s">
        <v>22</v>
      </c>
      <c r="D180" s="93" t="s">
        <v>12</v>
      </c>
      <c r="E180" s="94" t="s">
        <v>269</v>
      </c>
      <c r="F180" s="112">
        <v>2072.25</v>
      </c>
      <c r="G180" s="106">
        <v>62</v>
      </c>
      <c r="H180" s="106">
        <v>41.333300000000001</v>
      </c>
      <c r="I180" s="94" t="s">
        <v>403</v>
      </c>
      <c r="K180" s="93"/>
      <c r="L180" s="93"/>
      <c r="M180" s="93"/>
    </row>
    <row r="181" spans="1:13" x14ac:dyDescent="0.2">
      <c r="A181" s="93" t="s">
        <v>276</v>
      </c>
      <c r="B181" s="93" t="s">
        <v>277</v>
      </c>
      <c r="C181" s="93" t="s">
        <v>26</v>
      </c>
      <c r="D181" s="93" t="s">
        <v>53</v>
      </c>
      <c r="E181" s="94" t="s">
        <v>269</v>
      </c>
      <c r="F181" s="112">
        <v>4108.7299999999996</v>
      </c>
      <c r="G181" s="106">
        <v>62</v>
      </c>
      <c r="H181" s="106"/>
      <c r="I181" s="94" t="s">
        <v>403</v>
      </c>
      <c r="K181" s="93"/>
      <c r="L181" s="93"/>
      <c r="M181" s="93"/>
    </row>
    <row r="182" spans="1:13" x14ac:dyDescent="0.2">
      <c r="A182" s="93" t="s">
        <v>278</v>
      </c>
      <c r="B182" s="93" t="s">
        <v>279</v>
      </c>
      <c r="C182" s="93" t="s">
        <v>140</v>
      </c>
      <c r="D182" s="93" t="s">
        <v>53</v>
      </c>
      <c r="E182" s="94" t="s">
        <v>269</v>
      </c>
      <c r="F182" s="112">
        <v>658.55</v>
      </c>
      <c r="G182" s="106">
        <v>62</v>
      </c>
      <c r="H182" s="106"/>
      <c r="I182" s="94" t="s">
        <v>403</v>
      </c>
      <c r="K182" s="93"/>
      <c r="L182" s="93"/>
      <c r="M182" s="93"/>
    </row>
    <row r="183" spans="1:13" x14ac:dyDescent="0.2">
      <c r="A183" s="93" t="s">
        <v>282</v>
      </c>
      <c r="B183" s="93" t="s">
        <v>283</v>
      </c>
      <c r="C183" s="93" t="s">
        <v>46</v>
      </c>
      <c r="D183" s="93" t="s">
        <v>12</v>
      </c>
      <c r="E183" s="94" t="s">
        <v>269</v>
      </c>
      <c r="F183" s="112">
        <v>1524.53</v>
      </c>
      <c r="G183" s="106">
        <v>62</v>
      </c>
      <c r="H183" s="106"/>
      <c r="I183" s="94" t="s">
        <v>403</v>
      </c>
      <c r="K183" s="93"/>
      <c r="L183" s="93"/>
      <c r="M183" s="93"/>
    </row>
    <row r="184" spans="1:13" x14ac:dyDescent="0.2">
      <c r="A184" s="93" t="s">
        <v>284</v>
      </c>
      <c r="B184" s="93" t="s">
        <v>285</v>
      </c>
      <c r="C184" s="93" t="s">
        <v>22</v>
      </c>
      <c r="D184" s="93" t="s">
        <v>12</v>
      </c>
      <c r="E184" s="94" t="s">
        <v>286</v>
      </c>
      <c r="F184" s="112">
        <v>767.84</v>
      </c>
      <c r="G184" s="106">
        <v>63</v>
      </c>
      <c r="H184" s="106">
        <v>42.5</v>
      </c>
      <c r="I184" s="94" t="s">
        <v>403</v>
      </c>
      <c r="K184" s="93"/>
      <c r="L184" s="93"/>
      <c r="M184" s="93"/>
    </row>
    <row r="185" spans="1:13" x14ac:dyDescent="0.2">
      <c r="A185" s="93" t="s">
        <v>287</v>
      </c>
      <c r="B185" s="93" t="s">
        <v>288</v>
      </c>
      <c r="C185" s="93" t="s">
        <v>17</v>
      </c>
      <c r="D185" s="93" t="s">
        <v>12</v>
      </c>
      <c r="E185" s="94" t="s">
        <v>286</v>
      </c>
      <c r="F185" s="112">
        <v>1547.8</v>
      </c>
      <c r="G185" s="106">
        <v>63</v>
      </c>
      <c r="H185" s="106">
        <v>65.5</v>
      </c>
      <c r="I185" s="94" t="s">
        <v>403</v>
      </c>
      <c r="K185" s="93"/>
      <c r="L185" s="93"/>
      <c r="M185" s="93"/>
    </row>
    <row r="186" spans="1:13" x14ac:dyDescent="0.2">
      <c r="A186" s="93" t="s">
        <v>289</v>
      </c>
      <c r="B186" s="93" t="s">
        <v>290</v>
      </c>
      <c r="C186" s="93" t="s">
        <v>46</v>
      </c>
      <c r="D186" s="93" t="s">
        <v>12</v>
      </c>
      <c r="E186" s="94" t="s">
        <v>286</v>
      </c>
      <c r="F186" s="112">
        <v>667.16</v>
      </c>
      <c r="G186" s="106">
        <v>63</v>
      </c>
      <c r="H186" s="106">
        <v>18</v>
      </c>
      <c r="I186" s="94" t="s">
        <v>403</v>
      </c>
      <c r="K186" s="93"/>
      <c r="L186" s="93"/>
      <c r="M186" s="93"/>
    </row>
    <row r="187" spans="1:13" x14ac:dyDescent="0.2">
      <c r="A187" s="93" t="s">
        <v>291</v>
      </c>
      <c r="B187" s="93" t="s">
        <v>292</v>
      </c>
      <c r="C187" s="93" t="s">
        <v>46</v>
      </c>
      <c r="D187" s="93" t="s">
        <v>12</v>
      </c>
      <c r="E187" s="94" t="s">
        <v>286</v>
      </c>
      <c r="F187" s="112">
        <v>1263.69</v>
      </c>
      <c r="G187" s="106">
        <v>63</v>
      </c>
      <c r="H187" s="106"/>
      <c r="I187" s="94" t="s">
        <v>403</v>
      </c>
      <c r="K187" s="93"/>
      <c r="L187" s="93"/>
      <c r="M187" s="93"/>
    </row>
    <row r="188" spans="1:13" x14ac:dyDescent="0.2">
      <c r="A188" s="93" t="s">
        <v>296</v>
      </c>
      <c r="B188" s="93" t="s">
        <v>297</v>
      </c>
      <c r="C188" s="93" t="s">
        <v>17</v>
      </c>
      <c r="D188" s="93" t="s">
        <v>18</v>
      </c>
      <c r="E188" s="94" t="s">
        <v>298</v>
      </c>
      <c r="F188" s="112">
        <v>643.96</v>
      </c>
      <c r="G188" s="106">
        <v>68</v>
      </c>
      <c r="H188" s="106"/>
      <c r="I188" s="94" t="s">
        <v>403</v>
      </c>
      <c r="K188" s="93"/>
      <c r="L188" s="93"/>
      <c r="M188" s="93"/>
    </row>
    <row r="189" spans="1:13" x14ac:dyDescent="0.2">
      <c r="A189" s="93" t="s">
        <v>296</v>
      </c>
      <c r="B189" s="93" t="s">
        <v>299</v>
      </c>
      <c r="C189" s="93" t="s">
        <v>17</v>
      </c>
      <c r="D189" s="93" t="s">
        <v>18</v>
      </c>
      <c r="E189" s="94" t="s">
        <v>298</v>
      </c>
      <c r="F189" s="112">
        <v>643.96</v>
      </c>
      <c r="G189" s="106">
        <v>68</v>
      </c>
      <c r="H189" s="106">
        <v>17.5</v>
      </c>
      <c r="I189" s="94" t="s">
        <v>403</v>
      </c>
      <c r="K189" s="93"/>
      <c r="L189" s="93"/>
      <c r="M189" s="93"/>
    </row>
    <row r="190" spans="1:13" x14ac:dyDescent="0.2">
      <c r="A190" s="93" t="s">
        <v>300</v>
      </c>
      <c r="B190" s="93" t="s">
        <v>301</v>
      </c>
      <c r="C190" s="93" t="s">
        <v>22</v>
      </c>
      <c r="D190" s="93" t="s">
        <v>12</v>
      </c>
      <c r="E190" s="94" t="s">
        <v>298</v>
      </c>
      <c r="F190" s="112">
        <v>944.22</v>
      </c>
      <c r="G190" s="106">
        <v>68</v>
      </c>
      <c r="H190" s="106">
        <v>35.333300000000001</v>
      </c>
      <c r="I190" s="94" t="s">
        <v>403</v>
      </c>
      <c r="K190" s="93"/>
      <c r="L190" s="93"/>
      <c r="M190" s="93"/>
    </row>
    <row r="191" spans="1:13" x14ac:dyDescent="0.2">
      <c r="A191" s="93" t="s">
        <v>302</v>
      </c>
      <c r="B191" s="93" t="s">
        <v>303</v>
      </c>
      <c r="C191" s="93" t="s">
        <v>140</v>
      </c>
      <c r="D191" s="93" t="s">
        <v>53</v>
      </c>
      <c r="E191" s="94" t="s">
        <v>298</v>
      </c>
      <c r="F191" s="112">
        <v>747.14</v>
      </c>
      <c r="G191" s="106">
        <v>68</v>
      </c>
      <c r="H191" s="106"/>
      <c r="I191" s="94" t="s">
        <v>403</v>
      </c>
      <c r="K191" s="93"/>
      <c r="L191" s="93"/>
      <c r="M191" s="93"/>
    </row>
    <row r="192" spans="1:13" x14ac:dyDescent="0.2">
      <c r="A192" s="93" t="s">
        <v>306</v>
      </c>
      <c r="B192" s="93" t="s">
        <v>307</v>
      </c>
      <c r="C192" s="93" t="s">
        <v>11</v>
      </c>
      <c r="D192" s="93" t="s">
        <v>53</v>
      </c>
      <c r="E192" s="94" t="s">
        <v>308</v>
      </c>
      <c r="F192" s="112">
        <v>2077.88</v>
      </c>
      <c r="G192" s="106">
        <v>69</v>
      </c>
      <c r="H192" s="106"/>
      <c r="I192" s="94" t="s">
        <v>403</v>
      </c>
      <c r="K192" s="93"/>
      <c r="L192" s="93"/>
      <c r="M192" s="93"/>
    </row>
    <row r="193" spans="1:13" x14ac:dyDescent="0.2">
      <c r="A193" s="93" t="s">
        <v>309</v>
      </c>
      <c r="B193" s="93" t="s">
        <v>310</v>
      </c>
      <c r="C193" s="93" t="s">
        <v>46</v>
      </c>
      <c r="D193" s="93" t="s">
        <v>12</v>
      </c>
      <c r="E193" s="94" t="s">
        <v>308</v>
      </c>
      <c r="F193" s="112">
        <v>671.86</v>
      </c>
      <c r="G193" s="106">
        <v>69</v>
      </c>
      <c r="H193" s="106"/>
      <c r="I193" s="94" t="s">
        <v>403</v>
      </c>
      <c r="K193" s="93"/>
      <c r="L193" s="93"/>
      <c r="M193" s="93"/>
    </row>
    <row r="194" spans="1:13" x14ac:dyDescent="0.2">
      <c r="A194" s="93" t="s">
        <v>311</v>
      </c>
      <c r="B194" s="93" t="s">
        <v>312</v>
      </c>
      <c r="C194" s="93" t="s">
        <v>36</v>
      </c>
      <c r="D194" s="93" t="s">
        <v>53</v>
      </c>
      <c r="E194" s="94" t="s">
        <v>308</v>
      </c>
      <c r="F194" s="112">
        <v>1862.11</v>
      </c>
      <c r="G194" s="106">
        <v>69</v>
      </c>
      <c r="H194" s="106">
        <v>111</v>
      </c>
      <c r="I194" s="94" t="s">
        <v>403</v>
      </c>
      <c r="K194" s="93"/>
      <c r="L194" s="93"/>
      <c r="M194" s="93"/>
    </row>
    <row r="195" spans="1:13" x14ac:dyDescent="0.2">
      <c r="A195" s="93" t="s">
        <v>313</v>
      </c>
      <c r="B195" s="93" t="s">
        <v>314</v>
      </c>
      <c r="C195" s="93" t="s">
        <v>46</v>
      </c>
      <c r="D195" s="93" t="s">
        <v>18</v>
      </c>
      <c r="E195" s="94" t="s">
        <v>315</v>
      </c>
      <c r="F195" s="112">
        <v>1942.07</v>
      </c>
      <c r="G195" s="106">
        <v>70</v>
      </c>
      <c r="H195" s="106">
        <v>16</v>
      </c>
      <c r="I195" s="94" t="s">
        <v>403</v>
      </c>
      <c r="K195" s="93"/>
      <c r="L195" s="93"/>
      <c r="M195" s="93"/>
    </row>
    <row r="196" spans="1:13" x14ac:dyDescent="0.2">
      <c r="A196" s="93" t="s">
        <v>316</v>
      </c>
      <c r="B196" s="93" t="s">
        <v>317</v>
      </c>
      <c r="C196" s="93" t="s">
        <v>46</v>
      </c>
      <c r="D196" s="93" t="s">
        <v>12</v>
      </c>
      <c r="E196" s="94" t="s">
        <v>315</v>
      </c>
      <c r="F196" s="112">
        <v>960.27</v>
      </c>
      <c r="G196" s="106">
        <v>70</v>
      </c>
      <c r="H196" s="106"/>
      <c r="I196" s="94" t="s">
        <v>403</v>
      </c>
      <c r="K196" s="93"/>
      <c r="L196" s="93"/>
      <c r="M196" s="93"/>
    </row>
    <row r="197" spans="1:13" x14ac:dyDescent="0.2">
      <c r="A197" s="93" t="s">
        <v>318</v>
      </c>
      <c r="B197" s="93" t="s">
        <v>319</v>
      </c>
      <c r="C197" s="93" t="s">
        <v>22</v>
      </c>
      <c r="D197" s="93" t="s">
        <v>12</v>
      </c>
      <c r="E197" s="94" t="s">
        <v>315</v>
      </c>
      <c r="F197" s="112">
        <v>2490.0100000000002</v>
      </c>
      <c r="G197" s="106">
        <v>70</v>
      </c>
      <c r="H197" s="106">
        <v>39</v>
      </c>
      <c r="I197" s="94" t="s">
        <v>403</v>
      </c>
      <c r="K197" s="93"/>
      <c r="L197" s="93"/>
      <c r="M197" s="93"/>
    </row>
    <row r="198" spans="1:13" x14ac:dyDescent="0.2">
      <c r="A198" s="93" t="s">
        <v>320</v>
      </c>
      <c r="B198" s="93" t="s">
        <v>321</v>
      </c>
      <c r="C198" s="93" t="s">
        <v>11</v>
      </c>
      <c r="D198" s="93" t="s">
        <v>12</v>
      </c>
      <c r="E198" s="94" t="s">
        <v>315</v>
      </c>
      <c r="F198" s="112">
        <v>2062.63</v>
      </c>
      <c r="G198" s="106">
        <v>70</v>
      </c>
      <c r="H198" s="106"/>
      <c r="I198" s="94" t="s">
        <v>403</v>
      </c>
      <c r="K198" s="93"/>
      <c r="L198" s="93"/>
      <c r="M198" s="93"/>
    </row>
    <row r="199" spans="1:13" x14ac:dyDescent="0.2">
      <c r="A199" s="93" t="s">
        <v>322</v>
      </c>
      <c r="B199" s="93" t="s">
        <v>323</v>
      </c>
      <c r="C199" s="93" t="s">
        <v>22</v>
      </c>
      <c r="D199" s="93" t="s">
        <v>12</v>
      </c>
      <c r="E199" s="94" t="s">
        <v>315</v>
      </c>
      <c r="F199" s="112">
        <v>720.13</v>
      </c>
      <c r="G199" s="106">
        <v>70</v>
      </c>
      <c r="H199" s="106">
        <v>39</v>
      </c>
      <c r="I199" s="94" t="s">
        <v>403</v>
      </c>
      <c r="K199" s="93"/>
      <c r="L199" s="93"/>
      <c r="M199" s="93"/>
    </row>
    <row r="200" spans="1:13" x14ac:dyDescent="0.2">
      <c r="A200" s="93" t="s">
        <v>324</v>
      </c>
      <c r="B200" s="93" t="s">
        <v>325</v>
      </c>
      <c r="C200" s="93" t="s">
        <v>140</v>
      </c>
      <c r="D200" s="93" t="s">
        <v>53</v>
      </c>
      <c r="E200" s="94" t="s">
        <v>315</v>
      </c>
      <c r="F200" s="112">
        <v>1500.53</v>
      </c>
      <c r="G200" s="106">
        <v>70</v>
      </c>
      <c r="H200" s="106"/>
      <c r="I200" s="94" t="s">
        <v>403</v>
      </c>
      <c r="K200" s="93"/>
      <c r="L200" s="93"/>
      <c r="M200" s="93"/>
    </row>
    <row r="201" spans="1:13" x14ac:dyDescent="0.2">
      <c r="A201" s="93" t="s">
        <v>326</v>
      </c>
      <c r="B201" s="93" t="s">
        <v>327</v>
      </c>
      <c r="C201" s="93" t="s">
        <v>328</v>
      </c>
      <c r="D201" s="93" t="s">
        <v>18</v>
      </c>
      <c r="E201" s="94" t="s">
        <v>315</v>
      </c>
      <c r="F201" s="112">
        <v>4632.41</v>
      </c>
      <c r="G201" s="106">
        <v>70</v>
      </c>
      <c r="H201" s="106"/>
      <c r="I201" s="94" t="s">
        <v>403</v>
      </c>
      <c r="K201" s="93"/>
      <c r="L201" s="93"/>
      <c r="M201" s="93"/>
    </row>
    <row r="202" spans="1:13" x14ac:dyDescent="0.2">
      <c r="A202" s="93" t="s">
        <v>331</v>
      </c>
      <c r="B202" s="93" t="s">
        <v>332</v>
      </c>
      <c r="C202" s="93" t="s">
        <v>17</v>
      </c>
      <c r="D202" s="93" t="s">
        <v>12</v>
      </c>
      <c r="E202" s="94" t="s">
        <v>333</v>
      </c>
      <c r="F202" s="112">
        <v>859.97</v>
      </c>
      <c r="G202" s="106">
        <v>71</v>
      </c>
      <c r="H202" s="106">
        <v>125</v>
      </c>
      <c r="I202" s="94" t="s">
        <v>403</v>
      </c>
      <c r="K202" s="93"/>
      <c r="L202" s="93"/>
      <c r="M202" s="93"/>
    </row>
    <row r="203" spans="1:13" x14ac:dyDescent="0.2">
      <c r="A203" s="93" t="s">
        <v>334</v>
      </c>
      <c r="B203" s="93" t="s">
        <v>335</v>
      </c>
      <c r="C203" s="93" t="s">
        <v>46</v>
      </c>
      <c r="D203" s="93" t="s">
        <v>12</v>
      </c>
      <c r="E203" s="94" t="s">
        <v>336</v>
      </c>
      <c r="F203" s="112">
        <v>1253.1300000000001</v>
      </c>
      <c r="G203" s="106">
        <v>74</v>
      </c>
      <c r="H203" s="106"/>
      <c r="I203" s="94" t="s">
        <v>403</v>
      </c>
      <c r="K203" s="93"/>
      <c r="L203" s="93"/>
      <c r="M203" s="93"/>
    </row>
    <row r="204" spans="1:13" x14ac:dyDescent="0.2">
      <c r="A204" s="93" t="s">
        <v>339</v>
      </c>
      <c r="B204" s="93" t="s">
        <v>340</v>
      </c>
      <c r="C204" s="93" t="s">
        <v>46</v>
      </c>
      <c r="D204" s="93" t="s">
        <v>18</v>
      </c>
      <c r="E204" s="94" t="s">
        <v>336</v>
      </c>
      <c r="F204" s="112">
        <v>1649.94</v>
      </c>
      <c r="G204" s="106">
        <v>74</v>
      </c>
      <c r="H204" s="106">
        <v>29</v>
      </c>
      <c r="I204" s="94" t="s">
        <v>403</v>
      </c>
      <c r="K204" s="93"/>
      <c r="L204" s="93"/>
      <c r="M204" s="93"/>
    </row>
    <row r="205" spans="1:13" x14ac:dyDescent="0.2">
      <c r="A205" s="93" t="s">
        <v>341</v>
      </c>
      <c r="B205" s="93" t="s">
        <v>342</v>
      </c>
      <c r="C205" s="93" t="s">
        <v>11</v>
      </c>
      <c r="D205" s="93" t="s">
        <v>53</v>
      </c>
      <c r="E205" s="94" t="s">
        <v>336</v>
      </c>
      <c r="F205" s="112">
        <v>699.37</v>
      </c>
      <c r="G205" s="106">
        <v>74</v>
      </c>
      <c r="H205" s="106"/>
      <c r="I205" s="94" t="s">
        <v>403</v>
      </c>
      <c r="K205" s="93"/>
      <c r="L205" s="93"/>
      <c r="M205" s="93"/>
    </row>
    <row r="206" spans="1:13" x14ac:dyDescent="0.2">
      <c r="A206" s="93" t="s">
        <v>343</v>
      </c>
      <c r="B206" s="93" t="s">
        <v>344</v>
      </c>
      <c r="C206" s="93" t="s">
        <v>41</v>
      </c>
      <c r="D206" s="93" t="s">
        <v>53</v>
      </c>
      <c r="E206" s="94" t="s">
        <v>336</v>
      </c>
      <c r="F206" s="112">
        <v>1184.3599999999999</v>
      </c>
      <c r="G206" s="106">
        <v>74</v>
      </c>
      <c r="H206" s="106"/>
      <c r="I206" s="94" t="s">
        <v>403</v>
      </c>
      <c r="K206" s="93"/>
      <c r="L206" s="93"/>
      <c r="M206" s="93"/>
    </row>
    <row r="207" spans="1:13" x14ac:dyDescent="0.2">
      <c r="A207" s="93" t="s">
        <v>345</v>
      </c>
      <c r="B207" s="93" t="s">
        <v>346</v>
      </c>
      <c r="C207" s="93" t="s">
        <v>46</v>
      </c>
      <c r="D207" s="93" t="s">
        <v>12</v>
      </c>
      <c r="E207" s="94" t="s">
        <v>347</v>
      </c>
      <c r="F207" s="112">
        <v>6306.96</v>
      </c>
      <c r="G207" s="106">
        <v>75</v>
      </c>
      <c r="H207" s="106">
        <v>53.5</v>
      </c>
      <c r="I207" s="94" t="s">
        <v>403</v>
      </c>
      <c r="K207" s="93"/>
      <c r="L207" s="93"/>
      <c r="M207" s="93"/>
    </row>
    <row r="208" spans="1:13" x14ac:dyDescent="0.2">
      <c r="A208" s="93" t="s">
        <v>348</v>
      </c>
      <c r="B208" s="93" t="s">
        <v>349</v>
      </c>
      <c r="C208" s="93" t="s">
        <v>22</v>
      </c>
      <c r="D208" s="93" t="s">
        <v>12</v>
      </c>
      <c r="E208" s="94" t="s">
        <v>347</v>
      </c>
      <c r="F208" s="112">
        <v>2102.89</v>
      </c>
      <c r="G208" s="106">
        <v>75</v>
      </c>
      <c r="H208" s="106"/>
      <c r="I208" s="94" t="s">
        <v>403</v>
      </c>
      <c r="K208" s="93"/>
      <c r="L208" s="93"/>
      <c r="M208" s="93"/>
    </row>
    <row r="209" spans="1:13" x14ac:dyDescent="0.2">
      <c r="A209" s="93" t="s">
        <v>350</v>
      </c>
      <c r="B209" s="93" t="s">
        <v>351</v>
      </c>
      <c r="C209" s="93" t="s">
        <v>46</v>
      </c>
      <c r="D209" s="93" t="s">
        <v>18</v>
      </c>
      <c r="E209" s="94" t="s">
        <v>347</v>
      </c>
      <c r="F209" s="112">
        <v>1137.8399999999999</v>
      </c>
      <c r="G209" s="106">
        <v>75</v>
      </c>
      <c r="H209" s="106"/>
      <c r="I209" s="94" t="s">
        <v>403</v>
      </c>
      <c r="K209" s="93"/>
      <c r="L209" s="93"/>
      <c r="M209" s="93"/>
    </row>
    <row r="210" spans="1:13" x14ac:dyDescent="0.2">
      <c r="A210" s="93" t="s">
        <v>355</v>
      </c>
      <c r="B210" s="93" t="s">
        <v>356</v>
      </c>
      <c r="C210" s="93" t="s">
        <v>22</v>
      </c>
      <c r="D210" s="93" t="s">
        <v>12</v>
      </c>
      <c r="E210" s="94" t="s">
        <v>354</v>
      </c>
      <c r="F210" s="112">
        <v>6491.55</v>
      </c>
      <c r="G210" s="106">
        <v>77</v>
      </c>
      <c r="H210" s="106">
        <v>62</v>
      </c>
      <c r="I210" s="94" t="s">
        <v>403</v>
      </c>
      <c r="K210" s="93"/>
      <c r="L210" s="93"/>
      <c r="M210" s="93"/>
    </row>
    <row r="211" spans="1:13" x14ac:dyDescent="0.2">
      <c r="A211" s="93" t="s">
        <v>357</v>
      </c>
      <c r="B211" s="93" t="s">
        <v>358</v>
      </c>
      <c r="C211" s="93" t="s">
        <v>26</v>
      </c>
      <c r="D211" s="93" t="s">
        <v>53</v>
      </c>
      <c r="E211" s="94" t="s">
        <v>354</v>
      </c>
      <c r="F211" s="112">
        <v>737.38</v>
      </c>
      <c r="G211" s="106">
        <v>77</v>
      </c>
      <c r="H211" s="106">
        <v>56</v>
      </c>
      <c r="I211" s="94" t="s">
        <v>403</v>
      </c>
      <c r="K211" s="93"/>
      <c r="L211" s="93"/>
      <c r="M211" s="93"/>
    </row>
    <row r="212" spans="1:13" x14ac:dyDescent="0.2">
      <c r="A212" s="93" t="s">
        <v>361</v>
      </c>
      <c r="B212" s="93" t="s">
        <v>362</v>
      </c>
      <c r="C212" s="93" t="s">
        <v>11</v>
      </c>
      <c r="D212" s="93" t="s">
        <v>53</v>
      </c>
      <c r="E212" s="94" t="s">
        <v>363</v>
      </c>
      <c r="F212" s="112">
        <v>2287.64</v>
      </c>
      <c r="G212" s="106">
        <v>78</v>
      </c>
      <c r="H212" s="106"/>
      <c r="I212" s="94" t="s">
        <v>403</v>
      </c>
      <c r="K212" s="93"/>
      <c r="L212" s="93"/>
      <c r="M212" s="93"/>
    </row>
    <row r="213" spans="1:13" x14ac:dyDescent="0.2">
      <c r="A213" s="93" t="s">
        <v>364</v>
      </c>
      <c r="B213" s="93" t="s">
        <v>365</v>
      </c>
      <c r="C213" s="93" t="s">
        <v>46</v>
      </c>
      <c r="D213" s="93" t="s">
        <v>12</v>
      </c>
      <c r="E213" s="94" t="s">
        <v>363</v>
      </c>
      <c r="F213" s="112">
        <v>803.98</v>
      </c>
      <c r="G213" s="106">
        <v>78</v>
      </c>
      <c r="H213" s="106">
        <v>104</v>
      </c>
      <c r="I213" s="94" t="s">
        <v>403</v>
      </c>
      <c r="K213" s="93"/>
      <c r="L213" s="93"/>
      <c r="M213" s="93"/>
    </row>
    <row r="214" spans="1:13" x14ac:dyDescent="0.2">
      <c r="A214" s="93" t="s">
        <v>366</v>
      </c>
      <c r="B214" s="93" t="s">
        <v>367</v>
      </c>
      <c r="C214" s="93" t="s">
        <v>11</v>
      </c>
      <c r="D214" s="93" t="s">
        <v>53</v>
      </c>
      <c r="E214" s="94" t="s">
        <v>363</v>
      </c>
      <c r="F214" s="112">
        <v>1568.19</v>
      </c>
      <c r="G214" s="106">
        <v>78</v>
      </c>
      <c r="H214" s="106"/>
      <c r="I214" s="94" t="s">
        <v>403</v>
      </c>
      <c r="K214" s="93"/>
      <c r="L214" s="93"/>
      <c r="M214" s="93"/>
    </row>
    <row r="215" spans="1:13" x14ac:dyDescent="0.2">
      <c r="A215" s="93" t="s">
        <v>368</v>
      </c>
      <c r="B215" s="93" t="s">
        <v>369</v>
      </c>
      <c r="C215" s="93" t="s">
        <v>26</v>
      </c>
      <c r="D215" s="93" t="s">
        <v>53</v>
      </c>
      <c r="E215" s="94" t="s">
        <v>370</v>
      </c>
      <c r="F215" s="112">
        <v>2744.45</v>
      </c>
      <c r="G215" s="106">
        <v>81</v>
      </c>
      <c r="H215" s="106">
        <v>68</v>
      </c>
      <c r="I215" s="94" t="s">
        <v>484</v>
      </c>
      <c r="K215" s="93"/>
      <c r="L215" s="93"/>
      <c r="M215" s="93"/>
    </row>
    <row r="216" spans="1:13" x14ac:dyDescent="0.2">
      <c r="A216" s="93" t="s">
        <v>371</v>
      </c>
      <c r="B216" s="93" t="s">
        <v>372</v>
      </c>
      <c r="C216" s="93" t="s">
        <v>67</v>
      </c>
      <c r="D216" s="93" t="s">
        <v>53</v>
      </c>
      <c r="E216" s="94" t="s">
        <v>370</v>
      </c>
      <c r="F216" s="112">
        <v>2930.22</v>
      </c>
      <c r="G216" s="106">
        <v>81</v>
      </c>
      <c r="H216" s="106">
        <v>72</v>
      </c>
      <c r="I216" s="94" t="s">
        <v>484</v>
      </c>
      <c r="K216" s="93"/>
      <c r="L216" s="93"/>
      <c r="M216" s="93"/>
    </row>
    <row r="217" spans="1:13" x14ac:dyDescent="0.2">
      <c r="A217" s="93" t="s">
        <v>373</v>
      </c>
      <c r="B217" s="93" t="s">
        <v>374</v>
      </c>
      <c r="C217" s="93" t="s">
        <v>46</v>
      </c>
      <c r="D217" s="93" t="s">
        <v>18</v>
      </c>
      <c r="E217" s="94" t="s">
        <v>375</v>
      </c>
      <c r="F217" s="112">
        <v>853.74</v>
      </c>
      <c r="G217" s="106">
        <v>82</v>
      </c>
      <c r="H217" s="106"/>
      <c r="I217" s="94" t="s">
        <v>484</v>
      </c>
      <c r="K217" s="93"/>
      <c r="L217" s="93"/>
      <c r="M217" s="93"/>
    </row>
    <row r="218" spans="1:13" x14ac:dyDescent="0.2">
      <c r="A218" s="93" t="s">
        <v>376</v>
      </c>
      <c r="B218" s="93" t="s">
        <v>377</v>
      </c>
      <c r="C218" s="93" t="s">
        <v>140</v>
      </c>
      <c r="D218" s="93" t="s">
        <v>18</v>
      </c>
      <c r="E218" s="94" t="s">
        <v>375</v>
      </c>
      <c r="F218" s="112">
        <v>818.67</v>
      </c>
      <c r="G218" s="106">
        <v>82</v>
      </c>
      <c r="H218" s="106"/>
      <c r="I218" s="94" t="s">
        <v>484</v>
      </c>
      <c r="K218" s="93"/>
      <c r="L218" s="93"/>
      <c r="M218" s="93"/>
    </row>
    <row r="219" spans="1:13" x14ac:dyDescent="0.2">
      <c r="A219" s="93" t="s">
        <v>378</v>
      </c>
      <c r="B219" s="93" t="s">
        <v>379</v>
      </c>
      <c r="C219" s="93" t="s">
        <v>46</v>
      </c>
      <c r="D219" s="93" t="s">
        <v>18</v>
      </c>
      <c r="E219" s="94" t="s">
        <v>375</v>
      </c>
      <c r="F219" s="112">
        <v>1099.98</v>
      </c>
      <c r="G219" s="106">
        <v>82</v>
      </c>
      <c r="H219" s="106"/>
      <c r="I219" s="94" t="s">
        <v>484</v>
      </c>
      <c r="K219" s="93"/>
      <c r="L219" s="93"/>
      <c r="M219" s="93"/>
    </row>
    <row r="220" spans="1:13" x14ac:dyDescent="0.2">
      <c r="A220" s="93" t="s">
        <v>383</v>
      </c>
      <c r="B220" s="93" t="s">
        <v>384</v>
      </c>
      <c r="C220" s="93" t="s">
        <v>17</v>
      </c>
      <c r="D220" s="93" t="s">
        <v>12</v>
      </c>
      <c r="E220" s="94" t="s">
        <v>382</v>
      </c>
      <c r="F220" s="112">
        <v>862.43</v>
      </c>
      <c r="G220" s="106">
        <v>83</v>
      </c>
      <c r="H220" s="106"/>
      <c r="I220" s="94" t="s">
        <v>484</v>
      </c>
      <c r="K220" s="93"/>
      <c r="L220" s="93"/>
      <c r="M220" s="93"/>
    </row>
    <row r="221" spans="1:13" x14ac:dyDescent="0.2">
      <c r="A221" s="93" t="s">
        <v>385</v>
      </c>
      <c r="B221" s="93" t="s">
        <v>386</v>
      </c>
      <c r="C221" s="93" t="s">
        <v>46</v>
      </c>
      <c r="D221" s="93" t="s">
        <v>18</v>
      </c>
      <c r="E221" s="94" t="s">
        <v>387</v>
      </c>
      <c r="F221" s="112">
        <v>690.8</v>
      </c>
      <c r="G221" s="106">
        <v>84</v>
      </c>
      <c r="H221" s="106"/>
      <c r="I221" s="94" t="s">
        <v>484</v>
      </c>
      <c r="K221" s="93"/>
      <c r="L221" s="93"/>
      <c r="M221" s="93"/>
    </row>
    <row r="222" spans="1:13" x14ac:dyDescent="0.2">
      <c r="A222" s="93" t="s">
        <v>391</v>
      </c>
      <c r="B222" s="93" t="s">
        <v>392</v>
      </c>
      <c r="C222" s="93" t="s">
        <v>59</v>
      </c>
      <c r="D222" s="93" t="s">
        <v>53</v>
      </c>
      <c r="E222" s="94" t="s">
        <v>390</v>
      </c>
      <c r="F222" s="112">
        <v>1576.32</v>
      </c>
      <c r="G222" s="106">
        <v>85</v>
      </c>
      <c r="H222" s="106">
        <v>53</v>
      </c>
      <c r="I222" s="94" t="s">
        <v>484</v>
      </c>
      <c r="K222" s="93"/>
      <c r="L222" s="93"/>
      <c r="M222" s="93"/>
    </row>
    <row r="223" spans="1:13" x14ac:dyDescent="0.2">
      <c r="A223" s="93" t="s">
        <v>393</v>
      </c>
      <c r="B223" s="93" t="s">
        <v>394</v>
      </c>
      <c r="C223" s="93" t="s">
        <v>59</v>
      </c>
      <c r="D223" s="93" t="s">
        <v>53</v>
      </c>
      <c r="E223" s="94" t="s">
        <v>390</v>
      </c>
      <c r="F223" s="112">
        <v>1452.42</v>
      </c>
      <c r="G223" s="106">
        <v>85</v>
      </c>
      <c r="H223" s="106">
        <v>53</v>
      </c>
      <c r="I223" s="94" t="s">
        <v>484</v>
      </c>
      <c r="K223" s="93"/>
      <c r="L223" s="93"/>
      <c r="M223" s="93"/>
    </row>
    <row r="224" spans="1:13" x14ac:dyDescent="0.2">
      <c r="A224" s="93" t="s">
        <v>393</v>
      </c>
      <c r="B224" s="93" t="s">
        <v>395</v>
      </c>
      <c r="C224" s="93" t="s">
        <v>59</v>
      </c>
      <c r="D224" s="93" t="s">
        <v>53</v>
      </c>
      <c r="E224" s="94" t="s">
        <v>390</v>
      </c>
      <c r="F224" s="112">
        <v>4460.93</v>
      </c>
      <c r="G224" s="106">
        <v>85</v>
      </c>
      <c r="H224" s="106">
        <v>53</v>
      </c>
      <c r="I224" s="94" t="s">
        <v>484</v>
      </c>
      <c r="K224" s="93"/>
      <c r="L224" s="93"/>
      <c r="M224" s="93"/>
    </row>
    <row r="225" spans="1:13" x14ac:dyDescent="0.2">
      <c r="A225" s="93" t="s">
        <v>393</v>
      </c>
      <c r="B225" s="93" t="s">
        <v>396</v>
      </c>
      <c r="C225" s="93" t="s">
        <v>59</v>
      </c>
      <c r="D225" s="93" t="s">
        <v>53</v>
      </c>
      <c r="E225" s="94" t="s">
        <v>390</v>
      </c>
      <c r="F225" s="112">
        <v>1453.67</v>
      </c>
      <c r="G225" s="106">
        <v>85</v>
      </c>
      <c r="H225" s="106">
        <v>53</v>
      </c>
      <c r="I225" s="94" t="s">
        <v>484</v>
      </c>
      <c r="K225" s="93"/>
      <c r="L225" s="93"/>
      <c r="M225" s="93"/>
    </row>
    <row r="226" spans="1:13" x14ac:dyDescent="0.2">
      <c r="A226" s="93" t="s">
        <v>393</v>
      </c>
      <c r="B226" s="93" t="s">
        <v>397</v>
      </c>
      <c r="C226" s="93" t="s">
        <v>59</v>
      </c>
      <c r="D226" s="93" t="s">
        <v>53</v>
      </c>
      <c r="E226" s="94" t="s">
        <v>390</v>
      </c>
      <c r="F226" s="112">
        <v>1392.8</v>
      </c>
      <c r="G226" s="106">
        <v>85</v>
      </c>
      <c r="H226" s="106">
        <v>53</v>
      </c>
      <c r="I226" s="94" t="s">
        <v>484</v>
      </c>
      <c r="K226" s="93"/>
      <c r="L226" s="93"/>
      <c r="M226" s="93"/>
    </row>
    <row r="227" spans="1:13" x14ac:dyDescent="0.2">
      <c r="A227" s="93" t="s">
        <v>398</v>
      </c>
      <c r="B227" s="93" t="s">
        <v>399</v>
      </c>
      <c r="C227" s="93" t="s">
        <v>11</v>
      </c>
      <c r="D227" s="93" t="s">
        <v>53</v>
      </c>
      <c r="E227" s="94" t="s">
        <v>390</v>
      </c>
      <c r="F227" s="112">
        <v>959.79</v>
      </c>
      <c r="G227" s="106">
        <v>85</v>
      </c>
      <c r="H227" s="106"/>
      <c r="I227" s="94" t="s">
        <v>484</v>
      </c>
      <c r="K227" s="93"/>
      <c r="L227" s="93"/>
      <c r="M227" s="93"/>
    </row>
    <row r="228" spans="1:13" x14ac:dyDescent="0.2">
      <c r="A228" s="93" t="s">
        <v>400</v>
      </c>
      <c r="B228" s="93" t="s">
        <v>401</v>
      </c>
      <c r="C228" s="93" t="s">
        <v>67</v>
      </c>
      <c r="D228" s="93" t="s">
        <v>53</v>
      </c>
      <c r="E228" s="94" t="s">
        <v>402</v>
      </c>
      <c r="F228" s="112">
        <v>7216.91</v>
      </c>
      <c r="G228" s="106">
        <v>88</v>
      </c>
      <c r="H228" s="106">
        <v>102</v>
      </c>
      <c r="I228" s="94" t="s">
        <v>484</v>
      </c>
      <c r="K228" s="93"/>
      <c r="L228" s="93"/>
      <c r="M228" s="93"/>
    </row>
    <row r="229" spans="1:13" x14ac:dyDescent="0.2">
      <c r="A229" s="93" t="s">
        <v>404</v>
      </c>
      <c r="B229" s="93" t="s">
        <v>405</v>
      </c>
      <c r="C229" s="93" t="s">
        <v>11</v>
      </c>
      <c r="D229" s="93" t="s">
        <v>53</v>
      </c>
      <c r="E229" s="94" t="s">
        <v>402</v>
      </c>
      <c r="F229" s="112">
        <v>990</v>
      </c>
      <c r="G229" s="106">
        <v>88</v>
      </c>
      <c r="H229" s="106"/>
      <c r="I229" s="94" t="s">
        <v>484</v>
      </c>
      <c r="K229" s="93"/>
      <c r="L229" s="93"/>
      <c r="M229" s="93"/>
    </row>
    <row r="230" spans="1:13" x14ac:dyDescent="0.2">
      <c r="A230" s="93" t="s">
        <v>406</v>
      </c>
      <c r="B230" s="93" t="s">
        <v>407</v>
      </c>
      <c r="C230" s="93" t="s">
        <v>46</v>
      </c>
      <c r="D230" s="93" t="s">
        <v>12</v>
      </c>
      <c r="E230" s="94" t="s">
        <v>402</v>
      </c>
      <c r="F230" s="112">
        <v>761.48</v>
      </c>
      <c r="G230" s="106">
        <v>88</v>
      </c>
      <c r="H230" s="106"/>
      <c r="I230" s="94" t="s">
        <v>484</v>
      </c>
      <c r="K230" s="93"/>
      <c r="L230" s="93"/>
      <c r="M230" s="93"/>
    </row>
    <row r="231" spans="1:13" x14ac:dyDescent="0.2">
      <c r="A231" s="93" t="s">
        <v>408</v>
      </c>
      <c r="B231" s="93" t="s">
        <v>409</v>
      </c>
      <c r="C231" s="93" t="s">
        <v>46</v>
      </c>
      <c r="D231" s="93" t="s">
        <v>18</v>
      </c>
      <c r="E231" s="94" t="s">
        <v>410</v>
      </c>
      <c r="F231" s="112">
        <v>901.43</v>
      </c>
      <c r="G231" s="106">
        <v>90</v>
      </c>
      <c r="H231" s="106"/>
      <c r="I231" s="94" t="s">
        <v>484</v>
      </c>
      <c r="K231" s="93"/>
      <c r="L231" s="93"/>
      <c r="M231" s="93"/>
    </row>
    <row r="232" spans="1:13" x14ac:dyDescent="0.2">
      <c r="A232" s="93" t="s">
        <v>411</v>
      </c>
      <c r="B232" s="93" t="s">
        <v>412</v>
      </c>
      <c r="C232" s="93" t="s">
        <v>52</v>
      </c>
      <c r="D232" s="93" t="s">
        <v>53</v>
      </c>
      <c r="E232" s="94" t="s">
        <v>413</v>
      </c>
      <c r="F232" s="112">
        <v>1556.85</v>
      </c>
      <c r="G232" s="106">
        <v>92</v>
      </c>
      <c r="H232" s="106">
        <v>42</v>
      </c>
      <c r="I232" s="94" t="s">
        <v>484</v>
      </c>
      <c r="K232" s="93"/>
      <c r="L232" s="93"/>
      <c r="M232" s="93"/>
    </row>
    <row r="233" spans="1:13" x14ac:dyDescent="0.2">
      <c r="A233" s="93" t="s">
        <v>414</v>
      </c>
      <c r="B233" s="93" t="s">
        <v>415</v>
      </c>
      <c r="C233" s="93" t="s">
        <v>22</v>
      </c>
      <c r="D233" s="93" t="s">
        <v>12</v>
      </c>
      <c r="E233" s="94" t="s">
        <v>416</v>
      </c>
      <c r="F233" s="112">
        <v>1146.03</v>
      </c>
      <c r="G233" s="106">
        <v>95</v>
      </c>
      <c r="H233" s="106"/>
      <c r="I233" s="94" t="s">
        <v>484</v>
      </c>
      <c r="K233" s="93"/>
      <c r="L233" s="93"/>
      <c r="M233" s="93"/>
    </row>
    <row r="234" spans="1:13" x14ac:dyDescent="0.2">
      <c r="A234" s="93" t="s">
        <v>420</v>
      </c>
      <c r="B234" s="93" t="s">
        <v>421</v>
      </c>
      <c r="C234" s="93" t="s">
        <v>11</v>
      </c>
      <c r="D234" s="93" t="s">
        <v>53</v>
      </c>
      <c r="E234" s="94" t="s">
        <v>422</v>
      </c>
      <c r="F234" s="112">
        <v>1507.48</v>
      </c>
      <c r="G234" s="106">
        <v>97</v>
      </c>
      <c r="H234" s="106">
        <v>50</v>
      </c>
      <c r="I234" s="94" t="s">
        <v>484</v>
      </c>
      <c r="K234" s="93"/>
      <c r="L234" s="93"/>
      <c r="M234" s="93"/>
    </row>
    <row r="235" spans="1:13" x14ac:dyDescent="0.2">
      <c r="A235" s="93" t="s">
        <v>423</v>
      </c>
      <c r="B235" s="93" t="s">
        <v>424</v>
      </c>
      <c r="C235" s="93" t="s">
        <v>46</v>
      </c>
      <c r="D235" s="93" t="s">
        <v>12</v>
      </c>
      <c r="E235" s="94" t="s">
        <v>425</v>
      </c>
      <c r="F235" s="112">
        <v>903.41</v>
      </c>
      <c r="G235" s="106">
        <v>99</v>
      </c>
      <c r="H235" s="106"/>
      <c r="I235" s="94" t="s">
        <v>484</v>
      </c>
      <c r="K235" s="93"/>
      <c r="L235" s="93"/>
      <c r="M235" s="93"/>
    </row>
    <row r="236" spans="1:13" x14ac:dyDescent="0.2">
      <c r="A236" s="93" t="s">
        <v>426</v>
      </c>
      <c r="B236" s="93" t="s">
        <v>427</v>
      </c>
      <c r="C236" s="93" t="s">
        <v>46</v>
      </c>
      <c r="D236" s="93" t="s">
        <v>18</v>
      </c>
      <c r="E236" s="94" t="s">
        <v>425</v>
      </c>
      <c r="F236" s="112">
        <v>1802.56</v>
      </c>
      <c r="G236" s="106">
        <v>99</v>
      </c>
      <c r="H236" s="106">
        <v>34</v>
      </c>
      <c r="I236" s="94" t="s">
        <v>484</v>
      </c>
      <c r="K236" s="93"/>
      <c r="L236" s="93"/>
      <c r="M236" s="93"/>
    </row>
    <row r="237" spans="1:13" x14ac:dyDescent="0.2">
      <c r="A237" s="93" t="s">
        <v>428</v>
      </c>
      <c r="B237" s="93" t="s">
        <v>429</v>
      </c>
      <c r="C237" s="93" t="s">
        <v>46</v>
      </c>
      <c r="D237" s="93" t="s">
        <v>18</v>
      </c>
      <c r="E237" s="94" t="s">
        <v>425</v>
      </c>
      <c r="F237" s="112">
        <v>1380.17</v>
      </c>
      <c r="G237" s="106">
        <v>99</v>
      </c>
      <c r="H237" s="106"/>
      <c r="I237" s="94" t="s">
        <v>484</v>
      </c>
      <c r="K237" s="93"/>
      <c r="L237" s="93"/>
      <c r="M237" s="93"/>
    </row>
    <row r="238" spans="1:13" x14ac:dyDescent="0.2">
      <c r="A238" s="93" t="s">
        <v>430</v>
      </c>
      <c r="B238" s="93" t="s">
        <v>431</v>
      </c>
      <c r="C238" s="93" t="s">
        <v>46</v>
      </c>
      <c r="D238" s="93" t="s">
        <v>12</v>
      </c>
      <c r="E238" s="94" t="s">
        <v>425</v>
      </c>
      <c r="F238" s="112">
        <v>1792.87</v>
      </c>
      <c r="G238" s="106">
        <v>99</v>
      </c>
      <c r="H238" s="106"/>
      <c r="I238" s="94" t="s">
        <v>484</v>
      </c>
      <c r="K238" s="93"/>
      <c r="L238" s="93"/>
      <c r="M238" s="93"/>
    </row>
    <row r="239" spans="1:13" x14ac:dyDescent="0.2">
      <c r="A239" s="93" t="s">
        <v>432</v>
      </c>
      <c r="B239" s="93" t="s">
        <v>433</v>
      </c>
      <c r="C239" s="93" t="s">
        <v>46</v>
      </c>
      <c r="D239" s="93" t="s">
        <v>12</v>
      </c>
      <c r="E239" s="94" t="s">
        <v>425</v>
      </c>
      <c r="F239" s="112">
        <v>4509.1000000000004</v>
      </c>
      <c r="G239" s="106">
        <v>99</v>
      </c>
      <c r="H239" s="106">
        <v>11</v>
      </c>
      <c r="I239" s="94" t="s">
        <v>484</v>
      </c>
      <c r="K239" s="93"/>
      <c r="L239" s="93"/>
      <c r="M239" s="93"/>
    </row>
    <row r="240" spans="1:13" x14ac:dyDescent="0.2">
      <c r="A240" s="93" t="s">
        <v>438</v>
      </c>
      <c r="B240" s="93" t="s">
        <v>439</v>
      </c>
      <c r="C240" s="93" t="s">
        <v>17</v>
      </c>
      <c r="D240" s="93" t="s">
        <v>12</v>
      </c>
      <c r="E240" s="94" t="s">
        <v>425</v>
      </c>
      <c r="F240" s="112">
        <v>9404.7099999999991</v>
      </c>
      <c r="G240" s="106">
        <v>99</v>
      </c>
      <c r="H240" s="106"/>
      <c r="I240" s="94" t="s">
        <v>484</v>
      </c>
      <c r="K240" s="93"/>
      <c r="L240" s="93"/>
      <c r="M240" s="93"/>
    </row>
    <row r="241" spans="1:13" x14ac:dyDescent="0.2">
      <c r="A241" s="93" t="s">
        <v>440</v>
      </c>
      <c r="B241" s="93" t="s">
        <v>441</v>
      </c>
      <c r="C241" s="93" t="s">
        <v>442</v>
      </c>
      <c r="D241" s="93" t="s">
        <v>53</v>
      </c>
      <c r="E241" s="94" t="s">
        <v>443</v>
      </c>
      <c r="F241" s="112">
        <v>2170.59</v>
      </c>
      <c r="G241" s="106">
        <v>102</v>
      </c>
      <c r="H241" s="106"/>
      <c r="I241" s="94" t="s">
        <v>484</v>
      </c>
      <c r="K241" s="93"/>
      <c r="L241" s="93"/>
      <c r="M241" s="93"/>
    </row>
    <row r="242" spans="1:13" x14ac:dyDescent="0.2">
      <c r="A242" s="93" t="s">
        <v>444</v>
      </c>
      <c r="B242" s="93" t="s">
        <v>445</v>
      </c>
      <c r="C242" s="93" t="s">
        <v>22</v>
      </c>
      <c r="D242" s="93" t="s">
        <v>18</v>
      </c>
      <c r="E242" s="94" t="s">
        <v>443</v>
      </c>
      <c r="F242" s="112">
        <v>1216.97</v>
      </c>
      <c r="G242" s="106">
        <v>102</v>
      </c>
      <c r="H242" s="106">
        <v>50</v>
      </c>
      <c r="I242" s="94" t="s">
        <v>484</v>
      </c>
      <c r="K242" s="93"/>
      <c r="L242" s="93"/>
      <c r="M242" s="93"/>
    </row>
    <row r="243" spans="1:13" x14ac:dyDescent="0.2">
      <c r="A243" s="93" t="s">
        <v>446</v>
      </c>
      <c r="B243" s="93" t="s">
        <v>447</v>
      </c>
      <c r="C243" s="93" t="s">
        <v>22</v>
      </c>
      <c r="D243" s="93" t="s">
        <v>18</v>
      </c>
      <c r="E243" s="94" t="s">
        <v>443</v>
      </c>
      <c r="F243" s="112">
        <v>1216.97</v>
      </c>
      <c r="G243" s="106">
        <v>102</v>
      </c>
      <c r="H243" s="106"/>
      <c r="I243" s="94" t="s">
        <v>484</v>
      </c>
      <c r="K243" s="93"/>
      <c r="L243" s="93"/>
      <c r="M243" s="93"/>
    </row>
    <row r="244" spans="1:13" x14ac:dyDescent="0.2">
      <c r="A244" s="93" t="s">
        <v>450</v>
      </c>
      <c r="B244" s="93" t="s">
        <v>451</v>
      </c>
      <c r="C244" s="93" t="s">
        <v>46</v>
      </c>
      <c r="D244" s="93" t="s">
        <v>18</v>
      </c>
      <c r="E244" s="94" t="s">
        <v>452</v>
      </c>
      <c r="F244" s="112">
        <v>737.8</v>
      </c>
      <c r="G244" s="106">
        <v>103</v>
      </c>
      <c r="H244" s="106"/>
      <c r="I244" s="94" t="s">
        <v>484</v>
      </c>
      <c r="K244" s="93"/>
      <c r="L244" s="93"/>
      <c r="M244" s="93"/>
    </row>
    <row r="245" spans="1:13" x14ac:dyDescent="0.2">
      <c r="A245" s="93" t="s">
        <v>457</v>
      </c>
      <c r="B245" s="93" t="s">
        <v>458</v>
      </c>
      <c r="C245" s="93" t="s">
        <v>46</v>
      </c>
      <c r="D245" s="93" t="s">
        <v>18</v>
      </c>
      <c r="E245" s="94" t="s">
        <v>452</v>
      </c>
      <c r="F245" s="112">
        <v>1213.9000000000001</v>
      </c>
      <c r="G245" s="106">
        <v>103</v>
      </c>
      <c r="H245" s="106">
        <v>23</v>
      </c>
      <c r="I245" s="94" t="s">
        <v>484</v>
      </c>
      <c r="K245" s="93"/>
      <c r="L245" s="93"/>
      <c r="M245" s="93"/>
    </row>
    <row r="246" spans="1:13" x14ac:dyDescent="0.2">
      <c r="A246" s="93" t="s">
        <v>459</v>
      </c>
      <c r="B246" s="93" t="s">
        <v>460</v>
      </c>
      <c r="C246" s="93" t="s">
        <v>22</v>
      </c>
      <c r="D246" s="93" t="s">
        <v>12</v>
      </c>
      <c r="E246" s="94" t="s">
        <v>452</v>
      </c>
      <c r="F246" s="112">
        <v>678.53</v>
      </c>
      <c r="G246" s="106">
        <v>103</v>
      </c>
      <c r="H246" s="106"/>
      <c r="I246" s="94" t="s">
        <v>484</v>
      </c>
      <c r="K246" s="93"/>
      <c r="L246" s="93"/>
      <c r="M246" s="93"/>
    </row>
    <row r="247" spans="1:13" x14ac:dyDescent="0.2">
      <c r="A247" s="93" t="s">
        <v>339</v>
      </c>
      <c r="B247" s="93" t="s">
        <v>461</v>
      </c>
      <c r="C247" s="93" t="s">
        <v>46</v>
      </c>
      <c r="D247" s="93" t="s">
        <v>18</v>
      </c>
      <c r="E247" s="94" t="s">
        <v>452</v>
      </c>
      <c r="F247" s="112">
        <v>1213.9000000000001</v>
      </c>
      <c r="G247" s="106">
        <v>103</v>
      </c>
      <c r="H247" s="106"/>
      <c r="I247" s="94" t="s">
        <v>484</v>
      </c>
      <c r="K247" s="93"/>
      <c r="L247" s="93"/>
      <c r="M247" s="93"/>
    </row>
    <row r="248" spans="1:13" x14ac:dyDescent="0.2">
      <c r="A248" s="93" t="s">
        <v>457</v>
      </c>
      <c r="B248" s="93" t="s">
        <v>462</v>
      </c>
      <c r="C248" s="93" t="s">
        <v>46</v>
      </c>
      <c r="D248" s="93" t="s">
        <v>18</v>
      </c>
      <c r="E248" s="94" t="s">
        <v>452</v>
      </c>
      <c r="F248" s="112">
        <v>1218.44</v>
      </c>
      <c r="G248" s="106">
        <v>103</v>
      </c>
      <c r="H248" s="106"/>
      <c r="I248" s="94" t="s">
        <v>484</v>
      </c>
      <c r="K248" s="93"/>
      <c r="L248" s="93"/>
      <c r="M248" s="93"/>
    </row>
    <row r="249" spans="1:13" x14ac:dyDescent="0.2">
      <c r="A249" s="93" t="s">
        <v>463</v>
      </c>
      <c r="B249" s="93" t="s">
        <v>464</v>
      </c>
      <c r="C249" s="93" t="s">
        <v>46</v>
      </c>
      <c r="D249" s="93" t="s">
        <v>18</v>
      </c>
      <c r="E249" s="94" t="s">
        <v>452</v>
      </c>
      <c r="F249" s="112">
        <v>1213.9000000000001</v>
      </c>
      <c r="G249" s="106">
        <v>103</v>
      </c>
      <c r="H249" s="106"/>
      <c r="I249" s="94" t="s">
        <v>484</v>
      </c>
      <c r="K249" s="93"/>
      <c r="L249" s="93"/>
      <c r="M249" s="93"/>
    </row>
    <row r="250" spans="1:13" x14ac:dyDescent="0.2">
      <c r="A250" s="93" t="s">
        <v>467</v>
      </c>
      <c r="B250" s="93" t="s">
        <v>468</v>
      </c>
      <c r="C250" s="93" t="s">
        <v>46</v>
      </c>
      <c r="D250" s="93" t="s">
        <v>18</v>
      </c>
      <c r="E250" s="94" t="s">
        <v>452</v>
      </c>
      <c r="F250" s="112">
        <v>1213.9000000000001</v>
      </c>
      <c r="G250" s="106">
        <v>103</v>
      </c>
      <c r="H250" s="106"/>
      <c r="I250" s="94" t="s">
        <v>484</v>
      </c>
      <c r="K250" s="93"/>
      <c r="L250" s="93"/>
      <c r="M250" s="93"/>
    </row>
    <row r="251" spans="1:13" x14ac:dyDescent="0.2">
      <c r="A251" s="93" t="s">
        <v>469</v>
      </c>
      <c r="B251" s="93" t="s">
        <v>470</v>
      </c>
      <c r="C251" s="93" t="s">
        <v>46</v>
      </c>
      <c r="D251" s="93" t="s">
        <v>18</v>
      </c>
      <c r="E251" s="94" t="s">
        <v>471</v>
      </c>
      <c r="F251" s="112">
        <v>1218.44</v>
      </c>
      <c r="G251" s="106">
        <v>104</v>
      </c>
      <c r="H251" s="106"/>
      <c r="I251" s="94" t="s">
        <v>484</v>
      </c>
      <c r="K251" s="93"/>
      <c r="L251" s="93"/>
      <c r="M251" s="93"/>
    </row>
    <row r="252" spans="1:13" x14ac:dyDescent="0.2">
      <c r="A252" s="93" t="s">
        <v>121</v>
      </c>
      <c r="B252" s="93" t="s">
        <v>472</v>
      </c>
      <c r="C252" s="93" t="s">
        <v>46</v>
      </c>
      <c r="D252" s="93" t="s">
        <v>18</v>
      </c>
      <c r="E252" s="94" t="s">
        <v>471</v>
      </c>
      <c r="F252" s="112">
        <v>1218.44</v>
      </c>
      <c r="G252" s="106">
        <v>104</v>
      </c>
      <c r="H252" s="106"/>
      <c r="I252" s="94" t="s">
        <v>484</v>
      </c>
      <c r="K252" s="93"/>
      <c r="L252" s="93"/>
      <c r="M252" s="93"/>
    </row>
    <row r="253" spans="1:13" x14ac:dyDescent="0.2">
      <c r="A253" s="93" t="s">
        <v>473</v>
      </c>
      <c r="B253" s="93" t="s">
        <v>474</v>
      </c>
      <c r="C253" s="93" t="s">
        <v>46</v>
      </c>
      <c r="D253" s="93" t="s">
        <v>12</v>
      </c>
      <c r="E253" s="94" t="s">
        <v>471</v>
      </c>
      <c r="F253" s="112">
        <v>753.19</v>
      </c>
      <c r="G253" s="106">
        <v>104</v>
      </c>
      <c r="H253" s="106"/>
      <c r="I253" s="94" t="s">
        <v>484</v>
      </c>
      <c r="K253" s="93"/>
      <c r="L253" s="93"/>
      <c r="M253" s="93"/>
    </row>
    <row r="254" spans="1:13" x14ac:dyDescent="0.2">
      <c r="A254" s="93" t="s">
        <v>465</v>
      </c>
      <c r="B254" s="93" t="s">
        <v>475</v>
      </c>
      <c r="C254" s="93" t="s">
        <v>46</v>
      </c>
      <c r="D254" s="93" t="s">
        <v>18</v>
      </c>
      <c r="E254" s="94" t="s">
        <v>471</v>
      </c>
      <c r="F254" s="112">
        <v>1213.9000000000001</v>
      </c>
      <c r="G254" s="106">
        <v>104</v>
      </c>
      <c r="H254" s="106"/>
      <c r="I254" s="94" t="s">
        <v>484</v>
      </c>
      <c r="K254" s="93"/>
      <c r="L254" s="93"/>
      <c r="M254" s="93"/>
    </row>
    <row r="255" spans="1:13" x14ac:dyDescent="0.2">
      <c r="A255" s="93" t="s">
        <v>478</v>
      </c>
      <c r="B255" s="93" t="s">
        <v>479</v>
      </c>
      <c r="C255" s="93" t="s">
        <v>46</v>
      </c>
      <c r="D255" s="93" t="s">
        <v>18</v>
      </c>
      <c r="E255" s="94" t="s">
        <v>480</v>
      </c>
      <c r="F255" s="112">
        <v>2350.33</v>
      </c>
      <c r="G255" s="106">
        <v>105</v>
      </c>
      <c r="H255" s="106"/>
      <c r="I255" s="94" t="s">
        <v>484</v>
      </c>
      <c r="K255" s="93"/>
      <c r="L255" s="93"/>
      <c r="M255" s="93"/>
    </row>
    <row r="256" spans="1:13" x14ac:dyDescent="0.2">
      <c r="A256" s="93" t="s">
        <v>481</v>
      </c>
      <c r="B256" s="93" t="s">
        <v>482</v>
      </c>
      <c r="C256" s="93" t="s">
        <v>140</v>
      </c>
      <c r="D256" s="93" t="s">
        <v>53</v>
      </c>
      <c r="E256" s="94" t="s">
        <v>483</v>
      </c>
      <c r="F256" s="112">
        <v>1001.78</v>
      </c>
      <c r="G256" s="106">
        <v>106</v>
      </c>
      <c r="H256" s="106"/>
      <c r="I256" s="94" t="s">
        <v>484</v>
      </c>
      <c r="K256" s="93"/>
      <c r="L256" s="93"/>
      <c r="M256" s="93"/>
    </row>
    <row r="257" spans="1:13" x14ac:dyDescent="0.2">
      <c r="A257" s="93" t="s">
        <v>485</v>
      </c>
      <c r="B257" s="93" t="s">
        <v>486</v>
      </c>
      <c r="C257" s="93" t="s">
        <v>49</v>
      </c>
      <c r="D257" s="93" t="s">
        <v>53</v>
      </c>
      <c r="E257" s="94" t="s">
        <v>483</v>
      </c>
      <c r="F257" s="112">
        <v>652.51</v>
      </c>
      <c r="G257" s="106">
        <v>106</v>
      </c>
      <c r="H257" s="106"/>
      <c r="I257" s="94" t="s">
        <v>484</v>
      </c>
      <c r="K257" s="93"/>
      <c r="L257" s="93"/>
      <c r="M257" s="93"/>
    </row>
    <row r="258" spans="1:13" x14ac:dyDescent="0.2">
      <c r="A258" s="93" t="s">
        <v>487</v>
      </c>
      <c r="B258" s="93" t="s">
        <v>488</v>
      </c>
      <c r="C258" s="93" t="s">
        <v>120</v>
      </c>
      <c r="D258" s="93" t="s">
        <v>53</v>
      </c>
      <c r="E258" s="94" t="s">
        <v>489</v>
      </c>
      <c r="F258" s="112">
        <v>815.05</v>
      </c>
      <c r="G258" s="106">
        <v>109</v>
      </c>
      <c r="H258" s="106">
        <v>45</v>
      </c>
      <c r="I258" s="94" t="s">
        <v>484</v>
      </c>
      <c r="K258" s="93"/>
      <c r="L258" s="93"/>
      <c r="M258" s="93"/>
    </row>
    <row r="259" spans="1:13" x14ac:dyDescent="0.2">
      <c r="A259" s="93" t="s">
        <v>490</v>
      </c>
      <c r="B259" s="93" t="s">
        <v>491</v>
      </c>
      <c r="C259" s="93" t="s">
        <v>11</v>
      </c>
      <c r="D259" s="93" t="s">
        <v>53</v>
      </c>
      <c r="E259" s="94" t="s">
        <v>489</v>
      </c>
      <c r="F259" s="112">
        <v>701.58</v>
      </c>
      <c r="G259" s="106">
        <v>109</v>
      </c>
      <c r="H259" s="106"/>
      <c r="I259" s="94" t="s">
        <v>484</v>
      </c>
      <c r="K259" s="93"/>
      <c r="L259" s="93"/>
      <c r="M259" s="93"/>
    </row>
    <row r="260" spans="1:13" x14ac:dyDescent="0.2">
      <c r="A260" s="93" t="s">
        <v>492</v>
      </c>
      <c r="B260" s="93" t="s">
        <v>493</v>
      </c>
      <c r="C260" s="93" t="s">
        <v>17</v>
      </c>
      <c r="D260" s="93" t="s">
        <v>12</v>
      </c>
      <c r="E260" s="94" t="s">
        <v>489</v>
      </c>
      <c r="F260" s="112">
        <v>702.86</v>
      </c>
      <c r="G260" s="106">
        <v>109</v>
      </c>
      <c r="H260" s="106"/>
      <c r="I260" s="94" t="s">
        <v>484</v>
      </c>
      <c r="K260" s="93"/>
      <c r="L260" s="93"/>
      <c r="M260" s="93"/>
    </row>
    <row r="261" spans="1:13" x14ac:dyDescent="0.2">
      <c r="A261" s="93" t="s">
        <v>494</v>
      </c>
      <c r="B261" s="93" t="s">
        <v>495</v>
      </c>
      <c r="C261" s="93" t="s">
        <v>22</v>
      </c>
      <c r="D261" s="93" t="s">
        <v>12</v>
      </c>
      <c r="E261" s="94" t="s">
        <v>489</v>
      </c>
      <c r="F261" s="112">
        <v>27788.43</v>
      </c>
      <c r="G261" s="106">
        <v>109</v>
      </c>
      <c r="H261" s="106"/>
      <c r="I261" s="94" t="s">
        <v>484</v>
      </c>
      <c r="K261" s="93"/>
      <c r="L261" s="93"/>
      <c r="M261" s="93"/>
    </row>
    <row r="262" spans="1:13" x14ac:dyDescent="0.2">
      <c r="A262" s="93" t="s">
        <v>496</v>
      </c>
      <c r="B262" s="93" t="s">
        <v>497</v>
      </c>
      <c r="C262" s="93" t="s">
        <v>11</v>
      </c>
      <c r="D262" s="93" t="s">
        <v>12</v>
      </c>
      <c r="E262" s="94" t="s">
        <v>489</v>
      </c>
      <c r="F262" s="112">
        <v>963.58</v>
      </c>
      <c r="G262" s="106">
        <v>109</v>
      </c>
      <c r="H262" s="106"/>
      <c r="I262" s="94" t="s">
        <v>484</v>
      </c>
      <c r="K262" s="93"/>
      <c r="L262" s="93"/>
      <c r="M262" s="93"/>
    </row>
    <row r="263" spans="1:13" x14ac:dyDescent="0.2">
      <c r="A263" s="93" t="s">
        <v>498</v>
      </c>
      <c r="B263" s="93" t="s">
        <v>499</v>
      </c>
      <c r="C263" s="93" t="s">
        <v>46</v>
      </c>
      <c r="D263" s="93" t="s">
        <v>18</v>
      </c>
      <c r="E263" s="94" t="s">
        <v>489</v>
      </c>
      <c r="F263" s="112">
        <v>3742.44</v>
      </c>
      <c r="G263" s="106">
        <v>109</v>
      </c>
      <c r="H263" s="106"/>
      <c r="I263" s="94" t="s">
        <v>484</v>
      </c>
      <c r="K263" s="93"/>
      <c r="L263" s="93"/>
      <c r="M263" s="93"/>
    </row>
    <row r="264" spans="1:13" x14ac:dyDescent="0.2">
      <c r="A264" s="93" t="s">
        <v>500</v>
      </c>
      <c r="B264" s="93" t="s">
        <v>501</v>
      </c>
      <c r="C264" s="93" t="s">
        <v>17</v>
      </c>
      <c r="D264" s="93" t="s">
        <v>12</v>
      </c>
      <c r="E264" s="94" t="s">
        <v>502</v>
      </c>
      <c r="F264" s="112">
        <v>681.32</v>
      </c>
      <c r="G264" s="106">
        <v>111</v>
      </c>
      <c r="H264" s="106"/>
      <c r="I264" s="94" t="s">
        <v>484</v>
      </c>
      <c r="K264" s="93"/>
      <c r="L264" s="93"/>
      <c r="M264" s="93"/>
    </row>
    <row r="265" spans="1:13" x14ac:dyDescent="0.2">
      <c r="A265" s="93" t="s">
        <v>503</v>
      </c>
      <c r="B265" s="93" t="s">
        <v>504</v>
      </c>
      <c r="C265" s="93" t="s">
        <v>140</v>
      </c>
      <c r="D265" s="93" t="s">
        <v>53</v>
      </c>
      <c r="E265" s="94" t="s">
        <v>505</v>
      </c>
      <c r="F265" s="112">
        <v>1543.95</v>
      </c>
      <c r="G265" s="106">
        <v>112</v>
      </c>
      <c r="H265" s="106"/>
      <c r="I265" s="94" t="s">
        <v>484</v>
      </c>
      <c r="K265" s="93"/>
      <c r="L265" s="93"/>
      <c r="M265" s="93"/>
    </row>
    <row r="266" spans="1:13" x14ac:dyDescent="0.2">
      <c r="A266" s="93" t="s">
        <v>509</v>
      </c>
      <c r="B266" s="93" t="s">
        <v>510</v>
      </c>
      <c r="C266" s="93" t="s">
        <v>511</v>
      </c>
      <c r="D266" s="93" t="s">
        <v>53</v>
      </c>
      <c r="E266" s="94" t="s">
        <v>508</v>
      </c>
      <c r="F266" s="112">
        <v>2212.34</v>
      </c>
      <c r="G266" s="106">
        <v>113</v>
      </c>
      <c r="H266" s="106">
        <v>48</v>
      </c>
      <c r="I266" s="94" t="s">
        <v>484</v>
      </c>
      <c r="K266" s="93"/>
      <c r="L266" s="93"/>
      <c r="M266" s="93"/>
    </row>
    <row r="267" spans="1:13" x14ac:dyDescent="0.2">
      <c r="A267" s="93" t="s">
        <v>512</v>
      </c>
      <c r="B267" s="93" t="s">
        <v>513</v>
      </c>
      <c r="C267" s="93" t="s">
        <v>11</v>
      </c>
      <c r="D267" s="93" t="s">
        <v>220</v>
      </c>
      <c r="E267" s="94" t="s">
        <v>508</v>
      </c>
      <c r="F267" s="112">
        <v>925.83</v>
      </c>
      <c r="G267" s="106">
        <v>113</v>
      </c>
      <c r="H267" s="106">
        <v>16</v>
      </c>
      <c r="I267" s="94" t="s">
        <v>484</v>
      </c>
      <c r="K267" s="93"/>
      <c r="L267" s="93"/>
      <c r="M267" s="93"/>
    </row>
    <row r="268" spans="1:13" x14ac:dyDescent="0.2">
      <c r="A268" s="93" t="s">
        <v>514</v>
      </c>
      <c r="B268" s="93" t="s">
        <v>515</v>
      </c>
      <c r="C268" s="93" t="s">
        <v>22</v>
      </c>
      <c r="D268" s="93" t="s">
        <v>12</v>
      </c>
      <c r="E268" s="94" t="s">
        <v>508</v>
      </c>
      <c r="F268" s="112">
        <v>699.03</v>
      </c>
      <c r="G268" s="106">
        <v>113</v>
      </c>
      <c r="H268" s="106"/>
      <c r="I268" s="94" t="s">
        <v>484</v>
      </c>
      <c r="K268" s="93"/>
      <c r="L268" s="93"/>
      <c r="M268" s="93"/>
    </row>
    <row r="269" spans="1:13" x14ac:dyDescent="0.2">
      <c r="A269" s="93" t="s">
        <v>516</v>
      </c>
      <c r="B269" s="93" t="s">
        <v>517</v>
      </c>
      <c r="C269" s="93" t="s">
        <v>46</v>
      </c>
      <c r="D269" s="93" t="s">
        <v>12</v>
      </c>
      <c r="E269" s="94" t="s">
        <v>508</v>
      </c>
      <c r="F269" s="112">
        <v>683.54</v>
      </c>
      <c r="G269" s="106">
        <v>113</v>
      </c>
      <c r="H269" s="106"/>
      <c r="I269" s="94" t="s">
        <v>484</v>
      </c>
      <c r="K269" s="93"/>
      <c r="L269" s="93"/>
      <c r="M269" s="93"/>
    </row>
    <row r="270" spans="1:13" x14ac:dyDescent="0.2">
      <c r="A270" s="93" t="s">
        <v>518</v>
      </c>
      <c r="B270" s="93" t="s">
        <v>519</v>
      </c>
      <c r="C270" s="93" t="s">
        <v>120</v>
      </c>
      <c r="D270" s="93" t="s">
        <v>18</v>
      </c>
      <c r="E270" s="94" t="s">
        <v>508</v>
      </c>
      <c r="F270" s="112">
        <v>3469.32</v>
      </c>
      <c r="G270" s="106">
        <v>113</v>
      </c>
      <c r="H270" s="106"/>
      <c r="I270" s="94" t="s">
        <v>484</v>
      </c>
      <c r="K270" s="93"/>
      <c r="L270" s="93"/>
      <c r="M270" s="93"/>
    </row>
    <row r="271" spans="1:13" x14ac:dyDescent="0.2">
      <c r="A271" s="93" t="s">
        <v>520</v>
      </c>
      <c r="B271" s="93" t="s">
        <v>521</v>
      </c>
      <c r="C271" s="93" t="s">
        <v>522</v>
      </c>
      <c r="D271" s="93" t="s">
        <v>18</v>
      </c>
      <c r="E271" s="94" t="s">
        <v>523</v>
      </c>
      <c r="F271" s="112">
        <v>1355.9</v>
      </c>
      <c r="G271" s="106">
        <v>117</v>
      </c>
      <c r="H271" s="106"/>
      <c r="I271" s="94" t="s">
        <v>484</v>
      </c>
      <c r="K271" s="93"/>
      <c r="L271" s="93"/>
      <c r="M271" s="93"/>
    </row>
    <row r="272" spans="1:13" x14ac:dyDescent="0.2">
      <c r="A272" s="93" t="s">
        <v>529</v>
      </c>
      <c r="B272" s="93" t="s">
        <v>530</v>
      </c>
      <c r="C272" s="93" t="s">
        <v>11</v>
      </c>
      <c r="D272" s="93" t="s">
        <v>53</v>
      </c>
      <c r="E272" s="94" t="s">
        <v>528</v>
      </c>
      <c r="F272" s="112">
        <v>1643.35</v>
      </c>
      <c r="G272" s="106">
        <v>118</v>
      </c>
      <c r="H272" s="106">
        <v>64</v>
      </c>
      <c r="I272" s="94" t="s">
        <v>484</v>
      </c>
      <c r="K272" s="93"/>
      <c r="L272" s="93"/>
      <c r="M272" s="93"/>
    </row>
    <row r="273" spans="1:13" x14ac:dyDescent="0.2">
      <c r="A273" s="93" t="s">
        <v>531</v>
      </c>
      <c r="B273" s="93" t="s">
        <v>532</v>
      </c>
      <c r="C273" s="93" t="s">
        <v>46</v>
      </c>
      <c r="D273" s="93" t="s">
        <v>18</v>
      </c>
      <c r="E273" s="94" t="s">
        <v>528</v>
      </c>
      <c r="F273" s="112">
        <v>1777.6</v>
      </c>
      <c r="G273" s="106">
        <v>118</v>
      </c>
      <c r="H273" s="106">
        <v>62</v>
      </c>
      <c r="I273" s="94" t="s">
        <v>484</v>
      </c>
      <c r="K273" s="93"/>
      <c r="L273" s="93"/>
      <c r="M273" s="93"/>
    </row>
    <row r="274" spans="1:13" x14ac:dyDescent="0.2">
      <c r="A274" s="93" t="s">
        <v>535</v>
      </c>
      <c r="B274" s="93" t="s">
        <v>536</v>
      </c>
      <c r="C274" s="93" t="s">
        <v>140</v>
      </c>
      <c r="D274" s="93" t="s">
        <v>12</v>
      </c>
      <c r="E274" s="94" t="s">
        <v>528</v>
      </c>
      <c r="F274" s="112">
        <v>2314.17</v>
      </c>
      <c r="G274" s="106">
        <v>118</v>
      </c>
      <c r="H274" s="106"/>
      <c r="I274" s="94" t="s">
        <v>484</v>
      </c>
      <c r="K274" s="93"/>
      <c r="L274" s="93"/>
      <c r="M274" s="93"/>
    </row>
    <row r="275" spans="1:13" x14ac:dyDescent="0.2">
      <c r="A275" s="93" t="s">
        <v>539</v>
      </c>
      <c r="B275" s="93" t="s">
        <v>540</v>
      </c>
      <c r="C275" s="93" t="s">
        <v>22</v>
      </c>
      <c r="D275" s="93" t="s">
        <v>12</v>
      </c>
      <c r="E275" s="94" t="s">
        <v>541</v>
      </c>
      <c r="F275" s="112">
        <v>11358.43</v>
      </c>
      <c r="G275" s="106">
        <v>120</v>
      </c>
      <c r="H275" s="106"/>
      <c r="I275" s="94" t="s">
        <v>484</v>
      </c>
      <c r="K275" s="93"/>
      <c r="L275" s="93"/>
      <c r="M275" s="93"/>
    </row>
    <row r="276" spans="1:13" x14ac:dyDescent="0.2">
      <c r="A276" s="93" t="s">
        <v>542</v>
      </c>
      <c r="B276" s="93" t="s">
        <v>543</v>
      </c>
      <c r="C276" s="93" t="s">
        <v>46</v>
      </c>
      <c r="D276" s="93" t="s">
        <v>12</v>
      </c>
      <c r="E276" s="94" t="s">
        <v>541</v>
      </c>
      <c r="F276" s="112">
        <v>2979.24</v>
      </c>
      <c r="G276" s="106">
        <v>120</v>
      </c>
      <c r="H276" s="106"/>
      <c r="I276" s="94" t="s">
        <v>484</v>
      </c>
      <c r="K276" s="93"/>
      <c r="L276" s="93"/>
      <c r="M276" s="93"/>
    </row>
    <row r="277" spans="1:13" x14ac:dyDescent="0.2">
      <c r="A277" s="93" t="s">
        <v>544</v>
      </c>
      <c r="B277" s="93" t="s">
        <v>545</v>
      </c>
      <c r="C277" s="93" t="s">
        <v>11</v>
      </c>
      <c r="D277" s="93" t="s">
        <v>53</v>
      </c>
      <c r="E277" s="94" t="s">
        <v>541</v>
      </c>
      <c r="F277" s="112">
        <v>3510.38</v>
      </c>
      <c r="G277" s="106">
        <v>120</v>
      </c>
      <c r="H277" s="106"/>
      <c r="I277" s="94" t="s">
        <v>484</v>
      </c>
      <c r="K277" s="93"/>
      <c r="L277" s="93"/>
      <c r="M277" s="93"/>
    </row>
    <row r="278" spans="1:13" x14ac:dyDescent="0.2">
      <c r="A278" s="93" t="s">
        <v>546</v>
      </c>
      <c r="B278" s="93" t="s">
        <v>547</v>
      </c>
      <c r="C278" s="93" t="s">
        <v>22</v>
      </c>
      <c r="D278" s="93" t="s">
        <v>18</v>
      </c>
      <c r="E278" s="94" t="s">
        <v>548</v>
      </c>
      <c r="F278" s="112">
        <v>674.11</v>
      </c>
      <c r="G278" s="106">
        <v>123</v>
      </c>
      <c r="H278" s="106"/>
      <c r="I278" s="94" t="s">
        <v>484</v>
      </c>
      <c r="K278" s="93"/>
      <c r="L278" s="93"/>
      <c r="M278" s="93"/>
    </row>
    <row r="279" spans="1:13" x14ac:dyDescent="0.2">
      <c r="A279" s="93" t="s">
        <v>549</v>
      </c>
      <c r="B279" s="93" t="s">
        <v>550</v>
      </c>
      <c r="C279" s="93" t="s">
        <v>22</v>
      </c>
      <c r="D279" s="93" t="s">
        <v>12</v>
      </c>
      <c r="E279" s="94" t="s">
        <v>551</v>
      </c>
      <c r="F279" s="112">
        <v>10200.370000000001</v>
      </c>
      <c r="G279" s="106">
        <v>124</v>
      </c>
      <c r="H279" s="106"/>
      <c r="I279" s="94" t="s">
        <v>484</v>
      </c>
      <c r="K279" s="93"/>
      <c r="L279" s="93"/>
      <c r="M279" s="93"/>
    </row>
    <row r="280" spans="1:13" x14ac:dyDescent="0.2">
      <c r="A280" s="93" t="s">
        <v>552</v>
      </c>
      <c r="B280" s="93" t="s">
        <v>553</v>
      </c>
      <c r="C280" s="93" t="s">
        <v>140</v>
      </c>
      <c r="D280" s="93" t="s">
        <v>53</v>
      </c>
      <c r="E280" s="94" t="s">
        <v>551</v>
      </c>
      <c r="F280" s="112">
        <v>1130.72</v>
      </c>
      <c r="G280" s="106">
        <v>124</v>
      </c>
      <c r="H280" s="106"/>
      <c r="I280" s="94" t="s">
        <v>484</v>
      </c>
      <c r="K280" s="93"/>
      <c r="L280" s="93"/>
      <c r="M280" s="93"/>
    </row>
    <row r="281" spans="1:13" x14ac:dyDescent="0.2">
      <c r="A281" s="93" t="s">
        <v>554</v>
      </c>
      <c r="B281" s="93" t="s">
        <v>555</v>
      </c>
      <c r="C281" s="93" t="s">
        <v>46</v>
      </c>
      <c r="D281" s="93" t="s">
        <v>12</v>
      </c>
      <c r="E281" s="94" t="s">
        <v>551</v>
      </c>
      <c r="F281" s="112">
        <v>661.57</v>
      </c>
      <c r="G281" s="106">
        <v>124</v>
      </c>
      <c r="H281" s="106"/>
      <c r="I281" s="94" t="s">
        <v>484</v>
      </c>
      <c r="K281" s="93"/>
      <c r="L281" s="93"/>
      <c r="M281" s="93"/>
    </row>
    <row r="282" spans="1:13" x14ac:dyDescent="0.2">
      <c r="A282" s="93" t="s">
        <v>556</v>
      </c>
      <c r="B282" s="93" t="s">
        <v>557</v>
      </c>
      <c r="C282" s="93" t="s">
        <v>36</v>
      </c>
      <c r="D282" s="93" t="s">
        <v>53</v>
      </c>
      <c r="E282" s="94" t="s">
        <v>558</v>
      </c>
      <c r="F282" s="112">
        <v>848.4</v>
      </c>
      <c r="G282" s="106">
        <v>125</v>
      </c>
      <c r="H282" s="106"/>
      <c r="I282" s="94" t="s">
        <v>484</v>
      </c>
      <c r="K282" s="93"/>
      <c r="L282" s="93"/>
      <c r="M282" s="93"/>
    </row>
    <row r="283" spans="1:13" x14ac:dyDescent="0.2">
      <c r="A283" s="93" t="s">
        <v>559</v>
      </c>
      <c r="B283" s="93" t="s">
        <v>560</v>
      </c>
      <c r="C283" s="93" t="s">
        <v>36</v>
      </c>
      <c r="D283" s="93" t="s">
        <v>53</v>
      </c>
      <c r="E283" s="94" t="s">
        <v>558</v>
      </c>
      <c r="F283" s="112">
        <v>3300</v>
      </c>
      <c r="G283" s="106">
        <v>125</v>
      </c>
      <c r="H283" s="106"/>
      <c r="I283" s="94" t="s">
        <v>484</v>
      </c>
      <c r="K283" s="93"/>
      <c r="L283" s="93"/>
      <c r="M283" s="93"/>
    </row>
    <row r="284" spans="1:13" x14ac:dyDescent="0.2">
      <c r="A284" s="93" t="s">
        <v>563</v>
      </c>
      <c r="B284" s="93" t="s">
        <v>564</v>
      </c>
      <c r="C284" s="93" t="s">
        <v>22</v>
      </c>
      <c r="D284" s="93" t="s">
        <v>220</v>
      </c>
      <c r="E284" s="94" t="s">
        <v>565</v>
      </c>
      <c r="F284" s="112">
        <v>1498.5</v>
      </c>
      <c r="G284" s="106">
        <v>127</v>
      </c>
      <c r="H284" s="106"/>
      <c r="I284" s="94" t="s">
        <v>484</v>
      </c>
      <c r="K284" s="93"/>
      <c r="L284" s="93"/>
      <c r="M284" s="93"/>
    </row>
    <row r="285" spans="1:13" x14ac:dyDescent="0.2">
      <c r="A285" s="93" t="s">
        <v>566</v>
      </c>
      <c r="B285" s="93" t="s">
        <v>567</v>
      </c>
      <c r="C285" s="93" t="s">
        <v>11</v>
      </c>
      <c r="D285" s="93" t="s">
        <v>53</v>
      </c>
      <c r="E285" s="94" t="s">
        <v>568</v>
      </c>
      <c r="F285" s="112">
        <v>704.65</v>
      </c>
      <c r="G285" s="106">
        <v>130</v>
      </c>
      <c r="H285" s="106"/>
      <c r="I285" s="94" t="s">
        <v>484</v>
      </c>
      <c r="K285" s="93"/>
      <c r="L285" s="93"/>
      <c r="M285" s="93"/>
    </row>
    <row r="286" spans="1:13" x14ac:dyDescent="0.2">
      <c r="A286" s="93" t="s">
        <v>1216</v>
      </c>
      <c r="B286" s="93" t="s">
        <v>570</v>
      </c>
      <c r="C286" s="93" t="s">
        <v>11</v>
      </c>
      <c r="D286" s="93" t="s">
        <v>53</v>
      </c>
      <c r="E286" s="94" t="s">
        <v>568</v>
      </c>
      <c r="F286" s="112">
        <v>576</v>
      </c>
      <c r="G286" s="106">
        <v>130</v>
      </c>
      <c r="H286" s="106"/>
      <c r="I286" s="94" t="s">
        <v>484</v>
      </c>
      <c r="K286" s="93"/>
      <c r="L286" s="93"/>
      <c r="M286" s="93"/>
    </row>
    <row r="287" spans="1:13" x14ac:dyDescent="0.2">
      <c r="A287" s="93" t="s">
        <v>571</v>
      </c>
      <c r="B287" s="93" t="s">
        <v>572</v>
      </c>
      <c r="C287" s="93" t="s">
        <v>67</v>
      </c>
      <c r="D287" s="93" t="s">
        <v>220</v>
      </c>
      <c r="E287" s="94" t="s">
        <v>568</v>
      </c>
      <c r="F287" s="112">
        <v>398.62</v>
      </c>
      <c r="G287" s="106">
        <v>130</v>
      </c>
      <c r="H287" s="106"/>
      <c r="I287" s="94" t="s">
        <v>484</v>
      </c>
      <c r="K287" s="93"/>
      <c r="L287" s="93"/>
      <c r="M287" s="93"/>
    </row>
    <row r="288" spans="1:13" x14ac:dyDescent="0.2">
      <c r="A288" s="93" t="s">
        <v>121</v>
      </c>
      <c r="B288" s="93" t="s">
        <v>573</v>
      </c>
      <c r="C288" s="93" t="s">
        <v>46</v>
      </c>
      <c r="D288" s="93" t="s">
        <v>18</v>
      </c>
      <c r="E288" s="94" t="s">
        <v>574</v>
      </c>
      <c r="F288" s="112">
        <v>880</v>
      </c>
      <c r="G288" s="106">
        <v>133</v>
      </c>
      <c r="H288" s="106"/>
      <c r="I288" s="94" t="s">
        <v>484</v>
      </c>
      <c r="K288" s="93"/>
      <c r="L288" s="93"/>
      <c r="M288" s="93"/>
    </row>
    <row r="289" spans="1:13" x14ac:dyDescent="0.2">
      <c r="A289" s="93" t="s">
        <v>575</v>
      </c>
      <c r="B289" s="93" t="s">
        <v>576</v>
      </c>
      <c r="C289" s="93" t="s">
        <v>59</v>
      </c>
      <c r="D289" s="93" t="s">
        <v>53</v>
      </c>
      <c r="E289" s="94" t="s">
        <v>577</v>
      </c>
      <c r="F289" s="112">
        <v>1775.34</v>
      </c>
      <c r="G289" s="106">
        <v>134</v>
      </c>
      <c r="H289" s="106"/>
      <c r="I289" s="94" t="s">
        <v>484</v>
      </c>
      <c r="K289" s="93"/>
      <c r="L289" s="93"/>
      <c r="M289" s="93"/>
    </row>
    <row r="290" spans="1:13" x14ac:dyDescent="0.2">
      <c r="A290" s="93" t="s">
        <v>578</v>
      </c>
      <c r="B290" s="93" t="s">
        <v>579</v>
      </c>
      <c r="C290" s="93" t="s">
        <v>22</v>
      </c>
      <c r="D290" s="93" t="s">
        <v>580</v>
      </c>
      <c r="E290" s="94" t="s">
        <v>581</v>
      </c>
      <c r="F290" s="112">
        <v>1650.9</v>
      </c>
      <c r="G290" s="106">
        <v>137</v>
      </c>
      <c r="H290" s="106"/>
      <c r="I290" s="94" t="s">
        <v>484</v>
      </c>
      <c r="K290" s="93"/>
      <c r="L290" s="93"/>
      <c r="M290" s="93"/>
    </row>
    <row r="291" spans="1:13" x14ac:dyDescent="0.2">
      <c r="A291" s="93" t="s">
        <v>582</v>
      </c>
      <c r="B291" s="93" t="s">
        <v>583</v>
      </c>
      <c r="C291" s="93" t="s">
        <v>36</v>
      </c>
      <c r="D291" s="93" t="s">
        <v>12</v>
      </c>
      <c r="E291" s="94" t="s">
        <v>584</v>
      </c>
      <c r="F291" s="112">
        <v>3147.22</v>
      </c>
      <c r="G291" s="106">
        <v>138</v>
      </c>
      <c r="H291" s="106"/>
      <c r="I291" s="94" t="s">
        <v>484</v>
      </c>
      <c r="K291" s="93"/>
      <c r="L291" s="93"/>
      <c r="M291" s="93"/>
    </row>
    <row r="292" spans="1:13" x14ac:dyDescent="0.2">
      <c r="A292" s="93" t="s">
        <v>585</v>
      </c>
      <c r="B292" s="93" t="s">
        <v>586</v>
      </c>
      <c r="C292" s="93" t="s">
        <v>140</v>
      </c>
      <c r="D292" s="93" t="s">
        <v>12</v>
      </c>
      <c r="E292" s="94" t="s">
        <v>584</v>
      </c>
      <c r="F292" s="112">
        <v>1415.8</v>
      </c>
      <c r="G292" s="106">
        <v>138</v>
      </c>
      <c r="H292" s="106"/>
      <c r="I292" s="94" t="s">
        <v>484</v>
      </c>
      <c r="K292" s="93"/>
      <c r="L292" s="93"/>
      <c r="M292" s="93"/>
    </row>
    <row r="293" spans="1:13" x14ac:dyDescent="0.2">
      <c r="A293" s="93" t="s">
        <v>587</v>
      </c>
      <c r="B293" s="93" t="s">
        <v>588</v>
      </c>
      <c r="C293" s="93" t="s">
        <v>26</v>
      </c>
      <c r="D293" s="93" t="s">
        <v>53</v>
      </c>
      <c r="E293" s="94" t="s">
        <v>589</v>
      </c>
      <c r="F293" s="112">
        <v>657.21</v>
      </c>
      <c r="G293" s="106">
        <v>139</v>
      </c>
      <c r="H293" s="106">
        <v>41</v>
      </c>
      <c r="I293" s="94" t="s">
        <v>484</v>
      </c>
      <c r="K293" s="93"/>
      <c r="L293" s="93"/>
      <c r="M293" s="93"/>
    </row>
    <row r="294" spans="1:13" x14ac:dyDescent="0.2">
      <c r="A294" s="93" t="s">
        <v>590</v>
      </c>
      <c r="B294" s="93" t="s">
        <v>591</v>
      </c>
      <c r="C294" s="93" t="s">
        <v>22</v>
      </c>
      <c r="D294" s="93" t="s">
        <v>18</v>
      </c>
      <c r="E294" s="94" t="s">
        <v>592</v>
      </c>
      <c r="F294" s="112">
        <v>654.89</v>
      </c>
      <c r="G294" s="106">
        <v>140</v>
      </c>
      <c r="H294" s="106"/>
      <c r="I294" s="94" t="s">
        <v>484</v>
      </c>
      <c r="K294" s="93"/>
      <c r="L294" s="93"/>
      <c r="M294" s="93"/>
    </row>
    <row r="295" spans="1:13" x14ac:dyDescent="0.2">
      <c r="A295" s="93" t="s">
        <v>476</v>
      </c>
      <c r="B295" s="93" t="s">
        <v>593</v>
      </c>
      <c r="C295" s="93" t="s">
        <v>145</v>
      </c>
      <c r="D295" s="93" t="s">
        <v>53</v>
      </c>
      <c r="E295" s="94" t="s">
        <v>592</v>
      </c>
      <c r="F295" s="112">
        <v>3356.38</v>
      </c>
      <c r="G295" s="106">
        <v>140</v>
      </c>
      <c r="H295" s="106">
        <v>79</v>
      </c>
      <c r="I295" s="94" t="s">
        <v>484</v>
      </c>
      <c r="K295" s="93"/>
      <c r="L295" s="93"/>
      <c r="M295" s="93"/>
    </row>
    <row r="296" spans="1:13" x14ac:dyDescent="0.2">
      <c r="A296" s="93" t="s">
        <v>594</v>
      </c>
      <c r="B296" s="93" t="s">
        <v>595</v>
      </c>
      <c r="C296" s="93" t="s">
        <v>11</v>
      </c>
      <c r="D296" s="93" t="s">
        <v>53</v>
      </c>
      <c r="E296" s="94" t="s">
        <v>592</v>
      </c>
      <c r="F296" s="112">
        <v>1775.88</v>
      </c>
      <c r="G296" s="106">
        <v>140</v>
      </c>
      <c r="H296" s="106">
        <v>13</v>
      </c>
      <c r="I296" s="94" t="s">
        <v>484</v>
      </c>
      <c r="K296" s="93"/>
      <c r="L296" s="93"/>
      <c r="M296" s="93"/>
    </row>
    <row r="297" spans="1:13" x14ac:dyDescent="0.2">
      <c r="A297" s="93" t="s">
        <v>596</v>
      </c>
      <c r="B297" s="93" t="s">
        <v>597</v>
      </c>
      <c r="C297" s="93" t="s">
        <v>17</v>
      </c>
      <c r="D297" s="93" t="s">
        <v>18</v>
      </c>
      <c r="E297" s="94" t="s">
        <v>598</v>
      </c>
      <c r="F297" s="112">
        <v>671.1</v>
      </c>
      <c r="G297" s="106">
        <v>141</v>
      </c>
      <c r="H297" s="106"/>
      <c r="I297" s="94" t="s">
        <v>484</v>
      </c>
      <c r="K297" s="93"/>
      <c r="L297" s="93"/>
      <c r="M297" s="93"/>
    </row>
    <row r="298" spans="1:13" x14ac:dyDescent="0.2">
      <c r="A298" s="93" t="s">
        <v>599</v>
      </c>
      <c r="B298" s="93" t="s">
        <v>600</v>
      </c>
      <c r="C298" s="93" t="s">
        <v>22</v>
      </c>
      <c r="D298" s="93" t="s">
        <v>32</v>
      </c>
      <c r="E298" s="94" t="s">
        <v>598</v>
      </c>
      <c r="F298" s="112">
        <v>2693.25</v>
      </c>
      <c r="G298" s="106">
        <v>141</v>
      </c>
      <c r="H298" s="106">
        <v>20</v>
      </c>
      <c r="I298" s="94" t="s">
        <v>484</v>
      </c>
      <c r="K298" s="93"/>
      <c r="L298" s="93"/>
      <c r="M298" s="93"/>
    </row>
    <row r="299" spans="1:13" x14ac:dyDescent="0.2">
      <c r="A299" s="93" t="s">
        <v>601</v>
      </c>
      <c r="B299" s="93" t="s">
        <v>602</v>
      </c>
      <c r="C299" s="93" t="s">
        <v>46</v>
      </c>
      <c r="D299" s="93" t="s">
        <v>12</v>
      </c>
      <c r="E299" s="94" t="s">
        <v>603</v>
      </c>
      <c r="F299" s="112">
        <v>659.3</v>
      </c>
      <c r="G299" s="106">
        <v>144</v>
      </c>
      <c r="H299" s="106"/>
      <c r="I299" s="94" t="s">
        <v>484</v>
      </c>
      <c r="K299" s="93"/>
      <c r="L299" s="93"/>
      <c r="M299" s="93"/>
    </row>
    <row r="300" spans="1:13" x14ac:dyDescent="0.2">
      <c r="A300" s="93" t="s">
        <v>608</v>
      </c>
      <c r="B300" s="93" t="s">
        <v>609</v>
      </c>
      <c r="C300" s="93" t="s">
        <v>17</v>
      </c>
      <c r="D300" s="93" t="s">
        <v>18</v>
      </c>
      <c r="E300" s="94" t="s">
        <v>610</v>
      </c>
      <c r="F300" s="112">
        <v>652.67999999999995</v>
      </c>
      <c r="G300" s="106">
        <v>145</v>
      </c>
      <c r="H300" s="106"/>
      <c r="I300" s="94" t="s">
        <v>484</v>
      </c>
      <c r="K300" s="93"/>
      <c r="L300" s="93"/>
      <c r="M300" s="93"/>
    </row>
    <row r="301" spans="1:13" x14ac:dyDescent="0.2">
      <c r="A301" s="93" t="s">
        <v>611</v>
      </c>
      <c r="B301" s="93" t="s">
        <v>612</v>
      </c>
      <c r="C301" s="93" t="s">
        <v>46</v>
      </c>
      <c r="D301" s="93" t="s">
        <v>18</v>
      </c>
      <c r="E301" s="94" t="s">
        <v>613</v>
      </c>
      <c r="F301" s="112">
        <v>898.66</v>
      </c>
      <c r="G301" s="106">
        <v>147</v>
      </c>
      <c r="H301" s="106"/>
      <c r="I301" s="94" t="s">
        <v>484</v>
      </c>
      <c r="K301" s="93"/>
      <c r="L301" s="93"/>
      <c r="M301" s="93"/>
    </row>
    <row r="302" spans="1:13" x14ac:dyDescent="0.2">
      <c r="A302" s="93" t="s">
        <v>614</v>
      </c>
      <c r="B302" s="93" t="s">
        <v>615</v>
      </c>
      <c r="C302" s="93" t="s">
        <v>11</v>
      </c>
      <c r="D302" s="93" t="s">
        <v>53</v>
      </c>
      <c r="E302" s="94" t="s">
        <v>613</v>
      </c>
      <c r="F302" s="112">
        <v>681.04</v>
      </c>
      <c r="G302" s="106">
        <v>147</v>
      </c>
      <c r="H302" s="106">
        <v>33.5</v>
      </c>
      <c r="I302" s="94" t="s">
        <v>484</v>
      </c>
      <c r="K302" s="93"/>
      <c r="L302" s="93"/>
      <c r="M302" s="93"/>
    </row>
    <row r="303" spans="1:13" x14ac:dyDescent="0.2">
      <c r="A303" s="93" t="s">
        <v>616</v>
      </c>
      <c r="B303" s="93" t="s">
        <v>617</v>
      </c>
      <c r="C303" s="93" t="s">
        <v>22</v>
      </c>
      <c r="D303" s="93" t="s">
        <v>618</v>
      </c>
      <c r="E303" s="94" t="s">
        <v>619</v>
      </c>
      <c r="F303" s="112">
        <v>4230.6899999999996</v>
      </c>
      <c r="G303" s="106">
        <v>148</v>
      </c>
      <c r="H303" s="106">
        <v>13</v>
      </c>
      <c r="I303" s="94" t="s">
        <v>484</v>
      </c>
      <c r="K303" s="93"/>
      <c r="L303" s="93"/>
      <c r="M303" s="93"/>
    </row>
    <row r="304" spans="1:13" x14ac:dyDescent="0.2">
      <c r="A304" s="93" t="s">
        <v>620</v>
      </c>
      <c r="B304" s="93" t="s">
        <v>621</v>
      </c>
      <c r="C304" s="93" t="s">
        <v>17</v>
      </c>
      <c r="D304" s="93" t="s">
        <v>32</v>
      </c>
      <c r="E304" s="94" t="s">
        <v>619</v>
      </c>
      <c r="F304" s="112">
        <v>1558.74</v>
      </c>
      <c r="G304" s="106">
        <v>148</v>
      </c>
      <c r="H304" s="106"/>
      <c r="I304" s="94" t="s">
        <v>484</v>
      </c>
      <c r="K304" s="93"/>
      <c r="L304" s="93"/>
      <c r="M304" s="93"/>
    </row>
    <row r="305" spans="1:13" x14ac:dyDescent="0.2">
      <c r="A305" s="93" t="s">
        <v>622</v>
      </c>
      <c r="B305" s="93" t="s">
        <v>623</v>
      </c>
      <c r="C305" s="93" t="s">
        <v>22</v>
      </c>
      <c r="D305" s="93" t="s">
        <v>618</v>
      </c>
      <c r="E305" s="94" t="s">
        <v>624</v>
      </c>
      <c r="F305" s="112">
        <v>2177.3000000000002</v>
      </c>
      <c r="G305" s="106">
        <v>150</v>
      </c>
      <c r="H305" s="106"/>
      <c r="I305" s="94" t="s">
        <v>484</v>
      </c>
      <c r="K305" s="93"/>
      <c r="L305" s="93"/>
      <c r="M305" s="93"/>
    </row>
    <row r="306" spans="1:13" x14ac:dyDescent="0.2">
      <c r="A306" s="93" t="s">
        <v>625</v>
      </c>
      <c r="B306" s="93" t="s">
        <v>626</v>
      </c>
      <c r="C306" s="93" t="s">
        <v>46</v>
      </c>
      <c r="D306" s="93" t="s">
        <v>18</v>
      </c>
      <c r="E306" s="94" t="s">
        <v>627</v>
      </c>
      <c r="F306" s="112">
        <v>687.56</v>
      </c>
      <c r="G306" s="106">
        <v>152</v>
      </c>
      <c r="H306" s="106"/>
      <c r="I306" s="94" t="s">
        <v>484</v>
      </c>
      <c r="K306" s="93"/>
      <c r="L306" s="93"/>
      <c r="M306" s="93"/>
    </row>
    <row r="307" spans="1:13" x14ac:dyDescent="0.2">
      <c r="A307" s="93" t="s">
        <v>628</v>
      </c>
      <c r="B307" s="93" t="s">
        <v>629</v>
      </c>
      <c r="C307" s="93" t="s">
        <v>26</v>
      </c>
      <c r="D307" s="93" t="s">
        <v>53</v>
      </c>
      <c r="E307" s="94" t="s">
        <v>627</v>
      </c>
      <c r="F307" s="112">
        <v>3539.41</v>
      </c>
      <c r="G307" s="106">
        <v>152</v>
      </c>
      <c r="H307" s="106"/>
      <c r="I307" s="94" t="s">
        <v>484</v>
      </c>
      <c r="K307" s="19"/>
      <c r="L307" s="19"/>
      <c r="M307" s="19"/>
    </row>
    <row r="308" spans="1:13" x14ac:dyDescent="0.2">
      <c r="A308" s="93" t="s">
        <v>630</v>
      </c>
      <c r="B308" s="93" t="s">
        <v>631</v>
      </c>
      <c r="C308" s="93" t="s">
        <v>41</v>
      </c>
      <c r="D308" s="93" t="s">
        <v>53</v>
      </c>
      <c r="E308" s="94" t="s">
        <v>627</v>
      </c>
      <c r="F308" s="112">
        <v>2355.61</v>
      </c>
      <c r="G308" s="106">
        <v>152</v>
      </c>
      <c r="H308" s="106"/>
      <c r="I308" s="94" t="s">
        <v>484</v>
      </c>
    </row>
    <row r="309" spans="1:13" x14ac:dyDescent="0.2">
      <c r="A309" s="93" t="s">
        <v>1217</v>
      </c>
      <c r="B309" s="93" t="s">
        <v>632</v>
      </c>
      <c r="C309" s="93" t="s">
        <v>36</v>
      </c>
      <c r="D309" s="93" t="s">
        <v>53</v>
      </c>
      <c r="E309" s="94" t="s">
        <v>633</v>
      </c>
      <c r="F309" s="112">
        <v>1574.78</v>
      </c>
      <c r="G309" s="106">
        <v>154</v>
      </c>
      <c r="H309" s="106"/>
      <c r="I309" s="94" t="s">
        <v>484</v>
      </c>
    </row>
    <row r="310" spans="1:13" x14ac:dyDescent="0.2">
      <c r="A310" s="93" t="s">
        <v>634</v>
      </c>
      <c r="B310" s="93" t="s">
        <v>635</v>
      </c>
      <c r="C310" s="93" t="s">
        <v>36</v>
      </c>
      <c r="D310" s="93" t="s">
        <v>53</v>
      </c>
      <c r="E310" s="94" t="s">
        <v>633</v>
      </c>
      <c r="F310" s="112">
        <v>1574.78</v>
      </c>
      <c r="G310" s="106">
        <v>154</v>
      </c>
      <c r="H310" s="106"/>
      <c r="I310" s="94" t="s">
        <v>484</v>
      </c>
    </row>
    <row r="311" spans="1:13" x14ac:dyDescent="0.2">
      <c r="A311" s="93" t="s">
        <v>636</v>
      </c>
      <c r="B311" s="93" t="s">
        <v>637</v>
      </c>
      <c r="C311" s="93" t="s">
        <v>36</v>
      </c>
      <c r="D311" s="93" t="s">
        <v>53</v>
      </c>
      <c r="E311" s="94" t="s">
        <v>633</v>
      </c>
      <c r="F311" s="112">
        <v>1574.78</v>
      </c>
      <c r="G311" s="106">
        <v>154</v>
      </c>
      <c r="H311" s="106"/>
      <c r="I311" s="94" t="s">
        <v>484</v>
      </c>
    </row>
    <row r="312" spans="1:13" x14ac:dyDescent="0.2">
      <c r="A312" s="93" t="s">
        <v>638</v>
      </c>
      <c r="B312" s="93" t="s">
        <v>639</v>
      </c>
      <c r="C312" s="93" t="s">
        <v>36</v>
      </c>
      <c r="D312" s="93" t="s">
        <v>53</v>
      </c>
      <c r="E312" s="94" t="s">
        <v>633</v>
      </c>
      <c r="F312" s="112">
        <v>1574.78</v>
      </c>
      <c r="G312" s="106">
        <v>154</v>
      </c>
      <c r="H312" s="106"/>
      <c r="I312" s="94" t="s">
        <v>484</v>
      </c>
    </row>
    <row r="313" spans="1:13" x14ac:dyDescent="0.2">
      <c r="A313" s="93" t="s">
        <v>640</v>
      </c>
      <c r="B313" s="93" t="s">
        <v>641</v>
      </c>
      <c r="C313" s="93" t="s">
        <v>49</v>
      </c>
      <c r="D313" s="93" t="s">
        <v>53</v>
      </c>
      <c r="E313" s="94" t="s">
        <v>633</v>
      </c>
      <c r="F313" s="112">
        <v>670.83</v>
      </c>
      <c r="G313" s="106">
        <v>154</v>
      </c>
      <c r="H313" s="106"/>
      <c r="I313" s="94" t="s">
        <v>484</v>
      </c>
    </row>
    <row r="314" spans="1:13" x14ac:dyDescent="0.2">
      <c r="A314" s="93" t="s">
        <v>642</v>
      </c>
      <c r="B314" s="93" t="s">
        <v>643</v>
      </c>
      <c r="C314" s="93" t="s">
        <v>22</v>
      </c>
      <c r="D314" s="93" t="s">
        <v>618</v>
      </c>
      <c r="E314" s="94" t="s">
        <v>644</v>
      </c>
      <c r="F314" s="112">
        <v>2180.46</v>
      </c>
      <c r="G314" s="106">
        <v>155</v>
      </c>
      <c r="H314" s="106"/>
      <c r="I314" s="94" t="s">
        <v>484</v>
      </c>
    </row>
    <row r="315" spans="1:13" x14ac:dyDescent="0.2">
      <c r="A315" s="93" t="s">
        <v>645</v>
      </c>
      <c r="B315" s="93" t="s">
        <v>646</v>
      </c>
      <c r="C315" s="93" t="s">
        <v>22</v>
      </c>
      <c r="D315" s="93" t="s">
        <v>618</v>
      </c>
      <c r="E315" s="94" t="s">
        <v>644</v>
      </c>
      <c r="F315" s="112">
        <v>810.36</v>
      </c>
      <c r="G315" s="106">
        <v>155</v>
      </c>
      <c r="H315" s="106"/>
      <c r="I315" s="94" t="s">
        <v>484</v>
      </c>
    </row>
    <row r="316" spans="1:13" x14ac:dyDescent="0.2">
      <c r="A316" s="93" t="s">
        <v>647</v>
      </c>
      <c r="B316" s="93" t="s">
        <v>648</v>
      </c>
      <c r="C316" s="93" t="s">
        <v>22</v>
      </c>
      <c r="D316" s="93" t="s">
        <v>618</v>
      </c>
      <c r="E316" s="94" t="s">
        <v>644</v>
      </c>
      <c r="F316" s="112">
        <v>810.36</v>
      </c>
      <c r="G316" s="106">
        <v>155</v>
      </c>
      <c r="H316" s="106"/>
      <c r="I316" s="94" t="s">
        <v>484</v>
      </c>
    </row>
    <row r="317" spans="1:13" x14ac:dyDescent="0.2">
      <c r="A317" s="93" t="s">
        <v>649</v>
      </c>
      <c r="B317" s="93" t="s">
        <v>650</v>
      </c>
      <c r="C317" s="93" t="s">
        <v>22</v>
      </c>
      <c r="D317" s="93" t="s">
        <v>618</v>
      </c>
      <c r="E317" s="94" t="s">
        <v>644</v>
      </c>
      <c r="F317" s="112">
        <v>810.36</v>
      </c>
      <c r="G317" s="106">
        <v>155</v>
      </c>
      <c r="H317" s="106"/>
      <c r="I317" s="94" t="s">
        <v>484</v>
      </c>
    </row>
    <row r="318" spans="1:13" x14ac:dyDescent="0.2">
      <c r="A318" s="93" t="s">
        <v>651</v>
      </c>
      <c r="B318" s="93" t="s">
        <v>652</v>
      </c>
      <c r="C318" s="93" t="s">
        <v>22</v>
      </c>
      <c r="D318" s="93" t="s">
        <v>618</v>
      </c>
      <c r="E318" s="94" t="s">
        <v>644</v>
      </c>
      <c r="F318" s="112">
        <v>810.36</v>
      </c>
      <c r="G318" s="106">
        <v>155</v>
      </c>
      <c r="H318" s="106"/>
      <c r="I318" s="94" t="s">
        <v>484</v>
      </c>
    </row>
    <row r="319" spans="1:13" x14ac:dyDescent="0.2">
      <c r="A319" s="93" t="s">
        <v>653</v>
      </c>
      <c r="B319" s="93" t="s">
        <v>654</v>
      </c>
      <c r="C319" s="93" t="s">
        <v>46</v>
      </c>
      <c r="D319" s="93" t="s">
        <v>12</v>
      </c>
      <c r="E319" s="94" t="s">
        <v>655</v>
      </c>
      <c r="F319" s="112">
        <v>873.05</v>
      </c>
      <c r="G319" s="106">
        <v>158</v>
      </c>
      <c r="H319" s="106">
        <v>44</v>
      </c>
      <c r="I319" s="94" t="s">
        <v>484</v>
      </c>
    </row>
    <row r="320" spans="1:13" x14ac:dyDescent="0.2">
      <c r="A320" s="93" t="s">
        <v>656</v>
      </c>
      <c r="B320" s="93" t="s">
        <v>657</v>
      </c>
      <c r="C320" s="93" t="s">
        <v>22</v>
      </c>
      <c r="D320" s="93" t="s">
        <v>618</v>
      </c>
      <c r="E320" s="94" t="s">
        <v>655</v>
      </c>
      <c r="F320" s="112">
        <v>990.28</v>
      </c>
      <c r="G320" s="106">
        <v>158</v>
      </c>
      <c r="H320" s="106"/>
      <c r="I320" s="94" t="s">
        <v>484</v>
      </c>
    </row>
    <row r="321" spans="1:9" x14ac:dyDescent="0.2">
      <c r="A321" s="93" t="s">
        <v>658</v>
      </c>
      <c r="B321" s="93" t="s">
        <v>659</v>
      </c>
      <c r="C321" s="93" t="s">
        <v>22</v>
      </c>
      <c r="D321" s="93" t="s">
        <v>618</v>
      </c>
      <c r="E321" s="94" t="s">
        <v>660</v>
      </c>
      <c r="F321" s="112">
        <v>658.35</v>
      </c>
      <c r="G321" s="106">
        <v>161</v>
      </c>
      <c r="H321" s="106"/>
      <c r="I321" s="94" t="s">
        <v>484</v>
      </c>
    </row>
    <row r="322" spans="1:9" x14ac:dyDescent="0.2">
      <c r="A322" s="93" t="s">
        <v>661</v>
      </c>
      <c r="B322" s="93" t="s">
        <v>662</v>
      </c>
      <c r="C322" s="93" t="s">
        <v>22</v>
      </c>
      <c r="D322" s="93" t="s">
        <v>618</v>
      </c>
      <c r="E322" s="94" t="s">
        <v>660</v>
      </c>
      <c r="F322" s="112">
        <v>658.35</v>
      </c>
      <c r="G322" s="106">
        <v>161</v>
      </c>
      <c r="H322" s="106"/>
      <c r="I322" s="94" t="s">
        <v>484</v>
      </c>
    </row>
    <row r="323" spans="1:9" x14ac:dyDescent="0.2">
      <c r="A323" s="93" t="s">
        <v>663</v>
      </c>
      <c r="B323" s="93" t="s">
        <v>664</v>
      </c>
      <c r="C323" s="93" t="s">
        <v>22</v>
      </c>
      <c r="D323" s="93" t="s">
        <v>618</v>
      </c>
      <c r="E323" s="94" t="s">
        <v>660</v>
      </c>
      <c r="F323" s="112">
        <v>658.35</v>
      </c>
      <c r="G323" s="106">
        <v>161</v>
      </c>
      <c r="H323" s="106"/>
      <c r="I323" s="94" t="s">
        <v>484</v>
      </c>
    </row>
    <row r="324" spans="1:9" x14ac:dyDescent="0.2">
      <c r="A324" s="93" t="s">
        <v>665</v>
      </c>
      <c r="B324" s="93" t="s">
        <v>666</v>
      </c>
      <c r="C324" s="93" t="s">
        <v>22</v>
      </c>
      <c r="D324" s="93" t="s">
        <v>618</v>
      </c>
      <c r="E324" s="94" t="s">
        <v>660</v>
      </c>
      <c r="F324" s="112">
        <v>658.35</v>
      </c>
      <c r="G324" s="106">
        <v>161</v>
      </c>
      <c r="H324" s="106"/>
      <c r="I324" s="94" t="s">
        <v>484</v>
      </c>
    </row>
    <row r="325" spans="1:9" x14ac:dyDescent="0.2">
      <c r="A325" s="93" t="s">
        <v>667</v>
      </c>
      <c r="B325" s="93" t="s">
        <v>668</v>
      </c>
      <c r="C325" s="93" t="s">
        <v>17</v>
      </c>
      <c r="D325" s="93" t="s">
        <v>618</v>
      </c>
      <c r="E325" s="94" t="s">
        <v>660</v>
      </c>
      <c r="F325" s="112">
        <v>657.9</v>
      </c>
      <c r="G325" s="106">
        <v>161</v>
      </c>
      <c r="H325" s="106"/>
      <c r="I325" s="94" t="s">
        <v>484</v>
      </c>
    </row>
    <row r="326" spans="1:9" x14ac:dyDescent="0.2">
      <c r="A326" s="93" t="s">
        <v>669</v>
      </c>
      <c r="B326" s="93" t="s">
        <v>670</v>
      </c>
      <c r="C326" s="93" t="s">
        <v>17</v>
      </c>
      <c r="D326" s="93" t="s">
        <v>618</v>
      </c>
      <c r="E326" s="94" t="s">
        <v>660</v>
      </c>
      <c r="F326" s="112">
        <v>657.9</v>
      </c>
      <c r="G326" s="106">
        <v>161</v>
      </c>
      <c r="H326" s="106"/>
      <c r="I326" s="94" t="s">
        <v>484</v>
      </c>
    </row>
    <row r="327" spans="1:9" x14ac:dyDescent="0.2">
      <c r="A327" s="93" t="s">
        <v>671</v>
      </c>
      <c r="B327" s="93" t="s">
        <v>672</v>
      </c>
      <c r="C327" s="93" t="s">
        <v>22</v>
      </c>
      <c r="D327" s="93" t="s">
        <v>618</v>
      </c>
      <c r="E327" s="94" t="s">
        <v>660</v>
      </c>
      <c r="F327" s="112">
        <v>6881.12</v>
      </c>
      <c r="G327" s="106">
        <v>161</v>
      </c>
      <c r="H327" s="106"/>
      <c r="I327" s="94" t="s">
        <v>484</v>
      </c>
    </row>
    <row r="328" spans="1:9" x14ac:dyDescent="0.2">
      <c r="A328" s="93" t="s">
        <v>673</v>
      </c>
      <c r="B328" s="93" t="s">
        <v>674</v>
      </c>
      <c r="C328" s="93" t="s">
        <v>22</v>
      </c>
      <c r="D328" s="93" t="s">
        <v>618</v>
      </c>
      <c r="E328" s="94" t="s">
        <v>660</v>
      </c>
      <c r="F328" s="112">
        <v>10306.879999999999</v>
      </c>
      <c r="G328" s="106">
        <v>161</v>
      </c>
      <c r="H328" s="106"/>
      <c r="I328" s="94" t="s">
        <v>484</v>
      </c>
    </row>
    <row r="329" spans="1:9" x14ac:dyDescent="0.2">
      <c r="A329" s="93" t="s">
        <v>675</v>
      </c>
      <c r="B329" s="93" t="s">
        <v>676</v>
      </c>
      <c r="C329" s="93" t="s">
        <v>17</v>
      </c>
      <c r="D329" s="93" t="s">
        <v>12</v>
      </c>
      <c r="E329" s="94" t="s">
        <v>677</v>
      </c>
      <c r="F329" s="112">
        <v>838.45</v>
      </c>
      <c r="G329" s="106">
        <v>162</v>
      </c>
      <c r="H329" s="106"/>
      <c r="I329" s="94" t="s">
        <v>484</v>
      </c>
    </row>
    <row r="330" spans="1:9" x14ac:dyDescent="0.2">
      <c r="A330" s="93" t="s">
        <v>678</v>
      </c>
      <c r="B330" s="93" t="s">
        <v>679</v>
      </c>
      <c r="C330" s="93" t="s">
        <v>22</v>
      </c>
      <c r="D330" s="93" t="s">
        <v>18</v>
      </c>
      <c r="E330" s="94" t="s">
        <v>680</v>
      </c>
      <c r="F330" s="112">
        <v>1676.51</v>
      </c>
      <c r="G330" s="106">
        <v>165</v>
      </c>
      <c r="H330" s="106"/>
      <c r="I330" s="94" t="s">
        <v>484</v>
      </c>
    </row>
    <row r="331" spans="1:9" x14ac:dyDescent="0.2">
      <c r="A331" s="93" t="s">
        <v>681</v>
      </c>
      <c r="B331" s="93" t="s">
        <v>682</v>
      </c>
      <c r="C331" s="93" t="s">
        <v>59</v>
      </c>
      <c r="D331" s="93" t="s">
        <v>53</v>
      </c>
      <c r="E331" s="94" t="s">
        <v>680</v>
      </c>
      <c r="F331" s="112">
        <v>1439.93</v>
      </c>
      <c r="G331" s="106">
        <v>165</v>
      </c>
      <c r="H331" s="106"/>
      <c r="I331" s="94" t="s">
        <v>484</v>
      </c>
    </row>
    <row r="332" spans="1:9" x14ac:dyDescent="0.2">
      <c r="A332" s="93" t="s">
        <v>587</v>
      </c>
      <c r="B332" s="93" t="s">
        <v>683</v>
      </c>
      <c r="C332" s="93" t="s">
        <v>31</v>
      </c>
      <c r="D332" s="93" t="s">
        <v>53</v>
      </c>
      <c r="E332" s="94" t="s">
        <v>680</v>
      </c>
      <c r="F332" s="112">
        <v>1526</v>
      </c>
      <c r="G332" s="106">
        <v>165</v>
      </c>
      <c r="H332" s="106"/>
      <c r="I332" s="94" t="s">
        <v>484</v>
      </c>
    </row>
    <row r="333" spans="1:9" x14ac:dyDescent="0.2">
      <c r="A333" s="93" t="s">
        <v>684</v>
      </c>
      <c r="B333" s="93" t="s">
        <v>685</v>
      </c>
      <c r="C333" s="93" t="s">
        <v>46</v>
      </c>
      <c r="D333" s="93" t="s">
        <v>12</v>
      </c>
      <c r="E333" s="94" t="s">
        <v>680</v>
      </c>
      <c r="F333" s="112">
        <v>1072.0899999999999</v>
      </c>
      <c r="G333" s="106">
        <v>165</v>
      </c>
      <c r="H333" s="106"/>
      <c r="I333" s="94" t="s">
        <v>484</v>
      </c>
    </row>
    <row r="334" spans="1:9" x14ac:dyDescent="0.2">
      <c r="A334" s="93" t="s">
        <v>686</v>
      </c>
      <c r="B334" s="93" t="s">
        <v>687</v>
      </c>
      <c r="C334" s="93" t="s">
        <v>31</v>
      </c>
      <c r="D334" s="93" t="s">
        <v>53</v>
      </c>
      <c r="E334" s="94" t="s">
        <v>688</v>
      </c>
      <c r="F334" s="112">
        <v>1469.11</v>
      </c>
      <c r="G334" s="106">
        <v>168</v>
      </c>
      <c r="H334" s="106">
        <v>5</v>
      </c>
      <c r="I334" s="94" t="s">
        <v>484</v>
      </c>
    </row>
    <row r="335" spans="1:9" x14ac:dyDescent="0.2">
      <c r="A335" s="93" t="s">
        <v>587</v>
      </c>
      <c r="B335" s="93" t="s">
        <v>689</v>
      </c>
      <c r="C335" s="93" t="s">
        <v>31</v>
      </c>
      <c r="D335" s="93" t="s">
        <v>53</v>
      </c>
      <c r="E335" s="94" t="s">
        <v>690</v>
      </c>
      <c r="F335" s="112">
        <v>1090.05</v>
      </c>
      <c r="G335" s="106">
        <v>173</v>
      </c>
      <c r="H335" s="106"/>
      <c r="I335" s="94" t="s">
        <v>484</v>
      </c>
    </row>
    <row r="336" spans="1:9" x14ac:dyDescent="0.2">
      <c r="A336" s="93" t="s">
        <v>691</v>
      </c>
      <c r="B336" s="93" t="s">
        <v>692</v>
      </c>
      <c r="C336" s="93" t="s">
        <v>17</v>
      </c>
      <c r="D336" s="93" t="s">
        <v>18</v>
      </c>
      <c r="E336" s="94" t="s">
        <v>693</v>
      </c>
      <c r="F336" s="112">
        <v>1950</v>
      </c>
      <c r="G336" s="106">
        <v>176</v>
      </c>
      <c r="H336" s="106">
        <v>13</v>
      </c>
      <c r="I336" s="94" t="s">
        <v>484</v>
      </c>
    </row>
    <row r="337" spans="1:9" x14ac:dyDescent="0.2">
      <c r="A337" s="93" t="s">
        <v>694</v>
      </c>
      <c r="B337" s="93" t="s">
        <v>695</v>
      </c>
      <c r="C337" s="93" t="s">
        <v>46</v>
      </c>
      <c r="D337" s="93" t="s">
        <v>18</v>
      </c>
      <c r="E337" s="94" t="s">
        <v>696</v>
      </c>
      <c r="F337" s="112">
        <v>1270.04</v>
      </c>
      <c r="G337" s="106">
        <v>180</v>
      </c>
      <c r="H337" s="106"/>
      <c r="I337" s="94" t="s">
        <v>484</v>
      </c>
    </row>
    <row r="338" spans="1:9" x14ac:dyDescent="0.2">
      <c r="A338" s="93" t="s">
        <v>697</v>
      </c>
      <c r="B338" s="93" t="s">
        <v>698</v>
      </c>
      <c r="C338" s="93" t="s">
        <v>11</v>
      </c>
      <c r="D338" s="93" t="s">
        <v>18</v>
      </c>
      <c r="E338" s="94" t="s">
        <v>699</v>
      </c>
      <c r="F338" s="112">
        <v>677.7</v>
      </c>
      <c r="G338" s="106">
        <v>187</v>
      </c>
      <c r="H338" s="106"/>
      <c r="I338" s="94" t="s">
        <v>484</v>
      </c>
    </row>
    <row r="339" spans="1:9" x14ac:dyDescent="0.2">
      <c r="A339" s="93" t="s">
        <v>702</v>
      </c>
      <c r="B339" s="93" t="s">
        <v>703</v>
      </c>
      <c r="C339" s="93" t="s">
        <v>31</v>
      </c>
      <c r="D339" s="93" t="s">
        <v>32</v>
      </c>
      <c r="E339" s="94" t="s">
        <v>699</v>
      </c>
      <c r="F339" s="112">
        <v>2713.86</v>
      </c>
      <c r="G339" s="106">
        <v>187</v>
      </c>
      <c r="H339" s="106"/>
      <c r="I339" s="94" t="s">
        <v>484</v>
      </c>
    </row>
    <row r="340" spans="1:9" x14ac:dyDescent="0.2">
      <c r="A340" s="93" t="s">
        <v>704</v>
      </c>
      <c r="B340" s="93" t="s">
        <v>705</v>
      </c>
      <c r="C340" s="93" t="s">
        <v>46</v>
      </c>
      <c r="D340" s="93" t="s">
        <v>18</v>
      </c>
      <c r="E340" s="94" t="s">
        <v>706</v>
      </c>
      <c r="F340" s="112">
        <v>696.5</v>
      </c>
      <c r="G340" s="106">
        <v>189</v>
      </c>
      <c r="H340" s="106"/>
      <c r="I340" s="94" t="s">
        <v>484</v>
      </c>
    </row>
    <row r="341" spans="1:9" x14ac:dyDescent="0.2">
      <c r="A341" s="93" t="s">
        <v>707</v>
      </c>
      <c r="B341" s="93" t="s">
        <v>708</v>
      </c>
      <c r="C341" s="93" t="s">
        <v>46</v>
      </c>
      <c r="D341" s="93" t="s">
        <v>32</v>
      </c>
      <c r="E341" s="94" t="s">
        <v>706</v>
      </c>
      <c r="F341" s="112">
        <v>2651.31</v>
      </c>
      <c r="G341" s="106">
        <v>189</v>
      </c>
      <c r="H341" s="106"/>
      <c r="I341" s="94" t="s">
        <v>484</v>
      </c>
    </row>
    <row r="342" spans="1:9" x14ac:dyDescent="0.2">
      <c r="A342" s="93" t="s">
        <v>709</v>
      </c>
      <c r="B342" s="93" t="s">
        <v>710</v>
      </c>
      <c r="C342" s="93" t="s">
        <v>59</v>
      </c>
      <c r="D342" s="93" t="s">
        <v>18</v>
      </c>
      <c r="E342" s="94" t="s">
        <v>711</v>
      </c>
      <c r="F342" s="112">
        <v>1783.27</v>
      </c>
      <c r="G342" s="106">
        <v>190</v>
      </c>
      <c r="H342" s="106"/>
      <c r="I342" s="94" t="s">
        <v>484</v>
      </c>
    </row>
    <row r="343" spans="1:9" x14ac:dyDescent="0.2">
      <c r="A343" s="93" t="s">
        <v>712</v>
      </c>
      <c r="B343" s="93" t="s">
        <v>713</v>
      </c>
      <c r="C343" s="93" t="s">
        <v>11</v>
      </c>
      <c r="D343" s="93" t="s">
        <v>32</v>
      </c>
      <c r="E343" s="94" t="s">
        <v>711</v>
      </c>
      <c r="F343" s="112">
        <v>1754.42</v>
      </c>
      <c r="G343" s="106">
        <v>190</v>
      </c>
      <c r="H343" s="106"/>
      <c r="I343" s="94" t="s">
        <v>484</v>
      </c>
    </row>
    <row r="344" spans="1:9" x14ac:dyDescent="0.2">
      <c r="A344" s="93" t="s">
        <v>714</v>
      </c>
      <c r="B344" s="93" t="s">
        <v>715</v>
      </c>
      <c r="C344" s="93" t="s">
        <v>31</v>
      </c>
      <c r="D344" s="93" t="s">
        <v>32</v>
      </c>
      <c r="E344" s="94" t="s">
        <v>716</v>
      </c>
      <c r="F344" s="112">
        <v>1108.25</v>
      </c>
      <c r="G344" s="106">
        <v>195</v>
      </c>
      <c r="H344" s="106"/>
      <c r="I344" s="94" t="s">
        <v>484</v>
      </c>
    </row>
    <row r="345" spans="1:9" x14ac:dyDescent="0.2">
      <c r="A345" s="93" t="s">
        <v>1220</v>
      </c>
      <c r="B345" s="93" t="s">
        <v>718</v>
      </c>
      <c r="C345" s="93" t="s">
        <v>120</v>
      </c>
      <c r="D345" s="93" t="s">
        <v>32</v>
      </c>
      <c r="E345" s="94" t="s">
        <v>719</v>
      </c>
      <c r="F345" s="112">
        <v>1377.03</v>
      </c>
      <c r="G345" s="106">
        <v>197</v>
      </c>
      <c r="H345" s="106"/>
      <c r="I345" s="94" t="s">
        <v>484</v>
      </c>
    </row>
    <row r="346" spans="1:9" x14ac:dyDescent="0.2">
      <c r="A346" s="93" t="s">
        <v>1221</v>
      </c>
      <c r="B346" s="93" t="s">
        <v>721</v>
      </c>
      <c r="C346" s="93" t="s">
        <v>722</v>
      </c>
      <c r="D346" s="93" t="s">
        <v>32</v>
      </c>
      <c r="E346" s="94" t="s">
        <v>723</v>
      </c>
      <c r="F346" s="112">
        <v>1662.66</v>
      </c>
      <c r="G346" s="106">
        <v>201</v>
      </c>
      <c r="H346" s="106"/>
      <c r="I346" s="94" t="s">
        <v>484</v>
      </c>
    </row>
    <row r="347" spans="1:9" x14ac:dyDescent="0.2">
      <c r="A347" s="93" t="s">
        <v>724</v>
      </c>
      <c r="B347" s="93" t="s">
        <v>725</v>
      </c>
      <c r="C347" s="93" t="s">
        <v>17</v>
      </c>
      <c r="D347" s="93" t="s">
        <v>18</v>
      </c>
      <c r="E347" s="94" t="s">
        <v>726</v>
      </c>
      <c r="F347" s="112">
        <v>704</v>
      </c>
      <c r="G347" s="106">
        <v>203</v>
      </c>
      <c r="H347" s="106"/>
      <c r="I347" s="94" t="s">
        <v>484</v>
      </c>
    </row>
    <row r="348" spans="1:9" x14ac:dyDescent="0.2">
      <c r="A348" s="93" t="s">
        <v>727</v>
      </c>
      <c r="B348" s="93" t="s">
        <v>728</v>
      </c>
      <c r="C348" s="93" t="s">
        <v>59</v>
      </c>
      <c r="D348" s="93" t="s">
        <v>729</v>
      </c>
      <c r="E348" s="94" t="s">
        <v>730</v>
      </c>
      <c r="F348" s="112">
        <v>1391.63</v>
      </c>
      <c r="G348" s="106">
        <v>204</v>
      </c>
      <c r="H348" s="106"/>
      <c r="I348" s="94" t="s">
        <v>484</v>
      </c>
    </row>
    <row r="349" spans="1:9" x14ac:dyDescent="0.2">
      <c r="A349" s="93" t="s">
        <v>731</v>
      </c>
      <c r="B349" s="93" t="s">
        <v>732</v>
      </c>
      <c r="C349" s="93" t="s">
        <v>31</v>
      </c>
      <c r="D349" s="93" t="s">
        <v>32</v>
      </c>
      <c r="E349" s="94" t="s">
        <v>733</v>
      </c>
      <c r="F349" s="112">
        <v>907.56</v>
      </c>
      <c r="G349" s="106">
        <v>208</v>
      </c>
      <c r="H349" s="106"/>
      <c r="I349" s="94" t="s">
        <v>484</v>
      </c>
    </row>
    <row r="350" spans="1:9" x14ac:dyDescent="0.2">
      <c r="A350" s="127" t="s">
        <v>1342</v>
      </c>
      <c r="B350" s="127" t="s">
        <v>1343</v>
      </c>
      <c r="C350" s="127" t="s">
        <v>46</v>
      </c>
      <c r="D350" s="127"/>
      <c r="E350" s="127"/>
      <c r="F350" s="128"/>
      <c r="G350" s="128"/>
      <c r="H350" s="128"/>
      <c r="I350" s="127" t="s">
        <v>1344</v>
      </c>
    </row>
    <row r="351" spans="1:9" x14ac:dyDescent="0.2">
      <c r="A351" s="127" t="s">
        <v>1345</v>
      </c>
      <c r="B351" s="127" t="s">
        <v>1320</v>
      </c>
      <c r="C351" s="127" t="s">
        <v>22</v>
      </c>
      <c r="D351" s="127"/>
      <c r="E351" s="127"/>
      <c r="F351" s="128"/>
      <c r="G351" s="128"/>
      <c r="H351" s="128"/>
      <c r="I351" s="127" t="s">
        <v>1344</v>
      </c>
    </row>
    <row r="352" spans="1:9" x14ac:dyDescent="0.2">
      <c r="A352" s="127" t="s">
        <v>1346</v>
      </c>
      <c r="B352" s="127" t="s">
        <v>1347</v>
      </c>
      <c r="C352" s="127" t="s">
        <v>46</v>
      </c>
      <c r="D352" s="127"/>
      <c r="E352" s="127"/>
      <c r="F352" s="128"/>
      <c r="G352" s="128"/>
      <c r="H352" s="128"/>
      <c r="I352" s="127" t="s">
        <v>1344</v>
      </c>
    </row>
    <row r="353" spans="1:9" x14ac:dyDescent="0.2">
      <c r="A353" s="127" t="s">
        <v>1348</v>
      </c>
      <c r="B353" s="127" t="s">
        <v>1349</v>
      </c>
      <c r="C353" s="127" t="s">
        <v>46</v>
      </c>
      <c r="D353" s="127"/>
      <c r="E353" s="127"/>
      <c r="F353" s="128"/>
      <c r="G353" s="128"/>
      <c r="H353" s="128"/>
      <c r="I353" s="127" t="s">
        <v>1344</v>
      </c>
    </row>
    <row r="354" spans="1:9" x14ac:dyDescent="0.2">
      <c r="A354" s="127" t="s">
        <v>1350</v>
      </c>
      <c r="B354" s="127" t="s">
        <v>1351</v>
      </c>
      <c r="C354" s="127" t="s">
        <v>17</v>
      </c>
      <c r="D354" s="127"/>
      <c r="E354" s="127"/>
      <c r="F354" s="128"/>
      <c r="G354" s="128"/>
      <c r="H354" s="128"/>
      <c r="I354" s="127" t="s">
        <v>1344</v>
      </c>
    </row>
    <row r="355" spans="1:9" x14ac:dyDescent="0.2">
      <c r="A355" s="127" t="s">
        <v>1352</v>
      </c>
      <c r="B355" s="127" t="s">
        <v>1353</v>
      </c>
      <c r="C355" s="127" t="s">
        <v>22</v>
      </c>
      <c r="D355" s="127"/>
      <c r="E355" s="127"/>
      <c r="F355" s="128"/>
      <c r="G355" s="128"/>
      <c r="H355" s="128"/>
      <c r="I355" s="127" t="s">
        <v>1344</v>
      </c>
    </row>
    <row r="356" spans="1:9" x14ac:dyDescent="0.2">
      <c r="A356" s="127" t="s">
        <v>1354</v>
      </c>
      <c r="B356" s="127" t="s">
        <v>1355</v>
      </c>
      <c r="C356" s="127" t="s">
        <v>46</v>
      </c>
      <c r="D356" s="127"/>
      <c r="E356" s="127"/>
      <c r="F356" s="128"/>
      <c r="G356" s="128"/>
      <c r="H356" s="128"/>
      <c r="I356" s="127" t="s">
        <v>1344</v>
      </c>
    </row>
    <row r="357" spans="1:9" x14ac:dyDescent="0.2">
      <c r="A357" s="127"/>
      <c r="B357" s="127" t="s">
        <v>1356</v>
      </c>
      <c r="C357" s="127" t="s">
        <v>46</v>
      </c>
      <c r="D357" s="127"/>
      <c r="E357" s="127"/>
      <c r="F357" s="128"/>
      <c r="G357" s="128"/>
      <c r="H357" s="128"/>
      <c r="I357" s="127" t="s">
        <v>1344</v>
      </c>
    </row>
    <row r="358" spans="1:9" x14ac:dyDescent="0.2">
      <c r="A358" s="127" t="s">
        <v>1357</v>
      </c>
      <c r="B358" s="127" t="s">
        <v>1358</v>
      </c>
      <c r="C358" s="127" t="s">
        <v>46</v>
      </c>
      <c r="D358" s="127"/>
      <c r="E358" s="127"/>
      <c r="F358" s="128"/>
      <c r="G358" s="128"/>
      <c r="H358" s="128"/>
      <c r="I358" s="127" t="s">
        <v>1344</v>
      </c>
    </row>
    <row r="359" spans="1:9" x14ac:dyDescent="0.2">
      <c r="A359" s="127" t="s">
        <v>1359</v>
      </c>
      <c r="B359" s="127" t="s">
        <v>1360</v>
      </c>
      <c r="C359" s="127" t="s">
        <v>22</v>
      </c>
      <c r="D359" s="127"/>
      <c r="E359" s="127"/>
      <c r="F359" s="128"/>
      <c r="G359" s="128"/>
      <c r="H359" s="128"/>
      <c r="I359" s="127" t="s">
        <v>1344</v>
      </c>
    </row>
    <row r="360" spans="1:9" x14ac:dyDescent="0.2">
      <c r="A360" s="127" t="s">
        <v>1361</v>
      </c>
      <c r="B360" s="127" t="s">
        <v>1362</v>
      </c>
      <c r="C360" s="127" t="s">
        <v>46</v>
      </c>
      <c r="D360" s="127"/>
      <c r="E360" s="127"/>
      <c r="F360" s="128"/>
      <c r="G360" s="128"/>
      <c r="H360" s="128"/>
      <c r="I360" s="127" t="s">
        <v>1344</v>
      </c>
    </row>
    <row r="361" spans="1:9" x14ac:dyDescent="0.2">
      <c r="A361" s="127" t="s">
        <v>1363</v>
      </c>
      <c r="B361" s="127" t="s">
        <v>1364</v>
      </c>
      <c r="C361" s="127" t="s">
        <v>46</v>
      </c>
      <c r="D361" s="127"/>
      <c r="E361" s="127"/>
      <c r="F361" s="128"/>
      <c r="G361" s="128"/>
      <c r="H361" s="128"/>
      <c r="I361" s="127" t="s">
        <v>1344</v>
      </c>
    </row>
    <row r="362" spans="1:9" x14ac:dyDescent="0.2">
      <c r="A362" s="127" t="s">
        <v>1365</v>
      </c>
      <c r="B362" s="127" t="s">
        <v>1366</v>
      </c>
      <c r="C362" s="127" t="s">
        <v>46</v>
      </c>
      <c r="D362" s="127"/>
      <c r="E362" s="127"/>
      <c r="F362" s="128"/>
      <c r="G362" s="128"/>
      <c r="H362" s="128"/>
      <c r="I362" s="127" t="s">
        <v>1344</v>
      </c>
    </row>
    <row r="363" spans="1:9" x14ac:dyDescent="0.2">
      <c r="A363" s="127" t="s">
        <v>1367</v>
      </c>
      <c r="B363" s="127" t="s">
        <v>1368</v>
      </c>
      <c r="C363" s="127" t="s">
        <v>46</v>
      </c>
      <c r="D363" s="127"/>
      <c r="E363" s="127"/>
      <c r="F363" s="128"/>
      <c r="G363" s="128"/>
      <c r="H363" s="128"/>
      <c r="I363" s="127" t="s">
        <v>1344</v>
      </c>
    </row>
    <row r="364" spans="1:9" x14ac:dyDescent="0.2">
      <c r="A364" s="127" t="s">
        <v>1369</v>
      </c>
      <c r="B364" s="127" t="s">
        <v>1370</v>
      </c>
      <c r="C364" s="127" t="s">
        <v>46</v>
      </c>
      <c r="D364" s="127"/>
      <c r="E364" s="127"/>
      <c r="F364" s="128"/>
      <c r="G364" s="128"/>
      <c r="H364" s="128"/>
      <c r="I364" s="127" t="s">
        <v>1344</v>
      </c>
    </row>
    <row r="365" spans="1:9" x14ac:dyDescent="0.2">
      <c r="A365" s="127" t="s">
        <v>1371</v>
      </c>
      <c r="B365" s="127" t="s">
        <v>1372</v>
      </c>
      <c r="C365" s="127" t="s">
        <v>46</v>
      </c>
      <c r="D365" s="127"/>
      <c r="E365" s="127"/>
      <c r="F365" s="128"/>
      <c r="G365" s="128"/>
      <c r="H365" s="128"/>
      <c r="I365" s="127" t="s">
        <v>1344</v>
      </c>
    </row>
    <row r="366" spans="1:9" x14ac:dyDescent="0.2">
      <c r="A366" s="127" t="s">
        <v>1373</v>
      </c>
      <c r="B366" s="127" t="s">
        <v>1374</v>
      </c>
      <c r="C366" s="127" t="s">
        <v>22</v>
      </c>
      <c r="D366" s="127"/>
      <c r="E366" s="127"/>
      <c r="F366" s="128"/>
      <c r="G366" s="128"/>
      <c r="H366" s="128"/>
      <c r="I366" s="127" t="s">
        <v>1344</v>
      </c>
    </row>
    <row r="367" spans="1:9" x14ac:dyDescent="0.2">
      <c r="A367" s="127" t="s">
        <v>1373</v>
      </c>
      <c r="B367" s="127" t="s">
        <v>1375</v>
      </c>
      <c r="C367" s="127" t="s">
        <v>22</v>
      </c>
      <c r="D367" s="127"/>
      <c r="E367" s="127"/>
      <c r="F367" s="128"/>
      <c r="G367" s="128"/>
      <c r="H367" s="128"/>
      <c r="I367" s="127" t="s">
        <v>1344</v>
      </c>
    </row>
    <row r="368" spans="1:9" x14ac:dyDescent="0.2">
      <c r="A368" s="127" t="s">
        <v>1376</v>
      </c>
      <c r="B368" s="127" t="s">
        <v>1377</v>
      </c>
      <c r="C368" s="127" t="s">
        <v>46</v>
      </c>
      <c r="D368" s="127"/>
      <c r="E368" s="127"/>
      <c r="F368" s="128"/>
      <c r="G368" s="128"/>
      <c r="H368" s="128"/>
      <c r="I368" s="127" t="s">
        <v>1344</v>
      </c>
    </row>
    <row r="369" spans="1:9" x14ac:dyDescent="0.2">
      <c r="A369" s="127" t="s">
        <v>1378</v>
      </c>
      <c r="B369" s="127" t="s">
        <v>1379</v>
      </c>
      <c r="C369" s="127" t="s">
        <v>46</v>
      </c>
      <c r="D369" s="127"/>
      <c r="E369" s="127"/>
      <c r="F369" s="128"/>
      <c r="G369" s="128"/>
      <c r="H369" s="128"/>
      <c r="I369" s="127" t="s">
        <v>1344</v>
      </c>
    </row>
    <row r="370" spans="1:9" x14ac:dyDescent="0.2">
      <c r="A370" s="127" t="s">
        <v>1365</v>
      </c>
      <c r="B370" s="127" t="s">
        <v>1380</v>
      </c>
      <c r="C370" s="127" t="s">
        <v>46</v>
      </c>
      <c r="D370" s="127"/>
      <c r="E370" s="127"/>
      <c r="F370" s="128"/>
      <c r="G370" s="128"/>
      <c r="H370" s="128"/>
      <c r="I370" s="127" t="s">
        <v>1344</v>
      </c>
    </row>
    <row r="371" spans="1:9" x14ac:dyDescent="0.2">
      <c r="A371" s="127" t="s">
        <v>1381</v>
      </c>
      <c r="B371" s="127" t="s">
        <v>1382</v>
      </c>
      <c r="C371" s="127" t="s">
        <v>46</v>
      </c>
      <c r="D371" s="127"/>
      <c r="E371" s="127"/>
      <c r="F371" s="128"/>
      <c r="G371" s="128"/>
      <c r="H371" s="128"/>
      <c r="I371" s="127" t="s">
        <v>1344</v>
      </c>
    </row>
    <row r="372" spans="1:9" x14ac:dyDescent="0.2">
      <c r="A372" s="127" t="s">
        <v>1365</v>
      </c>
      <c r="B372" s="127" t="s">
        <v>1383</v>
      </c>
      <c r="C372" s="127" t="s">
        <v>46</v>
      </c>
      <c r="D372" s="127"/>
      <c r="E372" s="127"/>
      <c r="F372" s="128"/>
      <c r="G372" s="128"/>
      <c r="H372" s="128"/>
      <c r="I372" s="127" t="s">
        <v>1344</v>
      </c>
    </row>
    <row r="373" spans="1:9" x14ac:dyDescent="0.2">
      <c r="A373" s="127" t="s">
        <v>1384</v>
      </c>
      <c r="B373" s="127" t="s">
        <v>1385</v>
      </c>
      <c r="C373" s="127" t="s">
        <v>46</v>
      </c>
      <c r="D373" s="127"/>
      <c r="E373" s="127"/>
      <c r="F373" s="128"/>
      <c r="G373" s="128"/>
      <c r="H373" s="128"/>
      <c r="I373" s="127" t="s">
        <v>1344</v>
      </c>
    </row>
    <row r="374" spans="1:9" x14ac:dyDescent="0.2">
      <c r="A374" s="127" t="s">
        <v>1373</v>
      </c>
      <c r="B374" s="127" t="s">
        <v>1386</v>
      </c>
      <c r="C374" s="127" t="s">
        <v>46</v>
      </c>
      <c r="D374" s="127"/>
      <c r="E374" s="127"/>
      <c r="F374" s="128"/>
      <c r="G374" s="128"/>
      <c r="H374" s="128"/>
      <c r="I374" s="127" t="s">
        <v>1344</v>
      </c>
    </row>
    <row r="375" spans="1:9" x14ac:dyDescent="0.2">
      <c r="A375" s="127" t="s">
        <v>1387</v>
      </c>
      <c r="B375" s="127" t="s">
        <v>1388</v>
      </c>
      <c r="C375" s="127" t="s">
        <v>46</v>
      </c>
      <c r="D375" s="127"/>
      <c r="E375" s="127"/>
      <c r="F375" s="128"/>
      <c r="G375" s="128"/>
      <c r="H375" s="128"/>
      <c r="I375" s="127" t="s">
        <v>1344</v>
      </c>
    </row>
    <row r="376" spans="1:9" x14ac:dyDescent="0.2">
      <c r="A376" s="127" t="s">
        <v>1389</v>
      </c>
      <c r="B376" s="127" t="s">
        <v>1390</v>
      </c>
      <c r="C376" s="127" t="s">
        <v>17</v>
      </c>
      <c r="D376" s="127"/>
      <c r="E376" s="127"/>
      <c r="F376" s="128"/>
      <c r="G376" s="128"/>
      <c r="H376" s="128"/>
      <c r="I376" s="127" t="s">
        <v>1344</v>
      </c>
    </row>
    <row r="377" spans="1:9" x14ac:dyDescent="0.2">
      <c r="A377" s="127"/>
      <c r="B377" s="127" t="s">
        <v>1391</v>
      </c>
      <c r="C377" s="127" t="s">
        <v>22</v>
      </c>
      <c r="D377" s="127"/>
      <c r="E377" s="127"/>
      <c r="F377" s="128"/>
      <c r="G377" s="128"/>
      <c r="H377" s="128"/>
      <c r="I377" s="127" t="s">
        <v>1344</v>
      </c>
    </row>
    <row r="378" spans="1:9" x14ac:dyDescent="0.2">
      <c r="A378" s="127"/>
      <c r="B378" s="127" t="s">
        <v>1392</v>
      </c>
      <c r="C378" s="127" t="s">
        <v>46</v>
      </c>
      <c r="D378" s="127"/>
      <c r="E378" s="127"/>
      <c r="F378" s="128"/>
      <c r="G378" s="128"/>
      <c r="H378" s="128"/>
      <c r="I378" s="127" t="s">
        <v>1344</v>
      </c>
    </row>
    <row r="379" spans="1:9" x14ac:dyDescent="0.2">
      <c r="A379" s="127" t="s">
        <v>1393</v>
      </c>
      <c r="B379" s="127" t="s">
        <v>1394</v>
      </c>
      <c r="C379" s="127" t="s">
        <v>46</v>
      </c>
      <c r="D379" s="127"/>
      <c r="E379" s="127"/>
      <c r="F379" s="128"/>
      <c r="G379" s="128"/>
      <c r="H379" s="128"/>
      <c r="I379" s="127" t="s">
        <v>1344</v>
      </c>
    </row>
    <row r="380" spans="1:9" x14ac:dyDescent="0.2">
      <c r="A380" s="127" t="s">
        <v>1395</v>
      </c>
      <c r="B380" s="127" t="s">
        <v>1396</v>
      </c>
      <c r="C380" s="127" t="s">
        <v>46</v>
      </c>
      <c r="D380" s="127"/>
      <c r="E380" s="127"/>
      <c r="F380" s="128"/>
      <c r="G380" s="128"/>
      <c r="H380" s="128"/>
      <c r="I380" s="127" t="s">
        <v>1344</v>
      </c>
    </row>
    <row r="381" spans="1:9" x14ac:dyDescent="0.2">
      <c r="A381" s="127" t="s">
        <v>1397</v>
      </c>
      <c r="B381" s="127" t="s">
        <v>1398</v>
      </c>
      <c r="C381" s="127" t="s">
        <v>46</v>
      </c>
      <c r="D381" s="127"/>
      <c r="E381" s="127"/>
      <c r="F381" s="128"/>
      <c r="G381" s="128"/>
      <c r="H381" s="128"/>
      <c r="I381" s="127" t="s">
        <v>1344</v>
      </c>
    </row>
    <row r="382" spans="1:9" x14ac:dyDescent="0.2">
      <c r="A382" s="127" t="s">
        <v>1399</v>
      </c>
      <c r="B382" s="127" t="s">
        <v>1400</v>
      </c>
      <c r="C382" s="127" t="s">
        <v>46</v>
      </c>
      <c r="D382" s="127"/>
      <c r="E382" s="127"/>
      <c r="F382" s="128"/>
      <c r="G382" s="128"/>
      <c r="H382" s="128"/>
      <c r="I382" s="127" t="s">
        <v>1344</v>
      </c>
    </row>
    <row r="383" spans="1:9" x14ac:dyDescent="0.2">
      <c r="A383" s="127" t="s">
        <v>1401</v>
      </c>
      <c r="B383" s="127" t="s">
        <v>1402</v>
      </c>
      <c r="C383" s="127" t="s">
        <v>22</v>
      </c>
      <c r="D383" s="127"/>
      <c r="E383" s="127"/>
      <c r="F383" s="128"/>
      <c r="G383" s="128"/>
      <c r="H383" s="128"/>
      <c r="I383" s="127" t="s">
        <v>1344</v>
      </c>
    </row>
    <row r="384" spans="1:9" x14ac:dyDescent="0.2">
      <c r="A384" s="127" t="s">
        <v>1365</v>
      </c>
      <c r="B384" s="127" t="s">
        <v>1403</v>
      </c>
      <c r="C384" s="127" t="s">
        <v>46</v>
      </c>
      <c r="D384" s="127"/>
      <c r="E384" s="127"/>
      <c r="F384" s="128"/>
      <c r="G384" s="128"/>
      <c r="H384" s="128"/>
      <c r="I384" s="127" t="s">
        <v>1344</v>
      </c>
    </row>
    <row r="385" spans="1:9" x14ac:dyDescent="0.2">
      <c r="A385" s="127" t="s">
        <v>1404</v>
      </c>
      <c r="B385" s="127" t="s">
        <v>1405</v>
      </c>
      <c r="C385" s="127" t="s">
        <v>46</v>
      </c>
      <c r="D385" s="127"/>
      <c r="E385" s="127"/>
      <c r="F385" s="128"/>
      <c r="G385" s="128"/>
      <c r="H385" s="128"/>
      <c r="I385" s="127" t="s">
        <v>1344</v>
      </c>
    </row>
    <row r="386" spans="1:9" x14ac:dyDescent="0.2">
      <c r="A386" s="127" t="s">
        <v>1406</v>
      </c>
      <c r="B386" s="127" t="s">
        <v>1407</v>
      </c>
      <c r="C386" s="127" t="s">
        <v>46</v>
      </c>
      <c r="D386" s="127"/>
      <c r="E386" s="127"/>
      <c r="F386" s="128"/>
      <c r="G386" s="128"/>
      <c r="H386" s="128"/>
      <c r="I386" s="127" t="s">
        <v>1344</v>
      </c>
    </row>
    <row r="387" spans="1:9" x14ac:dyDescent="0.2">
      <c r="A387" s="127" t="s">
        <v>1408</v>
      </c>
      <c r="B387" s="127" t="s">
        <v>1409</v>
      </c>
      <c r="C387" s="127" t="s">
        <v>46</v>
      </c>
      <c r="D387" s="127"/>
      <c r="E387" s="127"/>
      <c r="F387" s="128"/>
      <c r="G387" s="128"/>
      <c r="H387" s="128"/>
      <c r="I387" s="127" t="s">
        <v>1344</v>
      </c>
    </row>
    <row r="388" spans="1:9" x14ac:dyDescent="0.2">
      <c r="A388" s="127" t="s">
        <v>1410</v>
      </c>
      <c r="B388" s="127" t="s">
        <v>1411</v>
      </c>
      <c r="C388" s="127" t="s">
        <v>46</v>
      </c>
      <c r="D388" s="127"/>
      <c r="E388" s="127"/>
      <c r="F388" s="128"/>
      <c r="G388" s="128"/>
      <c r="H388" s="128"/>
      <c r="I388" s="127" t="s">
        <v>1344</v>
      </c>
    </row>
    <row r="389" spans="1:9" x14ac:dyDescent="0.2">
      <c r="A389" s="127" t="s">
        <v>1412</v>
      </c>
      <c r="B389" s="127" t="s">
        <v>816</v>
      </c>
      <c r="C389" s="127" t="s">
        <v>22</v>
      </c>
      <c r="D389" s="127"/>
      <c r="E389" s="127"/>
      <c r="F389" s="128"/>
      <c r="G389" s="128"/>
      <c r="H389" s="128"/>
      <c r="I389" s="127" t="s">
        <v>1344</v>
      </c>
    </row>
    <row r="390" spans="1:9" x14ac:dyDescent="0.2">
      <c r="A390" s="127" t="s">
        <v>1413</v>
      </c>
      <c r="B390" s="127" t="s">
        <v>1414</v>
      </c>
      <c r="C390" s="127" t="s">
        <v>22</v>
      </c>
      <c r="D390" s="127"/>
      <c r="E390" s="127"/>
      <c r="F390" s="128"/>
      <c r="G390" s="128"/>
      <c r="H390" s="128"/>
      <c r="I390" s="127" t="s">
        <v>1344</v>
      </c>
    </row>
    <row r="391" spans="1:9" x14ac:dyDescent="0.2">
      <c r="A391" s="127" t="s">
        <v>1415</v>
      </c>
      <c r="B391" s="127" t="s">
        <v>1416</v>
      </c>
      <c r="C391" s="127" t="s">
        <v>17</v>
      </c>
      <c r="D391" s="127"/>
      <c r="E391" s="127"/>
      <c r="F391" s="128"/>
      <c r="G391" s="128"/>
      <c r="H391" s="128"/>
      <c r="I391" s="127" t="s">
        <v>1344</v>
      </c>
    </row>
    <row r="392" spans="1:9" x14ac:dyDescent="0.2">
      <c r="A392" s="127" t="s">
        <v>1417</v>
      </c>
      <c r="B392" s="127" t="s">
        <v>1418</v>
      </c>
      <c r="C392" s="127" t="s">
        <v>46</v>
      </c>
      <c r="D392" s="127"/>
      <c r="E392" s="127"/>
      <c r="F392" s="128"/>
      <c r="G392" s="128"/>
      <c r="H392" s="128"/>
      <c r="I392" s="127" t="s">
        <v>1344</v>
      </c>
    </row>
    <row r="393" spans="1:9" x14ac:dyDescent="0.2">
      <c r="A393" s="127" t="s">
        <v>1419</v>
      </c>
      <c r="B393" s="127" t="s">
        <v>1420</v>
      </c>
      <c r="C393" s="127" t="s">
        <v>46</v>
      </c>
      <c r="D393" s="127"/>
      <c r="E393" s="127"/>
      <c r="F393" s="128"/>
      <c r="G393" s="128"/>
      <c r="H393" s="128"/>
      <c r="I393" s="127" t="s">
        <v>1344</v>
      </c>
    </row>
    <row r="394" spans="1:9" x14ac:dyDescent="0.2">
      <c r="A394" s="127" t="s">
        <v>1421</v>
      </c>
      <c r="B394" s="127" t="s">
        <v>1422</v>
      </c>
      <c r="C394" s="127" t="s">
        <v>17</v>
      </c>
      <c r="D394" s="127"/>
      <c r="E394" s="127"/>
      <c r="F394" s="128"/>
      <c r="G394" s="128"/>
      <c r="H394" s="128"/>
      <c r="I394" s="127" t="s">
        <v>1344</v>
      </c>
    </row>
    <row r="395" spans="1:9" x14ac:dyDescent="0.2">
      <c r="A395" s="127" t="s">
        <v>1423</v>
      </c>
      <c r="B395" s="127" t="s">
        <v>1424</v>
      </c>
      <c r="C395" s="127" t="s">
        <v>46</v>
      </c>
      <c r="D395" s="127"/>
      <c r="E395" s="127"/>
      <c r="F395" s="128"/>
      <c r="G395" s="128"/>
      <c r="H395" s="128"/>
      <c r="I395" s="127" t="s">
        <v>1344</v>
      </c>
    </row>
    <row r="396" spans="1:9" x14ac:dyDescent="0.2">
      <c r="A396" s="127" t="s">
        <v>1425</v>
      </c>
      <c r="B396" s="127" t="s">
        <v>1426</v>
      </c>
      <c r="C396" s="127" t="s">
        <v>46</v>
      </c>
      <c r="D396" s="127"/>
      <c r="E396" s="127"/>
      <c r="F396" s="128"/>
      <c r="G396" s="128"/>
      <c r="H396" s="128"/>
      <c r="I396" s="127" t="s">
        <v>1344</v>
      </c>
    </row>
    <row r="397" spans="1:9" x14ac:dyDescent="0.2">
      <c r="A397" s="127" t="s">
        <v>1427</v>
      </c>
      <c r="B397" s="127" t="s">
        <v>1428</v>
      </c>
      <c r="C397" s="127" t="s">
        <v>17</v>
      </c>
      <c r="D397" s="127"/>
      <c r="E397" s="127"/>
      <c r="F397" s="128"/>
      <c r="G397" s="128"/>
      <c r="H397" s="128"/>
      <c r="I397" s="127" t="s">
        <v>1344</v>
      </c>
    </row>
    <row r="398" spans="1:9" x14ac:dyDescent="0.2">
      <c r="A398" s="127" t="s">
        <v>1429</v>
      </c>
      <c r="B398" s="127" t="s">
        <v>1430</v>
      </c>
      <c r="C398" s="127" t="s">
        <v>22</v>
      </c>
      <c r="D398" s="127"/>
      <c r="E398" s="127"/>
      <c r="F398" s="128"/>
      <c r="G398" s="128"/>
      <c r="H398" s="128"/>
      <c r="I398" s="127" t="s">
        <v>1344</v>
      </c>
    </row>
    <row r="399" spans="1:9" x14ac:dyDescent="0.2">
      <c r="A399" s="127" t="s">
        <v>1431</v>
      </c>
      <c r="B399" s="127" t="s">
        <v>1432</v>
      </c>
      <c r="C399" s="127" t="s">
        <v>22</v>
      </c>
      <c r="D399" s="127"/>
      <c r="E399" s="127"/>
      <c r="F399" s="128"/>
      <c r="G399" s="128"/>
      <c r="H399" s="128"/>
      <c r="I399" s="127" t="s">
        <v>1344</v>
      </c>
    </row>
    <row r="400" spans="1:9" x14ac:dyDescent="0.2">
      <c r="A400" s="127" t="s">
        <v>1433</v>
      </c>
      <c r="B400" s="127" t="s">
        <v>1434</v>
      </c>
      <c r="C400" s="127" t="s">
        <v>22</v>
      </c>
      <c r="D400" s="127"/>
      <c r="E400" s="127"/>
      <c r="F400" s="128"/>
      <c r="G400" s="128"/>
      <c r="H400" s="128"/>
      <c r="I400" s="127" t="s">
        <v>1344</v>
      </c>
    </row>
    <row r="401" spans="1:9" x14ac:dyDescent="0.2">
      <c r="A401" s="127" t="s">
        <v>1435</v>
      </c>
      <c r="B401" s="127" t="s">
        <v>1436</v>
      </c>
      <c r="C401" s="127" t="s">
        <v>46</v>
      </c>
      <c r="D401" s="127"/>
      <c r="E401" s="127"/>
      <c r="F401" s="128"/>
      <c r="G401" s="128"/>
      <c r="H401" s="128"/>
      <c r="I401" s="127" t="s">
        <v>1344</v>
      </c>
    </row>
    <row r="402" spans="1:9" x14ac:dyDescent="0.2">
      <c r="A402" s="127" t="s">
        <v>1437</v>
      </c>
      <c r="B402" s="127" t="s">
        <v>1438</v>
      </c>
      <c r="C402" s="127" t="s">
        <v>46</v>
      </c>
      <c r="D402" s="127"/>
      <c r="E402" s="127"/>
      <c r="F402" s="128"/>
      <c r="G402" s="128"/>
      <c r="H402" s="128"/>
      <c r="I402" s="127" t="s">
        <v>1344</v>
      </c>
    </row>
    <row r="403" spans="1:9" x14ac:dyDescent="0.2">
      <c r="A403" s="127" t="s">
        <v>1439</v>
      </c>
      <c r="B403" s="127" t="s">
        <v>1440</v>
      </c>
      <c r="C403" s="127" t="s">
        <v>46</v>
      </c>
      <c r="D403" s="127"/>
      <c r="E403" s="127"/>
      <c r="F403" s="128"/>
      <c r="G403" s="128"/>
      <c r="H403" s="128"/>
      <c r="I403" s="127" t="s">
        <v>1344</v>
      </c>
    </row>
    <row r="404" spans="1:9" x14ac:dyDescent="0.2">
      <c r="A404" s="127" t="s">
        <v>1441</v>
      </c>
      <c r="B404" s="127" t="s">
        <v>1442</v>
      </c>
      <c r="C404" s="127" t="s">
        <v>46</v>
      </c>
      <c r="D404" s="127"/>
      <c r="E404" s="127"/>
      <c r="F404" s="128"/>
      <c r="G404" s="128"/>
      <c r="H404" s="128"/>
      <c r="I404" s="127" t="s">
        <v>1344</v>
      </c>
    </row>
    <row r="405" spans="1:9" x14ac:dyDescent="0.2">
      <c r="A405" s="127" t="s">
        <v>1443</v>
      </c>
      <c r="B405" s="127" t="s">
        <v>1444</v>
      </c>
      <c r="C405" s="127" t="s">
        <v>22</v>
      </c>
      <c r="D405" s="127"/>
      <c r="E405" s="127"/>
      <c r="F405" s="128"/>
      <c r="G405" s="128"/>
      <c r="H405" s="128"/>
      <c r="I405" s="127" t="s">
        <v>1344</v>
      </c>
    </row>
    <row r="406" spans="1:9" x14ac:dyDescent="0.2">
      <c r="A406" s="127" t="s">
        <v>1445</v>
      </c>
      <c r="B406" s="127" t="s">
        <v>1285</v>
      </c>
      <c r="C406" s="127" t="s">
        <v>22</v>
      </c>
      <c r="D406" s="127"/>
      <c r="E406" s="127"/>
      <c r="F406" s="128"/>
      <c r="G406" s="128"/>
      <c r="H406" s="128"/>
      <c r="I406" s="127" t="s">
        <v>1344</v>
      </c>
    </row>
    <row r="407" spans="1:9" x14ac:dyDescent="0.2">
      <c r="A407" s="127" t="s">
        <v>1446</v>
      </c>
      <c r="B407" s="127" t="s">
        <v>1447</v>
      </c>
      <c r="C407" s="127" t="s">
        <v>46</v>
      </c>
      <c r="D407" s="127"/>
      <c r="E407" s="127"/>
      <c r="F407" s="128"/>
      <c r="G407" s="128"/>
      <c r="H407" s="128"/>
      <c r="I407" s="127" t="s">
        <v>1344</v>
      </c>
    </row>
    <row r="408" spans="1:9" x14ac:dyDescent="0.2">
      <c r="A408" s="127" t="s">
        <v>1448</v>
      </c>
      <c r="B408" s="127" t="s">
        <v>1243</v>
      </c>
      <c r="C408" s="127" t="s">
        <v>22</v>
      </c>
      <c r="D408" s="127"/>
      <c r="E408" s="127"/>
      <c r="F408" s="128"/>
      <c r="G408" s="128"/>
      <c r="H408" s="128"/>
      <c r="I408" s="127" t="s">
        <v>1344</v>
      </c>
    </row>
    <row r="409" spans="1:9" x14ac:dyDescent="0.2">
      <c r="A409" s="127" t="s">
        <v>1449</v>
      </c>
      <c r="B409" s="127" t="s">
        <v>1450</v>
      </c>
      <c r="C409" s="127" t="s">
        <v>17</v>
      </c>
      <c r="D409" s="127"/>
      <c r="E409" s="127"/>
      <c r="F409" s="128"/>
      <c r="G409" s="128"/>
      <c r="H409" s="128"/>
      <c r="I409" s="127" t="s">
        <v>1344</v>
      </c>
    </row>
    <row r="410" spans="1:9" x14ac:dyDescent="0.2">
      <c r="A410" s="127" t="s">
        <v>1451</v>
      </c>
      <c r="B410" s="127" t="s">
        <v>1452</v>
      </c>
      <c r="C410" s="127" t="s">
        <v>17</v>
      </c>
      <c r="D410" s="127"/>
      <c r="E410" s="127"/>
      <c r="F410" s="128"/>
      <c r="G410" s="128"/>
      <c r="H410" s="128"/>
      <c r="I410" s="127" t="s">
        <v>1344</v>
      </c>
    </row>
    <row r="411" spans="1:9" x14ac:dyDescent="0.2">
      <c r="A411" s="127" t="s">
        <v>1453</v>
      </c>
      <c r="B411" s="127" t="s">
        <v>1454</v>
      </c>
      <c r="C411" s="127" t="s">
        <v>46</v>
      </c>
      <c r="D411" s="127"/>
      <c r="E411" s="127"/>
      <c r="F411" s="128"/>
      <c r="G411" s="128"/>
      <c r="H411" s="128"/>
      <c r="I411" s="127" t="s">
        <v>1344</v>
      </c>
    </row>
    <row r="412" spans="1:9" x14ac:dyDescent="0.2">
      <c r="A412" s="127" t="s">
        <v>1455</v>
      </c>
      <c r="B412" s="127" t="s">
        <v>1456</v>
      </c>
      <c r="C412" s="127" t="s">
        <v>46</v>
      </c>
      <c r="D412" s="127"/>
      <c r="E412" s="127"/>
      <c r="F412" s="128"/>
      <c r="G412" s="128"/>
      <c r="H412" s="128"/>
      <c r="I412" s="127" t="s">
        <v>1344</v>
      </c>
    </row>
    <row r="413" spans="1:9" x14ac:dyDescent="0.2">
      <c r="A413" s="127" t="s">
        <v>1457</v>
      </c>
      <c r="B413" s="127"/>
      <c r="C413" s="127" t="s">
        <v>22</v>
      </c>
      <c r="D413" s="127"/>
      <c r="E413" s="127"/>
      <c r="F413" s="128"/>
      <c r="G413" s="128"/>
      <c r="H413" s="128"/>
      <c r="I413" s="127" t="s">
        <v>1344</v>
      </c>
    </row>
    <row r="414" spans="1:9" x14ac:dyDescent="0.2">
      <c r="A414" s="127" t="s">
        <v>1458</v>
      </c>
      <c r="B414" s="127" t="s">
        <v>1459</v>
      </c>
      <c r="C414" s="127" t="s">
        <v>46</v>
      </c>
      <c r="D414" s="127"/>
      <c r="E414" s="127"/>
      <c r="F414" s="128"/>
      <c r="G414" s="128"/>
      <c r="H414" s="128"/>
      <c r="I414" s="127" t="s">
        <v>1344</v>
      </c>
    </row>
    <row r="415" spans="1:9" x14ac:dyDescent="0.2">
      <c r="A415" s="127" t="s">
        <v>1460</v>
      </c>
      <c r="B415" s="127" t="s">
        <v>1461</v>
      </c>
      <c r="C415" s="127" t="s">
        <v>46</v>
      </c>
      <c r="D415" s="127"/>
      <c r="E415" s="127"/>
      <c r="F415" s="128"/>
      <c r="G415" s="128"/>
      <c r="H415" s="128"/>
      <c r="I415" s="127" t="s">
        <v>1344</v>
      </c>
    </row>
    <row r="416" spans="1:9" x14ac:dyDescent="0.2">
      <c r="A416" s="127" t="s">
        <v>1462</v>
      </c>
      <c r="B416" s="127" t="s">
        <v>1463</v>
      </c>
      <c r="C416" s="127" t="s">
        <v>46</v>
      </c>
      <c r="D416" s="127"/>
      <c r="E416" s="127"/>
      <c r="F416" s="128"/>
      <c r="G416" s="128"/>
      <c r="H416" s="128"/>
      <c r="I416" s="127" t="s">
        <v>1344</v>
      </c>
    </row>
    <row r="417" spans="1:9" x14ac:dyDescent="0.2">
      <c r="A417" s="127" t="s">
        <v>1464</v>
      </c>
      <c r="B417" s="127" t="s">
        <v>1465</v>
      </c>
      <c r="C417" s="127" t="s">
        <v>22</v>
      </c>
      <c r="D417" s="127"/>
      <c r="E417" s="127"/>
      <c r="F417" s="128"/>
      <c r="G417" s="128"/>
      <c r="H417" s="128"/>
      <c r="I417" s="127" t="s">
        <v>1344</v>
      </c>
    </row>
    <row r="418" spans="1:9" x14ac:dyDescent="0.2">
      <c r="A418" s="127" t="s">
        <v>1466</v>
      </c>
      <c r="B418" s="127" t="s">
        <v>1467</v>
      </c>
      <c r="C418" s="127" t="s">
        <v>46</v>
      </c>
      <c r="D418" s="127"/>
      <c r="E418" s="127"/>
      <c r="F418" s="128"/>
      <c r="G418" s="128"/>
      <c r="H418" s="128"/>
      <c r="I418" s="127" t="s">
        <v>1344</v>
      </c>
    </row>
    <row r="419" spans="1:9" x14ac:dyDescent="0.2">
      <c r="A419" s="127" t="s">
        <v>1468</v>
      </c>
      <c r="B419" s="127" t="s">
        <v>1469</v>
      </c>
      <c r="C419" s="127" t="s">
        <v>46</v>
      </c>
      <c r="D419" s="127"/>
      <c r="E419" s="127"/>
      <c r="F419" s="128"/>
      <c r="G419" s="128"/>
      <c r="H419" s="128"/>
      <c r="I419" s="127" t="s">
        <v>1344</v>
      </c>
    </row>
    <row r="420" spans="1:9" x14ac:dyDescent="0.2">
      <c r="A420" s="127" t="s">
        <v>1470</v>
      </c>
      <c r="B420" s="127" t="s">
        <v>1471</v>
      </c>
      <c r="C420" s="127" t="s">
        <v>46</v>
      </c>
      <c r="D420" s="127"/>
      <c r="E420" s="127"/>
      <c r="F420" s="128"/>
      <c r="G420" s="128"/>
      <c r="H420" s="128"/>
      <c r="I420" s="127" t="s">
        <v>1344</v>
      </c>
    </row>
    <row r="421" spans="1:9" x14ac:dyDescent="0.2">
      <c r="A421" s="127" t="s">
        <v>1472</v>
      </c>
      <c r="B421" s="127" t="s">
        <v>1473</v>
      </c>
      <c r="C421" s="127" t="s">
        <v>46</v>
      </c>
      <c r="D421" s="127"/>
      <c r="E421" s="127"/>
      <c r="F421" s="128"/>
      <c r="G421" s="128"/>
      <c r="H421" s="128"/>
      <c r="I421" s="127" t="s">
        <v>1344</v>
      </c>
    </row>
    <row r="422" spans="1:9" x14ac:dyDescent="0.2">
      <c r="A422" s="127" t="s">
        <v>1474</v>
      </c>
      <c r="B422" s="127" t="s">
        <v>1475</v>
      </c>
      <c r="C422" s="127" t="s">
        <v>46</v>
      </c>
      <c r="D422" s="127"/>
      <c r="E422" s="127"/>
      <c r="F422" s="128"/>
      <c r="G422" s="128"/>
      <c r="H422" s="128"/>
      <c r="I422" s="127" t="s">
        <v>1344</v>
      </c>
    </row>
    <row r="423" spans="1:9" x14ac:dyDescent="0.2">
      <c r="A423" s="127" t="s">
        <v>1476</v>
      </c>
      <c r="B423" s="127" t="s">
        <v>1477</v>
      </c>
      <c r="C423" s="127" t="s">
        <v>46</v>
      </c>
      <c r="D423" s="127"/>
      <c r="E423" s="127"/>
      <c r="F423" s="128"/>
      <c r="G423" s="128"/>
      <c r="H423" s="128"/>
      <c r="I423" s="127" t="s">
        <v>1344</v>
      </c>
    </row>
    <row r="424" spans="1:9" x14ac:dyDescent="0.2">
      <c r="A424" s="127" t="s">
        <v>1478</v>
      </c>
      <c r="B424" s="127" t="s">
        <v>1479</v>
      </c>
      <c r="C424" s="127" t="s">
        <v>46</v>
      </c>
      <c r="D424" s="127"/>
      <c r="E424" s="127"/>
      <c r="F424" s="128"/>
      <c r="G424" s="128"/>
      <c r="H424" s="128"/>
      <c r="I424" s="127" t="s">
        <v>1344</v>
      </c>
    </row>
    <row r="425" spans="1:9" x14ac:dyDescent="0.2">
      <c r="A425" s="127" t="s">
        <v>1480</v>
      </c>
      <c r="B425" s="127" t="s">
        <v>1481</v>
      </c>
      <c r="C425" s="127" t="s">
        <v>46</v>
      </c>
      <c r="D425" s="127"/>
      <c r="E425" s="127"/>
      <c r="F425" s="128"/>
      <c r="G425" s="128"/>
      <c r="H425" s="128"/>
      <c r="I425" s="127" t="s">
        <v>1344</v>
      </c>
    </row>
    <row r="426" spans="1:9" x14ac:dyDescent="0.2">
      <c r="A426" s="127" t="s">
        <v>1482</v>
      </c>
      <c r="B426" s="127" t="s">
        <v>1483</v>
      </c>
      <c r="C426" s="127" t="s">
        <v>22</v>
      </c>
      <c r="D426" s="127"/>
      <c r="E426" s="127"/>
      <c r="F426" s="128"/>
      <c r="G426" s="128"/>
      <c r="H426" s="128"/>
      <c r="I426" s="127" t="s">
        <v>1344</v>
      </c>
    </row>
    <row r="427" spans="1:9" x14ac:dyDescent="0.2">
      <c r="A427" s="127" t="s">
        <v>1484</v>
      </c>
      <c r="B427" s="127" t="s">
        <v>1485</v>
      </c>
      <c r="C427" s="127" t="s">
        <v>46</v>
      </c>
      <c r="D427" s="127"/>
      <c r="E427" s="127"/>
      <c r="F427" s="128"/>
      <c r="G427" s="128"/>
      <c r="H427" s="128"/>
      <c r="I427" s="127" t="s">
        <v>1344</v>
      </c>
    </row>
    <row r="428" spans="1:9" x14ac:dyDescent="0.2">
      <c r="A428" s="127" t="s">
        <v>1486</v>
      </c>
      <c r="B428" s="127" t="s">
        <v>1487</v>
      </c>
      <c r="C428" s="127" t="s">
        <v>22</v>
      </c>
      <c r="D428" s="127"/>
      <c r="E428" s="127"/>
      <c r="F428" s="128"/>
      <c r="G428" s="128"/>
      <c r="H428" s="128"/>
      <c r="I428" s="127" t="s">
        <v>1344</v>
      </c>
    </row>
    <row r="429" spans="1:9" x14ac:dyDescent="0.2">
      <c r="A429" s="127" t="s">
        <v>1488</v>
      </c>
      <c r="B429" s="127" t="s">
        <v>1489</v>
      </c>
      <c r="C429" s="127" t="s">
        <v>46</v>
      </c>
      <c r="D429" s="127"/>
      <c r="E429" s="127"/>
      <c r="F429" s="128"/>
      <c r="G429" s="128"/>
      <c r="H429" s="128"/>
      <c r="I429" s="127" t="s">
        <v>1344</v>
      </c>
    </row>
    <row r="430" spans="1:9" x14ac:dyDescent="0.2">
      <c r="A430" s="127" t="s">
        <v>1490</v>
      </c>
      <c r="B430" s="127" t="s">
        <v>1491</v>
      </c>
      <c r="C430" s="127" t="s">
        <v>46</v>
      </c>
      <c r="D430" s="127"/>
      <c r="E430" s="127"/>
      <c r="F430" s="128"/>
      <c r="G430" s="128"/>
      <c r="H430" s="128"/>
      <c r="I430" s="127" t="s">
        <v>1344</v>
      </c>
    </row>
    <row r="431" spans="1:9" x14ac:dyDescent="0.2">
      <c r="A431" s="127" t="s">
        <v>1492</v>
      </c>
      <c r="B431" s="127" t="s">
        <v>1493</v>
      </c>
      <c r="C431" s="127" t="s">
        <v>46</v>
      </c>
      <c r="D431" s="127"/>
      <c r="E431" s="127"/>
      <c r="F431" s="128"/>
      <c r="G431" s="128"/>
      <c r="H431" s="128"/>
      <c r="I431" s="127" t="s">
        <v>1344</v>
      </c>
    </row>
    <row r="432" spans="1:9" x14ac:dyDescent="0.2">
      <c r="A432" s="127" t="s">
        <v>1494</v>
      </c>
      <c r="B432" s="127" t="s">
        <v>1495</v>
      </c>
      <c r="C432" s="127" t="s">
        <v>46</v>
      </c>
      <c r="D432" s="127"/>
      <c r="E432" s="127"/>
      <c r="F432" s="128"/>
      <c r="G432" s="128"/>
      <c r="H432" s="128"/>
      <c r="I432" s="127" t="s">
        <v>1344</v>
      </c>
    </row>
    <row r="433" spans="1:9" x14ac:dyDescent="0.2">
      <c r="A433" s="127" t="s">
        <v>1496</v>
      </c>
      <c r="B433" s="127" t="s">
        <v>1497</v>
      </c>
      <c r="C433" s="127" t="s">
        <v>17</v>
      </c>
      <c r="D433" s="127"/>
      <c r="E433" s="127"/>
      <c r="F433" s="128"/>
      <c r="G433" s="128"/>
      <c r="H433" s="128"/>
      <c r="I433" s="127" t="s">
        <v>1344</v>
      </c>
    </row>
    <row r="434" spans="1:9" x14ac:dyDescent="0.2">
      <c r="A434" s="127" t="s">
        <v>1498</v>
      </c>
      <c r="B434" s="127" t="s">
        <v>1499</v>
      </c>
      <c r="C434" s="127" t="s">
        <v>46</v>
      </c>
      <c r="D434" s="127"/>
      <c r="E434" s="127"/>
      <c r="F434" s="128"/>
      <c r="G434" s="128"/>
      <c r="H434" s="128"/>
      <c r="I434" s="127" t="s">
        <v>1344</v>
      </c>
    </row>
    <row r="435" spans="1:9" x14ac:dyDescent="0.2">
      <c r="A435" s="127" t="s">
        <v>1500</v>
      </c>
      <c r="B435" s="127" t="s">
        <v>1501</v>
      </c>
      <c r="C435" s="127" t="s">
        <v>46</v>
      </c>
      <c r="D435" s="127"/>
      <c r="E435" s="127"/>
      <c r="F435" s="128"/>
      <c r="G435" s="128"/>
      <c r="H435" s="128"/>
      <c r="I435" s="127" t="s">
        <v>1344</v>
      </c>
    </row>
    <row r="436" spans="1:9" x14ac:dyDescent="0.2">
      <c r="A436" s="127" t="s">
        <v>1502</v>
      </c>
      <c r="B436" s="127" t="s">
        <v>1503</v>
      </c>
      <c r="C436" s="127" t="s">
        <v>17</v>
      </c>
      <c r="D436" s="127"/>
      <c r="E436" s="127"/>
      <c r="F436" s="128"/>
      <c r="G436" s="128"/>
      <c r="H436" s="128"/>
      <c r="I436" s="127" t="s">
        <v>1344</v>
      </c>
    </row>
    <row r="437" spans="1:9" x14ac:dyDescent="0.2">
      <c r="A437" s="127" t="s">
        <v>709</v>
      </c>
      <c r="B437" s="127" t="s">
        <v>1504</v>
      </c>
      <c r="C437" s="127" t="s">
        <v>17</v>
      </c>
      <c r="D437" s="127"/>
      <c r="E437" s="127"/>
      <c r="F437" s="128"/>
      <c r="G437" s="128"/>
      <c r="H437" s="128"/>
      <c r="I437" s="127" t="s">
        <v>1344</v>
      </c>
    </row>
    <row r="438" spans="1:9" x14ac:dyDescent="0.2">
      <c r="A438" s="127" t="s">
        <v>1505</v>
      </c>
      <c r="B438" s="127" t="s">
        <v>1506</v>
      </c>
      <c r="C438" s="127" t="s">
        <v>46</v>
      </c>
      <c r="D438" s="127"/>
      <c r="E438" s="127"/>
      <c r="F438" s="128"/>
      <c r="G438" s="128"/>
      <c r="H438" s="128"/>
      <c r="I438" s="127" t="s">
        <v>1344</v>
      </c>
    </row>
    <row r="439" spans="1:9" x14ac:dyDescent="0.2">
      <c r="A439" s="127" t="s">
        <v>1507</v>
      </c>
      <c r="B439" s="127" t="s">
        <v>1508</v>
      </c>
      <c r="C439" s="127" t="s">
        <v>17</v>
      </c>
      <c r="D439" s="127"/>
      <c r="E439" s="127"/>
      <c r="F439" s="128"/>
      <c r="G439" s="128"/>
      <c r="H439" s="128"/>
      <c r="I439" s="127" t="s">
        <v>1344</v>
      </c>
    </row>
    <row r="440" spans="1:9" x14ac:dyDescent="0.2">
      <c r="A440" s="127" t="s">
        <v>1509</v>
      </c>
      <c r="B440" s="127" t="s">
        <v>1510</v>
      </c>
      <c r="C440" s="127" t="s">
        <v>17</v>
      </c>
      <c r="D440" s="127"/>
      <c r="E440" s="127"/>
      <c r="F440" s="128"/>
      <c r="G440" s="128"/>
      <c r="H440" s="128"/>
      <c r="I440" s="127" t="s">
        <v>1344</v>
      </c>
    </row>
    <row r="441" spans="1:9" x14ac:dyDescent="0.2">
      <c r="A441" s="127" t="s">
        <v>1511</v>
      </c>
      <c r="B441" s="127" t="s">
        <v>1512</v>
      </c>
      <c r="C441" s="127" t="s">
        <v>17</v>
      </c>
      <c r="D441" s="127"/>
      <c r="E441" s="127"/>
      <c r="F441" s="128"/>
      <c r="G441" s="128"/>
      <c r="H441" s="128"/>
      <c r="I441" s="127" t="s">
        <v>1344</v>
      </c>
    </row>
    <row r="442" spans="1:9" x14ac:dyDescent="0.2">
      <c r="A442" s="127" t="s">
        <v>1513</v>
      </c>
      <c r="B442" s="127" t="s">
        <v>1514</v>
      </c>
      <c r="C442" s="127" t="s">
        <v>46</v>
      </c>
      <c r="D442" s="127"/>
      <c r="E442" s="127"/>
      <c r="F442" s="128"/>
      <c r="G442" s="128"/>
      <c r="H442" s="128"/>
      <c r="I442" s="127" t="s">
        <v>1344</v>
      </c>
    </row>
    <row r="443" spans="1:9" x14ac:dyDescent="0.2">
      <c r="A443" s="127" t="s">
        <v>267</v>
      </c>
      <c r="B443" s="127" t="s">
        <v>1515</v>
      </c>
      <c r="C443" s="127" t="s">
        <v>17</v>
      </c>
      <c r="D443" s="127"/>
      <c r="E443" s="127"/>
      <c r="F443" s="128"/>
      <c r="G443" s="128"/>
      <c r="H443" s="128"/>
      <c r="I443" s="127" t="s">
        <v>1344</v>
      </c>
    </row>
    <row r="444" spans="1:9" x14ac:dyDescent="0.2">
      <c r="A444" s="127" t="s">
        <v>1516</v>
      </c>
      <c r="B444" s="127" t="s">
        <v>1517</v>
      </c>
      <c r="C444" s="127" t="s">
        <v>46</v>
      </c>
      <c r="D444" s="127"/>
      <c r="E444" s="127"/>
      <c r="F444" s="128"/>
      <c r="G444" s="128"/>
      <c r="H444" s="128"/>
      <c r="I444" s="127" t="s">
        <v>1344</v>
      </c>
    </row>
    <row r="445" spans="1:9" x14ac:dyDescent="0.2">
      <c r="A445" s="127" t="s">
        <v>1518</v>
      </c>
      <c r="B445" s="127" t="s">
        <v>1519</v>
      </c>
      <c r="C445" s="127" t="s">
        <v>17</v>
      </c>
      <c r="D445" s="127"/>
      <c r="E445" s="127"/>
      <c r="F445" s="128"/>
      <c r="G445" s="128"/>
      <c r="H445" s="128"/>
      <c r="I445" s="127" t="s">
        <v>1344</v>
      </c>
    </row>
    <row r="446" spans="1:9" x14ac:dyDescent="0.2">
      <c r="A446" s="127" t="s">
        <v>1520</v>
      </c>
      <c r="B446" s="127" t="s">
        <v>1521</v>
      </c>
      <c r="C446" s="127" t="s">
        <v>17</v>
      </c>
      <c r="D446" s="127"/>
      <c r="E446" s="127"/>
      <c r="F446" s="128"/>
      <c r="G446" s="128"/>
      <c r="H446" s="128"/>
      <c r="I446" s="127" t="s">
        <v>1344</v>
      </c>
    </row>
    <row r="447" spans="1:9" x14ac:dyDescent="0.2">
      <c r="A447" s="127" t="s">
        <v>1520</v>
      </c>
      <c r="B447" s="127" t="s">
        <v>1522</v>
      </c>
      <c r="C447" s="127" t="s">
        <v>17</v>
      </c>
      <c r="D447" s="127"/>
      <c r="E447" s="127"/>
      <c r="F447" s="128"/>
      <c r="G447" s="128"/>
      <c r="H447" s="128"/>
      <c r="I447" s="127" t="s">
        <v>1344</v>
      </c>
    </row>
    <row r="448" spans="1:9" x14ac:dyDescent="0.2">
      <c r="A448" s="127" t="s">
        <v>1523</v>
      </c>
      <c r="B448" s="127" t="s">
        <v>1524</v>
      </c>
      <c r="C448" s="127" t="s">
        <v>17</v>
      </c>
      <c r="D448" s="127"/>
      <c r="E448" s="127"/>
      <c r="F448" s="128"/>
      <c r="G448" s="128"/>
      <c r="H448" s="128"/>
      <c r="I448" s="127" t="s">
        <v>1344</v>
      </c>
    </row>
    <row r="449" spans="1:9" x14ac:dyDescent="0.2">
      <c r="A449" s="127" t="s">
        <v>1525</v>
      </c>
      <c r="B449" s="127" t="s">
        <v>1526</v>
      </c>
      <c r="C449" s="127" t="s">
        <v>17</v>
      </c>
      <c r="D449" s="127"/>
      <c r="E449" s="127"/>
      <c r="F449" s="128"/>
      <c r="G449" s="128"/>
      <c r="H449" s="128"/>
      <c r="I449" s="127" t="s">
        <v>1344</v>
      </c>
    </row>
    <row r="450" spans="1:9" x14ac:dyDescent="0.2">
      <c r="A450" s="127" t="s">
        <v>1527</v>
      </c>
      <c r="B450" s="127" t="s">
        <v>1528</v>
      </c>
      <c r="C450" s="127" t="s">
        <v>17</v>
      </c>
      <c r="D450" s="127"/>
      <c r="E450" s="127"/>
      <c r="F450" s="128"/>
      <c r="G450" s="128"/>
      <c r="H450" s="128"/>
      <c r="I450" s="127" t="s">
        <v>1344</v>
      </c>
    </row>
    <row r="451" spans="1:9" x14ac:dyDescent="0.2">
      <c r="A451" s="127" t="s">
        <v>1529</v>
      </c>
      <c r="B451" s="127" t="s">
        <v>1530</v>
      </c>
      <c r="C451" s="127" t="s">
        <v>17</v>
      </c>
      <c r="D451" s="127"/>
      <c r="E451" s="127"/>
      <c r="F451" s="128"/>
      <c r="G451" s="128"/>
      <c r="H451" s="128"/>
      <c r="I451" s="127" t="s">
        <v>1344</v>
      </c>
    </row>
    <row r="452" spans="1:9" x14ac:dyDescent="0.2">
      <c r="A452" s="127" t="s">
        <v>1531</v>
      </c>
      <c r="B452" s="127" t="s">
        <v>1532</v>
      </c>
      <c r="C452" s="127" t="s">
        <v>17</v>
      </c>
      <c r="D452" s="127"/>
      <c r="E452" s="127"/>
      <c r="F452" s="128"/>
      <c r="G452" s="128"/>
      <c r="H452" s="128"/>
      <c r="I452" s="127" t="s">
        <v>1344</v>
      </c>
    </row>
    <row r="453" spans="1:9" x14ac:dyDescent="0.2">
      <c r="A453" s="127" t="s">
        <v>1533</v>
      </c>
      <c r="B453" s="127" t="s">
        <v>1534</v>
      </c>
      <c r="C453" s="127" t="s">
        <v>46</v>
      </c>
      <c r="D453" s="127"/>
      <c r="E453" s="127"/>
      <c r="F453" s="128"/>
      <c r="G453" s="128"/>
      <c r="H453" s="128"/>
      <c r="I453" s="127" t="s">
        <v>1344</v>
      </c>
    </row>
    <row r="454" spans="1:9" x14ac:dyDescent="0.2">
      <c r="A454" s="127" t="s">
        <v>1535</v>
      </c>
      <c r="B454" s="127" t="s">
        <v>1536</v>
      </c>
      <c r="C454" s="127" t="s">
        <v>46</v>
      </c>
      <c r="D454" s="127"/>
      <c r="E454" s="127"/>
      <c r="F454" s="128"/>
      <c r="G454" s="128"/>
      <c r="H454" s="128"/>
      <c r="I454" s="127" t="s">
        <v>1344</v>
      </c>
    </row>
    <row r="455" spans="1:9" x14ac:dyDescent="0.2">
      <c r="A455" s="127" t="s">
        <v>1537</v>
      </c>
      <c r="B455" s="127" t="s">
        <v>1538</v>
      </c>
      <c r="C455" s="127" t="s">
        <v>22</v>
      </c>
      <c r="D455" s="127"/>
      <c r="E455" s="127"/>
      <c r="F455" s="128"/>
      <c r="G455" s="128"/>
      <c r="H455" s="128"/>
      <c r="I455" s="127" t="s">
        <v>1344</v>
      </c>
    </row>
    <row r="456" spans="1:9" x14ac:dyDescent="0.2">
      <c r="A456" s="127" t="s">
        <v>1539</v>
      </c>
      <c r="B456" s="127" t="s">
        <v>1540</v>
      </c>
      <c r="C456" s="127" t="s">
        <v>46</v>
      </c>
      <c r="D456" s="127"/>
      <c r="E456" s="127"/>
      <c r="F456" s="128"/>
      <c r="G456" s="128"/>
      <c r="H456" s="128"/>
      <c r="I456" s="127" t="s">
        <v>1344</v>
      </c>
    </row>
    <row r="457" spans="1:9" x14ac:dyDescent="0.2">
      <c r="A457" s="127" t="s">
        <v>1541</v>
      </c>
      <c r="B457" s="127" t="s">
        <v>1542</v>
      </c>
      <c r="C457" s="127" t="s">
        <v>17</v>
      </c>
      <c r="D457" s="127"/>
      <c r="E457" s="127"/>
      <c r="F457" s="128"/>
      <c r="G457" s="128"/>
      <c r="H457" s="128"/>
      <c r="I457" s="127" t="s">
        <v>1344</v>
      </c>
    </row>
    <row r="458" spans="1:9" x14ac:dyDescent="0.2">
      <c r="A458" s="127" t="s">
        <v>1543</v>
      </c>
      <c r="B458" s="127" t="s">
        <v>1544</v>
      </c>
      <c r="C458" s="127" t="s">
        <v>46</v>
      </c>
      <c r="D458" s="127"/>
      <c r="E458" s="127"/>
      <c r="F458" s="128"/>
      <c r="G458" s="128"/>
      <c r="H458" s="128"/>
      <c r="I458" s="127" t="s">
        <v>1344</v>
      </c>
    </row>
    <row r="459" spans="1:9" x14ac:dyDescent="0.2">
      <c r="A459" s="127" t="s">
        <v>1545</v>
      </c>
      <c r="B459" s="127" t="s">
        <v>1546</v>
      </c>
      <c r="C459" s="127" t="s">
        <v>46</v>
      </c>
      <c r="D459" s="127"/>
      <c r="E459" s="127"/>
      <c r="F459" s="128"/>
      <c r="G459" s="128"/>
      <c r="H459" s="128"/>
      <c r="I459" s="127" t="s">
        <v>1344</v>
      </c>
    </row>
    <row r="460" spans="1:9" x14ac:dyDescent="0.2">
      <c r="A460" s="127"/>
      <c r="B460" s="127" t="s">
        <v>1547</v>
      </c>
      <c r="C460" s="127" t="s">
        <v>22</v>
      </c>
      <c r="D460" s="127"/>
      <c r="E460" s="127"/>
      <c r="F460" s="128"/>
      <c r="G460" s="128"/>
      <c r="H460" s="128"/>
      <c r="I460" s="127" t="s">
        <v>1344</v>
      </c>
    </row>
    <row r="461" spans="1:9" x14ac:dyDescent="0.2">
      <c r="A461" s="127" t="s">
        <v>1548</v>
      </c>
      <c r="B461" s="127" t="s">
        <v>1549</v>
      </c>
      <c r="C461" s="127" t="s">
        <v>46</v>
      </c>
      <c r="D461" s="127"/>
      <c r="E461" s="127"/>
      <c r="F461" s="128"/>
      <c r="G461" s="128"/>
      <c r="H461" s="128"/>
      <c r="I461" s="127" t="s">
        <v>1344</v>
      </c>
    </row>
    <row r="462" spans="1:9" x14ac:dyDescent="0.2">
      <c r="A462" s="127" t="s">
        <v>1550</v>
      </c>
      <c r="B462" s="127" t="s">
        <v>1551</v>
      </c>
      <c r="C462" s="127" t="s">
        <v>46</v>
      </c>
      <c r="D462" s="127"/>
      <c r="E462" s="127"/>
      <c r="F462" s="128"/>
      <c r="G462" s="128"/>
      <c r="H462" s="128"/>
      <c r="I462" s="127" t="s">
        <v>1344</v>
      </c>
    </row>
    <row r="463" spans="1:9" x14ac:dyDescent="0.2">
      <c r="A463" s="127" t="s">
        <v>1552</v>
      </c>
      <c r="B463" s="127" t="s">
        <v>1553</v>
      </c>
      <c r="C463" s="127" t="s">
        <v>22</v>
      </c>
      <c r="D463" s="127"/>
      <c r="E463" s="127"/>
      <c r="F463" s="128"/>
      <c r="G463" s="128"/>
      <c r="H463" s="128"/>
      <c r="I463" s="127" t="s">
        <v>1344</v>
      </c>
    </row>
    <row r="464" spans="1:9" x14ac:dyDescent="0.2">
      <c r="A464" s="127" t="s">
        <v>1554</v>
      </c>
      <c r="B464" s="127" t="s">
        <v>1555</v>
      </c>
      <c r="C464" s="127" t="s">
        <v>17</v>
      </c>
      <c r="D464" s="127"/>
      <c r="E464" s="127"/>
      <c r="F464" s="128"/>
      <c r="G464" s="128"/>
      <c r="H464" s="128"/>
      <c r="I464" s="127" t="s">
        <v>1344</v>
      </c>
    </row>
    <row r="465" spans="1:9" x14ac:dyDescent="0.2">
      <c r="A465" s="127" t="s">
        <v>1556</v>
      </c>
      <c r="B465" s="127" t="s">
        <v>1557</v>
      </c>
      <c r="C465" s="127" t="s">
        <v>17</v>
      </c>
      <c r="D465" s="127"/>
      <c r="E465" s="127"/>
      <c r="F465" s="128"/>
      <c r="G465" s="128"/>
      <c r="H465" s="128"/>
      <c r="I465" s="127" t="s">
        <v>1344</v>
      </c>
    </row>
    <row r="466" spans="1:9" x14ac:dyDescent="0.2">
      <c r="A466" s="127" t="s">
        <v>1558</v>
      </c>
      <c r="B466" s="127" t="s">
        <v>1559</v>
      </c>
      <c r="C466" s="127" t="s">
        <v>46</v>
      </c>
      <c r="D466" s="127"/>
      <c r="E466" s="127"/>
      <c r="F466" s="128"/>
      <c r="G466" s="128"/>
      <c r="H466" s="128"/>
      <c r="I466" s="127" t="s">
        <v>1344</v>
      </c>
    </row>
    <row r="467" spans="1:9" x14ac:dyDescent="0.2">
      <c r="A467" s="127" t="s">
        <v>1560</v>
      </c>
      <c r="B467" s="127" t="s">
        <v>1561</v>
      </c>
      <c r="C467" s="127" t="s">
        <v>17</v>
      </c>
      <c r="D467" s="127"/>
      <c r="E467" s="127"/>
      <c r="F467" s="128"/>
      <c r="G467" s="128"/>
      <c r="H467" s="128"/>
      <c r="I467" s="127" t="s">
        <v>1344</v>
      </c>
    </row>
    <row r="468" spans="1:9" x14ac:dyDescent="0.2">
      <c r="A468" s="127" t="s">
        <v>1562</v>
      </c>
      <c r="B468" s="127" t="s">
        <v>1563</v>
      </c>
      <c r="C468" s="127" t="s">
        <v>46</v>
      </c>
      <c r="D468" s="127"/>
      <c r="E468" s="127"/>
      <c r="F468" s="128"/>
      <c r="G468" s="128"/>
      <c r="H468" s="128"/>
      <c r="I468" s="127" t="s">
        <v>1344</v>
      </c>
    </row>
    <row r="469" spans="1:9" x14ac:dyDescent="0.2">
      <c r="A469" s="127" t="s">
        <v>1564</v>
      </c>
      <c r="B469" s="127" t="s">
        <v>1565</v>
      </c>
      <c r="C469" s="127" t="s">
        <v>17</v>
      </c>
      <c r="D469" s="127"/>
      <c r="E469" s="127"/>
      <c r="F469" s="128"/>
      <c r="G469" s="128"/>
      <c r="H469" s="128"/>
      <c r="I469" s="127" t="s">
        <v>1344</v>
      </c>
    </row>
    <row r="470" spans="1:9" x14ac:dyDescent="0.2">
      <c r="A470" s="127" t="s">
        <v>1566</v>
      </c>
      <c r="B470" s="127" t="s">
        <v>1567</v>
      </c>
      <c r="C470" s="127" t="s">
        <v>17</v>
      </c>
      <c r="D470" s="127"/>
      <c r="E470" s="127"/>
      <c r="F470" s="128"/>
      <c r="G470" s="128"/>
      <c r="H470" s="128"/>
      <c r="I470" s="127" t="s">
        <v>1344</v>
      </c>
    </row>
    <row r="471" spans="1:9" x14ac:dyDescent="0.2">
      <c r="A471" s="127"/>
      <c r="B471" s="127" t="s">
        <v>1568</v>
      </c>
      <c r="C471" s="127" t="s">
        <v>22</v>
      </c>
      <c r="D471" s="127"/>
      <c r="E471" s="127"/>
      <c r="F471" s="128"/>
      <c r="G471" s="128"/>
      <c r="H471" s="128"/>
      <c r="I471" s="127" t="s">
        <v>1344</v>
      </c>
    </row>
    <row r="472" spans="1:9" x14ac:dyDescent="0.2">
      <c r="A472" s="127" t="s">
        <v>1569</v>
      </c>
      <c r="B472" s="127" t="s">
        <v>1570</v>
      </c>
      <c r="C472" s="127" t="s">
        <v>46</v>
      </c>
      <c r="D472" s="127"/>
      <c r="E472" s="127"/>
      <c r="F472" s="128"/>
      <c r="G472" s="128"/>
      <c r="H472" s="128"/>
      <c r="I472" s="127" t="s">
        <v>1344</v>
      </c>
    </row>
    <row r="473" spans="1:9" x14ac:dyDescent="0.2">
      <c r="A473" s="127" t="s">
        <v>1571</v>
      </c>
      <c r="B473" s="127" t="s">
        <v>1572</v>
      </c>
      <c r="C473" s="127" t="s">
        <v>17</v>
      </c>
      <c r="D473" s="127"/>
      <c r="E473" s="127"/>
      <c r="F473" s="128"/>
      <c r="G473" s="128"/>
      <c r="H473" s="128"/>
      <c r="I473" s="127" t="s">
        <v>1344</v>
      </c>
    </row>
    <row r="474" spans="1:9" x14ac:dyDescent="0.2">
      <c r="A474" s="127" t="s">
        <v>1573</v>
      </c>
      <c r="B474" s="127" t="s">
        <v>1574</v>
      </c>
      <c r="C474" s="127" t="s">
        <v>17</v>
      </c>
      <c r="D474" s="127"/>
      <c r="E474" s="127"/>
      <c r="F474" s="128"/>
      <c r="G474" s="128"/>
      <c r="H474" s="128"/>
      <c r="I474" s="127" t="s">
        <v>1344</v>
      </c>
    </row>
    <row r="475" spans="1:9" x14ac:dyDescent="0.2">
      <c r="A475" s="127" t="s">
        <v>1575</v>
      </c>
      <c r="B475" s="127" t="s">
        <v>1576</v>
      </c>
      <c r="C475" s="127" t="s">
        <v>46</v>
      </c>
      <c r="D475" s="127"/>
      <c r="E475" s="127"/>
      <c r="F475" s="128"/>
      <c r="G475" s="128"/>
      <c r="H475" s="128"/>
      <c r="I475" s="127" t="s">
        <v>1344</v>
      </c>
    </row>
    <row r="476" spans="1:9" x14ac:dyDescent="0.2">
      <c r="A476" s="127" t="s">
        <v>1577</v>
      </c>
      <c r="B476" s="127" t="s">
        <v>1578</v>
      </c>
      <c r="C476" s="127" t="s">
        <v>17</v>
      </c>
      <c r="D476" s="127"/>
      <c r="E476" s="127"/>
      <c r="F476" s="128"/>
      <c r="G476" s="128"/>
      <c r="H476" s="128"/>
      <c r="I476" s="127" t="s">
        <v>1344</v>
      </c>
    </row>
    <row r="477" spans="1:9" x14ac:dyDescent="0.2">
      <c r="A477" s="127" t="s">
        <v>1579</v>
      </c>
      <c r="B477" s="127" t="s">
        <v>1580</v>
      </c>
      <c r="C477" s="127" t="s">
        <v>17</v>
      </c>
      <c r="D477" s="127"/>
      <c r="E477" s="127"/>
      <c r="F477" s="128"/>
      <c r="G477" s="128"/>
      <c r="H477" s="128"/>
      <c r="I477" s="127" t="s">
        <v>1344</v>
      </c>
    </row>
    <row r="478" spans="1:9" x14ac:dyDescent="0.2">
      <c r="A478" s="127" t="s">
        <v>1581</v>
      </c>
      <c r="B478" s="127" t="s">
        <v>1582</v>
      </c>
      <c r="C478" s="127" t="s">
        <v>46</v>
      </c>
      <c r="D478" s="127"/>
      <c r="E478" s="127"/>
      <c r="F478" s="128"/>
      <c r="G478" s="128"/>
      <c r="H478" s="128"/>
      <c r="I478" s="127" t="s">
        <v>1344</v>
      </c>
    </row>
    <row r="479" spans="1:9" x14ac:dyDescent="0.2">
      <c r="A479" s="127" t="s">
        <v>1583</v>
      </c>
      <c r="B479" s="127" t="s">
        <v>1584</v>
      </c>
      <c r="C479" s="127" t="s">
        <v>46</v>
      </c>
      <c r="D479" s="127"/>
      <c r="E479" s="127"/>
      <c r="F479" s="128"/>
      <c r="G479" s="128"/>
      <c r="H479" s="128"/>
      <c r="I479" s="127" t="s">
        <v>1344</v>
      </c>
    </row>
    <row r="480" spans="1:9" x14ac:dyDescent="0.2">
      <c r="A480" s="127" t="s">
        <v>1585</v>
      </c>
      <c r="B480" s="127" t="s">
        <v>1586</v>
      </c>
      <c r="C480" s="127" t="s">
        <v>46</v>
      </c>
      <c r="D480" s="127"/>
      <c r="E480" s="127"/>
      <c r="F480" s="128"/>
      <c r="G480" s="128"/>
      <c r="H480" s="128"/>
      <c r="I480" s="127" t="s">
        <v>1344</v>
      </c>
    </row>
    <row r="481" spans="1:9" x14ac:dyDescent="0.2">
      <c r="A481" s="127" t="s">
        <v>1587</v>
      </c>
      <c r="B481" s="127" t="s">
        <v>1588</v>
      </c>
      <c r="C481" s="127" t="s">
        <v>22</v>
      </c>
      <c r="D481" s="127"/>
      <c r="E481" s="127"/>
      <c r="F481" s="128"/>
      <c r="G481" s="128"/>
      <c r="H481" s="128"/>
      <c r="I481" s="127" t="s">
        <v>1344</v>
      </c>
    </row>
    <row r="482" spans="1:9" x14ac:dyDescent="0.2">
      <c r="A482" s="127" t="s">
        <v>1589</v>
      </c>
      <c r="B482" s="127" t="s">
        <v>1590</v>
      </c>
      <c r="C482" s="127" t="s">
        <v>17</v>
      </c>
      <c r="D482" s="127"/>
      <c r="E482" s="127"/>
      <c r="F482" s="128"/>
      <c r="G482" s="128"/>
      <c r="H482" s="128"/>
      <c r="I482" s="127" t="s">
        <v>1344</v>
      </c>
    </row>
    <row r="483" spans="1:9" x14ac:dyDescent="0.2">
      <c r="A483" s="127" t="s">
        <v>1591</v>
      </c>
      <c r="B483" s="127" t="s">
        <v>1592</v>
      </c>
      <c r="C483" s="127" t="s">
        <v>46</v>
      </c>
      <c r="D483" s="127"/>
      <c r="E483" s="127"/>
      <c r="F483" s="128"/>
      <c r="G483" s="128"/>
      <c r="H483" s="128"/>
      <c r="I483" s="127" t="s">
        <v>1344</v>
      </c>
    </row>
    <row r="484" spans="1:9" x14ac:dyDescent="0.2">
      <c r="A484" s="127"/>
      <c r="B484" s="127" t="s">
        <v>1593</v>
      </c>
      <c r="C484" s="127" t="s">
        <v>46</v>
      </c>
      <c r="D484" s="127"/>
      <c r="E484" s="127"/>
      <c r="F484" s="128"/>
      <c r="G484" s="128"/>
      <c r="H484" s="128"/>
      <c r="I484" s="127" t="s">
        <v>1344</v>
      </c>
    </row>
    <row r="485" spans="1:9" x14ac:dyDescent="0.2">
      <c r="A485" s="127" t="s">
        <v>1478</v>
      </c>
      <c r="B485" s="127" t="s">
        <v>1594</v>
      </c>
      <c r="C485" s="127" t="s">
        <v>46</v>
      </c>
      <c r="D485" s="127"/>
      <c r="E485" s="127"/>
      <c r="F485" s="128"/>
      <c r="G485" s="128"/>
      <c r="H485" s="128"/>
      <c r="I485" s="127" t="s">
        <v>1344</v>
      </c>
    </row>
    <row r="486" spans="1:9" x14ac:dyDescent="0.2">
      <c r="A486" s="127" t="s">
        <v>1492</v>
      </c>
      <c r="B486" s="127" t="s">
        <v>1595</v>
      </c>
      <c r="C486" s="127" t="s">
        <v>46</v>
      </c>
      <c r="D486" s="127"/>
      <c r="E486" s="127"/>
      <c r="F486" s="128"/>
      <c r="G486" s="128"/>
      <c r="H486" s="128"/>
      <c r="I486" s="127" t="s">
        <v>1344</v>
      </c>
    </row>
    <row r="487" spans="1:9" x14ac:dyDescent="0.2">
      <c r="A487" s="127" t="s">
        <v>1596</v>
      </c>
      <c r="B487" s="127" t="s">
        <v>1597</v>
      </c>
      <c r="C487" s="127" t="s">
        <v>46</v>
      </c>
      <c r="D487" s="127"/>
      <c r="E487" s="127"/>
      <c r="F487" s="128"/>
      <c r="G487" s="128"/>
      <c r="H487" s="128"/>
      <c r="I487" s="127" t="s">
        <v>1344</v>
      </c>
    </row>
    <row r="488" spans="1:9" x14ac:dyDescent="0.2">
      <c r="A488" s="127" t="s">
        <v>1598</v>
      </c>
      <c r="B488" s="127" t="s">
        <v>1599</v>
      </c>
      <c r="C488" s="127" t="s">
        <v>22</v>
      </c>
      <c r="D488" s="127"/>
      <c r="E488" s="127"/>
      <c r="F488" s="128"/>
      <c r="G488" s="128"/>
      <c r="H488" s="128"/>
      <c r="I488" s="127" t="s">
        <v>1344</v>
      </c>
    </row>
    <row r="489" spans="1:9" x14ac:dyDescent="0.2">
      <c r="A489" s="127" t="s">
        <v>1600</v>
      </c>
      <c r="B489" s="127" t="s">
        <v>1601</v>
      </c>
      <c r="C489" s="127" t="s">
        <v>46</v>
      </c>
      <c r="D489" s="127"/>
      <c r="E489" s="127"/>
      <c r="F489" s="128"/>
      <c r="G489" s="128"/>
      <c r="H489" s="128"/>
      <c r="I489" s="127" t="s">
        <v>1344</v>
      </c>
    </row>
    <row r="490" spans="1:9" x14ac:dyDescent="0.2">
      <c r="A490" s="127" t="s">
        <v>1602</v>
      </c>
      <c r="B490" s="127" t="s">
        <v>1603</v>
      </c>
      <c r="C490" s="127" t="s">
        <v>46</v>
      </c>
      <c r="D490" s="127"/>
      <c r="E490" s="127"/>
      <c r="F490" s="128"/>
      <c r="G490" s="128"/>
      <c r="H490" s="128"/>
      <c r="I490" s="127" t="s">
        <v>1344</v>
      </c>
    </row>
    <row r="491" spans="1:9" x14ac:dyDescent="0.2">
      <c r="A491" s="127" t="s">
        <v>1604</v>
      </c>
      <c r="B491" s="127" t="s">
        <v>1605</v>
      </c>
      <c r="C491" s="127" t="s">
        <v>46</v>
      </c>
      <c r="D491" s="127"/>
      <c r="E491" s="127"/>
      <c r="F491" s="128"/>
      <c r="G491" s="128"/>
      <c r="H491" s="128"/>
      <c r="I491" s="127" t="s">
        <v>1344</v>
      </c>
    </row>
    <row r="492" spans="1:9" x14ac:dyDescent="0.2">
      <c r="A492" s="127" t="s">
        <v>1606</v>
      </c>
      <c r="B492" s="127" t="s">
        <v>1607</v>
      </c>
      <c r="C492" s="127" t="s">
        <v>17</v>
      </c>
      <c r="D492" s="127"/>
      <c r="E492" s="127"/>
      <c r="F492" s="128"/>
      <c r="G492" s="128"/>
      <c r="H492" s="128"/>
      <c r="I492" s="127" t="s">
        <v>1344</v>
      </c>
    </row>
    <row r="493" spans="1:9" x14ac:dyDescent="0.2">
      <c r="A493" s="127" t="s">
        <v>1608</v>
      </c>
      <c r="B493" s="127" t="s">
        <v>1609</v>
      </c>
      <c r="C493" s="127" t="s">
        <v>22</v>
      </c>
      <c r="D493" s="127"/>
      <c r="E493" s="127"/>
      <c r="F493" s="128"/>
      <c r="G493" s="128"/>
      <c r="H493" s="128"/>
      <c r="I493" s="127" t="s">
        <v>1344</v>
      </c>
    </row>
    <row r="494" spans="1:9" x14ac:dyDescent="0.2">
      <c r="A494" s="127" t="s">
        <v>1610</v>
      </c>
      <c r="B494" s="127" t="s">
        <v>1611</v>
      </c>
      <c r="C494" s="127" t="s">
        <v>22</v>
      </c>
      <c r="D494" s="127"/>
      <c r="E494" s="127"/>
      <c r="F494" s="128"/>
      <c r="G494" s="128"/>
      <c r="H494" s="128"/>
      <c r="I494" s="127" t="s">
        <v>1344</v>
      </c>
    </row>
    <row r="495" spans="1:9" x14ac:dyDescent="0.2">
      <c r="A495" s="127" t="s">
        <v>1612</v>
      </c>
      <c r="B495" s="127" t="s">
        <v>1613</v>
      </c>
      <c r="C495" s="127" t="s">
        <v>46</v>
      </c>
      <c r="D495" s="127"/>
      <c r="E495" s="127"/>
      <c r="F495" s="128"/>
      <c r="G495" s="128"/>
      <c r="H495" s="128"/>
      <c r="I495" s="127" t="s">
        <v>1344</v>
      </c>
    </row>
    <row r="496" spans="1:9" x14ac:dyDescent="0.2">
      <c r="A496" s="127" t="s">
        <v>1614</v>
      </c>
      <c r="B496" s="127" t="s">
        <v>1615</v>
      </c>
      <c r="C496" s="127" t="s">
        <v>46</v>
      </c>
      <c r="D496" s="127"/>
      <c r="E496" s="127"/>
      <c r="F496" s="128"/>
      <c r="G496" s="128"/>
      <c r="H496" s="128"/>
      <c r="I496" s="127" t="s">
        <v>1344</v>
      </c>
    </row>
    <row r="497" spans="1:9" x14ac:dyDescent="0.2">
      <c r="A497" s="127" t="s">
        <v>1616</v>
      </c>
      <c r="B497" s="127" t="s">
        <v>1617</v>
      </c>
      <c r="C497" s="127" t="s">
        <v>46</v>
      </c>
      <c r="D497" s="127"/>
      <c r="E497" s="127"/>
      <c r="F497" s="128"/>
      <c r="G497" s="128"/>
      <c r="H497" s="128"/>
      <c r="I497" s="127" t="s">
        <v>1344</v>
      </c>
    </row>
    <row r="498" spans="1:9" x14ac:dyDescent="0.2">
      <c r="A498" s="127" t="s">
        <v>1618</v>
      </c>
      <c r="B498" s="127" t="s">
        <v>1619</v>
      </c>
      <c r="C498" s="127" t="s">
        <v>22</v>
      </c>
      <c r="D498" s="127"/>
      <c r="E498" s="127"/>
      <c r="F498" s="128"/>
      <c r="G498" s="128"/>
      <c r="H498" s="128"/>
      <c r="I498" s="127" t="s">
        <v>1344</v>
      </c>
    </row>
    <row r="499" spans="1:9" x14ac:dyDescent="0.2">
      <c r="A499" s="127" t="s">
        <v>1620</v>
      </c>
      <c r="B499" s="127" t="s">
        <v>1621</v>
      </c>
      <c r="C499" s="127" t="s">
        <v>46</v>
      </c>
      <c r="D499" s="127"/>
      <c r="E499" s="127"/>
      <c r="F499" s="128"/>
      <c r="G499" s="128"/>
      <c r="H499" s="128"/>
      <c r="I499" s="127" t="s">
        <v>1344</v>
      </c>
    </row>
    <row r="500" spans="1:9" x14ac:dyDescent="0.2">
      <c r="A500" s="127" t="s">
        <v>1604</v>
      </c>
      <c r="B500" s="127" t="s">
        <v>1622</v>
      </c>
      <c r="C500" s="127" t="s">
        <v>46</v>
      </c>
      <c r="D500" s="127"/>
      <c r="E500" s="127"/>
      <c r="F500" s="128"/>
      <c r="G500" s="128"/>
      <c r="H500" s="128"/>
      <c r="I500" s="127" t="s">
        <v>1344</v>
      </c>
    </row>
    <row r="501" spans="1:9" x14ac:dyDescent="0.2">
      <c r="A501" s="127" t="s">
        <v>1623</v>
      </c>
      <c r="B501" s="127" t="s">
        <v>1624</v>
      </c>
      <c r="C501" s="127" t="s">
        <v>17</v>
      </c>
      <c r="D501" s="127"/>
      <c r="E501" s="127"/>
      <c r="F501" s="128"/>
      <c r="G501" s="128"/>
      <c r="H501" s="128"/>
      <c r="I501" s="127" t="s">
        <v>1344</v>
      </c>
    </row>
    <row r="502" spans="1:9" x14ac:dyDescent="0.2">
      <c r="A502" s="127" t="s">
        <v>1625</v>
      </c>
      <c r="B502" s="127" t="s">
        <v>1626</v>
      </c>
      <c r="C502" s="127" t="s">
        <v>46</v>
      </c>
      <c r="D502" s="127"/>
      <c r="E502" s="127"/>
      <c r="F502" s="128"/>
      <c r="G502" s="128"/>
      <c r="H502" s="128"/>
      <c r="I502" s="127" t="s">
        <v>1344</v>
      </c>
    </row>
    <row r="503" spans="1:9" x14ac:dyDescent="0.2">
      <c r="A503" s="127" t="s">
        <v>1627</v>
      </c>
      <c r="B503" s="127" t="s">
        <v>1628</v>
      </c>
      <c r="C503" s="127" t="s">
        <v>46</v>
      </c>
      <c r="D503" s="127"/>
      <c r="E503" s="127"/>
      <c r="F503" s="128"/>
      <c r="G503" s="128"/>
      <c r="H503" s="128"/>
      <c r="I503" s="127" t="s">
        <v>1344</v>
      </c>
    </row>
    <row r="504" spans="1:9" x14ac:dyDescent="0.2">
      <c r="A504" s="127" t="s">
        <v>1629</v>
      </c>
      <c r="B504" s="127" t="s">
        <v>1630</v>
      </c>
      <c r="C504" s="127" t="s">
        <v>46</v>
      </c>
      <c r="D504" s="127"/>
      <c r="E504" s="127"/>
      <c r="F504" s="128"/>
      <c r="G504" s="128"/>
      <c r="H504" s="128"/>
      <c r="I504" s="127" t="s">
        <v>1344</v>
      </c>
    </row>
    <row r="505" spans="1:9" x14ac:dyDescent="0.2">
      <c r="A505" s="127" t="s">
        <v>1631</v>
      </c>
      <c r="B505" s="127" t="s">
        <v>1632</v>
      </c>
      <c r="C505" s="127" t="s">
        <v>46</v>
      </c>
      <c r="D505" s="127"/>
      <c r="E505" s="127"/>
      <c r="F505" s="128"/>
      <c r="G505" s="128"/>
      <c r="H505" s="128"/>
      <c r="I505" s="127" t="s">
        <v>1344</v>
      </c>
    </row>
    <row r="506" spans="1:9" x14ac:dyDescent="0.2">
      <c r="A506" s="127" t="s">
        <v>1633</v>
      </c>
      <c r="B506" s="127" t="s">
        <v>1634</v>
      </c>
      <c r="C506" s="127" t="s">
        <v>46</v>
      </c>
      <c r="D506" s="127"/>
      <c r="E506" s="127"/>
      <c r="F506" s="128"/>
      <c r="G506" s="128"/>
      <c r="H506" s="128"/>
      <c r="I506" s="127" t="s">
        <v>1344</v>
      </c>
    </row>
    <row r="507" spans="1:9" x14ac:dyDescent="0.2">
      <c r="A507" s="127" t="s">
        <v>1635</v>
      </c>
      <c r="B507" s="127" t="s">
        <v>1636</v>
      </c>
      <c r="C507" s="127" t="s">
        <v>22</v>
      </c>
      <c r="D507" s="127"/>
      <c r="E507" s="127"/>
      <c r="F507" s="128"/>
      <c r="G507" s="128"/>
      <c r="H507" s="128"/>
      <c r="I507" s="127" t="s">
        <v>1344</v>
      </c>
    </row>
    <row r="508" spans="1:9" x14ac:dyDescent="0.2">
      <c r="A508" s="127" t="s">
        <v>1637</v>
      </c>
      <c r="B508" s="127" t="s">
        <v>1638</v>
      </c>
      <c r="C508" s="127" t="s">
        <v>46</v>
      </c>
      <c r="D508" s="127"/>
      <c r="E508" s="127"/>
      <c r="F508" s="128"/>
      <c r="G508" s="128"/>
      <c r="H508" s="128"/>
      <c r="I508" s="127" t="s">
        <v>1344</v>
      </c>
    </row>
    <row r="509" spans="1:9" x14ac:dyDescent="0.2">
      <c r="A509" s="127" t="s">
        <v>1639</v>
      </c>
      <c r="B509" s="127" t="s">
        <v>1640</v>
      </c>
      <c r="C509" s="127" t="s">
        <v>22</v>
      </c>
      <c r="D509" s="127"/>
      <c r="E509" s="127"/>
      <c r="F509" s="128"/>
      <c r="G509" s="128"/>
      <c r="H509" s="128"/>
      <c r="I509" s="127" t="s">
        <v>1344</v>
      </c>
    </row>
    <row r="510" spans="1:9" x14ac:dyDescent="0.2">
      <c r="A510" s="127" t="s">
        <v>1641</v>
      </c>
      <c r="B510" s="127" t="s">
        <v>1642</v>
      </c>
      <c r="C510" s="127" t="s">
        <v>46</v>
      </c>
      <c r="D510" s="127"/>
      <c r="E510" s="127"/>
      <c r="F510" s="128"/>
      <c r="G510" s="128"/>
      <c r="H510" s="128"/>
      <c r="I510" s="127" t="s">
        <v>1344</v>
      </c>
    </row>
    <row r="511" spans="1:9" x14ac:dyDescent="0.2">
      <c r="A511" s="127" t="s">
        <v>1643</v>
      </c>
      <c r="B511" s="127" t="s">
        <v>1644</v>
      </c>
      <c r="C511" s="127" t="s">
        <v>46</v>
      </c>
      <c r="D511" s="127"/>
      <c r="E511" s="127"/>
      <c r="F511" s="128"/>
      <c r="G511" s="128"/>
      <c r="H511" s="128"/>
      <c r="I511" s="127" t="s">
        <v>1344</v>
      </c>
    </row>
    <row r="512" spans="1:9" x14ac:dyDescent="0.2">
      <c r="A512" s="127" t="s">
        <v>1645</v>
      </c>
      <c r="B512" s="127" t="s">
        <v>1646</v>
      </c>
      <c r="C512" s="127" t="s">
        <v>17</v>
      </c>
      <c r="D512" s="127"/>
      <c r="E512" s="127"/>
      <c r="F512" s="128"/>
      <c r="G512" s="128"/>
      <c r="H512" s="128"/>
      <c r="I512" s="127" t="s">
        <v>1344</v>
      </c>
    </row>
    <row r="513" spans="1:9" x14ac:dyDescent="0.2">
      <c r="A513" s="127" t="s">
        <v>1647</v>
      </c>
      <c r="B513" s="127" t="s">
        <v>1648</v>
      </c>
      <c r="C513" s="127" t="s">
        <v>46</v>
      </c>
      <c r="D513" s="127"/>
      <c r="E513" s="127"/>
      <c r="F513" s="128"/>
      <c r="G513" s="128"/>
      <c r="H513" s="128"/>
      <c r="I513" s="127" t="s">
        <v>1344</v>
      </c>
    </row>
    <row r="514" spans="1:9" x14ac:dyDescent="0.2">
      <c r="A514" s="127" t="s">
        <v>1649</v>
      </c>
      <c r="B514" s="127" t="s">
        <v>1650</v>
      </c>
      <c r="C514" s="127" t="s">
        <v>46</v>
      </c>
      <c r="D514" s="127"/>
      <c r="E514" s="127"/>
      <c r="F514" s="128"/>
      <c r="G514" s="128"/>
      <c r="H514" s="128"/>
      <c r="I514" s="127" t="s">
        <v>1344</v>
      </c>
    </row>
    <row r="515" spans="1:9" x14ac:dyDescent="0.2">
      <c r="A515" s="127" t="s">
        <v>1453</v>
      </c>
      <c r="B515" s="127" t="s">
        <v>1651</v>
      </c>
      <c r="C515" s="127" t="s">
        <v>46</v>
      </c>
      <c r="D515" s="127"/>
      <c r="E515" s="127"/>
      <c r="F515" s="128"/>
      <c r="G515" s="128"/>
      <c r="H515" s="128"/>
      <c r="I515" s="127" t="s">
        <v>1344</v>
      </c>
    </row>
    <row r="516" spans="1:9" x14ac:dyDescent="0.2">
      <c r="A516" s="127" t="s">
        <v>1652</v>
      </c>
      <c r="B516" s="127" t="s">
        <v>1653</v>
      </c>
      <c r="C516" s="127" t="s">
        <v>46</v>
      </c>
      <c r="D516" s="127"/>
      <c r="E516" s="127"/>
      <c r="F516" s="128"/>
      <c r="G516" s="128"/>
      <c r="H516" s="128"/>
      <c r="I516" s="127" t="s">
        <v>1344</v>
      </c>
    </row>
    <row r="517" spans="1:9" x14ac:dyDescent="0.2">
      <c r="A517" s="127" t="s">
        <v>1654</v>
      </c>
      <c r="B517" s="127" t="s">
        <v>1655</v>
      </c>
      <c r="C517" s="127" t="s">
        <v>46</v>
      </c>
      <c r="D517" s="127"/>
      <c r="E517" s="127"/>
      <c r="F517" s="128"/>
      <c r="G517" s="128"/>
      <c r="H517" s="128"/>
      <c r="I517" s="127" t="s">
        <v>1344</v>
      </c>
    </row>
    <row r="518" spans="1:9" x14ac:dyDescent="0.2">
      <c r="A518" s="127" t="s">
        <v>1656</v>
      </c>
      <c r="B518" s="127" t="s">
        <v>1657</v>
      </c>
      <c r="C518" s="127" t="s">
        <v>46</v>
      </c>
      <c r="D518" s="127"/>
      <c r="E518" s="127"/>
      <c r="F518" s="128"/>
      <c r="G518" s="128"/>
      <c r="H518" s="128"/>
      <c r="I518" s="127" t="s">
        <v>1344</v>
      </c>
    </row>
    <row r="519" spans="1:9" x14ac:dyDescent="0.2">
      <c r="A519" s="127" t="s">
        <v>1658</v>
      </c>
      <c r="B519" s="127" t="s">
        <v>1659</v>
      </c>
      <c r="C519" s="127" t="s">
        <v>22</v>
      </c>
      <c r="D519" s="127"/>
      <c r="E519" s="127"/>
      <c r="F519" s="128"/>
      <c r="G519" s="128"/>
      <c r="H519" s="128"/>
      <c r="I519" s="127" t="s">
        <v>1344</v>
      </c>
    </row>
    <row r="520" spans="1:9" x14ac:dyDescent="0.2">
      <c r="A520" s="127" t="s">
        <v>1660</v>
      </c>
      <c r="B520" s="127" t="s">
        <v>1661</v>
      </c>
      <c r="C520" s="127" t="s">
        <v>22</v>
      </c>
      <c r="D520" s="127"/>
      <c r="E520" s="127"/>
      <c r="F520" s="128"/>
      <c r="G520" s="128"/>
      <c r="H520" s="128"/>
      <c r="I520" s="127" t="s">
        <v>1344</v>
      </c>
    </row>
    <row r="521" spans="1:9" x14ac:dyDescent="0.2">
      <c r="A521" s="127" t="s">
        <v>1583</v>
      </c>
      <c r="B521" s="127" t="s">
        <v>1024</v>
      </c>
      <c r="C521" s="127" t="s">
        <v>46</v>
      </c>
      <c r="D521" s="127"/>
      <c r="E521" s="127"/>
      <c r="F521" s="128"/>
      <c r="G521" s="128"/>
      <c r="H521" s="128"/>
      <c r="I521" s="127" t="s">
        <v>1344</v>
      </c>
    </row>
    <row r="522" spans="1:9" x14ac:dyDescent="0.2">
      <c r="A522" s="127" t="s">
        <v>1662</v>
      </c>
      <c r="B522" s="127" t="s">
        <v>1663</v>
      </c>
      <c r="C522" s="127" t="s">
        <v>22</v>
      </c>
      <c r="D522" s="127"/>
      <c r="E522" s="127"/>
      <c r="F522" s="128"/>
      <c r="G522" s="128"/>
      <c r="H522" s="128"/>
      <c r="I522" s="127" t="s">
        <v>1344</v>
      </c>
    </row>
    <row r="523" spans="1:9" x14ac:dyDescent="0.2">
      <c r="A523" s="127" t="s">
        <v>1664</v>
      </c>
      <c r="B523" s="127" t="s">
        <v>1665</v>
      </c>
      <c r="C523" s="127" t="s">
        <v>46</v>
      </c>
      <c r="D523" s="127"/>
      <c r="E523" s="127"/>
      <c r="F523" s="128"/>
      <c r="G523" s="128"/>
      <c r="H523" s="128"/>
      <c r="I523" s="127" t="s">
        <v>1344</v>
      </c>
    </row>
    <row r="524" spans="1:9" x14ac:dyDescent="0.2">
      <c r="A524" s="127" t="s">
        <v>1666</v>
      </c>
      <c r="B524" s="127" t="s">
        <v>1667</v>
      </c>
      <c r="C524" s="127" t="s">
        <v>46</v>
      </c>
      <c r="D524" s="127"/>
      <c r="E524" s="127"/>
      <c r="F524" s="128"/>
      <c r="G524" s="128"/>
      <c r="H524" s="128"/>
      <c r="I524" s="127" t="s">
        <v>1344</v>
      </c>
    </row>
    <row r="525" spans="1:9" x14ac:dyDescent="0.2">
      <c r="A525" s="127" t="s">
        <v>1668</v>
      </c>
      <c r="B525" s="127" t="s">
        <v>1669</v>
      </c>
      <c r="C525" s="127" t="s">
        <v>22</v>
      </c>
      <c r="D525" s="127"/>
      <c r="E525" s="127"/>
      <c r="F525" s="128"/>
      <c r="G525" s="128"/>
      <c r="H525" s="128"/>
      <c r="I525" s="127" t="s">
        <v>1344</v>
      </c>
    </row>
    <row r="526" spans="1:9" x14ac:dyDescent="0.2">
      <c r="A526" s="127" t="s">
        <v>1670</v>
      </c>
      <c r="B526" s="127" t="s">
        <v>1671</v>
      </c>
      <c r="C526" s="127" t="s">
        <v>22</v>
      </c>
      <c r="D526" s="127"/>
      <c r="E526" s="127"/>
      <c r="F526" s="128"/>
      <c r="G526" s="128"/>
      <c r="H526" s="128"/>
      <c r="I526" s="127" t="s">
        <v>1344</v>
      </c>
    </row>
    <row r="527" spans="1:9" x14ac:dyDescent="0.2">
      <c r="A527" s="127" t="s">
        <v>1672</v>
      </c>
      <c r="B527" s="127" t="s">
        <v>1673</v>
      </c>
      <c r="C527" s="127" t="s">
        <v>22</v>
      </c>
      <c r="D527" s="127"/>
      <c r="E527" s="127"/>
      <c r="F527" s="128"/>
      <c r="G527" s="128"/>
      <c r="H527" s="128"/>
      <c r="I527" s="127" t="s">
        <v>1344</v>
      </c>
    </row>
    <row r="528" spans="1:9" x14ac:dyDescent="0.2">
      <c r="A528" s="127" t="s">
        <v>1674</v>
      </c>
      <c r="B528" s="127" t="s">
        <v>1675</v>
      </c>
      <c r="C528" s="127" t="s">
        <v>46</v>
      </c>
      <c r="D528" s="127"/>
      <c r="E528" s="127"/>
      <c r="F528" s="128"/>
      <c r="G528" s="128"/>
      <c r="H528" s="128"/>
      <c r="I528" s="127" t="s">
        <v>1344</v>
      </c>
    </row>
    <row r="529" spans="1:9" x14ac:dyDescent="0.2">
      <c r="A529" s="127" t="s">
        <v>1676</v>
      </c>
      <c r="B529" s="127" t="s">
        <v>1677</v>
      </c>
      <c r="C529" s="127" t="s">
        <v>46</v>
      </c>
      <c r="D529" s="127"/>
      <c r="E529" s="127"/>
      <c r="F529" s="128"/>
      <c r="G529" s="128"/>
      <c r="H529" s="128"/>
      <c r="I529" s="127" t="s">
        <v>1344</v>
      </c>
    </row>
    <row r="530" spans="1:9" x14ac:dyDescent="0.2">
      <c r="A530" s="127" t="s">
        <v>1678</v>
      </c>
      <c r="B530" s="127" t="s">
        <v>1679</v>
      </c>
      <c r="C530" s="127" t="s">
        <v>46</v>
      </c>
      <c r="D530" s="127"/>
      <c r="E530" s="127"/>
      <c r="F530" s="128"/>
      <c r="G530" s="128"/>
      <c r="H530" s="128"/>
      <c r="I530" s="127" t="s">
        <v>1344</v>
      </c>
    </row>
    <row r="531" spans="1:9" x14ac:dyDescent="0.2">
      <c r="A531" s="127" t="s">
        <v>1680</v>
      </c>
      <c r="B531" s="127" t="s">
        <v>1681</v>
      </c>
      <c r="C531" s="127" t="s">
        <v>46</v>
      </c>
      <c r="D531" s="127"/>
      <c r="E531" s="127"/>
      <c r="F531" s="128"/>
      <c r="G531" s="128"/>
      <c r="H531" s="128"/>
      <c r="I531" s="127" t="s">
        <v>1344</v>
      </c>
    </row>
    <row r="532" spans="1:9" x14ac:dyDescent="0.2">
      <c r="A532" s="127" t="s">
        <v>1682</v>
      </c>
      <c r="B532" s="127" t="s">
        <v>1683</v>
      </c>
      <c r="C532" s="127" t="s">
        <v>46</v>
      </c>
      <c r="D532" s="127"/>
      <c r="E532" s="127"/>
      <c r="F532" s="128"/>
      <c r="G532" s="128"/>
      <c r="H532" s="128"/>
      <c r="I532" s="127" t="s">
        <v>1344</v>
      </c>
    </row>
    <row r="533" spans="1:9" x14ac:dyDescent="0.2">
      <c r="A533" s="127" t="s">
        <v>1684</v>
      </c>
      <c r="B533" s="127" t="s">
        <v>1685</v>
      </c>
      <c r="C533" s="127" t="s">
        <v>22</v>
      </c>
      <c r="D533" s="127"/>
      <c r="E533" s="127"/>
      <c r="F533" s="128"/>
      <c r="G533" s="128"/>
      <c r="H533" s="128"/>
      <c r="I533" s="127" t="s">
        <v>1344</v>
      </c>
    </row>
    <row r="534" spans="1:9" x14ac:dyDescent="0.2">
      <c r="A534" s="127" t="s">
        <v>1686</v>
      </c>
      <c r="B534" s="127" t="s">
        <v>1687</v>
      </c>
      <c r="C534" s="127" t="s">
        <v>46</v>
      </c>
      <c r="D534" s="127"/>
      <c r="E534" s="127"/>
      <c r="F534" s="128"/>
      <c r="G534" s="128"/>
      <c r="H534" s="128"/>
      <c r="I534" s="127" t="s">
        <v>1344</v>
      </c>
    </row>
    <row r="535" spans="1:9" x14ac:dyDescent="0.2">
      <c r="A535" s="127" t="s">
        <v>1688</v>
      </c>
      <c r="B535" s="127" t="s">
        <v>1689</v>
      </c>
      <c r="C535" s="127" t="s">
        <v>46</v>
      </c>
      <c r="D535" s="127"/>
      <c r="E535" s="127"/>
      <c r="F535" s="128"/>
      <c r="G535" s="128"/>
      <c r="H535" s="128"/>
      <c r="I535" s="127" t="s">
        <v>1344</v>
      </c>
    </row>
    <row r="536" spans="1:9" x14ac:dyDescent="0.2">
      <c r="A536" s="127"/>
      <c r="B536" s="127" t="s">
        <v>1690</v>
      </c>
      <c r="C536" s="127" t="s">
        <v>46</v>
      </c>
      <c r="D536" s="127"/>
      <c r="E536" s="127"/>
      <c r="F536" s="128"/>
      <c r="G536" s="128"/>
      <c r="H536" s="128"/>
      <c r="I536" s="127" t="s">
        <v>1344</v>
      </c>
    </row>
    <row r="537" spans="1:9" x14ac:dyDescent="0.2">
      <c r="A537" s="127"/>
      <c r="B537" s="127" t="s">
        <v>1691</v>
      </c>
      <c r="C537" s="127" t="s">
        <v>22</v>
      </c>
      <c r="D537" s="127"/>
      <c r="E537" s="127"/>
      <c r="F537" s="128"/>
      <c r="G537" s="128"/>
      <c r="H537" s="128"/>
      <c r="I537" s="127" t="s">
        <v>1344</v>
      </c>
    </row>
    <row r="538" spans="1:9" x14ac:dyDescent="0.2">
      <c r="A538" s="127" t="s">
        <v>1692</v>
      </c>
      <c r="B538" s="127" t="s">
        <v>1693</v>
      </c>
      <c r="C538" s="127" t="s">
        <v>46</v>
      </c>
      <c r="D538" s="127"/>
      <c r="E538" s="127"/>
      <c r="F538" s="128"/>
      <c r="G538" s="128"/>
      <c r="H538" s="128"/>
      <c r="I538" s="127" t="s">
        <v>1344</v>
      </c>
    </row>
    <row r="539" spans="1:9" x14ac:dyDescent="0.2">
      <c r="A539" s="127" t="s">
        <v>1694</v>
      </c>
      <c r="B539" s="127" t="s">
        <v>1695</v>
      </c>
      <c r="C539" s="127" t="s">
        <v>46</v>
      </c>
      <c r="D539" s="127"/>
      <c r="E539" s="127"/>
      <c r="F539" s="128"/>
      <c r="G539" s="128"/>
      <c r="H539" s="128"/>
      <c r="I539" s="127" t="s">
        <v>1344</v>
      </c>
    </row>
    <row r="540" spans="1:9" x14ac:dyDescent="0.2">
      <c r="A540" s="127" t="s">
        <v>1696</v>
      </c>
      <c r="B540" s="127" t="s">
        <v>1697</v>
      </c>
      <c r="C540" s="127" t="s">
        <v>46</v>
      </c>
      <c r="D540" s="127"/>
      <c r="E540" s="127"/>
      <c r="F540" s="128"/>
      <c r="G540" s="128"/>
      <c r="H540" s="128"/>
      <c r="I540" s="127" t="s">
        <v>1344</v>
      </c>
    </row>
    <row r="541" spans="1:9" x14ac:dyDescent="0.2">
      <c r="A541" s="127"/>
      <c r="B541" s="127" t="s">
        <v>1698</v>
      </c>
      <c r="C541" s="127" t="s">
        <v>22</v>
      </c>
      <c r="D541" s="127"/>
      <c r="E541" s="127"/>
      <c r="F541" s="128"/>
      <c r="G541" s="128"/>
      <c r="H541" s="128"/>
      <c r="I541" s="127" t="s">
        <v>1344</v>
      </c>
    </row>
    <row r="542" spans="1:9" x14ac:dyDescent="0.2">
      <c r="A542" s="127" t="s">
        <v>1699</v>
      </c>
      <c r="B542" s="127" t="s">
        <v>1700</v>
      </c>
      <c r="C542" s="127" t="s">
        <v>46</v>
      </c>
      <c r="D542" s="127"/>
      <c r="E542" s="127"/>
      <c r="F542" s="128"/>
      <c r="G542" s="128"/>
      <c r="H542" s="128"/>
      <c r="I542" s="127" t="s">
        <v>1344</v>
      </c>
    </row>
    <row r="543" spans="1:9" x14ac:dyDescent="0.2">
      <c r="A543" s="127" t="s">
        <v>1701</v>
      </c>
      <c r="B543" s="127" t="s">
        <v>1702</v>
      </c>
      <c r="C543" s="127" t="s">
        <v>17</v>
      </c>
      <c r="D543" s="127"/>
      <c r="E543" s="127"/>
      <c r="F543" s="128"/>
      <c r="G543" s="128"/>
      <c r="H543" s="128"/>
      <c r="I543" s="127" t="s">
        <v>1344</v>
      </c>
    </row>
    <row r="544" spans="1:9" x14ac:dyDescent="0.2">
      <c r="A544" s="127" t="s">
        <v>1703</v>
      </c>
      <c r="B544" s="127" t="s">
        <v>1704</v>
      </c>
      <c r="C544" s="127" t="s">
        <v>22</v>
      </c>
      <c r="D544" s="127"/>
      <c r="E544" s="127"/>
      <c r="F544" s="128"/>
      <c r="G544" s="128"/>
      <c r="H544" s="128"/>
      <c r="I544" s="127" t="s">
        <v>1344</v>
      </c>
    </row>
    <row r="545" spans="1:9" x14ac:dyDescent="0.2">
      <c r="A545" s="127" t="s">
        <v>1705</v>
      </c>
      <c r="B545" s="127" t="s">
        <v>1706</v>
      </c>
      <c r="C545" s="127" t="s">
        <v>22</v>
      </c>
      <c r="D545" s="127"/>
      <c r="E545" s="127"/>
      <c r="F545" s="128"/>
      <c r="G545" s="128"/>
      <c r="H545" s="128"/>
      <c r="I545" s="127" t="s">
        <v>1344</v>
      </c>
    </row>
    <row r="546" spans="1:9" x14ac:dyDescent="0.2">
      <c r="A546" s="127" t="s">
        <v>1707</v>
      </c>
      <c r="B546" s="127" t="s">
        <v>1708</v>
      </c>
      <c r="C546" s="127" t="s">
        <v>22</v>
      </c>
      <c r="D546" s="127"/>
      <c r="E546" s="127"/>
      <c r="F546" s="128"/>
      <c r="G546" s="128"/>
      <c r="H546" s="128"/>
      <c r="I546" s="127" t="s">
        <v>1344</v>
      </c>
    </row>
    <row r="547" spans="1:9" x14ac:dyDescent="0.2">
      <c r="A547" s="127" t="s">
        <v>1709</v>
      </c>
      <c r="B547" s="127" t="s">
        <v>1710</v>
      </c>
      <c r="C547" s="127" t="s">
        <v>22</v>
      </c>
      <c r="D547" s="127"/>
      <c r="E547" s="127"/>
      <c r="F547" s="128"/>
      <c r="G547" s="128"/>
      <c r="H547" s="128"/>
      <c r="I547" s="127" t="s">
        <v>1344</v>
      </c>
    </row>
    <row r="548" spans="1:9" x14ac:dyDescent="0.2">
      <c r="A548" s="127" t="s">
        <v>1711</v>
      </c>
      <c r="B548" s="127" t="s">
        <v>1712</v>
      </c>
      <c r="C548" s="127" t="s">
        <v>22</v>
      </c>
      <c r="D548" s="127"/>
      <c r="E548" s="127"/>
      <c r="F548" s="128"/>
      <c r="G548" s="128"/>
      <c r="H548" s="128"/>
      <c r="I548" s="127" t="s">
        <v>1344</v>
      </c>
    </row>
    <row r="549" spans="1:9" x14ac:dyDescent="0.2">
      <c r="A549" s="127" t="s">
        <v>1713</v>
      </c>
      <c r="B549" s="127" t="s">
        <v>1714</v>
      </c>
      <c r="C549" s="127" t="s">
        <v>46</v>
      </c>
      <c r="D549" s="127"/>
      <c r="E549" s="127"/>
      <c r="F549" s="128"/>
      <c r="G549" s="128"/>
      <c r="H549" s="128"/>
      <c r="I549" s="127" t="s">
        <v>1344</v>
      </c>
    </row>
    <row r="550" spans="1:9" x14ac:dyDescent="0.2">
      <c r="A550" s="127" t="s">
        <v>1715</v>
      </c>
      <c r="B550" s="127" t="s">
        <v>1716</v>
      </c>
      <c r="C550" s="127" t="s">
        <v>17</v>
      </c>
      <c r="D550" s="127"/>
      <c r="E550" s="127"/>
      <c r="F550" s="128"/>
      <c r="G550" s="128"/>
      <c r="H550" s="128"/>
      <c r="I550" s="127" t="s">
        <v>1344</v>
      </c>
    </row>
    <row r="551" spans="1:9" x14ac:dyDescent="0.2">
      <c r="A551" s="127" t="s">
        <v>1717</v>
      </c>
      <c r="B551" s="127" t="s">
        <v>1718</v>
      </c>
      <c r="C551" s="127" t="s">
        <v>46</v>
      </c>
      <c r="D551" s="127"/>
      <c r="E551" s="127"/>
      <c r="F551" s="128"/>
      <c r="G551" s="128"/>
      <c r="H551" s="128"/>
      <c r="I551" s="127" t="s">
        <v>1344</v>
      </c>
    </row>
    <row r="552" spans="1:9" x14ac:dyDescent="0.2">
      <c r="A552" s="127" t="s">
        <v>1719</v>
      </c>
      <c r="B552" s="127" t="s">
        <v>1720</v>
      </c>
      <c r="C552" s="127" t="s">
        <v>46</v>
      </c>
      <c r="D552" s="127"/>
      <c r="E552" s="127"/>
      <c r="F552" s="128"/>
      <c r="G552" s="128"/>
      <c r="H552" s="128"/>
      <c r="I552" s="127" t="s">
        <v>1344</v>
      </c>
    </row>
    <row r="553" spans="1:9" x14ac:dyDescent="0.2">
      <c r="A553" s="127" t="s">
        <v>1721</v>
      </c>
      <c r="B553" s="127" t="s">
        <v>1722</v>
      </c>
      <c r="C553" s="127" t="s">
        <v>22</v>
      </c>
      <c r="D553" s="127"/>
      <c r="E553" s="127"/>
      <c r="F553" s="128"/>
      <c r="G553" s="128"/>
      <c r="H553" s="128"/>
      <c r="I553" s="127" t="s">
        <v>1344</v>
      </c>
    </row>
    <row r="554" spans="1:9" x14ac:dyDescent="0.2">
      <c r="A554" s="127" t="s">
        <v>1723</v>
      </c>
      <c r="B554" s="127" t="s">
        <v>1724</v>
      </c>
      <c r="C554" s="127" t="s">
        <v>46</v>
      </c>
      <c r="D554" s="127"/>
      <c r="E554" s="127"/>
      <c r="F554" s="128"/>
      <c r="G554" s="128"/>
      <c r="H554" s="128"/>
      <c r="I554" s="127" t="s">
        <v>1344</v>
      </c>
    </row>
    <row r="555" spans="1:9" x14ac:dyDescent="0.2">
      <c r="A555" s="127" t="s">
        <v>1725</v>
      </c>
      <c r="B555" s="127" t="s">
        <v>1726</v>
      </c>
      <c r="C555" s="127" t="s">
        <v>22</v>
      </c>
      <c r="D555" s="127"/>
      <c r="E555" s="127"/>
      <c r="F555" s="128"/>
      <c r="G555" s="128"/>
      <c r="H555" s="128"/>
      <c r="I555" s="127" t="s">
        <v>1344</v>
      </c>
    </row>
    <row r="556" spans="1:9" x14ac:dyDescent="0.2">
      <c r="A556" s="127" t="s">
        <v>1727</v>
      </c>
      <c r="B556" s="127" t="s">
        <v>1728</v>
      </c>
      <c r="C556" s="127" t="s">
        <v>46</v>
      </c>
      <c r="D556" s="127"/>
      <c r="E556" s="127"/>
      <c r="F556" s="128"/>
      <c r="G556" s="128"/>
      <c r="H556" s="128"/>
      <c r="I556" s="127" t="s">
        <v>1344</v>
      </c>
    </row>
    <row r="557" spans="1:9" x14ac:dyDescent="0.2">
      <c r="A557" s="127" t="s">
        <v>1729</v>
      </c>
      <c r="B557" s="127" t="s">
        <v>1730</v>
      </c>
      <c r="C557" s="127" t="s">
        <v>17</v>
      </c>
      <c r="D557" s="127"/>
      <c r="E557" s="127"/>
      <c r="F557" s="128"/>
      <c r="G557" s="128"/>
      <c r="H557" s="128"/>
      <c r="I557" s="127" t="s">
        <v>1344</v>
      </c>
    </row>
    <row r="558" spans="1:9" x14ac:dyDescent="0.2">
      <c r="A558" s="127" t="s">
        <v>1731</v>
      </c>
      <c r="B558" s="127" t="s">
        <v>1732</v>
      </c>
      <c r="C558" s="127" t="s">
        <v>17</v>
      </c>
      <c r="D558" s="127"/>
      <c r="E558" s="127"/>
      <c r="F558" s="128"/>
      <c r="G558" s="128"/>
      <c r="H558" s="128"/>
      <c r="I558" s="127" t="s">
        <v>1344</v>
      </c>
    </row>
    <row r="559" spans="1:9" x14ac:dyDescent="0.2">
      <c r="A559" s="127" t="s">
        <v>1733</v>
      </c>
      <c r="B559" s="127" t="s">
        <v>1734</v>
      </c>
      <c r="C559" s="127" t="s">
        <v>46</v>
      </c>
      <c r="D559" s="127"/>
      <c r="E559" s="127"/>
      <c r="F559" s="128"/>
      <c r="G559" s="128"/>
      <c r="H559" s="128"/>
      <c r="I559" s="127" t="s">
        <v>1344</v>
      </c>
    </row>
    <row r="560" spans="1:9" x14ac:dyDescent="0.2">
      <c r="A560" s="127" t="s">
        <v>707</v>
      </c>
      <c r="B560" s="127" t="s">
        <v>1735</v>
      </c>
      <c r="C560" s="127" t="s">
        <v>46</v>
      </c>
      <c r="D560" s="127"/>
      <c r="E560" s="127"/>
      <c r="F560" s="128"/>
      <c r="G560" s="128"/>
      <c r="H560" s="128"/>
      <c r="I560" s="127" t="s">
        <v>1344</v>
      </c>
    </row>
    <row r="561" spans="1:9" x14ac:dyDescent="0.2">
      <c r="A561" s="127" t="s">
        <v>1736</v>
      </c>
      <c r="B561" s="127" t="s">
        <v>1737</v>
      </c>
      <c r="C561" s="127" t="s">
        <v>46</v>
      </c>
      <c r="D561" s="127"/>
      <c r="E561" s="127"/>
      <c r="F561" s="128"/>
      <c r="G561" s="128"/>
      <c r="H561" s="128"/>
      <c r="I561" s="127" t="s">
        <v>1344</v>
      </c>
    </row>
    <row r="562" spans="1:9" x14ac:dyDescent="0.2">
      <c r="A562" s="127" t="s">
        <v>154</v>
      </c>
      <c r="B562" s="127" t="s">
        <v>1738</v>
      </c>
      <c r="C562" s="127" t="s">
        <v>22</v>
      </c>
      <c r="D562" s="127"/>
      <c r="E562" s="127"/>
      <c r="F562" s="128"/>
      <c r="G562" s="128"/>
      <c r="H562" s="128"/>
      <c r="I562" s="127" t="s">
        <v>1344</v>
      </c>
    </row>
    <row r="563" spans="1:9" x14ac:dyDescent="0.2">
      <c r="A563" s="127" t="s">
        <v>1739</v>
      </c>
      <c r="B563" s="127" t="s">
        <v>1740</v>
      </c>
      <c r="C563" s="127" t="s">
        <v>46</v>
      </c>
      <c r="D563" s="127"/>
      <c r="E563" s="127"/>
      <c r="F563" s="128"/>
      <c r="G563" s="128"/>
      <c r="H563" s="128"/>
      <c r="I563" s="127" t="s">
        <v>1344</v>
      </c>
    </row>
    <row r="564" spans="1:9" x14ac:dyDescent="0.2">
      <c r="A564" s="127" t="s">
        <v>1741</v>
      </c>
      <c r="B564" s="127" t="s">
        <v>1742</v>
      </c>
      <c r="C564" s="127" t="s">
        <v>22</v>
      </c>
      <c r="D564" s="127"/>
      <c r="E564" s="127"/>
      <c r="F564" s="128"/>
      <c r="G564" s="128"/>
      <c r="H564" s="128"/>
      <c r="I564" s="127" t="s">
        <v>1344</v>
      </c>
    </row>
    <row r="565" spans="1:9" x14ac:dyDescent="0.2">
      <c r="A565" s="127"/>
      <c r="B565" s="127" t="s">
        <v>1743</v>
      </c>
      <c r="C565" s="127" t="s">
        <v>17</v>
      </c>
      <c r="D565" s="127"/>
      <c r="E565" s="127"/>
      <c r="F565" s="128"/>
      <c r="G565" s="128"/>
      <c r="H565" s="128"/>
      <c r="I565" s="127" t="s">
        <v>1344</v>
      </c>
    </row>
    <row r="566" spans="1:9" x14ac:dyDescent="0.2">
      <c r="A566" s="127" t="s">
        <v>1744</v>
      </c>
      <c r="B566" s="127" t="s">
        <v>1745</v>
      </c>
      <c r="C566" s="127" t="s">
        <v>46</v>
      </c>
      <c r="D566" s="127"/>
      <c r="E566" s="127"/>
      <c r="F566" s="128"/>
      <c r="G566" s="128"/>
      <c r="H566" s="128"/>
      <c r="I566" s="127" t="s">
        <v>1344</v>
      </c>
    </row>
    <row r="567" spans="1:9" x14ac:dyDescent="0.2">
      <c r="A567" s="127" t="s">
        <v>1746</v>
      </c>
      <c r="B567" s="127" t="s">
        <v>1747</v>
      </c>
      <c r="C567" s="127" t="s">
        <v>46</v>
      </c>
      <c r="D567" s="127"/>
      <c r="E567" s="127"/>
      <c r="F567" s="128"/>
      <c r="G567" s="128"/>
      <c r="H567" s="128"/>
      <c r="I567" s="127" t="s">
        <v>1344</v>
      </c>
    </row>
    <row r="568" spans="1:9" x14ac:dyDescent="0.2">
      <c r="A568" s="127" t="s">
        <v>1748</v>
      </c>
      <c r="B568" s="127" t="s">
        <v>1749</v>
      </c>
      <c r="C568" s="127" t="s">
        <v>22</v>
      </c>
      <c r="D568" s="127"/>
      <c r="E568" s="127"/>
      <c r="F568" s="128"/>
      <c r="G568" s="128"/>
      <c r="H568" s="128"/>
      <c r="I568" s="127" t="s">
        <v>1344</v>
      </c>
    </row>
    <row r="569" spans="1:9" x14ac:dyDescent="0.2">
      <c r="A569" s="127" t="s">
        <v>1750</v>
      </c>
      <c r="B569" s="127" t="s">
        <v>1751</v>
      </c>
      <c r="C569" s="127" t="s">
        <v>46</v>
      </c>
      <c r="D569" s="127"/>
      <c r="E569" s="127"/>
      <c r="F569" s="128"/>
      <c r="G569" s="128"/>
      <c r="H569" s="128"/>
      <c r="I569" s="127" t="s">
        <v>1344</v>
      </c>
    </row>
    <row r="570" spans="1:9" x14ac:dyDescent="0.2">
      <c r="A570" s="127" t="s">
        <v>1752</v>
      </c>
      <c r="B570" s="127" t="s">
        <v>1753</v>
      </c>
      <c r="C570" s="127" t="s">
        <v>46</v>
      </c>
      <c r="D570" s="127"/>
      <c r="E570" s="127"/>
      <c r="F570" s="128"/>
      <c r="G570" s="128"/>
      <c r="H570" s="128"/>
      <c r="I570" s="127" t="s">
        <v>1344</v>
      </c>
    </row>
    <row r="571" spans="1:9" x14ac:dyDescent="0.2">
      <c r="A571" s="127"/>
      <c r="B571" s="127" t="s">
        <v>1754</v>
      </c>
      <c r="C571" s="127" t="s">
        <v>22</v>
      </c>
      <c r="D571" s="127"/>
      <c r="E571" s="127"/>
      <c r="F571" s="128"/>
      <c r="G571" s="128"/>
      <c r="H571" s="128"/>
      <c r="I571" s="127" t="s">
        <v>1344</v>
      </c>
    </row>
    <row r="572" spans="1:9" x14ac:dyDescent="0.2">
      <c r="A572" s="127" t="s">
        <v>1755</v>
      </c>
      <c r="B572" s="127" t="s">
        <v>1756</v>
      </c>
      <c r="C572" s="127" t="s">
        <v>22</v>
      </c>
      <c r="D572" s="127"/>
      <c r="E572" s="127"/>
      <c r="F572" s="128"/>
      <c r="G572" s="128"/>
      <c r="H572" s="128"/>
      <c r="I572" s="127" t="s">
        <v>1344</v>
      </c>
    </row>
    <row r="573" spans="1:9" x14ac:dyDescent="0.2">
      <c r="A573" s="127" t="s">
        <v>1757</v>
      </c>
      <c r="B573" s="127" t="s">
        <v>1758</v>
      </c>
      <c r="C573" s="127" t="s">
        <v>46</v>
      </c>
      <c r="D573" s="127"/>
      <c r="E573" s="127"/>
      <c r="F573" s="128"/>
      <c r="G573" s="128"/>
      <c r="H573" s="128"/>
      <c r="I573" s="127" t="s">
        <v>1344</v>
      </c>
    </row>
    <row r="574" spans="1:9" x14ac:dyDescent="0.2">
      <c r="A574" s="127" t="s">
        <v>1759</v>
      </c>
      <c r="B574" s="127" t="s">
        <v>1760</v>
      </c>
      <c r="C574" s="127" t="s">
        <v>17</v>
      </c>
      <c r="D574" s="127"/>
      <c r="E574" s="127"/>
      <c r="F574" s="128"/>
      <c r="G574" s="128"/>
      <c r="H574" s="128"/>
      <c r="I574" s="127" t="s">
        <v>1344</v>
      </c>
    </row>
    <row r="575" spans="1:9" x14ac:dyDescent="0.2">
      <c r="A575" s="127" t="s">
        <v>1761</v>
      </c>
      <c r="B575" s="127" t="s">
        <v>1762</v>
      </c>
      <c r="C575" s="127" t="s">
        <v>22</v>
      </c>
      <c r="D575" s="127"/>
      <c r="E575" s="127"/>
      <c r="F575" s="128"/>
      <c r="G575" s="128"/>
      <c r="H575" s="128"/>
      <c r="I575" s="127" t="s">
        <v>1344</v>
      </c>
    </row>
    <row r="576" spans="1:9" x14ac:dyDescent="0.2">
      <c r="A576" s="127" t="s">
        <v>1763</v>
      </c>
      <c r="B576" s="127" t="s">
        <v>1764</v>
      </c>
      <c r="C576" s="127" t="s">
        <v>46</v>
      </c>
      <c r="D576" s="127"/>
      <c r="E576" s="127"/>
      <c r="F576" s="128"/>
      <c r="G576" s="128"/>
      <c r="H576" s="128"/>
      <c r="I576" s="127" t="s">
        <v>1344</v>
      </c>
    </row>
    <row r="577" spans="1:9" x14ac:dyDescent="0.2">
      <c r="A577" s="127"/>
      <c r="B577" s="127" t="s">
        <v>1765</v>
      </c>
      <c r="C577" s="127" t="s">
        <v>22</v>
      </c>
      <c r="D577" s="127"/>
      <c r="E577" s="127"/>
      <c r="F577" s="128"/>
      <c r="G577" s="128"/>
      <c r="H577" s="128"/>
      <c r="I577" s="127" t="s">
        <v>1344</v>
      </c>
    </row>
    <row r="578" spans="1:9" x14ac:dyDescent="0.2">
      <c r="A578" s="127" t="s">
        <v>1766</v>
      </c>
      <c r="B578" s="127" t="s">
        <v>1767</v>
      </c>
      <c r="C578" s="127" t="s">
        <v>22</v>
      </c>
      <c r="D578" s="127"/>
      <c r="E578" s="127"/>
      <c r="F578" s="128"/>
      <c r="G578" s="128"/>
      <c r="H578" s="128"/>
      <c r="I578" s="127" t="s">
        <v>1344</v>
      </c>
    </row>
    <row r="579" spans="1:9" x14ac:dyDescent="0.2">
      <c r="A579" s="127" t="s">
        <v>1768</v>
      </c>
      <c r="B579" s="127" t="s">
        <v>1769</v>
      </c>
      <c r="C579" s="127" t="s">
        <v>22</v>
      </c>
      <c r="D579" s="127"/>
      <c r="E579" s="127"/>
      <c r="F579" s="128"/>
      <c r="G579" s="128"/>
      <c r="H579" s="128"/>
      <c r="I579" s="127" t="s">
        <v>1344</v>
      </c>
    </row>
    <row r="580" spans="1:9" x14ac:dyDescent="0.2">
      <c r="A580" s="127" t="s">
        <v>1770</v>
      </c>
      <c r="B580" s="127" t="s">
        <v>1771</v>
      </c>
      <c r="C580" s="127" t="s">
        <v>46</v>
      </c>
      <c r="D580" s="127"/>
      <c r="E580" s="127"/>
      <c r="F580" s="128"/>
      <c r="G580" s="128"/>
      <c r="H580" s="128"/>
      <c r="I580" s="127" t="s">
        <v>1344</v>
      </c>
    </row>
    <row r="581" spans="1:9" x14ac:dyDescent="0.2">
      <c r="A581" s="127" t="s">
        <v>1772</v>
      </c>
      <c r="B581" s="127" t="s">
        <v>1773</v>
      </c>
      <c r="C581" s="127" t="s">
        <v>22</v>
      </c>
      <c r="D581" s="127"/>
      <c r="E581" s="127"/>
      <c r="F581" s="128"/>
      <c r="G581" s="128"/>
      <c r="H581" s="128"/>
      <c r="I581" s="127" t="s">
        <v>1344</v>
      </c>
    </row>
    <row r="582" spans="1:9" x14ac:dyDescent="0.2">
      <c r="A582" s="127" t="s">
        <v>1774</v>
      </c>
      <c r="B582" s="127" t="s">
        <v>1775</v>
      </c>
      <c r="C582" s="127" t="s">
        <v>22</v>
      </c>
      <c r="D582" s="127"/>
      <c r="E582" s="127"/>
      <c r="F582" s="128"/>
      <c r="G582" s="128"/>
      <c r="H582" s="128"/>
      <c r="I582" s="127" t="s">
        <v>1344</v>
      </c>
    </row>
    <row r="583" spans="1:9" x14ac:dyDescent="0.2">
      <c r="A583" s="127" t="s">
        <v>1776</v>
      </c>
      <c r="B583" s="127" t="s">
        <v>1777</v>
      </c>
      <c r="C583" s="127" t="s">
        <v>22</v>
      </c>
      <c r="D583" s="127"/>
      <c r="E583" s="127"/>
      <c r="F583" s="128"/>
      <c r="G583" s="128"/>
      <c r="H583" s="128"/>
      <c r="I583" s="127" t="s">
        <v>1344</v>
      </c>
    </row>
    <row r="584" spans="1:9" x14ac:dyDescent="0.2">
      <c r="A584" s="127" t="s">
        <v>1778</v>
      </c>
      <c r="B584" s="127" t="s">
        <v>1779</v>
      </c>
      <c r="C584" s="127" t="s">
        <v>22</v>
      </c>
      <c r="D584" s="127"/>
      <c r="E584" s="127"/>
      <c r="F584" s="128"/>
      <c r="G584" s="128"/>
      <c r="H584" s="128"/>
      <c r="I584" s="127" t="s">
        <v>1344</v>
      </c>
    </row>
    <row r="585" spans="1:9" x14ac:dyDescent="0.2">
      <c r="A585" s="127" t="s">
        <v>1780</v>
      </c>
      <c r="B585" s="127" t="s">
        <v>1781</v>
      </c>
      <c r="C585" s="127" t="s">
        <v>46</v>
      </c>
      <c r="D585" s="127"/>
      <c r="E585" s="127"/>
      <c r="F585" s="128"/>
      <c r="G585" s="128"/>
      <c r="H585" s="128"/>
      <c r="I585" s="127" t="s">
        <v>1344</v>
      </c>
    </row>
    <row r="586" spans="1:9" x14ac:dyDescent="0.2">
      <c r="A586" s="127" t="s">
        <v>1782</v>
      </c>
      <c r="B586" s="127" t="s">
        <v>1783</v>
      </c>
      <c r="C586" s="127" t="s">
        <v>46</v>
      </c>
      <c r="D586" s="127"/>
      <c r="E586" s="127"/>
      <c r="F586" s="128"/>
      <c r="G586" s="128"/>
      <c r="H586" s="128"/>
      <c r="I586" s="127" t="s">
        <v>1344</v>
      </c>
    </row>
    <row r="587" spans="1:9" x14ac:dyDescent="0.2">
      <c r="A587" s="127" t="s">
        <v>1784</v>
      </c>
      <c r="B587" s="127" t="s">
        <v>1785</v>
      </c>
      <c r="C587" s="127" t="s">
        <v>17</v>
      </c>
      <c r="D587" s="127"/>
      <c r="E587" s="127"/>
      <c r="F587" s="128"/>
      <c r="G587" s="128"/>
      <c r="H587" s="128"/>
      <c r="I587" s="127" t="s">
        <v>1344</v>
      </c>
    </row>
    <row r="588" spans="1:9" x14ac:dyDescent="0.2">
      <c r="A588" s="127"/>
      <c r="B588" s="127" t="s">
        <v>1786</v>
      </c>
      <c r="C588" s="127" t="s">
        <v>22</v>
      </c>
      <c r="D588" s="127"/>
      <c r="E588" s="127"/>
      <c r="F588" s="128"/>
      <c r="G588" s="128"/>
      <c r="H588" s="128"/>
      <c r="I588" s="127" t="s">
        <v>1344</v>
      </c>
    </row>
    <row r="589" spans="1:9" x14ac:dyDescent="0.2">
      <c r="A589" s="127" t="s">
        <v>1787</v>
      </c>
      <c r="B589" s="127" t="s">
        <v>1788</v>
      </c>
      <c r="C589" s="127" t="s">
        <v>46</v>
      </c>
      <c r="D589" s="127"/>
      <c r="E589" s="127"/>
      <c r="F589" s="128"/>
      <c r="G589" s="128"/>
      <c r="H589" s="128"/>
      <c r="I589" s="127" t="s">
        <v>1344</v>
      </c>
    </row>
    <row r="590" spans="1:9" x14ac:dyDescent="0.2">
      <c r="A590" s="127"/>
      <c r="B590" s="127" t="s">
        <v>1789</v>
      </c>
      <c r="C590" s="127" t="s">
        <v>46</v>
      </c>
      <c r="D590" s="127"/>
      <c r="E590" s="127"/>
      <c r="F590" s="128"/>
      <c r="G590" s="128"/>
      <c r="H590" s="128"/>
      <c r="I590" s="127" t="s">
        <v>1344</v>
      </c>
    </row>
    <row r="591" spans="1:9" x14ac:dyDescent="0.2">
      <c r="A591" s="127" t="s">
        <v>1790</v>
      </c>
      <c r="B591" s="127" t="s">
        <v>1791</v>
      </c>
      <c r="C591" s="127" t="s">
        <v>22</v>
      </c>
      <c r="D591" s="127"/>
      <c r="E591" s="127"/>
      <c r="F591" s="128"/>
      <c r="G591" s="128"/>
      <c r="H591" s="128"/>
      <c r="I591" s="127" t="s">
        <v>1344</v>
      </c>
    </row>
    <row r="592" spans="1:9" x14ac:dyDescent="0.2">
      <c r="A592" s="127" t="s">
        <v>1792</v>
      </c>
      <c r="B592" s="127" t="s">
        <v>1793</v>
      </c>
      <c r="C592" s="127" t="s">
        <v>46</v>
      </c>
      <c r="D592" s="127"/>
      <c r="E592" s="127"/>
      <c r="F592" s="128"/>
      <c r="G592" s="128"/>
      <c r="H592" s="128"/>
      <c r="I592" s="127" t="s">
        <v>1344</v>
      </c>
    </row>
    <row r="593" spans="1:9" x14ac:dyDescent="0.2">
      <c r="A593" s="127" t="s">
        <v>1794</v>
      </c>
      <c r="B593" s="127" t="s">
        <v>1795</v>
      </c>
      <c r="C593" s="127" t="s">
        <v>46</v>
      </c>
      <c r="D593" s="127"/>
      <c r="E593" s="127"/>
      <c r="F593" s="128"/>
      <c r="G593" s="128"/>
      <c r="H593" s="128"/>
      <c r="I593" s="127" t="s">
        <v>1344</v>
      </c>
    </row>
    <row r="594" spans="1:9" x14ac:dyDescent="0.2">
      <c r="A594" s="127" t="s">
        <v>1796</v>
      </c>
      <c r="B594" s="127" t="s">
        <v>1797</v>
      </c>
      <c r="C594" s="127" t="s">
        <v>46</v>
      </c>
      <c r="D594" s="127"/>
      <c r="E594" s="127"/>
      <c r="F594" s="128"/>
      <c r="G594" s="128"/>
      <c r="H594" s="128"/>
      <c r="I594" s="127" t="s">
        <v>1344</v>
      </c>
    </row>
    <row r="595" spans="1:9" x14ac:dyDescent="0.2">
      <c r="A595" s="127" t="s">
        <v>1798</v>
      </c>
      <c r="B595" s="127" t="s">
        <v>1799</v>
      </c>
      <c r="C595" s="127" t="s">
        <v>17</v>
      </c>
      <c r="D595" s="127"/>
      <c r="E595" s="127"/>
      <c r="F595" s="128"/>
      <c r="G595" s="128"/>
      <c r="H595" s="128"/>
      <c r="I595" s="127" t="s">
        <v>1344</v>
      </c>
    </row>
    <row r="596" spans="1:9" x14ac:dyDescent="0.2">
      <c r="A596" s="127" t="s">
        <v>1800</v>
      </c>
      <c r="B596" s="127" t="s">
        <v>1801</v>
      </c>
      <c r="C596" s="127" t="s">
        <v>22</v>
      </c>
      <c r="D596" s="127"/>
      <c r="E596" s="127"/>
      <c r="F596" s="128"/>
      <c r="G596" s="128"/>
      <c r="H596" s="128"/>
      <c r="I596" s="127" t="s">
        <v>1344</v>
      </c>
    </row>
    <row r="597" spans="1:9" x14ac:dyDescent="0.2">
      <c r="A597" s="127" t="s">
        <v>1802</v>
      </c>
      <c r="B597" s="127" t="s">
        <v>1803</v>
      </c>
      <c r="C597" s="127" t="s">
        <v>46</v>
      </c>
      <c r="D597" s="127"/>
      <c r="E597" s="127"/>
      <c r="F597" s="128"/>
      <c r="G597" s="128"/>
      <c r="H597" s="128"/>
      <c r="I597" s="127" t="s">
        <v>1344</v>
      </c>
    </row>
    <row r="598" spans="1:9" x14ac:dyDescent="0.2">
      <c r="A598" s="127" t="s">
        <v>1804</v>
      </c>
      <c r="B598" s="127" t="s">
        <v>1805</v>
      </c>
      <c r="C598" s="127" t="s">
        <v>22</v>
      </c>
      <c r="D598" s="127"/>
      <c r="E598" s="127"/>
      <c r="F598" s="128"/>
      <c r="G598" s="128"/>
      <c r="H598" s="128"/>
      <c r="I598" s="127" t="s">
        <v>1344</v>
      </c>
    </row>
    <row r="599" spans="1:9" x14ac:dyDescent="0.2">
      <c r="A599" s="127" t="s">
        <v>1806</v>
      </c>
      <c r="B599" s="127" t="s">
        <v>1807</v>
      </c>
      <c r="C599" s="127" t="s">
        <v>22</v>
      </c>
      <c r="D599" s="127"/>
      <c r="E599" s="127"/>
      <c r="F599" s="128"/>
      <c r="G599" s="128"/>
      <c r="H599" s="128"/>
      <c r="I599" s="127" t="s">
        <v>1344</v>
      </c>
    </row>
    <row r="600" spans="1:9" x14ac:dyDescent="0.2">
      <c r="A600" s="127" t="s">
        <v>1808</v>
      </c>
      <c r="B600" s="127" t="s">
        <v>1809</v>
      </c>
      <c r="C600" s="127" t="s">
        <v>22</v>
      </c>
      <c r="D600" s="127"/>
      <c r="E600" s="127"/>
      <c r="F600" s="128"/>
      <c r="G600" s="128"/>
      <c r="H600" s="128"/>
      <c r="I600" s="127" t="s">
        <v>1344</v>
      </c>
    </row>
    <row r="601" spans="1:9" x14ac:dyDescent="0.2">
      <c r="A601" s="127" t="s">
        <v>1810</v>
      </c>
      <c r="B601" s="127" t="s">
        <v>1811</v>
      </c>
      <c r="C601" s="127" t="s">
        <v>46</v>
      </c>
      <c r="D601" s="127"/>
      <c r="E601" s="127"/>
      <c r="F601" s="128"/>
      <c r="G601" s="128"/>
      <c r="H601" s="128"/>
      <c r="I601" s="127" t="s">
        <v>1344</v>
      </c>
    </row>
    <row r="602" spans="1:9" x14ac:dyDescent="0.2">
      <c r="A602" s="127" t="s">
        <v>1812</v>
      </c>
      <c r="B602" s="127" t="s">
        <v>1813</v>
      </c>
      <c r="C602" s="127" t="s">
        <v>22</v>
      </c>
      <c r="D602" s="127"/>
      <c r="E602" s="127"/>
      <c r="F602" s="128"/>
      <c r="G602" s="128"/>
      <c r="H602" s="128"/>
      <c r="I602" s="127" t="s">
        <v>1344</v>
      </c>
    </row>
    <row r="603" spans="1:9" x14ac:dyDescent="0.2">
      <c r="A603" s="127" t="s">
        <v>1814</v>
      </c>
      <c r="B603" s="127" t="s">
        <v>1815</v>
      </c>
      <c r="C603" s="127" t="s">
        <v>46</v>
      </c>
      <c r="D603" s="127"/>
      <c r="E603" s="127"/>
      <c r="F603" s="128"/>
      <c r="G603" s="128"/>
      <c r="H603" s="128"/>
      <c r="I603" s="127" t="s">
        <v>1344</v>
      </c>
    </row>
    <row r="604" spans="1:9" x14ac:dyDescent="0.2">
      <c r="A604" s="127" t="s">
        <v>1816</v>
      </c>
      <c r="B604" s="127" t="s">
        <v>1817</v>
      </c>
      <c r="C604" s="127" t="s">
        <v>46</v>
      </c>
      <c r="D604" s="127"/>
      <c r="E604" s="127"/>
      <c r="F604" s="128"/>
      <c r="G604" s="128"/>
      <c r="H604" s="128"/>
      <c r="I604" s="127" t="s">
        <v>1344</v>
      </c>
    </row>
    <row r="605" spans="1:9" x14ac:dyDescent="0.2">
      <c r="A605" s="127" t="s">
        <v>154</v>
      </c>
      <c r="B605" s="127" t="s">
        <v>1818</v>
      </c>
      <c r="C605" s="127" t="s">
        <v>22</v>
      </c>
      <c r="D605" s="127"/>
      <c r="E605" s="127"/>
      <c r="F605" s="128"/>
      <c r="G605" s="128"/>
      <c r="H605" s="128"/>
      <c r="I605" s="127" t="s">
        <v>1344</v>
      </c>
    </row>
    <row r="606" spans="1:9" x14ac:dyDescent="0.2">
      <c r="A606" s="127"/>
      <c r="B606" s="127" t="s">
        <v>1819</v>
      </c>
      <c r="C606" s="127" t="s">
        <v>46</v>
      </c>
      <c r="D606" s="127"/>
      <c r="E606" s="127"/>
      <c r="F606" s="128"/>
      <c r="G606" s="128"/>
      <c r="H606" s="128"/>
      <c r="I606" s="127" t="s">
        <v>1344</v>
      </c>
    </row>
    <row r="607" spans="1:9" x14ac:dyDescent="0.2">
      <c r="A607" s="127" t="s">
        <v>1820</v>
      </c>
      <c r="B607" s="127" t="s">
        <v>1821</v>
      </c>
      <c r="C607" s="127" t="s">
        <v>46</v>
      </c>
      <c r="D607" s="127"/>
      <c r="E607" s="127"/>
      <c r="F607" s="128"/>
      <c r="G607" s="128"/>
      <c r="H607" s="128"/>
      <c r="I607" s="127" t="s">
        <v>1344</v>
      </c>
    </row>
    <row r="608" spans="1:9" x14ac:dyDescent="0.2">
      <c r="A608" s="127" t="s">
        <v>1822</v>
      </c>
      <c r="B608" s="127" t="s">
        <v>1823</v>
      </c>
      <c r="C608" s="127" t="s">
        <v>17</v>
      </c>
      <c r="D608" s="127"/>
      <c r="E608" s="127"/>
      <c r="F608" s="128"/>
      <c r="G608" s="128"/>
      <c r="H608" s="128"/>
      <c r="I608" s="127" t="s">
        <v>1344</v>
      </c>
    </row>
    <row r="609" spans="1:9" x14ac:dyDescent="0.2">
      <c r="A609" s="127" t="s">
        <v>1824</v>
      </c>
      <c r="B609" s="127" t="s">
        <v>1825</v>
      </c>
      <c r="C609" s="127" t="s">
        <v>46</v>
      </c>
      <c r="D609" s="127"/>
      <c r="E609" s="127"/>
      <c r="F609" s="128"/>
      <c r="G609" s="128"/>
      <c r="H609" s="128"/>
      <c r="I609" s="127" t="s">
        <v>1344</v>
      </c>
    </row>
    <row r="610" spans="1:9" x14ac:dyDescent="0.2">
      <c r="A610" s="127" t="s">
        <v>1826</v>
      </c>
      <c r="B610" s="127" t="s">
        <v>1827</v>
      </c>
      <c r="C610" s="127" t="s">
        <v>46</v>
      </c>
      <c r="D610" s="127"/>
      <c r="E610" s="127"/>
      <c r="F610" s="128"/>
      <c r="G610" s="128"/>
      <c r="H610" s="128"/>
      <c r="I610" s="127" t="s">
        <v>1344</v>
      </c>
    </row>
    <row r="611" spans="1:9" x14ac:dyDescent="0.2">
      <c r="A611" s="127"/>
      <c r="B611" s="127" t="s">
        <v>1828</v>
      </c>
      <c r="C611" s="127" t="s">
        <v>22</v>
      </c>
      <c r="D611" s="127"/>
      <c r="E611" s="127"/>
      <c r="F611" s="128"/>
      <c r="G611" s="128"/>
      <c r="H611" s="128"/>
      <c r="I611" s="127" t="s">
        <v>1344</v>
      </c>
    </row>
    <row r="612" spans="1:9" x14ac:dyDescent="0.2">
      <c r="A612" s="127" t="s">
        <v>1829</v>
      </c>
      <c r="B612" s="127" t="s">
        <v>1830</v>
      </c>
      <c r="C612" s="127" t="s">
        <v>46</v>
      </c>
      <c r="D612" s="127"/>
      <c r="E612" s="127"/>
      <c r="F612" s="128"/>
      <c r="G612" s="128"/>
      <c r="H612" s="128"/>
      <c r="I612" s="127" t="s">
        <v>1344</v>
      </c>
    </row>
    <row r="613" spans="1:9" x14ac:dyDescent="0.2">
      <c r="A613" s="127" t="s">
        <v>1831</v>
      </c>
      <c r="B613" s="127" t="s">
        <v>1832</v>
      </c>
      <c r="C613" s="127" t="s">
        <v>46</v>
      </c>
      <c r="D613" s="127"/>
      <c r="E613" s="127"/>
      <c r="F613" s="128"/>
      <c r="G613" s="128"/>
      <c r="H613" s="128"/>
      <c r="I613" s="127" t="s">
        <v>1344</v>
      </c>
    </row>
    <row r="614" spans="1:9" x14ac:dyDescent="0.2">
      <c r="A614" s="127" t="s">
        <v>1833</v>
      </c>
      <c r="B614" s="127" t="s">
        <v>1834</v>
      </c>
      <c r="C614" s="127" t="s">
        <v>46</v>
      </c>
      <c r="D614" s="127"/>
      <c r="E614" s="127"/>
      <c r="F614" s="128"/>
      <c r="G614" s="128"/>
      <c r="H614" s="128"/>
      <c r="I614" s="127" t="s">
        <v>1344</v>
      </c>
    </row>
    <row r="615" spans="1:9" x14ac:dyDescent="0.2">
      <c r="A615" s="127" t="s">
        <v>1835</v>
      </c>
      <c r="B615" s="127" t="s">
        <v>1836</v>
      </c>
      <c r="C615" s="127" t="s">
        <v>17</v>
      </c>
      <c r="D615" s="127"/>
      <c r="E615" s="127"/>
      <c r="F615" s="128"/>
      <c r="G615" s="128"/>
      <c r="H615" s="128"/>
      <c r="I615" s="127" t="s">
        <v>1344</v>
      </c>
    </row>
    <row r="616" spans="1:9" x14ac:dyDescent="0.2">
      <c r="A616" s="127" t="s">
        <v>1837</v>
      </c>
      <c r="B616" s="127" t="s">
        <v>1838</v>
      </c>
      <c r="C616" s="127" t="s">
        <v>17</v>
      </c>
      <c r="D616" s="127"/>
      <c r="E616" s="127"/>
      <c r="F616" s="128"/>
      <c r="G616" s="128"/>
      <c r="H616" s="128"/>
      <c r="I616" s="127" t="s">
        <v>1344</v>
      </c>
    </row>
    <row r="617" spans="1:9" x14ac:dyDescent="0.2">
      <c r="A617" s="127" t="s">
        <v>1839</v>
      </c>
      <c r="B617" s="127" t="s">
        <v>1840</v>
      </c>
      <c r="C617" s="127" t="s">
        <v>46</v>
      </c>
      <c r="D617" s="127"/>
      <c r="E617" s="127"/>
      <c r="F617" s="128"/>
      <c r="G617" s="128"/>
      <c r="H617" s="128"/>
      <c r="I617" s="127" t="s">
        <v>1344</v>
      </c>
    </row>
    <row r="618" spans="1:9" x14ac:dyDescent="0.2">
      <c r="A618" s="127" t="s">
        <v>1841</v>
      </c>
      <c r="B618" s="127" t="s">
        <v>1842</v>
      </c>
      <c r="C618" s="127" t="s">
        <v>46</v>
      </c>
      <c r="D618" s="127"/>
      <c r="E618" s="127"/>
      <c r="F618" s="128"/>
      <c r="G618" s="128"/>
      <c r="H618" s="128"/>
      <c r="I618" s="127" t="s">
        <v>1344</v>
      </c>
    </row>
    <row r="619" spans="1:9" x14ac:dyDescent="0.2">
      <c r="A619" s="127" t="s">
        <v>1843</v>
      </c>
      <c r="B619" s="127" t="s">
        <v>1844</v>
      </c>
      <c r="C619" s="127" t="s">
        <v>46</v>
      </c>
      <c r="D619" s="127"/>
      <c r="E619" s="127"/>
      <c r="F619" s="128"/>
      <c r="G619" s="128"/>
      <c r="H619" s="128"/>
      <c r="I619" s="127" t="s">
        <v>1344</v>
      </c>
    </row>
    <row r="620" spans="1:9" x14ac:dyDescent="0.2">
      <c r="A620" s="127" t="s">
        <v>1845</v>
      </c>
      <c r="B620" s="127" t="s">
        <v>1846</v>
      </c>
      <c r="C620" s="127" t="s">
        <v>22</v>
      </c>
      <c r="D620" s="127"/>
      <c r="E620" s="127"/>
      <c r="F620" s="128"/>
      <c r="G620" s="128"/>
      <c r="H620" s="128"/>
      <c r="I620" s="127" t="s">
        <v>1344</v>
      </c>
    </row>
    <row r="621" spans="1:9" x14ac:dyDescent="0.2">
      <c r="A621" s="127" t="s">
        <v>1847</v>
      </c>
      <c r="B621" s="127" t="s">
        <v>1848</v>
      </c>
      <c r="C621" s="127" t="s">
        <v>46</v>
      </c>
      <c r="D621" s="127"/>
      <c r="E621" s="127"/>
      <c r="F621" s="128"/>
      <c r="G621" s="128"/>
      <c r="H621" s="128"/>
      <c r="I621" s="127" t="s">
        <v>1344</v>
      </c>
    </row>
    <row r="622" spans="1:9" x14ac:dyDescent="0.2">
      <c r="A622" s="127" t="s">
        <v>1849</v>
      </c>
      <c r="B622" s="127" t="s">
        <v>1850</v>
      </c>
      <c r="C622" s="127" t="s">
        <v>46</v>
      </c>
      <c r="D622" s="127"/>
      <c r="E622" s="127"/>
      <c r="F622" s="128"/>
      <c r="G622" s="128"/>
      <c r="H622" s="128"/>
      <c r="I622" s="127" t="s">
        <v>1344</v>
      </c>
    </row>
    <row r="623" spans="1:9" x14ac:dyDescent="0.2">
      <c r="A623" s="127" t="s">
        <v>1851</v>
      </c>
      <c r="B623" s="127" t="s">
        <v>1852</v>
      </c>
      <c r="C623" s="127" t="s">
        <v>22</v>
      </c>
      <c r="D623" s="127"/>
      <c r="E623" s="127"/>
      <c r="F623" s="128"/>
      <c r="G623" s="128"/>
      <c r="H623" s="128"/>
      <c r="I623" s="127" t="s">
        <v>1344</v>
      </c>
    </row>
    <row r="624" spans="1:9" x14ac:dyDescent="0.2">
      <c r="A624" s="127" t="s">
        <v>1853</v>
      </c>
      <c r="B624" s="127" t="s">
        <v>1854</v>
      </c>
      <c r="C624" s="127" t="s">
        <v>46</v>
      </c>
      <c r="D624" s="127"/>
      <c r="E624" s="127"/>
      <c r="F624" s="128"/>
      <c r="G624" s="128"/>
      <c r="H624" s="128"/>
      <c r="I624" s="127" t="s">
        <v>1344</v>
      </c>
    </row>
    <row r="625" spans="1:9" x14ac:dyDescent="0.2">
      <c r="A625" s="127"/>
      <c r="B625" s="127" t="s">
        <v>1855</v>
      </c>
      <c r="C625" s="127" t="s">
        <v>22</v>
      </c>
      <c r="D625" s="127"/>
      <c r="E625" s="127"/>
      <c r="F625" s="128"/>
      <c r="G625" s="128"/>
      <c r="H625" s="128"/>
      <c r="I625" s="127" t="s">
        <v>1344</v>
      </c>
    </row>
    <row r="626" spans="1:9" x14ac:dyDescent="0.2">
      <c r="A626" s="127"/>
      <c r="B626" s="127"/>
      <c r="C626" s="127" t="s">
        <v>46</v>
      </c>
      <c r="D626" s="127"/>
      <c r="E626" s="127"/>
      <c r="F626" s="128"/>
      <c r="G626" s="128"/>
      <c r="H626" s="128"/>
      <c r="I626" s="127" t="s">
        <v>1344</v>
      </c>
    </row>
    <row r="627" spans="1:9" x14ac:dyDescent="0.2">
      <c r="A627" s="127" t="s">
        <v>1856</v>
      </c>
      <c r="B627" s="127" t="s">
        <v>1857</v>
      </c>
      <c r="C627" s="127" t="s">
        <v>46</v>
      </c>
      <c r="D627" s="127"/>
      <c r="E627" s="127"/>
      <c r="F627" s="128"/>
      <c r="G627" s="128"/>
      <c r="H627" s="128"/>
      <c r="I627" s="127" t="s">
        <v>1344</v>
      </c>
    </row>
    <row r="628" spans="1:9" x14ac:dyDescent="0.2">
      <c r="A628" s="127" t="s">
        <v>1858</v>
      </c>
      <c r="B628" s="127" t="s">
        <v>1859</v>
      </c>
      <c r="C628" s="127" t="s">
        <v>46</v>
      </c>
      <c r="D628" s="127"/>
      <c r="E628" s="127"/>
      <c r="F628" s="128"/>
      <c r="G628" s="128"/>
      <c r="H628" s="128"/>
      <c r="I628" s="127" t="s">
        <v>1344</v>
      </c>
    </row>
    <row r="629" spans="1:9" x14ac:dyDescent="0.2">
      <c r="A629" s="127" t="s">
        <v>1860</v>
      </c>
      <c r="B629" s="127" t="s">
        <v>1861</v>
      </c>
      <c r="C629" s="127" t="s">
        <v>17</v>
      </c>
      <c r="D629" s="127"/>
      <c r="E629" s="127"/>
      <c r="F629" s="128"/>
      <c r="G629" s="128"/>
      <c r="H629" s="128"/>
      <c r="I629" s="127" t="s">
        <v>1344</v>
      </c>
    </row>
    <row r="630" spans="1:9" x14ac:dyDescent="0.2">
      <c r="A630" s="127" t="s">
        <v>1862</v>
      </c>
      <c r="B630" s="127" t="s">
        <v>1863</v>
      </c>
      <c r="C630" s="127" t="s">
        <v>22</v>
      </c>
      <c r="D630" s="127"/>
      <c r="E630" s="127"/>
      <c r="F630" s="128"/>
      <c r="G630" s="128"/>
      <c r="H630" s="128"/>
      <c r="I630" s="127" t="s">
        <v>1344</v>
      </c>
    </row>
    <row r="631" spans="1:9" x14ac:dyDescent="0.2">
      <c r="A631" s="127" t="s">
        <v>1864</v>
      </c>
      <c r="B631" s="127" t="s">
        <v>1865</v>
      </c>
      <c r="C631" s="127" t="s">
        <v>46</v>
      </c>
      <c r="D631" s="127"/>
      <c r="E631" s="127"/>
      <c r="F631" s="128"/>
      <c r="G631" s="128"/>
      <c r="H631" s="128"/>
      <c r="I631" s="127" t="s">
        <v>1344</v>
      </c>
    </row>
    <row r="632" spans="1:9" x14ac:dyDescent="0.2">
      <c r="A632" s="127" t="s">
        <v>1866</v>
      </c>
      <c r="B632" s="127" t="s">
        <v>1867</v>
      </c>
      <c r="C632" s="127" t="s">
        <v>46</v>
      </c>
      <c r="D632" s="127"/>
      <c r="E632" s="127"/>
      <c r="F632" s="128"/>
      <c r="G632" s="128"/>
      <c r="H632" s="128"/>
      <c r="I632" s="127" t="s">
        <v>1344</v>
      </c>
    </row>
    <row r="633" spans="1:9" x14ac:dyDescent="0.2">
      <c r="A633" s="127" t="s">
        <v>1868</v>
      </c>
      <c r="B633" s="127" t="s">
        <v>1869</v>
      </c>
      <c r="C633" s="127" t="s">
        <v>22</v>
      </c>
      <c r="D633" s="127"/>
      <c r="E633" s="127"/>
      <c r="F633" s="128"/>
      <c r="G633" s="128"/>
      <c r="H633" s="128"/>
      <c r="I633" s="127" t="s">
        <v>1344</v>
      </c>
    </row>
    <row r="634" spans="1:9" x14ac:dyDescent="0.2">
      <c r="A634" s="127" t="s">
        <v>611</v>
      </c>
      <c r="B634" s="127" t="s">
        <v>1870</v>
      </c>
      <c r="C634" s="127" t="s">
        <v>46</v>
      </c>
      <c r="D634" s="127"/>
      <c r="E634" s="127"/>
      <c r="F634" s="128"/>
      <c r="G634" s="128"/>
      <c r="H634" s="128"/>
      <c r="I634" s="127" t="s">
        <v>1344</v>
      </c>
    </row>
    <row r="635" spans="1:9" x14ac:dyDescent="0.2">
      <c r="A635" s="127" t="s">
        <v>1871</v>
      </c>
      <c r="B635" s="127" t="s">
        <v>1872</v>
      </c>
      <c r="C635" s="127" t="s">
        <v>46</v>
      </c>
      <c r="D635" s="127"/>
      <c r="E635" s="127"/>
      <c r="F635" s="128"/>
      <c r="G635" s="128"/>
      <c r="H635" s="128"/>
      <c r="I635" s="127" t="s">
        <v>1344</v>
      </c>
    </row>
    <row r="636" spans="1:9" x14ac:dyDescent="0.2">
      <c r="A636" s="127" t="s">
        <v>1085</v>
      </c>
      <c r="B636" s="127" t="s">
        <v>1025</v>
      </c>
      <c r="C636" s="127" t="s">
        <v>17</v>
      </c>
      <c r="D636" s="127"/>
      <c r="E636" s="127"/>
      <c r="F636" s="128"/>
      <c r="G636" s="128"/>
      <c r="H636" s="128"/>
      <c r="I636" s="127" t="s">
        <v>1344</v>
      </c>
    </row>
    <row r="637" spans="1:9" x14ac:dyDescent="0.2">
      <c r="A637" s="127" t="s">
        <v>1873</v>
      </c>
      <c r="B637" s="127" t="s">
        <v>1874</v>
      </c>
      <c r="C637" s="127" t="s">
        <v>22</v>
      </c>
      <c r="D637" s="127"/>
      <c r="E637" s="127"/>
      <c r="F637" s="128"/>
      <c r="G637" s="128"/>
      <c r="H637" s="128"/>
      <c r="I637" s="127" t="s">
        <v>1344</v>
      </c>
    </row>
    <row r="638" spans="1:9" x14ac:dyDescent="0.2">
      <c r="A638" s="127" t="s">
        <v>1875</v>
      </c>
      <c r="B638" s="127" t="s">
        <v>1876</v>
      </c>
      <c r="C638" s="127" t="s">
        <v>46</v>
      </c>
      <c r="D638" s="127"/>
      <c r="E638" s="127"/>
      <c r="F638" s="128"/>
      <c r="G638" s="128"/>
      <c r="H638" s="128"/>
      <c r="I638" s="127" t="s">
        <v>1344</v>
      </c>
    </row>
    <row r="639" spans="1:9" x14ac:dyDescent="0.2">
      <c r="A639" s="127" t="s">
        <v>1877</v>
      </c>
      <c r="B639" s="127" t="s">
        <v>1878</v>
      </c>
      <c r="C639" s="127" t="s">
        <v>46</v>
      </c>
      <c r="D639" s="127"/>
      <c r="E639" s="127"/>
      <c r="F639" s="128"/>
      <c r="G639" s="128"/>
      <c r="H639" s="128"/>
      <c r="I639" s="127" t="s">
        <v>1344</v>
      </c>
    </row>
    <row r="640" spans="1:9" x14ac:dyDescent="0.2">
      <c r="A640" s="127" t="s">
        <v>1879</v>
      </c>
      <c r="B640" s="127" t="s">
        <v>1880</v>
      </c>
      <c r="C640" s="127" t="s">
        <v>46</v>
      </c>
      <c r="D640" s="127"/>
      <c r="E640" s="127"/>
      <c r="F640" s="128"/>
      <c r="G640" s="128"/>
      <c r="H640" s="128"/>
      <c r="I640" s="127" t="s">
        <v>1344</v>
      </c>
    </row>
    <row r="641" spans="1:9" x14ac:dyDescent="0.2">
      <c r="A641" s="127" t="s">
        <v>1881</v>
      </c>
      <c r="B641" s="127" t="s">
        <v>1882</v>
      </c>
      <c r="C641" s="127" t="s">
        <v>22</v>
      </c>
      <c r="D641" s="127"/>
      <c r="E641" s="127"/>
      <c r="F641" s="128"/>
      <c r="G641" s="128"/>
      <c r="H641" s="128"/>
      <c r="I641" s="127" t="s">
        <v>1344</v>
      </c>
    </row>
    <row r="642" spans="1:9" x14ac:dyDescent="0.2">
      <c r="A642" s="127" t="s">
        <v>1883</v>
      </c>
      <c r="B642" s="127" t="s">
        <v>1884</v>
      </c>
      <c r="C642" s="127" t="s">
        <v>46</v>
      </c>
      <c r="D642" s="127"/>
      <c r="E642" s="127"/>
      <c r="F642" s="128"/>
      <c r="G642" s="128"/>
      <c r="H642" s="128"/>
      <c r="I642" s="127" t="s">
        <v>1344</v>
      </c>
    </row>
    <row r="643" spans="1:9" x14ac:dyDescent="0.2">
      <c r="A643" s="127" t="s">
        <v>1885</v>
      </c>
      <c r="B643" s="127" t="s">
        <v>1886</v>
      </c>
      <c r="C643" s="127" t="s">
        <v>17</v>
      </c>
      <c r="D643" s="127"/>
      <c r="E643" s="127"/>
      <c r="F643" s="128"/>
      <c r="G643" s="128"/>
      <c r="H643" s="128"/>
      <c r="I643" s="127" t="s">
        <v>1344</v>
      </c>
    </row>
    <row r="644" spans="1:9" x14ac:dyDescent="0.2">
      <c r="A644" s="127" t="s">
        <v>1887</v>
      </c>
      <c r="B644" s="127" t="s">
        <v>1888</v>
      </c>
      <c r="C644" s="127" t="s">
        <v>22</v>
      </c>
      <c r="D644" s="127"/>
      <c r="E644" s="127"/>
      <c r="F644" s="128"/>
      <c r="G644" s="128"/>
      <c r="H644" s="128"/>
      <c r="I644" s="127" t="s">
        <v>1344</v>
      </c>
    </row>
    <row r="645" spans="1:9" x14ac:dyDescent="0.2">
      <c r="A645" s="127" t="s">
        <v>1889</v>
      </c>
      <c r="B645" s="127" t="s">
        <v>1890</v>
      </c>
      <c r="C645" s="127" t="s">
        <v>22</v>
      </c>
      <c r="D645" s="127"/>
      <c r="E645" s="127"/>
      <c r="F645" s="128"/>
      <c r="G645" s="128"/>
      <c r="H645" s="128"/>
      <c r="I645" s="127" t="s">
        <v>1344</v>
      </c>
    </row>
    <row r="646" spans="1:9" x14ac:dyDescent="0.2">
      <c r="A646" s="127" t="s">
        <v>1891</v>
      </c>
      <c r="B646" s="127" t="s">
        <v>1892</v>
      </c>
      <c r="C646" s="127" t="s">
        <v>46</v>
      </c>
      <c r="D646" s="127"/>
      <c r="E646" s="127"/>
      <c r="F646" s="128"/>
      <c r="G646" s="128"/>
      <c r="H646" s="128"/>
      <c r="I646" s="127" t="s">
        <v>1344</v>
      </c>
    </row>
    <row r="647" spans="1:9" x14ac:dyDescent="0.2">
      <c r="A647" s="127" t="s">
        <v>1893</v>
      </c>
      <c r="B647" s="127" t="s">
        <v>1894</v>
      </c>
      <c r="C647" s="127" t="s">
        <v>46</v>
      </c>
      <c r="D647" s="127"/>
      <c r="E647" s="127"/>
      <c r="F647" s="128"/>
      <c r="G647" s="128"/>
      <c r="H647" s="128"/>
      <c r="I647" s="127" t="s">
        <v>1344</v>
      </c>
    </row>
    <row r="648" spans="1:9" x14ac:dyDescent="0.2">
      <c r="A648" s="127" t="s">
        <v>1895</v>
      </c>
      <c r="B648" s="127" t="s">
        <v>1896</v>
      </c>
      <c r="C648" s="127" t="s">
        <v>22</v>
      </c>
      <c r="D648" s="127"/>
      <c r="E648" s="127"/>
      <c r="F648" s="128"/>
      <c r="G648" s="128"/>
      <c r="H648" s="128"/>
      <c r="I648" s="127" t="s">
        <v>1344</v>
      </c>
    </row>
    <row r="649" spans="1:9" x14ac:dyDescent="0.2">
      <c r="A649" s="127" t="s">
        <v>1897</v>
      </c>
      <c r="B649" s="127" t="s">
        <v>1898</v>
      </c>
      <c r="C649" s="127" t="s">
        <v>17</v>
      </c>
      <c r="D649" s="127"/>
      <c r="E649" s="127"/>
      <c r="F649" s="128"/>
      <c r="G649" s="128"/>
      <c r="H649" s="128"/>
      <c r="I649" s="127" t="s">
        <v>1344</v>
      </c>
    </row>
    <row r="650" spans="1:9" x14ac:dyDescent="0.2">
      <c r="A650" s="127" t="s">
        <v>1899</v>
      </c>
      <c r="B650" s="127" t="s">
        <v>1900</v>
      </c>
      <c r="C650" s="127" t="s">
        <v>46</v>
      </c>
      <c r="D650" s="127"/>
      <c r="E650" s="127"/>
      <c r="F650" s="128"/>
      <c r="G650" s="128"/>
      <c r="H650" s="128"/>
      <c r="I650" s="127" t="s">
        <v>1344</v>
      </c>
    </row>
    <row r="651" spans="1:9" x14ac:dyDescent="0.2">
      <c r="A651" s="127" t="s">
        <v>1901</v>
      </c>
      <c r="B651" s="127" t="s">
        <v>1902</v>
      </c>
      <c r="C651" s="127" t="s">
        <v>17</v>
      </c>
      <c r="D651" s="127"/>
      <c r="E651" s="127"/>
      <c r="F651" s="128"/>
      <c r="G651" s="128"/>
      <c r="H651" s="128"/>
      <c r="I651" s="127" t="s">
        <v>1344</v>
      </c>
    </row>
    <row r="652" spans="1:9" x14ac:dyDescent="0.2">
      <c r="A652" s="127" t="s">
        <v>1903</v>
      </c>
      <c r="B652" s="127" t="s">
        <v>1904</v>
      </c>
      <c r="C652" s="127" t="s">
        <v>46</v>
      </c>
      <c r="D652" s="127"/>
      <c r="E652" s="127"/>
      <c r="F652" s="128"/>
      <c r="G652" s="128"/>
      <c r="H652" s="128"/>
      <c r="I652" s="127" t="s">
        <v>1344</v>
      </c>
    </row>
    <row r="653" spans="1:9" x14ac:dyDescent="0.2">
      <c r="A653" s="127" t="s">
        <v>1905</v>
      </c>
      <c r="B653" s="127" t="s">
        <v>1906</v>
      </c>
      <c r="C653" s="127" t="s">
        <v>46</v>
      </c>
      <c r="D653" s="127"/>
      <c r="E653" s="127"/>
      <c r="F653" s="128"/>
      <c r="G653" s="128"/>
      <c r="H653" s="128"/>
      <c r="I653" s="127" t="s">
        <v>1344</v>
      </c>
    </row>
    <row r="654" spans="1:9" x14ac:dyDescent="0.2">
      <c r="A654" s="127" t="s">
        <v>221</v>
      </c>
      <c r="B654" s="127" t="s">
        <v>1327</v>
      </c>
      <c r="C654" s="127" t="s">
        <v>22</v>
      </c>
      <c r="D654" s="127"/>
      <c r="E654" s="127"/>
      <c r="F654" s="128"/>
      <c r="G654" s="128"/>
      <c r="H654" s="128"/>
      <c r="I654" s="127" t="s">
        <v>1344</v>
      </c>
    </row>
    <row r="655" spans="1:9" x14ac:dyDescent="0.2">
      <c r="A655" s="127" t="s">
        <v>1907</v>
      </c>
      <c r="B655" s="127" t="s">
        <v>1908</v>
      </c>
      <c r="C655" s="127" t="s">
        <v>17</v>
      </c>
      <c r="D655" s="127"/>
      <c r="E655" s="127"/>
      <c r="F655" s="128"/>
      <c r="G655" s="128"/>
      <c r="H655" s="128"/>
      <c r="I655" s="127" t="s">
        <v>1344</v>
      </c>
    </row>
    <row r="656" spans="1:9" x14ac:dyDescent="0.2">
      <c r="A656" s="127" t="s">
        <v>1909</v>
      </c>
      <c r="B656" s="127" t="s">
        <v>1910</v>
      </c>
      <c r="C656" s="127" t="s">
        <v>17</v>
      </c>
      <c r="D656" s="127"/>
      <c r="E656" s="127"/>
      <c r="F656" s="128"/>
      <c r="G656" s="128"/>
      <c r="H656" s="128"/>
      <c r="I656" s="127" t="s">
        <v>1344</v>
      </c>
    </row>
    <row r="657" spans="1:9" x14ac:dyDescent="0.2">
      <c r="A657" s="127" t="s">
        <v>1911</v>
      </c>
      <c r="B657" s="127" t="s">
        <v>1912</v>
      </c>
      <c r="C657" s="127" t="s">
        <v>17</v>
      </c>
      <c r="D657" s="127"/>
      <c r="E657" s="127"/>
      <c r="F657" s="128"/>
      <c r="G657" s="128"/>
      <c r="H657" s="128"/>
      <c r="I657" s="127" t="s">
        <v>1344</v>
      </c>
    </row>
    <row r="658" spans="1:9" x14ac:dyDescent="0.2">
      <c r="A658" s="127" t="s">
        <v>1913</v>
      </c>
      <c r="B658" s="127" t="s">
        <v>1914</v>
      </c>
      <c r="C658" s="127" t="s">
        <v>17</v>
      </c>
      <c r="D658" s="127"/>
      <c r="E658" s="127"/>
      <c r="F658" s="128"/>
      <c r="G658" s="128"/>
      <c r="H658" s="128"/>
      <c r="I658" s="127" t="s">
        <v>1344</v>
      </c>
    </row>
    <row r="659" spans="1:9" x14ac:dyDescent="0.2">
      <c r="A659" s="127" t="s">
        <v>1915</v>
      </c>
      <c r="B659" s="127" t="s">
        <v>1916</v>
      </c>
      <c r="C659" s="127" t="s">
        <v>17</v>
      </c>
      <c r="D659" s="127"/>
      <c r="E659" s="127"/>
      <c r="F659" s="128"/>
      <c r="G659" s="128"/>
      <c r="H659" s="128"/>
      <c r="I659" s="127" t="s">
        <v>1344</v>
      </c>
    </row>
    <row r="660" spans="1:9" x14ac:dyDescent="0.2">
      <c r="A660" s="127" t="s">
        <v>1917</v>
      </c>
      <c r="B660" s="127" t="s">
        <v>1918</v>
      </c>
      <c r="C660" s="127" t="s">
        <v>46</v>
      </c>
      <c r="D660" s="127"/>
      <c r="E660" s="127"/>
      <c r="F660" s="128"/>
      <c r="G660" s="128"/>
      <c r="H660" s="128"/>
      <c r="I660" s="127" t="s">
        <v>1344</v>
      </c>
    </row>
    <row r="661" spans="1:9" x14ac:dyDescent="0.2">
      <c r="A661" s="127" t="s">
        <v>1919</v>
      </c>
      <c r="B661" s="127" t="s">
        <v>1920</v>
      </c>
      <c r="C661" s="127" t="s">
        <v>17</v>
      </c>
      <c r="D661" s="127"/>
      <c r="E661" s="127"/>
      <c r="F661" s="128"/>
      <c r="G661" s="128"/>
      <c r="H661" s="128"/>
      <c r="I661" s="127" t="s">
        <v>1344</v>
      </c>
    </row>
    <row r="662" spans="1:9" x14ac:dyDescent="0.2">
      <c r="A662" s="127" t="s">
        <v>1921</v>
      </c>
      <c r="B662" s="127" t="s">
        <v>1922</v>
      </c>
      <c r="C662" s="127" t="s">
        <v>22</v>
      </c>
      <c r="D662" s="127"/>
      <c r="E662" s="127"/>
      <c r="F662" s="128"/>
      <c r="G662" s="128"/>
      <c r="H662" s="128"/>
      <c r="I662" s="127" t="s">
        <v>1344</v>
      </c>
    </row>
    <row r="663" spans="1:9" x14ac:dyDescent="0.2">
      <c r="A663" s="127" t="s">
        <v>709</v>
      </c>
      <c r="B663" s="127" t="s">
        <v>1923</v>
      </c>
      <c r="C663" s="127" t="s">
        <v>17</v>
      </c>
      <c r="D663" s="127"/>
      <c r="E663" s="127"/>
      <c r="F663" s="128"/>
      <c r="G663" s="128"/>
      <c r="H663" s="128"/>
      <c r="I663" s="127" t="s">
        <v>1344</v>
      </c>
    </row>
    <row r="664" spans="1:9" x14ac:dyDescent="0.2">
      <c r="A664" s="127" t="s">
        <v>1924</v>
      </c>
      <c r="B664" s="127" t="s">
        <v>1925</v>
      </c>
      <c r="C664" s="127" t="s">
        <v>17</v>
      </c>
      <c r="D664" s="127"/>
      <c r="E664" s="127"/>
      <c r="F664" s="128"/>
      <c r="G664" s="128"/>
      <c r="H664" s="128"/>
      <c r="I664" s="127" t="s">
        <v>1344</v>
      </c>
    </row>
    <row r="665" spans="1:9" x14ac:dyDescent="0.2">
      <c r="A665" s="127" t="s">
        <v>287</v>
      </c>
      <c r="B665" s="127" t="s">
        <v>1926</v>
      </c>
      <c r="C665" s="127" t="s">
        <v>17</v>
      </c>
      <c r="D665" s="127"/>
      <c r="E665" s="127"/>
      <c r="F665" s="128"/>
      <c r="G665" s="128"/>
      <c r="H665" s="128"/>
      <c r="I665" s="127" t="s">
        <v>1344</v>
      </c>
    </row>
    <row r="666" spans="1:9" x14ac:dyDescent="0.2">
      <c r="A666" s="127" t="s">
        <v>1909</v>
      </c>
      <c r="B666" s="127" t="s">
        <v>1927</v>
      </c>
      <c r="C666" s="127" t="s">
        <v>46</v>
      </c>
      <c r="D666" s="127"/>
      <c r="E666" s="127"/>
      <c r="F666" s="128"/>
      <c r="G666" s="128"/>
      <c r="H666" s="128"/>
      <c r="I666" s="127" t="s">
        <v>1344</v>
      </c>
    </row>
    <row r="667" spans="1:9" x14ac:dyDescent="0.2">
      <c r="A667" s="127" t="s">
        <v>709</v>
      </c>
      <c r="B667" s="127" t="s">
        <v>1928</v>
      </c>
      <c r="C667" s="127" t="s">
        <v>46</v>
      </c>
      <c r="D667" s="127"/>
      <c r="E667" s="127"/>
      <c r="F667" s="128"/>
      <c r="G667" s="128"/>
      <c r="H667" s="128"/>
      <c r="I667" s="127" t="s">
        <v>1344</v>
      </c>
    </row>
    <row r="668" spans="1:9" x14ac:dyDescent="0.2">
      <c r="A668" s="127"/>
      <c r="B668" s="127" t="s">
        <v>1929</v>
      </c>
      <c r="C668" s="127" t="s">
        <v>17</v>
      </c>
      <c r="D668" s="127"/>
      <c r="E668" s="127"/>
      <c r="F668" s="128"/>
      <c r="G668" s="128"/>
      <c r="H668" s="128"/>
      <c r="I668" s="127" t="s">
        <v>1344</v>
      </c>
    </row>
    <row r="669" spans="1:9" x14ac:dyDescent="0.2">
      <c r="A669" s="127" t="s">
        <v>709</v>
      </c>
      <c r="B669" s="127" t="s">
        <v>1930</v>
      </c>
      <c r="C669" s="127" t="s">
        <v>17</v>
      </c>
      <c r="D669" s="127"/>
      <c r="E669" s="127"/>
      <c r="F669" s="128"/>
      <c r="G669" s="128"/>
      <c r="H669" s="128"/>
      <c r="I669" s="127" t="s">
        <v>1344</v>
      </c>
    </row>
    <row r="670" spans="1:9" x14ac:dyDescent="0.2">
      <c r="A670" s="127" t="s">
        <v>1931</v>
      </c>
      <c r="B670" s="127" t="s">
        <v>1932</v>
      </c>
      <c r="C670" s="127" t="s">
        <v>17</v>
      </c>
      <c r="D670" s="127"/>
      <c r="E670" s="127"/>
      <c r="F670" s="128"/>
      <c r="G670" s="128"/>
      <c r="H670" s="128"/>
      <c r="I670" s="127" t="s">
        <v>1344</v>
      </c>
    </row>
    <row r="671" spans="1:9" x14ac:dyDescent="0.2">
      <c r="A671" s="127" t="s">
        <v>1933</v>
      </c>
      <c r="B671" s="127" t="s">
        <v>1934</v>
      </c>
      <c r="C671" s="127" t="s">
        <v>17</v>
      </c>
      <c r="D671" s="127"/>
      <c r="E671" s="127"/>
      <c r="F671" s="128"/>
      <c r="G671" s="128"/>
      <c r="H671" s="128"/>
      <c r="I671" s="127" t="s">
        <v>1344</v>
      </c>
    </row>
    <row r="672" spans="1:9" x14ac:dyDescent="0.2">
      <c r="A672" s="127" t="s">
        <v>1935</v>
      </c>
      <c r="B672" s="127" t="s">
        <v>1936</v>
      </c>
      <c r="C672" s="127" t="s">
        <v>17</v>
      </c>
      <c r="D672" s="127"/>
      <c r="E672" s="127"/>
      <c r="F672" s="128"/>
      <c r="G672" s="128"/>
      <c r="H672" s="128"/>
      <c r="I672" s="127" t="s">
        <v>1344</v>
      </c>
    </row>
    <row r="673" spans="1:9" x14ac:dyDescent="0.2">
      <c r="A673" s="127" t="s">
        <v>1937</v>
      </c>
      <c r="B673" s="127" t="s">
        <v>1938</v>
      </c>
      <c r="C673" s="127" t="s">
        <v>17</v>
      </c>
      <c r="D673" s="127"/>
      <c r="E673" s="127"/>
      <c r="F673" s="128"/>
      <c r="G673" s="128"/>
      <c r="H673" s="128"/>
      <c r="I673" s="127" t="s">
        <v>1344</v>
      </c>
    </row>
    <row r="674" spans="1:9" x14ac:dyDescent="0.2">
      <c r="A674" s="127" t="s">
        <v>476</v>
      </c>
      <c r="B674" s="127" t="s">
        <v>1939</v>
      </c>
      <c r="C674" s="127" t="s">
        <v>46</v>
      </c>
      <c r="D674" s="127"/>
      <c r="E674" s="127"/>
      <c r="F674" s="128"/>
      <c r="G674" s="128"/>
      <c r="H674" s="128"/>
      <c r="I674" s="127" t="s">
        <v>1344</v>
      </c>
    </row>
    <row r="675" spans="1:9" x14ac:dyDescent="0.2">
      <c r="A675" s="127" t="s">
        <v>1940</v>
      </c>
      <c r="B675" s="127" t="s">
        <v>1941</v>
      </c>
      <c r="C675" s="127" t="s">
        <v>46</v>
      </c>
      <c r="D675" s="127"/>
      <c r="E675" s="127"/>
      <c r="F675" s="128"/>
      <c r="G675" s="128"/>
      <c r="H675" s="128"/>
      <c r="I675" s="127" t="s">
        <v>1344</v>
      </c>
    </row>
    <row r="676" spans="1:9" x14ac:dyDescent="0.2">
      <c r="A676" s="127" t="s">
        <v>1942</v>
      </c>
      <c r="B676" s="127" t="s">
        <v>1943</v>
      </c>
      <c r="C676" s="127" t="s">
        <v>22</v>
      </c>
      <c r="D676" s="127"/>
      <c r="E676" s="127"/>
      <c r="F676" s="128"/>
      <c r="G676" s="128"/>
      <c r="H676" s="128"/>
      <c r="I676" s="127" t="s">
        <v>1344</v>
      </c>
    </row>
    <row r="677" spans="1:9" x14ac:dyDescent="0.2">
      <c r="A677" s="127" t="s">
        <v>1944</v>
      </c>
      <c r="B677" s="127" t="s">
        <v>1945</v>
      </c>
      <c r="C677" s="127" t="s">
        <v>46</v>
      </c>
      <c r="D677" s="127"/>
      <c r="E677" s="127"/>
      <c r="F677" s="128"/>
      <c r="G677" s="128"/>
      <c r="H677" s="128"/>
      <c r="I677" s="127" t="s">
        <v>1344</v>
      </c>
    </row>
    <row r="678" spans="1:9" x14ac:dyDescent="0.2">
      <c r="A678" s="127" t="s">
        <v>476</v>
      </c>
      <c r="B678" s="127" t="s">
        <v>1946</v>
      </c>
      <c r="C678" s="127" t="s">
        <v>22</v>
      </c>
      <c r="D678" s="127"/>
      <c r="E678" s="127"/>
      <c r="F678" s="128"/>
      <c r="G678" s="128"/>
      <c r="H678" s="128"/>
      <c r="I678" s="127" t="s">
        <v>1344</v>
      </c>
    </row>
    <row r="679" spans="1:9" x14ac:dyDescent="0.2">
      <c r="A679" s="127" t="s">
        <v>1614</v>
      </c>
      <c r="B679" s="127" t="s">
        <v>1947</v>
      </c>
      <c r="C679" s="127" t="s">
        <v>46</v>
      </c>
      <c r="D679" s="127"/>
      <c r="E679" s="127"/>
      <c r="F679" s="128"/>
      <c r="G679" s="128"/>
      <c r="H679" s="128"/>
      <c r="I679" s="127" t="s">
        <v>1344</v>
      </c>
    </row>
    <row r="680" spans="1:9" x14ac:dyDescent="0.2">
      <c r="A680" s="127" t="s">
        <v>1948</v>
      </c>
      <c r="B680" s="127" t="s">
        <v>1949</v>
      </c>
      <c r="C680" s="127" t="s">
        <v>17</v>
      </c>
      <c r="D680" s="127"/>
      <c r="E680" s="127"/>
      <c r="F680" s="128"/>
      <c r="G680" s="128"/>
      <c r="H680" s="128"/>
      <c r="I680" s="127" t="s">
        <v>1344</v>
      </c>
    </row>
    <row r="681" spans="1:9" x14ac:dyDescent="0.2">
      <c r="A681" s="127" t="s">
        <v>1950</v>
      </c>
      <c r="B681" s="127" t="s">
        <v>1951</v>
      </c>
      <c r="C681" s="127" t="s">
        <v>46</v>
      </c>
      <c r="D681" s="127"/>
      <c r="E681" s="127"/>
      <c r="F681" s="128"/>
      <c r="G681" s="128"/>
      <c r="H681" s="128"/>
      <c r="I681" s="127" t="s">
        <v>1344</v>
      </c>
    </row>
    <row r="682" spans="1:9" x14ac:dyDescent="0.2">
      <c r="A682" s="127" t="s">
        <v>1952</v>
      </c>
      <c r="B682" s="127" t="s">
        <v>1953</v>
      </c>
      <c r="C682" s="127" t="s">
        <v>22</v>
      </c>
      <c r="D682" s="127"/>
      <c r="E682" s="127"/>
      <c r="F682" s="128"/>
      <c r="G682" s="128"/>
      <c r="H682" s="128"/>
      <c r="I682" s="127" t="s">
        <v>1344</v>
      </c>
    </row>
    <row r="683" spans="1:9" x14ac:dyDescent="0.2">
      <c r="A683" s="127" t="s">
        <v>1954</v>
      </c>
      <c r="B683" s="127" t="s">
        <v>1955</v>
      </c>
      <c r="C683" s="127" t="s">
        <v>46</v>
      </c>
      <c r="D683" s="127"/>
      <c r="E683" s="127"/>
      <c r="F683" s="128"/>
      <c r="G683" s="128"/>
      <c r="H683" s="128"/>
      <c r="I683" s="127" t="s">
        <v>1344</v>
      </c>
    </row>
    <row r="684" spans="1:9" x14ac:dyDescent="0.2">
      <c r="A684" s="127" t="s">
        <v>1956</v>
      </c>
      <c r="B684" s="127" t="s">
        <v>1957</v>
      </c>
      <c r="C684" s="127" t="s">
        <v>17</v>
      </c>
      <c r="D684" s="127"/>
      <c r="E684" s="127"/>
      <c r="F684" s="128"/>
      <c r="G684" s="128"/>
      <c r="H684" s="128"/>
      <c r="I684" s="127" t="s">
        <v>1344</v>
      </c>
    </row>
    <row r="685" spans="1:9" x14ac:dyDescent="0.2">
      <c r="A685" s="127" t="s">
        <v>1958</v>
      </c>
      <c r="B685" s="127" t="s">
        <v>1959</v>
      </c>
      <c r="C685" s="127" t="s">
        <v>17</v>
      </c>
      <c r="D685" s="127"/>
      <c r="E685" s="127"/>
      <c r="F685" s="128"/>
      <c r="G685" s="128"/>
      <c r="H685" s="128"/>
      <c r="I685" s="127" t="s">
        <v>1344</v>
      </c>
    </row>
    <row r="686" spans="1:9" x14ac:dyDescent="0.2">
      <c r="A686" s="127" t="s">
        <v>1960</v>
      </c>
      <c r="B686" s="127" t="s">
        <v>1961</v>
      </c>
      <c r="C686" s="127" t="s">
        <v>46</v>
      </c>
      <c r="D686" s="127"/>
      <c r="E686" s="127"/>
      <c r="F686" s="128"/>
      <c r="G686" s="128"/>
      <c r="H686" s="128"/>
      <c r="I686" s="127" t="s">
        <v>1344</v>
      </c>
    </row>
    <row r="687" spans="1:9" x14ac:dyDescent="0.2">
      <c r="A687" s="127" t="s">
        <v>1962</v>
      </c>
      <c r="B687" s="127" t="s">
        <v>1963</v>
      </c>
      <c r="C687" s="127" t="s">
        <v>46</v>
      </c>
      <c r="D687" s="127"/>
      <c r="E687" s="127"/>
      <c r="F687" s="128"/>
      <c r="G687" s="128"/>
      <c r="H687" s="128"/>
      <c r="I687" s="127" t="s">
        <v>1344</v>
      </c>
    </row>
    <row r="688" spans="1:9" x14ac:dyDescent="0.2">
      <c r="A688" s="127" t="s">
        <v>1964</v>
      </c>
      <c r="B688" s="127" t="s">
        <v>1965</v>
      </c>
      <c r="C688" s="127" t="s">
        <v>17</v>
      </c>
      <c r="D688" s="127"/>
      <c r="E688" s="127"/>
      <c r="F688" s="128"/>
      <c r="G688" s="128"/>
      <c r="H688" s="128"/>
      <c r="I688" s="127" t="s">
        <v>1344</v>
      </c>
    </row>
    <row r="689" spans="1:9" x14ac:dyDescent="0.2">
      <c r="A689" s="127" t="s">
        <v>1966</v>
      </c>
      <c r="B689" s="127" t="s">
        <v>1967</v>
      </c>
      <c r="C689" s="127" t="s">
        <v>46</v>
      </c>
      <c r="D689" s="127"/>
      <c r="E689" s="127"/>
      <c r="F689" s="128"/>
      <c r="G689" s="128"/>
      <c r="H689" s="128"/>
      <c r="I689" s="127" t="s">
        <v>1344</v>
      </c>
    </row>
    <row r="690" spans="1:9" x14ac:dyDescent="0.2">
      <c r="A690" s="127" t="s">
        <v>1968</v>
      </c>
      <c r="B690" s="127" t="s">
        <v>1969</v>
      </c>
      <c r="C690" s="127" t="s">
        <v>46</v>
      </c>
      <c r="D690" s="127"/>
      <c r="E690" s="127"/>
      <c r="F690" s="128"/>
      <c r="G690" s="128"/>
      <c r="H690" s="128"/>
      <c r="I690" s="127" t="s">
        <v>1344</v>
      </c>
    </row>
    <row r="691" spans="1:9" x14ac:dyDescent="0.2">
      <c r="A691" s="127" t="s">
        <v>1970</v>
      </c>
      <c r="B691" s="127" t="s">
        <v>1971</v>
      </c>
      <c r="C691" s="127" t="s">
        <v>17</v>
      </c>
      <c r="D691" s="127"/>
      <c r="E691" s="127"/>
      <c r="F691" s="128"/>
      <c r="G691" s="128"/>
      <c r="H691" s="128"/>
      <c r="I691" s="127" t="s">
        <v>1344</v>
      </c>
    </row>
    <row r="692" spans="1:9" x14ac:dyDescent="0.2">
      <c r="A692" s="127" t="s">
        <v>1972</v>
      </c>
      <c r="B692" s="127" t="s">
        <v>1973</v>
      </c>
      <c r="C692" s="127" t="s">
        <v>46</v>
      </c>
      <c r="D692" s="127"/>
      <c r="E692" s="127"/>
      <c r="F692" s="128"/>
      <c r="G692" s="128"/>
      <c r="H692" s="128"/>
      <c r="I692" s="127" t="s">
        <v>1344</v>
      </c>
    </row>
    <row r="693" spans="1:9" x14ac:dyDescent="0.2">
      <c r="A693" s="127" t="s">
        <v>1974</v>
      </c>
      <c r="B693" s="127" t="s">
        <v>1975</v>
      </c>
      <c r="C693" s="127" t="s">
        <v>46</v>
      </c>
      <c r="D693" s="127"/>
      <c r="E693" s="127"/>
      <c r="F693" s="128"/>
      <c r="G693" s="128"/>
      <c r="H693" s="128"/>
      <c r="I693" s="127" t="s">
        <v>1344</v>
      </c>
    </row>
    <row r="694" spans="1:9" x14ac:dyDescent="0.2">
      <c r="A694" s="127" t="s">
        <v>1976</v>
      </c>
      <c r="B694" s="127" t="s">
        <v>1321</v>
      </c>
      <c r="C694" s="127" t="s">
        <v>22</v>
      </c>
      <c r="D694" s="127"/>
      <c r="E694" s="127"/>
      <c r="F694" s="128"/>
      <c r="G694" s="128"/>
      <c r="H694" s="128"/>
      <c r="I694" s="127" t="s">
        <v>1344</v>
      </c>
    </row>
    <row r="695" spans="1:9" x14ac:dyDescent="0.2">
      <c r="A695" s="127" t="s">
        <v>1977</v>
      </c>
      <c r="B695" s="127" t="s">
        <v>1978</v>
      </c>
      <c r="C695" s="127" t="s">
        <v>17</v>
      </c>
      <c r="D695" s="127"/>
      <c r="E695" s="127"/>
      <c r="F695" s="128"/>
      <c r="G695" s="128"/>
      <c r="H695" s="128"/>
      <c r="I695" s="127" t="s">
        <v>1344</v>
      </c>
    </row>
    <row r="696" spans="1:9" x14ac:dyDescent="0.2">
      <c r="A696" s="127" t="s">
        <v>1979</v>
      </c>
      <c r="B696" s="127" t="s">
        <v>1980</v>
      </c>
      <c r="C696" s="127" t="s">
        <v>46</v>
      </c>
      <c r="D696" s="127"/>
      <c r="E696" s="127"/>
      <c r="F696" s="128"/>
      <c r="G696" s="128"/>
      <c r="H696" s="128"/>
      <c r="I696" s="127" t="s">
        <v>1344</v>
      </c>
    </row>
    <row r="697" spans="1:9" x14ac:dyDescent="0.2">
      <c r="A697" s="127" t="s">
        <v>1981</v>
      </c>
      <c r="B697" s="127" t="s">
        <v>1982</v>
      </c>
      <c r="C697" s="127" t="s">
        <v>22</v>
      </c>
      <c r="D697" s="127"/>
      <c r="E697" s="127"/>
      <c r="F697" s="128"/>
      <c r="G697" s="128"/>
      <c r="H697" s="128"/>
      <c r="I697" s="127" t="s">
        <v>1344</v>
      </c>
    </row>
    <row r="698" spans="1:9" x14ac:dyDescent="0.2">
      <c r="A698" s="127" t="s">
        <v>1983</v>
      </c>
      <c r="B698" s="127" t="s">
        <v>1984</v>
      </c>
      <c r="C698" s="127" t="s">
        <v>17</v>
      </c>
      <c r="D698" s="127"/>
      <c r="E698" s="127"/>
      <c r="F698" s="128"/>
      <c r="G698" s="128"/>
      <c r="H698" s="128"/>
      <c r="I698" s="127" t="s">
        <v>1344</v>
      </c>
    </row>
    <row r="699" spans="1:9" x14ac:dyDescent="0.2">
      <c r="A699" s="127" t="s">
        <v>1985</v>
      </c>
      <c r="B699" s="127" t="s">
        <v>1986</v>
      </c>
      <c r="C699" s="127" t="s">
        <v>46</v>
      </c>
      <c r="D699" s="127"/>
      <c r="E699" s="127"/>
      <c r="F699" s="128"/>
      <c r="G699" s="128"/>
      <c r="H699" s="128"/>
      <c r="I699" s="127" t="s">
        <v>1344</v>
      </c>
    </row>
    <row r="700" spans="1:9" x14ac:dyDescent="0.2">
      <c r="A700" s="127" t="s">
        <v>1987</v>
      </c>
      <c r="B700" s="127" t="s">
        <v>1988</v>
      </c>
      <c r="C700" s="127" t="s">
        <v>46</v>
      </c>
      <c r="D700" s="127"/>
      <c r="E700" s="127"/>
      <c r="F700" s="128"/>
      <c r="G700" s="128"/>
      <c r="H700" s="128"/>
      <c r="I700" s="127" t="s">
        <v>1344</v>
      </c>
    </row>
    <row r="701" spans="1:9" x14ac:dyDescent="0.2">
      <c r="A701" s="127" t="s">
        <v>1989</v>
      </c>
      <c r="B701" s="127" t="s">
        <v>1990</v>
      </c>
      <c r="C701" s="127" t="s">
        <v>22</v>
      </c>
      <c r="D701" s="127"/>
      <c r="E701" s="127"/>
      <c r="F701" s="128"/>
      <c r="G701" s="128"/>
      <c r="H701" s="128"/>
      <c r="I701" s="127" t="s">
        <v>1344</v>
      </c>
    </row>
    <row r="702" spans="1:9" x14ac:dyDescent="0.2">
      <c r="A702" s="127" t="s">
        <v>1991</v>
      </c>
      <c r="B702" s="127" t="s">
        <v>1992</v>
      </c>
      <c r="C702" s="127" t="s">
        <v>46</v>
      </c>
      <c r="D702" s="127"/>
      <c r="E702" s="127"/>
      <c r="F702" s="128"/>
      <c r="G702" s="128"/>
      <c r="H702" s="128"/>
      <c r="I702" s="127" t="s">
        <v>1344</v>
      </c>
    </row>
    <row r="703" spans="1:9" x14ac:dyDescent="0.2">
      <c r="A703" s="127"/>
      <c r="B703" s="127" t="s">
        <v>1993</v>
      </c>
      <c r="C703" s="127" t="s">
        <v>22</v>
      </c>
      <c r="D703" s="127"/>
      <c r="E703" s="127"/>
      <c r="F703" s="128"/>
      <c r="G703" s="128"/>
      <c r="H703" s="128"/>
      <c r="I703" s="127" t="s">
        <v>1344</v>
      </c>
    </row>
    <row r="704" spans="1:9" x14ac:dyDescent="0.2">
      <c r="A704" s="127" t="s">
        <v>1994</v>
      </c>
      <c r="B704" s="127" t="s">
        <v>1995</v>
      </c>
      <c r="C704" s="127" t="s">
        <v>46</v>
      </c>
      <c r="D704" s="127"/>
      <c r="E704" s="127"/>
      <c r="F704" s="128"/>
      <c r="G704" s="128"/>
      <c r="H704" s="128"/>
      <c r="I704" s="127" t="s">
        <v>1344</v>
      </c>
    </row>
    <row r="705" spans="1:9" x14ac:dyDescent="0.2">
      <c r="A705" s="127" t="s">
        <v>1996</v>
      </c>
      <c r="B705" s="127" t="s">
        <v>1997</v>
      </c>
      <c r="C705" s="127" t="s">
        <v>46</v>
      </c>
      <c r="D705" s="127"/>
      <c r="E705" s="127"/>
      <c r="F705" s="128"/>
      <c r="G705" s="128"/>
      <c r="H705" s="128"/>
      <c r="I705" s="127" t="s">
        <v>1344</v>
      </c>
    </row>
    <row r="706" spans="1:9" x14ac:dyDescent="0.2">
      <c r="A706" s="127" t="s">
        <v>1998</v>
      </c>
      <c r="B706" s="127" t="s">
        <v>1999</v>
      </c>
      <c r="C706" s="127" t="s">
        <v>17</v>
      </c>
      <c r="D706" s="127"/>
      <c r="E706" s="127"/>
      <c r="F706" s="128"/>
      <c r="G706" s="128"/>
      <c r="H706" s="128"/>
      <c r="I706" s="127" t="s">
        <v>1344</v>
      </c>
    </row>
    <row r="707" spans="1:9" x14ac:dyDescent="0.2">
      <c r="A707" s="127" t="s">
        <v>2000</v>
      </c>
      <c r="B707" s="127" t="s">
        <v>2001</v>
      </c>
      <c r="C707" s="127" t="s">
        <v>46</v>
      </c>
      <c r="D707" s="127"/>
      <c r="E707" s="127"/>
      <c r="F707" s="128"/>
      <c r="G707" s="128"/>
      <c r="H707" s="128"/>
      <c r="I707" s="127" t="s">
        <v>1344</v>
      </c>
    </row>
    <row r="708" spans="1:9" x14ac:dyDescent="0.2">
      <c r="A708" s="127" t="s">
        <v>2002</v>
      </c>
      <c r="B708" s="127" t="s">
        <v>2003</v>
      </c>
      <c r="C708" s="127" t="s">
        <v>46</v>
      </c>
      <c r="D708" s="127"/>
      <c r="E708" s="127"/>
      <c r="F708" s="128"/>
      <c r="G708" s="128"/>
      <c r="H708" s="128"/>
      <c r="I708" s="127" t="s">
        <v>1344</v>
      </c>
    </row>
    <row r="709" spans="1:9" x14ac:dyDescent="0.2">
      <c r="A709" s="127" t="s">
        <v>2004</v>
      </c>
      <c r="B709" s="127" t="s">
        <v>2005</v>
      </c>
      <c r="C709" s="127" t="s">
        <v>22</v>
      </c>
      <c r="D709" s="127"/>
      <c r="E709" s="127"/>
      <c r="F709" s="128"/>
      <c r="G709" s="128"/>
      <c r="H709" s="128"/>
      <c r="I709" s="127" t="s">
        <v>1344</v>
      </c>
    </row>
    <row r="710" spans="1:9" x14ac:dyDescent="0.2">
      <c r="A710" s="127" t="s">
        <v>2006</v>
      </c>
      <c r="B710" s="127" t="s">
        <v>2007</v>
      </c>
      <c r="C710" s="127" t="s">
        <v>22</v>
      </c>
      <c r="D710" s="127"/>
      <c r="E710" s="127"/>
      <c r="F710" s="128"/>
      <c r="G710" s="128"/>
      <c r="H710" s="128"/>
      <c r="I710" s="127" t="s">
        <v>1344</v>
      </c>
    </row>
    <row r="711" spans="1:9" x14ac:dyDescent="0.2">
      <c r="A711" s="127" t="s">
        <v>2008</v>
      </c>
      <c r="B711" s="127" t="s">
        <v>2009</v>
      </c>
      <c r="C711" s="127" t="s">
        <v>17</v>
      </c>
      <c r="D711" s="127"/>
      <c r="E711" s="127"/>
      <c r="F711" s="128"/>
      <c r="G711" s="128"/>
      <c r="H711" s="128"/>
      <c r="I711" s="127" t="s">
        <v>1344</v>
      </c>
    </row>
    <row r="712" spans="1:9" x14ac:dyDescent="0.2">
      <c r="A712" s="127" t="s">
        <v>2010</v>
      </c>
      <c r="B712" s="127" t="s">
        <v>2011</v>
      </c>
      <c r="C712" s="127" t="s">
        <v>17</v>
      </c>
      <c r="D712" s="127"/>
      <c r="E712" s="127"/>
      <c r="F712" s="128"/>
      <c r="G712" s="128"/>
      <c r="H712" s="128"/>
      <c r="I712" s="127" t="s">
        <v>1344</v>
      </c>
    </row>
    <row r="713" spans="1:9" x14ac:dyDescent="0.2">
      <c r="A713" s="127" t="s">
        <v>2012</v>
      </c>
      <c r="B713" s="127" t="s">
        <v>2013</v>
      </c>
      <c r="C713" s="127" t="s">
        <v>46</v>
      </c>
      <c r="D713" s="127"/>
      <c r="E713" s="127"/>
      <c r="F713" s="128"/>
      <c r="G713" s="128"/>
      <c r="H713" s="128"/>
      <c r="I713" s="127" t="s">
        <v>1344</v>
      </c>
    </row>
    <row r="714" spans="1:9" x14ac:dyDescent="0.2">
      <c r="A714" s="127"/>
      <c r="B714" s="127" t="s">
        <v>2014</v>
      </c>
      <c r="C714" s="127" t="s">
        <v>17</v>
      </c>
      <c r="D714" s="127"/>
      <c r="E714" s="127"/>
      <c r="F714" s="128"/>
      <c r="G714" s="128"/>
      <c r="H714" s="128"/>
      <c r="I714" s="127" t="s">
        <v>1344</v>
      </c>
    </row>
    <row r="715" spans="1:9" x14ac:dyDescent="0.2">
      <c r="A715" s="127" t="s">
        <v>2015</v>
      </c>
      <c r="B715" s="127" t="s">
        <v>2016</v>
      </c>
      <c r="C715" s="127" t="s">
        <v>46</v>
      </c>
      <c r="D715" s="127"/>
      <c r="E715" s="127"/>
      <c r="F715" s="128"/>
      <c r="G715" s="128"/>
      <c r="H715" s="128"/>
      <c r="I715" s="127" t="s">
        <v>1344</v>
      </c>
    </row>
    <row r="716" spans="1:9" x14ac:dyDescent="0.2">
      <c r="A716" s="127" t="s">
        <v>2017</v>
      </c>
      <c r="B716" s="127" t="s">
        <v>2018</v>
      </c>
      <c r="C716" s="127" t="s">
        <v>22</v>
      </c>
      <c r="D716" s="127"/>
      <c r="E716" s="127"/>
      <c r="F716" s="128"/>
      <c r="G716" s="128"/>
      <c r="H716" s="128"/>
      <c r="I716" s="127" t="s">
        <v>1344</v>
      </c>
    </row>
    <row r="717" spans="1:9" x14ac:dyDescent="0.2">
      <c r="A717" s="127" t="s">
        <v>2019</v>
      </c>
      <c r="B717" s="127" t="s">
        <v>2020</v>
      </c>
      <c r="C717" s="127" t="s">
        <v>46</v>
      </c>
      <c r="D717" s="127"/>
      <c r="E717" s="127"/>
      <c r="F717" s="128"/>
      <c r="G717" s="128"/>
      <c r="H717" s="128"/>
      <c r="I717" s="127" t="s">
        <v>1344</v>
      </c>
    </row>
    <row r="718" spans="1:9" x14ac:dyDescent="0.2">
      <c r="A718" s="127" t="s">
        <v>1703</v>
      </c>
      <c r="B718" s="127" t="s">
        <v>2021</v>
      </c>
      <c r="C718" s="127" t="s">
        <v>22</v>
      </c>
      <c r="D718" s="127"/>
      <c r="E718" s="127"/>
      <c r="F718" s="128"/>
      <c r="G718" s="128"/>
      <c r="H718" s="128"/>
      <c r="I718" s="127" t="s">
        <v>1344</v>
      </c>
    </row>
    <row r="719" spans="1:9" x14ac:dyDescent="0.2">
      <c r="A719" s="127" t="s">
        <v>2022</v>
      </c>
      <c r="B719" s="127" t="s">
        <v>2023</v>
      </c>
      <c r="C719" s="127" t="s">
        <v>17</v>
      </c>
      <c r="D719" s="127"/>
      <c r="E719" s="127"/>
      <c r="F719" s="128"/>
      <c r="G719" s="128"/>
      <c r="H719" s="128"/>
      <c r="I719" s="127" t="s">
        <v>1344</v>
      </c>
    </row>
    <row r="720" spans="1:9" x14ac:dyDescent="0.2">
      <c r="A720" s="127" t="s">
        <v>2024</v>
      </c>
      <c r="B720" s="127" t="s">
        <v>2025</v>
      </c>
      <c r="C720" s="127" t="s">
        <v>46</v>
      </c>
      <c r="D720" s="127"/>
      <c r="E720" s="127"/>
      <c r="F720" s="128"/>
      <c r="G720" s="128"/>
      <c r="H720" s="128"/>
      <c r="I720" s="127" t="s">
        <v>1344</v>
      </c>
    </row>
    <row r="721" spans="1:9" x14ac:dyDescent="0.2">
      <c r="A721" s="127" t="s">
        <v>2026</v>
      </c>
      <c r="B721" s="127" t="s">
        <v>2027</v>
      </c>
      <c r="C721" s="127" t="s">
        <v>22</v>
      </c>
      <c r="D721" s="127"/>
      <c r="E721" s="127"/>
      <c r="F721" s="128"/>
      <c r="G721" s="128"/>
      <c r="H721" s="128"/>
      <c r="I721" s="127" t="s">
        <v>1344</v>
      </c>
    </row>
    <row r="722" spans="1:9" x14ac:dyDescent="0.2">
      <c r="A722" s="127" t="s">
        <v>2028</v>
      </c>
      <c r="B722" s="127" t="s">
        <v>2029</v>
      </c>
      <c r="C722" s="127" t="s">
        <v>46</v>
      </c>
      <c r="D722" s="127"/>
      <c r="E722" s="127"/>
      <c r="F722" s="128"/>
      <c r="G722" s="128"/>
      <c r="H722" s="128"/>
      <c r="I722" s="127" t="s">
        <v>1344</v>
      </c>
    </row>
    <row r="723" spans="1:9" x14ac:dyDescent="0.2">
      <c r="A723" s="127" t="s">
        <v>2030</v>
      </c>
      <c r="B723" s="127" t="s">
        <v>2031</v>
      </c>
      <c r="C723" s="127" t="s">
        <v>46</v>
      </c>
      <c r="D723" s="127"/>
      <c r="E723" s="127"/>
      <c r="F723" s="128"/>
      <c r="G723" s="128"/>
      <c r="H723" s="128"/>
      <c r="I723" s="127" t="s">
        <v>1344</v>
      </c>
    </row>
    <row r="724" spans="1:9" x14ac:dyDescent="0.2">
      <c r="A724" s="127" t="s">
        <v>2032</v>
      </c>
      <c r="B724" s="127" t="s">
        <v>2033</v>
      </c>
      <c r="C724" s="127" t="s">
        <v>17</v>
      </c>
      <c r="D724" s="127"/>
      <c r="E724" s="127"/>
      <c r="F724" s="128"/>
      <c r="G724" s="128"/>
      <c r="H724" s="128"/>
      <c r="I724" s="127" t="s">
        <v>1344</v>
      </c>
    </row>
    <row r="725" spans="1:9" x14ac:dyDescent="0.2">
      <c r="A725" s="127" t="s">
        <v>985</v>
      </c>
      <c r="B725" s="127" t="s">
        <v>2034</v>
      </c>
      <c r="C725" s="127" t="s">
        <v>46</v>
      </c>
      <c r="D725" s="127"/>
      <c r="E725" s="127"/>
      <c r="F725" s="128"/>
      <c r="G725" s="128"/>
      <c r="H725" s="128"/>
      <c r="I725" s="127" t="s">
        <v>1344</v>
      </c>
    </row>
    <row r="726" spans="1:9" x14ac:dyDescent="0.2">
      <c r="A726" s="127" t="s">
        <v>2035</v>
      </c>
      <c r="B726" s="127" t="s">
        <v>2036</v>
      </c>
      <c r="C726" s="127" t="s">
        <v>46</v>
      </c>
      <c r="D726" s="127"/>
      <c r="E726" s="127"/>
      <c r="F726" s="128"/>
      <c r="G726" s="128"/>
      <c r="H726" s="128"/>
      <c r="I726" s="127" t="s">
        <v>1344</v>
      </c>
    </row>
    <row r="727" spans="1:9" x14ac:dyDescent="0.2">
      <c r="A727" s="127" t="s">
        <v>2037</v>
      </c>
      <c r="B727" s="127" t="s">
        <v>2038</v>
      </c>
      <c r="C727" s="127" t="s">
        <v>22</v>
      </c>
      <c r="D727" s="127"/>
      <c r="E727" s="127"/>
      <c r="F727" s="128"/>
      <c r="G727" s="128"/>
      <c r="H727" s="128"/>
      <c r="I727" s="127" t="s">
        <v>1344</v>
      </c>
    </row>
    <row r="728" spans="1:9" x14ac:dyDescent="0.2">
      <c r="A728" s="127" t="s">
        <v>2039</v>
      </c>
      <c r="B728" s="127" t="s">
        <v>2040</v>
      </c>
      <c r="C728" s="127" t="s">
        <v>46</v>
      </c>
      <c r="D728" s="127"/>
      <c r="E728" s="127"/>
      <c r="F728" s="128"/>
      <c r="G728" s="128"/>
      <c r="H728" s="128"/>
      <c r="I728" s="127" t="s">
        <v>1344</v>
      </c>
    </row>
    <row r="729" spans="1:9" x14ac:dyDescent="0.2">
      <c r="A729" s="127" t="s">
        <v>2041</v>
      </c>
      <c r="B729" s="127" t="s">
        <v>2042</v>
      </c>
      <c r="C729" s="127" t="s">
        <v>46</v>
      </c>
      <c r="D729" s="127"/>
      <c r="E729" s="127"/>
      <c r="F729" s="128"/>
      <c r="G729" s="128"/>
      <c r="H729" s="128"/>
      <c r="I729" s="127" t="s">
        <v>1344</v>
      </c>
    </row>
    <row r="730" spans="1:9" x14ac:dyDescent="0.2">
      <c r="A730" s="127" t="s">
        <v>2043</v>
      </c>
      <c r="B730" s="127" t="s">
        <v>2044</v>
      </c>
      <c r="C730" s="127" t="s">
        <v>22</v>
      </c>
      <c r="D730" s="127"/>
      <c r="E730" s="127"/>
      <c r="F730" s="128"/>
      <c r="G730" s="128"/>
      <c r="H730" s="128"/>
      <c r="I730" s="127" t="s">
        <v>1344</v>
      </c>
    </row>
    <row r="731" spans="1:9" x14ac:dyDescent="0.2">
      <c r="A731" s="127" t="s">
        <v>2045</v>
      </c>
      <c r="B731" s="127" t="s">
        <v>2046</v>
      </c>
      <c r="C731" s="127" t="s">
        <v>46</v>
      </c>
      <c r="D731" s="127"/>
      <c r="E731" s="127"/>
      <c r="F731" s="128"/>
      <c r="G731" s="128"/>
      <c r="H731" s="128"/>
      <c r="I731" s="127" t="s">
        <v>1344</v>
      </c>
    </row>
    <row r="732" spans="1:9" x14ac:dyDescent="0.2">
      <c r="A732" s="127" t="s">
        <v>2047</v>
      </c>
      <c r="B732" s="127" t="s">
        <v>2048</v>
      </c>
      <c r="C732" s="127" t="s">
        <v>17</v>
      </c>
      <c r="D732" s="127"/>
      <c r="E732" s="127"/>
      <c r="F732" s="128"/>
      <c r="G732" s="128"/>
      <c r="H732" s="128"/>
      <c r="I732" s="127" t="s">
        <v>1344</v>
      </c>
    </row>
    <row r="733" spans="1:9" x14ac:dyDescent="0.2">
      <c r="A733" s="127" t="s">
        <v>2049</v>
      </c>
      <c r="B733" s="127" t="s">
        <v>2050</v>
      </c>
      <c r="C733" s="127" t="s">
        <v>22</v>
      </c>
      <c r="D733" s="127"/>
      <c r="E733" s="127"/>
      <c r="F733" s="128"/>
      <c r="G733" s="128"/>
      <c r="H733" s="128"/>
      <c r="I733" s="127" t="s">
        <v>1344</v>
      </c>
    </row>
    <row r="734" spans="1:9" x14ac:dyDescent="0.2">
      <c r="A734" s="127" t="s">
        <v>2051</v>
      </c>
      <c r="B734" s="127" t="s">
        <v>2052</v>
      </c>
      <c r="C734" s="127" t="s">
        <v>17</v>
      </c>
      <c r="D734" s="127"/>
      <c r="E734" s="127"/>
      <c r="F734" s="128"/>
      <c r="G734" s="128"/>
      <c r="H734" s="128"/>
      <c r="I734" s="127" t="s">
        <v>1344</v>
      </c>
    </row>
    <row r="735" spans="1:9" x14ac:dyDescent="0.2">
      <c r="A735" s="127" t="s">
        <v>2053</v>
      </c>
      <c r="B735" s="127" t="s">
        <v>2054</v>
      </c>
      <c r="C735" s="127" t="s">
        <v>17</v>
      </c>
      <c r="D735" s="127"/>
      <c r="E735" s="127"/>
      <c r="F735" s="128"/>
      <c r="G735" s="128"/>
      <c r="H735" s="128"/>
      <c r="I735" s="127" t="s">
        <v>1344</v>
      </c>
    </row>
    <row r="736" spans="1:9" x14ac:dyDescent="0.2">
      <c r="A736" s="127" t="s">
        <v>2055</v>
      </c>
      <c r="B736" s="127" t="s">
        <v>2056</v>
      </c>
      <c r="C736" s="127" t="s">
        <v>46</v>
      </c>
      <c r="D736" s="127"/>
      <c r="E736" s="127"/>
      <c r="F736" s="128"/>
      <c r="G736" s="128"/>
      <c r="H736" s="128"/>
      <c r="I736" s="127" t="s">
        <v>1344</v>
      </c>
    </row>
    <row r="737" spans="1:9" x14ac:dyDescent="0.2">
      <c r="A737" s="127" t="s">
        <v>2057</v>
      </c>
      <c r="B737" s="127" t="s">
        <v>2058</v>
      </c>
      <c r="C737" s="127" t="s">
        <v>46</v>
      </c>
      <c r="D737" s="127"/>
      <c r="E737" s="127"/>
      <c r="F737" s="128"/>
      <c r="G737" s="128"/>
      <c r="H737" s="128"/>
      <c r="I737" s="127" t="s">
        <v>1344</v>
      </c>
    </row>
    <row r="738" spans="1:9" x14ac:dyDescent="0.2">
      <c r="A738" s="127" t="s">
        <v>2059</v>
      </c>
      <c r="B738" s="127" t="s">
        <v>2060</v>
      </c>
      <c r="C738" s="127" t="s">
        <v>46</v>
      </c>
      <c r="D738" s="127"/>
      <c r="E738" s="127"/>
      <c r="F738" s="128"/>
      <c r="G738" s="128"/>
      <c r="H738" s="128"/>
      <c r="I738" s="127" t="s">
        <v>1344</v>
      </c>
    </row>
    <row r="739" spans="1:9" x14ac:dyDescent="0.2">
      <c r="A739" s="127" t="s">
        <v>2061</v>
      </c>
      <c r="B739" s="127" t="s">
        <v>2062</v>
      </c>
      <c r="C739" s="127" t="s">
        <v>46</v>
      </c>
      <c r="D739" s="127"/>
      <c r="E739" s="127"/>
      <c r="F739" s="128"/>
      <c r="G739" s="128"/>
      <c r="H739" s="128"/>
      <c r="I739" s="127" t="s">
        <v>1344</v>
      </c>
    </row>
    <row r="740" spans="1:9" x14ac:dyDescent="0.2">
      <c r="A740" s="127" t="s">
        <v>2063</v>
      </c>
      <c r="B740" s="127" t="s">
        <v>2064</v>
      </c>
      <c r="C740" s="127" t="s">
        <v>46</v>
      </c>
      <c r="D740" s="127"/>
      <c r="E740" s="127"/>
      <c r="F740" s="128"/>
      <c r="G740" s="128"/>
      <c r="H740" s="128"/>
      <c r="I740" s="127" t="s">
        <v>1344</v>
      </c>
    </row>
    <row r="741" spans="1:9" x14ac:dyDescent="0.2">
      <c r="A741" s="127" t="s">
        <v>2065</v>
      </c>
      <c r="B741" s="127" t="s">
        <v>2066</v>
      </c>
      <c r="C741" s="127" t="s">
        <v>46</v>
      </c>
      <c r="D741" s="127"/>
      <c r="E741" s="127"/>
      <c r="F741" s="128"/>
      <c r="G741" s="128"/>
      <c r="H741" s="128"/>
      <c r="I741" s="127" t="s">
        <v>1344</v>
      </c>
    </row>
    <row r="742" spans="1:9" x14ac:dyDescent="0.2">
      <c r="A742" s="127" t="s">
        <v>2067</v>
      </c>
      <c r="B742" s="127" t="s">
        <v>2068</v>
      </c>
      <c r="C742" s="127" t="s">
        <v>46</v>
      </c>
      <c r="D742" s="127"/>
      <c r="E742" s="127"/>
      <c r="F742" s="128"/>
      <c r="G742" s="128"/>
      <c r="H742" s="128"/>
      <c r="I742" s="127" t="s">
        <v>1344</v>
      </c>
    </row>
    <row r="743" spans="1:9" x14ac:dyDescent="0.2">
      <c r="A743" s="127" t="s">
        <v>2069</v>
      </c>
      <c r="B743" s="127" t="s">
        <v>2070</v>
      </c>
      <c r="C743" s="127" t="s">
        <v>17</v>
      </c>
      <c r="D743" s="127"/>
      <c r="E743" s="127"/>
      <c r="F743" s="128"/>
      <c r="G743" s="128"/>
      <c r="H743" s="128"/>
      <c r="I743" s="127" t="s">
        <v>1344</v>
      </c>
    </row>
    <row r="744" spans="1:9" x14ac:dyDescent="0.2">
      <c r="A744" s="127" t="s">
        <v>2071</v>
      </c>
      <c r="B744" s="127" t="s">
        <v>2072</v>
      </c>
      <c r="C744" s="127" t="s">
        <v>22</v>
      </c>
      <c r="D744" s="127"/>
      <c r="E744" s="127"/>
      <c r="F744" s="128"/>
      <c r="G744" s="128"/>
      <c r="H744" s="128"/>
      <c r="I744" s="127" t="s">
        <v>1344</v>
      </c>
    </row>
    <row r="745" spans="1:9" x14ac:dyDescent="0.2">
      <c r="A745" s="127" t="s">
        <v>2073</v>
      </c>
      <c r="B745" s="127" t="s">
        <v>2074</v>
      </c>
      <c r="C745" s="127" t="s">
        <v>46</v>
      </c>
      <c r="D745" s="127"/>
      <c r="E745" s="127"/>
      <c r="F745" s="128"/>
      <c r="G745" s="128"/>
      <c r="H745" s="128"/>
      <c r="I745" s="127" t="s">
        <v>1344</v>
      </c>
    </row>
    <row r="746" spans="1:9" x14ac:dyDescent="0.2">
      <c r="A746" s="127" t="s">
        <v>2075</v>
      </c>
      <c r="B746" s="127" t="s">
        <v>2076</v>
      </c>
      <c r="C746" s="127" t="s">
        <v>22</v>
      </c>
      <c r="D746" s="127"/>
      <c r="E746" s="127"/>
      <c r="F746" s="128"/>
      <c r="G746" s="128"/>
      <c r="H746" s="128"/>
      <c r="I746" s="127" t="s">
        <v>1344</v>
      </c>
    </row>
    <row r="747" spans="1:9" x14ac:dyDescent="0.2">
      <c r="A747" s="127"/>
      <c r="B747" s="127"/>
      <c r="C747" s="127" t="s">
        <v>46</v>
      </c>
      <c r="D747" s="127"/>
      <c r="E747" s="127"/>
      <c r="F747" s="128"/>
      <c r="G747" s="128"/>
      <c r="H747" s="128"/>
      <c r="I747" s="127" t="s">
        <v>1344</v>
      </c>
    </row>
    <row r="748" spans="1:9" x14ac:dyDescent="0.2">
      <c r="A748" s="127" t="s">
        <v>2077</v>
      </c>
      <c r="B748" s="127" t="s">
        <v>2078</v>
      </c>
      <c r="C748" s="127" t="s">
        <v>46</v>
      </c>
      <c r="D748" s="127"/>
      <c r="E748" s="127"/>
      <c r="F748" s="128"/>
      <c r="G748" s="128"/>
      <c r="H748" s="128"/>
      <c r="I748" s="127" t="s">
        <v>1344</v>
      </c>
    </row>
    <row r="749" spans="1:9" x14ac:dyDescent="0.2">
      <c r="A749" s="127" t="s">
        <v>2079</v>
      </c>
      <c r="B749" s="127" t="s">
        <v>2080</v>
      </c>
      <c r="C749" s="127" t="s">
        <v>46</v>
      </c>
      <c r="D749" s="127"/>
      <c r="E749" s="127"/>
      <c r="F749" s="128"/>
      <c r="G749" s="128"/>
      <c r="H749" s="128"/>
      <c r="I749" s="127" t="s">
        <v>1344</v>
      </c>
    </row>
    <row r="750" spans="1:9" x14ac:dyDescent="0.2">
      <c r="A750" s="127" t="s">
        <v>2081</v>
      </c>
      <c r="B750" s="127" t="s">
        <v>2082</v>
      </c>
      <c r="C750" s="127" t="s">
        <v>22</v>
      </c>
      <c r="D750" s="127"/>
      <c r="E750" s="127"/>
      <c r="F750" s="128"/>
      <c r="G750" s="128"/>
      <c r="H750" s="128"/>
      <c r="I750" s="127" t="s">
        <v>1344</v>
      </c>
    </row>
    <row r="751" spans="1:9" x14ac:dyDescent="0.2">
      <c r="A751" s="127" t="s">
        <v>2083</v>
      </c>
      <c r="B751" s="127" t="s">
        <v>2084</v>
      </c>
      <c r="C751" s="127" t="s">
        <v>46</v>
      </c>
      <c r="D751" s="127"/>
      <c r="E751" s="127"/>
      <c r="F751" s="128"/>
      <c r="G751" s="128"/>
      <c r="H751" s="128"/>
      <c r="I751" s="127" t="s">
        <v>1344</v>
      </c>
    </row>
    <row r="752" spans="1:9" x14ac:dyDescent="0.2">
      <c r="A752" s="127" t="s">
        <v>2085</v>
      </c>
      <c r="B752" s="127" t="s">
        <v>2086</v>
      </c>
      <c r="C752" s="127" t="s">
        <v>22</v>
      </c>
      <c r="D752" s="127"/>
      <c r="E752" s="127"/>
      <c r="F752" s="128"/>
      <c r="G752" s="128"/>
      <c r="H752" s="128"/>
      <c r="I752" s="127" t="s">
        <v>1344</v>
      </c>
    </row>
    <row r="753" spans="1:9" x14ac:dyDescent="0.2">
      <c r="A753" s="127"/>
      <c r="B753" s="127" t="s">
        <v>2087</v>
      </c>
      <c r="C753" s="127" t="s">
        <v>22</v>
      </c>
      <c r="D753" s="127"/>
      <c r="E753" s="127"/>
      <c r="F753" s="128"/>
      <c r="G753" s="128"/>
      <c r="H753" s="128"/>
      <c r="I753" s="127" t="s">
        <v>1344</v>
      </c>
    </row>
    <row r="754" spans="1:9" x14ac:dyDescent="0.2">
      <c r="A754" s="127" t="s">
        <v>2088</v>
      </c>
      <c r="B754" s="127" t="s">
        <v>2089</v>
      </c>
      <c r="C754" s="127" t="s">
        <v>22</v>
      </c>
      <c r="D754" s="127"/>
      <c r="E754" s="127"/>
      <c r="F754" s="128"/>
      <c r="G754" s="128"/>
      <c r="H754" s="128"/>
      <c r="I754" s="127" t="s">
        <v>1344</v>
      </c>
    </row>
    <row r="755" spans="1:9" x14ac:dyDescent="0.2">
      <c r="A755" s="127" t="s">
        <v>2090</v>
      </c>
      <c r="B755" s="127" t="s">
        <v>2091</v>
      </c>
      <c r="C755" s="127" t="s">
        <v>17</v>
      </c>
      <c r="D755" s="127"/>
      <c r="E755" s="127"/>
      <c r="F755" s="128"/>
      <c r="G755" s="128"/>
      <c r="H755" s="128"/>
      <c r="I755" s="127" t="s">
        <v>1344</v>
      </c>
    </row>
    <row r="756" spans="1:9" x14ac:dyDescent="0.2">
      <c r="A756" s="127"/>
      <c r="B756" s="127" t="s">
        <v>2092</v>
      </c>
      <c r="C756" s="127" t="s">
        <v>22</v>
      </c>
      <c r="D756" s="127"/>
      <c r="E756" s="127"/>
      <c r="F756" s="128"/>
      <c r="G756" s="128"/>
      <c r="H756" s="128"/>
      <c r="I756" s="127" t="s">
        <v>1344</v>
      </c>
    </row>
    <row r="757" spans="1:9" x14ac:dyDescent="0.2">
      <c r="A757" s="127" t="s">
        <v>2093</v>
      </c>
      <c r="B757" s="127" t="s">
        <v>2094</v>
      </c>
      <c r="C757" s="127" t="s">
        <v>22</v>
      </c>
      <c r="D757" s="127"/>
      <c r="E757" s="127"/>
      <c r="F757" s="128"/>
      <c r="G757" s="128"/>
      <c r="H757" s="128"/>
      <c r="I757" s="127" t="s">
        <v>1344</v>
      </c>
    </row>
    <row r="758" spans="1:9" x14ac:dyDescent="0.2">
      <c r="A758" s="127" t="s">
        <v>2095</v>
      </c>
      <c r="B758" s="127" t="s">
        <v>2096</v>
      </c>
      <c r="C758" s="127" t="s">
        <v>46</v>
      </c>
      <c r="D758" s="127"/>
      <c r="E758" s="127"/>
      <c r="F758" s="128"/>
      <c r="G758" s="128"/>
      <c r="H758" s="128"/>
      <c r="I758" s="127" t="s">
        <v>1344</v>
      </c>
    </row>
    <row r="759" spans="1:9" x14ac:dyDescent="0.2">
      <c r="A759" s="127" t="s">
        <v>1862</v>
      </c>
      <c r="B759" s="127" t="s">
        <v>2097</v>
      </c>
      <c r="C759" s="127" t="s">
        <v>22</v>
      </c>
      <c r="D759" s="127"/>
      <c r="E759" s="127"/>
      <c r="F759" s="128"/>
      <c r="G759" s="128"/>
      <c r="H759" s="128"/>
      <c r="I759" s="127" t="s">
        <v>1344</v>
      </c>
    </row>
    <row r="760" spans="1:9" x14ac:dyDescent="0.2">
      <c r="A760" s="127"/>
      <c r="B760" s="127" t="s">
        <v>2098</v>
      </c>
      <c r="C760" s="127" t="s">
        <v>46</v>
      </c>
      <c r="D760" s="127"/>
      <c r="E760" s="127"/>
      <c r="F760" s="128"/>
      <c r="G760" s="128"/>
      <c r="H760" s="128"/>
      <c r="I760" s="127" t="s">
        <v>1344</v>
      </c>
    </row>
    <row r="761" spans="1:9" x14ac:dyDescent="0.2">
      <c r="A761" s="127"/>
      <c r="B761" s="127" t="s">
        <v>2099</v>
      </c>
      <c r="C761" s="127" t="s">
        <v>46</v>
      </c>
      <c r="D761" s="127"/>
      <c r="E761" s="127"/>
      <c r="F761" s="128"/>
      <c r="G761" s="128"/>
      <c r="H761" s="128"/>
      <c r="I761" s="127" t="s">
        <v>1344</v>
      </c>
    </row>
    <row r="762" spans="1:9" x14ac:dyDescent="0.2">
      <c r="A762" s="127" t="s">
        <v>2100</v>
      </c>
      <c r="B762" s="127" t="s">
        <v>2101</v>
      </c>
      <c r="C762" s="127" t="s">
        <v>17</v>
      </c>
      <c r="D762" s="127"/>
      <c r="E762" s="127"/>
      <c r="F762" s="128"/>
      <c r="G762" s="128"/>
      <c r="H762" s="128"/>
      <c r="I762" s="127" t="s">
        <v>1344</v>
      </c>
    </row>
    <row r="763" spans="1:9" x14ac:dyDescent="0.2">
      <c r="A763" s="127" t="s">
        <v>2102</v>
      </c>
      <c r="B763" s="127" t="s">
        <v>2103</v>
      </c>
      <c r="C763" s="127" t="s">
        <v>46</v>
      </c>
      <c r="D763" s="127"/>
      <c r="E763" s="127"/>
      <c r="F763" s="128"/>
      <c r="G763" s="128"/>
      <c r="H763" s="128"/>
      <c r="I763" s="127" t="s">
        <v>1344</v>
      </c>
    </row>
    <row r="764" spans="1:9" x14ac:dyDescent="0.2">
      <c r="A764" s="127" t="s">
        <v>611</v>
      </c>
      <c r="B764" s="127" t="s">
        <v>2104</v>
      </c>
      <c r="C764" s="127" t="s">
        <v>46</v>
      </c>
      <c r="D764" s="127"/>
      <c r="E764" s="127"/>
      <c r="F764" s="128"/>
      <c r="G764" s="128"/>
      <c r="H764" s="128"/>
      <c r="I764" s="127" t="s">
        <v>1344</v>
      </c>
    </row>
    <row r="765" spans="1:9" x14ac:dyDescent="0.2">
      <c r="A765" s="127"/>
      <c r="B765" s="127" t="s">
        <v>2105</v>
      </c>
      <c r="C765" s="127" t="s">
        <v>46</v>
      </c>
      <c r="D765" s="127"/>
      <c r="E765" s="127"/>
      <c r="F765" s="128"/>
      <c r="G765" s="128"/>
      <c r="H765" s="128"/>
      <c r="I765" s="127" t="s">
        <v>1344</v>
      </c>
    </row>
    <row r="766" spans="1:9" x14ac:dyDescent="0.2">
      <c r="A766" s="127" t="s">
        <v>2106</v>
      </c>
      <c r="B766" s="127" t="s">
        <v>2107</v>
      </c>
      <c r="C766" s="127" t="s">
        <v>17</v>
      </c>
      <c r="D766" s="127"/>
      <c r="E766" s="127"/>
      <c r="F766" s="128"/>
      <c r="G766" s="128"/>
      <c r="H766" s="128"/>
      <c r="I766" s="127" t="s">
        <v>1344</v>
      </c>
    </row>
    <row r="767" spans="1:9" x14ac:dyDescent="0.2">
      <c r="A767" s="127" t="s">
        <v>2108</v>
      </c>
      <c r="B767" s="127" t="s">
        <v>2109</v>
      </c>
      <c r="C767" s="127" t="s">
        <v>17</v>
      </c>
      <c r="D767" s="127"/>
      <c r="E767" s="127"/>
      <c r="F767" s="128"/>
      <c r="G767" s="128"/>
      <c r="H767" s="128"/>
      <c r="I767" s="127" t="s">
        <v>1344</v>
      </c>
    </row>
    <row r="768" spans="1:9" x14ac:dyDescent="0.2">
      <c r="A768" s="127" t="s">
        <v>2110</v>
      </c>
      <c r="B768" s="127" t="s">
        <v>2111</v>
      </c>
      <c r="C768" s="127" t="s">
        <v>22</v>
      </c>
      <c r="D768" s="127"/>
      <c r="E768" s="127"/>
      <c r="F768" s="128"/>
      <c r="G768" s="128"/>
      <c r="H768" s="128"/>
      <c r="I768" s="127" t="s">
        <v>1344</v>
      </c>
    </row>
    <row r="769" spans="1:9" x14ac:dyDescent="0.2">
      <c r="A769" s="127" t="s">
        <v>2112</v>
      </c>
      <c r="B769" s="127" t="s">
        <v>2113</v>
      </c>
      <c r="C769" s="127" t="s">
        <v>17</v>
      </c>
      <c r="D769" s="127"/>
      <c r="E769" s="127"/>
      <c r="F769" s="128"/>
      <c r="G769" s="128"/>
      <c r="H769" s="128"/>
      <c r="I769" s="127" t="s">
        <v>1344</v>
      </c>
    </row>
    <row r="770" spans="1:9" x14ac:dyDescent="0.2">
      <c r="A770" s="127" t="s">
        <v>2114</v>
      </c>
      <c r="B770" s="127" t="s">
        <v>2115</v>
      </c>
      <c r="C770" s="127" t="s">
        <v>22</v>
      </c>
      <c r="D770" s="127"/>
      <c r="E770" s="127"/>
      <c r="F770" s="128"/>
      <c r="G770" s="128"/>
      <c r="H770" s="128"/>
      <c r="I770" s="127" t="s">
        <v>1344</v>
      </c>
    </row>
    <row r="771" spans="1:9" x14ac:dyDescent="0.2">
      <c r="A771" s="127" t="s">
        <v>1862</v>
      </c>
      <c r="B771" s="127" t="s">
        <v>2116</v>
      </c>
      <c r="C771" s="127" t="s">
        <v>22</v>
      </c>
      <c r="D771" s="127"/>
      <c r="E771" s="127"/>
      <c r="F771" s="128"/>
      <c r="G771" s="128"/>
      <c r="H771" s="128"/>
      <c r="I771" s="127" t="s">
        <v>1344</v>
      </c>
    </row>
    <row r="772" spans="1:9" x14ac:dyDescent="0.2">
      <c r="A772" s="127" t="s">
        <v>2117</v>
      </c>
      <c r="B772" s="127" t="s">
        <v>2118</v>
      </c>
      <c r="C772" s="127" t="s">
        <v>17</v>
      </c>
      <c r="D772" s="127"/>
      <c r="E772" s="127"/>
      <c r="F772" s="128"/>
      <c r="G772" s="128"/>
      <c r="H772" s="128"/>
      <c r="I772" s="127" t="s">
        <v>1344</v>
      </c>
    </row>
    <row r="773" spans="1:9" x14ac:dyDescent="0.2">
      <c r="A773" s="127" t="s">
        <v>2119</v>
      </c>
      <c r="B773" s="127" t="s">
        <v>2120</v>
      </c>
      <c r="C773" s="127" t="s">
        <v>46</v>
      </c>
      <c r="D773" s="127"/>
      <c r="E773" s="127"/>
      <c r="F773" s="128"/>
      <c r="G773" s="128"/>
      <c r="H773" s="128"/>
      <c r="I773" s="127" t="s">
        <v>1344</v>
      </c>
    </row>
    <row r="774" spans="1:9" x14ac:dyDescent="0.2">
      <c r="A774" s="127" t="s">
        <v>2121</v>
      </c>
      <c r="B774" s="127" t="s">
        <v>1280</v>
      </c>
      <c r="C774" s="127" t="s">
        <v>22</v>
      </c>
      <c r="D774" s="127"/>
      <c r="E774" s="127"/>
      <c r="F774" s="128"/>
      <c r="G774" s="128"/>
      <c r="H774" s="128"/>
      <c r="I774" s="127" t="s">
        <v>1344</v>
      </c>
    </row>
    <row r="775" spans="1:9" x14ac:dyDescent="0.2">
      <c r="A775" s="127" t="s">
        <v>2122</v>
      </c>
      <c r="B775" s="127" t="s">
        <v>2123</v>
      </c>
      <c r="C775" s="127" t="s">
        <v>22</v>
      </c>
      <c r="D775" s="127"/>
      <c r="E775" s="127"/>
      <c r="F775" s="128"/>
      <c r="G775" s="128"/>
      <c r="H775" s="128"/>
      <c r="I775" s="127" t="s">
        <v>1344</v>
      </c>
    </row>
    <row r="776" spans="1:9" x14ac:dyDescent="0.2">
      <c r="A776" s="127" t="s">
        <v>2124</v>
      </c>
      <c r="B776" s="127" t="s">
        <v>2125</v>
      </c>
      <c r="C776" s="127" t="s">
        <v>46</v>
      </c>
      <c r="D776" s="127"/>
      <c r="E776" s="127"/>
      <c r="F776" s="128"/>
      <c r="G776" s="128"/>
      <c r="H776" s="128"/>
      <c r="I776" s="127" t="s">
        <v>1344</v>
      </c>
    </row>
    <row r="777" spans="1:9" x14ac:dyDescent="0.2">
      <c r="A777" s="127" t="s">
        <v>2126</v>
      </c>
      <c r="B777" s="127" t="s">
        <v>2127</v>
      </c>
      <c r="C777" s="127" t="s">
        <v>46</v>
      </c>
      <c r="D777" s="127"/>
      <c r="E777" s="127"/>
      <c r="F777" s="128"/>
      <c r="G777" s="128"/>
      <c r="H777" s="128"/>
      <c r="I777" s="127" t="s">
        <v>1344</v>
      </c>
    </row>
    <row r="778" spans="1:9" x14ac:dyDescent="0.2">
      <c r="A778" s="127" t="s">
        <v>2128</v>
      </c>
      <c r="B778" s="127" t="s">
        <v>2129</v>
      </c>
      <c r="C778" s="127" t="s">
        <v>46</v>
      </c>
      <c r="D778" s="127"/>
      <c r="E778" s="127"/>
      <c r="F778" s="128"/>
      <c r="G778" s="128"/>
      <c r="H778" s="128"/>
      <c r="I778" s="127" t="s">
        <v>1344</v>
      </c>
    </row>
    <row r="779" spans="1:9" x14ac:dyDescent="0.2">
      <c r="A779" s="127" t="s">
        <v>2130</v>
      </c>
      <c r="B779" s="127" t="s">
        <v>2131</v>
      </c>
      <c r="C779" s="127" t="s">
        <v>46</v>
      </c>
      <c r="D779" s="127"/>
      <c r="E779" s="127"/>
      <c r="F779" s="128"/>
      <c r="G779" s="128"/>
      <c r="H779" s="128"/>
      <c r="I779" s="127" t="s">
        <v>1344</v>
      </c>
    </row>
    <row r="780" spans="1:9" x14ac:dyDescent="0.2">
      <c r="A780" s="127" t="s">
        <v>2132</v>
      </c>
      <c r="B780" s="127" t="s">
        <v>2133</v>
      </c>
      <c r="C780" s="127" t="s">
        <v>46</v>
      </c>
      <c r="D780" s="127"/>
      <c r="E780" s="127"/>
      <c r="F780" s="128"/>
      <c r="G780" s="128"/>
      <c r="H780" s="128"/>
      <c r="I780" s="127" t="s">
        <v>1344</v>
      </c>
    </row>
    <row r="781" spans="1:9" x14ac:dyDescent="0.2">
      <c r="A781" s="127" t="s">
        <v>2134</v>
      </c>
      <c r="B781" s="127" t="s">
        <v>2135</v>
      </c>
      <c r="C781" s="127" t="s">
        <v>46</v>
      </c>
      <c r="D781" s="127"/>
      <c r="E781" s="127"/>
      <c r="F781" s="128"/>
      <c r="G781" s="128"/>
      <c r="H781" s="128"/>
      <c r="I781" s="127" t="s">
        <v>1344</v>
      </c>
    </row>
    <row r="782" spans="1:9" x14ac:dyDescent="0.2">
      <c r="A782" s="127" t="s">
        <v>2136</v>
      </c>
      <c r="B782" s="127" t="s">
        <v>2137</v>
      </c>
      <c r="C782" s="127" t="s">
        <v>46</v>
      </c>
      <c r="D782" s="127"/>
      <c r="E782" s="127"/>
      <c r="F782" s="128"/>
      <c r="G782" s="128"/>
      <c r="H782" s="128"/>
      <c r="I782" s="127" t="s">
        <v>1344</v>
      </c>
    </row>
    <row r="783" spans="1:9" x14ac:dyDescent="0.2">
      <c r="A783" s="127" t="s">
        <v>2138</v>
      </c>
      <c r="B783" s="127" t="s">
        <v>2139</v>
      </c>
      <c r="C783" s="127" t="s">
        <v>22</v>
      </c>
      <c r="D783" s="127"/>
      <c r="E783" s="127"/>
      <c r="F783" s="128"/>
      <c r="G783" s="128"/>
      <c r="H783" s="128"/>
      <c r="I783" s="127" t="s">
        <v>1344</v>
      </c>
    </row>
    <row r="784" spans="1:9" x14ac:dyDescent="0.2">
      <c r="A784" s="127" t="s">
        <v>2140</v>
      </c>
      <c r="B784" s="127" t="s">
        <v>2141</v>
      </c>
      <c r="C784" s="127" t="s">
        <v>46</v>
      </c>
      <c r="D784" s="127"/>
      <c r="E784" s="127"/>
      <c r="F784" s="128"/>
      <c r="G784" s="128"/>
      <c r="H784" s="128"/>
      <c r="I784" s="127" t="s">
        <v>1344</v>
      </c>
    </row>
    <row r="785" spans="1:9" x14ac:dyDescent="0.2">
      <c r="A785" s="127" t="s">
        <v>2142</v>
      </c>
      <c r="B785" s="127" t="s">
        <v>2143</v>
      </c>
      <c r="C785" s="127" t="s">
        <v>46</v>
      </c>
      <c r="D785" s="127"/>
      <c r="E785" s="127"/>
      <c r="F785" s="128"/>
      <c r="G785" s="128"/>
      <c r="H785" s="128"/>
      <c r="I785" s="127" t="s">
        <v>1344</v>
      </c>
    </row>
    <row r="786" spans="1:9" x14ac:dyDescent="0.2">
      <c r="A786" s="127" t="s">
        <v>2144</v>
      </c>
      <c r="B786" s="127" t="s">
        <v>2145</v>
      </c>
      <c r="C786" s="127" t="s">
        <v>22</v>
      </c>
      <c r="D786" s="127"/>
      <c r="E786" s="127"/>
      <c r="F786" s="128"/>
      <c r="G786" s="128"/>
      <c r="H786" s="128"/>
      <c r="I786" s="127" t="s">
        <v>1344</v>
      </c>
    </row>
    <row r="787" spans="1:9" x14ac:dyDescent="0.2">
      <c r="A787" s="127" t="s">
        <v>2146</v>
      </c>
      <c r="B787" s="127" t="s">
        <v>2147</v>
      </c>
      <c r="C787" s="127" t="s">
        <v>46</v>
      </c>
      <c r="D787" s="127"/>
      <c r="E787" s="127"/>
      <c r="F787" s="128"/>
      <c r="G787" s="128"/>
      <c r="H787" s="128"/>
      <c r="I787" s="127" t="s">
        <v>1344</v>
      </c>
    </row>
    <row r="788" spans="1:9" x14ac:dyDescent="0.2">
      <c r="A788" s="127" t="s">
        <v>2148</v>
      </c>
      <c r="B788" s="127" t="s">
        <v>2149</v>
      </c>
      <c r="C788" s="127" t="s">
        <v>46</v>
      </c>
      <c r="D788" s="127"/>
      <c r="E788" s="127"/>
      <c r="F788" s="128"/>
      <c r="G788" s="128"/>
      <c r="H788" s="128"/>
      <c r="I788" s="127" t="s">
        <v>1344</v>
      </c>
    </row>
    <row r="789" spans="1:9" x14ac:dyDescent="0.2">
      <c r="A789" s="127" t="s">
        <v>2150</v>
      </c>
      <c r="B789" s="127" t="s">
        <v>2151</v>
      </c>
      <c r="C789" s="127" t="s">
        <v>46</v>
      </c>
      <c r="D789" s="127"/>
      <c r="E789" s="127"/>
      <c r="F789" s="128"/>
      <c r="G789" s="128"/>
      <c r="H789" s="128"/>
      <c r="I789" s="127" t="s">
        <v>1344</v>
      </c>
    </row>
    <row r="790" spans="1:9" x14ac:dyDescent="0.2">
      <c r="A790" s="127" t="s">
        <v>2152</v>
      </c>
      <c r="B790" s="127" t="s">
        <v>1239</v>
      </c>
      <c r="C790" s="127" t="s">
        <v>17</v>
      </c>
      <c r="D790" s="127"/>
      <c r="E790" s="127"/>
      <c r="F790" s="128"/>
      <c r="G790" s="128"/>
      <c r="H790" s="128"/>
      <c r="I790" s="127" t="s">
        <v>1344</v>
      </c>
    </row>
    <row r="791" spans="1:9" x14ac:dyDescent="0.2">
      <c r="A791" s="127" t="s">
        <v>2153</v>
      </c>
      <c r="B791" s="127" t="s">
        <v>2154</v>
      </c>
      <c r="C791" s="127" t="s">
        <v>46</v>
      </c>
      <c r="D791" s="127"/>
      <c r="E791" s="127"/>
      <c r="F791" s="128"/>
      <c r="G791" s="128"/>
      <c r="H791" s="128"/>
      <c r="I791" s="127" t="s">
        <v>1344</v>
      </c>
    </row>
    <row r="792" spans="1:9" x14ac:dyDescent="0.2">
      <c r="A792" s="127" t="s">
        <v>2155</v>
      </c>
      <c r="B792" s="127" t="s">
        <v>2156</v>
      </c>
      <c r="C792" s="127" t="s">
        <v>46</v>
      </c>
      <c r="D792" s="127"/>
      <c r="E792" s="127"/>
      <c r="F792" s="128"/>
      <c r="G792" s="128"/>
      <c r="H792" s="128"/>
      <c r="I792" s="127" t="s">
        <v>1344</v>
      </c>
    </row>
    <row r="793" spans="1:9" x14ac:dyDescent="0.2">
      <c r="A793" s="127"/>
      <c r="B793" s="127" t="s">
        <v>2157</v>
      </c>
      <c r="C793" s="127" t="s">
        <v>17</v>
      </c>
      <c r="D793" s="127"/>
      <c r="E793" s="127"/>
      <c r="F793" s="128"/>
      <c r="G793" s="128"/>
      <c r="H793" s="128"/>
      <c r="I793" s="127" t="s">
        <v>1344</v>
      </c>
    </row>
    <row r="794" spans="1:9" x14ac:dyDescent="0.2">
      <c r="A794" s="127" t="s">
        <v>2158</v>
      </c>
      <c r="B794" s="127" t="s">
        <v>2159</v>
      </c>
      <c r="C794" s="127" t="s">
        <v>46</v>
      </c>
      <c r="D794" s="127"/>
      <c r="E794" s="127"/>
      <c r="F794" s="128"/>
      <c r="G794" s="128"/>
      <c r="H794" s="128"/>
      <c r="I794" s="127" t="s">
        <v>1344</v>
      </c>
    </row>
    <row r="795" spans="1:9" x14ac:dyDescent="0.2">
      <c r="A795" s="127" t="s">
        <v>2160</v>
      </c>
      <c r="B795" s="127" t="s">
        <v>2161</v>
      </c>
      <c r="C795" s="127" t="s">
        <v>46</v>
      </c>
      <c r="D795" s="127"/>
      <c r="E795" s="127"/>
      <c r="F795" s="128"/>
      <c r="G795" s="128"/>
      <c r="H795" s="128"/>
      <c r="I795" s="127" t="s">
        <v>1344</v>
      </c>
    </row>
    <row r="796" spans="1:9" x14ac:dyDescent="0.2">
      <c r="A796" s="127" t="s">
        <v>2162</v>
      </c>
      <c r="B796" s="127" t="s">
        <v>2163</v>
      </c>
      <c r="C796" s="127" t="s">
        <v>46</v>
      </c>
      <c r="D796" s="127"/>
      <c r="E796" s="127"/>
      <c r="F796" s="128"/>
      <c r="G796" s="128"/>
      <c r="H796" s="128"/>
      <c r="I796" s="127" t="s">
        <v>1344</v>
      </c>
    </row>
    <row r="797" spans="1:9" x14ac:dyDescent="0.2">
      <c r="A797" s="127" t="s">
        <v>2164</v>
      </c>
      <c r="B797" s="127" t="s">
        <v>2165</v>
      </c>
      <c r="C797" s="127" t="s">
        <v>46</v>
      </c>
      <c r="D797" s="127"/>
      <c r="E797" s="127"/>
      <c r="F797" s="128"/>
      <c r="G797" s="128"/>
      <c r="H797" s="128"/>
      <c r="I797" s="127" t="s">
        <v>1344</v>
      </c>
    </row>
    <row r="798" spans="1:9" x14ac:dyDescent="0.2">
      <c r="A798" s="127" t="s">
        <v>2166</v>
      </c>
      <c r="B798" s="127" t="s">
        <v>2167</v>
      </c>
      <c r="C798" s="127" t="s">
        <v>46</v>
      </c>
      <c r="D798" s="127"/>
      <c r="E798" s="127"/>
      <c r="F798" s="128"/>
      <c r="G798" s="128"/>
      <c r="H798" s="128"/>
      <c r="I798" s="127" t="s">
        <v>1344</v>
      </c>
    </row>
    <row r="799" spans="1:9" x14ac:dyDescent="0.2">
      <c r="A799" s="127" t="s">
        <v>2168</v>
      </c>
      <c r="B799" s="127" t="s">
        <v>2169</v>
      </c>
      <c r="C799" s="127" t="s">
        <v>46</v>
      </c>
      <c r="D799" s="127"/>
      <c r="E799" s="127"/>
      <c r="F799" s="128"/>
      <c r="G799" s="128"/>
      <c r="H799" s="128"/>
      <c r="I799" s="127" t="s">
        <v>1344</v>
      </c>
    </row>
    <row r="800" spans="1:9" x14ac:dyDescent="0.2">
      <c r="A800" s="127" t="s">
        <v>2073</v>
      </c>
      <c r="B800" s="127" t="s">
        <v>2170</v>
      </c>
      <c r="C800" s="127" t="s">
        <v>22</v>
      </c>
      <c r="D800" s="127"/>
      <c r="E800" s="127"/>
      <c r="F800" s="128"/>
      <c r="G800" s="128"/>
      <c r="H800" s="128"/>
      <c r="I800" s="127" t="s">
        <v>1344</v>
      </c>
    </row>
    <row r="801" spans="1:9" x14ac:dyDescent="0.2">
      <c r="A801" s="127" t="s">
        <v>2171</v>
      </c>
      <c r="B801" s="127" t="s">
        <v>2172</v>
      </c>
      <c r="C801" s="127" t="s">
        <v>22</v>
      </c>
      <c r="D801" s="127"/>
      <c r="E801" s="127"/>
      <c r="F801" s="128"/>
      <c r="G801" s="128"/>
      <c r="H801" s="128"/>
      <c r="I801" s="127" t="s">
        <v>1344</v>
      </c>
    </row>
    <row r="802" spans="1:9" x14ac:dyDescent="0.2">
      <c r="A802" s="127" t="s">
        <v>2173</v>
      </c>
      <c r="B802" s="127" t="s">
        <v>2174</v>
      </c>
      <c r="C802" s="127" t="s">
        <v>46</v>
      </c>
      <c r="D802" s="127"/>
      <c r="E802" s="127"/>
      <c r="F802" s="128"/>
      <c r="G802" s="128"/>
      <c r="H802" s="128"/>
      <c r="I802" s="127" t="s">
        <v>1344</v>
      </c>
    </row>
    <row r="803" spans="1:9" x14ac:dyDescent="0.2">
      <c r="A803" s="127" t="s">
        <v>2175</v>
      </c>
      <c r="B803" s="127" t="s">
        <v>2176</v>
      </c>
      <c r="C803" s="127" t="s">
        <v>46</v>
      </c>
      <c r="D803" s="127"/>
      <c r="E803" s="127"/>
      <c r="F803" s="128"/>
      <c r="G803" s="128"/>
      <c r="H803" s="128"/>
      <c r="I803" s="127" t="s">
        <v>1344</v>
      </c>
    </row>
    <row r="804" spans="1:9" x14ac:dyDescent="0.2">
      <c r="A804" s="127" t="s">
        <v>2177</v>
      </c>
      <c r="B804" s="127" t="s">
        <v>2178</v>
      </c>
      <c r="C804" s="127" t="s">
        <v>46</v>
      </c>
      <c r="D804" s="127"/>
      <c r="E804" s="127"/>
      <c r="F804" s="128"/>
      <c r="G804" s="128"/>
      <c r="H804" s="128"/>
      <c r="I804" s="127" t="s">
        <v>1344</v>
      </c>
    </row>
    <row r="805" spans="1:9" x14ac:dyDescent="0.2">
      <c r="A805" s="127" t="s">
        <v>2179</v>
      </c>
      <c r="B805" s="127" t="s">
        <v>2180</v>
      </c>
      <c r="C805" s="127" t="s">
        <v>22</v>
      </c>
      <c r="D805" s="127"/>
      <c r="E805" s="127"/>
      <c r="F805" s="128"/>
      <c r="G805" s="128"/>
      <c r="H805" s="128"/>
      <c r="I805" s="127" t="s">
        <v>1344</v>
      </c>
    </row>
    <row r="806" spans="1:9" x14ac:dyDescent="0.2">
      <c r="A806" s="127" t="s">
        <v>2181</v>
      </c>
      <c r="B806" s="127" t="s">
        <v>2182</v>
      </c>
      <c r="C806" s="127" t="s">
        <v>46</v>
      </c>
      <c r="D806" s="127"/>
      <c r="E806" s="127"/>
      <c r="F806" s="128"/>
      <c r="G806" s="128"/>
      <c r="H806" s="128"/>
      <c r="I806" s="127" t="s">
        <v>1344</v>
      </c>
    </row>
    <row r="807" spans="1:9" x14ac:dyDescent="0.2">
      <c r="A807" s="127" t="s">
        <v>2183</v>
      </c>
      <c r="B807" s="127" t="s">
        <v>2184</v>
      </c>
      <c r="C807" s="127" t="s">
        <v>46</v>
      </c>
      <c r="D807" s="127"/>
      <c r="E807" s="127"/>
      <c r="F807" s="128"/>
      <c r="G807" s="128"/>
      <c r="H807" s="128"/>
      <c r="I807" s="127" t="s">
        <v>1344</v>
      </c>
    </row>
    <row r="808" spans="1:9" x14ac:dyDescent="0.2">
      <c r="A808" s="127" t="s">
        <v>2185</v>
      </c>
      <c r="B808" s="127" t="s">
        <v>2186</v>
      </c>
      <c r="C808" s="127" t="s">
        <v>17</v>
      </c>
      <c r="D808" s="127"/>
      <c r="E808" s="127"/>
      <c r="F808" s="128"/>
      <c r="G808" s="128"/>
      <c r="H808" s="128"/>
      <c r="I808" s="127" t="s">
        <v>1344</v>
      </c>
    </row>
    <row r="809" spans="1:9" x14ac:dyDescent="0.2">
      <c r="A809" s="127" t="s">
        <v>2187</v>
      </c>
      <c r="B809" s="127" t="s">
        <v>2188</v>
      </c>
      <c r="C809" s="127" t="s">
        <v>22</v>
      </c>
      <c r="D809" s="127"/>
      <c r="E809" s="127"/>
      <c r="F809" s="128"/>
      <c r="G809" s="128"/>
      <c r="H809" s="128"/>
      <c r="I809" s="127" t="s">
        <v>1344</v>
      </c>
    </row>
    <row r="810" spans="1:9" x14ac:dyDescent="0.2">
      <c r="A810" s="127" t="s">
        <v>2189</v>
      </c>
      <c r="B810" s="127" t="s">
        <v>2190</v>
      </c>
      <c r="C810" s="127" t="s">
        <v>46</v>
      </c>
      <c r="D810" s="127"/>
      <c r="E810" s="127"/>
      <c r="F810" s="128"/>
      <c r="G810" s="128"/>
      <c r="H810" s="128"/>
      <c r="I810" s="127" t="s">
        <v>1344</v>
      </c>
    </row>
    <row r="811" spans="1:9" x14ac:dyDescent="0.2">
      <c r="A811" s="127" t="s">
        <v>2191</v>
      </c>
      <c r="B811" s="127" t="s">
        <v>2192</v>
      </c>
      <c r="C811" s="127" t="s">
        <v>46</v>
      </c>
      <c r="D811" s="127"/>
      <c r="E811" s="127"/>
      <c r="F811" s="128"/>
      <c r="G811" s="128"/>
      <c r="H811" s="128"/>
      <c r="I811" s="127" t="s">
        <v>1344</v>
      </c>
    </row>
    <row r="812" spans="1:9" x14ac:dyDescent="0.2">
      <c r="A812" s="127" t="s">
        <v>2193</v>
      </c>
      <c r="B812" s="127" t="s">
        <v>2194</v>
      </c>
      <c r="C812" s="127" t="s">
        <v>46</v>
      </c>
      <c r="D812" s="127"/>
      <c r="E812" s="127"/>
      <c r="F812" s="128"/>
      <c r="G812" s="128"/>
      <c r="H812" s="128"/>
      <c r="I812" s="127" t="s">
        <v>1344</v>
      </c>
    </row>
    <row r="813" spans="1:9" x14ac:dyDescent="0.2">
      <c r="A813" s="127" t="s">
        <v>2195</v>
      </c>
      <c r="B813" s="127" t="s">
        <v>2196</v>
      </c>
      <c r="C813" s="127" t="s">
        <v>46</v>
      </c>
      <c r="D813" s="127"/>
      <c r="E813" s="127"/>
      <c r="F813" s="128"/>
      <c r="G813" s="128"/>
      <c r="H813" s="128"/>
      <c r="I813" s="127" t="s">
        <v>1344</v>
      </c>
    </row>
    <row r="814" spans="1:9" x14ac:dyDescent="0.2">
      <c r="A814" s="127" t="s">
        <v>2197</v>
      </c>
      <c r="B814" s="127" t="s">
        <v>2198</v>
      </c>
      <c r="C814" s="127" t="s">
        <v>46</v>
      </c>
      <c r="D814" s="127"/>
      <c r="E814" s="127"/>
      <c r="F814" s="128"/>
      <c r="G814" s="128"/>
      <c r="H814" s="128"/>
      <c r="I814" s="127" t="s">
        <v>1344</v>
      </c>
    </row>
    <row r="815" spans="1:9" x14ac:dyDescent="0.2">
      <c r="A815" s="127" t="s">
        <v>2195</v>
      </c>
      <c r="B815" s="127" t="s">
        <v>2199</v>
      </c>
      <c r="C815" s="127" t="s">
        <v>46</v>
      </c>
      <c r="D815" s="127"/>
      <c r="E815" s="127"/>
      <c r="F815" s="128"/>
      <c r="G815" s="128"/>
      <c r="H815" s="128"/>
      <c r="I815" s="127" t="s">
        <v>1344</v>
      </c>
    </row>
    <row r="816" spans="1:9" x14ac:dyDescent="0.2">
      <c r="A816" s="127" t="s">
        <v>2200</v>
      </c>
      <c r="B816" s="127" t="s">
        <v>2201</v>
      </c>
      <c r="C816" s="127" t="s">
        <v>46</v>
      </c>
      <c r="D816" s="127"/>
      <c r="E816" s="127"/>
      <c r="F816" s="128"/>
      <c r="G816" s="128"/>
      <c r="H816" s="128"/>
      <c r="I816" s="127" t="s">
        <v>1344</v>
      </c>
    </row>
    <row r="817" spans="1:9" x14ac:dyDescent="0.2">
      <c r="A817" s="127" t="s">
        <v>2202</v>
      </c>
      <c r="B817" s="127" t="s">
        <v>2203</v>
      </c>
      <c r="C817" s="127" t="s">
        <v>22</v>
      </c>
      <c r="D817" s="127"/>
      <c r="E817" s="127"/>
      <c r="F817" s="128"/>
      <c r="G817" s="128"/>
      <c r="H817" s="128"/>
      <c r="I817" s="127" t="s">
        <v>1344</v>
      </c>
    </row>
    <row r="818" spans="1:9" x14ac:dyDescent="0.2">
      <c r="A818" s="127" t="s">
        <v>2204</v>
      </c>
      <c r="B818" s="127" t="s">
        <v>2205</v>
      </c>
      <c r="C818" s="127" t="s">
        <v>46</v>
      </c>
      <c r="D818" s="127"/>
      <c r="E818" s="127"/>
      <c r="F818" s="128"/>
      <c r="G818" s="128"/>
      <c r="H818" s="128"/>
      <c r="I818" s="127" t="s">
        <v>1344</v>
      </c>
    </row>
    <row r="819" spans="1:9" x14ac:dyDescent="0.2">
      <c r="A819" s="127" t="s">
        <v>2206</v>
      </c>
      <c r="B819" s="127" t="s">
        <v>2207</v>
      </c>
      <c r="C819" s="127" t="s">
        <v>46</v>
      </c>
      <c r="D819" s="127"/>
      <c r="E819" s="127"/>
      <c r="F819" s="128"/>
      <c r="G819" s="128"/>
      <c r="H819" s="128"/>
      <c r="I819" s="127" t="s">
        <v>1344</v>
      </c>
    </row>
    <row r="820" spans="1:9" x14ac:dyDescent="0.2">
      <c r="A820" s="127" t="s">
        <v>2208</v>
      </c>
      <c r="B820" s="127" t="s">
        <v>2209</v>
      </c>
      <c r="C820" s="127" t="s">
        <v>46</v>
      </c>
      <c r="D820" s="127"/>
      <c r="E820" s="127"/>
      <c r="F820" s="128"/>
      <c r="G820" s="128"/>
      <c r="H820" s="128"/>
      <c r="I820" s="127" t="s">
        <v>1344</v>
      </c>
    </row>
    <row r="821" spans="1:9" x14ac:dyDescent="0.2">
      <c r="A821" s="127" t="s">
        <v>2210</v>
      </c>
      <c r="B821" s="127" t="s">
        <v>2211</v>
      </c>
      <c r="C821" s="127" t="s">
        <v>46</v>
      </c>
      <c r="D821" s="127"/>
      <c r="E821" s="127"/>
      <c r="F821" s="128"/>
      <c r="G821" s="128"/>
      <c r="H821" s="128"/>
      <c r="I821" s="127" t="s">
        <v>1344</v>
      </c>
    </row>
    <row r="822" spans="1:9" x14ac:dyDescent="0.2">
      <c r="A822" s="127" t="s">
        <v>2212</v>
      </c>
      <c r="B822" s="127" t="s">
        <v>2213</v>
      </c>
      <c r="C822" s="127" t="s">
        <v>46</v>
      </c>
      <c r="D822" s="127"/>
      <c r="E822" s="127"/>
      <c r="F822" s="128"/>
      <c r="G822" s="128"/>
      <c r="H822" s="128"/>
      <c r="I822" s="127" t="s">
        <v>1344</v>
      </c>
    </row>
    <row r="823" spans="1:9" x14ac:dyDescent="0.2">
      <c r="A823" s="127" t="s">
        <v>2214</v>
      </c>
      <c r="B823" s="127" t="s">
        <v>2215</v>
      </c>
      <c r="C823" s="127" t="s">
        <v>46</v>
      </c>
      <c r="D823" s="127"/>
      <c r="E823" s="127"/>
      <c r="F823" s="128"/>
      <c r="G823" s="128"/>
      <c r="H823" s="128"/>
      <c r="I823" s="127" t="s">
        <v>1344</v>
      </c>
    </row>
    <row r="824" spans="1:9" x14ac:dyDescent="0.2">
      <c r="A824" s="127" t="s">
        <v>2216</v>
      </c>
      <c r="B824" s="127" t="s">
        <v>2217</v>
      </c>
      <c r="C824" s="127" t="s">
        <v>46</v>
      </c>
      <c r="D824" s="127"/>
      <c r="E824" s="127"/>
      <c r="F824" s="128"/>
      <c r="G824" s="128"/>
      <c r="H824" s="128"/>
      <c r="I824" s="127" t="s">
        <v>1344</v>
      </c>
    </row>
    <row r="825" spans="1:9" x14ac:dyDescent="0.2">
      <c r="A825" s="127" t="s">
        <v>2218</v>
      </c>
      <c r="B825" s="127" t="s">
        <v>2219</v>
      </c>
      <c r="C825" s="127" t="s">
        <v>22</v>
      </c>
      <c r="D825" s="127"/>
      <c r="E825" s="127"/>
      <c r="F825" s="128"/>
      <c r="G825" s="128"/>
      <c r="H825" s="128"/>
      <c r="I825" s="127" t="s">
        <v>1344</v>
      </c>
    </row>
    <row r="826" spans="1:9" x14ac:dyDescent="0.2">
      <c r="A826" s="127" t="s">
        <v>2220</v>
      </c>
      <c r="B826" s="127" t="s">
        <v>2221</v>
      </c>
      <c r="C826" s="127" t="s">
        <v>22</v>
      </c>
      <c r="D826" s="127"/>
      <c r="E826" s="127"/>
      <c r="F826" s="128"/>
      <c r="G826" s="128"/>
      <c r="H826" s="128"/>
      <c r="I826" s="127" t="s">
        <v>1344</v>
      </c>
    </row>
    <row r="827" spans="1:9" x14ac:dyDescent="0.2">
      <c r="A827" s="127" t="s">
        <v>2222</v>
      </c>
      <c r="B827" s="127" t="s">
        <v>2223</v>
      </c>
      <c r="C827" s="127" t="s">
        <v>17</v>
      </c>
      <c r="D827" s="127"/>
      <c r="E827" s="127"/>
      <c r="F827" s="128"/>
      <c r="G827" s="128"/>
      <c r="H827" s="128"/>
      <c r="I827" s="127" t="s">
        <v>1344</v>
      </c>
    </row>
    <row r="828" spans="1:9" x14ac:dyDescent="0.2">
      <c r="A828" s="127"/>
      <c r="B828" s="127" t="s">
        <v>2224</v>
      </c>
      <c r="C828" s="127" t="s">
        <v>22</v>
      </c>
      <c r="D828" s="127"/>
      <c r="E828" s="127"/>
      <c r="F828" s="128"/>
      <c r="G828" s="128"/>
      <c r="H828" s="128"/>
      <c r="I828" s="127" t="s">
        <v>1344</v>
      </c>
    </row>
    <row r="829" spans="1:9" x14ac:dyDescent="0.2">
      <c r="A829" s="127" t="s">
        <v>2225</v>
      </c>
      <c r="B829" s="127" t="s">
        <v>2226</v>
      </c>
      <c r="C829" s="127" t="s">
        <v>46</v>
      </c>
      <c r="D829" s="127"/>
      <c r="E829" s="127"/>
      <c r="F829" s="128"/>
      <c r="G829" s="128"/>
      <c r="H829" s="128"/>
      <c r="I829" s="127" t="s">
        <v>1344</v>
      </c>
    </row>
    <row r="830" spans="1:9" x14ac:dyDescent="0.2">
      <c r="A830" s="127" t="s">
        <v>2227</v>
      </c>
      <c r="B830" s="127" t="s">
        <v>2228</v>
      </c>
      <c r="C830" s="127" t="s">
        <v>22</v>
      </c>
      <c r="D830" s="127"/>
      <c r="E830" s="127"/>
      <c r="F830" s="128"/>
      <c r="G830" s="128"/>
      <c r="H830" s="128"/>
      <c r="I830" s="127" t="s">
        <v>1344</v>
      </c>
    </row>
    <row r="831" spans="1:9" x14ac:dyDescent="0.2">
      <c r="A831" s="127" t="s">
        <v>2229</v>
      </c>
      <c r="B831" s="127" t="s">
        <v>2230</v>
      </c>
      <c r="C831" s="127" t="s">
        <v>22</v>
      </c>
      <c r="D831" s="127"/>
      <c r="E831" s="127"/>
      <c r="F831" s="128"/>
      <c r="G831" s="128"/>
      <c r="H831" s="128"/>
      <c r="I831" s="127" t="s">
        <v>1344</v>
      </c>
    </row>
    <row r="832" spans="1:9" x14ac:dyDescent="0.2">
      <c r="A832" s="127" t="s">
        <v>2231</v>
      </c>
      <c r="B832" s="127" t="s">
        <v>2232</v>
      </c>
      <c r="C832" s="127" t="s">
        <v>22</v>
      </c>
      <c r="D832" s="127"/>
      <c r="E832" s="127"/>
      <c r="F832" s="128"/>
      <c r="G832" s="128"/>
      <c r="H832" s="128"/>
      <c r="I832" s="127" t="s">
        <v>1344</v>
      </c>
    </row>
    <row r="833" spans="1:9" x14ac:dyDescent="0.2">
      <c r="A833" s="127" t="s">
        <v>2233</v>
      </c>
      <c r="B833" s="127" t="s">
        <v>2234</v>
      </c>
      <c r="C833" s="127" t="s">
        <v>46</v>
      </c>
      <c r="D833" s="127"/>
      <c r="E833" s="127"/>
      <c r="F833" s="128"/>
      <c r="G833" s="128"/>
      <c r="H833" s="128"/>
      <c r="I833" s="127" t="s">
        <v>1344</v>
      </c>
    </row>
    <row r="834" spans="1:9" x14ac:dyDescent="0.2">
      <c r="A834" s="127" t="s">
        <v>2235</v>
      </c>
      <c r="B834" s="127" t="s">
        <v>2236</v>
      </c>
      <c r="C834" s="127" t="s">
        <v>22</v>
      </c>
      <c r="D834" s="127"/>
      <c r="E834" s="127"/>
      <c r="F834" s="128"/>
      <c r="G834" s="128"/>
      <c r="H834" s="128"/>
      <c r="I834" s="127" t="s">
        <v>1344</v>
      </c>
    </row>
    <row r="835" spans="1:9" x14ac:dyDescent="0.2">
      <c r="A835" s="127" t="s">
        <v>2237</v>
      </c>
      <c r="B835" s="127" t="s">
        <v>2238</v>
      </c>
      <c r="C835" s="127" t="s">
        <v>46</v>
      </c>
      <c r="D835" s="127"/>
      <c r="E835" s="127"/>
      <c r="F835" s="128"/>
      <c r="G835" s="128"/>
      <c r="H835" s="128"/>
      <c r="I835" s="127" t="s">
        <v>1344</v>
      </c>
    </row>
    <row r="836" spans="1:9" x14ac:dyDescent="0.2">
      <c r="A836" s="127" t="s">
        <v>2239</v>
      </c>
      <c r="B836" s="127" t="s">
        <v>2240</v>
      </c>
      <c r="C836" s="127" t="s">
        <v>46</v>
      </c>
      <c r="D836" s="127"/>
      <c r="E836" s="127"/>
      <c r="F836" s="128"/>
      <c r="G836" s="128"/>
      <c r="H836" s="128"/>
      <c r="I836" s="127" t="s">
        <v>1344</v>
      </c>
    </row>
    <row r="837" spans="1:9" x14ac:dyDescent="0.2">
      <c r="A837" s="127" t="s">
        <v>2241</v>
      </c>
      <c r="B837" s="127" t="s">
        <v>2242</v>
      </c>
      <c r="C837" s="127" t="s">
        <v>46</v>
      </c>
      <c r="D837" s="127"/>
      <c r="E837" s="127"/>
      <c r="F837" s="128"/>
      <c r="G837" s="128"/>
      <c r="H837" s="128"/>
      <c r="I837" s="127" t="s">
        <v>1344</v>
      </c>
    </row>
    <row r="838" spans="1:9" x14ac:dyDescent="0.2">
      <c r="A838" s="127" t="s">
        <v>2153</v>
      </c>
      <c r="B838" s="127" t="s">
        <v>2243</v>
      </c>
      <c r="C838" s="127" t="s">
        <v>46</v>
      </c>
      <c r="D838" s="127"/>
      <c r="E838" s="127"/>
      <c r="F838" s="128"/>
      <c r="G838" s="128"/>
      <c r="H838" s="128"/>
      <c r="I838" s="127" t="s">
        <v>1344</v>
      </c>
    </row>
    <row r="839" spans="1:9" x14ac:dyDescent="0.2">
      <c r="A839" s="127" t="s">
        <v>2244</v>
      </c>
      <c r="B839" s="127" t="s">
        <v>2245</v>
      </c>
      <c r="C839" s="127" t="s">
        <v>46</v>
      </c>
      <c r="D839" s="127"/>
      <c r="E839" s="127"/>
      <c r="F839" s="128"/>
      <c r="G839" s="128"/>
      <c r="H839" s="128"/>
      <c r="I839" s="127" t="s">
        <v>1344</v>
      </c>
    </row>
    <row r="840" spans="1:9" x14ac:dyDescent="0.2">
      <c r="A840" s="127" t="s">
        <v>2246</v>
      </c>
      <c r="B840" s="127" t="s">
        <v>2247</v>
      </c>
      <c r="C840" s="127" t="s">
        <v>46</v>
      </c>
      <c r="D840" s="127"/>
      <c r="E840" s="127"/>
      <c r="F840" s="128"/>
      <c r="G840" s="128"/>
      <c r="H840" s="128"/>
      <c r="I840" s="127" t="s">
        <v>1344</v>
      </c>
    </row>
    <row r="841" spans="1:9" x14ac:dyDescent="0.2">
      <c r="A841" s="127" t="s">
        <v>2248</v>
      </c>
      <c r="B841" s="127" t="s">
        <v>2249</v>
      </c>
      <c r="C841" s="127" t="s">
        <v>22</v>
      </c>
      <c r="D841" s="127"/>
      <c r="E841" s="127"/>
      <c r="F841" s="128"/>
      <c r="G841" s="128"/>
      <c r="H841" s="128"/>
      <c r="I841" s="127" t="s">
        <v>1344</v>
      </c>
    </row>
    <row r="842" spans="1:9" x14ac:dyDescent="0.2">
      <c r="A842" s="127" t="s">
        <v>2250</v>
      </c>
      <c r="B842" s="127" t="s">
        <v>2251</v>
      </c>
      <c r="C842" s="127" t="s">
        <v>46</v>
      </c>
      <c r="D842" s="127"/>
      <c r="E842" s="127"/>
      <c r="F842" s="128"/>
      <c r="G842" s="128"/>
      <c r="H842" s="128"/>
      <c r="I842" s="127" t="s">
        <v>1344</v>
      </c>
    </row>
    <row r="843" spans="1:9" x14ac:dyDescent="0.2">
      <c r="A843" s="127" t="s">
        <v>1862</v>
      </c>
      <c r="B843" s="127" t="s">
        <v>2252</v>
      </c>
      <c r="C843" s="127" t="s">
        <v>17</v>
      </c>
      <c r="D843" s="127"/>
      <c r="E843" s="127"/>
      <c r="F843" s="128"/>
      <c r="G843" s="128"/>
      <c r="H843" s="128"/>
      <c r="I843" s="127" t="s">
        <v>1344</v>
      </c>
    </row>
    <row r="844" spans="1:9" x14ac:dyDescent="0.2">
      <c r="A844" s="127" t="s">
        <v>2253</v>
      </c>
      <c r="B844" s="127" t="s">
        <v>2254</v>
      </c>
      <c r="C844" s="127" t="s">
        <v>46</v>
      </c>
      <c r="D844" s="127"/>
      <c r="E844" s="127"/>
      <c r="F844" s="128"/>
      <c r="G844" s="128"/>
      <c r="H844" s="128"/>
      <c r="I844" s="127" t="s">
        <v>1344</v>
      </c>
    </row>
    <row r="845" spans="1:9" x14ac:dyDescent="0.2">
      <c r="A845" s="127" t="s">
        <v>952</v>
      </c>
      <c r="B845" s="127" t="s">
        <v>953</v>
      </c>
      <c r="C845" s="127" t="s">
        <v>46</v>
      </c>
      <c r="D845" s="127"/>
      <c r="E845" s="127"/>
      <c r="F845" s="128"/>
      <c r="G845" s="128"/>
      <c r="H845" s="128"/>
      <c r="I845" s="127" t="s">
        <v>1344</v>
      </c>
    </row>
    <row r="846" spans="1:9" x14ac:dyDescent="0.2">
      <c r="A846" s="127" t="s">
        <v>2255</v>
      </c>
      <c r="B846" s="127" t="s">
        <v>2256</v>
      </c>
      <c r="C846" s="127" t="s">
        <v>46</v>
      </c>
      <c r="D846" s="127"/>
      <c r="E846" s="127"/>
      <c r="F846" s="128"/>
      <c r="G846" s="128"/>
      <c r="H846" s="128"/>
      <c r="I846" s="127" t="s">
        <v>1344</v>
      </c>
    </row>
    <row r="847" spans="1:9" x14ac:dyDescent="0.2">
      <c r="A847" s="127" t="s">
        <v>2257</v>
      </c>
      <c r="B847" s="127" t="s">
        <v>2258</v>
      </c>
      <c r="C847" s="127" t="s">
        <v>17</v>
      </c>
      <c r="D847" s="127"/>
      <c r="E847" s="127"/>
      <c r="F847" s="128"/>
      <c r="G847" s="128"/>
      <c r="H847" s="128"/>
      <c r="I847" s="127" t="s">
        <v>1344</v>
      </c>
    </row>
    <row r="848" spans="1:9" x14ac:dyDescent="0.2">
      <c r="A848" s="127" t="s">
        <v>2259</v>
      </c>
      <c r="B848" s="127" t="s">
        <v>2260</v>
      </c>
      <c r="C848" s="127" t="s">
        <v>22</v>
      </c>
      <c r="D848" s="127"/>
      <c r="E848" s="127"/>
      <c r="F848" s="128"/>
      <c r="G848" s="128"/>
      <c r="H848" s="128"/>
      <c r="I848" s="127" t="s">
        <v>1344</v>
      </c>
    </row>
    <row r="849" spans="1:9" x14ac:dyDescent="0.2">
      <c r="A849" s="127" t="s">
        <v>2261</v>
      </c>
      <c r="B849" s="127" t="s">
        <v>2262</v>
      </c>
      <c r="C849" s="127" t="s">
        <v>22</v>
      </c>
      <c r="D849" s="127"/>
      <c r="E849" s="127"/>
      <c r="F849" s="128"/>
      <c r="G849" s="128"/>
      <c r="H849" s="128"/>
      <c r="I849" s="127" t="s">
        <v>1344</v>
      </c>
    </row>
    <row r="850" spans="1:9" x14ac:dyDescent="0.2">
      <c r="A850" s="127" t="s">
        <v>2263</v>
      </c>
      <c r="B850" s="127" t="s">
        <v>2264</v>
      </c>
      <c r="C850" s="127" t="s">
        <v>46</v>
      </c>
      <c r="D850" s="127"/>
      <c r="E850" s="127"/>
      <c r="F850" s="128"/>
      <c r="G850" s="128"/>
      <c r="H850" s="128"/>
      <c r="I850" s="127" t="s">
        <v>1344</v>
      </c>
    </row>
    <row r="851" spans="1:9" x14ac:dyDescent="0.2">
      <c r="A851" s="127"/>
      <c r="B851" s="127" t="s">
        <v>2265</v>
      </c>
      <c r="C851" s="127" t="s">
        <v>46</v>
      </c>
      <c r="D851" s="127"/>
      <c r="E851" s="127"/>
      <c r="F851" s="128"/>
      <c r="G851" s="128"/>
      <c r="H851" s="128"/>
      <c r="I851" s="127" t="s">
        <v>1344</v>
      </c>
    </row>
    <row r="852" spans="1:9" x14ac:dyDescent="0.2">
      <c r="A852" s="127" t="s">
        <v>2266</v>
      </c>
      <c r="B852" s="127" t="s">
        <v>2267</v>
      </c>
      <c r="C852" s="127" t="s">
        <v>17</v>
      </c>
      <c r="D852" s="127"/>
      <c r="E852" s="127"/>
      <c r="F852" s="128"/>
      <c r="G852" s="128"/>
      <c r="H852" s="128"/>
      <c r="I852" s="127" t="s">
        <v>1344</v>
      </c>
    </row>
    <row r="853" spans="1:9" x14ac:dyDescent="0.2">
      <c r="A853" s="127" t="s">
        <v>2268</v>
      </c>
      <c r="B853" s="127" t="s">
        <v>2269</v>
      </c>
      <c r="C853" s="127" t="s">
        <v>22</v>
      </c>
      <c r="D853" s="127"/>
      <c r="E853" s="127"/>
      <c r="F853" s="128"/>
      <c r="G853" s="128"/>
      <c r="H853" s="128"/>
      <c r="I853" s="127" t="s">
        <v>1344</v>
      </c>
    </row>
    <row r="854" spans="1:9" x14ac:dyDescent="0.2">
      <c r="A854" s="127" t="s">
        <v>2270</v>
      </c>
      <c r="B854" s="127" t="s">
        <v>2271</v>
      </c>
      <c r="C854" s="127" t="s">
        <v>22</v>
      </c>
      <c r="D854" s="127"/>
      <c r="E854" s="127"/>
      <c r="F854" s="128"/>
      <c r="G854" s="128"/>
      <c r="H854" s="128"/>
      <c r="I854" s="127" t="s">
        <v>1344</v>
      </c>
    </row>
    <row r="855" spans="1:9" x14ac:dyDescent="0.2">
      <c r="A855" s="127" t="s">
        <v>2272</v>
      </c>
      <c r="B855" s="127" t="s">
        <v>2273</v>
      </c>
      <c r="C855" s="127" t="s">
        <v>46</v>
      </c>
      <c r="D855" s="127"/>
      <c r="E855" s="127"/>
      <c r="F855" s="128"/>
      <c r="G855" s="128"/>
      <c r="H855" s="128"/>
      <c r="I855" s="127" t="s">
        <v>1344</v>
      </c>
    </row>
    <row r="856" spans="1:9" x14ac:dyDescent="0.2">
      <c r="A856" s="127" t="s">
        <v>2274</v>
      </c>
      <c r="B856" s="127" t="s">
        <v>2275</v>
      </c>
      <c r="C856" s="127" t="s">
        <v>46</v>
      </c>
      <c r="D856" s="127"/>
      <c r="E856" s="127"/>
      <c r="F856" s="128"/>
      <c r="G856" s="128"/>
      <c r="H856" s="128"/>
      <c r="I856" s="127" t="s">
        <v>1344</v>
      </c>
    </row>
    <row r="857" spans="1:9" x14ac:dyDescent="0.2">
      <c r="A857" s="127" t="s">
        <v>2276</v>
      </c>
      <c r="B857" s="127" t="s">
        <v>2277</v>
      </c>
      <c r="C857" s="127" t="s">
        <v>22</v>
      </c>
      <c r="D857" s="127"/>
      <c r="E857" s="127"/>
      <c r="F857" s="128"/>
      <c r="G857" s="128"/>
      <c r="H857" s="128"/>
      <c r="I857" s="127" t="s">
        <v>1344</v>
      </c>
    </row>
    <row r="858" spans="1:9" x14ac:dyDescent="0.2">
      <c r="A858" s="127" t="s">
        <v>2278</v>
      </c>
      <c r="B858" s="127" t="s">
        <v>2279</v>
      </c>
      <c r="C858" s="127" t="s">
        <v>17</v>
      </c>
      <c r="D858" s="127"/>
      <c r="E858" s="127"/>
      <c r="F858" s="128"/>
      <c r="G858" s="128"/>
      <c r="H858" s="128"/>
      <c r="I858" s="127" t="s">
        <v>1344</v>
      </c>
    </row>
    <row r="859" spans="1:9" x14ac:dyDescent="0.2">
      <c r="A859" s="127" t="s">
        <v>2280</v>
      </c>
      <c r="B859" s="127" t="s">
        <v>2281</v>
      </c>
      <c r="C859" s="127" t="s">
        <v>46</v>
      </c>
      <c r="D859" s="127"/>
      <c r="E859" s="127"/>
      <c r="F859" s="128"/>
      <c r="G859" s="128"/>
      <c r="H859" s="128"/>
      <c r="I859" s="127" t="s">
        <v>1344</v>
      </c>
    </row>
    <row r="860" spans="1:9" x14ac:dyDescent="0.2">
      <c r="A860" s="127" t="s">
        <v>2282</v>
      </c>
      <c r="B860" s="127" t="s">
        <v>2283</v>
      </c>
      <c r="C860" s="127" t="s">
        <v>46</v>
      </c>
      <c r="D860" s="127"/>
      <c r="E860" s="127"/>
      <c r="F860" s="128"/>
      <c r="G860" s="128"/>
      <c r="H860" s="128"/>
      <c r="I860" s="127" t="s">
        <v>1344</v>
      </c>
    </row>
    <row r="861" spans="1:9" x14ac:dyDescent="0.2">
      <c r="A861" s="127" t="s">
        <v>2284</v>
      </c>
      <c r="B861" s="127" t="s">
        <v>2285</v>
      </c>
      <c r="C861" s="127" t="s">
        <v>46</v>
      </c>
      <c r="D861" s="127"/>
      <c r="E861" s="127"/>
      <c r="F861" s="128"/>
      <c r="G861" s="128"/>
      <c r="H861" s="128"/>
      <c r="I861" s="127" t="s">
        <v>1344</v>
      </c>
    </row>
    <row r="862" spans="1:9" x14ac:dyDescent="0.2">
      <c r="A862" s="127" t="s">
        <v>2286</v>
      </c>
      <c r="B862" s="127" t="s">
        <v>1283</v>
      </c>
      <c r="C862" s="127" t="s">
        <v>22</v>
      </c>
      <c r="D862" s="127"/>
      <c r="E862" s="127"/>
      <c r="F862" s="128"/>
      <c r="G862" s="128"/>
      <c r="H862" s="128"/>
      <c r="I862" s="127" t="s">
        <v>1344</v>
      </c>
    </row>
    <row r="863" spans="1:9" x14ac:dyDescent="0.2">
      <c r="A863" s="127" t="s">
        <v>2287</v>
      </c>
      <c r="B863" s="127" t="s">
        <v>2288</v>
      </c>
      <c r="C863" s="127" t="s">
        <v>17</v>
      </c>
      <c r="D863" s="127"/>
      <c r="E863" s="127"/>
      <c r="F863" s="128"/>
      <c r="G863" s="128"/>
      <c r="H863" s="128"/>
      <c r="I863" s="127" t="s">
        <v>1344</v>
      </c>
    </row>
    <row r="864" spans="1:9" x14ac:dyDescent="0.2">
      <c r="A864" s="127" t="s">
        <v>2289</v>
      </c>
      <c r="B864" s="127" t="s">
        <v>2290</v>
      </c>
      <c r="C864" s="127" t="s">
        <v>46</v>
      </c>
      <c r="D864" s="127"/>
      <c r="E864" s="127"/>
      <c r="F864" s="128"/>
      <c r="G864" s="128"/>
      <c r="H864" s="128"/>
      <c r="I864" s="127" t="s">
        <v>1344</v>
      </c>
    </row>
    <row r="865" spans="1:9" x14ac:dyDescent="0.2">
      <c r="A865" s="127" t="s">
        <v>2195</v>
      </c>
      <c r="B865" s="127" t="s">
        <v>2291</v>
      </c>
      <c r="C865" s="127" t="s">
        <v>46</v>
      </c>
      <c r="D865" s="127"/>
      <c r="E865" s="127"/>
      <c r="F865" s="128"/>
      <c r="G865" s="128"/>
      <c r="H865" s="128"/>
      <c r="I865" s="127" t="s">
        <v>1344</v>
      </c>
    </row>
    <row r="866" spans="1:9" x14ac:dyDescent="0.2">
      <c r="A866" s="127" t="s">
        <v>2292</v>
      </c>
      <c r="B866" s="127" t="s">
        <v>2293</v>
      </c>
      <c r="C866" s="127" t="s">
        <v>22</v>
      </c>
      <c r="D866" s="127"/>
      <c r="E866" s="127"/>
      <c r="F866" s="128"/>
      <c r="G866" s="128"/>
      <c r="H866" s="128"/>
      <c r="I866" s="127" t="s">
        <v>1344</v>
      </c>
    </row>
    <row r="867" spans="1:9" x14ac:dyDescent="0.2">
      <c r="A867" s="127" t="s">
        <v>2294</v>
      </c>
      <c r="B867" s="127" t="s">
        <v>2295</v>
      </c>
      <c r="C867" s="127" t="s">
        <v>22</v>
      </c>
      <c r="D867" s="127"/>
      <c r="E867" s="127"/>
      <c r="F867" s="128"/>
      <c r="G867" s="128"/>
      <c r="H867" s="128"/>
      <c r="I867" s="127" t="s">
        <v>1344</v>
      </c>
    </row>
    <row r="868" spans="1:9" x14ac:dyDescent="0.2">
      <c r="A868" s="127" t="s">
        <v>2296</v>
      </c>
      <c r="B868" s="127" t="s">
        <v>2297</v>
      </c>
      <c r="C868" s="127" t="s">
        <v>17</v>
      </c>
      <c r="D868" s="127"/>
      <c r="E868" s="127"/>
      <c r="F868" s="128"/>
      <c r="G868" s="128"/>
      <c r="H868" s="128"/>
      <c r="I868" s="127" t="s">
        <v>1344</v>
      </c>
    </row>
    <row r="869" spans="1:9" x14ac:dyDescent="0.2">
      <c r="A869" s="127" t="s">
        <v>2298</v>
      </c>
      <c r="B869" s="127" t="s">
        <v>2299</v>
      </c>
      <c r="C869" s="127" t="s">
        <v>17</v>
      </c>
      <c r="D869" s="127"/>
      <c r="E869" s="127"/>
      <c r="F869" s="128"/>
      <c r="G869" s="128"/>
      <c r="H869" s="128"/>
      <c r="I869" s="127" t="s">
        <v>1344</v>
      </c>
    </row>
    <row r="870" spans="1:9" x14ac:dyDescent="0.2">
      <c r="A870" s="127" t="s">
        <v>2300</v>
      </c>
      <c r="B870" s="127" t="s">
        <v>2301</v>
      </c>
      <c r="C870" s="127" t="s">
        <v>46</v>
      </c>
      <c r="D870" s="127"/>
      <c r="E870" s="127"/>
      <c r="F870" s="128"/>
      <c r="G870" s="128"/>
      <c r="H870" s="128"/>
      <c r="I870" s="127" t="s">
        <v>1344</v>
      </c>
    </row>
    <row r="871" spans="1:9" x14ac:dyDescent="0.2">
      <c r="A871" s="127" t="s">
        <v>2302</v>
      </c>
      <c r="B871" s="127" t="s">
        <v>2303</v>
      </c>
      <c r="C871" s="127" t="s">
        <v>46</v>
      </c>
      <c r="D871" s="127"/>
      <c r="E871" s="127"/>
      <c r="F871" s="128"/>
      <c r="G871" s="128"/>
      <c r="H871" s="128"/>
      <c r="I871" s="127" t="s">
        <v>1344</v>
      </c>
    </row>
    <row r="872" spans="1:9" x14ac:dyDescent="0.2">
      <c r="A872" s="127" t="s">
        <v>2304</v>
      </c>
      <c r="B872" s="127" t="s">
        <v>2305</v>
      </c>
      <c r="C872" s="127" t="s">
        <v>22</v>
      </c>
      <c r="D872" s="127"/>
      <c r="E872" s="127"/>
      <c r="F872" s="128"/>
      <c r="G872" s="128"/>
      <c r="H872" s="128"/>
      <c r="I872" s="127" t="s">
        <v>1344</v>
      </c>
    </row>
    <row r="873" spans="1:9" x14ac:dyDescent="0.2">
      <c r="A873" s="127" t="s">
        <v>2306</v>
      </c>
      <c r="B873" s="127" t="s">
        <v>2307</v>
      </c>
      <c r="C873" s="127" t="s">
        <v>46</v>
      </c>
      <c r="D873" s="127"/>
      <c r="E873" s="127"/>
      <c r="F873" s="128"/>
      <c r="G873" s="128"/>
      <c r="H873" s="128"/>
      <c r="I873" s="127" t="s">
        <v>1344</v>
      </c>
    </row>
    <row r="874" spans="1:9" x14ac:dyDescent="0.2">
      <c r="A874" s="127" t="s">
        <v>2308</v>
      </c>
      <c r="B874" s="127" t="s">
        <v>2309</v>
      </c>
      <c r="C874" s="127" t="s">
        <v>46</v>
      </c>
      <c r="D874" s="127"/>
      <c r="E874" s="127"/>
      <c r="F874" s="128"/>
      <c r="G874" s="128"/>
      <c r="H874" s="128"/>
      <c r="I874" s="127" t="s">
        <v>1344</v>
      </c>
    </row>
    <row r="875" spans="1:9" x14ac:dyDescent="0.2">
      <c r="A875" s="127" t="s">
        <v>2310</v>
      </c>
      <c r="B875" s="127" t="s">
        <v>2311</v>
      </c>
      <c r="C875" s="127" t="s">
        <v>22</v>
      </c>
      <c r="D875" s="127"/>
      <c r="E875" s="127"/>
      <c r="F875" s="128"/>
      <c r="G875" s="128"/>
      <c r="H875" s="128"/>
      <c r="I875" s="127" t="s">
        <v>1344</v>
      </c>
    </row>
    <row r="876" spans="1:9" x14ac:dyDescent="0.2">
      <c r="A876" s="127" t="s">
        <v>2312</v>
      </c>
      <c r="B876" s="127" t="s">
        <v>2313</v>
      </c>
      <c r="C876" s="127" t="s">
        <v>17</v>
      </c>
      <c r="D876" s="127"/>
      <c r="E876" s="127"/>
      <c r="F876" s="128"/>
      <c r="G876" s="128"/>
      <c r="H876" s="128"/>
      <c r="I876" s="127" t="s">
        <v>1344</v>
      </c>
    </row>
    <row r="877" spans="1:9" x14ac:dyDescent="0.2">
      <c r="A877" s="127" t="s">
        <v>2314</v>
      </c>
      <c r="B877" s="127" t="s">
        <v>2315</v>
      </c>
      <c r="C877" s="127" t="s">
        <v>22</v>
      </c>
      <c r="D877" s="127"/>
      <c r="E877" s="127"/>
      <c r="F877" s="128"/>
      <c r="G877" s="128"/>
      <c r="H877" s="128"/>
      <c r="I877" s="127" t="s">
        <v>1344</v>
      </c>
    </row>
    <row r="878" spans="1:9" x14ac:dyDescent="0.2">
      <c r="A878" s="127" t="s">
        <v>2316</v>
      </c>
      <c r="B878" s="127" t="s">
        <v>2317</v>
      </c>
      <c r="C878" s="127" t="s">
        <v>46</v>
      </c>
      <c r="D878" s="127"/>
      <c r="E878" s="127"/>
      <c r="F878" s="128"/>
      <c r="G878" s="128"/>
      <c r="H878" s="128"/>
      <c r="I878" s="127" t="s">
        <v>1344</v>
      </c>
    </row>
    <row r="879" spans="1:9" x14ac:dyDescent="0.2">
      <c r="A879" s="127" t="s">
        <v>2318</v>
      </c>
      <c r="B879" s="127" t="s">
        <v>2319</v>
      </c>
      <c r="C879" s="127" t="s">
        <v>22</v>
      </c>
      <c r="D879" s="127"/>
      <c r="E879" s="127"/>
      <c r="F879" s="128"/>
      <c r="G879" s="128"/>
      <c r="H879" s="128"/>
      <c r="I879" s="127" t="s">
        <v>1344</v>
      </c>
    </row>
    <row r="880" spans="1:9" x14ac:dyDescent="0.2">
      <c r="A880" s="127" t="s">
        <v>2320</v>
      </c>
      <c r="B880" s="127" t="s">
        <v>2321</v>
      </c>
      <c r="C880" s="127" t="s">
        <v>46</v>
      </c>
      <c r="D880" s="127"/>
      <c r="E880" s="127"/>
      <c r="F880" s="128"/>
      <c r="G880" s="128"/>
      <c r="H880" s="128"/>
      <c r="I880" s="127" t="s">
        <v>1344</v>
      </c>
    </row>
    <row r="881" spans="1:9" x14ac:dyDescent="0.2">
      <c r="A881" s="127" t="s">
        <v>2322</v>
      </c>
      <c r="B881" s="127" t="s">
        <v>2323</v>
      </c>
      <c r="C881" s="127" t="s">
        <v>46</v>
      </c>
      <c r="D881" s="127"/>
      <c r="E881" s="127"/>
      <c r="F881" s="128"/>
      <c r="G881" s="128"/>
      <c r="H881" s="128"/>
      <c r="I881" s="127" t="s">
        <v>1344</v>
      </c>
    </row>
    <row r="882" spans="1:9" x14ac:dyDescent="0.2">
      <c r="A882" s="127" t="s">
        <v>1154</v>
      </c>
      <c r="B882" s="127" t="s">
        <v>2324</v>
      </c>
      <c r="C882" s="127" t="s">
        <v>46</v>
      </c>
      <c r="D882" s="127"/>
      <c r="E882" s="127"/>
      <c r="F882" s="128"/>
      <c r="G882" s="128"/>
      <c r="H882" s="128"/>
      <c r="I882" s="127" t="s">
        <v>1344</v>
      </c>
    </row>
    <row r="883" spans="1:9" x14ac:dyDescent="0.2">
      <c r="A883" s="127" t="s">
        <v>2325</v>
      </c>
      <c r="B883" s="127" t="s">
        <v>2326</v>
      </c>
      <c r="C883" s="127" t="s">
        <v>17</v>
      </c>
      <c r="D883" s="127"/>
      <c r="E883" s="127"/>
      <c r="F883" s="128"/>
      <c r="G883" s="128"/>
      <c r="H883" s="128"/>
      <c r="I883" s="127" t="s">
        <v>1344</v>
      </c>
    </row>
    <row r="884" spans="1:9" x14ac:dyDescent="0.2">
      <c r="A884" s="127" t="s">
        <v>2327</v>
      </c>
      <c r="B884" s="127" t="s">
        <v>2328</v>
      </c>
      <c r="C884" s="127" t="s">
        <v>46</v>
      </c>
      <c r="D884" s="127"/>
      <c r="E884" s="127"/>
      <c r="F884" s="128"/>
      <c r="G884" s="128"/>
      <c r="H884" s="128"/>
      <c r="I884" s="127" t="s">
        <v>1344</v>
      </c>
    </row>
    <row r="885" spans="1:9" x14ac:dyDescent="0.2">
      <c r="A885" s="127" t="s">
        <v>2329</v>
      </c>
      <c r="B885" s="127" t="s">
        <v>2330</v>
      </c>
      <c r="C885" s="127" t="s">
        <v>46</v>
      </c>
      <c r="D885" s="127"/>
      <c r="E885" s="127"/>
      <c r="F885" s="128"/>
      <c r="G885" s="128"/>
      <c r="H885" s="128"/>
      <c r="I885" s="127" t="s">
        <v>1344</v>
      </c>
    </row>
    <row r="886" spans="1:9" x14ac:dyDescent="0.2">
      <c r="A886" s="127" t="s">
        <v>2331</v>
      </c>
      <c r="B886" s="127" t="s">
        <v>2332</v>
      </c>
      <c r="C886" s="127" t="s">
        <v>46</v>
      </c>
      <c r="D886" s="127"/>
      <c r="E886" s="127"/>
      <c r="F886" s="128"/>
      <c r="G886" s="128"/>
      <c r="H886" s="128"/>
      <c r="I886" s="127" t="s">
        <v>1344</v>
      </c>
    </row>
    <row r="887" spans="1:9" x14ac:dyDescent="0.2">
      <c r="A887" s="127"/>
      <c r="B887" s="127" t="s">
        <v>2333</v>
      </c>
      <c r="C887" s="127" t="s">
        <v>22</v>
      </c>
      <c r="D887" s="127"/>
      <c r="E887" s="127"/>
      <c r="F887" s="128"/>
      <c r="G887" s="128"/>
      <c r="H887" s="128"/>
      <c r="I887" s="127" t="s">
        <v>1344</v>
      </c>
    </row>
    <row r="888" spans="1:9" x14ac:dyDescent="0.2">
      <c r="A888" s="127" t="s">
        <v>2334</v>
      </c>
      <c r="B888" s="127" t="s">
        <v>2335</v>
      </c>
      <c r="C888" s="127" t="s">
        <v>22</v>
      </c>
      <c r="D888" s="127"/>
      <c r="E888" s="127"/>
      <c r="F888" s="128"/>
      <c r="G888" s="128"/>
      <c r="H888" s="128"/>
      <c r="I888" s="127" t="s">
        <v>1344</v>
      </c>
    </row>
    <row r="889" spans="1:9" x14ac:dyDescent="0.2">
      <c r="A889" s="127" t="s">
        <v>2336</v>
      </c>
      <c r="B889" s="127" t="s">
        <v>2337</v>
      </c>
      <c r="C889" s="127" t="s">
        <v>22</v>
      </c>
      <c r="D889" s="127"/>
      <c r="E889" s="127"/>
      <c r="F889" s="128"/>
      <c r="G889" s="128"/>
      <c r="H889" s="128"/>
      <c r="I889" s="127" t="s">
        <v>1344</v>
      </c>
    </row>
    <row r="890" spans="1:9" x14ac:dyDescent="0.2">
      <c r="A890" s="127" t="s">
        <v>2338</v>
      </c>
      <c r="B890" s="127" t="s">
        <v>2339</v>
      </c>
      <c r="C890" s="127" t="s">
        <v>46</v>
      </c>
      <c r="D890" s="127"/>
      <c r="E890" s="127"/>
      <c r="F890" s="128"/>
      <c r="G890" s="128"/>
      <c r="H890" s="128"/>
      <c r="I890" s="127" t="s">
        <v>1344</v>
      </c>
    </row>
    <row r="891" spans="1:9" x14ac:dyDescent="0.2">
      <c r="A891" s="127" t="s">
        <v>2340</v>
      </c>
      <c r="B891" s="127" t="s">
        <v>2341</v>
      </c>
      <c r="C891" s="127" t="s">
        <v>46</v>
      </c>
      <c r="D891" s="127"/>
      <c r="E891" s="127"/>
      <c r="F891" s="128"/>
      <c r="G891" s="128"/>
      <c r="H891" s="128"/>
      <c r="I891" s="127" t="s">
        <v>1344</v>
      </c>
    </row>
    <row r="892" spans="1:9" x14ac:dyDescent="0.2">
      <c r="A892" s="127" t="s">
        <v>2342</v>
      </c>
      <c r="B892" s="127" t="s">
        <v>2343</v>
      </c>
      <c r="C892" s="127" t="s">
        <v>46</v>
      </c>
      <c r="D892" s="127"/>
      <c r="E892" s="127"/>
      <c r="F892" s="128"/>
      <c r="G892" s="128"/>
      <c r="H892" s="128"/>
      <c r="I892" s="127" t="s">
        <v>1344</v>
      </c>
    </row>
    <row r="893" spans="1:9" x14ac:dyDescent="0.2">
      <c r="A893" s="127" t="s">
        <v>2344</v>
      </c>
      <c r="B893" s="127" t="s">
        <v>2345</v>
      </c>
      <c r="C893" s="127" t="s">
        <v>46</v>
      </c>
      <c r="D893" s="127"/>
      <c r="E893" s="127"/>
      <c r="F893" s="128"/>
      <c r="G893" s="128"/>
      <c r="H893" s="128"/>
      <c r="I893" s="127" t="s">
        <v>1344</v>
      </c>
    </row>
    <row r="894" spans="1:9" x14ac:dyDescent="0.2">
      <c r="A894" s="127" t="s">
        <v>2346</v>
      </c>
      <c r="B894" s="127" t="s">
        <v>2347</v>
      </c>
      <c r="C894" s="127" t="s">
        <v>46</v>
      </c>
      <c r="D894" s="127"/>
      <c r="E894" s="127"/>
      <c r="F894" s="128"/>
      <c r="G894" s="128"/>
      <c r="H894" s="128"/>
      <c r="I894" s="127" t="s">
        <v>1344</v>
      </c>
    </row>
    <row r="895" spans="1:9" x14ac:dyDescent="0.2">
      <c r="A895" s="127" t="s">
        <v>2231</v>
      </c>
      <c r="B895" s="127" t="s">
        <v>2348</v>
      </c>
      <c r="C895" s="127" t="s">
        <v>22</v>
      </c>
      <c r="D895" s="127"/>
      <c r="E895" s="127"/>
      <c r="F895" s="128"/>
      <c r="G895" s="128"/>
      <c r="H895" s="128"/>
      <c r="I895" s="127" t="s">
        <v>1344</v>
      </c>
    </row>
    <row r="896" spans="1:9" x14ac:dyDescent="0.2">
      <c r="A896" s="127" t="s">
        <v>2349</v>
      </c>
      <c r="B896" s="127" t="s">
        <v>2350</v>
      </c>
      <c r="C896" s="127" t="s">
        <v>46</v>
      </c>
      <c r="D896" s="127"/>
      <c r="E896" s="127"/>
      <c r="F896" s="128"/>
      <c r="G896" s="128"/>
      <c r="H896" s="128"/>
      <c r="I896" s="127" t="s">
        <v>1344</v>
      </c>
    </row>
    <row r="897" spans="1:9" x14ac:dyDescent="0.2">
      <c r="A897" s="127" t="s">
        <v>2351</v>
      </c>
      <c r="B897" s="127" t="s">
        <v>2350</v>
      </c>
      <c r="C897" s="127" t="s">
        <v>46</v>
      </c>
      <c r="D897" s="127"/>
      <c r="E897" s="127"/>
      <c r="F897" s="128"/>
      <c r="G897" s="128"/>
      <c r="H897" s="128"/>
      <c r="I897" s="127" t="s">
        <v>1344</v>
      </c>
    </row>
    <row r="898" spans="1:9" x14ac:dyDescent="0.2">
      <c r="A898" s="127" t="s">
        <v>2352</v>
      </c>
      <c r="B898" s="127" t="s">
        <v>2353</v>
      </c>
      <c r="C898" s="127" t="s">
        <v>17</v>
      </c>
      <c r="D898" s="127"/>
      <c r="E898" s="127"/>
      <c r="F898" s="128"/>
      <c r="G898" s="128"/>
      <c r="H898" s="128"/>
      <c r="I898" s="127" t="s">
        <v>1344</v>
      </c>
    </row>
    <row r="899" spans="1:9" x14ac:dyDescent="0.2">
      <c r="A899" s="127" t="s">
        <v>2354</v>
      </c>
      <c r="B899" s="127" t="s">
        <v>2355</v>
      </c>
      <c r="C899" s="127" t="s">
        <v>46</v>
      </c>
      <c r="D899" s="127"/>
      <c r="E899" s="127"/>
      <c r="F899" s="128"/>
      <c r="G899" s="128"/>
      <c r="H899" s="128"/>
      <c r="I899" s="127" t="s">
        <v>1344</v>
      </c>
    </row>
    <row r="900" spans="1:9" x14ac:dyDescent="0.2">
      <c r="A900" s="127"/>
      <c r="B900" s="127" t="s">
        <v>2356</v>
      </c>
      <c r="C900" s="127" t="s">
        <v>22</v>
      </c>
      <c r="D900" s="127"/>
      <c r="E900" s="127"/>
      <c r="F900" s="128"/>
      <c r="G900" s="128"/>
      <c r="H900" s="128"/>
      <c r="I900" s="127" t="s">
        <v>1344</v>
      </c>
    </row>
    <row r="901" spans="1:9" x14ac:dyDescent="0.2">
      <c r="A901" s="127" t="s">
        <v>2357</v>
      </c>
      <c r="B901" s="127" t="s">
        <v>2358</v>
      </c>
      <c r="C901" s="127" t="s">
        <v>46</v>
      </c>
      <c r="D901" s="127"/>
      <c r="E901" s="127"/>
      <c r="F901" s="128"/>
      <c r="G901" s="128"/>
      <c r="H901" s="128"/>
      <c r="I901" s="127" t="s">
        <v>1344</v>
      </c>
    </row>
    <row r="902" spans="1:9" x14ac:dyDescent="0.2">
      <c r="A902" s="127" t="s">
        <v>2359</v>
      </c>
      <c r="B902" s="127" t="s">
        <v>2360</v>
      </c>
      <c r="C902" s="127" t="s">
        <v>17</v>
      </c>
      <c r="D902" s="127"/>
      <c r="E902" s="127"/>
      <c r="F902" s="128"/>
      <c r="G902" s="128"/>
      <c r="H902" s="128"/>
      <c r="I902" s="127" t="s">
        <v>1344</v>
      </c>
    </row>
    <row r="903" spans="1:9" x14ac:dyDescent="0.2">
      <c r="A903" s="127" t="s">
        <v>2361</v>
      </c>
      <c r="B903" s="127" t="s">
        <v>2362</v>
      </c>
      <c r="C903" s="127" t="s">
        <v>46</v>
      </c>
      <c r="D903" s="127"/>
      <c r="E903" s="127"/>
      <c r="F903" s="128"/>
      <c r="G903" s="128"/>
      <c r="H903" s="128"/>
      <c r="I903" s="127" t="s">
        <v>1344</v>
      </c>
    </row>
    <row r="904" spans="1:9" x14ac:dyDescent="0.2">
      <c r="A904" s="127" t="s">
        <v>2363</v>
      </c>
      <c r="B904" s="127" t="s">
        <v>2364</v>
      </c>
      <c r="C904" s="127" t="s">
        <v>46</v>
      </c>
      <c r="D904" s="127"/>
      <c r="E904" s="127"/>
      <c r="F904" s="128"/>
      <c r="G904" s="128"/>
      <c r="H904" s="128"/>
      <c r="I904" s="127" t="s">
        <v>1344</v>
      </c>
    </row>
    <row r="905" spans="1:9" x14ac:dyDescent="0.2">
      <c r="A905" s="127"/>
      <c r="B905" s="127" t="s">
        <v>2365</v>
      </c>
      <c r="C905" s="127" t="s">
        <v>46</v>
      </c>
      <c r="D905" s="127"/>
      <c r="E905" s="127"/>
      <c r="F905" s="128"/>
      <c r="G905" s="128"/>
      <c r="H905" s="128"/>
      <c r="I905" s="127" t="s">
        <v>1344</v>
      </c>
    </row>
    <row r="906" spans="1:9" x14ac:dyDescent="0.2">
      <c r="A906" s="127" t="s">
        <v>2366</v>
      </c>
      <c r="B906" s="127" t="s">
        <v>2367</v>
      </c>
      <c r="C906" s="127" t="s">
        <v>46</v>
      </c>
      <c r="D906" s="127"/>
      <c r="E906" s="127"/>
      <c r="F906" s="128"/>
      <c r="G906" s="128"/>
      <c r="H906" s="128"/>
      <c r="I906" s="127" t="s">
        <v>1344</v>
      </c>
    </row>
    <row r="907" spans="1:9" x14ac:dyDescent="0.2">
      <c r="A907" s="127" t="s">
        <v>2368</v>
      </c>
      <c r="B907" s="127" t="s">
        <v>2369</v>
      </c>
      <c r="C907" s="127" t="s">
        <v>46</v>
      </c>
      <c r="D907" s="127"/>
      <c r="E907" s="127"/>
      <c r="F907" s="128"/>
      <c r="G907" s="128"/>
      <c r="H907" s="128"/>
      <c r="I907" s="127" t="s">
        <v>1344</v>
      </c>
    </row>
    <row r="908" spans="1:9" x14ac:dyDescent="0.2">
      <c r="A908" s="127" t="s">
        <v>2370</v>
      </c>
      <c r="B908" s="127" t="s">
        <v>2371</v>
      </c>
      <c r="C908" s="127" t="s">
        <v>22</v>
      </c>
      <c r="D908" s="127"/>
      <c r="E908" s="127"/>
      <c r="F908" s="128"/>
      <c r="G908" s="128"/>
      <c r="H908" s="128"/>
      <c r="I908" s="127" t="s">
        <v>1344</v>
      </c>
    </row>
    <row r="909" spans="1:9" x14ac:dyDescent="0.2">
      <c r="A909" s="127" t="s">
        <v>2110</v>
      </c>
      <c r="B909" s="127" t="s">
        <v>2372</v>
      </c>
      <c r="C909" s="127" t="s">
        <v>46</v>
      </c>
      <c r="D909" s="127"/>
      <c r="E909" s="127"/>
      <c r="F909" s="128"/>
      <c r="G909" s="128"/>
      <c r="H909" s="128"/>
      <c r="I909" s="127" t="s">
        <v>1344</v>
      </c>
    </row>
    <row r="910" spans="1:9" x14ac:dyDescent="0.2">
      <c r="A910" s="127" t="s">
        <v>2373</v>
      </c>
      <c r="B910" s="127" t="s">
        <v>2374</v>
      </c>
      <c r="C910" s="127" t="s">
        <v>22</v>
      </c>
      <c r="D910" s="127"/>
      <c r="E910" s="127"/>
      <c r="F910" s="128"/>
      <c r="G910" s="128"/>
      <c r="H910" s="128"/>
      <c r="I910" s="127" t="s">
        <v>1344</v>
      </c>
    </row>
    <row r="911" spans="1:9" x14ac:dyDescent="0.2">
      <c r="A911" s="127" t="s">
        <v>2375</v>
      </c>
      <c r="B911" s="127" t="s">
        <v>2376</v>
      </c>
      <c r="C911" s="127" t="s">
        <v>46</v>
      </c>
      <c r="D911" s="127"/>
      <c r="E911" s="127"/>
      <c r="F911" s="128"/>
      <c r="G911" s="128"/>
      <c r="H911" s="128"/>
      <c r="I911" s="127" t="s">
        <v>1344</v>
      </c>
    </row>
    <row r="912" spans="1:9" x14ac:dyDescent="0.2">
      <c r="A912" s="127" t="s">
        <v>2377</v>
      </c>
      <c r="B912" s="127" t="s">
        <v>2378</v>
      </c>
      <c r="C912" s="127" t="s">
        <v>17</v>
      </c>
      <c r="D912" s="127"/>
      <c r="E912" s="127"/>
      <c r="F912" s="128"/>
      <c r="G912" s="128"/>
      <c r="H912" s="128"/>
      <c r="I912" s="127" t="s">
        <v>1344</v>
      </c>
    </row>
    <row r="913" spans="1:9" x14ac:dyDescent="0.2">
      <c r="A913" s="127" t="s">
        <v>2379</v>
      </c>
      <c r="B913" s="127" t="s">
        <v>2380</v>
      </c>
      <c r="C913" s="127" t="s">
        <v>22</v>
      </c>
      <c r="D913" s="127"/>
      <c r="E913" s="127"/>
      <c r="F913" s="128"/>
      <c r="G913" s="128"/>
      <c r="H913" s="128"/>
      <c r="I913" s="127" t="s">
        <v>1344</v>
      </c>
    </row>
    <row r="914" spans="1:9" x14ac:dyDescent="0.2">
      <c r="A914" s="127" t="s">
        <v>2381</v>
      </c>
      <c r="B914" s="127" t="s">
        <v>2382</v>
      </c>
      <c r="C914" s="127" t="s">
        <v>46</v>
      </c>
      <c r="D914" s="127"/>
      <c r="E914" s="127"/>
      <c r="F914" s="128"/>
      <c r="G914" s="128"/>
      <c r="H914" s="128"/>
      <c r="I914" s="127" t="s">
        <v>1344</v>
      </c>
    </row>
    <row r="915" spans="1:9" x14ac:dyDescent="0.2">
      <c r="A915" s="127" t="s">
        <v>2383</v>
      </c>
      <c r="B915" s="127" t="s">
        <v>2384</v>
      </c>
      <c r="C915" s="127" t="s">
        <v>46</v>
      </c>
      <c r="D915" s="127"/>
      <c r="E915" s="127"/>
      <c r="F915" s="128"/>
      <c r="G915" s="128"/>
      <c r="H915" s="128"/>
      <c r="I915" s="127" t="s">
        <v>1344</v>
      </c>
    </row>
    <row r="916" spans="1:9" x14ac:dyDescent="0.2">
      <c r="A916" s="127" t="s">
        <v>2385</v>
      </c>
      <c r="B916" s="127" t="s">
        <v>2386</v>
      </c>
      <c r="C916" s="127" t="s">
        <v>22</v>
      </c>
      <c r="D916" s="127"/>
      <c r="E916" s="127"/>
      <c r="F916" s="128"/>
      <c r="G916" s="128"/>
      <c r="H916" s="128"/>
      <c r="I916" s="127" t="s">
        <v>1344</v>
      </c>
    </row>
    <row r="917" spans="1:9" x14ac:dyDescent="0.2">
      <c r="A917" s="127" t="s">
        <v>1862</v>
      </c>
      <c r="B917" s="127" t="s">
        <v>2387</v>
      </c>
      <c r="C917" s="127" t="s">
        <v>22</v>
      </c>
      <c r="D917" s="127"/>
      <c r="E917" s="127"/>
      <c r="F917" s="128"/>
      <c r="G917" s="128"/>
      <c r="H917" s="128"/>
      <c r="I917" s="127" t="s">
        <v>1344</v>
      </c>
    </row>
    <row r="918" spans="1:9" x14ac:dyDescent="0.2">
      <c r="A918" s="127" t="s">
        <v>2388</v>
      </c>
      <c r="B918" s="127" t="s">
        <v>2389</v>
      </c>
      <c r="C918" s="127" t="s">
        <v>46</v>
      </c>
      <c r="D918" s="127"/>
      <c r="E918" s="127"/>
      <c r="F918" s="128"/>
      <c r="G918" s="128"/>
      <c r="H918" s="128"/>
      <c r="I918" s="127" t="s">
        <v>1344</v>
      </c>
    </row>
    <row r="919" spans="1:9" x14ac:dyDescent="0.2">
      <c r="A919" s="127" t="s">
        <v>2390</v>
      </c>
      <c r="B919" s="127" t="s">
        <v>2391</v>
      </c>
      <c r="C919" s="127" t="s">
        <v>22</v>
      </c>
      <c r="D919" s="127"/>
      <c r="E919" s="127"/>
      <c r="F919" s="128"/>
      <c r="G919" s="128"/>
      <c r="H919" s="128"/>
      <c r="I919" s="127" t="s">
        <v>1344</v>
      </c>
    </row>
    <row r="920" spans="1:9" x14ac:dyDescent="0.2">
      <c r="A920" s="127" t="s">
        <v>1862</v>
      </c>
      <c r="B920" s="127" t="s">
        <v>2392</v>
      </c>
      <c r="C920" s="127" t="s">
        <v>22</v>
      </c>
      <c r="D920" s="127"/>
      <c r="E920" s="127"/>
      <c r="F920" s="128"/>
      <c r="G920" s="128"/>
      <c r="H920" s="128"/>
      <c r="I920" s="127" t="s">
        <v>1344</v>
      </c>
    </row>
    <row r="921" spans="1:9" x14ac:dyDescent="0.2">
      <c r="A921" s="127" t="s">
        <v>2393</v>
      </c>
      <c r="B921" s="127" t="s">
        <v>2394</v>
      </c>
      <c r="C921" s="127" t="s">
        <v>46</v>
      </c>
      <c r="D921" s="127"/>
      <c r="E921" s="127"/>
      <c r="F921" s="128"/>
      <c r="G921" s="128"/>
      <c r="H921" s="128"/>
      <c r="I921" s="127" t="s">
        <v>1344</v>
      </c>
    </row>
    <row r="922" spans="1:9" x14ac:dyDescent="0.2">
      <c r="A922" s="127" t="s">
        <v>2395</v>
      </c>
      <c r="B922" s="127" t="s">
        <v>2396</v>
      </c>
      <c r="C922" s="127" t="s">
        <v>22</v>
      </c>
      <c r="D922" s="127"/>
      <c r="E922" s="127"/>
      <c r="F922" s="128"/>
      <c r="G922" s="128"/>
      <c r="H922" s="128"/>
      <c r="I922" s="127" t="s">
        <v>1344</v>
      </c>
    </row>
    <row r="923" spans="1:9" x14ac:dyDescent="0.2">
      <c r="A923" s="127" t="s">
        <v>2397</v>
      </c>
      <c r="B923" s="127" t="s">
        <v>2398</v>
      </c>
      <c r="C923" s="127" t="s">
        <v>46</v>
      </c>
      <c r="D923" s="127"/>
      <c r="E923" s="127"/>
      <c r="F923" s="128"/>
      <c r="G923" s="128"/>
      <c r="H923" s="128"/>
      <c r="I923" s="127" t="s">
        <v>1344</v>
      </c>
    </row>
    <row r="924" spans="1:9" x14ac:dyDescent="0.2">
      <c r="A924" s="127" t="s">
        <v>2399</v>
      </c>
      <c r="B924" s="127" t="s">
        <v>2400</v>
      </c>
      <c r="C924" s="127" t="s">
        <v>22</v>
      </c>
      <c r="D924" s="127"/>
      <c r="E924" s="127"/>
      <c r="F924" s="128"/>
      <c r="G924" s="128"/>
      <c r="H924" s="128"/>
      <c r="I924" s="127" t="s">
        <v>1344</v>
      </c>
    </row>
    <row r="925" spans="1:9" x14ac:dyDescent="0.2">
      <c r="A925" s="127" t="s">
        <v>2401</v>
      </c>
      <c r="B925" s="127" t="s">
        <v>2402</v>
      </c>
      <c r="C925" s="127" t="s">
        <v>17</v>
      </c>
      <c r="D925" s="127"/>
      <c r="E925" s="127"/>
      <c r="F925" s="128"/>
      <c r="G925" s="128"/>
      <c r="H925" s="128"/>
      <c r="I925" s="127" t="s">
        <v>1344</v>
      </c>
    </row>
    <row r="926" spans="1:9" x14ac:dyDescent="0.2">
      <c r="A926" s="127" t="s">
        <v>2403</v>
      </c>
      <c r="B926" s="127" t="s">
        <v>2404</v>
      </c>
      <c r="C926" s="127" t="s">
        <v>46</v>
      </c>
      <c r="D926" s="127"/>
      <c r="E926" s="127"/>
      <c r="F926" s="128"/>
      <c r="G926" s="128"/>
      <c r="H926" s="128"/>
      <c r="I926" s="127" t="s">
        <v>1344</v>
      </c>
    </row>
    <row r="927" spans="1:9" x14ac:dyDescent="0.2">
      <c r="A927" s="127" t="s">
        <v>2405</v>
      </c>
      <c r="B927" s="127" t="s">
        <v>2406</v>
      </c>
      <c r="C927" s="127" t="s">
        <v>17</v>
      </c>
      <c r="D927" s="127"/>
      <c r="E927" s="127"/>
      <c r="F927" s="128"/>
      <c r="G927" s="128"/>
      <c r="H927" s="128"/>
      <c r="I927" s="127" t="s">
        <v>1344</v>
      </c>
    </row>
    <row r="928" spans="1:9" x14ac:dyDescent="0.2">
      <c r="A928" s="127" t="s">
        <v>2407</v>
      </c>
      <c r="B928" s="127" t="s">
        <v>2408</v>
      </c>
      <c r="C928" s="127" t="s">
        <v>46</v>
      </c>
      <c r="D928" s="127"/>
      <c r="E928" s="127"/>
      <c r="F928" s="128"/>
      <c r="G928" s="128"/>
      <c r="H928" s="128"/>
      <c r="I928" s="127" t="s">
        <v>1344</v>
      </c>
    </row>
    <row r="929" spans="1:9" x14ac:dyDescent="0.2">
      <c r="A929" s="127" t="s">
        <v>2409</v>
      </c>
      <c r="B929" s="127" t="s">
        <v>2410</v>
      </c>
      <c r="C929" s="127" t="s">
        <v>46</v>
      </c>
      <c r="D929" s="127"/>
      <c r="E929" s="127"/>
      <c r="F929" s="128"/>
      <c r="G929" s="128"/>
      <c r="H929" s="128"/>
      <c r="I929" s="127" t="s">
        <v>1344</v>
      </c>
    </row>
    <row r="930" spans="1:9" x14ac:dyDescent="0.2">
      <c r="A930" s="127" t="s">
        <v>1909</v>
      </c>
      <c r="B930" s="127" t="s">
        <v>2411</v>
      </c>
      <c r="C930" s="127" t="s">
        <v>46</v>
      </c>
      <c r="D930" s="127"/>
      <c r="E930" s="127"/>
      <c r="F930" s="128"/>
      <c r="G930" s="128"/>
      <c r="H930" s="128"/>
      <c r="I930" s="127" t="s">
        <v>1344</v>
      </c>
    </row>
    <row r="931" spans="1:9" x14ac:dyDescent="0.2">
      <c r="A931" s="127" t="s">
        <v>2412</v>
      </c>
      <c r="B931" s="127" t="s">
        <v>2413</v>
      </c>
      <c r="C931" s="127" t="s">
        <v>22</v>
      </c>
      <c r="D931" s="127"/>
      <c r="E931" s="127"/>
      <c r="F931" s="128"/>
      <c r="G931" s="128"/>
      <c r="H931" s="128"/>
      <c r="I931" s="127" t="s">
        <v>1344</v>
      </c>
    </row>
    <row r="932" spans="1:9" x14ac:dyDescent="0.2">
      <c r="A932" s="127"/>
      <c r="B932" s="127" t="s">
        <v>2414</v>
      </c>
      <c r="C932" s="127" t="s">
        <v>17</v>
      </c>
      <c r="D932" s="127"/>
      <c r="E932" s="127"/>
      <c r="F932" s="128"/>
      <c r="G932" s="128"/>
      <c r="H932" s="128"/>
      <c r="I932" s="127" t="s">
        <v>1344</v>
      </c>
    </row>
    <row r="933" spans="1:9" x14ac:dyDescent="0.2">
      <c r="A933" s="127" t="s">
        <v>2415</v>
      </c>
      <c r="B933" s="127" t="s">
        <v>2416</v>
      </c>
      <c r="C933" s="127" t="s">
        <v>46</v>
      </c>
      <c r="D933" s="127"/>
      <c r="E933" s="127"/>
      <c r="F933" s="128"/>
      <c r="G933" s="128"/>
      <c r="H933" s="128"/>
      <c r="I933" s="127" t="s">
        <v>1344</v>
      </c>
    </row>
    <row r="934" spans="1:9" x14ac:dyDescent="0.2">
      <c r="A934" s="127" t="s">
        <v>2417</v>
      </c>
      <c r="B934" s="127" t="s">
        <v>2418</v>
      </c>
      <c r="C934" s="127" t="s">
        <v>46</v>
      </c>
      <c r="D934" s="127"/>
      <c r="E934" s="127"/>
      <c r="F934" s="128"/>
      <c r="G934" s="128"/>
      <c r="H934" s="128"/>
      <c r="I934" s="127" t="s">
        <v>1344</v>
      </c>
    </row>
    <row r="935" spans="1:9" x14ac:dyDescent="0.2">
      <c r="A935" s="127" t="s">
        <v>2419</v>
      </c>
      <c r="B935" s="127" t="s">
        <v>2420</v>
      </c>
      <c r="C935" s="127" t="s">
        <v>46</v>
      </c>
      <c r="D935" s="127"/>
      <c r="E935" s="127"/>
      <c r="F935" s="128"/>
      <c r="G935" s="128"/>
      <c r="H935" s="128"/>
      <c r="I935" s="127" t="s">
        <v>1344</v>
      </c>
    </row>
    <row r="936" spans="1:9" x14ac:dyDescent="0.2">
      <c r="A936" s="127" t="s">
        <v>2421</v>
      </c>
      <c r="B936" s="127" t="s">
        <v>2422</v>
      </c>
      <c r="C936" s="127" t="s">
        <v>46</v>
      </c>
      <c r="D936" s="127"/>
      <c r="E936" s="127"/>
      <c r="F936" s="128"/>
      <c r="G936" s="128"/>
      <c r="H936" s="128"/>
      <c r="I936" s="127" t="s">
        <v>1344</v>
      </c>
    </row>
    <row r="937" spans="1:9" x14ac:dyDescent="0.2">
      <c r="A937" s="127" t="s">
        <v>2423</v>
      </c>
      <c r="B937" s="127" t="s">
        <v>2424</v>
      </c>
      <c r="C937" s="127" t="s">
        <v>22</v>
      </c>
      <c r="D937" s="127"/>
      <c r="E937" s="127"/>
      <c r="F937" s="128"/>
      <c r="G937" s="128"/>
      <c r="H937" s="128"/>
      <c r="I937" s="127" t="s">
        <v>1344</v>
      </c>
    </row>
    <row r="938" spans="1:9" x14ac:dyDescent="0.2">
      <c r="A938" s="127" t="s">
        <v>2425</v>
      </c>
      <c r="B938" s="127" t="s">
        <v>2426</v>
      </c>
      <c r="C938" s="127" t="s">
        <v>17</v>
      </c>
      <c r="D938" s="127"/>
      <c r="E938" s="127"/>
      <c r="F938" s="128"/>
      <c r="G938" s="128"/>
      <c r="H938" s="128"/>
      <c r="I938" s="127" t="s">
        <v>1344</v>
      </c>
    </row>
    <row r="939" spans="1:9" x14ac:dyDescent="0.2">
      <c r="A939" s="127" t="s">
        <v>2427</v>
      </c>
      <c r="B939" s="127" t="s">
        <v>2428</v>
      </c>
      <c r="C939" s="127" t="s">
        <v>46</v>
      </c>
      <c r="D939" s="127"/>
      <c r="E939" s="127"/>
      <c r="F939" s="128"/>
      <c r="G939" s="128"/>
      <c r="H939" s="128"/>
      <c r="I939" s="127" t="s">
        <v>1344</v>
      </c>
    </row>
    <row r="940" spans="1:9" x14ac:dyDescent="0.2">
      <c r="A940" s="127" t="s">
        <v>2429</v>
      </c>
      <c r="B940" s="127" t="s">
        <v>2430</v>
      </c>
      <c r="C940" s="127" t="s">
        <v>46</v>
      </c>
      <c r="D940" s="127"/>
      <c r="E940" s="127"/>
      <c r="F940" s="128"/>
      <c r="G940" s="128"/>
      <c r="H940" s="128"/>
      <c r="I940" s="127" t="s">
        <v>1344</v>
      </c>
    </row>
    <row r="941" spans="1:9" x14ac:dyDescent="0.2">
      <c r="A941" s="127" t="s">
        <v>2431</v>
      </c>
      <c r="B941" s="127" t="s">
        <v>2432</v>
      </c>
      <c r="C941" s="127" t="s">
        <v>22</v>
      </c>
      <c r="D941" s="127"/>
      <c r="E941" s="127"/>
      <c r="F941" s="128"/>
      <c r="G941" s="128"/>
      <c r="H941" s="128"/>
      <c r="I941" s="127" t="s">
        <v>1344</v>
      </c>
    </row>
    <row r="942" spans="1:9" x14ac:dyDescent="0.2">
      <c r="A942" s="127" t="s">
        <v>2433</v>
      </c>
      <c r="B942" s="127" t="s">
        <v>2434</v>
      </c>
      <c r="C942" s="127" t="s">
        <v>22</v>
      </c>
      <c r="D942" s="127"/>
      <c r="E942" s="127"/>
      <c r="F942" s="128"/>
      <c r="G942" s="128"/>
      <c r="H942" s="128"/>
      <c r="I942" s="127" t="s">
        <v>1344</v>
      </c>
    </row>
    <row r="943" spans="1:9" x14ac:dyDescent="0.2">
      <c r="A943" s="127" t="s">
        <v>267</v>
      </c>
      <c r="B943" s="127" t="s">
        <v>2435</v>
      </c>
      <c r="C943" s="127" t="s">
        <v>17</v>
      </c>
      <c r="D943" s="127"/>
      <c r="E943" s="127"/>
      <c r="F943" s="128"/>
      <c r="G943" s="128"/>
      <c r="H943" s="128"/>
      <c r="I943" s="127" t="s">
        <v>1344</v>
      </c>
    </row>
    <row r="944" spans="1:9" x14ac:dyDescent="0.2">
      <c r="A944" s="127" t="s">
        <v>2436</v>
      </c>
      <c r="B944" s="127" t="s">
        <v>2437</v>
      </c>
      <c r="C944" s="127" t="s">
        <v>46</v>
      </c>
      <c r="D944" s="127"/>
      <c r="E944" s="127"/>
      <c r="F944" s="128"/>
      <c r="G944" s="128"/>
      <c r="H944" s="128"/>
      <c r="I944" s="127" t="s">
        <v>1344</v>
      </c>
    </row>
    <row r="945" spans="1:9" x14ac:dyDescent="0.2">
      <c r="A945" s="127" t="s">
        <v>2438</v>
      </c>
      <c r="B945" s="127" t="s">
        <v>2439</v>
      </c>
      <c r="C945" s="127" t="s">
        <v>46</v>
      </c>
      <c r="D945" s="127"/>
      <c r="E945" s="127"/>
      <c r="F945" s="128"/>
      <c r="G945" s="128"/>
      <c r="H945" s="128"/>
      <c r="I945" s="127" t="s">
        <v>1344</v>
      </c>
    </row>
    <row r="946" spans="1:9" x14ac:dyDescent="0.2">
      <c r="A946" s="127" t="s">
        <v>2440</v>
      </c>
      <c r="B946" s="127" t="s">
        <v>2441</v>
      </c>
      <c r="C946" s="127" t="s">
        <v>46</v>
      </c>
      <c r="D946" s="127"/>
      <c r="E946" s="127"/>
      <c r="F946" s="128"/>
      <c r="G946" s="128"/>
      <c r="H946" s="128"/>
      <c r="I946" s="127" t="s">
        <v>1344</v>
      </c>
    </row>
    <row r="947" spans="1:9" x14ac:dyDescent="0.2">
      <c r="A947" s="127" t="s">
        <v>2442</v>
      </c>
      <c r="B947" s="127" t="s">
        <v>2443</v>
      </c>
      <c r="C947" s="127" t="s">
        <v>46</v>
      </c>
      <c r="D947" s="127"/>
      <c r="E947" s="127"/>
      <c r="F947" s="128"/>
      <c r="G947" s="128"/>
      <c r="H947" s="128"/>
      <c r="I947" s="127" t="s">
        <v>1344</v>
      </c>
    </row>
    <row r="948" spans="1:9" x14ac:dyDescent="0.2">
      <c r="A948" s="127" t="s">
        <v>2444</v>
      </c>
      <c r="B948" s="127" t="s">
        <v>2445</v>
      </c>
      <c r="C948" s="127" t="s">
        <v>46</v>
      </c>
      <c r="D948" s="127"/>
      <c r="E948" s="127"/>
      <c r="F948" s="128"/>
      <c r="G948" s="128"/>
      <c r="H948" s="128"/>
      <c r="I948" s="127" t="s">
        <v>1344</v>
      </c>
    </row>
    <row r="949" spans="1:9" x14ac:dyDescent="0.2">
      <c r="A949" s="127" t="s">
        <v>2446</v>
      </c>
      <c r="B949" s="127" t="s">
        <v>2447</v>
      </c>
      <c r="C949" s="127" t="s">
        <v>46</v>
      </c>
      <c r="D949" s="127"/>
      <c r="E949" s="127"/>
      <c r="F949" s="128"/>
      <c r="G949" s="128"/>
      <c r="H949" s="128"/>
      <c r="I949" s="127" t="s">
        <v>1344</v>
      </c>
    </row>
    <row r="950" spans="1:9" x14ac:dyDescent="0.2">
      <c r="A950" s="127" t="s">
        <v>2448</v>
      </c>
      <c r="B950" s="127" t="s">
        <v>2449</v>
      </c>
      <c r="C950" s="127" t="s">
        <v>22</v>
      </c>
      <c r="D950" s="127"/>
      <c r="E950" s="127"/>
      <c r="F950" s="128"/>
      <c r="G950" s="128"/>
      <c r="H950" s="128"/>
      <c r="I950" s="127" t="s">
        <v>1344</v>
      </c>
    </row>
    <row r="951" spans="1:9" x14ac:dyDescent="0.2">
      <c r="A951" s="127" t="s">
        <v>2450</v>
      </c>
      <c r="B951" s="127" t="s">
        <v>2451</v>
      </c>
      <c r="C951" s="127" t="s">
        <v>46</v>
      </c>
      <c r="D951" s="127"/>
      <c r="E951" s="127"/>
      <c r="F951" s="128"/>
      <c r="G951" s="128"/>
      <c r="H951" s="128"/>
      <c r="I951" s="127" t="s">
        <v>1344</v>
      </c>
    </row>
    <row r="952" spans="1:9" x14ac:dyDescent="0.2">
      <c r="A952" s="127" t="s">
        <v>2452</v>
      </c>
      <c r="B952" s="127" t="s">
        <v>2453</v>
      </c>
      <c r="C952" s="127" t="s">
        <v>22</v>
      </c>
      <c r="D952" s="127"/>
      <c r="E952" s="127"/>
      <c r="F952" s="128"/>
      <c r="G952" s="128"/>
      <c r="H952" s="128"/>
      <c r="I952" s="127" t="s">
        <v>1344</v>
      </c>
    </row>
    <row r="953" spans="1:9" x14ac:dyDescent="0.2">
      <c r="A953" s="127" t="s">
        <v>2454</v>
      </c>
      <c r="B953" s="127" t="s">
        <v>2455</v>
      </c>
      <c r="C953" s="127" t="s">
        <v>17</v>
      </c>
      <c r="D953" s="127"/>
      <c r="E953" s="127"/>
      <c r="F953" s="128"/>
      <c r="G953" s="128"/>
      <c r="H953" s="128"/>
      <c r="I953" s="127" t="s">
        <v>1344</v>
      </c>
    </row>
    <row r="954" spans="1:9" x14ac:dyDescent="0.2">
      <c r="A954" s="127" t="s">
        <v>2456</v>
      </c>
      <c r="B954" s="127" t="s">
        <v>2457</v>
      </c>
      <c r="C954" s="127" t="s">
        <v>17</v>
      </c>
      <c r="D954" s="127"/>
      <c r="E954" s="127"/>
      <c r="F954" s="128"/>
      <c r="G954" s="128"/>
      <c r="H954" s="128"/>
      <c r="I954" s="127" t="s">
        <v>1344</v>
      </c>
    </row>
    <row r="955" spans="1:9" x14ac:dyDescent="0.2">
      <c r="A955" s="127" t="s">
        <v>2456</v>
      </c>
      <c r="B955" s="127" t="s">
        <v>2458</v>
      </c>
      <c r="C955" s="127" t="s">
        <v>17</v>
      </c>
      <c r="D955" s="127"/>
      <c r="E955" s="127"/>
      <c r="F955" s="128"/>
      <c r="G955" s="128"/>
      <c r="H955" s="128"/>
      <c r="I955" s="127" t="s">
        <v>1344</v>
      </c>
    </row>
    <row r="956" spans="1:9" x14ac:dyDescent="0.2">
      <c r="A956" s="127" t="s">
        <v>2459</v>
      </c>
      <c r="B956" s="127" t="s">
        <v>2460</v>
      </c>
      <c r="C956" s="127" t="s">
        <v>46</v>
      </c>
      <c r="D956" s="127"/>
      <c r="E956" s="127"/>
      <c r="F956" s="128"/>
      <c r="G956" s="128"/>
      <c r="H956" s="128"/>
      <c r="I956" s="127" t="s">
        <v>1344</v>
      </c>
    </row>
    <row r="957" spans="1:9" x14ac:dyDescent="0.2">
      <c r="A957" s="127" t="s">
        <v>2461</v>
      </c>
      <c r="B957" s="127" t="s">
        <v>2462</v>
      </c>
      <c r="C957" s="127" t="s">
        <v>46</v>
      </c>
      <c r="D957" s="127"/>
      <c r="E957" s="127"/>
      <c r="F957" s="128"/>
      <c r="G957" s="128"/>
      <c r="H957" s="128"/>
      <c r="I957" s="127" t="s">
        <v>1344</v>
      </c>
    </row>
    <row r="958" spans="1:9" x14ac:dyDescent="0.2">
      <c r="A958" s="127" t="s">
        <v>2463</v>
      </c>
      <c r="B958" s="127" t="s">
        <v>2464</v>
      </c>
      <c r="C958" s="127" t="s">
        <v>22</v>
      </c>
      <c r="D958" s="127"/>
      <c r="E958" s="127"/>
      <c r="F958" s="128"/>
      <c r="G958" s="128"/>
      <c r="H958" s="128"/>
      <c r="I958" s="127" t="s">
        <v>1344</v>
      </c>
    </row>
    <row r="959" spans="1:9" x14ac:dyDescent="0.2">
      <c r="A959" s="127" t="s">
        <v>2465</v>
      </c>
      <c r="B959" s="127" t="s">
        <v>2466</v>
      </c>
      <c r="C959" s="127" t="s">
        <v>22</v>
      </c>
      <c r="D959" s="127"/>
      <c r="E959" s="127"/>
      <c r="F959" s="128"/>
      <c r="G959" s="128"/>
      <c r="H959" s="128"/>
      <c r="I959" s="127" t="s">
        <v>1344</v>
      </c>
    </row>
    <row r="960" spans="1:9" x14ac:dyDescent="0.2">
      <c r="A960" s="127" t="s">
        <v>2467</v>
      </c>
      <c r="B960" s="127" t="s">
        <v>2468</v>
      </c>
      <c r="C960" s="127" t="s">
        <v>22</v>
      </c>
      <c r="D960" s="127"/>
      <c r="E960" s="127"/>
      <c r="F960" s="128"/>
      <c r="G960" s="128"/>
      <c r="H960" s="128"/>
      <c r="I960" s="127" t="s">
        <v>1344</v>
      </c>
    </row>
    <row r="961" spans="1:9" x14ac:dyDescent="0.2">
      <c r="A961" s="127" t="s">
        <v>2469</v>
      </c>
      <c r="B961" s="127" t="s">
        <v>2470</v>
      </c>
      <c r="C961" s="127" t="s">
        <v>22</v>
      </c>
      <c r="D961" s="127"/>
      <c r="E961" s="127"/>
      <c r="F961" s="128"/>
      <c r="G961" s="128"/>
      <c r="H961" s="128"/>
      <c r="I961" s="127" t="s">
        <v>1344</v>
      </c>
    </row>
    <row r="962" spans="1:9" x14ac:dyDescent="0.2">
      <c r="A962" s="127" t="s">
        <v>1862</v>
      </c>
      <c r="B962" s="127" t="s">
        <v>2471</v>
      </c>
      <c r="C962" s="127" t="s">
        <v>22</v>
      </c>
      <c r="D962" s="127"/>
      <c r="E962" s="127"/>
      <c r="F962" s="128"/>
      <c r="G962" s="128"/>
      <c r="H962" s="128"/>
      <c r="I962" s="127" t="s">
        <v>1344</v>
      </c>
    </row>
    <row r="963" spans="1:9" x14ac:dyDescent="0.2">
      <c r="A963" s="127" t="s">
        <v>2472</v>
      </c>
      <c r="B963" s="127" t="s">
        <v>2473</v>
      </c>
      <c r="C963" s="127" t="s">
        <v>22</v>
      </c>
      <c r="D963" s="127"/>
      <c r="E963" s="127"/>
      <c r="F963" s="128"/>
      <c r="G963" s="128"/>
      <c r="H963" s="128"/>
      <c r="I963" s="127" t="s">
        <v>1344</v>
      </c>
    </row>
    <row r="964" spans="1:9" x14ac:dyDescent="0.2">
      <c r="A964" s="127" t="s">
        <v>1862</v>
      </c>
      <c r="B964" s="127" t="s">
        <v>2474</v>
      </c>
      <c r="C964" s="127" t="s">
        <v>17</v>
      </c>
      <c r="D964" s="127"/>
      <c r="E964" s="127"/>
      <c r="F964" s="128"/>
      <c r="G964" s="128"/>
      <c r="H964" s="128"/>
      <c r="I964" s="127" t="s">
        <v>1344</v>
      </c>
    </row>
    <row r="965" spans="1:9" x14ac:dyDescent="0.2">
      <c r="A965" s="127" t="s">
        <v>2475</v>
      </c>
      <c r="B965" s="127" t="s">
        <v>2476</v>
      </c>
      <c r="C965" s="127" t="s">
        <v>22</v>
      </c>
      <c r="D965" s="127"/>
      <c r="E965" s="127"/>
      <c r="F965" s="128"/>
      <c r="G965" s="128"/>
      <c r="H965" s="128"/>
      <c r="I965" s="127" t="s">
        <v>1344</v>
      </c>
    </row>
    <row r="966" spans="1:9" x14ac:dyDescent="0.2">
      <c r="A966" s="127"/>
      <c r="B966" s="127" t="s">
        <v>2477</v>
      </c>
      <c r="C966" s="127" t="s">
        <v>22</v>
      </c>
      <c r="D966" s="127"/>
      <c r="E966" s="127"/>
      <c r="F966" s="128"/>
      <c r="G966" s="128"/>
      <c r="H966" s="128"/>
      <c r="I966" s="127" t="s">
        <v>1344</v>
      </c>
    </row>
    <row r="967" spans="1:9" x14ac:dyDescent="0.2">
      <c r="A967" s="127" t="s">
        <v>2478</v>
      </c>
      <c r="B967" s="127" t="s">
        <v>2479</v>
      </c>
      <c r="C967" s="127" t="s">
        <v>46</v>
      </c>
      <c r="D967" s="127"/>
      <c r="E967" s="127"/>
      <c r="F967" s="128"/>
      <c r="G967" s="128"/>
      <c r="H967" s="128"/>
      <c r="I967" s="127" t="s">
        <v>1344</v>
      </c>
    </row>
    <row r="968" spans="1:9" x14ac:dyDescent="0.2">
      <c r="A968" s="127" t="s">
        <v>2480</v>
      </c>
      <c r="B968" s="127" t="s">
        <v>2481</v>
      </c>
      <c r="C968" s="127" t="s">
        <v>17</v>
      </c>
      <c r="D968" s="127"/>
      <c r="E968" s="127"/>
      <c r="F968" s="128"/>
      <c r="G968" s="128"/>
      <c r="H968" s="128"/>
      <c r="I968" s="127" t="s">
        <v>1344</v>
      </c>
    </row>
    <row r="969" spans="1:9" x14ac:dyDescent="0.2">
      <c r="A969" s="127" t="s">
        <v>2482</v>
      </c>
      <c r="B969" s="127" t="s">
        <v>2483</v>
      </c>
      <c r="C969" s="127" t="s">
        <v>46</v>
      </c>
      <c r="D969" s="127"/>
      <c r="E969" s="127"/>
      <c r="F969" s="128"/>
      <c r="G969" s="128"/>
      <c r="H969" s="128"/>
      <c r="I969" s="127" t="s">
        <v>1344</v>
      </c>
    </row>
    <row r="970" spans="1:9" x14ac:dyDescent="0.2">
      <c r="A970" s="127"/>
      <c r="B970" s="127" t="s">
        <v>2484</v>
      </c>
      <c r="C970" s="127" t="s">
        <v>46</v>
      </c>
      <c r="D970" s="127"/>
      <c r="E970" s="127"/>
      <c r="F970" s="128"/>
      <c r="G970" s="128"/>
      <c r="H970" s="128"/>
      <c r="I970" s="127" t="s">
        <v>1344</v>
      </c>
    </row>
    <row r="971" spans="1:9" x14ac:dyDescent="0.2">
      <c r="A971" s="127" t="s">
        <v>2485</v>
      </c>
      <c r="B971" s="127" t="s">
        <v>2486</v>
      </c>
      <c r="C971" s="127" t="s">
        <v>17</v>
      </c>
      <c r="D971" s="127"/>
      <c r="E971" s="127"/>
      <c r="F971" s="128"/>
      <c r="G971" s="128"/>
      <c r="H971" s="128"/>
      <c r="I971" s="127" t="s">
        <v>1344</v>
      </c>
    </row>
    <row r="972" spans="1:9" x14ac:dyDescent="0.2">
      <c r="A972" s="127" t="s">
        <v>2487</v>
      </c>
      <c r="B972" s="127" t="s">
        <v>2488</v>
      </c>
      <c r="C972" s="127" t="s">
        <v>17</v>
      </c>
      <c r="D972" s="127"/>
      <c r="E972" s="127"/>
      <c r="F972" s="128"/>
      <c r="G972" s="128"/>
      <c r="H972" s="128"/>
      <c r="I972" s="127" t="s">
        <v>1344</v>
      </c>
    </row>
    <row r="973" spans="1:9" x14ac:dyDescent="0.2">
      <c r="A973" s="127" t="s">
        <v>2489</v>
      </c>
      <c r="B973" s="127" t="s">
        <v>2490</v>
      </c>
      <c r="C973" s="127" t="s">
        <v>46</v>
      </c>
      <c r="D973" s="127"/>
      <c r="E973" s="127"/>
      <c r="F973" s="128"/>
      <c r="G973" s="128"/>
      <c r="H973" s="128"/>
      <c r="I973" s="127" t="s">
        <v>1344</v>
      </c>
    </row>
    <row r="974" spans="1:9" x14ac:dyDescent="0.2">
      <c r="A974" s="127" t="s">
        <v>2491</v>
      </c>
      <c r="B974" s="127" t="s">
        <v>2492</v>
      </c>
      <c r="C974" s="127" t="s">
        <v>17</v>
      </c>
      <c r="D974" s="127"/>
      <c r="E974" s="127"/>
      <c r="F974" s="128"/>
      <c r="G974" s="128"/>
      <c r="H974" s="128"/>
      <c r="I974" s="127" t="s">
        <v>1344</v>
      </c>
    </row>
    <row r="975" spans="1:9" x14ac:dyDescent="0.2">
      <c r="A975" s="127" t="s">
        <v>2493</v>
      </c>
      <c r="B975" s="127" t="s">
        <v>2494</v>
      </c>
      <c r="C975" s="127" t="s">
        <v>17</v>
      </c>
      <c r="D975" s="127"/>
      <c r="E975" s="127"/>
      <c r="F975" s="128"/>
      <c r="G975" s="128"/>
      <c r="H975" s="128"/>
      <c r="I975" s="127" t="s">
        <v>1344</v>
      </c>
    </row>
    <row r="976" spans="1:9" x14ac:dyDescent="0.2">
      <c r="A976" s="127" t="s">
        <v>2495</v>
      </c>
      <c r="B976" s="127" t="s">
        <v>2496</v>
      </c>
      <c r="C976" s="127" t="s">
        <v>46</v>
      </c>
      <c r="D976" s="127"/>
      <c r="E976" s="127"/>
      <c r="F976" s="128"/>
      <c r="G976" s="128"/>
      <c r="H976" s="128"/>
      <c r="I976" s="127" t="s">
        <v>1344</v>
      </c>
    </row>
    <row r="977" spans="1:9" x14ac:dyDescent="0.2">
      <c r="A977" s="127" t="s">
        <v>1862</v>
      </c>
      <c r="B977" s="127" t="s">
        <v>2497</v>
      </c>
      <c r="C977" s="127" t="s">
        <v>46</v>
      </c>
      <c r="D977" s="127"/>
      <c r="E977" s="127"/>
      <c r="F977" s="128"/>
      <c r="G977" s="128"/>
      <c r="H977" s="128"/>
      <c r="I977" s="127" t="s">
        <v>1344</v>
      </c>
    </row>
    <row r="978" spans="1:9" x14ac:dyDescent="0.2">
      <c r="A978" s="127" t="s">
        <v>2498</v>
      </c>
      <c r="B978" s="127" t="s">
        <v>2499</v>
      </c>
      <c r="C978" s="127" t="s">
        <v>17</v>
      </c>
      <c r="D978" s="127"/>
      <c r="E978" s="127"/>
      <c r="F978" s="128"/>
      <c r="G978" s="128"/>
      <c r="H978" s="128"/>
      <c r="I978" s="127" t="s">
        <v>1344</v>
      </c>
    </row>
    <row r="979" spans="1:9" x14ac:dyDescent="0.2">
      <c r="A979" s="127" t="s">
        <v>2500</v>
      </c>
      <c r="B979" s="127" t="s">
        <v>2501</v>
      </c>
      <c r="C979" s="127" t="s">
        <v>46</v>
      </c>
      <c r="D979" s="127"/>
      <c r="E979" s="127"/>
      <c r="F979" s="128"/>
      <c r="G979" s="128"/>
      <c r="H979" s="128"/>
      <c r="I979" s="127" t="s">
        <v>1344</v>
      </c>
    </row>
    <row r="980" spans="1:9" x14ac:dyDescent="0.2">
      <c r="A980" s="127" t="s">
        <v>2502</v>
      </c>
      <c r="B980" s="127" t="s">
        <v>2503</v>
      </c>
      <c r="C980" s="127" t="s">
        <v>22</v>
      </c>
      <c r="D980" s="127"/>
      <c r="E980" s="127"/>
      <c r="F980" s="128"/>
      <c r="G980" s="128"/>
      <c r="H980" s="128"/>
      <c r="I980" s="127" t="s">
        <v>1344</v>
      </c>
    </row>
    <row r="981" spans="1:9" x14ac:dyDescent="0.2">
      <c r="A981" s="127" t="s">
        <v>2504</v>
      </c>
      <c r="B981" s="127" t="s">
        <v>2505</v>
      </c>
      <c r="C981" s="127" t="s">
        <v>46</v>
      </c>
      <c r="D981" s="127"/>
      <c r="E981" s="127"/>
      <c r="F981" s="128"/>
      <c r="G981" s="128"/>
      <c r="H981" s="128"/>
      <c r="I981" s="127" t="s">
        <v>1344</v>
      </c>
    </row>
    <row r="982" spans="1:9" x14ac:dyDescent="0.2">
      <c r="A982" s="127"/>
      <c r="B982" s="127" t="s">
        <v>2506</v>
      </c>
      <c r="C982" s="127" t="s">
        <v>46</v>
      </c>
      <c r="D982" s="127"/>
      <c r="E982" s="127"/>
      <c r="F982" s="128"/>
      <c r="G982" s="128"/>
      <c r="H982" s="128"/>
      <c r="I982" s="127" t="s">
        <v>1344</v>
      </c>
    </row>
    <row r="983" spans="1:9" x14ac:dyDescent="0.2">
      <c r="A983" s="127" t="s">
        <v>2507</v>
      </c>
      <c r="B983" s="127" t="s">
        <v>2508</v>
      </c>
      <c r="C983" s="127" t="s">
        <v>46</v>
      </c>
      <c r="D983" s="127"/>
      <c r="E983" s="127"/>
      <c r="F983" s="128"/>
      <c r="G983" s="128"/>
      <c r="H983" s="128"/>
      <c r="I983" s="127" t="s">
        <v>1344</v>
      </c>
    </row>
    <row r="984" spans="1:9" x14ac:dyDescent="0.2">
      <c r="A984" s="127"/>
      <c r="B984" s="127" t="s">
        <v>2509</v>
      </c>
      <c r="C984" s="127" t="s">
        <v>22</v>
      </c>
      <c r="D984" s="127"/>
      <c r="E984" s="127"/>
      <c r="F984" s="128"/>
      <c r="G984" s="128"/>
      <c r="H984" s="128"/>
      <c r="I984" s="127" t="s">
        <v>1344</v>
      </c>
    </row>
    <row r="985" spans="1:9" x14ac:dyDescent="0.2">
      <c r="A985" s="127" t="s">
        <v>2510</v>
      </c>
      <c r="B985" s="127" t="s">
        <v>2511</v>
      </c>
      <c r="C985" s="127" t="s">
        <v>22</v>
      </c>
      <c r="D985" s="127"/>
      <c r="E985" s="127"/>
      <c r="F985" s="128"/>
      <c r="G985" s="128"/>
      <c r="H985" s="128"/>
      <c r="I985" s="127" t="s">
        <v>1344</v>
      </c>
    </row>
    <row r="986" spans="1:9" x14ac:dyDescent="0.2">
      <c r="A986" s="127" t="s">
        <v>2512</v>
      </c>
      <c r="B986" s="127" t="s">
        <v>2513</v>
      </c>
      <c r="C986" s="127" t="s">
        <v>17</v>
      </c>
      <c r="D986" s="127"/>
      <c r="E986" s="127"/>
      <c r="F986" s="128"/>
      <c r="G986" s="128"/>
      <c r="H986" s="128"/>
      <c r="I986" s="127" t="s">
        <v>1344</v>
      </c>
    </row>
    <row r="987" spans="1:9" x14ac:dyDescent="0.2">
      <c r="A987" s="127" t="s">
        <v>1862</v>
      </c>
      <c r="B987" s="127" t="s">
        <v>2514</v>
      </c>
      <c r="C987" s="127" t="s">
        <v>22</v>
      </c>
      <c r="D987" s="127"/>
      <c r="E987" s="127"/>
      <c r="F987" s="128"/>
      <c r="G987" s="128"/>
      <c r="H987" s="128"/>
      <c r="I987" s="127" t="s">
        <v>1344</v>
      </c>
    </row>
    <row r="988" spans="1:9" x14ac:dyDescent="0.2">
      <c r="A988" s="127" t="s">
        <v>2515</v>
      </c>
      <c r="B988" s="127" t="s">
        <v>2516</v>
      </c>
      <c r="C988" s="127" t="s">
        <v>46</v>
      </c>
      <c r="D988" s="127"/>
      <c r="E988" s="127"/>
      <c r="F988" s="128"/>
      <c r="G988" s="128"/>
      <c r="H988" s="128"/>
      <c r="I988" s="127" t="s">
        <v>1344</v>
      </c>
    </row>
    <row r="989" spans="1:9" x14ac:dyDescent="0.2">
      <c r="A989" s="127" t="s">
        <v>2517</v>
      </c>
      <c r="B989" s="127" t="s">
        <v>2518</v>
      </c>
      <c r="C989" s="127" t="s">
        <v>22</v>
      </c>
      <c r="D989" s="127"/>
      <c r="E989" s="127"/>
      <c r="F989" s="128"/>
      <c r="G989" s="128"/>
      <c r="H989" s="128"/>
      <c r="I989" s="127" t="s">
        <v>1344</v>
      </c>
    </row>
    <row r="990" spans="1:9" x14ac:dyDescent="0.2">
      <c r="A990" s="127" t="s">
        <v>2519</v>
      </c>
      <c r="B990" s="127" t="s">
        <v>2520</v>
      </c>
      <c r="C990" s="127" t="s">
        <v>46</v>
      </c>
      <c r="D990" s="127"/>
      <c r="E990" s="127"/>
      <c r="F990" s="128"/>
      <c r="G990" s="128"/>
      <c r="H990" s="128"/>
      <c r="I990" s="127" t="s">
        <v>1344</v>
      </c>
    </row>
    <row r="991" spans="1:9" x14ac:dyDescent="0.2">
      <c r="A991" s="127" t="s">
        <v>2521</v>
      </c>
      <c r="B991" s="127" t="s">
        <v>2522</v>
      </c>
      <c r="C991" s="127" t="s">
        <v>22</v>
      </c>
      <c r="D991" s="127"/>
      <c r="E991" s="127"/>
      <c r="F991" s="128"/>
      <c r="G991" s="128"/>
      <c r="H991" s="128"/>
      <c r="I991" s="127" t="s">
        <v>1344</v>
      </c>
    </row>
    <row r="992" spans="1:9" x14ac:dyDescent="0.2">
      <c r="A992" s="127" t="s">
        <v>2523</v>
      </c>
      <c r="B992" s="127" t="s">
        <v>2524</v>
      </c>
      <c r="C992" s="127" t="s">
        <v>17</v>
      </c>
      <c r="D992" s="127"/>
      <c r="E992" s="127"/>
      <c r="F992" s="128"/>
      <c r="G992" s="128"/>
      <c r="H992" s="128"/>
      <c r="I992" s="127" t="s">
        <v>1344</v>
      </c>
    </row>
    <row r="993" spans="1:9" x14ac:dyDescent="0.2">
      <c r="A993" s="127" t="s">
        <v>2525</v>
      </c>
      <c r="B993" s="127" t="s">
        <v>2526</v>
      </c>
      <c r="C993" s="127" t="s">
        <v>46</v>
      </c>
      <c r="D993" s="127"/>
      <c r="E993" s="127"/>
      <c r="F993" s="128"/>
      <c r="G993" s="128"/>
      <c r="H993" s="128"/>
      <c r="I993" s="127" t="s">
        <v>1344</v>
      </c>
    </row>
    <row r="994" spans="1:9" x14ac:dyDescent="0.2">
      <c r="A994" s="127" t="s">
        <v>2527</v>
      </c>
      <c r="B994" s="127" t="s">
        <v>2528</v>
      </c>
      <c r="C994" s="127" t="s">
        <v>46</v>
      </c>
      <c r="D994" s="127"/>
      <c r="E994" s="127"/>
      <c r="F994" s="128"/>
      <c r="G994" s="128"/>
      <c r="H994" s="128"/>
      <c r="I994" s="127" t="s">
        <v>1344</v>
      </c>
    </row>
    <row r="995" spans="1:9" x14ac:dyDescent="0.2">
      <c r="A995" s="127"/>
      <c r="B995" s="127" t="s">
        <v>2529</v>
      </c>
      <c r="C995" s="127" t="s">
        <v>22</v>
      </c>
      <c r="D995" s="127"/>
      <c r="E995" s="127"/>
      <c r="F995" s="128"/>
      <c r="G995" s="128"/>
      <c r="H995" s="128"/>
      <c r="I995" s="127" t="s">
        <v>1344</v>
      </c>
    </row>
    <row r="996" spans="1:9" x14ac:dyDescent="0.2">
      <c r="A996" s="127" t="s">
        <v>1085</v>
      </c>
      <c r="B996" s="127" t="s">
        <v>2530</v>
      </c>
      <c r="C996" s="127" t="s">
        <v>46</v>
      </c>
      <c r="D996" s="127"/>
      <c r="E996" s="127"/>
      <c r="F996" s="128"/>
      <c r="G996" s="128"/>
      <c r="H996" s="128"/>
      <c r="I996" s="127" t="s">
        <v>1344</v>
      </c>
    </row>
    <row r="997" spans="1:9" x14ac:dyDescent="0.2">
      <c r="A997" s="127" t="s">
        <v>2531</v>
      </c>
      <c r="B997" s="127" t="s">
        <v>2532</v>
      </c>
      <c r="C997" s="127" t="s">
        <v>22</v>
      </c>
      <c r="D997" s="127"/>
      <c r="E997" s="127"/>
      <c r="F997" s="128"/>
      <c r="G997" s="128"/>
      <c r="H997" s="128"/>
      <c r="I997" s="127" t="s">
        <v>1344</v>
      </c>
    </row>
    <row r="998" spans="1:9" x14ac:dyDescent="0.2">
      <c r="A998" s="127" t="s">
        <v>2533</v>
      </c>
      <c r="B998" s="127" t="s">
        <v>2534</v>
      </c>
      <c r="C998" s="127" t="s">
        <v>17</v>
      </c>
      <c r="D998" s="127"/>
      <c r="E998" s="127"/>
      <c r="F998" s="128"/>
      <c r="G998" s="128"/>
      <c r="H998" s="128"/>
      <c r="I998" s="127" t="s">
        <v>1344</v>
      </c>
    </row>
    <row r="999" spans="1:9" x14ac:dyDescent="0.2">
      <c r="A999" s="127" t="s">
        <v>2535</v>
      </c>
      <c r="B999" s="127" t="s">
        <v>2536</v>
      </c>
      <c r="C999" s="127" t="s">
        <v>17</v>
      </c>
      <c r="D999" s="127"/>
      <c r="E999" s="127"/>
      <c r="F999" s="128"/>
      <c r="G999" s="128"/>
      <c r="H999" s="128"/>
      <c r="I999" s="127" t="s">
        <v>1344</v>
      </c>
    </row>
    <row r="1000" spans="1:9" x14ac:dyDescent="0.2">
      <c r="A1000" s="127" t="s">
        <v>2537</v>
      </c>
      <c r="B1000" s="127" t="s">
        <v>2538</v>
      </c>
      <c r="C1000" s="127" t="s">
        <v>46</v>
      </c>
      <c r="D1000" s="127"/>
      <c r="E1000" s="127"/>
      <c r="F1000" s="128"/>
      <c r="G1000" s="128"/>
      <c r="H1000" s="128"/>
      <c r="I1000" s="127" t="s">
        <v>1344</v>
      </c>
    </row>
    <row r="1001" spans="1:9" x14ac:dyDescent="0.2">
      <c r="A1001" s="127" t="s">
        <v>2539</v>
      </c>
      <c r="B1001" s="127" t="s">
        <v>2540</v>
      </c>
      <c r="C1001" s="127" t="s">
        <v>46</v>
      </c>
      <c r="D1001" s="127"/>
      <c r="E1001" s="127"/>
      <c r="F1001" s="128"/>
      <c r="G1001" s="128"/>
      <c r="H1001" s="128"/>
      <c r="I1001" s="127" t="s">
        <v>1344</v>
      </c>
    </row>
    <row r="1002" spans="1:9" x14ac:dyDescent="0.2">
      <c r="A1002" s="127" t="s">
        <v>2541</v>
      </c>
      <c r="B1002" s="127" t="s">
        <v>2542</v>
      </c>
      <c r="C1002" s="127" t="s">
        <v>17</v>
      </c>
      <c r="D1002" s="127"/>
      <c r="E1002" s="127"/>
      <c r="F1002" s="128"/>
      <c r="G1002" s="128"/>
      <c r="H1002" s="128"/>
      <c r="I1002" s="127" t="s">
        <v>1344</v>
      </c>
    </row>
    <row r="1003" spans="1:9" x14ac:dyDescent="0.2">
      <c r="A1003" s="127" t="s">
        <v>2543</v>
      </c>
      <c r="B1003" s="127" t="s">
        <v>2544</v>
      </c>
      <c r="C1003" s="127" t="s">
        <v>46</v>
      </c>
      <c r="D1003" s="127"/>
      <c r="E1003" s="127"/>
      <c r="F1003" s="128"/>
      <c r="G1003" s="128"/>
      <c r="H1003" s="128"/>
      <c r="I1003" s="127" t="s">
        <v>1344</v>
      </c>
    </row>
    <row r="1004" spans="1:9" x14ac:dyDescent="0.2">
      <c r="A1004" s="127" t="s">
        <v>2545</v>
      </c>
      <c r="B1004" s="127" t="s">
        <v>2546</v>
      </c>
      <c r="C1004" s="127" t="s">
        <v>22</v>
      </c>
      <c r="D1004" s="127"/>
      <c r="E1004" s="127"/>
      <c r="F1004" s="128"/>
      <c r="G1004" s="128"/>
      <c r="H1004" s="128"/>
      <c r="I1004" s="127" t="s">
        <v>1344</v>
      </c>
    </row>
    <row r="1005" spans="1:9" x14ac:dyDescent="0.2">
      <c r="A1005" s="127" t="s">
        <v>2547</v>
      </c>
      <c r="B1005" s="127" t="s">
        <v>2548</v>
      </c>
      <c r="C1005" s="127" t="s">
        <v>46</v>
      </c>
      <c r="D1005" s="127"/>
      <c r="E1005" s="127"/>
      <c r="F1005" s="128"/>
      <c r="G1005" s="128"/>
      <c r="H1005" s="128"/>
      <c r="I1005" s="127" t="s">
        <v>1344</v>
      </c>
    </row>
    <row r="1006" spans="1:9" x14ac:dyDescent="0.2">
      <c r="A1006" s="127" t="s">
        <v>2549</v>
      </c>
      <c r="B1006" s="127" t="s">
        <v>2550</v>
      </c>
      <c r="C1006" s="127" t="s">
        <v>46</v>
      </c>
      <c r="D1006" s="127"/>
      <c r="E1006" s="127"/>
      <c r="F1006" s="128"/>
      <c r="G1006" s="128"/>
      <c r="H1006" s="128"/>
      <c r="I1006" s="127" t="s">
        <v>1344</v>
      </c>
    </row>
    <row r="1007" spans="1:9" x14ac:dyDescent="0.2">
      <c r="A1007" s="127" t="s">
        <v>2551</v>
      </c>
      <c r="B1007" s="127" t="s">
        <v>2552</v>
      </c>
      <c r="C1007" s="127" t="s">
        <v>46</v>
      </c>
      <c r="D1007" s="127"/>
      <c r="E1007" s="127"/>
      <c r="F1007" s="128"/>
      <c r="G1007" s="128"/>
      <c r="H1007" s="128"/>
      <c r="I1007" s="127" t="s">
        <v>1344</v>
      </c>
    </row>
    <row r="1008" spans="1:9" x14ac:dyDescent="0.2">
      <c r="A1008" s="127" t="s">
        <v>2553</v>
      </c>
      <c r="B1008" s="127" t="s">
        <v>2554</v>
      </c>
      <c r="C1008" s="127" t="s">
        <v>22</v>
      </c>
      <c r="D1008" s="127"/>
      <c r="E1008" s="127"/>
      <c r="F1008" s="128"/>
      <c r="G1008" s="128"/>
      <c r="H1008" s="128"/>
      <c r="I1008" s="127" t="s">
        <v>1344</v>
      </c>
    </row>
    <row r="1009" spans="1:9" x14ac:dyDescent="0.2">
      <c r="A1009" s="127" t="s">
        <v>2555</v>
      </c>
      <c r="B1009" s="127" t="s">
        <v>2556</v>
      </c>
      <c r="C1009" s="127" t="s">
        <v>46</v>
      </c>
      <c r="D1009" s="127"/>
      <c r="E1009" s="127"/>
      <c r="F1009" s="128"/>
      <c r="G1009" s="128"/>
      <c r="H1009" s="128"/>
      <c r="I1009" s="127" t="s">
        <v>1344</v>
      </c>
    </row>
    <row r="1010" spans="1:9" x14ac:dyDescent="0.2">
      <c r="A1010" s="127" t="s">
        <v>2557</v>
      </c>
      <c r="B1010" s="127" t="s">
        <v>2558</v>
      </c>
      <c r="C1010" s="127" t="s">
        <v>46</v>
      </c>
      <c r="D1010" s="127"/>
      <c r="E1010" s="127"/>
      <c r="F1010" s="128"/>
      <c r="G1010" s="128"/>
      <c r="H1010" s="128"/>
      <c r="I1010" s="127" t="s">
        <v>1344</v>
      </c>
    </row>
    <row r="1011" spans="1:9" x14ac:dyDescent="0.2">
      <c r="A1011" s="127" t="s">
        <v>2559</v>
      </c>
      <c r="B1011" s="127" t="s">
        <v>2560</v>
      </c>
      <c r="C1011" s="127" t="s">
        <v>22</v>
      </c>
      <c r="D1011" s="127"/>
      <c r="E1011" s="127"/>
      <c r="F1011" s="128"/>
      <c r="G1011" s="128"/>
      <c r="H1011" s="128"/>
      <c r="I1011" s="127" t="s">
        <v>1344</v>
      </c>
    </row>
    <row r="1012" spans="1:9" x14ac:dyDescent="0.2">
      <c r="A1012" s="127" t="s">
        <v>2561</v>
      </c>
      <c r="B1012" s="127" t="s">
        <v>2562</v>
      </c>
      <c r="C1012" s="127" t="s">
        <v>22</v>
      </c>
      <c r="D1012" s="127"/>
      <c r="E1012" s="127"/>
      <c r="F1012" s="128"/>
      <c r="G1012" s="128"/>
      <c r="H1012" s="128"/>
      <c r="I1012" s="127" t="s">
        <v>1344</v>
      </c>
    </row>
    <row r="1013" spans="1:9" x14ac:dyDescent="0.2">
      <c r="A1013" s="127" t="s">
        <v>2563</v>
      </c>
      <c r="B1013" s="127" t="s">
        <v>2564</v>
      </c>
      <c r="C1013" s="127" t="s">
        <v>22</v>
      </c>
      <c r="D1013" s="127"/>
      <c r="E1013" s="127"/>
      <c r="F1013" s="128"/>
      <c r="G1013" s="128"/>
      <c r="H1013" s="128"/>
      <c r="I1013" s="127" t="s">
        <v>1344</v>
      </c>
    </row>
    <row r="1014" spans="1:9" x14ac:dyDescent="0.2">
      <c r="A1014" s="127" t="s">
        <v>2153</v>
      </c>
      <c r="B1014" s="127" t="s">
        <v>2565</v>
      </c>
      <c r="C1014" s="127" t="s">
        <v>46</v>
      </c>
      <c r="D1014" s="127"/>
      <c r="E1014" s="127"/>
      <c r="F1014" s="128"/>
      <c r="G1014" s="128"/>
      <c r="H1014" s="128"/>
      <c r="I1014" s="127" t="s">
        <v>1344</v>
      </c>
    </row>
    <row r="1015" spans="1:9" x14ac:dyDescent="0.2">
      <c r="A1015" s="127"/>
      <c r="B1015" s="127" t="s">
        <v>2566</v>
      </c>
      <c r="C1015" s="127" t="s">
        <v>22</v>
      </c>
      <c r="D1015" s="127"/>
      <c r="E1015" s="127"/>
      <c r="F1015" s="128"/>
      <c r="G1015" s="128"/>
      <c r="H1015" s="128"/>
      <c r="I1015" s="127" t="s">
        <v>1344</v>
      </c>
    </row>
    <row r="1016" spans="1:9" x14ac:dyDescent="0.2">
      <c r="A1016" s="127" t="s">
        <v>2567</v>
      </c>
      <c r="B1016" s="127" t="s">
        <v>2568</v>
      </c>
      <c r="C1016" s="127" t="s">
        <v>46</v>
      </c>
      <c r="D1016" s="127"/>
      <c r="E1016" s="127"/>
      <c r="F1016" s="128"/>
      <c r="G1016" s="128"/>
      <c r="H1016" s="128"/>
      <c r="I1016" s="127" t="s">
        <v>1344</v>
      </c>
    </row>
    <row r="1017" spans="1:9" x14ac:dyDescent="0.2">
      <c r="A1017" s="127" t="s">
        <v>2569</v>
      </c>
      <c r="B1017" s="127" t="s">
        <v>2570</v>
      </c>
      <c r="C1017" s="127" t="s">
        <v>22</v>
      </c>
      <c r="D1017" s="127"/>
      <c r="E1017" s="127"/>
      <c r="F1017" s="128"/>
      <c r="G1017" s="128"/>
      <c r="H1017" s="128"/>
      <c r="I1017" s="127" t="s">
        <v>1344</v>
      </c>
    </row>
    <row r="1018" spans="1:9" x14ac:dyDescent="0.2">
      <c r="A1018" s="127" t="s">
        <v>2571</v>
      </c>
      <c r="B1018" s="127"/>
      <c r="C1018" s="127" t="s">
        <v>17</v>
      </c>
      <c r="D1018" s="127"/>
      <c r="E1018" s="127"/>
      <c r="F1018" s="128"/>
      <c r="G1018" s="128"/>
      <c r="H1018" s="128"/>
      <c r="I1018" s="127" t="s">
        <v>1344</v>
      </c>
    </row>
    <row r="1019" spans="1:9" x14ac:dyDescent="0.2">
      <c r="A1019" s="127" t="s">
        <v>2572</v>
      </c>
      <c r="B1019" s="127" t="s">
        <v>2573</v>
      </c>
      <c r="C1019" s="127" t="s">
        <v>46</v>
      </c>
      <c r="D1019" s="127"/>
      <c r="E1019" s="127"/>
      <c r="F1019" s="128"/>
      <c r="G1019" s="128"/>
      <c r="H1019" s="128"/>
      <c r="I1019" s="127" t="s">
        <v>1344</v>
      </c>
    </row>
    <row r="1020" spans="1:9" x14ac:dyDescent="0.2">
      <c r="A1020" s="127" t="s">
        <v>2574</v>
      </c>
      <c r="B1020" s="127" t="s">
        <v>2575</v>
      </c>
      <c r="C1020" s="127" t="s">
        <v>22</v>
      </c>
      <c r="D1020" s="127"/>
      <c r="E1020" s="127"/>
      <c r="F1020" s="128"/>
      <c r="G1020" s="128"/>
      <c r="H1020" s="128"/>
      <c r="I1020" s="127" t="s">
        <v>1344</v>
      </c>
    </row>
    <row r="1021" spans="1:9" x14ac:dyDescent="0.2">
      <c r="A1021" s="127" t="s">
        <v>2576</v>
      </c>
      <c r="B1021" s="127" t="s">
        <v>2577</v>
      </c>
      <c r="C1021" s="127" t="s">
        <v>46</v>
      </c>
      <c r="D1021" s="127"/>
      <c r="E1021" s="127"/>
      <c r="F1021" s="128"/>
      <c r="G1021" s="128"/>
      <c r="H1021" s="128"/>
      <c r="I1021" s="127" t="s">
        <v>1344</v>
      </c>
    </row>
    <row r="1022" spans="1:9" x14ac:dyDescent="0.2">
      <c r="A1022" s="127" t="s">
        <v>2578</v>
      </c>
      <c r="B1022" s="127" t="s">
        <v>2579</v>
      </c>
      <c r="C1022" s="127" t="s">
        <v>22</v>
      </c>
      <c r="D1022" s="127"/>
      <c r="E1022" s="127"/>
      <c r="F1022" s="128"/>
      <c r="G1022" s="128"/>
      <c r="H1022" s="128"/>
      <c r="I1022" s="127" t="s">
        <v>1344</v>
      </c>
    </row>
    <row r="1023" spans="1:9" x14ac:dyDescent="0.2">
      <c r="A1023" s="127" t="s">
        <v>2580</v>
      </c>
      <c r="B1023" s="127" t="s">
        <v>2581</v>
      </c>
      <c r="C1023" s="127" t="s">
        <v>46</v>
      </c>
      <c r="D1023" s="127"/>
      <c r="E1023" s="127"/>
      <c r="F1023" s="128"/>
      <c r="G1023" s="128"/>
      <c r="H1023" s="128"/>
      <c r="I1023" s="127" t="s">
        <v>1344</v>
      </c>
    </row>
    <row r="1024" spans="1:9" x14ac:dyDescent="0.2">
      <c r="A1024" s="127" t="s">
        <v>2379</v>
      </c>
      <c r="B1024" s="127" t="s">
        <v>2582</v>
      </c>
      <c r="C1024" s="127" t="s">
        <v>46</v>
      </c>
      <c r="D1024" s="127"/>
      <c r="E1024" s="127"/>
      <c r="F1024" s="128"/>
      <c r="G1024" s="128"/>
      <c r="H1024" s="128"/>
      <c r="I1024" s="127" t="s">
        <v>1344</v>
      </c>
    </row>
    <row r="1025" spans="1:9" x14ac:dyDescent="0.2">
      <c r="A1025" s="127" t="s">
        <v>2583</v>
      </c>
      <c r="B1025" s="127" t="s">
        <v>2584</v>
      </c>
      <c r="C1025" s="127" t="s">
        <v>22</v>
      </c>
      <c r="D1025" s="127"/>
      <c r="E1025" s="127"/>
      <c r="F1025" s="128"/>
      <c r="G1025" s="128"/>
      <c r="H1025" s="128"/>
      <c r="I1025" s="127" t="s">
        <v>1344</v>
      </c>
    </row>
    <row r="1026" spans="1:9" x14ac:dyDescent="0.2">
      <c r="A1026" s="127" t="s">
        <v>2585</v>
      </c>
      <c r="B1026" s="127" t="s">
        <v>2586</v>
      </c>
      <c r="C1026" s="127" t="s">
        <v>17</v>
      </c>
      <c r="D1026" s="127"/>
      <c r="E1026" s="127"/>
      <c r="F1026" s="128"/>
      <c r="G1026" s="128"/>
      <c r="H1026" s="128"/>
      <c r="I1026" s="127" t="s">
        <v>1344</v>
      </c>
    </row>
    <row r="1027" spans="1:9" x14ac:dyDescent="0.2">
      <c r="A1027" s="127" t="s">
        <v>2587</v>
      </c>
      <c r="B1027" s="127" t="s">
        <v>2588</v>
      </c>
      <c r="C1027" s="127" t="s">
        <v>17</v>
      </c>
      <c r="D1027" s="127"/>
      <c r="E1027" s="127"/>
      <c r="F1027" s="128"/>
      <c r="G1027" s="128"/>
      <c r="H1027" s="128"/>
      <c r="I1027" s="127" t="s">
        <v>1344</v>
      </c>
    </row>
    <row r="1028" spans="1:9" x14ac:dyDescent="0.2">
      <c r="A1028" s="127" t="s">
        <v>2589</v>
      </c>
      <c r="B1028" s="127" t="s">
        <v>2590</v>
      </c>
      <c r="C1028" s="127" t="s">
        <v>46</v>
      </c>
      <c r="D1028" s="127"/>
      <c r="E1028" s="127"/>
      <c r="F1028" s="128"/>
      <c r="G1028" s="128"/>
      <c r="H1028" s="128"/>
      <c r="I1028" s="127" t="s">
        <v>1344</v>
      </c>
    </row>
    <row r="1029" spans="1:9" x14ac:dyDescent="0.2">
      <c r="A1029" s="127" t="s">
        <v>2591</v>
      </c>
      <c r="B1029" s="127" t="s">
        <v>2592</v>
      </c>
      <c r="C1029" s="127" t="s">
        <v>17</v>
      </c>
      <c r="D1029" s="127"/>
      <c r="E1029" s="127"/>
      <c r="F1029" s="128"/>
      <c r="G1029" s="128"/>
      <c r="H1029" s="128"/>
      <c r="I1029" s="127" t="s">
        <v>1344</v>
      </c>
    </row>
    <row r="1030" spans="1:9" x14ac:dyDescent="0.2">
      <c r="A1030" s="127" t="s">
        <v>2593</v>
      </c>
      <c r="B1030" s="127" t="s">
        <v>2594</v>
      </c>
      <c r="C1030" s="127" t="s">
        <v>22</v>
      </c>
      <c r="D1030" s="127"/>
      <c r="E1030" s="127"/>
      <c r="F1030" s="128"/>
      <c r="G1030" s="128"/>
      <c r="H1030" s="128"/>
      <c r="I1030" s="127" t="s">
        <v>1344</v>
      </c>
    </row>
    <row r="1031" spans="1:9" x14ac:dyDescent="0.2">
      <c r="A1031" s="127" t="s">
        <v>2595</v>
      </c>
      <c r="B1031" s="127" t="s">
        <v>2596</v>
      </c>
      <c r="C1031" s="127" t="s">
        <v>46</v>
      </c>
      <c r="D1031" s="127"/>
      <c r="E1031" s="127"/>
      <c r="F1031" s="128"/>
      <c r="G1031" s="128"/>
      <c r="H1031" s="128"/>
      <c r="I1031" s="127" t="s">
        <v>1344</v>
      </c>
    </row>
    <row r="1032" spans="1:9" x14ac:dyDescent="0.2">
      <c r="A1032" s="127" t="s">
        <v>2597</v>
      </c>
      <c r="B1032" s="127" t="s">
        <v>2598</v>
      </c>
      <c r="C1032" s="127" t="s">
        <v>22</v>
      </c>
      <c r="D1032" s="127"/>
      <c r="E1032" s="127"/>
      <c r="F1032" s="128"/>
      <c r="G1032" s="128"/>
      <c r="H1032" s="128"/>
      <c r="I1032" s="127" t="s">
        <v>1344</v>
      </c>
    </row>
    <row r="1033" spans="1:9" x14ac:dyDescent="0.2">
      <c r="A1033" s="127" t="s">
        <v>2599</v>
      </c>
      <c r="B1033" s="127" t="s">
        <v>2600</v>
      </c>
      <c r="C1033" s="127" t="s">
        <v>17</v>
      </c>
      <c r="D1033" s="127"/>
      <c r="E1033" s="127"/>
      <c r="F1033" s="128"/>
      <c r="G1033" s="128"/>
      <c r="H1033" s="128"/>
      <c r="I1033" s="127" t="s">
        <v>1344</v>
      </c>
    </row>
    <row r="1034" spans="1:9" x14ac:dyDescent="0.2">
      <c r="A1034" s="127" t="s">
        <v>503</v>
      </c>
      <c r="B1034" s="127" t="s">
        <v>2601</v>
      </c>
      <c r="C1034" s="127" t="s">
        <v>46</v>
      </c>
      <c r="D1034" s="127"/>
      <c r="E1034" s="127"/>
      <c r="F1034" s="128"/>
      <c r="G1034" s="128"/>
      <c r="H1034" s="128"/>
      <c r="I1034" s="127" t="s">
        <v>1344</v>
      </c>
    </row>
    <row r="1035" spans="1:9" x14ac:dyDescent="0.2">
      <c r="A1035" s="127" t="s">
        <v>2602</v>
      </c>
      <c r="B1035" s="127" t="s">
        <v>2603</v>
      </c>
      <c r="C1035" s="127" t="s">
        <v>46</v>
      </c>
      <c r="D1035" s="127"/>
      <c r="E1035" s="127"/>
      <c r="F1035" s="128"/>
      <c r="G1035" s="128"/>
      <c r="H1035" s="128"/>
      <c r="I1035" s="127" t="s">
        <v>1344</v>
      </c>
    </row>
    <row r="1036" spans="1:9" x14ac:dyDescent="0.2">
      <c r="A1036" s="127" t="s">
        <v>2604</v>
      </c>
      <c r="B1036" s="127" t="s">
        <v>2605</v>
      </c>
      <c r="C1036" s="127" t="s">
        <v>22</v>
      </c>
      <c r="D1036" s="127"/>
      <c r="E1036" s="127"/>
      <c r="F1036" s="128"/>
      <c r="G1036" s="128"/>
      <c r="H1036" s="128"/>
      <c r="I1036" s="127" t="s">
        <v>1344</v>
      </c>
    </row>
    <row r="1037" spans="1:9" x14ac:dyDescent="0.2">
      <c r="A1037" s="127" t="s">
        <v>2606</v>
      </c>
      <c r="B1037" s="127" t="s">
        <v>2607</v>
      </c>
      <c r="C1037" s="127" t="s">
        <v>46</v>
      </c>
      <c r="D1037" s="127"/>
      <c r="E1037" s="127"/>
      <c r="F1037" s="128"/>
      <c r="G1037" s="128"/>
      <c r="H1037" s="128"/>
      <c r="I1037" s="127" t="s">
        <v>1344</v>
      </c>
    </row>
    <row r="1038" spans="1:9" x14ac:dyDescent="0.2">
      <c r="A1038" s="127" t="s">
        <v>2608</v>
      </c>
      <c r="B1038" s="127" t="s">
        <v>2609</v>
      </c>
      <c r="C1038" s="127" t="s">
        <v>46</v>
      </c>
      <c r="D1038" s="127"/>
      <c r="E1038" s="127"/>
      <c r="F1038" s="128"/>
      <c r="G1038" s="128"/>
      <c r="H1038" s="128"/>
      <c r="I1038" s="127" t="s">
        <v>1344</v>
      </c>
    </row>
    <row r="1039" spans="1:9" x14ac:dyDescent="0.2">
      <c r="A1039" s="127" t="s">
        <v>171</v>
      </c>
      <c r="B1039" s="127" t="s">
        <v>2610</v>
      </c>
      <c r="C1039" s="127" t="s">
        <v>46</v>
      </c>
      <c r="D1039" s="127"/>
      <c r="E1039" s="127"/>
      <c r="F1039" s="128"/>
      <c r="G1039" s="128"/>
      <c r="H1039" s="128"/>
      <c r="I1039" s="127" t="s">
        <v>1344</v>
      </c>
    </row>
    <row r="1040" spans="1:9" x14ac:dyDescent="0.2">
      <c r="A1040" s="127" t="s">
        <v>2379</v>
      </c>
      <c r="B1040" s="127" t="s">
        <v>2611</v>
      </c>
      <c r="C1040" s="127" t="s">
        <v>17</v>
      </c>
      <c r="D1040" s="127"/>
      <c r="E1040" s="127"/>
      <c r="F1040" s="128"/>
      <c r="G1040" s="128"/>
      <c r="H1040" s="128"/>
      <c r="I1040" s="127" t="s">
        <v>1344</v>
      </c>
    </row>
    <row r="1041" spans="1:9" x14ac:dyDescent="0.2">
      <c r="A1041" s="127" t="s">
        <v>2612</v>
      </c>
      <c r="B1041" s="127" t="s">
        <v>2613</v>
      </c>
      <c r="C1041" s="127" t="s">
        <v>46</v>
      </c>
      <c r="D1041" s="127"/>
      <c r="E1041" s="127"/>
      <c r="F1041" s="128"/>
      <c r="G1041" s="128"/>
      <c r="H1041" s="128"/>
      <c r="I1041" s="127" t="s">
        <v>1344</v>
      </c>
    </row>
    <row r="1042" spans="1:9" x14ac:dyDescent="0.2">
      <c r="A1042" s="127" t="s">
        <v>2614</v>
      </c>
      <c r="B1042" s="127" t="s">
        <v>2615</v>
      </c>
      <c r="C1042" s="127" t="s">
        <v>22</v>
      </c>
      <c r="D1042" s="127"/>
      <c r="E1042" s="127"/>
      <c r="F1042" s="128"/>
      <c r="G1042" s="128"/>
      <c r="H1042" s="128"/>
      <c r="I1042" s="127" t="s">
        <v>1344</v>
      </c>
    </row>
    <row r="1043" spans="1:9" x14ac:dyDescent="0.2">
      <c r="A1043" s="127" t="s">
        <v>2616</v>
      </c>
      <c r="B1043" s="127" t="s">
        <v>1322</v>
      </c>
      <c r="C1043" s="127" t="s">
        <v>22</v>
      </c>
      <c r="D1043" s="127"/>
      <c r="E1043" s="127"/>
      <c r="F1043" s="128"/>
      <c r="G1043" s="128"/>
      <c r="H1043" s="128"/>
      <c r="I1043" s="127" t="s">
        <v>1344</v>
      </c>
    </row>
    <row r="1044" spans="1:9" x14ac:dyDescent="0.2">
      <c r="A1044" s="127" t="s">
        <v>2617</v>
      </c>
      <c r="B1044" s="127" t="s">
        <v>2618</v>
      </c>
      <c r="C1044" s="127" t="s">
        <v>22</v>
      </c>
      <c r="D1044" s="127"/>
      <c r="E1044" s="127"/>
      <c r="F1044" s="128"/>
      <c r="G1044" s="128"/>
      <c r="H1044" s="128"/>
      <c r="I1044" s="127" t="s">
        <v>1344</v>
      </c>
    </row>
    <row r="1045" spans="1:9" x14ac:dyDescent="0.2">
      <c r="A1045" s="127" t="s">
        <v>2619</v>
      </c>
      <c r="B1045" s="127" t="s">
        <v>2620</v>
      </c>
      <c r="C1045" s="127" t="s">
        <v>22</v>
      </c>
      <c r="D1045" s="127"/>
      <c r="E1045" s="127"/>
      <c r="F1045" s="128"/>
      <c r="G1045" s="128"/>
      <c r="H1045" s="128"/>
      <c r="I1045" s="127" t="s">
        <v>1344</v>
      </c>
    </row>
    <row r="1046" spans="1:9" x14ac:dyDescent="0.2">
      <c r="A1046" s="127" t="s">
        <v>2621</v>
      </c>
      <c r="B1046" s="127" t="s">
        <v>1248</v>
      </c>
      <c r="C1046" s="127" t="s">
        <v>22</v>
      </c>
      <c r="D1046" s="127"/>
      <c r="E1046" s="127"/>
      <c r="F1046" s="128"/>
      <c r="G1046" s="128"/>
      <c r="H1046" s="128"/>
      <c r="I1046" s="127" t="s">
        <v>1344</v>
      </c>
    </row>
    <row r="1047" spans="1:9" x14ac:dyDescent="0.2">
      <c r="A1047" s="127" t="s">
        <v>2379</v>
      </c>
      <c r="B1047" s="127" t="s">
        <v>2622</v>
      </c>
      <c r="C1047" s="127" t="s">
        <v>46</v>
      </c>
      <c r="D1047" s="127"/>
      <c r="E1047" s="127"/>
      <c r="F1047" s="128"/>
      <c r="G1047" s="128"/>
      <c r="H1047" s="128"/>
      <c r="I1047" s="127" t="s">
        <v>1344</v>
      </c>
    </row>
    <row r="1048" spans="1:9" x14ac:dyDescent="0.2">
      <c r="A1048" s="127" t="s">
        <v>2623</v>
      </c>
      <c r="B1048" s="127" t="s">
        <v>2624</v>
      </c>
      <c r="C1048" s="127" t="s">
        <v>17</v>
      </c>
      <c r="D1048" s="127"/>
      <c r="E1048" s="127"/>
      <c r="F1048" s="128"/>
      <c r="G1048" s="128"/>
      <c r="H1048" s="128"/>
      <c r="I1048" s="127" t="s">
        <v>1344</v>
      </c>
    </row>
    <row r="1049" spans="1:9" x14ac:dyDescent="0.2">
      <c r="A1049" s="127" t="s">
        <v>2625</v>
      </c>
      <c r="B1049" s="127" t="s">
        <v>2626</v>
      </c>
      <c r="C1049" s="127" t="s">
        <v>17</v>
      </c>
      <c r="D1049" s="127"/>
      <c r="E1049" s="127"/>
      <c r="F1049" s="128"/>
      <c r="G1049" s="128"/>
      <c r="H1049" s="128"/>
      <c r="I1049" s="127" t="s">
        <v>1344</v>
      </c>
    </row>
    <row r="1050" spans="1:9" x14ac:dyDescent="0.2">
      <c r="A1050" s="127" t="s">
        <v>2627</v>
      </c>
      <c r="B1050" s="127" t="s">
        <v>2628</v>
      </c>
      <c r="C1050" s="127" t="s">
        <v>22</v>
      </c>
      <c r="D1050" s="127"/>
      <c r="E1050" s="127"/>
      <c r="F1050" s="128"/>
      <c r="G1050" s="128"/>
      <c r="H1050" s="128"/>
      <c r="I1050" s="127" t="s">
        <v>1344</v>
      </c>
    </row>
    <row r="1051" spans="1:9" x14ac:dyDescent="0.2">
      <c r="A1051" s="127" t="s">
        <v>2629</v>
      </c>
      <c r="B1051" s="127" t="s">
        <v>2630</v>
      </c>
      <c r="C1051" s="127" t="s">
        <v>22</v>
      </c>
      <c r="D1051" s="127"/>
      <c r="E1051" s="127"/>
      <c r="F1051" s="128"/>
      <c r="G1051" s="128"/>
      <c r="H1051" s="128"/>
      <c r="I1051" s="127" t="s">
        <v>1344</v>
      </c>
    </row>
    <row r="1052" spans="1:9" x14ac:dyDescent="0.2">
      <c r="A1052" s="127" t="s">
        <v>2631</v>
      </c>
      <c r="B1052" s="127" t="s">
        <v>2632</v>
      </c>
      <c r="C1052" s="127" t="s">
        <v>46</v>
      </c>
      <c r="D1052" s="127"/>
      <c r="E1052" s="127"/>
      <c r="F1052" s="128"/>
      <c r="G1052" s="128"/>
      <c r="H1052" s="128"/>
      <c r="I1052" s="127" t="s">
        <v>1344</v>
      </c>
    </row>
    <row r="1053" spans="1:9" x14ac:dyDescent="0.2">
      <c r="A1053" s="127" t="s">
        <v>2633</v>
      </c>
      <c r="B1053" s="127" t="s">
        <v>2634</v>
      </c>
      <c r="C1053" s="127" t="s">
        <v>17</v>
      </c>
      <c r="D1053" s="127"/>
      <c r="E1053" s="127"/>
      <c r="F1053" s="128"/>
      <c r="G1053" s="128"/>
      <c r="H1053" s="128"/>
      <c r="I1053" s="127" t="s">
        <v>1344</v>
      </c>
    </row>
    <row r="1054" spans="1:9" x14ac:dyDescent="0.2">
      <c r="A1054" s="127" t="s">
        <v>2635</v>
      </c>
      <c r="B1054" s="127" t="s">
        <v>2636</v>
      </c>
      <c r="C1054" s="127" t="s">
        <v>46</v>
      </c>
      <c r="D1054" s="127"/>
      <c r="E1054" s="127"/>
      <c r="F1054" s="128"/>
      <c r="G1054" s="128"/>
      <c r="H1054" s="128"/>
      <c r="I1054" s="127" t="s">
        <v>1344</v>
      </c>
    </row>
    <row r="1055" spans="1:9" x14ac:dyDescent="0.2">
      <c r="A1055" s="127" t="s">
        <v>2637</v>
      </c>
      <c r="B1055" s="127" t="s">
        <v>2638</v>
      </c>
      <c r="C1055" s="127" t="s">
        <v>17</v>
      </c>
      <c r="D1055" s="127"/>
      <c r="E1055" s="127"/>
      <c r="F1055" s="128"/>
      <c r="G1055" s="128"/>
      <c r="H1055" s="128"/>
      <c r="I1055" s="127" t="s">
        <v>1344</v>
      </c>
    </row>
    <row r="1056" spans="1:9" x14ac:dyDescent="0.2">
      <c r="A1056" s="127" t="s">
        <v>2639</v>
      </c>
      <c r="B1056" s="127" t="s">
        <v>2640</v>
      </c>
      <c r="C1056" s="127" t="s">
        <v>22</v>
      </c>
      <c r="D1056" s="127"/>
      <c r="E1056" s="127"/>
      <c r="F1056" s="128"/>
      <c r="G1056" s="128"/>
      <c r="H1056" s="128"/>
      <c r="I1056" s="127" t="s">
        <v>1344</v>
      </c>
    </row>
    <row r="1057" spans="1:9" x14ac:dyDescent="0.2">
      <c r="A1057" s="127" t="s">
        <v>2641</v>
      </c>
      <c r="B1057" s="127" t="s">
        <v>2642</v>
      </c>
      <c r="C1057" s="127" t="s">
        <v>46</v>
      </c>
      <c r="D1057" s="127"/>
      <c r="E1057" s="127"/>
      <c r="F1057" s="128"/>
      <c r="G1057" s="128"/>
      <c r="H1057" s="128"/>
      <c r="I1057" s="127" t="s">
        <v>1344</v>
      </c>
    </row>
    <row r="1058" spans="1:9" x14ac:dyDescent="0.2">
      <c r="A1058" s="127" t="s">
        <v>2643</v>
      </c>
      <c r="B1058" s="127" t="s">
        <v>2644</v>
      </c>
      <c r="C1058" s="127" t="s">
        <v>46</v>
      </c>
      <c r="D1058" s="127"/>
      <c r="E1058" s="127"/>
      <c r="F1058" s="128"/>
      <c r="G1058" s="128"/>
      <c r="H1058" s="128"/>
      <c r="I1058" s="127" t="s">
        <v>1344</v>
      </c>
    </row>
    <row r="1059" spans="1:9" x14ac:dyDescent="0.2">
      <c r="A1059" s="127" t="s">
        <v>2643</v>
      </c>
      <c r="B1059" s="127" t="s">
        <v>2644</v>
      </c>
      <c r="C1059" s="127" t="s">
        <v>46</v>
      </c>
      <c r="D1059" s="127"/>
      <c r="E1059" s="127"/>
      <c r="F1059" s="128"/>
      <c r="G1059" s="128"/>
      <c r="H1059" s="128"/>
      <c r="I1059" s="127" t="s">
        <v>1344</v>
      </c>
    </row>
    <row r="1060" spans="1:9" x14ac:dyDescent="0.2">
      <c r="A1060" s="127" t="s">
        <v>2645</v>
      </c>
      <c r="B1060" s="127" t="s">
        <v>1027</v>
      </c>
      <c r="C1060" s="127" t="s">
        <v>17</v>
      </c>
      <c r="D1060" s="127"/>
      <c r="E1060" s="127"/>
      <c r="F1060" s="128"/>
      <c r="G1060" s="128"/>
      <c r="H1060" s="128"/>
      <c r="I1060" s="127" t="s">
        <v>1344</v>
      </c>
    </row>
    <row r="1061" spans="1:9" x14ac:dyDescent="0.2">
      <c r="A1061" s="127" t="s">
        <v>2646</v>
      </c>
      <c r="B1061" s="127" t="s">
        <v>2647</v>
      </c>
      <c r="C1061" s="127" t="s">
        <v>46</v>
      </c>
      <c r="D1061" s="127"/>
      <c r="E1061" s="127"/>
      <c r="F1061" s="128"/>
      <c r="G1061" s="128"/>
      <c r="H1061" s="128"/>
      <c r="I1061" s="127" t="s">
        <v>1344</v>
      </c>
    </row>
    <row r="1062" spans="1:9" x14ac:dyDescent="0.2">
      <c r="A1062" s="127" t="s">
        <v>2648</v>
      </c>
      <c r="B1062" s="127" t="s">
        <v>2649</v>
      </c>
      <c r="C1062" s="127" t="s">
        <v>46</v>
      </c>
      <c r="D1062" s="127"/>
      <c r="E1062" s="127"/>
      <c r="F1062" s="128"/>
      <c r="G1062" s="128"/>
      <c r="H1062" s="128"/>
      <c r="I1062" s="127" t="s">
        <v>1344</v>
      </c>
    </row>
    <row r="1063" spans="1:9" x14ac:dyDescent="0.2">
      <c r="A1063" s="127" t="s">
        <v>2650</v>
      </c>
      <c r="B1063" s="127" t="s">
        <v>2651</v>
      </c>
      <c r="C1063" s="127" t="s">
        <v>22</v>
      </c>
      <c r="D1063" s="127"/>
      <c r="E1063" s="127"/>
      <c r="F1063" s="128"/>
      <c r="G1063" s="128"/>
      <c r="H1063" s="128"/>
      <c r="I1063" s="127" t="s">
        <v>1344</v>
      </c>
    </row>
    <row r="1064" spans="1:9" x14ac:dyDescent="0.2">
      <c r="A1064" s="127" t="s">
        <v>2652</v>
      </c>
      <c r="B1064" s="127" t="s">
        <v>2653</v>
      </c>
      <c r="C1064" s="127" t="s">
        <v>46</v>
      </c>
      <c r="D1064" s="127"/>
      <c r="E1064" s="127"/>
      <c r="F1064" s="128"/>
      <c r="G1064" s="128"/>
      <c r="H1064" s="128"/>
      <c r="I1064" s="127" t="s">
        <v>1344</v>
      </c>
    </row>
    <row r="1065" spans="1:9" x14ac:dyDescent="0.2">
      <c r="A1065" s="127" t="s">
        <v>2654</v>
      </c>
      <c r="B1065" s="127" t="s">
        <v>2655</v>
      </c>
      <c r="C1065" s="127" t="s">
        <v>22</v>
      </c>
      <c r="D1065" s="127"/>
      <c r="E1065" s="127"/>
      <c r="F1065" s="128"/>
      <c r="G1065" s="128"/>
      <c r="H1065" s="128"/>
      <c r="I1065" s="127" t="s">
        <v>1344</v>
      </c>
    </row>
    <row r="1066" spans="1:9" x14ac:dyDescent="0.2">
      <c r="A1066" s="127" t="s">
        <v>2656</v>
      </c>
      <c r="B1066" s="127" t="s">
        <v>2657</v>
      </c>
      <c r="C1066" s="127" t="s">
        <v>46</v>
      </c>
      <c r="D1066" s="127"/>
      <c r="E1066" s="127"/>
      <c r="F1066" s="128"/>
      <c r="G1066" s="128"/>
      <c r="H1066" s="128"/>
      <c r="I1066" s="127" t="s">
        <v>1344</v>
      </c>
    </row>
    <row r="1067" spans="1:9" x14ac:dyDescent="0.2">
      <c r="A1067" s="127" t="s">
        <v>2658</v>
      </c>
      <c r="B1067" s="127" t="s">
        <v>2659</v>
      </c>
      <c r="C1067" s="127" t="s">
        <v>22</v>
      </c>
      <c r="D1067" s="127"/>
      <c r="E1067" s="127"/>
      <c r="F1067" s="128"/>
      <c r="G1067" s="128"/>
      <c r="H1067" s="128"/>
      <c r="I1067" s="127" t="s">
        <v>1344</v>
      </c>
    </row>
    <row r="1068" spans="1:9" x14ac:dyDescent="0.2">
      <c r="A1068" s="127" t="s">
        <v>2660</v>
      </c>
      <c r="B1068" s="127" t="s">
        <v>2661</v>
      </c>
      <c r="C1068" s="127" t="s">
        <v>46</v>
      </c>
      <c r="D1068" s="127"/>
      <c r="E1068" s="127"/>
      <c r="F1068" s="128"/>
      <c r="G1068" s="128"/>
      <c r="H1068" s="128"/>
      <c r="I1068" s="127" t="s">
        <v>1344</v>
      </c>
    </row>
    <row r="1069" spans="1:9" x14ac:dyDescent="0.2">
      <c r="A1069" s="127" t="s">
        <v>2662</v>
      </c>
      <c r="B1069" s="127" t="s">
        <v>2663</v>
      </c>
      <c r="C1069" s="127" t="s">
        <v>17</v>
      </c>
      <c r="D1069" s="127"/>
      <c r="E1069" s="127"/>
      <c r="F1069" s="128"/>
      <c r="G1069" s="128"/>
      <c r="H1069" s="128"/>
      <c r="I1069" s="127" t="s">
        <v>1344</v>
      </c>
    </row>
    <row r="1070" spans="1:9" x14ac:dyDescent="0.2">
      <c r="A1070" s="127" t="s">
        <v>2664</v>
      </c>
      <c r="B1070" s="127" t="s">
        <v>2665</v>
      </c>
      <c r="C1070" s="127" t="s">
        <v>22</v>
      </c>
      <c r="D1070" s="127"/>
      <c r="E1070" s="127"/>
      <c r="F1070" s="128"/>
      <c r="G1070" s="128"/>
      <c r="H1070" s="128"/>
      <c r="I1070" s="127" t="s">
        <v>1344</v>
      </c>
    </row>
    <row r="1071" spans="1:9" x14ac:dyDescent="0.2">
      <c r="A1071" s="127" t="s">
        <v>2666</v>
      </c>
      <c r="B1071" s="127" t="s">
        <v>2667</v>
      </c>
      <c r="C1071" s="127" t="s">
        <v>22</v>
      </c>
      <c r="D1071" s="127"/>
      <c r="E1071" s="127"/>
      <c r="F1071" s="128"/>
      <c r="G1071" s="128"/>
      <c r="H1071" s="128"/>
      <c r="I1071" s="127" t="s">
        <v>1344</v>
      </c>
    </row>
    <row r="1072" spans="1:9" x14ac:dyDescent="0.2">
      <c r="A1072" s="127"/>
      <c r="B1072" s="127" t="s">
        <v>2668</v>
      </c>
      <c r="C1072" s="127" t="s">
        <v>46</v>
      </c>
      <c r="D1072" s="127"/>
      <c r="E1072" s="127"/>
      <c r="F1072" s="128"/>
      <c r="G1072" s="128"/>
      <c r="H1072" s="128"/>
      <c r="I1072" s="127" t="s">
        <v>1344</v>
      </c>
    </row>
    <row r="1073" spans="1:9" x14ac:dyDescent="0.2">
      <c r="A1073" s="127" t="s">
        <v>2669</v>
      </c>
      <c r="B1073" s="127" t="s">
        <v>2670</v>
      </c>
      <c r="C1073" s="127" t="s">
        <v>46</v>
      </c>
      <c r="D1073" s="127"/>
      <c r="E1073" s="127"/>
      <c r="F1073" s="128"/>
      <c r="G1073" s="128"/>
      <c r="H1073" s="128"/>
      <c r="I1073" s="127" t="s">
        <v>1344</v>
      </c>
    </row>
    <row r="1074" spans="1:9" x14ac:dyDescent="0.2">
      <c r="A1074" s="127"/>
      <c r="B1074" s="127" t="s">
        <v>2671</v>
      </c>
      <c r="C1074" s="127" t="s">
        <v>22</v>
      </c>
      <c r="D1074" s="127"/>
      <c r="E1074" s="127"/>
      <c r="F1074" s="128"/>
      <c r="G1074" s="128"/>
      <c r="H1074" s="128"/>
      <c r="I1074" s="127" t="s">
        <v>1344</v>
      </c>
    </row>
    <row r="1075" spans="1:9" x14ac:dyDescent="0.2">
      <c r="A1075" s="127" t="s">
        <v>2672</v>
      </c>
      <c r="B1075" s="127" t="s">
        <v>2673</v>
      </c>
      <c r="C1075" s="127" t="s">
        <v>46</v>
      </c>
      <c r="D1075" s="127"/>
      <c r="E1075" s="127"/>
      <c r="F1075" s="128"/>
      <c r="G1075" s="128"/>
      <c r="H1075" s="128"/>
      <c r="I1075" s="127" t="s">
        <v>1344</v>
      </c>
    </row>
    <row r="1076" spans="1:9" x14ac:dyDescent="0.2">
      <c r="A1076" s="127"/>
      <c r="B1076" s="127"/>
      <c r="C1076" s="127" t="s">
        <v>46</v>
      </c>
      <c r="D1076" s="127"/>
      <c r="E1076" s="127"/>
      <c r="F1076" s="128"/>
      <c r="G1076" s="128"/>
      <c r="H1076" s="128"/>
      <c r="I1076" s="127" t="s">
        <v>1344</v>
      </c>
    </row>
    <row r="1077" spans="1:9" x14ac:dyDescent="0.2">
      <c r="A1077" s="127" t="s">
        <v>2674</v>
      </c>
      <c r="B1077" s="127" t="s">
        <v>2675</v>
      </c>
      <c r="C1077" s="127" t="s">
        <v>22</v>
      </c>
      <c r="D1077" s="127"/>
      <c r="E1077" s="127"/>
      <c r="F1077" s="128"/>
      <c r="G1077" s="128"/>
      <c r="H1077" s="128"/>
      <c r="I1077" s="127" t="s">
        <v>1344</v>
      </c>
    </row>
    <row r="1078" spans="1:9" x14ac:dyDescent="0.2">
      <c r="A1078" s="127" t="s">
        <v>2676</v>
      </c>
      <c r="B1078" s="127" t="s">
        <v>2677</v>
      </c>
      <c r="C1078" s="127" t="s">
        <v>17</v>
      </c>
      <c r="D1078" s="127"/>
      <c r="E1078" s="127"/>
      <c r="F1078" s="128"/>
      <c r="G1078" s="128"/>
      <c r="H1078" s="128"/>
      <c r="I1078" s="127" t="s">
        <v>1344</v>
      </c>
    </row>
    <row r="1079" spans="1:9" x14ac:dyDescent="0.2">
      <c r="A1079" s="127"/>
      <c r="B1079" s="127" t="s">
        <v>2678</v>
      </c>
      <c r="C1079" s="127" t="s">
        <v>46</v>
      </c>
      <c r="D1079" s="127"/>
      <c r="E1079" s="127"/>
      <c r="F1079" s="128"/>
      <c r="G1079" s="128"/>
      <c r="H1079" s="128"/>
      <c r="I1079" s="127" t="s">
        <v>1344</v>
      </c>
    </row>
    <row r="1080" spans="1:9" x14ac:dyDescent="0.2">
      <c r="A1080" s="127" t="s">
        <v>2679</v>
      </c>
      <c r="B1080" s="127" t="s">
        <v>2680</v>
      </c>
      <c r="C1080" s="127" t="s">
        <v>46</v>
      </c>
      <c r="D1080" s="127"/>
      <c r="E1080" s="127"/>
      <c r="F1080" s="128"/>
      <c r="G1080" s="128"/>
      <c r="H1080" s="128"/>
      <c r="I1080" s="127" t="s">
        <v>1344</v>
      </c>
    </row>
    <row r="1081" spans="1:9" x14ac:dyDescent="0.2">
      <c r="A1081" s="127" t="s">
        <v>2681</v>
      </c>
      <c r="B1081" s="127" t="s">
        <v>2682</v>
      </c>
      <c r="C1081" s="127" t="s">
        <v>46</v>
      </c>
      <c r="D1081" s="127"/>
      <c r="E1081" s="127"/>
      <c r="F1081" s="128"/>
      <c r="G1081" s="128"/>
      <c r="H1081" s="128"/>
      <c r="I1081" s="127" t="s">
        <v>1344</v>
      </c>
    </row>
    <row r="1082" spans="1:9" x14ac:dyDescent="0.2">
      <c r="A1082" s="127" t="s">
        <v>2683</v>
      </c>
      <c r="B1082" s="127" t="s">
        <v>2684</v>
      </c>
      <c r="C1082" s="127" t="s">
        <v>46</v>
      </c>
      <c r="D1082" s="127"/>
      <c r="E1082" s="127"/>
      <c r="F1082" s="128"/>
      <c r="G1082" s="128"/>
      <c r="H1082" s="128"/>
      <c r="I1082" s="127" t="s">
        <v>1344</v>
      </c>
    </row>
    <row r="1083" spans="1:9" x14ac:dyDescent="0.2">
      <c r="A1083" s="127" t="s">
        <v>2685</v>
      </c>
      <c r="B1083" s="127" t="s">
        <v>2686</v>
      </c>
      <c r="C1083" s="127" t="s">
        <v>46</v>
      </c>
      <c r="D1083" s="127"/>
      <c r="E1083" s="127"/>
      <c r="F1083" s="128"/>
      <c r="G1083" s="128"/>
      <c r="H1083" s="128"/>
      <c r="I1083" s="127" t="s">
        <v>1344</v>
      </c>
    </row>
    <row r="1084" spans="1:9" x14ac:dyDescent="0.2">
      <c r="A1084" s="127" t="s">
        <v>2687</v>
      </c>
      <c r="B1084" s="127" t="s">
        <v>1245</v>
      </c>
      <c r="C1084" s="127" t="s">
        <v>22</v>
      </c>
      <c r="D1084" s="127"/>
      <c r="E1084" s="127"/>
      <c r="F1084" s="128"/>
      <c r="G1084" s="128"/>
      <c r="H1084" s="128"/>
      <c r="I1084" s="127" t="s">
        <v>1344</v>
      </c>
    </row>
    <row r="1085" spans="1:9" x14ac:dyDescent="0.2">
      <c r="A1085" s="127" t="s">
        <v>2688</v>
      </c>
      <c r="B1085" s="127" t="s">
        <v>2689</v>
      </c>
      <c r="C1085" s="127" t="s">
        <v>22</v>
      </c>
      <c r="D1085" s="127"/>
      <c r="E1085" s="127"/>
      <c r="F1085" s="128"/>
      <c r="G1085" s="128"/>
      <c r="H1085" s="128"/>
      <c r="I1085" s="127" t="s">
        <v>1344</v>
      </c>
    </row>
    <row r="1086" spans="1:9" x14ac:dyDescent="0.2">
      <c r="A1086" s="127" t="s">
        <v>1849</v>
      </c>
      <c r="B1086" s="127" t="s">
        <v>2690</v>
      </c>
      <c r="C1086" s="127" t="s">
        <v>46</v>
      </c>
      <c r="D1086" s="127"/>
      <c r="E1086" s="127"/>
      <c r="F1086" s="128"/>
      <c r="G1086" s="128"/>
      <c r="H1086" s="128"/>
      <c r="I1086" s="127" t="s">
        <v>1344</v>
      </c>
    </row>
    <row r="1087" spans="1:9" x14ac:dyDescent="0.2">
      <c r="A1087" s="127" t="s">
        <v>2691</v>
      </c>
      <c r="B1087" s="127" t="s">
        <v>2692</v>
      </c>
      <c r="C1087" s="127" t="s">
        <v>17</v>
      </c>
      <c r="D1087" s="127"/>
      <c r="E1087" s="127"/>
      <c r="F1087" s="128"/>
      <c r="G1087" s="128"/>
      <c r="H1087" s="128"/>
      <c r="I1087" s="127" t="s">
        <v>1344</v>
      </c>
    </row>
    <row r="1088" spans="1:9" x14ac:dyDescent="0.2">
      <c r="A1088" s="127" t="s">
        <v>2693</v>
      </c>
      <c r="B1088" s="127" t="s">
        <v>2694</v>
      </c>
      <c r="C1088" s="127" t="s">
        <v>46</v>
      </c>
      <c r="D1088" s="127"/>
      <c r="E1088" s="127"/>
      <c r="F1088" s="128"/>
      <c r="G1088" s="128"/>
      <c r="H1088" s="128"/>
      <c r="I1088" s="127" t="s">
        <v>1344</v>
      </c>
    </row>
    <row r="1089" spans="1:9" x14ac:dyDescent="0.2">
      <c r="A1089" s="127" t="s">
        <v>2695</v>
      </c>
      <c r="B1089" s="127" t="s">
        <v>2696</v>
      </c>
      <c r="C1089" s="127" t="s">
        <v>46</v>
      </c>
      <c r="D1089" s="127"/>
      <c r="E1089" s="127"/>
      <c r="F1089" s="128"/>
      <c r="G1089" s="128"/>
      <c r="H1089" s="128"/>
      <c r="I1089" s="127" t="s">
        <v>1344</v>
      </c>
    </row>
    <row r="1090" spans="1:9" x14ac:dyDescent="0.2">
      <c r="A1090" s="127" t="s">
        <v>2697</v>
      </c>
      <c r="B1090" s="127" t="s">
        <v>2698</v>
      </c>
      <c r="C1090" s="127" t="s">
        <v>22</v>
      </c>
      <c r="D1090" s="127"/>
      <c r="E1090" s="127"/>
      <c r="F1090" s="128"/>
      <c r="G1090" s="128"/>
      <c r="H1090" s="128"/>
      <c r="I1090" s="127" t="s">
        <v>1344</v>
      </c>
    </row>
    <row r="1091" spans="1:9" x14ac:dyDescent="0.2">
      <c r="A1091" s="127" t="s">
        <v>1862</v>
      </c>
      <c r="B1091" s="127" t="s">
        <v>2699</v>
      </c>
      <c r="C1091" s="127" t="s">
        <v>46</v>
      </c>
      <c r="D1091" s="127"/>
      <c r="E1091" s="127"/>
      <c r="F1091" s="128"/>
      <c r="G1091" s="128"/>
      <c r="H1091" s="128"/>
      <c r="I1091" s="127" t="s">
        <v>1344</v>
      </c>
    </row>
    <row r="1092" spans="1:9" x14ac:dyDescent="0.2">
      <c r="A1092" s="127" t="s">
        <v>2700</v>
      </c>
      <c r="B1092" s="127" t="s">
        <v>2701</v>
      </c>
      <c r="C1092" s="127" t="s">
        <v>17</v>
      </c>
      <c r="D1092" s="127"/>
      <c r="E1092" s="127"/>
      <c r="F1092" s="128"/>
      <c r="G1092" s="128"/>
      <c r="H1092" s="128"/>
      <c r="I1092" s="127" t="s">
        <v>1344</v>
      </c>
    </row>
    <row r="1093" spans="1:9" x14ac:dyDescent="0.2">
      <c r="A1093" s="127" t="s">
        <v>2702</v>
      </c>
      <c r="B1093" s="127" t="s">
        <v>2703</v>
      </c>
      <c r="C1093" s="127" t="s">
        <v>17</v>
      </c>
      <c r="D1093" s="127"/>
      <c r="E1093" s="127"/>
      <c r="F1093" s="128"/>
      <c r="G1093" s="128"/>
      <c r="H1093" s="128"/>
      <c r="I1093" s="127" t="s">
        <v>1344</v>
      </c>
    </row>
    <row r="1094" spans="1:9" x14ac:dyDescent="0.2">
      <c r="A1094" s="127"/>
      <c r="B1094" s="127" t="s">
        <v>2704</v>
      </c>
      <c r="C1094" s="127" t="s">
        <v>22</v>
      </c>
      <c r="D1094" s="127"/>
      <c r="E1094" s="127"/>
      <c r="F1094" s="128"/>
      <c r="G1094" s="128"/>
      <c r="H1094" s="128"/>
      <c r="I1094" s="127" t="s">
        <v>1344</v>
      </c>
    </row>
    <row r="1095" spans="1:9" x14ac:dyDescent="0.2">
      <c r="A1095" s="127" t="s">
        <v>2705</v>
      </c>
      <c r="B1095" s="127" t="s">
        <v>2706</v>
      </c>
      <c r="C1095" s="127" t="s">
        <v>46</v>
      </c>
      <c r="D1095" s="127"/>
      <c r="E1095" s="127"/>
      <c r="F1095" s="128"/>
      <c r="G1095" s="128"/>
      <c r="H1095" s="128"/>
      <c r="I1095" s="127" t="s">
        <v>1344</v>
      </c>
    </row>
    <row r="1096" spans="1:9" x14ac:dyDescent="0.2">
      <c r="A1096" s="127" t="s">
        <v>2707</v>
      </c>
      <c r="B1096" s="127" t="s">
        <v>2708</v>
      </c>
      <c r="C1096" s="127" t="s">
        <v>22</v>
      </c>
      <c r="D1096" s="127"/>
      <c r="E1096" s="127"/>
      <c r="F1096" s="128"/>
      <c r="G1096" s="128"/>
      <c r="H1096" s="128"/>
      <c r="I1096" s="127" t="s">
        <v>1344</v>
      </c>
    </row>
    <row r="1097" spans="1:9" x14ac:dyDescent="0.2">
      <c r="A1097" s="127" t="s">
        <v>2709</v>
      </c>
      <c r="B1097" s="127" t="s">
        <v>2710</v>
      </c>
      <c r="C1097" s="127" t="s">
        <v>17</v>
      </c>
      <c r="D1097" s="127"/>
      <c r="E1097" s="127"/>
      <c r="F1097" s="128"/>
      <c r="G1097" s="128"/>
      <c r="H1097" s="128"/>
      <c r="I1097" s="127" t="s">
        <v>1344</v>
      </c>
    </row>
    <row r="1098" spans="1:9" x14ac:dyDescent="0.2">
      <c r="A1098" s="127" t="s">
        <v>2711</v>
      </c>
      <c r="B1098" s="127" t="s">
        <v>2712</v>
      </c>
      <c r="C1098" s="127" t="s">
        <v>22</v>
      </c>
      <c r="D1098" s="127"/>
      <c r="E1098" s="127"/>
      <c r="F1098" s="128"/>
      <c r="G1098" s="128"/>
      <c r="H1098" s="128"/>
      <c r="I1098" s="127" t="s">
        <v>1344</v>
      </c>
    </row>
    <row r="1099" spans="1:9" x14ac:dyDescent="0.2">
      <c r="A1099" s="127" t="s">
        <v>2713</v>
      </c>
      <c r="B1099" s="127" t="s">
        <v>1324</v>
      </c>
      <c r="C1099" s="127" t="s">
        <v>22</v>
      </c>
      <c r="D1099" s="127"/>
      <c r="E1099" s="127"/>
      <c r="F1099" s="128"/>
      <c r="G1099" s="128"/>
      <c r="H1099" s="128"/>
      <c r="I1099" s="127" t="s">
        <v>1344</v>
      </c>
    </row>
    <row r="1100" spans="1:9" x14ac:dyDescent="0.2">
      <c r="A1100" s="127" t="s">
        <v>2472</v>
      </c>
      <c r="B1100" s="127" t="s">
        <v>2714</v>
      </c>
      <c r="C1100" s="127" t="s">
        <v>22</v>
      </c>
      <c r="D1100" s="127"/>
      <c r="E1100" s="127"/>
      <c r="F1100" s="128"/>
      <c r="G1100" s="128"/>
      <c r="H1100" s="128"/>
      <c r="I1100" s="127" t="s">
        <v>1344</v>
      </c>
    </row>
    <row r="1101" spans="1:9" x14ac:dyDescent="0.2">
      <c r="A1101" s="127" t="s">
        <v>2715</v>
      </c>
      <c r="B1101" s="127" t="s">
        <v>2716</v>
      </c>
      <c r="C1101" s="127" t="s">
        <v>46</v>
      </c>
      <c r="D1101" s="127"/>
      <c r="E1101" s="127"/>
      <c r="F1101" s="128"/>
      <c r="G1101" s="128"/>
      <c r="H1101" s="128"/>
      <c r="I1101" s="127" t="s">
        <v>1344</v>
      </c>
    </row>
    <row r="1102" spans="1:9" x14ac:dyDescent="0.2">
      <c r="A1102" s="127" t="s">
        <v>2717</v>
      </c>
      <c r="B1102" s="127" t="s">
        <v>2718</v>
      </c>
      <c r="C1102" s="127" t="s">
        <v>22</v>
      </c>
      <c r="D1102" s="127"/>
      <c r="E1102" s="127"/>
      <c r="F1102" s="128"/>
      <c r="G1102" s="128"/>
      <c r="H1102" s="128"/>
      <c r="I1102" s="127" t="s">
        <v>1344</v>
      </c>
    </row>
    <row r="1103" spans="1:9" x14ac:dyDescent="0.2">
      <c r="A1103" s="127" t="s">
        <v>2719</v>
      </c>
      <c r="B1103" s="127" t="s">
        <v>2720</v>
      </c>
      <c r="C1103" s="127" t="s">
        <v>22</v>
      </c>
      <c r="D1103" s="127"/>
      <c r="E1103" s="127"/>
      <c r="F1103" s="128"/>
      <c r="G1103" s="128"/>
      <c r="H1103" s="128"/>
      <c r="I1103" s="127" t="s">
        <v>1344</v>
      </c>
    </row>
    <row r="1104" spans="1:9" x14ac:dyDescent="0.2">
      <c r="A1104" s="127" t="s">
        <v>2721</v>
      </c>
      <c r="B1104" s="127" t="s">
        <v>2722</v>
      </c>
      <c r="C1104" s="127" t="s">
        <v>46</v>
      </c>
      <c r="D1104" s="127"/>
      <c r="E1104" s="127"/>
      <c r="F1104" s="128"/>
      <c r="G1104" s="128"/>
      <c r="H1104" s="128"/>
      <c r="I1104" s="127" t="s">
        <v>1344</v>
      </c>
    </row>
    <row r="1105" spans="1:9" x14ac:dyDescent="0.2">
      <c r="A1105" s="127" t="s">
        <v>2723</v>
      </c>
      <c r="B1105" s="127" t="s">
        <v>2724</v>
      </c>
      <c r="C1105" s="127" t="s">
        <v>22</v>
      </c>
      <c r="D1105" s="127"/>
      <c r="E1105" s="127"/>
      <c r="F1105" s="128"/>
      <c r="G1105" s="128"/>
      <c r="H1105" s="128"/>
      <c r="I1105" s="127" t="s">
        <v>1344</v>
      </c>
    </row>
    <row r="1106" spans="1:9" x14ac:dyDescent="0.2">
      <c r="A1106" s="127" t="s">
        <v>2725</v>
      </c>
      <c r="B1106" s="127" t="s">
        <v>2726</v>
      </c>
      <c r="C1106" s="127" t="s">
        <v>22</v>
      </c>
      <c r="D1106" s="127"/>
      <c r="E1106" s="127"/>
      <c r="F1106" s="128"/>
      <c r="G1106" s="128"/>
      <c r="H1106" s="128"/>
      <c r="I1106" s="127" t="s">
        <v>1344</v>
      </c>
    </row>
    <row r="1107" spans="1:9" x14ac:dyDescent="0.2">
      <c r="A1107" s="127" t="s">
        <v>2727</v>
      </c>
      <c r="B1107" s="127" t="s">
        <v>2728</v>
      </c>
      <c r="C1107" s="127" t="s">
        <v>46</v>
      </c>
      <c r="D1107" s="127"/>
      <c r="E1107" s="127"/>
      <c r="F1107" s="128"/>
      <c r="G1107" s="128"/>
      <c r="H1107" s="128"/>
      <c r="I1107" s="127" t="s">
        <v>1344</v>
      </c>
    </row>
    <row r="1108" spans="1:9" x14ac:dyDescent="0.2">
      <c r="A1108" s="127" t="s">
        <v>2729</v>
      </c>
      <c r="B1108" s="127" t="s">
        <v>2730</v>
      </c>
      <c r="C1108" s="127" t="s">
        <v>17</v>
      </c>
      <c r="D1108" s="127"/>
      <c r="E1108" s="127"/>
      <c r="F1108" s="128"/>
      <c r="G1108" s="128"/>
      <c r="H1108" s="128"/>
      <c r="I1108" s="127" t="s">
        <v>1344</v>
      </c>
    </row>
    <row r="1109" spans="1:9" x14ac:dyDescent="0.2">
      <c r="A1109" s="127"/>
      <c r="B1109" s="127" t="s">
        <v>2731</v>
      </c>
      <c r="C1109" s="127" t="s">
        <v>46</v>
      </c>
      <c r="D1109" s="127"/>
      <c r="E1109" s="127"/>
      <c r="F1109" s="128"/>
      <c r="G1109" s="128"/>
      <c r="H1109" s="128"/>
      <c r="I1109" s="127" t="s">
        <v>1344</v>
      </c>
    </row>
    <row r="1110" spans="1:9" x14ac:dyDescent="0.2">
      <c r="A1110" s="127" t="s">
        <v>2732</v>
      </c>
      <c r="B1110" s="127" t="s">
        <v>2733</v>
      </c>
      <c r="C1110" s="127" t="s">
        <v>22</v>
      </c>
      <c r="D1110" s="127"/>
      <c r="E1110" s="127"/>
      <c r="F1110" s="128"/>
      <c r="G1110" s="128"/>
      <c r="H1110" s="128"/>
      <c r="I1110" s="127" t="s">
        <v>1344</v>
      </c>
    </row>
    <row r="1111" spans="1:9" x14ac:dyDescent="0.2">
      <c r="A1111" s="127" t="s">
        <v>2734</v>
      </c>
      <c r="B1111" s="127" t="s">
        <v>2735</v>
      </c>
      <c r="C1111" s="127" t="s">
        <v>22</v>
      </c>
      <c r="D1111" s="127"/>
      <c r="E1111" s="127"/>
      <c r="F1111" s="128"/>
      <c r="G1111" s="128"/>
      <c r="H1111" s="128"/>
      <c r="I1111" s="127" t="s">
        <v>1344</v>
      </c>
    </row>
    <row r="1112" spans="1:9" x14ac:dyDescent="0.2">
      <c r="A1112" s="127" t="s">
        <v>2736</v>
      </c>
      <c r="B1112" s="127" t="s">
        <v>2737</v>
      </c>
      <c r="C1112" s="127" t="s">
        <v>46</v>
      </c>
      <c r="D1112" s="127"/>
      <c r="E1112" s="127"/>
      <c r="F1112" s="128"/>
      <c r="G1112" s="128"/>
      <c r="H1112" s="128"/>
      <c r="I1112" s="127" t="s">
        <v>1344</v>
      </c>
    </row>
    <row r="1113" spans="1:9" x14ac:dyDescent="0.2">
      <c r="A1113" s="127" t="s">
        <v>2738</v>
      </c>
      <c r="B1113" s="127" t="s">
        <v>2739</v>
      </c>
      <c r="C1113" s="127" t="s">
        <v>46</v>
      </c>
      <c r="D1113" s="127"/>
      <c r="E1113" s="127"/>
      <c r="F1113" s="128"/>
      <c r="G1113" s="128"/>
      <c r="H1113" s="128"/>
      <c r="I1113" s="127" t="s">
        <v>1344</v>
      </c>
    </row>
    <row r="1114" spans="1:9" x14ac:dyDescent="0.2">
      <c r="A1114" s="127" t="s">
        <v>2740</v>
      </c>
      <c r="B1114" s="127" t="s">
        <v>1242</v>
      </c>
      <c r="C1114" s="127" t="s">
        <v>46</v>
      </c>
      <c r="D1114" s="127"/>
      <c r="E1114" s="127"/>
      <c r="F1114" s="128"/>
      <c r="G1114" s="128"/>
      <c r="H1114" s="128"/>
      <c r="I1114" s="127" t="s">
        <v>1344</v>
      </c>
    </row>
    <row r="1115" spans="1:9" x14ac:dyDescent="0.2">
      <c r="A1115" s="127" t="s">
        <v>2741</v>
      </c>
      <c r="B1115" s="127" t="s">
        <v>2742</v>
      </c>
      <c r="C1115" s="127" t="s">
        <v>22</v>
      </c>
      <c r="D1115" s="127"/>
      <c r="E1115" s="127"/>
      <c r="F1115" s="128"/>
      <c r="G1115" s="128"/>
      <c r="H1115" s="128"/>
      <c r="I1115" s="127" t="s">
        <v>1344</v>
      </c>
    </row>
    <row r="1116" spans="1:9" x14ac:dyDescent="0.2">
      <c r="A1116" s="127" t="s">
        <v>2685</v>
      </c>
      <c r="B1116" s="127" t="s">
        <v>2743</v>
      </c>
      <c r="C1116" s="127" t="s">
        <v>46</v>
      </c>
      <c r="D1116" s="127"/>
      <c r="E1116" s="127"/>
      <c r="F1116" s="128"/>
      <c r="G1116" s="128"/>
      <c r="H1116" s="128"/>
      <c r="I1116" s="127" t="s">
        <v>1344</v>
      </c>
    </row>
    <row r="1117" spans="1:9" x14ac:dyDescent="0.2">
      <c r="A1117" s="127" t="s">
        <v>2744</v>
      </c>
      <c r="B1117" s="127" t="s">
        <v>2745</v>
      </c>
      <c r="C1117" s="127" t="s">
        <v>46</v>
      </c>
      <c r="D1117" s="127"/>
      <c r="E1117" s="127"/>
      <c r="F1117" s="128"/>
      <c r="G1117" s="128"/>
      <c r="H1117" s="128"/>
      <c r="I1117" s="127" t="s">
        <v>1344</v>
      </c>
    </row>
    <row r="1118" spans="1:9" x14ac:dyDescent="0.2">
      <c r="A1118" s="127" t="s">
        <v>2744</v>
      </c>
      <c r="B1118" s="127" t="s">
        <v>2746</v>
      </c>
      <c r="C1118" s="127" t="s">
        <v>46</v>
      </c>
      <c r="D1118" s="127"/>
      <c r="E1118" s="127"/>
      <c r="F1118" s="128"/>
      <c r="G1118" s="128"/>
      <c r="H1118" s="128"/>
      <c r="I1118" s="127" t="s">
        <v>1344</v>
      </c>
    </row>
    <row r="1119" spans="1:9" x14ac:dyDescent="0.2">
      <c r="A1119" s="127" t="s">
        <v>2747</v>
      </c>
      <c r="B1119" s="127" t="s">
        <v>2748</v>
      </c>
      <c r="C1119" s="127" t="s">
        <v>46</v>
      </c>
      <c r="D1119" s="127"/>
      <c r="E1119" s="127"/>
      <c r="F1119" s="128"/>
      <c r="G1119" s="128"/>
      <c r="H1119" s="128"/>
      <c r="I1119" s="127" t="s">
        <v>1344</v>
      </c>
    </row>
    <row r="1120" spans="1:9" x14ac:dyDescent="0.2">
      <c r="A1120" s="127" t="s">
        <v>2749</v>
      </c>
      <c r="B1120" s="127" t="s">
        <v>2750</v>
      </c>
      <c r="C1120" s="127" t="s">
        <v>46</v>
      </c>
      <c r="D1120" s="127"/>
      <c r="E1120" s="127"/>
      <c r="F1120" s="128"/>
      <c r="G1120" s="128"/>
      <c r="H1120" s="128"/>
      <c r="I1120" s="127" t="s">
        <v>1344</v>
      </c>
    </row>
    <row r="1121" spans="1:9" x14ac:dyDescent="0.2">
      <c r="A1121" s="127" t="s">
        <v>2751</v>
      </c>
      <c r="B1121" s="127" t="s">
        <v>2752</v>
      </c>
      <c r="C1121" s="127" t="s">
        <v>46</v>
      </c>
      <c r="D1121" s="127"/>
      <c r="E1121" s="127"/>
      <c r="F1121" s="128"/>
      <c r="G1121" s="128"/>
      <c r="H1121" s="128"/>
      <c r="I1121" s="127" t="s">
        <v>1344</v>
      </c>
    </row>
    <row r="1122" spans="1:9" x14ac:dyDescent="0.2">
      <c r="A1122" s="127"/>
      <c r="B1122" s="127" t="s">
        <v>2753</v>
      </c>
      <c r="C1122" s="127" t="s">
        <v>22</v>
      </c>
      <c r="D1122" s="127"/>
      <c r="E1122" s="127"/>
      <c r="F1122" s="128"/>
      <c r="G1122" s="128"/>
      <c r="H1122" s="128"/>
      <c r="I1122" s="127" t="s">
        <v>1344</v>
      </c>
    </row>
    <row r="1123" spans="1:9" x14ac:dyDescent="0.2">
      <c r="A1123" s="127" t="s">
        <v>2754</v>
      </c>
      <c r="B1123" s="127" t="s">
        <v>2755</v>
      </c>
      <c r="C1123" s="127" t="s">
        <v>46</v>
      </c>
      <c r="D1123" s="127"/>
      <c r="E1123" s="127"/>
      <c r="F1123" s="128"/>
      <c r="G1123" s="128"/>
      <c r="H1123" s="128"/>
      <c r="I1123" s="127" t="s">
        <v>1344</v>
      </c>
    </row>
    <row r="1124" spans="1:9" x14ac:dyDescent="0.2">
      <c r="A1124" s="127" t="s">
        <v>2756</v>
      </c>
      <c r="B1124" s="127" t="s">
        <v>2757</v>
      </c>
      <c r="C1124" s="127" t="s">
        <v>22</v>
      </c>
      <c r="D1124" s="127"/>
      <c r="E1124" s="127"/>
      <c r="F1124" s="128"/>
      <c r="G1124" s="128"/>
      <c r="H1124" s="128"/>
      <c r="I1124" s="127" t="s">
        <v>1344</v>
      </c>
    </row>
    <row r="1125" spans="1:9" x14ac:dyDescent="0.2">
      <c r="A1125" s="127" t="s">
        <v>2758</v>
      </c>
      <c r="B1125" s="127" t="s">
        <v>2759</v>
      </c>
      <c r="C1125" s="127" t="s">
        <v>46</v>
      </c>
      <c r="D1125" s="127"/>
      <c r="E1125" s="127"/>
      <c r="F1125" s="128"/>
      <c r="G1125" s="128"/>
      <c r="H1125" s="128"/>
      <c r="I1125" s="127" t="s">
        <v>1344</v>
      </c>
    </row>
    <row r="1126" spans="1:9" x14ac:dyDescent="0.2">
      <c r="A1126" s="127" t="s">
        <v>2760</v>
      </c>
      <c r="B1126" s="127" t="s">
        <v>2761</v>
      </c>
      <c r="C1126" s="127" t="s">
        <v>22</v>
      </c>
      <c r="D1126" s="127"/>
      <c r="E1126" s="127"/>
      <c r="F1126" s="128"/>
      <c r="G1126" s="128"/>
      <c r="H1126" s="128"/>
      <c r="I1126" s="127" t="s">
        <v>1344</v>
      </c>
    </row>
    <row r="1127" spans="1:9" x14ac:dyDescent="0.2">
      <c r="A1127" s="127" t="s">
        <v>2762</v>
      </c>
      <c r="B1127" s="127" t="s">
        <v>2763</v>
      </c>
      <c r="C1127" s="127" t="s">
        <v>46</v>
      </c>
      <c r="D1127" s="127"/>
      <c r="E1127" s="127"/>
      <c r="F1127" s="128"/>
      <c r="G1127" s="128"/>
      <c r="H1127" s="128"/>
      <c r="I1127" s="127" t="s">
        <v>1344</v>
      </c>
    </row>
    <row r="1128" spans="1:9" x14ac:dyDescent="0.2">
      <c r="A1128" s="127" t="s">
        <v>2764</v>
      </c>
      <c r="B1128" s="127" t="s">
        <v>2765</v>
      </c>
      <c r="C1128" s="127" t="s">
        <v>46</v>
      </c>
      <c r="D1128" s="127"/>
      <c r="E1128" s="127"/>
      <c r="F1128" s="128"/>
      <c r="G1128" s="128"/>
      <c r="H1128" s="128"/>
      <c r="I1128" s="127" t="s">
        <v>1344</v>
      </c>
    </row>
    <row r="1129" spans="1:9" x14ac:dyDescent="0.2">
      <c r="A1129" s="127" t="s">
        <v>2766</v>
      </c>
      <c r="B1129" s="127" t="s">
        <v>2767</v>
      </c>
      <c r="C1129" s="127" t="s">
        <v>46</v>
      </c>
      <c r="D1129" s="127"/>
      <c r="E1129" s="127"/>
      <c r="F1129" s="128"/>
      <c r="G1129" s="128"/>
      <c r="H1129" s="128"/>
      <c r="I1129" s="127" t="s">
        <v>1344</v>
      </c>
    </row>
    <row r="1130" spans="1:9" x14ac:dyDescent="0.2">
      <c r="A1130" s="127" t="s">
        <v>2768</v>
      </c>
      <c r="B1130" s="127" t="s">
        <v>2769</v>
      </c>
      <c r="C1130" s="127" t="s">
        <v>22</v>
      </c>
      <c r="D1130" s="127"/>
      <c r="E1130" s="127"/>
      <c r="F1130" s="128"/>
      <c r="G1130" s="128"/>
      <c r="H1130" s="128"/>
      <c r="I1130" s="127" t="s">
        <v>1344</v>
      </c>
    </row>
    <row r="1131" spans="1:9" x14ac:dyDescent="0.2">
      <c r="A1131" s="127" t="s">
        <v>2770</v>
      </c>
      <c r="B1131" s="127" t="s">
        <v>2771</v>
      </c>
      <c r="C1131" s="127" t="s">
        <v>22</v>
      </c>
      <c r="D1131" s="127"/>
      <c r="E1131" s="127"/>
      <c r="F1131" s="128"/>
      <c r="G1131" s="128"/>
      <c r="H1131" s="128"/>
      <c r="I1131" s="127" t="s">
        <v>1344</v>
      </c>
    </row>
    <row r="1132" spans="1:9" x14ac:dyDescent="0.2">
      <c r="A1132" s="127" t="s">
        <v>2772</v>
      </c>
      <c r="B1132" s="127" t="s">
        <v>2773</v>
      </c>
      <c r="C1132" s="127" t="s">
        <v>22</v>
      </c>
      <c r="D1132" s="127"/>
      <c r="E1132" s="127"/>
      <c r="F1132" s="128"/>
      <c r="G1132" s="128"/>
      <c r="H1132" s="128"/>
      <c r="I1132" s="127" t="s">
        <v>1344</v>
      </c>
    </row>
    <row r="1133" spans="1:9" x14ac:dyDescent="0.2">
      <c r="A1133" s="127" t="s">
        <v>2774</v>
      </c>
      <c r="B1133" s="127" t="s">
        <v>957</v>
      </c>
      <c r="C1133" s="127" t="s">
        <v>46</v>
      </c>
      <c r="D1133" s="127"/>
      <c r="E1133" s="127"/>
      <c r="F1133" s="128"/>
      <c r="G1133" s="128"/>
      <c r="H1133" s="128"/>
      <c r="I1133" s="127" t="s">
        <v>1344</v>
      </c>
    </row>
    <row r="1134" spans="1:9" x14ac:dyDescent="0.2">
      <c r="A1134" s="127" t="s">
        <v>2775</v>
      </c>
      <c r="B1134" s="127" t="s">
        <v>2776</v>
      </c>
      <c r="C1134" s="127" t="s">
        <v>46</v>
      </c>
      <c r="D1134" s="127"/>
      <c r="E1134" s="127"/>
      <c r="F1134" s="128"/>
      <c r="G1134" s="128"/>
      <c r="H1134" s="128"/>
      <c r="I1134" s="127" t="s">
        <v>1344</v>
      </c>
    </row>
    <row r="1135" spans="1:9" x14ac:dyDescent="0.2">
      <c r="A1135" s="127" t="s">
        <v>2777</v>
      </c>
      <c r="B1135" s="127" t="s">
        <v>2778</v>
      </c>
      <c r="C1135" s="127" t="s">
        <v>22</v>
      </c>
      <c r="D1135" s="127"/>
      <c r="E1135" s="127"/>
      <c r="F1135" s="128"/>
      <c r="G1135" s="128"/>
      <c r="H1135" s="128"/>
      <c r="I1135" s="127" t="s">
        <v>1344</v>
      </c>
    </row>
    <row r="1136" spans="1:9" x14ac:dyDescent="0.2">
      <c r="A1136" s="127" t="s">
        <v>2779</v>
      </c>
      <c r="B1136" s="127" t="s">
        <v>2780</v>
      </c>
      <c r="C1136" s="127" t="s">
        <v>22</v>
      </c>
      <c r="D1136" s="127"/>
      <c r="E1136" s="127"/>
      <c r="F1136" s="128"/>
      <c r="G1136" s="128"/>
      <c r="H1136" s="128"/>
      <c r="I1136" s="127" t="s">
        <v>1344</v>
      </c>
    </row>
    <row r="1137" spans="1:9" x14ac:dyDescent="0.2">
      <c r="A1137" s="127" t="s">
        <v>2781</v>
      </c>
      <c r="B1137" s="127" t="s">
        <v>2782</v>
      </c>
      <c r="C1137" s="127" t="s">
        <v>17</v>
      </c>
      <c r="D1137" s="127"/>
      <c r="E1137" s="127"/>
      <c r="F1137" s="128"/>
      <c r="G1137" s="128"/>
      <c r="H1137" s="128"/>
      <c r="I1137" s="127" t="s">
        <v>1344</v>
      </c>
    </row>
    <row r="1138" spans="1:9" x14ac:dyDescent="0.2">
      <c r="A1138" s="127" t="s">
        <v>2781</v>
      </c>
      <c r="B1138" s="127" t="s">
        <v>2783</v>
      </c>
      <c r="C1138" s="127" t="s">
        <v>17</v>
      </c>
      <c r="D1138" s="127"/>
      <c r="E1138" s="127"/>
      <c r="F1138" s="128"/>
      <c r="G1138" s="128"/>
      <c r="H1138" s="128"/>
      <c r="I1138" s="127" t="s">
        <v>1344</v>
      </c>
    </row>
    <row r="1139" spans="1:9" x14ac:dyDescent="0.2">
      <c r="A1139" s="127" t="s">
        <v>2784</v>
      </c>
      <c r="B1139" s="127" t="s">
        <v>2785</v>
      </c>
      <c r="C1139" s="127" t="s">
        <v>46</v>
      </c>
      <c r="D1139" s="127"/>
      <c r="E1139" s="127"/>
      <c r="F1139" s="128"/>
      <c r="G1139" s="128"/>
      <c r="H1139" s="128"/>
      <c r="I1139" s="127" t="s">
        <v>1344</v>
      </c>
    </row>
    <row r="1140" spans="1:9" x14ac:dyDescent="0.2">
      <c r="A1140" s="127" t="s">
        <v>2786</v>
      </c>
      <c r="B1140" s="127" t="s">
        <v>2787</v>
      </c>
      <c r="C1140" s="127" t="s">
        <v>46</v>
      </c>
      <c r="D1140" s="127"/>
      <c r="E1140" s="127"/>
      <c r="F1140" s="128"/>
      <c r="G1140" s="128"/>
      <c r="H1140" s="128"/>
      <c r="I1140" s="127" t="s">
        <v>1344</v>
      </c>
    </row>
    <row r="1141" spans="1:9" x14ac:dyDescent="0.2">
      <c r="A1141" s="127" t="s">
        <v>2788</v>
      </c>
      <c r="B1141" s="127" t="s">
        <v>2789</v>
      </c>
      <c r="C1141" s="127" t="s">
        <v>22</v>
      </c>
      <c r="D1141" s="127"/>
      <c r="E1141" s="127"/>
      <c r="F1141" s="128"/>
      <c r="G1141" s="128"/>
      <c r="H1141" s="128"/>
      <c r="I1141" s="127" t="s">
        <v>1344</v>
      </c>
    </row>
    <row r="1142" spans="1:9" x14ac:dyDescent="0.2">
      <c r="A1142" s="127" t="s">
        <v>2790</v>
      </c>
      <c r="B1142" s="127" t="s">
        <v>2791</v>
      </c>
      <c r="C1142" s="127" t="s">
        <v>22</v>
      </c>
      <c r="D1142" s="127"/>
      <c r="E1142" s="127"/>
      <c r="F1142" s="128"/>
      <c r="G1142" s="128"/>
      <c r="H1142" s="128"/>
      <c r="I1142" s="127" t="s">
        <v>1344</v>
      </c>
    </row>
    <row r="1143" spans="1:9" x14ac:dyDescent="0.2">
      <c r="A1143" s="127" t="s">
        <v>1853</v>
      </c>
      <c r="B1143" s="127" t="s">
        <v>2792</v>
      </c>
      <c r="C1143" s="127" t="s">
        <v>46</v>
      </c>
      <c r="D1143" s="127"/>
      <c r="E1143" s="127"/>
      <c r="F1143" s="128"/>
      <c r="G1143" s="128"/>
      <c r="H1143" s="128"/>
      <c r="I1143" s="127" t="s">
        <v>1344</v>
      </c>
    </row>
    <row r="1144" spans="1:9" x14ac:dyDescent="0.2">
      <c r="A1144" s="127" t="s">
        <v>2793</v>
      </c>
      <c r="B1144" s="127" t="s">
        <v>2794</v>
      </c>
      <c r="C1144" s="127" t="s">
        <v>22</v>
      </c>
      <c r="D1144" s="127"/>
      <c r="E1144" s="127"/>
      <c r="F1144" s="128"/>
      <c r="G1144" s="128"/>
      <c r="H1144" s="128"/>
      <c r="I1144" s="127" t="s">
        <v>1344</v>
      </c>
    </row>
    <row r="1145" spans="1:9" x14ac:dyDescent="0.2">
      <c r="A1145" s="127" t="s">
        <v>2795</v>
      </c>
      <c r="B1145" s="127" t="s">
        <v>2796</v>
      </c>
      <c r="C1145" s="127" t="s">
        <v>17</v>
      </c>
      <c r="D1145" s="127"/>
      <c r="E1145" s="127"/>
      <c r="F1145" s="128"/>
      <c r="G1145" s="128"/>
      <c r="H1145" s="128"/>
      <c r="I1145" s="127" t="s">
        <v>1344</v>
      </c>
    </row>
    <row r="1146" spans="1:9" x14ac:dyDescent="0.2">
      <c r="A1146" s="127" t="s">
        <v>2797</v>
      </c>
      <c r="B1146" s="127" t="s">
        <v>2798</v>
      </c>
      <c r="C1146" s="127" t="s">
        <v>22</v>
      </c>
      <c r="D1146" s="127"/>
      <c r="E1146" s="127"/>
      <c r="F1146" s="128"/>
      <c r="G1146" s="128"/>
      <c r="H1146" s="128"/>
      <c r="I1146" s="127" t="s">
        <v>1344</v>
      </c>
    </row>
    <row r="1147" spans="1:9" x14ac:dyDescent="0.2">
      <c r="A1147" s="127" t="s">
        <v>2799</v>
      </c>
      <c r="B1147" s="127" t="s">
        <v>2800</v>
      </c>
      <c r="C1147" s="127" t="s">
        <v>46</v>
      </c>
      <c r="D1147" s="127"/>
      <c r="E1147" s="127"/>
      <c r="F1147" s="128"/>
      <c r="G1147" s="128"/>
      <c r="H1147" s="128"/>
      <c r="I1147" s="127" t="s">
        <v>1344</v>
      </c>
    </row>
    <row r="1148" spans="1:9" x14ac:dyDescent="0.2">
      <c r="A1148" s="127" t="s">
        <v>2801</v>
      </c>
      <c r="B1148" s="127" t="s">
        <v>2802</v>
      </c>
      <c r="C1148" s="127" t="s">
        <v>22</v>
      </c>
      <c r="D1148" s="127"/>
      <c r="E1148" s="127"/>
      <c r="F1148" s="128"/>
      <c r="G1148" s="128"/>
      <c r="H1148" s="128"/>
      <c r="I1148" s="127" t="s">
        <v>1344</v>
      </c>
    </row>
    <row r="1149" spans="1:9" x14ac:dyDescent="0.2">
      <c r="A1149" s="127" t="s">
        <v>2803</v>
      </c>
      <c r="B1149" s="127" t="s">
        <v>2804</v>
      </c>
      <c r="C1149" s="127" t="s">
        <v>46</v>
      </c>
      <c r="D1149" s="127"/>
      <c r="E1149" s="127"/>
      <c r="F1149" s="128"/>
      <c r="G1149" s="128"/>
      <c r="H1149" s="128"/>
      <c r="I1149" s="127" t="s">
        <v>1344</v>
      </c>
    </row>
    <row r="1150" spans="1:9" x14ac:dyDescent="0.2">
      <c r="A1150" s="127" t="s">
        <v>2805</v>
      </c>
      <c r="B1150" s="127" t="s">
        <v>2806</v>
      </c>
      <c r="C1150" s="127" t="s">
        <v>46</v>
      </c>
      <c r="D1150" s="127"/>
      <c r="E1150" s="127"/>
      <c r="F1150" s="128"/>
      <c r="G1150" s="128"/>
      <c r="H1150" s="128"/>
      <c r="I1150" s="127" t="s">
        <v>1344</v>
      </c>
    </row>
    <row r="1151" spans="1:9" x14ac:dyDescent="0.2">
      <c r="A1151" s="127" t="s">
        <v>2807</v>
      </c>
      <c r="B1151" s="127" t="s">
        <v>2808</v>
      </c>
      <c r="C1151" s="127" t="s">
        <v>17</v>
      </c>
      <c r="D1151" s="127"/>
      <c r="E1151" s="127"/>
      <c r="F1151" s="128"/>
      <c r="G1151" s="128"/>
      <c r="H1151" s="128"/>
      <c r="I1151" s="127" t="s">
        <v>1344</v>
      </c>
    </row>
    <row r="1152" spans="1:9" x14ac:dyDescent="0.2">
      <c r="A1152" s="127" t="s">
        <v>2809</v>
      </c>
      <c r="B1152" s="127" t="s">
        <v>2810</v>
      </c>
      <c r="C1152" s="127" t="s">
        <v>46</v>
      </c>
      <c r="D1152" s="127"/>
      <c r="E1152" s="127"/>
      <c r="F1152" s="128"/>
      <c r="G1152" s="128"/>
      <c r="H1152" s="128"/>
      <c r="I1152" s="127" t="s">
        <v>1344</v>
      </c>
    </row>
    <row r="1153" spans="1:9" x14ac:dyDescent="0.2">
      <c r="A1153" s="127" t="s">
        <v>2811</v>
      </c>
      <c r="B1153" s="127" t="s">
        <v>2812</v>
      </c>
      <c r="C1153" s="127" t="s">
        <v>46</v>
      </c>
      <c r="D1153" s="127"/>
      <c r="E1153" s="127"/>
      <c r="F1153" s="128"/>
      <c r="G1153" s="128"/>
      <c r="H1153" s="128"/>
      <c r="I1153" s="127" t="s">
        <v>1344</v>
      </c>
    </row>
    <row r="1154" spans="1:9" x14ac:dyDescent="0.2">
      <c r="A1154" s="127" t="s">
        <v>2813</v>
      </c>
      <c r="B1154" s="127" t="s">
        <v>2814</v>
      </c>
      <c r="C1154" s="127" t="s">
        <v>22</v>
      </c>
      <c r="D1154" s="127"/>
      <c r="E1154" s="127"/>
      <c r="F1154" s="128"/>
      <c r="G1154" s="128"/>
      <c r="H1154" s="128"/>
      <c r="I1154" s="127" t="s">
        <v>1344</v>
      </c>
    </row>
    <row r="1155" spans="1:9" x14ac:dyDescent="0.2">
      <c r="A1155" s="127" t="s">
        <v>2815</v>
      </c>
      <c r="B1155" s="127" t="s">
        <v>2816</v>
      </c>
      <c r="C1155" s="127" t="s">
        <v>17</v>
      </c>
      <c r="D1155" s="127"/>
      <c r="E1155" s="127"/>
      <c r="F1155" s="128"/>
      <c r="G1155" s="128"/>
      <c r="H1155" s="128"/>
      <c r="I1155" s="127" t="s">
        <v>1344</v>
      </c>
    </row>
    <row r="1156" spans="1:9" x14ac:dyDescent="0.2">
      <c r="A1156" s="127" t="s">
        <v>2817</v>
      </c>
      <c r="B1156" s="127" t="s">
        <v>2818</v>
      </c>
      <c r="C1156" s="127" t="s">
        <v>46</v>
      </c>
      <c r="D1156" s="127"/>
      <c r="E1156" s="127"/>
      <c r="F1156" s="128"/>
      <c r="G1156" s="128"/>
      <c r="H1156" s="128"/>
      <c r="I1156" s="127" t="s">
        <v>1344</v>
      </c>
    </row>
    <row r="1157" spans="1:9" x14ac:dyDescent="0.2">
      <c r="A1157" s="127" t="s">
        <v>2819</v>
      </c>
      <c r="B1157" s="127" t="s">
        <v>2820</v>
      </c>
      <c r="C1157" s="127" t="s">
        <v>22</v>
      </c>
      <c r="D1157" s="127"/>
      <c r="E1157" s="127"/>
      <c r="F1157" s="128"/>
      <c r="G1157" s="128"/>
      <c r="H1157" s="128"/>
      <c r="I1157" s="127" t="s">
        <v>1344</v>
      </c>
    </row>
    <row r="1158" spans="1:9" x14ac:dyDescent="0.2">
      <c r="A1158" s="127"/>
      <c r="B1158" s="127" t="s">
        <v>2821</v>
      </c>
      <c r="C1158" s="127" t="s">
        <v>46</v>
      </c>
      <c r="D1158" s="127"/>
      <c r="E1158" s="127"/>
      <c r="F1158" s="128"/>
      <c r="G1158" s="128"/>
      <c r="H1158" s="128"/>
      <c r="I1158" s="127" t="s">
        <v>1344</v>
      </c>
    </row>
    <row r="1159" spans="1:9" x14ac:dyDescent="0.2">
      <c r="A1159" s="127" t="s">
        <v>2822</v>
      </c>
      <c r="B1159" s="127" t="s">
        <v>2823</v>
      </c>
      <c r="C1159" s="127" t="s">
        <v>46</v>
      </c>
      <c r="D1159" s="127"/>
      <c r="E1159" s="127"/>
      <c r="F1159" s="128"/>
      <c r="G1159" s="128"/>
      <c r="H1159" s="128"/>
      <c r="I1159" s="127" t="s">
        <v>1344</v>
      </c>
    </row>
    <row r="1160" spans="1:9" x14ac:dyDescent="0.2">
      <c r="A1160" s="127" t="s">
        <v>2824</v>
      </c>
      <c r="B1160" s="127" t="s">
        <v>2825</v>
      </c>
      <c r="C1160" s="127" t="s">
        <v>22</v>
      </c>
      <c r="D1160" s="127"/>
      <c r="E1160" s="127"/>
      <c r="F1160" s="128"/>
      <c r="G1160" s="128"/>
      <c r="H1160" s="128"/>
      <c r="I1160" s="127" t="s">
        <v>1344</v>
      </c>
    </row>
    <row r="1161" spans="1:9" x14ac:dyDescent="0.2">
      <c r="A1161" s="127" t="s">
        <v>2826</v>
      </c>
      <c r="B1161" s="127" t="s">
        <v>2827</v>
      </c>
      <c r="C1161" s="127" t="s">
        <v>17</v>
      </c>
      <c r="D1161" s="127"/>
      <c r="E1161" s="127"/>
      <c r="F1161" s="128"/>
      <c r="G1161" s="128"/>
      <c r="H1161" s="128"/>
      <c r="I1161" s="127" t="s">
        <v>1344</v>
      </c>
    </row>
    <row r="1162" spans="1:9" x14ac:dyDescent="0.2">
      <c r="A1162" s="127" t="s">
        <v>2828</v>
      </c>
      <c r="B1162" s="127" t="s">
        <v>2829</v>
      </c>
      <c r="C1162" s="127" t="s">
        <v>17</v>
      </c>
      <c r="D1162" s="127"/>
      <c r="E1162" s="127"/>
      <c r="F1162" s="128"/>
      <c r="G1162" s="128"/>
      <c r="H1162" s="128"/>
      <c r="I1162" s="127" t="s">
        <v>1344</v>
      </c>
    </row>
    <row r="1163" spans="1:9" x14ac:dyDescent="0.2">
      <c r="A1163" s="127" t="s">
        <v>2830</v>
      </c>
      <c r="B1163" s="127" t="s">
        <v>2831</v>
      </c>
      <c r="C1163" s="127" t="s">
        <v>22</v>
      </c>
      <c r="D1163" s="127"/>
      <c r="E1163" s="127"/>
      <c r="F1163" s="128"/>
      <c r="G1163" s="128"/>
      <c r="H1163" s="128"/>
      <c r="I1163" s="127" t="s">
        <v>1344</v>
      </c>
    </row>
    <row r="1164" spans="1:9" x14ac:dyDescent="0.2">
      <c r="A1164" s="127" t="s">
        <v>2832</v>
      </c>
      <c r="B1164" s="127" t="s">
        <v>2833</v>
      </c>
      <c r="C1164" s="127" t="s">
        <v>46</v>
      </c>
      <c r="D1164" s="127"/>
      <c r="E1164" s="127"/>
      <c r="F1164" s="128"/>
      <c r="G1164" s="128"/>
      <c r="H1164" s="128"/>
      <c r="I1164" s="127" t="s">
        <v>1344</v>
      </c>
    </row>
    <row r="1165" spans="1:9" x14ac:dyDescent="0.2">
      <c r="A1165" s="127" t="s">
        <v>2834</v>
      </c>
      <c r="B1165" s="127" t="s">
        <v>1278</v>
      </c>
      <c r="C1165" s="127" t="s">
        <v>22</v>
      </c>
      <c r="D1165" s="127"/>
      <c r="E1165" s="127"/>
      <c r="F1165" s="128"/>
      <c r="G1165" s="128"/>
      <c r="H1165" s="128"/>
      <c r="I1165" s="127" t="s">
        <v>1344</v>
      </c>
    </row>
    <row r="1166" spans="1:9" x14ac:dyDescent="0.2">
      <c r="A1166" s="127" t="s">
        <v>2835</v>
      </c>
      <c r="B1166" s="127" t="s">
        <v>2836</v>
      </c>
      <c r="C1166" s="127" t="s">
        <v>46</v>
      </c>
      <c r="D1166" s="127"/>
      <c r="E1166" s="127"/>
      <c r="F1166" s="128"/>
      <c r="G1166" s="128"/>
      <c r="H1166" s="128"/>
      <c r="I1166" s="127" t="s">
        <v>1344</v>
      </c>
    </row>
    <row r="1167" spans="1:9" x14ac:dyDescent="0.2">
      <c r="A1167" s="127" t="s">
        <v>2837</v>
      </c>
      <c r="B1167" s="127" t="s">
        <v>2838</v>
      </c>
      <c r="C1167" s="127" t="s">
        <v>46</v>
      </c>
      <c r="D1167" s="127"/>
      <c r="E1167" s="127"/>
      <c r="F1167" s="128"/>
      <c r="G1167" s="128"/>
      <c r="H1167" s="128"/>
      <c r="I1167" s="127" t="s">
        <v>1344</v>
      </c>
    </row>
    <row r="1168" spans="1:9" x14ac:dyDescent="0.2">
      <c r="A1168" s="127" t="s">
        <v>2233</v>
      </c>
      <c r="B1168" s="127" t="s">
        <v>2839</v>
      </c>
      <c r="C1168" s="127" t="s">
        <v>46</v>
      </c>
      <c r="D1168" s="127"/>
      <c r="E1168" s="127"/>
      <c r="F1168" s="128"/>
      <c r="G1168" s="128"/>
      <c r="H1168" s="128"/>
      <c r="I1168" s="127" t="s">
        <v>1344</v>
      </c>
    </row>
    <row r="1169" spans="1:9" x14ac:dyDescent="0.2">
      <c r="A1169" s="127" t="s">
        <v>2840</v>
      </c>
      <c r="B1169" s="127" t="s">
        <v>2841</v>
      </c>
      <c r="C1169" s="127" t="s">
        <v>22</v>
      </c>
      <c r="D1169" s="127"/>
      <c r="E1169" s="127"/>
      <c r="F1169" s="128"/>
      <c r="G1169" s="128"/>
      <c r="H1169" s="128"/>
      <c r="I1169" s="127" t="s">
        <v>1344</v>
      </c>
    </row>
    <row r="1170" spans="1:9" x14ac:dyDescent="0.2">
      <c r="A1170" s="127" t="s">
        <v>2842</v>
      </c>
      <c r="B1170" s="127" t="s">
        <v>2843</v>
      </c>
      <c r="C1170" s="127" t="s">
        <v>46</v>
      </c>
      <c r="D1170" s="127"/>
      <c r="E1170" s="127"/>
      <c r="F1170" s="128"/>
      <c r="G1170" s="128"/>
      <c r="H1170" s="128"/>
      <c r="I1170" s="127" t="s">
        <v>1344</v>
      </c>
    </row>
    <row r="1171" spans="1:9" x14ac:dyDescent="0.2">
      <c r="A1171" s="127" t="s">
        <v>2844</v>
      </c>
      <c r="B1171" s="127" t="s">
        <v>2845</v>
      </c>
      <c r="C1171" s="127" t="s">
        <v>46</v>
      </c>
      <c r="D1171" s="127"/>
      <c r="E1171" s="127"/>
      <c r="F1171" s="128"/>
      <c r="G1171" s="128"/>
      <c r="H1171" s="128"/>
      <c r="I1171" s="127" t="s">
        <v>1344</v>
      </c>
    </row>
    <row r="1172" spans="1:9" x14ac:dyDescent="0.2">
      <c r="A1172" s="127" t="s">
        <v>2846</v>
      </c>
      <c r="B1172" s="127" t="s">
        <v>2847</v>
      </c>
      <c r="C1172" s="127" t="s">
        <v>46</v>
      </c>
      <c r="D1172" s="127"/>
      <c r="E1172" s="127"/>
      <c r="F1172" s="128"/>
      <c r="G1172" s="128"/>
      <c r="H1172" s="128"/>
      <c r="I1172" s="127" t="s">
        <v>1344</v>
      </c>
    </row>
    <row r="1173" spans="1:9" x14ac:dyDescent="0.2">
      <c r="A1173" s="127" t="s">
        <v>2848</v>
      </c>
      <c r="B1173" s="127" t="s">
        <v>2849</v>
      </c>
      <c r="C1173" s="127" t="s">
        <v>46</v>
      </c>
      <c r="D1173" s="127"/>
      <c r="E1173" s="127"/>
      <c r="F1173" s="128"/>
      <c r="G1173" s="128"/>
      <c r="H1173" s="128"/>
      <c r="I1173" s="127" t="s">
        <v>1344</v>
      </c>
    </row>
    <row r="1174" spans="1:9" x14ac:dyDescent="0.2">
      <c r="A1174" s="127" t="s">
        <v>2850</v>
      </c>
      <c r="B1174" s="127" t="s">
        <v>2851</v>
      </c>
      <c r="C1174" s="127" t="s">
        <v>22</v>
      </c>
      <c r="D1174" s="127"/>
      <c r="E1174" s="127"/>
      <c r="F1174" s="128"/>
      <c r="G1174" s="128"/>
      <c r="H1174" s="128"/>
      <c r="I1174" s="127" t="s">
        <v>1344</v>
      </c>
    </row>
    <row r="1175" spans="1:9" x14ac:dyDescent="0.2">
      <c r="A1175" s="127"/>
      <c r="B1175" s="127" t="s">
        <v>2852</v>
      </c>
      <c r="C1175" s="127" t="s">
        <v>22</v>
      </c>
      <c r="D1175" s="127"/>
      <c r="E1175" s="127"/>
      <c r="F1175" s="128"/>
      <c r="G1175" s="128"/>
      <c r="H1175" s="128"/>
      <c r="I1175" s="127" t="s">
        <v>1344</v>
      </c>
    </row>
    <row r="1176" spans="1:9" x14ac:dyDescent="0.2">
      <c r="A1176" s="127" t="s">
        <v>2853</v>
      </c>
      <c r="B1176" s="127" t="s">
        <v>2854</v>
      </c>
      <c r="C1176" s="127" t="s">
        <v>22</v>
      </c>
      <c r="D1176" s="127"/>
      <c r="E1176" s="127"/>
      <c r="F1176" s="128"/>
      <c r="G1176" s="128"/>
      <c r="H1176" s="128"/>
      <c r="I1176" s="127" t="s">
        <v>1344</v>
      </c>
    </row>
    <row r="1177" spans="1:9" x14ac:dyDescent="0.2">
      <c r="A1177" s="127" t="s">
        <v>2855</v>
      </c>
      <c r="B1177" s="127" t="s">
        <v>2856</v>
      </c>
      <c r="C1177" s="127" t="s">
        <v>46</v>
      </c>
      <c r="D1177" s="127"/>
      <c r="E1177" s="127"/>
      <c r="F1177" s="128"/>
      <c r="G1177" s="128"/>
      <c r="H1177" s="128"/>
      <c r="I1177" s="127" t="s">
        <v>1344</v>
      </c>
    </row>
    <row r="1178" spans="1:9" x14ac:dyDescent="0.2">
      <c r="A1178" s="127" t="s">
        <v>2857</v>
      </c>
      <c r="B1178" s="127" t="s">
        <v>2858</v>
      </c>
      <c r="C1178" s="127" t="s">
        <v>17</v>
      </c>
      <c r="D1178" s="127"/>
      <c r="E1178" s="127"/>
      <c r="F1178" s="128"/>
      <c r="G1178" s="128"/>
      <c r="H1178" s="128"/>
      <c r="I1178" s="127" t="s">
        <v>1344</v>
      </c>
    </row>
    <row r="1179" spans="1:9" x14ac:dyDescent="0.2">
      <c r="A1179" s="127" t="s">
        <v>2859</v>
      </c>
      <c r="B1179" s="127" t="s">
        <v>2860</v>
      </c>
      <c r="C1179" s="127" t="s">
        <v>46</v>
      </c>
      <c r="D1179" s="127"/>
      <c r="E1179" s="127"/>
      <c r="F1179" s="128"/>
      <c r="G1179" s="128"/>
      <c r="H1179" s="128"/>
      <c r="I1179" s="127" t="s">
        <v>1344</v>
      </c>
    </row>
    <row r="1180" spans="1:9" x14ac:dyDescent="0.2">
      <c r="A1180" s="127" t="s">
        <v>2859</v>
      </c>
      <c r="B1180" s="127" t="s">
        <v>2861</v>
      </c>
      <c r="C1180" s="127" t="s">
        <v>46</v>
      </c>
      <c r="D1180" s="127"/>
      <c r="E1180" s="127"/>
      <c r="F1180" s="128"/>
      <c r="G1180" s="128"/>
      <c r="H1180" s="128"/>
      <c r="I1180" s="127" t="s">
        <v>1344</v>
      </c>
    </row>
    <row r="1181" spans="1:9" x14ac:dyDescent="0.2">
      <c r="A1181" s="127" t="s">
        <v>2862</v>
      </c>
      <c r="B1181" s="127" t="s">
        <v>1282</v>
      </c>
      <c r="C1181" s="127" t="s">
        <v>22</v>
      </c>
      <c r="D1181" s="127"/>
      <c r="E1181" s="127"/>
      <c r="F1181" s="128"/>
      <c r="G1181" s="128"/>
      <c r="H1181" s="128"/>
      <c r="I1181" s="127" t="s">
        <v>1344</v>
      </c>
    </row>
    <row r="1182" spans="1:9" x14ac:dyDescent="0.2">
      <c r="A1182" s="127" t="s">
        <v>2863</v>
      </c>
      <c r="B1182" s="127" t="s">
        <v>2864</v>
      </c>
      <c r="C1182" s="127" t="s">
        <v>46</v>
      </c>
      <c r="D1182" s="127"/>
      <c r="E1182" s="127"/>
      <c r="F1182" s="128"/>
      <c r="G1182" s="128"/>
      <c r="H1182" s="128"/>
      <c r="I1182" s="127" t="s">
        <v>1344</v>
      </c>
    </row>
    <row r="1183" spans="1:9" x14ac:dyDescent="0.2">
      <c r="A1183" s="127" t="s">
        <v>2865</v>
      </c>
      <c r="B1183" s="127" t="s">
        <v>2866</v>
      </c>
      <c r="C1183" s="127" t="s">
        <v>17</v>
      </c>
      <c r="D1183" s="127"/>
      <c r="E1183" s="127"/>
      <c r="F1183" s="128"/>
      <c r="G1183" s="128"/>
      <c r="H1183" s="128"/>
      <c r="I1183" s="127" t="s">
        <v>1344</v>
      </c>
    </row>
    <row r="1184" spans="1:9" x14ac:dyDescent="0.2">
      <c r="A1184" s="127" t="s">
        <v>1736</v>
      </c>
      <c r="B1184" s="127" t="s">
        <v>2867</v>
      </c>
      <c r="C1184" s="127" t="s">
        <v>46</v>
      </c>
      <c r="D1184" s="127"/>
      <c r="E1184" s="127"/>
      <c r="F1184" s="128"/>
      <c r="G1184" s="128"/>
      <c r="H1184" s="128"/>
      <c r="I1184" s="127" t="s">
        <v>1344</v>
      </c>
    </row>
    <row r="1185" spans="1:9" x14ac:dyDescent="0.2">
      <c r="A1185" s="127" t="s">
        <v>2868</v>
      </c>
      <c r="B1185" s="127" t="s">
        <v>2869</v>
      </c>
      <c r="C1185" s="127" t="s">
        <v>46</v>
      </c>
      <c r="D1185" s="127"/>
      <c r="E1185" s="127"/>
      <c r="F1185" s="128"/>
      <c r="G1185" s="128"/>
      <c r="H1185" s="128"/>
      <c r="I1185" s="127" t="s">
        <v>1344</v>
      </c>
    </row>
    <row r="1186" spans="1:9" x14ac:dyDescent="0.2">
      <c r="A1186" s="127" t="s">
        <v>2870</v>
      </c>
      <c r="B1186" s="127" t="s">
        <v>2871</v>
      </c>
      <c r="C1186" s="127" t="s">
        <v>17</v>
      </c>
      <c r="D1186" s="127"/>
      <c r="E1186" s="127"/>
      <c r="F1186" s="128"/>
      <c r="G1186" s="128"/>
      <c r="H1186" s="128"/>
      <c r="I1186" s="127" t="s">
        <v>1344</v>
      </c>
    </row>
    <row r="1187" spans="1:9" x14ac:dyDescent="0.2">
      <c r="A1187" s="127" t="s">
        <v>2872</v>
      </c>
      <c r="B1187" s="127" t="s">
        <v>2873</v>
      </c>
      <c r="C1187" s="127" t="s">
        <v>46</v>
      </c>
      <c r="D1187" s="127"/>
      <c r="E1187" s="127"/>
      <c r="F1187" s="128"/>
      <c r="G1187" s="128"/>
      <c r="H1187" s="128"/>
      <c r="I1187" s="127" t="s">
        <v>1344</v>
      </c>
    </row>
    <row r="1188" spans="1:9" x14ac:dyDescent="0.2">
      <c r="A1188" s="127" t="s">
        <v>2874</v>
      </c>
      <c r="B1188" s="127" t="s">
        <v>2875</v>
      </c>
      <c r="C1188" s="127" t="s">
        <v>46</v>
      </c>
      <c r="D1188" s="127"/>
      <c r="E1188" s="127"/>
      <c r="F1188" s="128"/>
      <c r="G1188" s="128"/>
      <c r="H1188" s="128"/>
      <c r="I1188" s="127" t="s">
        <v>1344</v>
      </c>
    </row>
    <row r="1189" spans="1:9" x14ac:dyDescent="0.2">
      <c r="A1189" s="127" t="s">
        <v>2876</v>
      </c>
      <c r="B1189" s="127" t="s">
        <v>2877</v>
      </c>
      <c r="C1189" s="127" t="s">
        <v>46</v>
      </c>
      <c r="D1189" s="127"/>
      <c r="E1189" s="127"/>
      <c r="F1189" s="128"/>
      <c r="G1189" s="128"/>
      <c r="H1189" s="128"/>
      <c r="I1189" s="127" t="s">
        <v>1344</v>
      </c>
    </row>
    <row r="1190" spans="1:9" x14ac:dyDescent="0.2">
      <c r="A1190" s="127" t="s">
        <v>2878</v>
      </c>
      <c r="B1190" s="127" t="s">
        <v>2879</v>
      </c>
      <c r="C1190" s="127" t="s">
        <v>46</v>
      </c>
      <c r="D1190" s="127"/>
      <c r="E1190" s="127"/>
      <c r="F1190" s="128"/>
      <c r="G1190" s="128"/>
      <c r="H1190" s="128"/>
      <c r="I1190" s="127" t="s">
        <v>1344</v>
      </c>
    </row>
    <row r="1191" spans="1:9" x14ac:dyDescent="0.2">
      <c r="A1191" s="127" t="s">
        <v>2880</v>
      </c>
      <c r="B1191" s="127" t="s">
        <v>1246</v>
      </c>
      <c r="C1191" s="127" t="s">
        <v>22</v>
      </c>
      <c r="D1191" s="127"/>
      <c r="E1191" s="127"/>
      <c r="F1191" s="128"/>
      <c r="G1191" s="128"/>
      <c r="H1191" s="128"/>
      <c r="I1191" s="127" t="s">
        <v>1344</v>
      </c>
    </row>
    <row r="1192" spans="1:9" x14ac:dyDescent="0.2">
      <c r="A1192" s="127" t="s">
        <v>2881</v>
      </c>
      <c r="B1192" s="127" t="s">
        <v>2882</v>
      </c>
      <c r="C1192" s="127" t="s">
        <v>22</v>
      </c>
      <c r="D1192" s="127"/>
      <c r="E1192" s="127"/>
      <c r="F1192" s="128"/>
      <c r="G1192" s="128"/>
      <c r="H1192" s="128"/>
      <c r="I1192" s="127" t="s">
        <v>1344</v>
      </c>
    </row>
    <row r="1193" spans="1:9" x14ac:dyDescent="0.2">
      <c r="A1193" s="127" t="s">
        <v>2883</v>
      </c>
      <c r="B1193" s="127" t="s">
        <v>2884</v>
      </c>
      <c r="C1193" s="127" t="s">
        <v>46</v>
      </c>
      <c r="D1193" s="127"/>
      <c r="E1193" s="127"/>
      <c r="F1193" s="128"/>
      <c r="G1193" s="128"/>
      <c r="H1193" s="128"/>
      <c r="I1193" s="127" t="s">
        <v>1344</v>
      </c>
    </row>
    <row r="1194" spans="1:9" x14ac:dyDescent="0.2">
      <c r="A1194" s="127" t="s">
        <v>2885</v>
      </c>
      <c r="B1194" s="127" t="s">
        <v>2886</v>
      </c>
      <c r="C1194" s="127" t="s">
        <v>46</v>
      </c>
      <c r="D1194" s="127"/>
      <c r="E1194" s="127"/>
      <c r="F1194" s="128"/>
      <c r="G1194" s="128"/>
      <c r="H1194" s="128"/>
      <c r="I1194" s="127" t="s">
        <v>1344</v>
      </c>
    </row>
    <row r="1195" spans="1:9" x14ac:dyDescent="0.2">
      <c r="A1195" s="127" t="s">
        <v>2887</v>
      </c>
      <c r="B1195" s="127" t="s">
        <v>2888</v>
      </c>
      <c r="C1195" s="127" t="s">
        <v>46</v>
      </c>
      <c r="D1195" s="127"/>
      <c r="E1195" s="127"/>
      <c r="F1195" s="128"/>
      <c r="G1195" s="128"/>
      <c r="H1195" s="128"/>
      <c r="I1195" s="127" t="s">
        <v>1344</v>
      </c>
    </row>
    <row r="1196" spans="1:9" x14ac:dyDescent="0.2">
      <c r="A1196" s="127" t="s">
        <v>2889</v>
      </c>
      <c r="B1196" s="127" t="s">
        <v>1286</v>
      </c>
      <c r="C1196" s="127" t="s">
        <v>22</v>
      </c>
      <c r="D1196" s="127"/>
      <c r="E1196" s="127"/>
      <c r="F1196" s="128"/>
      <c r="G1196" s="128"/>
      <c r="H1196" s="128"/>
      <c r="I1196" s="127" t="s">
        <v>1344</v>
      </c>
    </row>
    <row r="1197" spans="1:9" x14ac:dyDescent="0.2">
      <c r="A1197" s="127" t="s">
        <v>2890</v>
      </c>
      <c r="B1197" s="127" t="s">
        <v>2891</v>
      </c>
      <c r="C1197" s="127" t="s">
        <v>46</v>
      </c>
      <c r="D1197" s="127"/>
      <c r="E1197" s="127"/>
      <c r="F1197" s="128"/>
      <c r="G1197" s="128"/>
      <c r="H1197" s="128"/>
      <c r="I1197" s="127" t="s">
        <v>1344</v>
      </c>
    </row>
    <row r="1198" spans="1:9" x14ac:dyDescent="0.2">
      <c r="A1198" s="127" t="s">
        <v>2892</v>
      </c>
      <c r="B1198" s="127" t="s">
        <v>2893</v>
      </c>
      <c r="C1198" s="127" t="s">
        <v>46</v>
      </c>
      <c r="D1198" s="127"/>
      <c r="E1198" s="127"/>
      <c r="F1198" s="128"/>
      <c r="G1198" s="128"/>
      <c r="H1198" s="128"/>
      <c r="I1198" s="127" t="s">
        <v>1344</v>
      </c>
    </row>
    <row r="1199" spans="1:9" x14ac:dyDescent="0.2">
      <c r="A1199" s="127" t="s">
        <v>2894</v>
      </c>
      <c r="B1199" s="127" t="s">
        <v>2895</v>
      </c>
      <c r="C1199" s="127" t="s">
        <v>46</v>
      </c>
      <c r="D1199" s="127"/>
      <c r="E1199" s="127"/>
      <c r="F1199" s="128"/>
      <c r="G1199" s="128"/>
      <c r="H1199" s="128"/>
      <c r="I1199" s="127" t="s">
        <v>1344</v>
      </c>
    </row>
    <row r="1200" spans="1:9" x14ac:dyDescent="0.2">
      <c r="A1200" s="127" t="s">
        <v>2896</v>
      </c>
      <c r="B1200" s="127" t="s">
        <v>2897</v>
      </c>
      <c r="C1200" s="127" t="s">
        <v>22</v>
      </c>
      <c r="D1200" s="127"/>
      <c r="E1200" s="127"/>
      <c r="F1200" s="128"/>
      <c r="G1200" s="128"/>
      <c r="H1200" s="128"/>
      <c r="I1200" s="127" t="s">
        <v>1344</v>
      </c>
    </row>
    <row r="1201" spans="1:9" x14ac:dyDescent="0.2">
      <c r="A1201" s="127" t="s">
        <v>2898</v>
      </c>
      <c r="B1201" s="127" t="s">
        <v>2899</v>
      </c>
      <c r="C1201" s="127" t="s">
        <v>17</v>
      </c>
      <c r="D1201" s="127"/>
      <c r="E1201" s="127"/>
      <c r="F1201" s="128"/>
      <c r="G1201" s="128"/>
      <c r="H1201" s="128"/>
      <c r="I1201" s="127" t="s">
        <v>1344</v>
      </c>
    </row>
    <row r="1202" spans="1:9" x14ac:dyDescent="0.2">
      <c r="A1202" s="127" t="s">
        <v>2900</v>
      </c>
      <c r="B1202" s="127" t="s">
        <v>2901</v>
      </c>
      <c r="C1202" s="127" t="s">
        <v>46</v>
      </c>
      <c r="D1202" s="127"/>
      <c r="E1202" s="127"/>
      <c r="F1202" s="128"/>
      <c r="G1202" s="128"/>
      <c r="H1202" s="128"/>
      <c r="I1202" s="127" t="s">
        <v>1344</v>
      </c>
    </row>
    <row r="1203" spans="1:9" x14ac:dyDescent="0.2">
      <c r="A1203" s="127" t="s">
        <v>2902</v>
      </c>
      <c r="B1203" s="127" t="s">
        <v>2903</v>
      </c>
      <c r="C1203" s="127" t="s">
        <v>46</v>
      </c>
      <c r="D1203" s="127"/>
      <c r="E1203" s="127"/>
      <c r="F1203" s="128"/>
      <c r="G1203" s="128"/>
      <c r="H1203" s="128"/>
      <c r="I1203" s="127" t="s">
        <v>1344</v>
      </c>
    </row>
    <row r="1204" spans="1:9" x14ac:dyDescent="0.2">
      <c r="A1204" s="127" t="s">
        <v>2904</v>
      </c>
      <c r="B1204" s="127" t="s">
        <v>2905</v>
      </c>
      <c r="C1204" s="127" t="s">
        <v>46</v>
      </c>
      <c r="D1204" s="127"/>
      <c r="E1204" s="127"/>
      <c r="F1204" s="128"/>
      <c r="G1204" s="128"/>
      <c r="H1204" s="128"/>
      <c r="I1204" s="127" t="s">
        <v>1344</v>
      </c>
    </row>
    <row r="1205" spans="1:9" x14ac:dyDescent="0.2">
      <c r="A1205" s="127" t="s">
        <v>2906</v>
      </c>
      <c r="B1205" s="127" t="s">
        <v>2907</v>
      </c>
      <c r="C1205" s="127" t="s">
        <v>46</v>
      </c>
      <c r="D1205" s="127"/>
      <c r="E1205" s="127"/>
      <c r="F1205" s="128"/>
      <c r="G1205" s="128"/>
      <c r="H1205" s="128"/>
      <c r="I1205" s="127" t="s">
        <v>1344</v>
      </c>
    </row>
    <row r="1206" spans="1:9" x14ac:dyDescent="0.2">
      <c r="A1206" s="127" t="s">
        <v>2908</v>
      </c>
      <c r="B1206" s="127" t="s">
        <v>2909</v>
      </c>
      <c r="C1206" s="127" t="s">
        <v>46</v>
      </c>
      <c r="D1206" s="127"/>
      <c r="E1206" s="127"/>
      <c r="F1206" s="128"/>
      <c r="G1206" s="128"/>
      <c r="H1206" s="128"/>
      <c r="I1206" s="127" t="s">
        <v>1344</v>
      </c>
    </row>
    <row r="1207" spans="1:9" x14ac:dyDescent="0.2">
      <c r="A1207" s="127" t="s">
        <v>2910</v>
      </c>
      <c r="B1207" s="127" t="s">
        <v>1279</v>
      </c>
      <c r="C1207" s="127" t="s">
        <v>22</v>
      </c>
      <c r="D1207" s="127"/>
      <c r="E1207" s="127"/>
      <c r="F1207" s="128"/>
      <c r="G1207" s="128"/>
      <c r="H1207" s="128"/>
      <c r="I1207" s="127" t="s">
        <v>1344</v>
      </c>
    </row>
    <row r="1208" spans="1:9" x14ac:dyDescent="0.2">
      <c r="A1208" s="127" t="s">
        <v>2911</v>
      </c>
      <c r="B1208" s="127" t="s">
        <v>2912</v>
      </c>
      <c r="C1208" s="127" t="s">
        <v>22</v>
      </c>
      <c r="D1208" s="127"/>
      <c r="E1208" s="127"/>
      <c r="F1208" s="128"/>
      <c r="G1208" s="128"/>
      <c r="H1208" s="128"/>
      <c r="I1208" s="127" t="s">
        <v>1344</v>
      </c>
    </row>
    <row r="1209" spans="1:9" x14ac:dyDescent="0.2">
      <c r="A1209" s="127" t="s">
        <v>2913</v>
      </c>
      <c r="B1209" s="127" t="s">
        <v>2914</v>
      </c>
      <c r="C1209" s="127" t="s">
        <v>17</v>
      </c>
      <c r="D1209" s="127"/>
      <c r="E1209" s="127"/>
      <c r="F1209" s="128"/>
      <c r="G1209" s="128"/>
      <c r="H1209" s="128"/>
      <c r="I1209" s="127" t="s">
        <v>1344</v>
      </c>
    </row>
    <row r="1210" spans="1:9" x14ac:dyDescent="0.2">
      <c r="A1210" s="127"/>
      <c r="B1210" s="127" t="s">
        <v>2915</v>
      </c>
      <c r="C1210" s="127" t="s">
        <v>22</v>
      </c>
      <c r="D1210" s="127"/>
      <c r="E1210" s="127"/>
      <c r="F1210" s="128"/>
      <c r="G1210" s="128"/>
      <c r="H1210" s="128"/>
      <c r="I1210" s="127" t="s">
        <v>1344</v>
      </c>
    </row>
    <row r="1211" spans="1:9" x14ac:dyDescent="0.2">
      <c r="A1211" s="127" t="s">
        <v>2916</v>
      </c>
      <c r="B1211" s="127" t="s">
        <v>2917</v>
      </c>
      <c r="C1211" s="127" t="s">
        <v>46</v>
      </c>
      <c r="D1211" s="127"/>
      <c r="E1211" s="127"/>
      <c r="F1211" s="128"/>
      <c r="G1211" s="128"/>
      <c r="H1211" s="128"/>
      <c r="I1211" s="127" t="s">
        <v>1344</v>
      </c>
    </row>
    <row r="1212" spans="1:9" x14ac:dyDescent="0.2">
      <c r="A1212" s="127" t="s">
        <v>2918</v>
      </c>
      <c r="B1212" s="127" t="s">
        <v>2919</v>
      </c>
      <c r="C1212" s="127" t="s">
        <v>46</v>
      </c>
      <c r="D1212" s="127"/>
      <c r="E1212" s="127"/>
      <c r="F1212" s="128"/>
      <c r="G1212" s="128"/>
      <c r="H1212" s="128"/>
      <c r="I1212" s="127" t="s">
        <v>1344</v>
      </c>
    </row>
    <row r="1213" spans="1:9" x14ac:dyDescent="0.2">
      <c r="A1213" s="127" t="s">
        <v>2920</v>
      </c>
      <c r="B1213" s="127" t="s">
        <v>2921</v>
      </c>
      <c r="C1213" s="127" t="s">
        <v>46</v>
      </c>
      <c r="D1213" s="127"/>
      <c r="E1213" s="127"/>
      <c r="F1213" s="128"/>
      <c r="G1213" s="128"/>
      <c r="H1213" s="128"/>
      <c r="I1213" s="127" t="s">
        <v>1344</v>
      </c>
    </row>
    <row r="1214" spans="1:9" x14ac:dyDescent="0.2">
      <c r="A1214" s="127" t="s">
        <v>2922</v>
      </c>
      <c r="B1214" s="127" t="s">
        <v>2923</v>
      </c>
      <c r="C1214" s="127" t="s">
        <v>46</v>
      </c>
      <c r="D1214" s="127"/>
      <c r="E1214" s="127"/>
      <c r="F1214" s="128"/>
      <c r="G1214" s="128"/>
      <c r="H1214" s="128"/>
      <c r="I1214" s="127" t="s">
        <v>1344</v>
      </c>
    </row>
    <row r="1215" spans="1:9" x14ac:dyDescent="0.2">
      <c r="A1215" s="127" t="s">
        <v>2379</v>
      </c>
      <c r="B1215" s="127" t="s">
        <v>2924</v>
      </c>
      <c r="C1215" s="127" t="s">
        <v>17</v>
      </c>
      <c r="D1215" s="127"/>
      <c r="E1215" s="127"/>
      <c r="F1215" s="128"/>
      <c r="G1215" s="128"/>
      <c r="H1215" s="128"/>
      <c r="I1215" s="127" t="s">
        <v>1344</v>
      </c>
    </row>
    <row r="1216" spans="1:9" x14ac:dyDescent="0.2">
      <c r="A1216" s="127" t="s">
        <v>2925</v>
      </c>
      <c r="B1216" s="127" t="s">
        <v>2926</v>
      </c>
      <c r="C1216" s="127" t="s">
        <v>17</v>
      </c>
      <c r="D1216" s="127"/>
      <c r="E1216" s="127"/>
      <c r="F1216" s="128"/>
      <c r="G1216" s="128"/>
      <c r="H1216" s="128"/>
      <c r="I1216" s="127" t="s">
        <v>1344</v>
      </c>
    </row>
    <row r="1217" spans="1:9" x14ac:dyDescent="0.2">
      <c r="A1217" s="127" t="s">
        <v>2927</v>
      </c>
      <c r="B1217" s="127" t="s">
        <v>2928</v>
      </c>
      <c r="C1217" s="127" t="s">
        <v>17</v>
      </c>
      <c r="D1217" s="127"/>
      <c r="E1217" s="127"/>
      <c r="F1217" s="128"/>
      <c r="G1217" s="128"/>
      <c r="H1217" s="128"/>
      <c r="I1217" s="127" t="s">
        <v>1344</v>
      </c>
    </row>
    <row r="1218" spans="1:9" x14ac:dyDescent="0.2">
      <c r="A1218" s="127" t="s">
        <v>2635</v>
      </c>
      <c r="B1218" s="127" t="s">
        <v>2929</v>
      </c>
      <c r="C1218" s="127" t="s">
        <v>22</v>
      </c>
      <c r="D1218" s="127"/>
      <c r="E1218" s="127"/>
      <c r="F1218" s="128"/>
      <c r="G1218" s="128"/>
      <c r="H1218" s="128"/>
      <c r="I1218" s="127" t="s">
        <v>1344</v>
      </c>
    </row>
    <row r="1219" spans="1:9" x14ac:dyDescent="0.2">
      <c r="A1219" s="127" t="s">
        <v>2930</v>
      </c>
      <c r="B1219" s="127" t="s">
        <v>2931</v>
      </c>
      <c r="C1219" s="127" t="s">
        <v>46</v>
      </c>
      <c r="D1219" s="127"/>
      <c r="E1219" s="127"/>
      <c r="F1219" s="128"/>
      <c r="G1219" s="128"/>
      <c r="H1219" s="128"/>
      <c r="I1219" s="127" t="s">
        <v>1344</v>
      </c>
    </row>
    <row r="1220" spans="1:9" x14ac:dyDescent="0.2">
      <c r="A1220" s="127" t="s">
        <v>2932</v>
      </c>
      <c r="B1220" s="127" t="s">
        <v>2933</v>
      </c>
      <c r="C1220" s="127" t="s">
        <v>46</v>
      </c>
      <c r="D1220" s="127"/>
      <c r="E1220" s="127"/>
      <c r="F1220" s="128"/>
      <c r="G1220" s="128"/>
      <c r="H1220" s="128"/>
      <c r="I1220" s="127" t="s">
        <v>1344</v>
      </c>
    </row>
    <row r="1221" spans="1:9" x14ac:dyDescent="0.2">
      <c r="A1221" s="127" t="s">
        <v>2934</v>
      </c>
      <c r="B1221" s="127" t="s">
        <v>2935</v>
      </c>
      <c r="C1221" s="127" t="s">
        <v>46</v>
      </c>
      <c r="D1221" s="127"/>
      <c r="E1221" s="127"/>
      <c r="F1221" s="128"/>
      <c r="G1221" s="128"/>
      <c r="H1221" s="128"/>
      <c r="I1221" s="127" t="s">
        <v>1344</v>
      </c>
    </row>
    <row r="1222" spans="1:9" x14ac:dyDescent="0.2">
      <c r="A1222" s="127" t="s">
        <v>2936</v>
      </c>
      <c r="B1222" s="127" t="s">
        <v>2937</v>
      </c>
      <c r="C1222" s="127" t="s">
        <v>17</v>
      </c>
      <c r="D1222" s="127"/>
      <c r="E1222" s="127"/>
      <c r="F1222" s="128"/>
      <c r="G1222" s="128"/>
      <c r="H1222" s="128"/>
      <c r="I1222" s="127" t="s">
        <v>1344</v>
      </c>
    </row>
    <row r="1223" spans="1:9" x14ac:dyDescent="0.2">
      <c r="A1223" s="127" t="s">
        <v>2938</v>
      </c>
      <c r="B1223" s="127" t="s">
        <v>2939</v>
      </c>
      <c r="C1223" s="127" t="s">
        <v>17</v>
      </c>
      <c r="D1223" s="127"/>
      <c r="E1223" s="127"/>
      <c r="F1223" s="128"/>
      <c r="G1223" s="128"/>
      <c r="H1223" s="128"/>
      <c r="I1223" s="127" t="s">
        <v>1344</v>
      </c>
    </row>
    <row r="1224" spans="1:9" x14ac:dyDescent="0.2">
      <c r="A1224" s="127" t="s">
        <v>2940</v>
      </c>
      <c r="B1224" s="127" t="s">
        <v>2941</v>
      </c>
      <c r="C1224" s="127" t="s">
        <v>17</v>
      </c>
      <c r="D1224" s="127"/>
      <c r="E1224" s="127"/>
      <c r="F1224" s="128"/>
      <c r="G1224" s="128"/>
      <c r="H1224" s="128"/>
      <c r="I1224" s="127" t="s">
        <v>1344</v>
      </c>
    </row>
    <row r="1225" spans="1:9" x14ac:dyDescent="0.2">
      <c r="A1225" s="127" t="s">
        <v>2942</v>
      </c>
      <c r="B1225" s="127" t="s">
        <v>2943</v>
      </c>
      <c r="C1225" s="127" t="s">
        <v>22</v>
      </c>
      <c r="D1225" s="127"/>
      <c r="E1225" s="127"/>
      <c r="F1225" s="128"/>
      <c r="G1225" s="128"/>
      <c r="H1225" s="128"/>
      <c r="I1225" s="127" t="s">
        <v>1344</v>
      </c>
    </row>
    <row r="1226" spans="1:9" x14ac:dyDescent="0.2">
      <c r="A1226" s="127" t="s">
        <v>2944</v>
      </c>
      <c r="B1226" s="127" t="s">
        <v>2945</v>
      </c>
      <c r="C1226" s="127" t="s">
        <v>46</v>
      </c>
      <c r="D1226" s="127"/>
      <c r="E1226" s="127"/>
      <c r="F1226" s="128"/>
      <c r="G1226" s="128"/>
      <c r="H1226" s="128"/>
      <c r="I1226" s="127" t="s">
        <v>1344</v>
      </c>
    </row>
    <row r="1227" spans="1:9" x14ac:dyDescent="0.2">
      <c r="A1227" s="127" t="s">
        <v>2946</v>
      </c>
      <c r="B1227" s="127" t="s">
        <v>2947</v>
      </c>
      <c r="C1227" s="127" t="s">
        <v>22</v>
      </c>
      <c r="D1227" s="127"/>
      <c r="E1227" s="127"/>
      <c r="F1227" s="128"/>
      <c r="G1227" s="128"/>
      <c r="H1227" s="128"/>
      <c r="I1227" s="127" t="s">
        <v>1344</v>
      </c>
    </row>
    <row r="1228" spans="1:9" x14ac:dyDescent="0.2">
      <c r="A1228" s="127" t="s">
        <v>2948</v>
      </c>
      <c r="B1228" s="127" t="s">
        <v>2949</v>
      </c>
      <c r="C1228" s="127" t="s">
        <v>22</v>
      </c>
      <c r="D1228" s="127"/>
      <c r="E1228" s="127"/>
      <c r="F1228" s="128"/>
      <c r="G1228" s="128"/>
      <c r="H1228" s="128"/>
      <c r="I1228" s="127" t="s">
        <v>1344</v>
      </c>
    </row>
    <row r="1229" spans="1:9" x14ac:dyDescent="0.2">
      <c r="A1229" s="127" t="s">
        <v>2950</v>
      </c>
      <c r="B1229" s="127" t="s">
        <v>2951</v>
      </c>
      <c r="C1229" s="127" t="s">
        <v>17</v>
      </c>
      <c r="D1229" s="127"/>
      <c r="E1229" s="127"/>
      <c r="F1229" s="128"/>
      <c r="G1229" s="128"/>
      <c r="H1229" s="128"/>
      <c r="I1229" s="127" t="s">
        <v>1344</v>
      </c>
    </row>
    <row r="1230" spans="1:9" x14ac:dyDescent="0.2">
      <c r="A1230" s="127" t="s">
        <v>2952</v>
      </c>
      <c r="B1230" s="127" t="s">
        <v>2953</v>
      </c>
      <c r="C1230" s="127" t="s">
        <v>22</v>
      </c>
      <c r="D1230" s="127"/>
      <c r="E1230" s="127"/>
      <c r="F1230" s="128"/>
      <c r="G1230" s="128"/>
      <c r="H1230" s="128"/>
      <c r="I1230" s="127" t="s">
        <v>1344</v>
      </c>
    </row>
    <row r="1231" spans="1:9" x14ac:dyDescent="0.2">
      <c r="A1231" s="127" t="s">
        <v>2954</v>
      </c>
      <c r="B1231" s="127" t="s">
        <v>2955</v>
      </c>
      <c r="C1231" s="127" t="s">
        <v>46</v>
      </c>
      <c r="D1231" s="127"/>
      <c r="E1231" s="127"/>
      <c r="F1231" s="128"/>
      <c r="G1231" s="128"/>
      <c r="H1231" s="128"/>
      <c r="I1231" s="127" t="s">
        <v>1344</v>
      </c>
    </row>
    <row r="1232" spans="1:9" x14ac:dyDescent="0.2">
      <c r="A1232" s="127" t="s">
        <v>2956</v>
      </c>
      <c r="B1232" s="127" t="s">
        <v>2957</v>
      </c>
      <c r="C1232" s="127" t="s">
        <v>17</v>
      </c>
      <c r="D1232" s="127"/>
      <c r="E1232" s="127"/>
      <c r="F1232" s="128"/>
      <c r="G1232" s="128"/>
      <c r="H1232" s="128"/>
      <c r="I1232" s="127" t="s">
        <v>1344</v>
      </c>
    </row>
    <row r="1233" spans="1:9" x14ac:dyDescent="0.2">
      <c r="A1233" s="127" t="s">
        <v>2958</v>
      </c>
      <c r="B1233" s="127" t="s">
        <v>2959</v>
      </c>
      <c r="C1233" s="127" t="s">
        <v>17</v>
      </c>
      <c r="D1233" s="127"/>
      <c r="E1233" s="127"/>
      <c r="F1233" s="128"/>
      <c r="G1233" s="128"/>
      <c r="H1233" s="128"/>
      <c r="I1233" s="127" t="s">
        <v>1344</v>
      </c>
    </row>
    <row r="1234" spans="1:9" x14ac:dyDescent="0.2">
      <c r="A1234" s="127" t="s">
        <v>2960</v>
      </c>
      <c r="B1234" s="127" t="s">
        <v>2961</v>
      </c>
      <c r="C1234" s="127" t="s">
        <v>46</v>
      </c>
      <c r="D1234" s="127"/>
      <c r="E1234" s="127"/>
      <c r="F1234" s="128"/>
      <c r="G1234" s="128"/>
      <c r="H1234" s="128"/>
      <c r="I1234" s="127" t="s">
        <v>1344</v>
      </c>
    </row>
    <row r="1235" spans="1:9" x14ac:dyDescent="0.2">
      <c r="A1235" s="127" t="s">
        <v>2962</v>
      </c>
      <c r="B1235" s="127" t="s">
        <v>2963</v>
      </c>
      <c r="C1235" s="127" t="s">
        <v>46</v>
      </c>
      <c r="D1235" s="127"/>
      <c r="E1235" s="127"/>
      <c r="F1235" s="128"/>
      <c r="G1235" s="128"/>
      <c r="H1235" s="128"/>
      <c r="I1235" s="127" t="s">
        <v>1344</v>
      </c>
    </row>
    <row r="1236" spans="1:9" x14ac:dyDescent="0.2">
      <c r="A1236" s="127" t="s">
        <v>2964</v>
      </c>
      <c r="B1236" s="127" t="s">
        <v>2965</v>
      </c>
      <c r="C1236" s="127" t="s">
        <v>17</v>
      </c>
      <c r="D1236" s="127"/>
      <c r="E1236" s="127"/>
      <c r="F1236" s="128"/>
      <c r="G1236" s="128"/>
      <c r="H1236" s="128"/>
      <c r="I1236" s="127" t="s">
        <v>1344</v>
      </c>
    </row>
    <row r="1237" spans="1:9" x14ac:dyDescent="0.2">
      <c r="A1237" s="127" t="s">
        <v>2966</v>
      </c>
      <c r="B1237" s="127" t="s">
        <v>2967</v>
      </c>
      <c r="C1237" s="127" t="s">
        <v>46</v>
      </c>
      <c r="D1237" s="127"/>
      <c r="E1237" s="127"/>
      <c r="F1237" s="128"/>
      <c r="G1237" s="128"/>
      <c r="H1237" s="128"/>
      <c r="I1237" s="127" t="s">
        <v>1344</v>
      </c>
    </row>
    <row r="1238" spans="1:9" x14ac:dyDescent="0.2">
      <c r="A1238" s="127" t="s">
        <v>1204</v>
      </c>
      <c r="B1238" s="127" t="s">
        <v>2968</v>
      </c>
      <c r="C1238" s="127" t="s">
        <v>22</v>
      </c>
      <c r="D1238" s="127"/>
      <c r="E1238" s="127"/>
      <c r="F1238" s="128"/>
      <c r="G1238" s="128"/>
      <c r="H1238" s="128"/>
      <c r="I1238" s="127" t="s">
        <v>1344</v>
      </c>
    </row>
    <row r="1239" spans="1:9" x14ac:dyDescent="0.2">
      <c r="A1239" s="127" t="s">
        <v>1399</v>
      </c>
      <c r="B1239" s="127" t="s">
        <v>2969</v>
      </c>
      <c r="C1239" s="127" t="s">
        <v>46</v>
      </c>
      <c r="D1239" s="127"/>
      <c r="E1239" s="127"/>
      <c r="F1239" s="128"/>
      <c r="G1239" s="128"/>
      <c r="H1239" s="128"/>
      <c r="I1239" s="127" t="s">
        <v>1344</v>
      </c>
    </row>
    <row r="1240" spans="1:9" x14ac:dyDescent="0.2">
      <c r="A1240" s="127" t="s">
        <v>2970</v>
      </c>
      <c r="B1240" s="127" t="s">
        <v>2971</v>
      </c>
      <c r="C1240" s="127" t="s">
        <v>46</v>
      </c>
      <c r="D1240" s="127"/>
      <c r="E1240" s="127"/>
      <c r="F1240" s="128"/>
      <c r="G1240" s="128"/>
      <c r="H1240" s="128"/>
      <c r="I1240" s="127" t="s">
        <v>1344</v>
      </c>
    </row>
    <row r="1241" spans="1:9" x14ac:dyDescent="0.2">
      <c r="A1241" s="127" t="s">
        <v>2972</v>
      </c>
      <c r="B1241" s="127" t="s">
        <v>2973</v>
      </c>
      <c r="C1241" s="127" t="s">
        <v>46</v>
      </c>
      <c r="D1241" s="127"/>
      <c r="E1241" s="127"/>
      <c r="F1241" s="128"/>
      <c r="G1241" s="128"/>
      <c r="H1241" s="128"/>
      <c r="I1241" s="127" t="s">
        <v>1344</v>
      </c>
    </row>
    <row r="1242" spans="1:9" x14ac:dyDescent="0.2">
      <c r="A1242" s="127" t="s">
        <v>2974</v>
      </c>
      <c r="B1242" s="127" t="s">
        <v>2975</v>
      </c>
      <c r="C1242" s="127" t="s">
        <v>46</v>
      </c>
      <c r="D1242" s="127"/>
      <c r="E1242" s="127"/>
      <c r="F1242" s="128"/>
      <c r="G1242" s="128"/>
      <c r="H1242" s="128"/>
      <c r="I1242" s="127" t="s">
        <v>1344</v>
      </c>
    </row>
    <row r="1243" spans="1:9" x14ac:dyDescent="0.2">
      <c r="A1243" s="127" t="s">
        <v>2976</v>
      </c>
      <c r="B1243" s="127" t="s">
        <v>2977</v>
      </c>
      <c r="C1243" s="127" t="s">
        <v>46</v>
      </c>
      <c r="D1243" s="127"/>
      <c r="E1243" s="127"/>
      <c r="F1243" s="128"/>
      <c r="G1243" s="128"/>
      <c r="H1243" s="128"/>
      <c r="I1243" s="127" t="s">
        <v>1344</v>
      </c>
    </row>
    <row r="1244" spans="1:9" x14ac:dyDescent="0.2">
      <c r="A1244" s="127" t="s">
        <v>2978</v>
      </c>
      <c r="B1244" s="127" t="s">
        <v>2979</v>
      </c>
      <c r="C1244" s="127" t="s">
        <v>22</v>
      </c>
      <c r="D1244" s="127"/>
      <c r="E1244" s="127"/>
      <c r="F1244" s="128"/>
      <c r="G1244" s="128"/>
      <c r="H1244" s="128"/>
      <c r="I1244" s="127" t="s">
        <v>1344</v>
      </c>
    </row>
    <row r="1245" spans="1:9" x14ac:dyDescent="0.2">
      <c r="A1245" s="127" t="s">
        <v>948</v>
      </c>
      <c r="B1245" s="127" t="s">
        <v>949</v>
      </c>
      <c r="C1245" s="127" t="s">
        <v>46</v>
      </c>
      <c r="D1245" s="127"/>
      <c r="E1245" s="127"/>
      <c r="F1245" s="128"/>
      <c r="G1245" s="128"/>
      <c r="H1245" s="128"/>
      <c r="I1245" s="127" t="s">
        <v>1344</v>
      </c>
    </row>
    <row r="1246" spans="1:9" x14ac:dyDescent="0.2">
      <c r="A1246" s="127"/>
      <c r="B1246" s="127" t="s">
        <v>2980</v>
      </c>
      <c r="C1246" s="127" t="s">
        <v>22</v>
      </c>
      <c r="D1246" s="127"/>
      <c r="E1246" s="127"/>
      <c r="F1246" s="128"/>
      <c r="G1246" s="128"/>
      <c r="H1246" s="128"/>
      <c r="I1246" s="127" t="s">
        <v>1344</v>
      </c>
    </row>
    <row r="1247" spans="1:9" x14ac:dyDescent="0.2">
      <c r="A1247" s="127" t="s">
        <v>1853</v>
      </c>
      <c r="B1247" s="127" t="s">
        <v>2981</v>
      </c>
      <c r="C1247" s="127" t="s">
        <v>46</v>
      </c>
      <c r="D1247" s="127"/>
      <c r="E1247" s="127"/>
      <c r="F1247" s="128"/>
      <c r="G1247" s="128"/>
      <c r="H1247" s="128"/>
      <c r="I1247" s="127" t="s">
        <v>1344</v>
      </c>
    </row>
    <row r="1248" spans="1:9" x14ac:dyDescent="0.2">
      <c r="A1248" s="127"/>
      <c r="B1248" s="127" t="s">
        <v>2982</v>
      </c>
      <c r="C1248" s="127" t="s">
        <v>17</v>
      </c>
      <c r="D1248" s="127"/>
      <c r="E1248" s="127"/>
      <c r="F1248" s="128"/>
      <c r="G1248" s="128"/>
      <c r="H1248" s="128"/>
      <c r="I1248" s="127" t="s">
        <v>1344</v>
      </c>
    </row>
    <row r="1249" spans="1:9" x14ac:dyDescent="0.2">
      <c r="A1249" s="127" t="s">
        <v>1460</v>
      </c>
      <c r="B1249" s="127" t="s">
        <v>2983</v>
      </c>
      <c r="C1249" s="127" t="s">
        <v>46</v>
      </c>
      <c r="D1249" s="127"/>
      <c r="E1249" s="127"/>
      <c r="F1249" s="128"/>
      <c r="G1249" s="128"/>
      <c r="H1249" s="128"/>
      <c r="I1249" s="127" t="s">
        <v>1344</v>
      </c>
    </row>
    <row r="1250" spans="1:9" x14ac:dyDescent="0.2">
      <c r="A1250" s="127" t="s">
        <v>2984</v>
      </c>
      <c r="B1250" s="127" t="s">
        <v>2985</v>
      </c>
      <c r="C1250" s="127" t="s">
        <v>22</v>
      </c>
      <c r="D1250" s="127"/>
      <c r="E1250" s="127"/>
      <c r="F1250" s="128"/>
      <c r="G1250" s="128"/>
      <c r="H1250" s="128"/>
      <c r="I1250" s="127" t="s">
        <v>1344</v>
      </c>
    </row>
    <row r="1251" spans="1:9" x14ac:dyDescent="0.2">
      <c r="A1251" s="127" t="s">
        <v>2986</v>
      </c>
      <c r="B1251" s="127" t="s">
        <v>2987</v>
      </c>
      <c r="C1251" s="127" t="s">
        <v>17</v>
      </c>
      <c r="D1251" s="127"/>
      <c r="E1251" s="127"/>
      <c r="F1251" s="128"/>
      <c r="G1251" s="128"/>
      <c r="H1251" s="128"/>
      <c r="I1251" s="127" t="s">
        <v>1344</v>
      </c>
    </row>
    <row r="1252" spans="1:9" x14ac:dyDescent="0.2">
      <c r="A1252" s="127" t="s">
        <v>2988</v>
      </c>
      <c r="B1252" s="127" t="s">
        <v>2989</v>
      </c>
      <c r="C1252" s="127" t="s">
        <v>46</v>
      </c>
      <c r="D1252" s="127"/>
      <c r="E1252" s="127"/>
      <c r="F1252" s="128"/>
      <c r="G1252" s="128"/>
      <c r="H1252" s="128"/>
      <c r="I1252" s="127" t="s">
        <v>1344</v>
      </c>
    </row>
    <row r="1253" spans="1:9" x14ac:dyDescent="0.2">
      <c r="A1253" s="127" t="s">
        <v>2990</v>
      </c>
      <c r="B1253" s="127" t="s">
        <v>2991</v>
      </c>
      <c r="C1253" s="127" t="s">
        <v>46</v>
      </c>
      <c r="D1253" s="127"/>
      <c r="E1253" s="127"/>
      <c r="F1253" s="128"/>
      <c r="G1253" s="128"/>
      <c r="H1253" s="128"/>
      <c r="I1253" s="127" t="s">
        <v>1344</v>
      </c>
    </row>
    <row r="1254" spans="1:9" x14ac:dyDescent="0.2">
      <c r="A1254" s="127" t="s">
        <v>1154</v>
      </c>
      <c r="B1254" s="127" t="s">
        <v>2992</v>
      </c>
      <c r="C1254" s="127" t="s">
        <v>46</v>
      </c>
      <c r="D1254" s="127"/>
      <c r="E1254" s="127"/>
      <c r="F1254" s="128"/>
      <c r="G1254" s="128"/>
      <c r="H1254" s="128"/>
      <c r="I1254" s="127" t="s">
        <v>1344</v>
      </c>
    </row>
    <row r="1255" spans="1:9" x14ac:dyDescent="0.2">
      <c r="A1255" s="127" t="s">
        <v>2993</v>
      </c>
      <c r="B1255" s="127" t="s">
        <v>2994</v>
      </c>
      <c r="C1255" s="127" t="s">
        <v>46</v>
      </c>
      <c r="D1255" s="127"/>
      <c r="E1255" s="127"/>
      <c r="F1255" s="128"/>
      <c r="G1255" s="128"/>
      <c r="H1255" s="128"/>
      <c r="I1255" s="127" t="s">
        <v>1344</v>
      </c>
    </row>
    <row r="1256" spans="1:9" x14ac:dyDescent="0.2">
      <c r="A1256" s="127" t="s">
        <v>2995</v>
      </c>
      <c r="B1256" s="127" t="s">
        <v>2996</v>
      </c>
      <c r="C1256" s="127" t="s">
        <v>46</v>
      </c>
      <c r="D1256" s="127"/>
      <c r="E1256" s="127"/>
      <c r="F1256" s="128"/>
      <c r="G1256" s="128"/>
      <c r="H1256" s="128"/>
      <c r="I1256" s="127" t="s">
        <v>1344</v>
      </c>
    </row>
    <row r="1257" spans="1:9" x14ac:dyDescent="0.2">
      <c r="A1257" s="127" t="s">
        <v>2997</v>
      </c>
      <c r="B1257" s="127" t="s">
        <v>2998</v>
      </c>
      <c r="C1257" s="127" t="s">
        <v>17</v>
      </c>
      <c r="D1257" s="127"/>
      <c r="E1257" s="127"/>
      <c r="F1257" s="128"/>
      <c r="G1257" s="128"/>
      <c r="H1257" s="128"/>
      <c r="I1257" s="127" t="s">
        <v>1344</v>
      </c>
    </row>
    <row r="1258" spans="1:9" x14ac:dyDescent="0.2">
      <c r="A1258" s="127" t="s">
        <v>2999</v>
      </c>
      <c r="B1258" s="127" t="s">
        <v>3000</v>
      </c>
      <c r="C1258" s="127" t="s">
        <v>46</v>
      </c>
      <c r="D1258" s="127"/>
      <c r="E1258" s="127"/>
      <c r="F1258" s="128"/>
      <c r="G1258" s="128"/>
      <c r="H1258" s="128"/>
      <c r="I1258" s="127" t="s">
        <v>1344</v>
      </c>
    </row>
    <row r="1259" spans="1:9" x14ac:dyDescent="0.2">
      <c r="A1259" s="127" t="s">
        <v>3001</v>
      </c>
      <c r="B1259" s="127" t="s">
        <v>3002</v>
      </c>
      <c r="C1259" s="127" t="s">
        <v>46</v>
      </c>
      <c r="D1259" s="127"/>
      <c r="E1259" s="127"/>
      <c r="F1259" s="128"/>
      <c r="G1259" s="128"/>
      <c r="H1259" s="128"/>
      <c r="I1259" s="127" t="s">
        <v>1344</v>
      </c>
    </row>
    <row r="1260" spans="1:9" x14ac:dyDescent="0.2">
      <c r="A1260" s="127" t="s">
        <v>3003</v>
      </c>
      <c r="B1260" s="127" t="s">
        <v>3004</v>
      </c>
      <c r="C1260" s="127" t="s">
        <v>17</v>
      </c>
      <c r="D1260" s="127"/>
      <c r="E1260" s="127"/>
      <c r="F1260" s="128"/>
      <c r="G1260" s="128"/>
      <c r="H1260" s="128"/>
      <c r="I1260" s="127" t="s">
        <v>1344</v>
      </c>
    </row>
    <row r="1261" spans="1:9" x14ac:dyDescent="0.2">
      <c r="A1261" s="127" t="s">
        <v>3005</v>
      </c>
      <c r="B1261" s="127" t="s">
        <v>3006</v>
      </c>
      <c r="C1261" s="127" t="s">
        <v>46</v>
      </c>
      <c r="D1261" s="127"/>
      <c r="E1261" s="127"/>
      <c r="F1261" s="128"/>
      <c r="G1261" s="128"/>
      <c r="H1261" s="128"/>
      <c r="I1261" s="127" t="s">
        <v>1344</v>
      </c>
    </row>
    <row r="1262" spans="1:9" x14ac:dyDescent="0.2">
      <c r="A1262" s="127" t="s">
        <v>3007</v>
      </c>
      <c r="B1262" s="127" t="s">
        <v>3008</v>
      </c>
      <c r="C1262" s="127" t="s">
        <v>17</v>
      </c>
      <c r="D1262" s="127"/>
      <c r="E1262" s="127"/>
      <c r="F1262" s="128"/>
      <c r="G1262" s="128"/>
      <c r="H1262" s="128"/>
      <c r="I1262" s="127" t="s">
        <v>1344</v>
      </c>
    </row>
    <row r="1263" spans="1:9" x14ac:dyDescent="0.2">
      <c r="A1263" s="127" t="s">
        <v>3009</v>
      </c>
      <c r="B1263" s="127" t="s">
        <v>3010</v>
      </c>
      <c r="C1263" s="127" t="s">
        <v>46</v>
      </c>
      <c r="D1263" s="127"/>
      <c r="E1263" s="127"/>
      <c r="F1263" s="128"/>
      <c r="G1263" s="128"/>
      <c r="H1263" s="128"/>
      <c r="I1263" s="127" t="s">
        <v>1344</v>
      </c>
    </row>
    <row r="1264" spans="1:9" x14ac:dyDescent="0.2">
      <c r="A1264" s="127" t="s">
        <v>3011</v>
      </c>
      <c r="B1264" s="127" t="s">
        <v>3012</v>
      </c>
      <c r="C1264" s="127" t="s">
        <v>46</v>
      </c>
      <c r="D1264" s="127"/>
      <c r="E1264" s="127"/>
      <c r="F1264" s="128"/>
      <c r="G1264" s="128"/>
      <c r="H1264" s="128"/>
      <c r="I1264" s="127" t="s">
        <v>1344</v>
      </c>
    </row>
    <row r="1265" spans="1:9" x14ac:dyDescent="0.2">
      <c r="A1265" s="127" t="s">
        <v>3013</v>
      </c>
      <c r="B1265" s="127" t="s">
        <v>3014</v>
      </c>
      <c r="C1265" s="127" t="s">
        <v>46</v>
      </c>
      <c r="D1265" s="127"/>
      <c r="E1265" s="127"/>
      <c r="F1265" s="128"/>
      <c r="G1265" s="128"/>
      <c r="H1265" s="128"/>
      <c r="I1265" s="127" t="s">
        <v>1344</v>
      </c>
    </row>
    <row r="1266" spans="1:9" x14ac:dyDescent="0.2">
      <c r="A1266" s="127" t="s">
        <v>3015</v>
      </c>
      <c r="B1266" s="127" t="s">
        <v>3016</v>
      </c>
      <c r="C1266" s="127" t="s">
        <v>22</v>
      </c>
      <c r="D1266" s="127"/>
      <c r="E1266" s="127"/>
      <c r="F1266" s="128"/>
      <c r="G1266" s="128"/>
      <c r="H1266" s="128"/>
      <c r="I1266" s="127" t="s">
        <v>1344</v>
      </c>
    </row>
    <row r="1267" spans="1:9" x14ac:dyDescent="0.2">
      <c r="A1267" s="127" t="s">
        <v>3017</v>
      </c>
      <c r="B1267" s="127" t="s">
        <v>3018</v>
      </c>
      <c r="C1267" s="127" t="s">
        <v>46</v>
      </c>
      <c r="D1267" s="127"/>
      <c r="E1267" s="127"/>
      <c r="F1267" s="128"/>
      <c r="G1267" s="128"/>
      <c r="H1267" s="128"/>
      <c r="I1267" s="127" t="s">
        <v>1344</v>
      </c>
    </row>
    <row r="1268" spans="1:9" x14ac:dyDescent="0.2">
      <c r="A1268" s="127" t="s">
        <v>3019</v>
      </c>
      <c r="B1268" s="127" t="s">
        <v>3020</v>
      </c>
      <c r="C1268" s="127" t="s">
        <v>17</v>
      </c>
      <c r="D1268" s="127"/>
      <c r="E1268" s="127"/>
      <c r="F1268" s="128"/>
      <c r="G1268" s="128"/>
      <c r="H1268" s="128"/>
      <c r="I1268" s="127" t="s">
        <v>1344</v>
      </c>
    </row>
    <row r="1269" spans="1:9" x14ac:dyDescent="0.2">
      <c r="A1269" s="127" t="s">
        <v>3021</v>
      </c>
      <c r="B1269" s="127" t="s">
        <v>3022</v>
      </c>
      <c r="C1269" s="127" t="s">
        <v>46</v>
      </c>
      <c r="D1269" s="127"/>
      <c r="E1269" s="127"/>
      <c r="F1269" s="128"/>
      <c r="G1269" s="128"/>
      <c r="H1269" s="128"/>
      <c r="I1269" s="127" t="s">
        <v>1344</v>
      </c>
    </row>
    <row r="1270" spans="1:9" x14ac:dyDescent="0.2">
      <c r="A1270" s="127" t="s">
        <v>3023</v>
      </c>
      <c r="B1270" s="127" t="s">
        <v>3024</v>
      </c>
      <c r="C1270" s="127" t="s">
        <v>46</v>
      </c>
      <c r="D1270" s="127"/>
      <c r="E1270" s="127"/>
      <c r="F1270" s="128"/>
      <c r="G1270" s="128"/>
      <c r="H1270" s="128"/>
      <c r="I1270" s="127" t="s">
        <v>1344</v>
      </c>
    </row>
    <row r="1271" spans="1:9" x14ac:dyDescent="0.2">
      <c r="A1271" s="127" t="s">
        <v>1862</v>
      </c>
      <c r="B1271" s="127" t="s">
        <v>3025</v>
      </c>
      <c r="C1271" s="127" t="s">
        <v>22</v>
      </c>
      <c r="D1271" s="127"/>
      <c r="E1271" s="127"/>
      <c r="F1271" s="128"/>
      <c r="G1271" s="128"/>
      <c r="H1271" s="128"/>
      <c r="I1271" s="127" t="s">
        <v>1344</v>
      </c>
    </row>
    <row r="1272" spans="1:9" x14ac:dyDescent="0.2">
      <c r="A1272" s="127" t="s">
        <v>3026</v>
      </c>
      <c r="B1272" s="127" t="s">
        <v>3027</v>
      </c>
      <c r="C1272" s="127" t="s">
        <v>17</v>
      </c>
      <c r="D1272" s="127"/>
      <c r="E1272" s="127"/>
      <c r="F1272" s="128"/>
      <c r="G1272" s="128"/>
      <c r="H1272" s="128"/>
      <c r="I1272" s="127" t="s">
        <v>1344</v>
      </c>
    </row>
    <row r="1273" spans="1:9" x14ac:dyDescent="0.2">
      <c r="A1273" s="127" t="s">
        <v>3028</v>
      </c>
      <c r="B1273" s="127" t="s">
        <v>3029</v>
      </c>
      <c r="C1273" s="127" t="s">
        <v>17</v>
      </c>
      <c r="D1273" s="127"/>
      <c r="E1273" s="127"/>
      <c r="F1273" s="128"/>
      <c r="G1273" s="128"/>
      <c r="H1273" s="128"/>
      <c r="I1273" s="127" t="s">
        <v>1344</v>
      </c>
    </row>
    <row r="1274" spans="1:9" x14ac:dyDescent="0.2">
      <c r="A1274" s="127" t="s">
        <v>3030</v>
      </c>
      <c r="B1274" s="127" t="s">
        <v>3031</v>
      </c>
      <c r="C1274" s="127" t="s">
        <v>22</v>
      </c>
      <c r="D1274" s="127"/>
      <c r="E1274" s="127"/>
      <c r="F1274" s="128"/>
      <c r="G1274" s="128"/>
      <c r="H1274" s="128"/>
      <c r="I1274" s="127" t="s">
        <v>1344</v>
      </c>
    </row>
    <row r="1275" spans="1:9" x14ac:dyDescent="0.2">
      <c r="A1275" s="127" t="s">
        <v>3032</v>
      </c>
      <c r="B1275" s="127" t="s">
        <v>3033</v>
      </c>
      <c r="C1275" s="127" t="s">
        <v>17</v>
      </c>
      <c r="D1275" s="127"/>
      <c r="E1275" s="127"/>
      <c r="F1275" s="128"/>
      <c r="G1275" s="128"/>
      <c r="H1275" s="128"/>
      <c r="I1275" s="127" t="s">
        <v>1344</v>
      </c>
    </row>
    <row r="1276" spans="1:9" x14ac:dyDescent="0.2">
      <c r="A1276" s="127" t="s">
        <v>3034</v>
      </c>
      <c r="B1276" s="127" t="s">
        <v>3035</v>
      </c>
      <c r="C1276" s="127" t="s">
        <v>46</v>
      </c>
      <c r="D1276" s="127"/>
      <c r="E1276" s="127"/>
      <c r="F1276" s="128"/>
      <c r="G1276" s="128"/>
      <c r="H1276" s="128"/>
      <c r="I1276" s="127" t="s">
        <v>1344</v>
      </c>
    </row>
    <row r="1277" spans="1:9" x14ac:dyDescent="0.2">
      <c r="A1277" s="127" t="s">
        <v>3036</v>
      </c>
      <c r="B1277" s="127" t="s">
        <v>3037</v>
      </c>
      <c r="C1277" s="127" t="s">
        <v>22</v>
      </c>
      <c r="D1277" s="127"/>
      <c r="E1277" s="127"/>
      <c r="F1277" s="128"/>
      <c r="G1277" s="128"/>
      <c r="H1277" s="128"/>
      <c r="I1277" s="127" t="s">
        <v>1344</v>
      </c>
    </row>
    <row r="1278" spans="1:9" x14ac:dyDescent="0.2">
      <c r="A1278" s="127" t="s">
        <v>3038</v>
      </c>
      <c r="B1278" s="127" t="s">
        <v>3039</v>
      </c>
      <c r="C1278" s="127" t="s">
        <v>46</v>
      </c>
      <c r="D1278" s="127"/>
      <c r="E1278" s="127"/>
      <c r="F1278" s="128"/>
      <c r="G1278" s="128"/>
      <c r="H1278" s="128"/>
      <c r="I1278" s="127" t="s">
        <v>1344</v>
      </c>
    </row>
    <row r="1279" spans="1:9" x14ac:dyDescent="0.2">
      <c r="A1279" s="127"/>
      <c r="B1279" s="127" t="s">
        <v>3040</v>
      </c>
      <c r="C1279" s="127" t="s">
        <v>46</v>
      </c>
      <c r="D1279" s="127"/>
      <c r="E1279" s="127"/>
      <c r="F1279" s="128"/>
      <c r="G1279" s="128"/>
      <c r="H1279" s="128"/>
      <c r="I1279" s="127" t="s">
        <v>1344</v>
      </c>
    </row>
    <row r="1280" spans="1:9" x14ac:dyDescent="0.2">
      <c r="A1280" s="127" t="s">
        <v>3041</v>
      </c>
      <c r="B1280" s="127" t="s">
        <v>3042</v>
      </c>
      <c r="C1280" s="127" t="s">
        <v>46</v>
      </c>
      <c r="D1280" s="127"/>
      <c r="E1280" s="127"/>
      <c r="F1280" s="128"/>
      <c r="G1280" s="128"/>
      <c r="H1280" s="128"/>
      <c r="I1280" s="127" t="s">
        <v>1344</v>
      </c>
    </row>
    <row r="1281" spans="1:9" x14ac:dyDescent="0.2">
      <c r="A1281" s="127" t="s">
        <v>3043</v>
      </c>
      <c r="B1281" s="127" t="s">
        <v>3044</v>
      </c>
      <c r="C1281" s="127" t="s">
        <v>17</v>
      </c>
      <c r="D1281" s="127"/>
      <c r="E1281" s="127"/>
      <c r="F1281" s="128"/>
      <c r="G1281" s="128"/>
      <c r="H1281" s="128"/>
      <c r="I1281" s="127" t="s">
        <v>1344</v>
      </c>
    </row>
    <row r="1282" spans="1:9" x14ac:dyDescent="0.2">
      <c r="A1282" s="127" t="s">
        <v>1748</v>
      </c>
      <c r="B1282" s="127" t="s">
        <v>3045</v>
      </c>
      <c r="C1282" s="127" t="s">
        <v>22</v>
      </c>
      <c r="D1282" s="127"/>
      <c r="E1282" s="127"/>
      <c r="F1282" s="128"/>
      <c r="G1282" s="128"/>
      <c r="H1282" s="128"/>
      <c r="I1282" s="127" t="s">
        <v>1344</v>
      </c>
    </row>
    <row r="1283" spans="1:9" x14ac:dyDescent="0.2">
      <c r="A1283" s="127" t="s">
        <v>3046</v>
      </c>
      <c r="B1283" s="127" t="s">
        <v>3047</v>
      </c>
      <c r="C1283" s="127" t="s">
        <v>17</v>
      </c>
      <c r="D1283" s="127"/>
      <c r="E1283" s="127"/>
      <c r="F1283" s="128"/>
      <c r="G1283" s="128"/>
      <c r="H1283" s="128"/>
      <c r="I1283" s="127" t="s">
        <v>1344</v>
      </c>
    </row>
    <row r="1284" spans="1:9" x14ac:dyDescent="0.2">
      <c r="A1284" s="127"/>
      <c r="B1284" s="127" t="s">
        <v>3048</v>
      </c>
      <c r="C1284" s="127" t="s">
        <v>17</v>
      </c>
      <c r="D1284" s="127"/>
      <c r="E1284" s="127"/>
      <c r="F1284" s="128"/>
      <c r="G1284" s="128"/>
      <c r="H1284" s="128"/>
      <c r="I1284" s="127" t="s">
        <v>1344</v>
      </c>
    </row>
    <row r="1285" spans="1:9" x14ac:dyDescent="0.2">
      <c r="A1285" s="127" t="s">
        <v>3049</v>
      </c>
      <c r="B1285" s="127" t="s">
        <v>3050</v>
      </c>
      <c r="C1285" s="127" t="s">
        <v>17</v>
      </c>
      <c r="D1285" s="127"/>
      <c r="E1285" s="127"/>
      <c r="F1285" s="128"/>
      <c r="G1285" s="128"/>
      <c r="H1285" s="128"/>
      <c r="I1285" s="127" t="s">
        <v>1344</v>
      </c>
    </row>
    <row r="1286" spans="1:9" x14ac:dyDescent="0.2">
      <c r="A1286" s="127" t="s">
        <v>3051</v>
      </c>
      <c r="B1286" s="127" t="s">
        <v>3052</v>
      </c>
      <c r="C1286" s="127" t="s">
        <v>46</v>
      </c>
      <c r="D1286" s="127"/>
      <c r="E1286" s="127"/>
      <c r="F1286" s="128"/>
      <c r="G1286" s="128"/>
      <c r="H1286" s="128"/>
      <c r="I1286" s="127" t="s">
        <v>1344</v>
      </c>
    </row>
    <row r="1287" spans="1:9" x14ac:dyDescent="0.2">
      <c r="A1287" s="127" t="s">
        <v>3053</v>
      </c>
      <c r="B1287" s="127" t="s">
        <v>3054</v>
      </c>
      <c r="C1287" s="127" t="s">
        <v>22</v>
      </c>
      <c r="D1287" s="127"/>
      <c r="E1287" s="127"/>
      <c r="F1287" s="128"/>
      <c r="G1287" s="128"/>
      <c r="H1287" s="128"/>
      <c r="I1287" s="127" t="s">
        <v>1344</v>
      </c>
    </row>
    <row r="1288" spans="1:9" x14ac:dyDescent="0.2">
      <c r="A1288" s="127" t="s">
        <v>3055</v>
      </c>
      <c r="B1288" s="127" t="s">
        <v>3056</v>
      </c>
      <c r="C1288" s="127" t="s">
        <v>46</v>
      </c>
      <c r="D1288" s="127"/>
      <c r="E1288" s="127"/>
      <c r="F1288" s="128"/>
      <c r="G1288" s="128"/>
      <c r="H1288" s="128"/>
      <c r="I1288" s="127" t="s">
        <v>1344</v>
      </c>
    </row>
    <row r="1289" spans="1:9" x14ac:dyDescent="0.2">
      <c r="A1289" s="127" t="s">
        <v>3057</v>
      </c>
      <c r="B1289" s="127" t="s">
        <v>3058</v>
      </c>
      <c r="C1289" s="127" t="s">
        <v>46</v>
      </c>
      <c r="D1289" s="127"/>
      <c r="E1289" s="127"/>
      <c r="F1289" s="128"/>
      <c r="G1289" s="128"/>
      <c r="H1289" s="128"/>
      <c r="I1289" s="127" t="s">
        <v>1344</v>
      </c>
    </row>
    <row r="1290" spans="1:9" x14ac:dyDescent="0.2">
      <c r="A1290" s="127" t="s">
        <v>3059</v>
      </c>
      <c r="B1290" s="127" t="s">
        <v>3060</v>
      </c>
      <c r="C1290" s="127" t="s">
        <v>46</v>
      </c>
      <c r="D1290" s="127"/>
      <c r="E1290" s="127"/>
      <c r="F1290" s="128"/>
      <c r="G1290" s="128"/>
      <c r="H1290" s="128"/>
      <c r="I1290" s="127" t="s">
        <v>1344</v>
      </c>
    </row>
    <row r="1291" spans="1:9" x14ac:dyDescent="0.2">
      <c r="A1291" s="127" t="s">
        <v>3061</v>
      </c>
      <c r="B1291" s="127" t="s">
        <v>3062</v>
      </c>
      <c r="C1291" s="127" t="s">
        <v>22</v>
      </c>
      <c r="D1291" s="127"/>
      <c r="E1291" s="127"/>
      <c r="F1291" s="128"/>
      <c r="G1291" s="128"/>
      <c r="H1291" s="128"/>
      <c r="I1291" s="127" t="s">
        <v>1344</v>
      </c>
    </row>
    <row r="1292" spans="1:9" x14ac:dyDescent="0.2">
      <c r="A1292" s="127" t="s">
        <v>3063</v>
      </c>
      <c r="B1292" s="127" t="s">
        <v>3064</v>
      </c>
      <c r="C1292" s="127" t="s">
        <v>46</v>
      </c>
      <c r="D1292" s="127"/>
      <c r="E1292" s="127"/>
      <c r="F1292" s="128"/>
      <c r="G1292" s="128"/>
      <c r="H1292" s="128"/>
      <c r="I1292" s="127" t="s">
        <v>1344</v>
      </c>
    </row>
    <row r="1293" spans="1:9" x14ac:dyDescent="0.2">
      <c r="A1293" s="127" t="s">
        <v>3065</v>
      </c>
      <c r="B1293" s="127" t="s">
        <v>3066</v>
      </c>
      <c r="C1293" s="127" t="s">
        <v>46</v>
      </c>
      <c r="D1293" s="127"/>
      <c r="E1293" s="127"/>
      <c r="F1293" s="128"/>
      <c r="G1293" s="128"/>
      <c r="H1293" s="128"/>
      <c r="I1293" s="127" t="s">
        <v>1344</v>
      </c>
    </row>
    <row r="1294" spans="1:9" x14ac:dyDescent="0.2">
      <c r="A1294" s="127" t="s">
        <v>3067</v>
      </c>
      <c r="B1294" s="127" t="s">
        <v>3068</v>
      </c>
      <c r="C1294" s="127" t="s">
        <v>17</v>
      </c>
      <c r="D1294" s="127"/>
      <c r="E1294" s="127"/>
      <c r="F1294" s="128"/>
      <c r="G1294" s="128"/>
      <c r="H1294" s="128"/>
      <c r="I1294" s="127" t="s">
        <v>1344</v>
      </c>
    </row>
    <row r="1295" spans="1:9" x14ac:dyDescent="0.2">
      <c r="A1295" s="127" t="s">
        <v>3069</v>
      </c>
      <c r="B1295" s="127" t="s">
        <v>3070</v>
      </c>
      <c r="C1295" s="127" t="s">
        <v>46</v>
      </c>
      <c r="D1295" s="127"/>
      <c r="E1295" s="127"/>
      <c r="F1295" s="128"/>
      <c r="G1295" s="128"/>
      <c r="H1295" s="128"/>
      <c r="I1295" s="127" t="s">
        <v>1344</v>
      </c>
    </row>
    <row r="1296" spans="1:9" x14ac:dyDescent="0.2">
      <c r="A1296" s="127" t="s">
        <v>3071</v>
      </c>
      <c r="B1296" s="127" t="s">
        <v>3072</v>
      </c>
      <c r="C1296" s="127" t="s">
        <v>17</v>
      </c>
      <c r="D1296" s="127"/>
      <c r="E1296" s="127"/>
      <c r="F1296" s="128"/>
      <c r="G1296" s="128"/>
      <c r="H1296" s="128"/>
      <c r="I1296" s="127" t="s">
        <v>1344</v>
      </c>
    </row>
    <row r="1297" spans="1:9" x14ac:dyDescent="0.2">
      <c r="A1297" s="127" t="s">
        <v>3073</v>
      </c>
      <c r="B1297" s="127" t="s">
        <v>3074</v>
      </c>
      <c r="C1297" s="127" t="s">
        <v>46</v>
      </c>
      <c r="D1297" s="127"/>
      <c r="E1297" s="127"/>
      <c r="F1297" s="128"/>
      <c r="G1297" s="128"/>
      <c r="H1297" s="128"/>
      <c r="I1297" s="127" t="s">
        <v>1344</v>
      </c>
    </row>
    <row r="1298" spans="1:9" x14ac:dyDescent="0.2">
      <c r="A1298" s="127" t="s">
        <v>3075</v>
      </c>
      <c r="B1298" s="127" t="s">
        <v>3076</v>
      </c>
      <c r="C1298" s="127" t="s">
        <v>22</v>
      </c>
      <c r="D1298" s="127"/>
      <c r="E1298" s="127"/>
      <c r="F1298" s="128"/>
      <c r="G1298" s="128"/>
      <c r="H1298" s="128"/>
      <c r="I1298" s="127" t="s">
        <v>1344</v>
      </c>
    </row>
    <row r="1299" spans="1:9" x14ac:dyDescent="0.2">
      <c r="A1299" s="127" t="s">
        <v>3077</v>
      </c>
      <c r="B1299" s="127" t="s">
        <v>3078</v>
      </c>
      <c r="C1299" s="127" t="s">
        <v>46</v>
      </c>
      <c r="D1299" s="127"/>
      <c r="E1299" s="127"/>
      <c r="F1299" s="128"/>
      <c r="G1299" s="128"/>
      <c r="H1299" s="128"/>
      <c r="I1299" s="127" t="s">
        <v>1344</v>
      </c>
    </row>
    <row r="1300" spans="1:9" x14ac:dyDescent="0.2">
      <c r="A1300" s="127" t="s">
        <v>3079</v>
      </c>
      <c r="B1300" s="127" t="s">
        <v>3080</v>
      </c>
      <c r="C1300" s="127" t="s">
        <v>46</v>
      </c>
      <c r="D1300" s="127"/>
      <c r="E1300" s="127"/>
      <c r="F1300" s="128"/>
      <c r="G1300" s="128"/>
      <c r="H1300" s="128"/>
      <c r="I1300" s="127" t="s">
        <v>1344</v>
      </c>
    </row>
    <row r="1301" spans="1:9" x14ac:dyDescent="0.2">
      <c r="A1301" s="127" t="s">
        <v>50</v>
      </c>
      <c r="B1301" s="127" t="s">
        <v>3081</v>
      </c>
      <c r="C1301" s="127" t="s">
        <v>46</v>
      </c>
      <c r="D1301" s="127"/>
      <c r="E1301" s="127"/>
      <c r="F1301" s="128"/>
      <c r="G1301" s="128"/>
      <c r="H1301" s="128"/>
      <c r="I1301" s="127" t="s">
        <v>1344</v>
      </c>
    </row>
    <row r="1302" spans="1:9" x14ac:dyDescent="0.2">
      <c r="A1302" s="127" t="s">
        <v>3082</v>
      </c>
      <c r="B1302" s="127" t="s">
        <v>3083</v>
      </c>
      <c r="C1302" s="127" t="s">
        <v>46</v>
      </c>
      <c r="D1302" s="127"/>
      <c r="E1302" s="127"/>
      <c r="F1302" s="128"/>
      <c r="G1302" s="128"/>
      <c r="H1302" s="128"/>
      <c r="I1302" s="127" t="s">
        <v>1344</v>
      </c>
    </row>
    <row r="1303" spans="1:9" x14ac:dyDescent="0.2">
      <c r="A1303" s="127" t="s">
        <v>3084</v>
      </c>
      <c r="B1303" s="127" t="s">
        <v>3085</v>
      </c>
      <c r="C1303" s="127" t="s">
        <v>46</v>
      </c>
      <c r="D1303" s="127"/>
      <c r="E1303" s="127"/>
      <c r="F1303" s="128"/>
      <c r="G1303" s="128"/>
      <c r="H1303" s="128"/>
      <c r="I1303" s="127" t="s">
        <v>1344</v>
      </c>
    </row>
    <row r="1304" spans="1:9" x14ac:dyDescent="0.2">
      <c r="A1304" s="127" t="s">
        <v>3086</v>
      </c>
      <c r="B1304" s="127" t="s">
        <v>3087</v>
      </c>
      <c r="C1304" s="127" t="s">
        <v>46</v>
      </c>
      <c r="D1304" s="127"/>
      <c r="E1304" s="127"/>
      <c r="F1304" s="128"/>
      <c r="G1304" s="128"/>
      <c r="H1304" s="128"/>
      <c r="I1304" s="127" t="s">
        <v>1344</v>
      </c>
    </row>
    <row r="1305" spans="1:9" x14ac:dyDescent="0.2">
      <c r="A1305" s="127" t="s">
        <v>3088</v>
      </c>
      <c r="B1305" s="127" t="s">
        <v>3089</v>
      </c>
      <c r="C1305" s="127" t="s">
        <v>46</v>
      </c>
      <c r="D1305" s="127"/>
      <c r="E1305" s="127"/>
      <c r="F1305" s="128"/>
      <c r="G1305" s="128"/>
      <c r="H1305" s="128"/>
      <c r="I1305" s="127" t="s">
        <v>1344</v>
      </c>
    </row>
    <row r="1306" spans="1:9" x14ac:dyDescent="0.2">
      <c r="A1306" s="127" t="s">
        <v>3090</v>
      </c>
      <c r="B1306" s="127" t="s">
        <v>3091</v>
      </c>
      <c r="C1306" s="127" t="s">
        <v>22</v>
      </c>
      <c r="D1306" s="127"/>
      <c r="E1306" s="127"/>
      <c r="F1306" s="128"/>
      <c r="G1306" s="128"/>
      <c r="H1306" s="128"/>
      <c r="I1306" s="127" t="s">
        <v>1344</v>
      </c>
    </row>
    <row r="1307" spans="1:9" x14ac:dyDescent="0.2">
      <c r="A1307" s="127" t="s">
        <v>709</v>
      </c>
      <c r="B1307" s="127" t="s">
        <v>3092</v>
      </c>
      <c r="C1307" s="127" t="s">
        <v>17</v>
      </c>
      <c r="D1307" s="127"/>
      <c r="E1307" s="127"/>
      <c r="F1307" s="128"/>
      <c r="G1307" s="128"/>
      <c r="H1307" s="128"/>
      <c r="I1307" s="127" t="s">
        <v>1344</v>
      </c>
    </row>
    <row r="1308" spans="1:9" x14ac:dyDescent="0.2">
      <c r="A1308" s="127" t="s">
        <v>3093</v>
      </c>
      <c r="B1308" s="127" t="s">
        <v>3094</v>
      </c>
      <c r="C1308" s="127" t="s">
        <v>22</v>
      </c>
      <c r="D1308" s="127"/>
      <c r="E1308" s="127"/>
      <c r="F1308" s="128"/>
      <c r="G1308" s="128"/>
      <c r="H1308" s="128"/>
      <c r="I1308" s="127" t="s">
        <v>1344</v>
      </c>
    </row>
    <row r="1309" spans="1:9" x14ac:dyDescent="0.2">
      <c r="A1309" s="127" t="s">
        <v>3095</v>
      </c>
      <c r="B1309" s="127" t="s">
        <v>3096</v>
      </c>
      <c r="C1309" s="127" t="s">
        <v>46</v>
      </c>
      <c r="D1309" s="127"/>
      <c r="E1309" s="127"/>
      <c r="F1309" s="128"/>
      <c r="G1309" s="128"/>
      <c r="H1309" s="128"/>
      <c r="I1309" s="127" t="s">
        <v>1344</v>
      </c>
    </row>
    <row r="1310" spans="1:9" x14ac:dyDescent="0.2">
      <c r="A1310" s="127" t="s">
        <v>3097</v>
      </c>
      <c r="B1310" s="127" t="s">
        <v>3098</v>
      </c>
      <c r="C1310" s="127" t="s">
        <v>46</v>
      </c>
      <c r="D1310" s="127"/>
      <c r="E1310" s="127"/>
      <c r="F1310" s="128"/>
      <c r="G1310" s="128"/>
      <c r="H1310" s="128"/>
      <c r="I1310" s="127" t="s">
        <v>1344</v>
      </c>
    </row>
    <row r="1311" spans="1:9" x14ac:dyDescent="0.2">
      <c r="A1311" s="127" t="s">
        <v>3099</v>
      </c>
      <c r="B1311" s="127" t="s">
        <v>3100</v>
      </c>
      <c r="C1311" s="127" t="s">
        <v>22</v>
      </c>
      <c r="D1311" s="127"/>
      <c r="E1311" s="127"/>
      <c r="F1311" s="128"/>
      <c r="G1311" s="128"/>
      <c r="H1311" s="128"/>
      <c r="I1311" s="127" t="s">
        <v>1344</v>
      </c>
    </row>
    <row r="1312" spans="1:9" x14ac:dyDescent="0.2">
      <c r="A1312" s="127" t="s">
        <v>3101</v>
      </c>
      <c r="B1312" s="127" t="s">
        <v>3102</v>
      </c>
      <c r="C1312" s="127" t="s">
        <v>22</v>
      </c>
      <c r="D1312" s="127"/>
      <c r="E1312" s="127"/>
      <c r="F1312" s="128"/>
      <c r="G1312" s="128"/>
      <c r="H1312" s="128"/>
      <c r="I1312" s="127" t="s">
        <v>1344</v>
      </c>
    </row>
    <row r="1313" spans="1:9" x14ac:dyDescent="0.2">
      <c r="A1313" s="127" t="s">
        <v>2723</v>
      </c>
      <c r="B1313" s="127" t="s">
        <v>3103</v>
      </c>
      <c r="C1313" s="127" t="s">
        <v>22</v>
      </c>
      <c r="D1313" s="127"/>
      <c r="E1313" s="127"/>
      <c r="F1313" s="128"/>
      <c r="G1313" s="128"/>
      <c r="H1313" s="128"/>
      <c r="I1313" s="127" t="s">
        <v>1344</v>
      </c>
    </row>
    <row r="1314" spans="1:9" x14ac:dyDescent="0.2">
      <c r="A1314" s="127" t="s">
        <v>3104</v>
      </c>
      <c r="B1314" s="127" t="s">
        <v>3105</v>
      </c>
      <c r="C1314" s="127" t="s">
        <v>22</v>
      </c>
      <c r="D1314" s="127"/>
      <c r="E1314" s="127"/>
      <c r="F1314" s="128"/>
      <c r="G1314" s="128"/>
      <c r="H1314" s="128"/>
      <c r="I1314" s="127" t="s">
        <v>1344</v>
      </c>
    </row>
    <row r="1315" spans="1:9" x14ac:dyDescent="0.2">
      <c r="A1315" s="127" t="s">
        <v>3106</v>
      </c>
      <c r="B1315" s="127" t="s">
        <v>3107</v>
      </c>
      <c r="C1315" s="127" t="s">
        <v>22</v>
      </c>
      <c r="D1315" s="127"/>
      <c r="E1315" s="127"/>
      <c r="F1315" s="128"/>
      <c r="G1315" s="128"/>
      <c r="H1315" s="128"/>
      <c r="I1315" s="127" t="s">
        <v>1344</v>
      </c>
    </row>
    <row r="1316" spans="1:9" x14ac:dyDescent="0.2">
      <c r="A1316" s="127" t="s">
        <v>3108</v>
      </c>
      <c r="B1316" s="127" t="s">
        <v>3109</v>
      </c>
      <c r="C1316" s="127" t="s">
        <v>22</v>
      </c>
      <c r="D1316" s="127"/>
      <c r="E1316" s="127"/>
      <c r="F1316" s="128"/>
      <c r="G1316" s="128"/>
      <c r="H1316" s="128"/>
      <c r="I1316" s="127" t="s">
        <v>1344</v>
      </c>
    </row>
    <row r="1317" spans="1:9" x14ac:dyDescent="0.2">
      <c r="A1317" s="127" t="s">
        <v>3110</v>
      </c>
      <c r="B1317" s="127" t="s">
        <v>3111</v>
      </c>
      <c r="C1317" s="127" t="s">
        <v>22</v>
      </c>
      <c r="D1317" s="127"/>
      <c r="E1317" s="127"/>
      <c r="F1317" s="128"/>
      <c r="G1317" s="128"/>
      <c r="H1317" s="128"/>
      <c r="I1317" s="127" t="s">
        <v>1344</v>
      </c>
    </row>
    <row r="1318" spans="1:9" x14ac:dyDescent="0.2">
      <c r="A1318" s="127" t="s">
        <v>3112</v>
      </c>
      <c r="B1318" s="127" t="s">
        <v>3113</v>
      </c>
      <c r="C1318" s="127" t="s">
        <v>22</v>
      </c>
      <c r="D1318" s="127"/>
      <c r="E1318" s="127"/>
      <c r="F1318" s="128"/>
      <c r="G1318" s="128"/>
      <c r="H1318" s="128"/>
      <c r="I1318" s="127" t="s">
        <v>1344</v>
      </c>
    </row>
    <row r="1319" spans="1:9" x14ac:dyDescent="0.2">
      <c r="A1319" s="127" t="s">
        <v>3114</v>
      </c>
      <c r="B1319" s="127" t="s">
        <v>3115</v>
      </c>
      <c r="C1319" s="127" t="s">
        <v>46</v>
      </c>
      <c r="D1319" s="127"/>
      <c r="E1319" s="127"/>
      <c r="F1319" s="128"/>
      <c r="G1319" s="128"/>
      <c r="H1319" s="128"/>
      <c r="I1319" s="127" t="s">
        <v>1344</v>
      </c>
    </row>
    <row r="1320" spans="1:9" x14ac:dyDescent="0.2">
      <c r="A1320" s="127" t="s">
        <v>3116</v>
      </c>
      <c r="B1320" s="127" t="s">
        <v>3117</v>
      </c>
      <c r="C1320" s="127" t="s">
        <v>22</v>
      </c>
      <c r="D1320" s="127"/>
      <c r="E1320" s="127"/>
      <c r="F1320" s="128"/>
      <c r="G1320" s="128"/>
      <c r="H1320" s="128"/>
      <c r="I1320" s="127" t="s">
        <v>1344</v>
      </c>
    </row>
    <row r="1321" spans="1:9" x14ac:dyDescent="0.2">
      <c r="A1321" s="127" t="s">
        <v>3118</v>
      </c>
      <c r="B1321" s="127" t="s">
        <v>1023</v>
      </c>
      <c r="C1321" s="127" t="s">
        <v>22</v>
      </c>
      <c r="D1321" s="127"/>
      <c r="E1321" s="127"/>
      <c r="F1321" s="128"/>
      <c r="G1321" s="128"/>
      <c r="H1321" s="128"/>
      <c r="I1321" s="127" t="s">
        <v>1344</v>
      </c>
    </row>
    <row r="1322" spans="1:9" x14ac:dyDescent="0.2">
      <c r="A1322" s="127" t="s">
        <v>3119</v>
      </c>
      <c r="B1322" s="127" t="s">
        <v>3120</v>
      </c>
      <c r="C1322" s="127" t="s">
        <v>17</v>
      </c>
      <c r="D1322" s="127"/>
      <c r="E1322" s="127"/>
      <c r="F1322" s="128"/>
      <c r="G1322" s="128"/>
      <c r="H1322" s="128"/>
      <c r="I1322" s="127" t="s">
        <v>1344</v>
      </c>
    </row>
    <row r="1323" spans="1:9" x14ac:dyDescent="0.2">
      <c r="A1323" s="127" t="s">
        <v>3121</v>
      </c>
      <c r="B1323" s="127" t="s">
        <v>3122</v>
      </c>
      <c r="C1323" s="127" t="s">
        <v>46</v>
      </c>
      <c r="D1323" s="127"/>
      <c r="E1323" s="127"/>
      <c r="F1323" s="128"/>
      <c r="G1323" s="128"/>
      <c r="H1323" s="128"/>
      <c r="I1323" s="127" t="s">
        <v>1344</v>
      </c>
    </row>
    <row r="1324" spans="1:9" x14ac:dyDescent="0.2">
      <c r="A1324" s="127" t="s">
        <v>3123</v>
      </c>
      <c r="B1324" s="127" t="s">
        <v>3124</v>
      </c>
      <c r="C1324" s="127" t="s">
        <v>22</v>
      </c>
      <c r="D1324" s="127"/>
      <c r="E1324" s="127"/>
      <c r="F1324" s="128"/>
      <c r="G1324" s="128"/>
      <c r="H1324" s="128"/>
      <c r="I1324" s="127" t="s">
        <v>1344</v>
      </c>
    </row>
    <row r="1325" spans="1:9" x14ac:dyDescent="0.2">
      <c r="A1325" s="127" t="s">
        <v>1614</v>
      </c>
      <c r="B1325" s="127" t="s">
        <v>3125</v>
      </c>
      <c r="C1325" s="127" t="s">
        <v>46</v>
      </c>
      <c r="D1325" s="127"/>
      <c r="E1325" s="127"/>
      <c r="F1325" s="128"/>
      <c r="G1325" s="128"/>
      <c r="H1325" s="128"/>
      <c r="I1325" s="127" t="s">
        <v>1344</v>
      </c>
    </row>
    <row r="1326" spans="1:9" x14ac:dyDescent="0.2">
      <c r="A1326" s="127" t="s">
        <v>3126</v>
      </c>
      <c r="B1326" s="127" t="s">
        <v>3127</v>
      </c>
      <c r="C1326" s="127" t="s">
        <v>46</v>
      </c>
      <c r="D1326" s="127"/>
      <c r="E1326" s="127"/>
      <c r="F1326" s="128"/>
      <c r="G1326" s="128"/>
      <c r="H1326" s="128"/>
      <c r="I1326" s="127" t="s">
        <v>1344</v>
      </c>
    </row>
    <row r="1327" spans="1:9" x14ac:dyDescent="0.2">
      <c r="A1327" s="127" t="s">
        <v>3128</v>
      </c>
      <c r="B1327" s="127" t="s">
        <v>3129</v>
      </c>
      <c r="C1327" s="127" t="s">
        <v>46</v>
      </c>
      <c r="D1327" s="127"/>
      <c r="E1327" s="127"/>
      <c r="F1327" s="128"/>
      <c r="G1327" s="128"/>
      <c r="H1327" s="128"/>
      <c r="I1327" s="127" t="s">
        <v>1344</v>
      </c>
    </row>
    <row r="1328" spans="1:9" x14ac:dyDescent="0.2">
      <c r="A1328" s="127" t="s">
        <v>3130</v>
      </c>
      <c r="B1328" s="127" t="s">
        <v>3131</v>
      </c>
      <c r="C1328" s="127" t="s">
        <v>22</v>
      </c>
      <c r="D1328" s="127"/>
      <c r="E1328" s="127"/>
      <c r="F1328" s="128"/>
      <c r="G1328" s="128"/>
      <c r="H1328" s="128"/>
      <c r="I1328" s="127" t="s">
        <v>1344</v>
      </c>
    </row>
    <row r="1329" spans="1:9" x14ac:dyDescent="0.2">
      <c r="A1329" s="127" t="s">
        <v>3132</v>
      </c>
      <c r="B1329" s="127" t="s">
        <v>3133</v>
      </c>
      <c r="C1329" s="127" t="s">
        <v>46</v>
      </c>
      <c r="D1329" s="127"/>
      <c r="E1329" s="127"/>
      <c r="F1329" s="128"/>
      <c r="G1329" s="128"/>
      <c r="H1329" s="128"/>
      <c r="I1329" s="127" t="s">
        <v>1344</v>
      </c>
    </row>
    <row r="1330" spans="1:9" x14ac:dyDescent="0.2">
      <c r="A1330" s="127" t="s">
        <v>3134</v>
      </c>
      <c r="B1330" s="127" t="s">
        <v>3135</v>
      </c>
      <c r="C1330" s="127" t="s">
        <v>17</v>
      </c>
      <c r="D1330" s="127"/>
      <c r="E1330" s="127"/>
      <c r="F1330" s="128"/>
      <c r="G1330" s="128"/>
      <c r="H1330" s="128"/>
      <c r="I1330" s="127" t="s">
        <v>1344</v>
      </c>
    </row>
    <row r="1331" spans="1:9" x14ac:dyDescent="0.2">
      <c r="A1331" s="127" t="s">
        <v>3136</v>
      </c>
      <c r="B1331" s="127" t="s">
        <v>3137</v>
      </c>
      <c r="C1331" s="127" t="s">
        <v>46</v>
      </c>
      <c r="D1331" s="127"/>
      <c r="E1331" s="127"/>
      <c r="F1331" s="128"/>
      <c r="G1331" s="128"/>
      <c r="H1331" s="128"/>
      <c r="I1331" s="127" t="s">
        <v>1344</v>
      </c>
    </row>
    <row r="1332" spans="1:9" x14ac:dyDescent="0.2">
      <c r="A1332" s="127" t="s">
        <v>2110</v>
      </c>
      <c r="B1332" s="127" t="s">
        <v>3138</v>
      </c>
      <c r="C1332" s="127" t="s">
        <v>46</v>
      </c>
      <c r="D1332" s="127"/>
      <c r="E1332" s="127"/>
      <c r="F1332" s="128"/>
      <c r="G1332" s="128"/>
      <c r="H1332" s="128"/>
      <c r="I1332" s="127" t="s">
        <v>1344</v>
      </c>
    </row>
    <row r="1333" spans="1:9" x14ac:dyDescent="0.2">
      <c r="A1333" s="127" t="s">
        <v>3139</v>
      </c>
      <c r="B1333" s="127" t="s">
        <v>3140</v>
      </c>
      <c r="C1333" s="127" t="s">
        <v>46</v>
      </c>
      <c r="D1333" s="127"/>
      <c r="E1333" s="127"/>
      <c r="F1333" s="128"/>
      <c r="G1333" s="128"/>
      <c r="H1333" s="128"/>
      <c r="I1333" s="127" t="s">
        <v>1344</v>
      </c>
    </row>
    <row r="1334" spans="1:9" x14ac:dyDescent="0.2">
      <c r="A1334" s="127" t="s">
        <v>3141</v>
      </c>
      <c r="B1334" s="127" t="s">
        <v>3142</v>
      </c>
      <c r="C1334" s="127" t="s">
        <v>46</v>
      </c>
      <c r="D1334" s="127"/>
      <c r="E1334" s="127"/>
      <c r="F1334" s="128"/>
      <c r="G1334" s="128"/>
      <c r="H1334" s="128"/>
      <c r="I1334" s="127" t="s">
        <v>1344</v>
      </c>
    </row>
    <row r="1335" spans="1:9" x14ac:dyDescent="0.2">
      <c r="A1335" s="127"/>
      <c r="B1335" s="127" t="s">
        <v>3143</v>
      </c>
      <c r="C1335" s="127" t="s">
        <v>22</v>
      </c>
      <c r="D1335" s="127"/>
      <c r="E1335" s="127"/>
      <c r="F1335" s="128"/>
      <c r="G1335" s="128"/>
      <c r="H1335" s="128"/>
      <c r="I1335" s="127" t="s">
        <v>1344</v>
      </c>
    </row>
    <row r="1336" spans="1:9" x14ac:dyDescent="0.2">
      <c r="A1336" s="127" t="s">
        <v>3144</v>
      </c>
      <c r="B1336" s="127" t="s">
        <v>3145</v>
      </c>
      <c r="C1336" s="127" t="s">
        <v>46</v>
      </c>
      <c r="D1336" s="127"/>
      <c r="E1336" s="127"/>
      <c r="F1336" s="128"/>
      <c r="G1336" s="128"/>
      <c r="H1336" s="128"/>
      <c r="I1336" s="127" t="s">
        <v>1344</v>
      </c>
    </row>
    <row r="1337" spans="1:9" x14ac:dyDescent="0.2">
      <c r="A1337" s="127" t="s">
        <v>3146</v>
      </c>
      <c r="B1337" s="127" t="s">
        <v>3147</v>
      </c>
      <c r="C1337" s="127" t="s">
        <v>46</v>
      </c>
      <c r="D1337" s="127"/>
      <c r="E1337" s="127"/>
      <c r="F1337" s="128"/>
      <c r="G1337" s="128"/>
      <c r="H1337" s="128"/>
      <c r="I1337" s="127" t="s">
        <v>1344</v>
      </c>
    </row>
    <row r="1338" spans="1:9" x14ac:dyDescent="0.2">
      <c r="A1338" s="127" t="s">
        <v>3148</v>
      </c>
      <c r="B1338" s="127" t="s">
        <v>3149</v>
      </c>
      <c r="C1338" s="127" t="s">
        <v>46</v>
      </c>
      <c r="D1338" s="127"/>
      <c r="E1338" s="127"/>
      <c r="F1338" s="128"/>
      <c r="G1338" s="128"/>
      <c r="H1338" s="128"/>
      <c r="I1338" s="127" t="s">
        <v>1344</v>
      </c>
    </row>
    <row r="1339" spans="1:9" x14ac:dyDescent="0.2">
      <c r="A1339" s="127" t="s">
        <v>3150</v>
      </c>
      <c r="B1339" s="127" t="s">
        <v>3151</v>
      </c>
      <c r="C1339" s="127" t="s">
        <v>46</v>
      </c>
      <c r="D1339" s="127"/>
      <c r="E1339" s="127"/>
      <c r="F1339" s="128"/>
      <c r="G1339" s="128"/>
      <c r="H1339" s="128"/>
      <c r="I1339" s="127" t="s">
        <v>1344</v>
      </c>
    </row>
    <row r="1340" spans="1:9" x14ac:dyDescent="0.2">
      <c r="A1340" s="127" t="s">
        <v>3152</v>
      </c>
      <c r="B1340" s="127" t="s">
        <v>3153</v>
      </c>
      <c r="C1340" s="127" t="s">
        <v>46</v>
      </c>
      <c r="D1340" s="127"/>
      <c r="E1340" s="127"/>
      <c r="F1340" s="128"/>
      <c r="G1340" s="128"/>
      <c r="H1340" s="128"/>
      <c r="I1340" s="127" t="s">
        <v>1344</v>
      </c>
    </row>
    <row r="1341" spans="1:9" x14ac:dyDescent="0.2">
      <c r="A1341" s="127" t="s">
        <v>3154</v>
      </c>
      <c r="B1341" s="127" t="s">
        <v>3155</v>
      </c>
      <c r="C1341" s="127" t="s">
        <v>46</v>
      </c>
      <c r="D1341" s="127"/>
      <c r="E1341" s="127"/>
      <c r="F1341" s="128"/>
      <c r="G1341" s="128"/>
      <c r="H1341" s="128"/>
      <c r="I1341" s="127" t="s">
        <v>1344</v>
      </c>
    </row>
    <row r="1342" spans="1:9" x14ac:dyDescent="0.2">
      <c r="A1342" s="127" t="s">
        <v>3156</v>
      </c>
      <c r="B1342" s="127" t="s">
        <v>3157</v>
      </c>
      <c r="C1342" s="127" t="s">
        <v>22</v>
      </c>
      <c r="D1342" s="127"/>
      <c r="E1342" s="127"/>
      <c r="F1342" s="128"/>
      <c r="G1342" s="128"/>
      <c r="H1342" s="128"/>
      <c r="I1342" s="127" t="s">
        <v>1344</v>
      </c>
    </row>
    <row r="1343" spans="1:9" x14ac:dyDescent="0.2">
      <c r="A1343" s="127"/>
      <c r="B1343" s="127" t="s">
        <v>3158</v>
      </c>
      <c r="C1343" s="127" t="s">
        <v>17</v>
      </c>
      <c r="D1343" s="127"/>
      <c r="E1343" s="127"/>
      <c r="F1343" s="128"/>
      <c r="G1343" s="128"/>
      <c r="H1343" s="128"/>
      <c r="I1343" s="127" t="s">
        <v>1344</v>
      </c>
    </row>
    <row r="1344" spans="1:9" x14ac:dyDescent="0.2">
      <c r="A1344" s="127" t="s">
        <v>3159</v>
      </c>
      <c r="B1344" s="127" t="s">
        <v>3160</v>
      </c>
      <c r="C1344" s="127" t="s">
        <v>46</v>
      </c>
      <c r="D1344" s="127"/>
      <c r="E1344" s="127"/>
      <c r="F1344" s="128"/>
      <c r="G1344" s="128"/>
      <c r="H1344" s="128"/>
      <c r="I1344" s="127" t="s">
        <v>1344</v>
      </c>
    </row>
    <row r="1345" spans="1:9" x14ac:dyDescent="0.2">
      <c r="A1345" s="127" t="s">
        <v>1703</v>
      </c>
      <c r="B1345" s="127" t="s">
        <v>3161</v>
      </c>
      <c r="C1345" s="127" t="s">
        <v>22</v>
      </c>
      <c r="D1345" s="127"/>
      <c r="E1345" s="127"/>
      <c r="F1345" s="128"/>
      <c r="G1345" s="128"/>
      <c r="H1345" s="128"/>
      <c r="I1345" s="127" t="s">
        <v>1344</v>
      </c>
    </row>
    <row r="1346" spans="1:9" x14ac:dyDescent="0.2">
      <c r="A1346" s="127" t="s">
        <v>1703</v>
      </c>
      <c r="B1346" s="127" t="s">
        <v>3162</v>
      </c>
      <c r="C1346" s="127" t="s">
        <v>22</v>
      </c>
      <c r="D1346" s="127"/>
      <c r="E1346" s="127"/>
      <c r="F1346" s="128"/>
      <c r="G1346" s="128"/>
      <c r="H1346" s="128"/>
      <c r="I1346" s="127" t="s">
        <v>1344</v>
      </c>
    </row>
    <row r="1347" spans="1:9" x14ac:dyDescent="0.2">
      <c r="A1347" s="127" t="s">
        <v>3163</v>
      </c>
      <c r="B1347" s="127" t="s">
        <v>3164</v>
      </c>
      <c r="C1347" s="127" t="s">
        <v>22</v>
      </c>
      <c r="D1347" s="127"/>
      <c r="E1347" s="127"/>
      <c r="F1347" s="128"/>
      <c r="G1347" s="128"/>
      <c r="H1347" s="128"/>
      <c r="I1347" s="127" t="s">
        <v>1344</v>
      </c>
    </row>
    <row r="1348" spans="1:9" x14ac:dyDescent="0.2">
      <c r="A1348" s="127" t="s">
        <v>1849</v>
      </c>
      <c r="B1348" s="127" t="s">
        <v>3165</v>
      </c>
      <c r="C1348" s="127" t="s">
        <v>46</v>
      </c>
      <c r="D1348" s="127"/>
      <c r="E1348" s="127"/>
      <c r="F1348" s="128"/>
      <c r="G1348" s="128"/>
      <c r="H1348" s="128"/>
      <c r="I1348" s="127" t="s">
        <v>1344</v>
      </c>
    </row>
    <row r="1349" spans="1:9" x14ac:dyDescent="0.2">
      <c r="A1349" s="127" t="s">
        <v>3166</v>
      </c>
      <c r="B1349" s="127" t="s">
        <v>3167</v>
      </c>
      <c r="C1349" s="127" t="s">
        <v>46</v>
      </c>
      <c r="D1349" s="127"/>
      <c r="E1349" s="127"/>
      <c r="F1349" s="128"/>
      <c r="G1349" s="128"/>
      <c r="H1349" s="128"/>
      <c r="I1349" s="127" t="s">
        <v>1344</v>
      </c>
    </row>
    <row r="1350" spans="1:9" x14ac:dyDescent="0.2">
      <c r="A1350" s="127" t="s">
        <v>3168</v>
      </c>
      <c r="B1350" s="127" t="s">
        <v>3169</v>
      </c>
      <c r="C1350" s="127" t="s">
        <v>46</v>
      </c>
      <c r="D1350" s="127"/>
      <c r="E1350" s="127"/>
      <c r="F1350" s="128"/>
      <c r="G1350" s="128"/>
      <c r="H1350" s="128"/>
      <c r="I1350" s="127" t="s">
        <v>1344</v>
      </c>
    </row>
    <row r="1351" spans="1:9" x14ac:dyDescent="0.2">
      <c r="A1351" s="127"/>
      <c r="B1351" s="127" t="s">
        <v>3170</v>
      </c>
      <c r="C1351" s="127" t="s">
        <v>46</v>
      </c>
      <c r="D1351" s="127"/>
      <c r="E1351" s="127"/>
      <c r="F1351" s="128"/>
      <c r="G1351" s="128"/>
      <c r="H1351" s="128"/>
      <c r="I1351" s="127" t="s">
        <v>1344</v>
      </c>
    </row>
    <row r="1352" spans="1:9" x14ac:dyDescent="0.2">
      <c r="A1352" s="127" t="s">
        <v>3171</v>
      </c>
      <c r="B1352" s="127" t="s">
        <v>3172</v>
      </c>
      <c r="C1352" s="127" t="s">
        <v>46</v>
      </c>
      <c r="D1352" s="127"/>
      <c r="E1352" s="127"/>
      <c r="F1352" s="128"/>
      <c r="G1352" s="128"/>
      <c r="H1352" s="128"/>
      <c r="I1352" s="127" t="s">
        <v>1344</v>
      </c>
    </row>
    <row r="1353" spans="1:9" x14ac:dyDescent="0.2">
      <c r="A1353" s="127" t="s">
        <v>3173</v>
      </c>
      <c r="B1353" s="127" t="s">
        <v>3174</v>
      </c>
      <c r="C1353" s="127" t="s">
        <v>46</v>
      </c>
      <c r="D1353" s="127"/>
      <c r="E1353" s="127"/>
      <c r="F1353" s="128"/>
      <c r="G1353" s="128"/>
      <c r="H1353" s="128"/>
      <c r="I1353" s="127" t="s">
        <v>1344</v>
      </c>
    </row>
    <row r="1354" spans="1:9" x14ac:dyDescent="0.2">
      <c r="A1354" s="127" t="s">
        <v>3175</v>
      </c>
      <c r="B1354" s="127" t="s">
        <v>3176</v>
      </c>
      <c r="C1354" s="127" t="s">
        <v>22</v>
      </c>
      <c r="D1354" s="127"/>
      <c r="E1354" s="127"/>
      <c r="F1354" s="128"/>
      <c r="G1354" s="128"/>
      <c r="H1354" s="128"/>
      <c r="I1354" s="127" t="s">
        <v>1344</v>
      </c>
    </row>
    <row r="1355" spans="1:9" x14ac:dyDescent="0.2">
      <c r="A1355" s="127" t="s">
        <v>3177</v>
      </c>
      <c r="B1355" s="127" t="s">
        <v>3178</v>
      </c>
      <c r="C1355" s="127" t="s">
        <v>17</v>
      </c>
      <c r="D1355" s="127"/>
      <c r="E1355" s="127"/>
      <c r="F1355" s="128"/>
      <c r="G1355" s="128"/>
      <c r="H1355" s="128"/>
      <c r="I1355" s="127" t="s">
        <v>1344</v>
      </c>
    </row>
    <row r="1356" spans="1:9" x14ac:dyDescent="0.2">
      <c r="A1356" s="127" t="s">
        <v>3179</v>
      </c>
      <c r="B1356" s="127" t="s">
        <v>3180</v>
      </c>
      <c r="C1356" s="127" t="s">
        <v>46</v>
      </c>
      <c r="D1356" s="127"/>
      <c r="E1356" s="127"/>
      <c r="F1356" s="128"/>
      <c r="G1356" s="128"/>
      <c r="H1356" s="128"/>
      <c r="I1356" s="127" t="s">
        <v>1344</v>
      </c>
    </row>
    <row r="1357" spans="1:9" x14ac:dyDescent="0.2">
      <c r="A1357" s="127" t="s">
        <v>3181</v>
      </c>
      <c r="B1357" s="127" t="s">
        <v>3182</v>
      </c>
      <c r="C1357" s="127" t="s">
        <v>46</v>
      </c>
      <c r="D1357" s="127"/>
      <c r="E1357" s="127"/>
      <c r="F1357" s="128"/>
      <c r="G1357" s="128"/>
      <c r="H1357" s="128"/>
      <c r="I1357" s="127" t="s">
        <v>1344</v>
      </c>
    </row>
    <row r="1358" spans="1:9" x14ac:dyDescent="0.2">
      <c r="A1358" s="127" t="s">
        <v>3183</v>
      </c>
      <c r="B1358" s="127" t="s">
        <v>3184</v>
      </c>
      <c r="C1358" s="127" t="s">
        <v>17</v>
      </c>
      <c r="D1358" s="127"/>
      <c r="E1358" s="127"/>
      <c r="F1358" s="128"/>
      <c r="G1358" s="128"/>
      <c r="H1358" s="128"/>
      <c r="I1358" s="127" t="s">
        <v>1344</v>
      </c>
    </row>
    <row r="1359" spans="1:9" x14ac:dyDescent="0.2">
      <c r="A1359" s="127" t="s">
        <v>3185</v>
      </c>
      <c r="B1359" s="127" t="s">
        <v>3186</v>
      </c>
      <c r="C1359" s="127" t="s">
        <v>46</v>
      </c>
      <c r="D1359" s="127"/>
      <c r="E1359" s="127"/>
      <c r="F1359" s="128"/>
      <c r="G1359" s="128"/>
      <c r="H1359" s="128"/>
      <c r="I1359" s="127" t="s">
        <v>1344</v>
      </c>
    </row>
    <row r="1360" spans="1:9" x14ac:dyDescent="0.2">
      <c r="A1360" s="127" t="s">
        <v>3187</v>
      </c>
      <c r="B1360" s="127" t="s">
        <v>3188</v>
      </c>
      <c r="C1360" s="127" t="s">
        <v>46</v>
      </c>
      <c r="D1360" s="127"/>
      <c r="E1360" s="127"/>
      <c r="F1360" s="128"/>
      <c r="G1360" s="128"/>
      <c r="H1360" s="128"/>
      <c r="I1360" s="127" t="s">
        <v>1344</v>
      </c>
    </row>
    <row r="1361" spans="1:9" x14ac:dyDescent="0.2">
      <c r="A1361" s="127" t="s">
        <v>3189</v>
      </c>
      <c r="B1361" s="127" t="s">
        <v>3190</v>
      </c>
      <c r="C1361" s="127" t="s">
        <v>46</v>
      </c>
      <c r="D1361" s="127"/>
      <c r="E1361" s="127"/>
      <c r="F1361" s="128"/>
      <c r="G1361" s="128"/>
      <c r="H1361" s="128"/>
      <c r="I1361" s="127" t="s">
        <v>1344</v>
      </c>
    </row>
    <row r="1362" spans="1:9" x14ac:dyDescent="0.2">
      <c r="A1362" s="127" t="s">
        <v>3191</v>
      </c>
      <c r="B1362" s="127" t="s">
        <v>3192</v>
      </c>
      <c r="C1362" s="127" t="s">
        <v>22</v>
      </c>
      <c r="D1362" s="127"/>
      <c r="E1362" s="127"/>
      <c r="F1362" s="128"/>
      <c r="G1362" s="128"/>
      <c r="H1362" s="128"/>
      <c r="I1362" s="127" t="s">
        <v>1344</v>
      </c>
    </row>
    <row r="1363" spans="1:9" x14ac:dyDescent="0.2">
      <c r="A1363" s="127" t="s">
        <v>3193</v>
      </c>
      <c r="B1363" s="127" t="s">
        <v>3194</v>
      </c>
      <c r="C1363" s="127" t="s">
        <v>22</v>
      </c>
      <c r="D1363" s="127"/>
      <c r="E1363" s="127"/>
      <c r="F1363" s="128"/>
      <c r="G1363" s="128"/>
      <c r="H1363" s="128"/>
      <c r="I1363" s="127" t="s">
        <v>1344</v>
      </c>
    </row>
    <row r="1364" spans="1:9" x14ac:dyDescent="0.2">
      <c r="A1364" s="127" t="s">
        <v>3195</v>
      </c>
      <c r="B1364" s="127" t="s">
        <v>3196</v>
      </c>
      <c r="C1364" s="127" t="s">
        <v>46</v>
      </c>
      <c r="D1364" s="127"/>
      <c r="E1364" s="127"/>
      <c r="F1364" s="128"/>
      <c r="G1364" s="128"/>
      <c r="H1364" s="128"/>
      <c r="I1364" s="127" t="s">
        <v>1344</v>
      </c>
    </row>
    <row r="1365" spans="1:9" x14ac:dyDescent="0.2">
      <c r="A1365" s="127" t="s">
        <v>3197</v>
      </c>
      <c r="B1365" s="127" t="s">
        <v>3198</v>
      </c>
      <c r="C1365" s="127" t="s">
        <v>46</v>
      </c>
      <c r="D1365" s="127"/>
      <c r="E1365" s="127"/>
      <c r="F1365" s="128"/>
      <c r="G1365" s="128"/>
      <c r="H1365" s="128"/>
      <c r="I1365" s="127" t="s">
        <v>1344</v>
      </c>
    </row>
    <row r="1366" spans="1:9" x14ac:dyDescent="0.2">
      <c r="A1366" s="127" t="s">
        <v>3199</v>
      </c>
      <c r="B1366" s="127" t="s">
        <v>3200</v>
      </c>
      <c r="C1366" s="127" t="s">
        <v>46</v>
      </c>
      <c r="D1366" s="127"/>
      <c r="E1366" s="127"/>
      <c r="F1366" s="128"/>
      <c r="G1366" s="128"/>
      <c r="H1366" s="128"/>
      <c r="I1366" s="127" t="s">
        <v>1344</v>
      </c>
    </row>
    <row r="1367" spans="1:9" x14ac:dyDescent="0.2">
      <c r="A1367" s="127" t="s">
        <v>3201</v>
      </c>
      <c r="B1367" s="127" t="s">
        <v>3202</v>
      </c>
      <c r="C1367" s="127" t="s">
        <v>22</v>
      </c>
      <c r="D1367" s="127"/>
      <c r="E1367" s="127"/>
      <c r="F1367" s="128"/>
      <c r="G1367" s="128"/>
      <c r="H1367" s="128"/>
      <c r="I1367" s="127" t="s">
        <v>1344</v>
      </c>
    </row>
    <row r="1368" spans="1:9" x14ac:dyDescent="0.2">
      <c r="A1368" s="127" t="s">
        <v>3203</v>
      </c>
      <c r="B1368" s="127" t="s">
        <v>3204</v>
      </c>
      <c r="C1368" s="127" t="s">
        <v>46</v>
      </c>
      <c r="D1368" s="127"/>
      <c r="E1368" s="127"/>
      <c r="F1368" s="128"/>
      <c r="G1368" s="128"/>
      <c r="H1368" s="128"/>
      <c r="I1368" s="127" t="s">
        <v>1344</v>
      </c>
    </row>
    <row r="1369" spans="1:9" x14ac:dyDescent="0.2">
      <c r="A1369" s="127" t="s">
        <v>3205</v>
      </c>
      <c r="B1369" s="127" t="s">
        <v>3206</v>
      </c>
      <c r="C1369" s="127" t="s">
        <v>22</v>
      </c>
      <c r="D1369" s="127"/>
      <c r="E1369" s="127"/>
      <c r="F1369" s="128"/>
      <c r="G1369" s="128"/>
      <c r="H1369" s="128"/>
      <c r="I1369" s="127" t="s">
        <v>1344</v>
      </c>
    </row>
    <row r="1370" spans="1:9" x14ac:dyDescent="0.2">
      <c r="A1370" s="127" t="s">
        <v>3205</v>
      </c>
      <c r="B1370" s="127" t="s">
        <v>3206</v>
      </c>
      <c r="C1370" s="127" t="s">
        <v>22</v>
      </c>
      <c r="D1370" s="127"/>
      <c r="E1370" s="127"/>
      <c r="F1370" s="128"/>
      <c r="G1370" s="128"/>
      <c r="H1370" s="128"/>
      <c r="I1370" s="127" t="s">
        <v>1344</v>
      </c>
    </row>
    <row r="1371" spans="1:9" x14ac:dyDescent="0.2">
      <c r="A1371" s="127" t="s">
        <v>3207</v>
      </c>
      <c r="B1371" s="127" t="s">
        <v>3208</v>
      </c>
      <c r="C1371" s="127" t="s">
        <v>46</v>
      </c>
      <c r="D1371" s="127"/>
      <c r="E1371" s="127"/>
      <c r="F1371" s="128"/>
      <c r="G1371" s="128"/>
      <c r="H1371" s="128"/>
      <c r="I1371" s="127" t="s">
        <v>1344</v>
      </c>
    </row>
    <row r="1372" spans="1:9" x14ac:dyDescent="0.2">
      <c r="A1372" s="127" t="s">
        <v>3209</v>
      </c>
      <c r="B1372" s="127" t="s">
        <v>3210</v>
      </c>
      <c r="C1372" s="127" t="s">
        <v>46</v>
      </c>
      <c r="D1372" s="127"/>
      <c r="E1372" s="127"/>
      <c r="F1372" s="128"/>
      <c r="G1372" s="128"/>
      <c r="H1372" s="128"/>
      <c r="I1372" s="127" t="s">
        <v>1344</v>
      </c>
    </row>
    <row r="1373" spans="1:9" x14ac:dyDescent="0.2">
      <c r="A1373" s="127" t="s">
        <v>3211</v>
      </c>
      <c r="B1373" s="127" t="s">
        <v>1287</v>
      </c>
      <c r="C1373" s="127" t="s">
        <v>22</v>
      </c>
      <c r="D1373" s="127"/>
      <c r="E1373" s="127"/>
      <c r="F1373" s="128"/>
      <c r="G1373" s="128"/>
      <c r="H1373" s="128"/>
      <c r="I1373" s="127" t="s">
        <v>1344</v>
      </c>
    </row>
    <row r="1374" spans="1:9" x14ac:dyDescent="0.2">
      <c r="A1374" s="127" t="s">
        <v>3212</v>
      </c>
      <c r="B1374" s="127" t="s">
        <v>3213</v>
      </c>
      <c r="C1374" s="127" t="s">
        <v>46</v>
      </c>
      <c r="D1374" s="127"/>
      <c r="E1374" s="127"/>
      <c r="F1374" s="128"/>
      <c r="G1374" s="128"/>
      <c r="H1374" s="128"/>
      <c r="I1374" s="127" t="s">
        <v>1344</v>
      </c>
    </row>
    <row r="1375" spans="1:9" x14ac:dyDescent="0.2">
      <c r="A1375" s="127" t="s">
        <v>2220</v>
      </c>
      <c r="B1375" s="127" t="s">
        <v>3214</v>
      </c>
      <c r="C1375" s="127" t="s">
        <v>22</v>
      </c>
      <c r="D1375" s="127"/>
      <c r="E1375" s="127"/>
      <c r="F1375" s="128"/>
      <c r="G1375" s="128"/>
      <c r="H1375" s="128"/>
      <c r="I1375" s="127" t="s">
        <v>1344</v>
      </c>
    </row>
    <row r="1376" spans="1:9" x14ac:dyDescent="0.2">
      <c r="A1376" s="127" t="s">
        <v>3215</v>
      </c>
      <c r="B1376" s="127" t="s">
        <v>3216</v>
      </c>
      <c r="C1376" s="127" t="s">
        <v>22</v>
      </c>
      <c r="D1376" s="127"/>
      <c r="E1376" s="127"/>
      <c r="F1376" s="128"/>
      <c r="G1376" s="128"/>
      <c r="H1376" s="128"/>
      <c r="I1376" s="127" t="s">
        <v>1344</v>
      </c>
    </row>
    <row r="1377" spans="1:9" x14ac:dyDescent="0.2">
      <c r="A1377" s="127" t="s">
        <v>3217</v>
      </c>
      <c r="B1377" s="127" t="s">
        <v>3218</v>
      </c>
      <c r="C1377" s="127" t="s">
        <v>46</v>
      </c>
      <c r="D1377" s="127"/>
      <c r="E1377" s="127"/>
      <c r="F1377" s="128"/>
      <c r="G1377" s="128"/>
      <c r="H1377" s="128"/>
      <c r="I1377" s="127" t="s">
        <v>1344</v>
      </c>
    </row>
    <row r="1378" spans="1:9" x14ac:dyDescent="0.2">
      <c r="A1378" s="127" t="s">
        <v>3219</v>
      </c>
      <c r="B1378" s="127" t="s">
        <v>3220</v>
      </c>
      <c r="C1378" s="127" t="s">
        <v>46</v>
      </c>
      <c r="D1378" s="127"/>
      <c r="E1378" s="127"/>
      <c r="F1378" s="128"/>
      <c r="G1378" s="128"/>
      <c r="H1378" s="128"/>
      <c r="I1378" s="127" t="s">
        <v>1344</v>
      </c>
    </row>
    <row r="1379" spans="1:9" x14ac:dyDescent="0.2">
      <c r="A1379" s="127" t="s">
        <v>3221</v>
      </c>
      <c r="B1379" s="127" t="s">
        <v>3222</v>
      </c>
      <c r="C1379" s="127" t="s">
        <v>46</v>
      </c>
      <c r="D1379" s="127"/>
      <c r="E1379" s="127"/>
      <c r="F1379" s="128"/>
      <c r="G1379" s="128"/>
      <c r="H1379" s="128"/>
      <c r="I1379" s="127" t="s">
        <v>1344</v>
      </c>
    </row>
    <row r="1380" spans="1:9" x14ac:dyDescent="0.2">
      <c r="A1380" s="127" t="s">
        <v>3223</v>
      </c>
      <c r="B1380" s="127" t="s">
        <v>3224</v>
      </c>
      <c r="C1380" s="127" t="s">
        <v>46</v>
      </c>
      <c r="D1380" s="127"/>
      <c r="E1380" s="127"/>
      <c r="F1380" s="128"/>
      <c r="G1380" s="128"/>
      <c r="H1380" s="128"/>
      <c r="I1380" s="127" t="s">
        <v>1344</v>
      </c>
    </row>
    <row r="1381" spans="1:9" x14ac:dyDescent="0.2">
      <c r="A1381" s="127" t="s">
        <v>3225</v>
      </c>
      <c r="B1381" s="127" t="s">
        <v>3226</v>
      </c>
      <c r="C1381" s="127" t="s">
        <v>22</v>
      </c>
      <c r="D1381" s="127"/>
      <c r="E1381" s="127"/>
      <c r="F1381" s="128"/>
      <c r="G1381" s="128"/>
      <c r="H1381" s="128"/>
      <c r="I1381" s="127" t="s">
        <v>1344</v>
      </c>
    </row>
    <row r="1382" spans="1:9" x14ac:dyDescent="0.2">
      <c r="A1382" s="127" t="s">
        <v>1656</v>
      </c>
      <c r="B1382" s="127" t="s">
        <v>3227</v>
      </c>
      <c r="C1382" s="127" t="s">
        <v>46</v>
      </c>
      <c r="D1382" s="127"/>
      <c r="E1382" s="127"/>
      <c r="F1382" s="128"/>
      <c r="G1382" s="128"/>
      <c r="H1382" s="128"/>
      <c r="I1382" s="127" t="s">
        <v>1344</v>
      </c>
    </row>
    <row r="1383" spans="1:9" x14ac:dyDescent="0.2">
      <c r="A1383" s="127" t="s">
        <v>3228</v>
      </c>
      <c r="B1383" s="127" t="s">
        <v>3229</v>
      </c>
      <c r="C1383" s="127" t="s">
        <v>22</v>
      </c>
      <c r="D1383" s="127"/>
      <c r="E1383" s="127"/>
      <c r="F1383" s="128"/>
      <c r="G1383" s="128"/>
      <c r="H1383" s="128"/>
      <c r="I1383" s="127" t="s">
        <v>1344</v>
      </c>
    </row>
    <row r="1384" spans="1:9" x14ac:dyDescent="0.2">
      <c r="A1384" s="127" t="s">
        <v>3230</v>
      </c>
      <c r="B1384" s="127" t="s">
        <v>3231</v>
      </c>
      <c r="C1384" s="127" t="s">
        <v>22</v>
      </c>
      <c r="D1384" s="127"/>
      <c r="E1384" s="127"/>
      <c r="F1384" s="128"/>
      <c r="G1384" s="128"/>
      <c r="H1384" s="128"/>
      <c r="I1384" s="127" t="s">
        <v>1344</v>
      </c>
    </row>
    <row r="1385" spans="1:9" x14ac:dyDescent="0.2">
      <c r="A1385" s="127" t="s">
        <v>3232</v>
      </c>
      <c r="B1385" s="127" t="s">
        <v>3233</v>
      </c>
      <c r="C1385" s="127" t="s">
        <v>46</v>
      </c>
      <c r="D1385" s="127"/>
      <c r="E1385" s="127"/>
      <c r="F1385" s="128"/>
      <c r="G1385" s="128"/>
      <c r="H1385" s="128"/>
      <c r="I1385" s="127" t="s">
        <v>1344</v>
      </c>
    </row>
    <row r="1386" spans="1:9" x14ac:dyDescent="0.2">
      <c r="A1386" s="127" t="s">
        <v>3234</v>
      </c>
      <c r="B1386" s="127" t="s">
        <v>3235</v>
      </c>
      <c r="C1386" s="127" t="s">
        <v>46</v>
      </c>
      <c r="D1386" s="127"/>
      <c r="E1386" s="127"/>
      <c r="F1386" s="128"/>
      <c r="G1386" s="128"/>
      <c r="H1386" s="128"/>
      <c r="I1386" s="127" t="s">
        <v>1344</v>
      </c>
    </row>
    <row r="1387" spans="1:9" x14ac:dyDescent="0.2">
      <c r="A1387" s="127" t="s">
        <v>3236</v>
      </c>
      <c r="B1387" s="127" t="s">
        <v>3237</v>
      </c>
      <c r="C1387" s="127" t="s">
        <v>46</v>
      </c>
      <c r="D1387" s="127"/>
      <c r="E1387" s="127"/>
      <c r="F1387" s="128"/>
      <c r="G1387" s="128"/>
      <c r="H1387" s="128"/>
      <c r="I1387" s="127" t="s">
        <v>1344</v>
      </c>
    </row>
    <row r="1388" spans="1:9" x14ac:dyDescent="0.2">
      <c r="A1388" s="127" t="s">
        <v>3238</v>
      </c>
      <c r="B1388" s="127" t="s">
        <v>3239</v>
      </c>
      <c r="C1388" s="127" t="s">
        <v>17</v>
      </c>
      <c r="D1388" s="127"/>
      <c r="E1388" s="127"/>
      <c r="F1388" s="128"/>
      <c r="G1388" s="128"/>
      <c r="H1388" s="128"/>
      <c r="I1388" s="127" t="s">
        <v>1344</v>
      </c>
    </row>
    <row r="1389" spans="1:9" x14ac:dyDescent="0.2">
      <c r="A1389" s="127" t="s">
        <v>3240</v>
      </c>
      <c r="B1389" s="127" t="s">
        <v>3241</v>
      </c>
      <c r="C1389" s="127" t="s">
        <v>17</v>
      </c>
      <c r="D1389" s="127"/>
      <c r="E1389" s="127"/>
      <c r="F1389" s="128"/>
      <c r="G1389" s="128"/>
      <c r="H1389" s="128"/>
      <c r="I1389" s="127" t="s">
        <v>1344</v>
      </c>
    </row>
    <row r="1390" spans="1:9" x14ac:dyDescent="0.2">
      <c r="A1390" s="127" t="s">
        <v>3242</v>
      </c>
      <c r="B1390" s="127" t="s">
        <v>3243</v>
      </c>
      <c r="C1390" s="127" t="s">
        <v>46</v>
      </c>
      <c r="D1390" s="127"/>
      <c r="E1390" s="127"/>
      <c r="F1390" s="128"/>
      <c r="G1390" s="128"/>
      <c r="H1390" s="128"/>
      <c r="I1390" s="127" t="s">
        <v>1344</v>
      </c>
    </row>
    <row r="1391" spans="1:9" x14ac:dyDescent="0.2">
      <c r="A1391" s="127" t="s">
        <v>3244</v>
      </c>
      <c r="B1391" s="127" t="s">
        <v>3245</v>
      </c>
      <c r="C1391" s="127" t="s">
        <v>17</v>
      </c>
      <c r="D1391" s="127"/>
      <c r="E1391" s="127"/>
      <c r="F1391" s="128"/>
      <c r="G1391" s="128"/>
      <c r="H1391" s="128"/>
      <c r="I1391" s="127" t="s">
        <v>1344</v>
      </c>
    </row>
    <row r="1392" spans="1:9" x14ac:dyDescent="0.2">
      <c r="A1392" s="127" t="s">
        <v>3246</v>
      </c>
      <c r="B1392" s="127" t="s">
        <v>3247</v>
      </c>
      <c r="C1392" s="127" t="s">
        <v>46</v>
      </c>
      <c r="D1392" s="127"/>
      <c r="E1392" s="127"/>
      <c r="F1392" s="128"/>
      <c r="G1392" s="128"/>
      <c r="H1392" s="128"/>
      <c r="I1392" s="127" t="s">
        <v>1344</v>
      </c>
    </row>
    <row r="1393" spans="1:9" x14ac:dyDescent="0.2">
      <c r="A1393" s="127" t="s">
        <v>3248</v>
      </c>
      <c r="B1393" s="127" t="s">
        <v>3249</v>
      </c>
      <c r="C1393" s="127" t="s">
        <v>22</v>
      </c>
      <c r="D1393" s="127"/>
      <c r="E1393" s="127"/>
      <c r="F1393" s="128"/>
      <c r="G1393" s="128"/>
      <c r="H1393" s="128"/>
      <c r="I1393" s="127" t="s">
        <v>1344</v>
      </c>
    </row>
    <row r="1394" spans="1:9" x14ac:dyDescent="0.2">
      <c r="A1394" s="127" t="s">
        <v>3250</v>
      </c>
      <c r="B1394" s="127" t="s">
        <v>3251</v>
      </c>
      <c r="C1394" s="127" t="s">
        <v>22</v>
      </c>
      <c r="D1394" s="127"/>
      <c r="E1394" s="127"/>
      <c r="F1394" s="128"/>
      <c r="G1394" s="128"/>
      <c r="H1394" s="128"/>
      <c r="I1394" s="127" t="s">
        <v>1344</v>
      </c>
    </row>
    <row r="1395" spans="1:9" x14ac:dyDescent="0.2">
      <c r="A1395" s="127" t="s">
        <v>3252</v>
      </c>
      <c r="B1395" s="127" t="s">
        <v>3253</v>
      </c>
      <c r="C1395" s="127" t="s">
        <v>17</v>
      </c>
      <c r="D1395" s="127"/>
      <c r="E1395" s="127"/>
      <c r="F1395" s="128"/>
      <c r="G1395" s="128"/>
      <c r="H1395" s="128"/>
      <c r="I1395" s="127" t="s">
        <v>1344</v>
      </c>
    </row>
    <row r="1396" spans="1:9" x14ac:dyDescent="0.2">
      <c r="A1396" s="127" t="s">
        <v>3254</v>
      </c>
      <c r="B1396" s="127" t="s">
        <v>3255</v>
      </c>
      <c r="C1396" s="127" t="s">
        <v>17</v>
      </c>
      <c r="D1396" s="127"/>
      <c r="E1396" s="127"/>
      <c r="F1396" s="128"/>
      <c r="G1396" s="128"/>
      <c r="H1396" s="128"/>
      <c r="I1396" s="127" t="s">
        <v>1344</v>
      </c>
    </row>
    <row r="1397" spans="1:9" x14ac:dyDescent="0.2">
      <c r="A1397" s="127" t="s">
        <v>3256</v>
      </c>
      <c r="B1397" s="127" t="s">
        <v>3257</v>
      </c>
      <c r="C1397" s="127" t="s">
        <v>46</v>
      </c>
      <c r="D1397" s="127"/>
      <c r="E1397" s="127"/>
      <c r="F1397" s="128"/>
      <c r="G1397" s="128"/>
      <c r="H1397" s="128"/>
      <c r="I1397" s="127" t="s">
        <v>1344</v>
      </c>
    </row>
    <row r="1398" spans="1:9" x14ac:dyDescent="0.2">
      <c r="A1398" s="127"/>
      <c r="B1398" s="127" t="s">
        <v>3258</v>
      </c>
      <c r="C1398" s="127" t="s">
        <v>22</v>
      </c>
      <c r="D1398" s="127"/>
      <c r="E1398" s="127"/>
      <c r="F1398" s="128"/>
      <c r="G1398" s="128"/>
      <c r="H1398" s="128"/>
      <c r="I1398" s="127" t="s">
        <v>1344</v>
      </c>
    </row>
    <row r="1399" spans="1:9" x14ac:dyDescent="0.2">
      <c r="A1399" s="127"/>
      <c r="B1399" s="127" t="s">
        <v>3259</v>
      </c>
      <c r="C1399" s="127" t="s">
        <v>22</v>
      </c>
      <c r="D1399" s="127"/>
      <c r="E1399" s="127"/>
      <c r="F1399" s="128"/>
      <c r="G1399" s="128"/>
      <c r="H1399" s="128"/>
      <c r="I1399" s="127" t="s">
        <v>1344</v>
      </c>
    </row>
    <row r="1400" spans="1:9" x14ac:dyDescent="0.2">
      <c r="A1400" s="127" t="s">
        <v>3260</v>
      </c>
      <c r="B1400" s="127" t="s">
        <v>3261</v>
      </c>
      <c r="C1400" s="127" t="s">
        <v>22</v>
      </c>
      <c r="D1400" s="127"/>
      <c r="E1400" s="127"/>
      <c r="F1400" s="128"/>
      <c r="G1400" s="128"/>
      <c r="H1400" s="128"/>
      <c r="I1400" s="127" t="s">
        <v>1344</v>
      </c>
    </row>
    <row r="1401" spans="1:9" x14ac:dyDescent="0.2">
      <c r="A1401" s="127" t="s">
        <v>3262</v>
      </c>
      <c r="B1401" s="127" t="s">
        <v>3263</v>
      </c>
      <c r="C1401" s="127" t="s">
        <v>22</v>
      </c>
      <c r="D1401" s="127"/>
      <c r="E1401" s="127"/>
      <c r="F1401" s="128"/>
      <c r="G1401" s="128"/>
      <c r="H1401" s="128"/>
      <c r="I1401" s="127" t="s">
        <v>1344</v>
      </c>
    </row>
    <row r="1402" spans="1:9" x14ac:dyDescent="0.2">
      <c r="A1402" s="127" t="s">
        <v>3264</v>
      </c>
      <c r="B1402" s="127" t="s">
        <v>3265</v>
      </c>
      <c r="C1402" s="127" t="s">
        <v>22</v>
      </c>
      <c r="D1402" s="127"/>
      <c r="E1402" s="127"/>
      <c r="F1402" s="128"/>
      <c r="G1402" s="128"/>
      <c r="H1402" s="128"/>
      <c r="I1402" s="127" t="s">
        <v>1344</v>
      </c>
    </row>
    <row r="1403" spans="1:9" x14ac:dyDescent="0.2">
      <c r="A1403" s="127" t="s">
        <v>3266</v>
      </c>
      <c r="B1403" s="127" t="s">
        <v>3267</v>
      </c>
      <c r="C1403" s="127" t="s">
        <v>46</v>
      </c>
      <c r="D1403" s="127"/>
      <c r="E1403" s="127"/>
      <c r="F1403" s="128"/>
      <c r="G1403" s="128"/>
      <c r="H1403" s="128"/>
      <c r="I1403" s="127" t="s">
        <v>1344</v>
      </c>
    </row>
    <row r="1404" spans="1:9" x14ac:dyDescent="0.2">
      <c r="A1404" s="127" t="s">
        <v>3268</v>
      </c>
      <c r="B1404" s="127" t="s">
        <v>3269</v>
      </c>
      <c r="C1404" s="127" t="s">
        <v>22</v>
      </c>
      <c r="D1404" s="127"/>
      <c r="E1404" s="127"/>
      <c r="F1404" s="128"/>
      <c r="G1404" s="128"/>
      <c r="H1404" s="128"/>
      <c r="I1404" s="127" t="s">
        <v>1344</v>
      </c>
    </row>
    <row r="1405" spans="1:9" x14ac:dyDescent="0.2">
      <c r="A1405" s="127" t="s">
        <v>3270</v>
      </c>
      <c r="B1405" s="127" t="s">
        <v>3271</v>
      </c>
      <c r="C1405" s="127" t="s">
        <v>22</v>
      </c>
      <c r="D1405" s="127"/>
      <c r="E1405" s="127"/>
      <c r="F1405" s="128"/>
      <c r="G1405" s="128"/>
      <c r="H1405" s="128"/>
      <c r="I1405" s="127" t="s">
        <v>1344</v>
      </c>
    </row>
    <row r="1406" spans="1:9" x14ac:dyDescent="0.2">
      <c r="A1406" s="127" t="s">
        <v>3272</v>
      </c>
      <c r="B1406" s="127" t="s">
        <v>3273</v>
      </c>
      <c r="C1406" s="127" t="s">
        <v>22</v>
      </c>
      <c r="D1406" s="127"/>
      <c r="E1406" s="127"/>
      <c r="F1406" s="128"/>
      <c r="G1406" s="128"/>
      <c r="H1406" s="128"/>
      <c r="I1406" s="127" t="s">
        <v>1344</v>
      </c>
    </row>
    <row r="1407" spans="1:9" x14ac:dyDescent="0.2">
      <c r="A1407" s="127" t="s">
        <v>3274</v>
      </c>
      <c r="B1407" s="127" t="s">
        <v>3275</v>
      </c>
      <c r="C1407" s="127" t="s">
        <v>46</v>
      </c>
      <c r="D1407" s="127"/>
      <c r="E1407" s="127"/>
      <c r="F1407" s="128"/>
      <c r="G1407" s="128"/>
      <c r="H1407" s="128"/>
      <c r="I1407" s="127" t="s">
        <v>1344</v>
      </c>
    </row>
    <row r="1408" spans="1:9" x14ac:dyDescent="0.2">
      <c r="A1408" s="127" t="s">
        <v>3276</v>
      </c>
      <c r="B1408" s="127" t="s">
        <v>3277</v>
      </c>
      <c r="C1408" s="127" t="s">
        <v>22</v>
      </c>
      <c r="D1408" s="127"/>
      <c r="E1408" s="127"/>
      <c r="F1408" s="128"/>
      <c r="G1408" s="128"/>
      <c r="H1408" s="128"/>
      <c r="I1408" s="127" t="s">
        <v>1344</v>
      </c>
    </row>
    <row r="1409" spans="1:9" x14ac:dyDescent="0.2">
      <c r="A1409" s="127" t="s">
        <v>3278</v>
      </c>
      <c r="B1409" s="127" t="s">
        <v>3279</v>
      </c>
      <c r="C1409" s="127" t="s">
        <v>22</v>
      </c>
      <c r="D1409" s="127"/>
      <c r="E1409" s="127"/>
      <c r="F1409" s="128"/>
      <c r="G1409" s="128"/>
      <c r="H1409" s="128"/>
      <c r="I1409" s="127" t="s">
        <v>1344</v>
      </c>
    </row>
    <row r="1410" spans="1:9" x14ac:dyDescent="0.2">
      <c r="A1410" s="127" t="s">
        <v>2231</v>
      </c>
      <c r="B1410" s="127" t="s">
        <v>3280</v>
      </c>
      <c r="C1410" s="127" t="s">
        <v>22</v>
      </c>
      <c r="D1410" s="127"/>
      <c r="E1410" s="127"/>
      <c r="F1410" s="128"/>
      <c r="G1410" s="128"/>
      <c r="H1410" s="128"/>
      <c r="I1410" s="127" t="s">
        <v>1344</v>
      </c>
    </row>
    <row r="1411" spans="1:9" x14ac:dyDescent="0.2">
      <c r="A1411" s="127" t="s">
        <v>3281</v>
      </c>
      <c r="B1411" s="127" t="s">
        <v>3282</v>
      </c>
      <c r="C1411" s="127" t="s">
        <v>22</v>
      </c>
      <c r="D1411" s="127"/>
      <c r="E1411" s="127"/>
      <c r="F1411" s="128"/>
      <c r="G1411" s="128"/>
      <c r="H1411" s="128"/>
      <c r="I1411" s="127" t="s">
        <v>1344</v>
      </c>
    </row>
    <row r="1412" spans="1:9" x14ac:dyDescent="0.2">
      <c r="A1412" s="127" t="s">
        <v>3283</v>
      </c>
      <c r="B1412" s="127" t="s">
        <v>3284</v>
      </c>
      <c r="C1412" s="127" t="s">
        <v>17</v>
      </c>
      <c r="D1412" s="127"/>
      <c r="E1412" s="127"/>
      <c r="F1412" s="128"/>
      <c r="G1412" s="128"/>
      <c r="H1412" s="128"/>
      <c r="I1412" s="127" t="s">
        <v>1344</v>
      </c>
    </row>
    <row r="1413" spans="1:9" x14ac:dyDescent="0.2">
      <c r="A1413" s="127" t="s">
        <v>3285</v>
      </c>
      <c r="B1413" s="127" t="s">
        <v>3286</v>
      </c>
      <c r="C1413" s="127" t="s">
        <v>17</v>
      </c>
      <c r="D1413" s="127"/>
      <c r="E1413" s="127"/>
      <c r="F1413" s="128"/>
      <c r="G1413" s="128"/>
      <c r="H1413" s="128"/>
      <c r="I1413" s="127" t="s">
        <v>1344</v>
      </c>
    </row>
    <row r="1414" spans="1:9" x14ac:dyDescent="0.2">
      <c r="A1414" s="127" t="s">
        <v>1862</v>
      </c>
      <c r="B1414" s="127" t="s">
        <v>3287</v>
      </c>
      <c r="C1414" s="127" t="s">
        <v>22</v>
      </c>
      <c r="D1414" s="127"/>
      <c r="E1414" s="127"/>
      <c r="F1414" s="128"/>
      <c r="G1414" s="128"/>
      <c r="H1414" s="128"/>
      <c r="I1414" s="127" t="s">
        <v>1344</v>
      </c>
    </row>
    <row r="1415" spans="1:9" x14ac:dyDescent="0.2">
      <c r="A1415" s="127" t="s">
        <v>1862</v>
      </c>
      <c r="B1415" s="127" t="s">
        <v>3288</v>
      </c>
      <c r="C1415" s="127" t="s">
        <v>22</v>
      </c>
      <c r="D1415" s="127"/>
      <c r="E1415" s="127"/>
      <c r="F1415" s="128"/>
      <c r="G1415" s="128"/>
      <c r="H1415" s="128"/>
      <c r="I1415" s="127" t="s">
        <v>1344</v>
      </c>
    </row>
    <row r="1416" spans="1:9" x14ac:dyDescent="0.2">
      <c r="A1416" s="127" t="s">
        <v>3289</v>
      </c>
      <c r="B1416" s="127" t="s">
        <v>3290</v>
      </c>
      <c r="C1416" s="127" t="s">
        <v>22</v>
      </c>
      <c r="D1416" s="127"/>
      <c r="E1416" s="127"/>
      <c r="F1416" s="128"/>
      <c r="G1416" s="128"/>
      <c r="H1416" s="128"/>
      <c r="I1416" s="127" t="s">
        <v>1344</v>
      </c>
    </row>
    <row r="1417" spans="1:9" x14ac:dyDescent="0.2">
      <c r="A1417" s="127" t="s">
        <v>1862</v>
      </c>
      <c r="B1417" s="127" t="s">
        <v>3291</v>
      </c>
      <c r="C1417" s="127" t="s">
        <v>22</v>
      </c>
      <c r="D1417" s="127"/>
      <c r="E1417" s="127"/>
      <c r="F1417" s="128"/>
      <c r="G1417" s="128"/>
      <c r="H1417" s="128"/>
      <c r="I1417" s="127" t="s">
        <v>1344</v>
      </c>
    </row>
    <row r="1418" spans="1:9" x14ac:dyDescent="0.2">
      <c r="A1418" s="127" t="s">
        <v>3292</v>
      </c>
      <c r="B1418" s="127" t="s">
        <v>3293</v>
      </c>
      <c r="C1418" s="127" t="s">
        <v>46</v>
      </c>
      <c r="D1418" s="127"/>
      <c r="E1418" s="127"/>
      <c r="F1418" s="128"/>
      <c r="G1418" s="128"/>
      <c r="H1418" s="128"/>
      <c r="I1418" s="127" t="s">
        <v>1344</v>
      </c>
    </row>
    <row r="1419" spans="1:9" x14ac:dyDescent="0.2">
      <c r="A1419" s="127" t="s">
        <v>3294</v>
      </c>
      <c r="B1419" s="127" t="s">
        <v>3295</v>
      </c>
      <c r="C1419" s="127" t="s">
        <v>22</v>
      </c>
      <c r="D1419" s="127"/>
      <c r="E1419" s="127"/>
      <c r="F1419" s="128"/>
      <c r="G1419" s="128"/>
      <c r="H1419" s="128"/>
      <c r="I1419" s="127" t="s">
        <v>1344</v>
      </c>
    </row>
    <row r="1420" spans="1:9" x14ac:dyDescent="0.2">
      <c r="A1420" s="127" t="s">
        <v>3296</v>
      </c>
      <c r="B1420" s="127" t="s">
        <v>3297</v>
      </c>
      <c r="C1420" s="127" t="s">
        <v>17</v>
      </c>
      <c r="D1420" s="127"/>
      <c r="E1420" s="127"/>
      <c r="F1420" s="128"/>
      <c r="G1420" s="128"/>
      <c r="H1420" s="128"/>
      <c r="I1420" s="127" t="s">
        <v>1344</v>
      </c>
    </row>
    <row r="1421" spans="1:9" x14ac:dyDescent="0.2">
      <c r="A1421" s="127" t="s">
        <v>3298</v>
      </c>
      <c r="B1421" s="127" t="s">
        <v>3299</v>
      </c>
      <c r="C1421" s="127" t="s">
        <v>46</v>
      </c>
      <c r="D1421" s="127"/>
      <c r="E1421" s="127"/>
      <c r="F1421" s="128"/>
      <c r="G1421" s="128"/>
      <c r="H1421" s="128"/>
      <c r="I1421" s="127" t="s">
        <v>1344</v>
      </c>
    </row>
    <row r="1422" spans="1:9" x14ac:dyDescent="0.2">
      <c r="A1422" s="127" t="s">
        <v>3300</v>
      </c>
      <c r="B1422" s="127" t="s">
        <v>3301</v>
      </c>
      <c r="C1422" s="127" t="s">
        <v>22</v>
      </c>
      <c r="D1422" s="127"/>
      <c r="E1422" s="127"/>
      <c r="F1422" s="128"/>
      <c r="G1422" s="128"/>
      <c r="H1422" s="128"/>
      <c r="I1422" s="127" t="s">
        <v>1344</v>
      </c>
    </row>
    <row r="1423" spans="1:9" x14ac:dyDescent="0.2">
      <c r="A1423" s="127"/>
      <c r="B1423" s="127" t="s">
        <v>3302</v>
      </c>
      <c r="C1423" s="127" t="s">
        <v>22</v>
      </c>
      <c r="D1423" s="127"/>
      <c r="E1423" s="127"/>
      <c r="F1423" s="128"/>
      <c r="G1423" s="128"/>
      <c r="H1423" s="128"/>
      <c r="I1423" s="127" t="s">
        <v>1344</v>
      </c>
    </row>
    <row r="1424" spans="1:9" x14ac:dyDescent="0.2">
      <c r="A1424" s="127" t="s">
        <v>3303</v>
      </c>
      <c r="B1424" s="127" t="s">
        <v>3304</v>
      </c>
      <c r="C1424" s="127" t="s">
        <v>46</v>
      </c>
      <c r="D1424" s="127"/>
      <c r="E1424" s="127"/>
      <c r="F1424" s="128"/>
      <c r="G1424" s="128"/>
      <c r="H1424" s="128"/>
      <c r="I1424" s="127" t="s">
        <v>1344</v>
      </c>
    </row>
    <row r="1425" spans="1:9" x14ac:dyDescent="0.2">
      <c r="A1425" s="127" t="s">
        <v>3305</v>
      </c>
      <c r="B1425" s="127" t="s">
        <v>3306</v>
      </c>
      <c r="C1425" s="127" t="s">
        <v>46</v>
      </c>
      <c r="D1425" s="127"/>
      <c r="E1425" s="127"/>
      <c r="F1425" s="128"/>
      <c r="G1425" s="128"/>
      <c r="H1425" s="128"/>
      <c r="I1425" s="127" t="s">
        <v>1344</v>
      </c>
    </row>
    <row r="1426" spans="1:9" x14ac:dyDescent="0.2">
      <c r="A1426" s="127" t="s">
        <v>3307</v>
      </c>
      <c r="B1426" s="127" t="s">
        <v>3308</v>
      </c>
      <c r="C1426" s="127" t="s">
        <v>46</v>
      </c>
      <c r="D1426" s="127"/>
      <c r="E1426" s="127"/>
      <c r="F1426" s="128"/>
      <c r="G1426" s="128"/>
      <c r="H1426" s="128"/>
      <c r="I1426" s="127" t="s">
        <v>1344</v>
      </c>
    </row>
    <row r="1427" spans="1:9" x14ac:dyDescent="0.2">
      <c r="A1427" s="127" t="s">
        <v>3309</v>
      </c>
      <c r="B1427" s="127" t="s">
        <v>3310</v>
      </c>
      <c r="C1427" s="127" t="s">
        <v>22</v>
      </c>
      <c r="D1427" s="127"/>
      <c r="E1427" s="127"/>
      <c r="F1427" s="128"/>
      <c r="G1427" s="128"/>
      <c r="H1427" s="128"/>
      <c r="I1427" s="127" t="s">
        <v>1344</v>
      </c>
    </row>
    <row r="1428" spans="1:9" x14ac:dyDescent="0.2">
      <c r="A1428" s="127" t="s">
        <v>3311</v>
      </c>
      <c r="B1428" s="127" t="s">
        <v>3312</v>
      </c>
      <c r="C1428" s="127" t="s">
        <v>17</v>
      </c>
      <c r="D1428" s="127"/>
      <c r="E1428" s="127"/>
      <c r="F1428" s="128"/>
      <c r="G1428" s="128"/>
      <c r="H1428" s="128"/>
      <c r="I1428" s="127" t="s">
        <v>1344</v>
      </c>
    </row>
    <row r="1429" spans="1:9" x14ac:dyDescent="0.2">
      <c r="A1429" s="127" t="s">
        <v>3313</v>
      </c>
      <c r="B1429" s="127" t="s">
        <v>3314</v>
      </c>
      <c r="C1429" s="127" t="s">
        <v>17</v>
      </c>
      <c r="D1429" s="127"/>
      <c r="E1429" s="127"/>
      <c r="F1429" s="128"/>
      <c r="G1429" s="128"/>
      <c r="H1429" s="128"/>
      <c r="I1429" s="127" t="s">
        <v>1344</v>
      </c>
    </row>
    <row r="1430" spans="1:9" x14ac:dyDescent="0.2">
      <c r="A1430" s="127" t="s">
        <v>2235</v>
      </c>
      <c r="B1430" s="127" t="s">
        <v>3315</v>
      </c>
      <c r="C1430" s="127" t="s">
        <v>46</v>
      </c>
      <c r="D1430" s="127"/>
      <c r="E1430" s="127"/>
      <c r="F1430" s="128"/>
      <c r="G1430" s="128"/>
      <c r="H1430" s="128"/>
      <c r="I1430" s="127" t="s">
        <v>1344</v>
      </c>
    </row>
    <row r="1431" spans="1:9" x14ac:dyDescent="0.2">
      <c r="A1431" s="127" t="s">
        <v>1862</v>
      </c>
      <c r="B1431" s="127" t="s">
        <v>3316</v>
      </c>
      <c r="C1431" s="127" t="s">
        <v>22</v>
      </c>
      <c r="D1431" s="127"/>
      <c r="E1431" s="127"/>
      <c r="F1431" s="128"/>
      <c r="G1431" s="128"/>
      <c r="H1431" s="128"/>
      <c r="I1431" s="127" t="s">
        <v>1344</v>
      </c>
    </row>
    <row r="1432" spans="1:9" x14ac:dyDescent="0.2">
      <c r="A1432" s="127" t="s">
        <v>3317</v>
      </c>
      <c r="B1432" s="127" t="s">
        <v>3318</v>
      </c>
      <c r="C1432" s="127" t="s">
        <v>17</v>
      </c>
      <c r="D1432" s="127"/>
      <c r="E1432" s="127"/>
      <c r="F1432" s="128"/>
      <c r="G1432" s="128"/>
      <c r="H1432" s="128"/>
      <c r="I1432" s="127" t="s">
        <v>1344</v>
      </c>
    </row>
    <row r="1433" spans="1:9" x14ac:dyDescent="0.2">
      <c r="A1433" s="127" t="s">
        <v>3319</v>
      </c>
      <c r="B1433" s="127" t="s">
        <v>3320</v>
      </c>
      <c r="C1433" s="127" t="s">
        <v>46</v>
      </c>
      <c r="D1433" s="127"/>
      <c r="E1433" s="127"/>
      <c r="F1433" s="128"/>
      <c r="G1433" s="128"/>
      <c r="H1433" s="128"/>
      <c r="I1433" s="127" t="s">
        <v>1344</v>
      </c>
    </row>
    <row r="1434" spans="1:9" x14ac:dyDescent="0.2">
      <c r="A1434" s="127" t="s">
        <v>3321</v>
      </c>
      <c r="B1434" s="127" t="s">
        <v>3322</v>
      </c>
      <c r="C1434" s="127" t="s">
        <v>22</v>
      </c>
      <c r="D1434" s="127"/>
      <c r="E1434" s="127"/>
      <c r="F1434" s="128"/>
      <c r="G1434" s="128"/>
      <c r="H1434" s="128"/>
      <c r="I1434" s="127" t="s">
        <v>1344</v>
      </c>
    </row>
    <row r="1435" spans="1:9" x14ac:dyDescent="0.2">
      <c r="A1435" s="127" t="s">
        <v>3323</v>
      </c>
      <c r="B1435" s="127" t="s">
        <v>3324</v>
      </c>
      <c r="C1435" s="127" t="s">
        <v>17</v>
      </c>
      <c r="D1435" s="127"/>
      <c r="E1435" s="127"/>
      <c r="F1435" s="128"/>
      <c r="G1435" s="128"/>
      <c r="H1435" s="128"/>
      <c r="I1435" s="127" t="s">
        <v>1344</v>
      </c>
    </row>
    <row r="1436" spans="1:9" x14ac:dyDescent="0.2">
      <c r="A1436" s="127" t="s">
        <v>3325</v>
      </c>
      <c r="B1436" s="127" t="s">
        <v>3326</v>
      </c>
      <c r="C1436" s="127" t="s">
        <v>22</v>
      </c>
      <c r="D1436" s="127"/>
      <c r="E1436" s="127"/>
      <c r="F1436" s="128"/>
      <c r="G1436" s="128"/>
      <c r="H1436" s="128"/>
      <c r="I1436" s="127" t="s">
        <v>1344</v>
      </c>
    </row>
    <row r="1437" spans="1:9" x14ac:dyDescent="0.2">
      <c r="A1437" s="127" t="s">
        <v>3327</v>
      </c>
      <c r="B1437" s="127" t="s">
        <v>3328</v>
      </c>
      <c r="C1437" s="127" t="s">
        <v>46</v>
      </c>
      <c r="D1437" s="127"/>
      <c r="E1437" s="127"/>
      <c r="F1437" s="128"/>
      <c r="G1437" s="128"/>
      <c r="H1437" s="128"/>
      <c r="I1437" s="127" t="s">
        <v>1344</v>
      </c>
    </row>
    <row r="1438" spans="1:9" x14ac:dyDescent="0.2">
      <c r="A1438" s="127" t="s">
        <v>3329</v>
      </c>
      <c r="B1438" s="127" t="s">
        <v>3330</v>
      </c>
      <c r="C1438" s="127" t="s">
        <v>46</v>
      </c>
      <c r="D1438" s="127"/>
      <c r="E1438" s="127"/>
      <c r="F1438" s="128"/>
      <c r="G1438" s="128"/>
      <c r="H1438" s="128"/>
      <c r="I1438" s="127" t="s">
        <v>1344</v>
      </c>
    </row>
    <row r="1439" spans="1:9" x14ac:dyDescent="0.2">
      <c r="A1439" s="127" t="s">
        <v>3331</v>
      </c>
      <c r="B1439" s="127" t="s">
        <v>3332</v>
      </c>
      <c r="C1439" s="127" t="s">
        <v>46</v>
      </c>
      <c r="D1439" s="127"/>
      <c r="E1439" s="127"/>
      <c r="F1439" s="128"/>
      <c r="G1439" s="128"/>
      <c r="H1439" s="128"/>
      <c r="I1439" s="127" t="s">
        <v>1344</v>
      </c>
    </row>
    <row r="1440" spans="1:9" x14ac:dyDescent="0.2">
      <c r="A1440" s="127" t="s">
        <v>3333</v>
      </c>
      <c r="B1440" s="127" t="s">
        <v>3334</v>
      </c>
      <c r="C1440" s="127" t="s">
        <v>46</v>
      </c>
      <c r="D1440" s="127"/>
      <c r="E1440" s="127"/>
      <c r="F1440" s="128"/>
      <c r="G1440" s="128"/>
      <c r="H1440" s="128"/>
      <c r="I1440" s="127" t="s">
        <v>1344</v>
      </c>
    </row>
    <row r="1441" spans="1:9" x14ac:dyDescent="0.2">
      <c r="A1441" s="127" t="s">
        <v>3335</v>
      </c>
      <c r="B1441" s="127" t="s">
        <v>3336</v>
      </c>
      <c r="C1441" s="127" t="s">
        <v>17</v>
      </c>
      <c r="D1441" s="127"/>
      <c r="E1441" s="127"/>
      <c r="F1441" s="128"/>
      <c r="G1441" s="128"/>
      <c r="H1441" s="128"/>
      <c r="I1441" s="127" t="s">
        <v>1344</v>
      </c>
    </row>
    <row r="1442" spans="1:9" x14ac:dyDescent="0.2">
      <c r="A1442" s="127" t="s">
        <v>3337</v>
      </c>
      <c r="B1442" s="127" t="s">
        <v>3338</v>
      </c>
      <c r="C1442" s="127" t="s">
        <v>46</v>
      </c>
      <c r="D1442" s="127"/>
      <c r="E1442" s="127"/>
      <c r="F1442" s="128"/>
      <c r="G1442" s="128"/>
      <c r="H1442" s="128"/>
      <c r="I1442" s="127" t="s">
        <v>1344</v>
      </c>
    </row>
    <row r="1443" spans="1:9" x14ac:dyDescent="0.2">
      <c r="A1443" s="127" t="s">
        <v>3339</v>
      </c>
      <c r="B1443" s="127" t="s">
        <v>3340</v>
      </c>
      <c r="C1443" s="127" t="s">
        <v>46</v>
      </c>
      <c r="D1443" s="127"/>
      <c r="E1443" s="127"/>
      <c r="F1443" s="128"/>
      <c r="G1443" s="128"/>
      <c r="H1443" s="128"/>
      <c r="I1443" s="127" t="s">
        <v>1344</v>
      </c>
    </row>
    <row r="1444" spans="1:9" x14ac:dyDescent="0.2">
      <c r="A1444" s="127" t="s">
        <v>3341</v>
      </c>
      <c r="B1444" s="127" t="s">
        <v>1094</v>
      </c>
      <c r="C1444" s="127" t="s">
        <v>46</v>
      </c>
      <c r="D1444" s="127"/>
      <c r="E1444" s="127"/>
      <c r="F1444" s="128"/>
      <c r="G1444" s="128"/>
      <c r="H1444" s="128"/>
      <c r="I1444" s="127" t="s">
        <v>1344</v>
      </c>
    </row>
    <row r="1445" spans="1:9" x14ac:dyDescent="0.2">
      <c r="A1445" s="127" t="s">
        <v>3342</v>
      </c>
      <c r="B1445" s="127" t="s">
        <v>3343</v>
      </c>
      <c r="C1445" s="127" t="s">
        <v>22</v>
      </c>
      <c r="D1445" s="127"/>
      <c r="E1445" s="127"/>
      <c r="F1445" s="128"/>
      <c r="G1445" s="128"/>
      <c r="H1445" s="128"/>
      <c r="I1445" s="127" t="s">
        <v>1344</v>
      </c>
    </row>
    <row r="1446" spans="1:9" x14ac:dyDescent="0.2">
      <c r="A1446" s="127" t="s">
        <v>3344</v>
      </c>
      <c r="B1446" s="127" t="s">
        <v>3345</v>
      </c>
      <c r="C1446" s="127" t="s">
        <v>46</v>
      </c>
      <c r="D1446" s="127"/>
      <c r="E1446" s="127"/>
      <c r="F1446" s="128"/>
      <c r="G1446" s="128"/>
      <c r="H1446" s="128"/>
      <c r="I1446" s="127" t="s">
        <v>1344</v>
      </c>
    </row>
    <row r="1447" spans="1:9" x14ac:dyDescent="0.2">
      <c r="A1447" s="127" t="s">
        <v>3346</v>
      </c>
      <c r="B1447" s="127" t="s">
        <v>3347</v>
      </c>
      <c r="C1447" s="127" t="s">
        <v>46</v>
      </c>
      <c r="D1447" s="127"/>
      <c r="E1447" s="127"/>
      <c r="F1447" s="128"/>
      <c r="G1447" s="128"/>
      <c r="H1447" s="128"/>
      <c r="I1447" s="127" t="s">
        <v>1344</v>
      </c>
    </row>
    <row r="1448" spans="1:9" x14ac:dyDescent="0.2">
      <c r="A1448" s="127" t="s">
        <v>3348</v>
      </c>
      <c r="B1448" s="127" t="s">
        <v>3349</v>
      </c>
      <c r="C1448" s="127" t="s">
        <v>46</v>
      </c>
      <c r="D1448" s="127"/>
      <c r="E1448" s="127"/>
      <c r="F1448" s="128"/>
      <c r="G1448" s="128"/>
      <c r="H1448" s="128"/>
      <c r="I1448" s="127" t="s">
        <v>1344</v>
      </c>
    </row>
    <row r="1449" spans="1:9" x14ac:dyDescent="0.2">
      <c r="A1449" s="127" t="s">
        <v>3350</v>
      </c>
      <c r="B1449" s="127" t="s">
        <v>3351</v>
      </c>
      <c r="C1449" s="127" t="s">
        <v>46</v>
      </c>
      <c r="D1449" s="127"/>
      <c r="E1449" s="127"/>
      <c r="F1449" s="128"/>
      <c r="G1449" s="128"/>
      <c r="H1449" s="128"/>
      <c r="I1449" s="127" t="s">
        <v>1344</v>
      </c>
    </row>
    <row r="1450" spans="1:9" x14ac:dyDescent="0.2">
      <c r="A1450" s="127" t="s">
        <v>3352</v>
      </c>
      <c r="B1450" s="127" t="s">
        <v>3353</v>
      </c>
      <c r="C1450" s="127" t="s">
        <v>17</v>
      </c>
      <c r="D1450" s="127"/>
      <c r="E1450" s="127"/>
      <c r="F1450" s="128"/>
      <c r="G1450" s="128"/>
      <c r="H1450" s="128"/>
      <c r="I1450" s="127" t="s">
        <v>1344</v>
      </c>
    </row>
    <row r="1451" spans="1:9" x14ac:dyDescent="0.2">
      <c r="A1451" s="127" t="s">
        <v>3354</v>
      </c>
      <c r="B1451" s="127" t="s">
        <v>3355</v>
      </c>
      <c r="C1451" s="127" t="s">
        <v>46</v>
      </c>
      <c r="D1451" s="127"/>
      <c r="E1451" s="127"/>
      <c r="F1451" s="128"/>
      <c r="G1451" s="128"/>
      <c r="H1451" s="128"/>
      <c r="I1451" s="127" t="s">
        <v>1344</v>
      </c>
    </row>
    <row r="1452" spans="1:9" x14ac:dyDescent="0.2">
      <c r="A1452" s="127" t="s">
        <v>3356</v>
      </c>
      <c r="B1452" s="127" t="s">
        <v>3357</v>
      </c>
      <c r="C1452" s="127" t="s">
        <v>46</v>
      </c>
      <c r="D1452" s="127"/>
      <c r="E1452" s="127"/>
      <c r="F1452" s="128"/>
      <c r="G1452" s="128"/>
      <c r="H1452" s="128"/>
      <c r="I1452" s="127" t="s">
        <v>1344</v>
      </c>
    </row>
    <row r="1453" spans="1:9" x14ac:dyDescent="0.2">
      <c r="A1453" s="127" t="s">
        <v>3358</v>
      </c>
      <c r="B1453" s="127" t="s">
        <v>3359</v>
      </c>
      <c r="C1453" s="127" t="s">
        <v>46</v>
      </c>
      <c r="D1453" s="127"/>
      <c r="E1453" s="127"/>
      <c r="F1453" s="128"/>
      <c r="G1453" s="128"/>
      <c r="H1453" s="128"/>
      <c r="I1453" s="127" t="s">
        <v>1344</v>
      </c>
    </row>
    <row r="1454" spans="1:9" x14ac:dyDescent="0.2">
      <c r="A1454" s="127" t="s">
        <v>3360</v>
      </c>
      <c r="B1454" s="127" t="s">
        <v>3361</v>
      </c>
      <c r="C1454" s="127" t="s">
        <v>46</v>
      </c>
      <c r="D1454" s="127"/>
      <c r="E1454" s="127"/>
      <c r="F1454" s="128"/>
      <c r="G1454" s="128"/>
      <c r="H1454" s="128"/>
      <c r="I1454" s="127" t="s">
        <v>1344</v>
      </c>
    </row>
    <row r="1455" spans="1:9" x14ac:dyDescent="0.2">
      <c r="A1455" s="127" t="s">
        <v>3362</v>
      </c>
      <c r="B1455" s="127" t="s">
        <v>3363</v>
      </c>
      <c r="C1455" s="127" t="s">
        <v>46</v>
      </c>
      <c r="D1455" s="127"/>
      <c r="E1455" s="127"/>
      <c r="F1455" s="128"/>
      <c r="G1455" s="128"/>
      <c r="H1455" s="128"/>
      <c r="I1455" s="127" t="s">
        <v>1344</v>
      </c>
    </row>
    <row r="1456" spans="1:9" x14ac:dyDescent="0.2">
      <c r="A1456" s="127" t="s">
        <v>3364</v>
      </c>
      <c r="B1456" s="127" t="s">
        <v>3365</v>
      </c>
      <c r="C1456" s="127" t="s">
        <v>46</v>
      </c>
      <c r="D1456" s="127"/>
      <c r="E1456" s="127"/>
      <c r="F1456" s="128"/>
      <c r="G1456" s="128"/>
      <c r="H1456" s="128"/>
      <c r="I1456" s="127" t="s">
        <v>1344</v>
      </c>
    </row>
    <row r="1457" spans="1:9" x14ac:dyDescent="0.2">
      <c r="A1457" s="127" t="s">
        <v>3366</v>
      </c>
      <c r="B1457" s="127" t="s">
        <v>3367</v>
      </c>
      <c r="C1457" s="127" t="s">
        <v>46</v>
      </c>
      <c r="D1457" s="127"/>
      <c r="E1457" s="127"/>
      <c r="F1457" s="128"/>
      <c r="G1457" s="128"/>
      <c r="H1457" s="128"/>
      <c r="I1457" s="127" t="s">
        <v>1344</v>
      </c>
    </row>
    <row r="1458" spans="1:9" x14ac:dyDescent="0.2">
      <c r="A1458" s="127" t="s">
        <v>3368</v>
      </c>
      <c r="B1458" s="127" t="s">
        <v>3369</v>
      </c>
      <c r="C1458" s="127" t="s">
        <v>17</v>
      </c>
      <c r="D1458" s="127"/>
      <c r="E1458" s="127"/>
      <c r="F1458" s="128"/>
      <c r="G1458" s="128"/>
      <c r="H1458" s="128"/>
      <c r="I1458" s="127" t="s">
        <v>1344</v>
      </c>
    </row>
    <row r="1459" spans="1:9" x14ac:dyDescent="0.2">
      <c r="A1459" s="127" t="s">
        <v>3370</v>
      </c>
      <c r="B1459" s="127" t="s">
        <v>3371</v>
      </c>
      <c r="C1459" s="127" t="s">
        <v>17</v>
      </c>
      <c r="D1459" s="127"/>
      <c r="E1459" s="127"/>
      <c r="F1459" s="128"/>
      <c r="G1459" s="128"/>
      <c r="H1459" s="128"/>
      <c r="I1459" s="127" t="s">
        <v>1344</v>
      </c>
    </row>
    <row r="1460" spans="1:9" x14ac:dyDescent="0.2">
      <c r="A1460" s="127" t="s">
        <v>1853</v>
      </c>
      <c r="B1460" s="127" t="s">
        <v>3372</v>
      </c>
      <c r="C1460" s="127" t="s">
        <v>17</v>
      </c>
      <c r="D1460" s="127"/>
      <c r="E1460" s="127"/>
      <c r="F1460" s="128"/>
      <c r="G1460" s="128"/>
      <c r="H1460" s="128"/>
      <c r="I1460" s="127" t="s">
        <v>1344</v>
      </c>
    </row>
    <row r="1461" spans="1:9" x14ac:dyDescent="0.2">
      <c r="A1461" s="127" t="s">
        <v>3373</v>
      </c>
      <c r="B1461" s="127" t="s">
        <v>3374</v>
      </c>
      <c r="C1461" s="127" t="s">
        <v>22</v>
      </c>
      <c r="D1461" s="127"/>
      <c r="E1461" s="127"/>
      <c r="F1461" s="128"/>
      <c r="G1461" s="128"/>
      <c r="H1461" s="128"/>
      <c r="I1461" s="127" t="s">
        <v>1344</v>
      </c>
    </row>
    <row r="1462" spans="1:9" x14ac:dyDescent="0.2">
      <c r="A1462" s="127" t="s">
        <v>3375</v>
      </c>
      <c r="B1462" s="127" t="s">
        <v>3376</v>
      </c>
      <c r="C1462" s="127" t="s">
        <v>17</v>
      </c>
      <c r="D1462" s="127"/>
      <c r="E1462" s="127"/>
      <c r="F1462" s="128"/>
      <c r="G1462" s="128"/>
      <c r="H1462" s="128"/>
      <c r="I1462" s="127" t="s">
        <v>1344</v>
      </c>
    </row>
    <row r="1463" spans="1:9" x14ac:dyDescent="0.2">
      <c r="A1463" s="127" t="s">
        <v>3377</v>
      </c>
      <c r="B1463" s="127" t="s">
        <v>3378</v>
      </c>
      <c r="C1463" s="127" t="s">
        <v>46</v>
      </c>
      <c r="D1463" s="127"/>
      <c r="E1463" s="127"/>
      <c r="F1463" s="128"/>
      <c r="G1463" s="128"/>
      <c r="H1463" s="128"/>
      <c r="I1463" s="127" t="s">
        <v>1344</v>
      </c>
    </row>
    <row r="1464" spans="1:9" x14ac:dyDescent="0.2">
      <c r="A1464" s="127"/>
      <c r="B1464" s="127" t="s">
        <v>3379</v>
      </c>
      <c r="C1464" s="127" t="s">
        <v>17</v>
      </c>
      <c r="D1464" s="127"/>
      <c r="E1464" s="127"/>
      <c r="F1464" s="128"/>
      <c r="G1464" s="128"/>
      <c r="H1464" s="128"/>
      <c r="I1464" s="127" t="s">
        <v>1344</v>
      </c>
    </row>
    <row r="1465" spans="1:9" x14ac:dyDescent="0.2">
      <c r="A1465" s="127" t="s">
        <v>3380</v>
      </c>
      <c r="B1465" s="127" t="s">
        <v>3381</v>
      </c>
      <c r="C1465" s="127" t="s">
        <v>46</v>
      </c>
      <c r="D1465" s="127"/>
      <c r="E1465" s="127"/>
      <c r="F1465" s="128"/>
      <c r="G1465" s="128"/>
      <c r="H1465" s="128"/>
      <c r="I1465" s="127" t="s">
        <v>1344</v>
      </c>
    </row>
    <row r="1466" spans="1:9" x14ac:dyDescent="0.2">
      <c r="A1466" s="127" t="s">
        <v>3382</v>
      </c>
      <c r="B1466" s="127" t="s">
        <v>3383</v>
      </c>
      <c r="C1466" s="127" t="s">
        <v>22</v>
      </c>
      <c r="D1466" s="127"/>
      <c r="E1466" s="127"/>
      <c r="F1466" s="128"/>
      <c r="G1466" s="128"/>
      <c r="H1466" s="128"/>
      <c r="I1466" s="127" t="s">
        <v>1344</v>
      </c>
    </row>
    <row r="1467" spans="1:9" x14ac:dyDescent="0.2">
      <c r="A1467" s="127" t="s">
        <v>2122</v>
      </c>
      <c r="B1467" s="127" t="s">
        <v>3384</v>
      </c>
      <c r="C1467" s="127" t="s">
        <v>22</v>
      </c>
      <c r="D1467" s="127"/>
      <c r="E1467" s="127"/>
      <c r="F1467" s="128"/>
      <c r="G1467" s="128"/>
      <c r="H1467" s="128"/>
      <c r="I1467" s="127" t="s">
        <v>1344</v>
      </c>
    </row>
    <row r="1468" spans="1:9" x14ac:dyDescent="0.2">
      <c r="A1468" s="127" t="s">
        <v>3385</v>
      </c>
      <c r="B1468" s="127" t="s">
        <v>3386</v>
      </c>
      <c r="C1468" s="127" t="s">
        <v>22</v>
      </c>
      <c r="D1468" s="127"/>
      <c r="E1468" s="127"/>
      <c r="F1468" s="128"/>
      <c r="G1468" s="128"/>
      <c r="H1468" s="128"/>
      <c r="I1468" s="127" t="s">
        <v>1344</v>
      </c>
    </row>
    <row r="1469" spans="1:9" x14ac:dyDescent="0.2">
      <c r="A1469" s="127" t="s">
        <v>3387</v>
      </c>
      <c r="B1469" s="127" t="s">
        <v>1323</v>
      </c>
      <c r="C1469" s="127" t="s">
        <v>22</v>
      </c>
      <c r="D1469" s="127"/>
      <c r="E1469" s="127"/>
      <c r="F1469" s="128"/>
      <c r="G1469" s="128"/>
      <c r="H1469" s="128"/>
      <c r="I1469" s="127" t="s">
        <v>1344</v>
      </c>
    </row>
    <row r="1470" spans="1:9" x14ac:dyDescent="0.2">
      <c r="A1470" s="127" t="s">
        <v>3388</v>
      </c>
      <c r="B1470" s="127" t="s">
        <v>3389</v>
      </c>
      <c r="C1470" s="127" t="s">
        <v>22</v>
      </c>
      <c r="D1470" s="127"/>
      <c r="E1470" s="127"/>
      <c r="F1470" s="128"/>
      <c r="G1470" s="128"/>
      <c r="H1470" s="128"/>
      <c r="I1470" s="127" t="s">
        <v>1344</v>
      </c>
    </row>
    <row r="1471" spans="1:9" x14ac:dyDescent="0.2">
      <c r="A1471" s="127" t="s">
        <v>3390</v>
      </c>
      <c r="B1471" s="127" t="s">
        <v>3391</v>
      </c>
      <c r="C1471" s="127" t="s">
        <v>46</v>
      </c>
      <c r="D1471" s="127"/>
      <c r="E1471" s="127"/>
      <c r="F1471" s="128"/>
      <c r="G1471" s="128"/>
      <c r="H1471" s="128"/>
      <c r="I1471" s="127" t="s">
        <v>1344</v>
      </c>
    </row>
    <row r="1472" spans="1:9" x14ac:dyDescent="0.2">
      <c r="A1472" s="127" t="s">
        <v>3392</v>
      </c>
      <c r="B1472" s="127" t="s">
        <v>3393</v>
      </c>
      <c r="C1472" s="127" t="s">
        <v>46</v>
      </c>
      <c r="D1472" s="127"/>
      <c r="E1472" s="127"/>
      <c r="F1472" s="128"/>
      <c r="G1472" s="128"/>
      <c r="H1472" s="128"/>
      <c r="I1472" s="127" t="s">
        <v>1344</v>
      </c>
    </row>
    <row r="1473" spans="1:9" x14ac:dyDescent="0.2">
      <c r="A1473" s="127" t="s">
        <v>3394</v>
      </c>
      <c r="B1473" s="127" t="s">
        <v>3395</v>
      </c>
      <c r="C1473" s="127" t="s">
        <v>46</v>
      </c>
      <c r="D1473" s="127"/>
      <c r="E1473" s="127"/>
      <c r="F1473" s="128"/>
      <c r="G1473" s="128"/>
      <c r="H1473" s="128"/>
      <c r="I1473" s="127" t="s">
        <v>1344</v>
      </c>
    </row>
    <row r="1474" spans="1:9" x14ac:dyDescent="0.2">
      <c r="A1474" s="127" t="s">
        <v>3396</v>
      </c>
      <c r="B1474" s="127" t="s">
        <v>3397</v>
      </c>
      <c r="C1474" s="127" t="s">
        <v>17</v>
      </c>
      <c r="D1474" s="127"/>
      <c r="E1474" s="127"/>
      <c r="F1474" s="128"/>
      <c r="G1474" s="128"/>
      <c r="H1474" s="128"/>
      <c r="I1474" s="127" t="s">
        <v>1344</v>
      </c>
    </row>
    <row r="1475" spans="1:9" x14ac:dyDescent="0.2">
      <c r="A1475" s="127" t="s">
        <v>3398</v>
      </c>
      <c r="B1475" s="127" t="s">
        <v>3399</v>
      </c>
      <c r="C1475" s="127" t="s">
        <v>46</v>
      </c>
      <c r="D1475" s="127"/>
      <c r="E1475" s="127"/>
      <c r="F1475" s="128"/>
      <c r="G1475" s="128"/>
      <c r="H1475" s="128"/>
      <c r="I1475" s="127" t="s">
        <v>1344</v>
      </c>
    </row>
    <row r="1476" spans="1:9" x14ac:dyDescent="0.2">
      <c r="A1476" s="127" t="s">
        <v>3400</v>
      </c>
      <c r="B1476" s="127" t="s">
        <v>3401</v>
      </c>
      <c r="C1476" s="127" t="s">
        <v>46</v>
      </c>
      <c r="D1476" s="127"/>
      <c r="E1476" s="127"/>
      <c r="F1476" s="128"/>
      <c r="G1476" s="128"/>
      <c r="H1476" s="128"/>
      <c r="I1476" s="127" t="s">
        <v>1344</v>
      </c>
    </row>
    <row r="1477" spans="1:9" x14ac:dyDescent="0.2">
      <c r="A1477" s="127" t="s">
        <v>3402</v>
      </c>
      <c r="B1477" s="127" t="s">
        <v>3403</v>
      </c>
      <c r="C1477" s="127" t="s">
        <v>46</v>
      </c>
      <c r="D1477" s="127"/>
      <c r="E1477" s="127"/>
      <c r="F1477" s="128"/>
      <c r="G1477" s="128"/>
      <c r="H1477" s="128"/>
      <c r="I1477" s="127" t="s">
        <v>1344</v>
      </c>
    </row>
    <row r="1478" spans="1:9" x14ac:dyDescent="0.2">
      <c r="A1478" s="127" t="s">
        <v>3404</v>
      </c>
      <c r="B1478" s="127" t="s">
        <v>3405</v>
      </c>
      <c r="C1478" s="127" t="s">
        <v>22</v>
      </c>
      <c r="D1478" s="127"/>
      <c r="E1478" s="127"/>
      <c r="F1478" s="128"/>
      <c r="G1478" s="128"/>
      <c r="H1478" s="128"/>
      <c r="I1478" s="127" t="s">
        <v>1344</v>
      </c>
    </row>
    <row r="1479" spans="1:9" x14ac:dyDescent="0.2">
      <c r="A1479" s="127" t="s">
        <v>3406</v>
      </c>
      <c r="B1479" s="127" t="s">
        <v>3407</v>
      </c>
      <c r="C1479" s="127" t="s">
        <v>22</v>
      </c>
      <c r="D1479" s="127"/>
      <c r="E1479" s="127"/>
      <c r="F1479" s="128"/>
      <c r="G1479" s="128"/>
      <c r="H1479" s="128"/>
      <c r="I1479" s="127" t="s">
        <v>1344</v>
      </c>
    </row>
    <row r="1480" spans="1:9" x14ac:dyDescent="0.2">
      <c r="A1480" s="127" t="s">
        <v>3408</v>
      </c>
      <c r="B1480" s="127" t="s">
        <v>3409</v>
      </c>
      <c r="C1480" s="127" t="s">
        <v>46</v>
      </c>
      <c r="D1480" s="127"/>
      <c r="E1480" s="127"/>
      <c r="F1480" s="128"/>
      <c r="G1480" s="128"/>
      <c r="H1480" s="128"/>
      <c r="I1480" s="127" t="s">
        <v>1344</v>
      </c>
    </row>
    <row r="1481" spans="1:9" x14ac:dyDescent="0.2">
      <c r="A1481" s="127" t="s">
        <v>3410</v>
      </c>
      <c r="B1481" s="127" t="s">
        <v>3411</v>
      </c>
      <c r="C1481" s="127" t="s">
        <v>46</v>
      </c>
      <c r="D1481" s="127"/>
      <c r="E1481" s="127"/>
      <c r="F1481" s="128"/>
      <c r="G1481" s="128"/>
      <c r="H1481" s="128"/>
      <c r="I1481" s="127" t="s">
        <v>1344</v>
      </c>
    </row>
    <row r="1482" spans="1:9" x14ac:dyDescent="0.2">
      <c r="A1482" s="127" t="s">
        <v>3412</v>
      </c>
      <c r="B1482" s="127" t="s">
        <v>3413</v>
      </c>
      <c r="C1482" s="127" t="s">
        <v>22</v>
      </c>
      <c r="D1482" s="127"/>
      <c r="E1482" s="127"/>
      <c r="F1482" s="128"/>
      <c r="G1482" s="128"/>
      <c r="H1482" s="128"/>
      <c r="I1482" s="127" t="s">
        <v>1344</v>
      </c>
    </row>
    <row r="1483" spans="1:9" x14ac:dyDescent="0.2">
      <c r="A1483" s="127" t="s">
        <v>3414</v>
      </c>
      <c r="B1483" s="127" t="s">
        <v>3415</v>
      </c>
      <c r="C1483" s="127" t="s">
        <v>46</v>
      </c>
      <c r="D1483" s="127"/>
      <c r="E1483" s="127"/>
      <c r="F1483" s="128"/>
      <c r="G1483" s="128"/>
      <c r="H1483" s="128"/>
      <c r="I1483" s="127" t="s">
        <v>1344</v>
      </c>
    </row>
    <row r="1484" spans="1:9" x14ac:dyDescent="0.2">
      <c r="A1484" s="127" t="s">
        <v>3416</v>
      </c>
      <c r="B1484" s="127" t="s">
        <v>1326</v>
      </c>
      <c r="C1484" s="127" t="s">
        <v>22</v>
      </c>
      <c r="D1484" s="127"/>
      <c r="E1484" s="127"/>
      <c r="F1484" s="128"/>
      <c r="G1484" s="128"/>
      <c r="H1484" s="128"/>
      <c r="I1484" s="127" t="s">
        <v>1344</v>
      </c>
    </row>
    <row r="1485" spans="1:9" x14ac:dyDescent="0.2">
      <c r="A1485" s="127" t="s">
        <v>3417</v>
      </c>
      <c r="B1485" s="127" t="s">
        <v>3418</v>
      </c>
      <c r="C1485" s="127" t="s">
        <v>22</v>
      </c>
      <c r="D1485" s="127"/>
      <c r="E1485" s="127"/>
      <c r="F1485" s="128"/>
      <c r="G1485" s="128"/>
      <c r="H1485" s="128"/>
      <c r="I1485" s="127" t="s">
        <v>1344</v>
      </c>
    </row>
    <row r="1486" spans="1:9" x14ac:dyDescent="0.2">
      <c r="A1486" s="127" t="s">
        <v>3419</v>
      </c>
      <c r="B1486" s="127" t="s">
        <v>1328</v>
      </c>
      <c r="C1486" s="127" t="s">
        <v>22</v>
      </c>
      <c r="D1486" s="127"/>
      <c r="E1486" s="127"/>
      <c r="F1486" s="128"/>
      <c r="G1486" s="128"/>
      <c r="H1486" s="128"/>
      <c r="I1486" s="127" t="s">
        <v>1344</v>
      </c>
    </row>
    <row r="1487" spans="1:9" x14ac:dyDescent="0.2">
      <c r="A1487" s="127" t="s">
        <v>3420</v>
      </c>
      <c r="B1487" s="127" t="s">
        <v>3421</v>
      </c>
      <c r="C1487" s="127" t="s">
        <v>17</v>
      </c>
      <c r="D1487" s="127"/>
      <c r="E1487" s="127"/>
      <c r="F1487" s="128"/>
      <c r="G1487" s="128"/>
      <c r="H1487" s="128"/>
      <c r="I1487" s="127" t="s">
        <v>1344</v>
      </c>
    </row>
    <row r="1488" spans="1:9" x14ac:dyDescent="0.2">
      <c r="A1488" s="127" t="s">
        <v>3422</v>
      </c>
      <c r="B1488" s="127" t="s">
        <v>3423</v>
      </c>
      <c r="C1488" s="127" t="s">
        <v>46</v>
      </c>
      <c r="D1488" s="127"/>
      <c r="E1488" s="127"/>
      <c r="F1488" s="128"/>
      <c r="G1488" s="128"/>
      <c r="H1488" s="128"/>
      <c r="I1488" s="127" t="s">
        <v>1344</v>
      </c>
    </row>
    <row r="1489" spans="1:9" x14ac:dyDescent="0.2">
      <c r="A1489" s="127" t="s">
        <v>3424</v>
      </c>
      <c r="B1489" s="127" t="s">
        <v>3425</v>
      </c>
      <c r="C1489" s="127" t="s">
        <v>46</v>
      </c>
      <c r="D1489" s="127"/>
      <c r="E1489" s="127"/>
      <c r="F1489" s="128"/>
      <c r="G1489" s="128"/>
      <c r="H1489" s="128"/>
      <c r="I1489" s="127" t="s">
        <v>1344</v>
      </c>
    </row>
    <row r="1490" spans="1:9" x14ac:dyDescent="0.2">
      <c r="A1490" s="127" t="s">
        <v>3426</v>
      </c>
      <c r="B1490" s="127" t="s">
        <v>3427</v>
      </c>
      <c r="C1490" s="127" t="s">
        <v>22</v>
      </c>
      <c r="D1490" s="127"/>
      <c r="E1490" s="127"/>
      <c r="F1490" s="128"/>
      <c r="G1490" s="128"/>
      <c r="H1490" s="128"/>
      <c r="I1490" s="127" t="s">
        <v>1344</v>
      </c>
    </row>
    <row r="1491" spans="1:9" x14ac:dyDescent="0.2">
      <c r="A1491" s="127" t="s">
        <v>3428</v>
      </c>
      <c r="B1491" s="127" t="s">
        <v>3429</v>
      </c>
      <c r="C1491" s="127" t="s">
        <v>17</v>
      </c>
      <c r="D1491" s="127"/>
      <c r="E1491" s="127"/>
      <c r="F1491" s="128"/>
      <c r="G1491" s="128"/>
      <c r="H1491" s="128"/>
      <c r="I1491" s="127" t="s">
        <v>1344</v>
      </c>
    </row>
    <row r="1492" spans="1:9" x14ac:dyDescent="0.2">
      <c r="A1492" s="127" t="s">
        <v>3430</v>
      </c>
      <c r="B1492" s="127" t="s">
        <v>3431</v>
      </c>
      <c r="C1492" s="127" t="s">
        <v>46</v>
      </c>
      <c r="D1492" s="127"/>
      <c r="E1492" s="127"/>
      <c r="F1492" s="128"/>
      <c r="G1492" s="128"/>
      <c r="H1492" s="128"/>
      <c r="I1492" s="127" t="s">
        <v>1344</v>
      </c>
    </row>
    <row r="1493" spans="1:9" x14ac:dyDescent="0.2">
      <c r="A1493" s="127" t="s">
        <v>3432</v>
      </c>
      <c r="B1493" s="127" t="s">
        <v>3433</v>
      </c>
      <c r="C1493" s="127" t="s">
        <v>46</v>
      </c>
      <c r="D1493" s="127"/>
      <c r="E1493" s="127"/>
      <c r="F1493" s="128"/>
      <c r="G1493" s="128"/>
      <c r="H1493" s="128"/>
      <c r="I1493" s="127" t="s">
        <v>1344</v>
      </c>
    </row>
    <row r="1494" spans="1:9" x14ac:dyDescent="0.2">
      <c r="A1494" s="127" t="s">
        <v>3434</v>
      </c>
      <c r="B1494" s="127" t="s">
        <v>3435</v>
      </c>
      <c r="C1494" s="127" t="s">
        <v>46</v>
      </c>
      <c r="D1494" s="127"/>
      <c r="E1494" s="127"/>
      <c r="F1494" s="128"/>
      <c r="G1494" s="128"/>
      <c r="H1494" s="128"/>
      <c r="I1494" s="127" t="s">
        <v>1344</v>
      </c>
    </row>
    <row r="1495" spans="1:9" x14ac:dyDescent="0.2">
      <c r="A1495" s="127" t="s">
        <v>3436</v>
      </c>
      <c r="B1495" s="127" t="s">
        <v>3437</v>
      </c>
      <c r="C1495" s="127" t="s">
        <v>46</v>
      </c>
      <c r="D1495" s="127"/>
      <c r="E1495" s="127"/>
      <c r="F1495" s="128"/>
      <c r="G1495" s="128"/>
      <c r="H1495" s="128"/>
      <c r="I1495" s="127" t="s">
        <v>1344</v>
      </c>
    </row>
    <row r="1496" spans="1:9" x14ac:dyDescent="0.2">
      <c r="A1496" s="127" t="s">
        <v>3438</v>
      </c>
      <c r="B1496" s="127" t="s">
        <v>3439</v>
      </c>
      <c r="C1496" s="127" t="s">
        <v>22</v>
      </c>
      <c r="D1496" s="127"/>
      <c r="E1496" s="127"/>
      <c r="F1496" s="128"/>
      <c r="G1496" s="128"/>
      <c r="H1496" s="128"/>
      <c r="I1496" s="127" t="s">
        <v>1344</v>
      </c>
    </row>
    <row r="1497" spans="1:9" x14ac:dyDescent="0.2">
      <c r="A1497" s="127" t="s">
        <v>3440</v>
      </c>
      <c r="B1497" s="127" t="s">
        <v>3441</v>
      </c>
      <c r="C1497" s="127" t="s">
        <v>46</v>
      </c>
      <c r="D1497" s="127"/>
      <c r="E1497" s="127"/>
      <c r="F1497" s="128"/>
      <c r="G1497" s="128"/>
      <c r="H1497" s="128"/>
      <c r="I1497" s="127" t="s">
        <v>1344</v>
      </c>
    </row>
    <row r="1498" spans="1:9" x14ac:dyDescent="0.2">
      <c r="A1498" s="127" t="s">
        <v>3442</v>
      </c>
      <c r="B1498" s="127" t="s">
        <v>3443</v>
      </c>
      <c r="C1498" s="127" t="s">
        <v>46</v>
      </c>
      <c r="D1498" s="127"/>
      <c r="E1498" s="127"/>
      <c r="F1498" s="128"/>
      <c r="G1498" s="128"/>
      <c r="H1498" s="128"/>
      <c r="I1498" s="127" t="s">
        <v>1344</v>
      </c>
    </row>
    <row r="1499" spans="1:9" x14ac:dyDescent="0.2">
      <c r="A1499" s="127" t="s">
        <v>3444</v>
      </c>
      <c r="B1499" s="127" t="s">
        <v>3445</v>
      </c>
      <c r="C1499" s="127" t="s">
        <v>22</v>
      </c>
      <c r="D1499" s="127"/>
      <c r="E1499" s="127"/>
      <c r="F1499" s="128"/>
      <c r="G1499" s="128"/>
      <c r="H1499" s="128"/>
      <c r="I1499" s="127" t="s">
        <v>1344</v>
      </c>
    </row>
    <row r="1500" spans="1:9" x14ac:dyDescent="0.2">
      <c r="A1500" s="127" t="s">
        <v>3446</v>
      </c>
      <c r="B1500" s="127" t="s">
        <v>3447</v>
      </c>
      <c r="C1500" s="127" t="s">
        <v>17</v>
      </c>
      <c r="D1500" s="127"/>
      <c r="E1500" s="127"/>
      <c r="F1500" s="128"/>
      <c r="G1500" s="128"/>
      <c r="H1500" s="128"/>
      <c r="I1500" s="127" t="s">
        <v>1344</v>
      </c>
    </row>
    <row r="1501" spans="1:9" x14ac:dyDescent="0.2">
      <c r="A1501" s="127" t="s">
        <v>3448</v>
      </c>
      <c r="B1501" s="127" t="s">
        <v>3449</v>
      </c>
      <c r="C1501" s="127" t="s">
        <v>22</v>
      </c>
      <c r="D1501" s="127"/>
      <c r="E1501" s="127"/>
      <c r="F1501" s="128"/>
      <c r="G1501" s="128"/>
      <c r="H1501" s="128"/>
      <c r="I1501" s="127" t="s">
        <v>1344</v>
      </c>
    </row>
    <row r="1502" spans="1:9" x14ac:dyDescent="0.2">
      <c r="A1502" s="127" t="s">
        <v>3450</v>
      </c>
      <c r="B1502" s="127" t="s">
        <v>3451</v>
      </c>
      <c r="C1502" s="127" t="s">
        <v>22</v>
      </c>
      <c r="D1502" s="127"/>
      <c r="E1502" s="127"/>
      <c r="F1502" s="128"/>
      <c r="G1502" s="128"/>
      <c r="H1502" s="128"/>
      <c r="I1502" s="127" t="s">
        <v>1344</v>
      </c>
    </row>
    <row r="1503" spans="1:9" x14ac:dyDescent="0.2">
      <c r="A1503" s="127" t="s">
        <v>3452</v>
      </c>
      <c r="B1503" s="127" t="s">
        <v>3453</v>
      </c>
      <c r="C1503" s="127" t="s">
        <v>46</v>
      </c>
      <c r="D1503" s="127"/>
      <c r="E1503" s="127"/>
      <c r="F1503" s="128"/>
      <c r="G1503" s="128"/>
      <c r="H1503" s="128"/>
      <c r="I1503" s="127" t="s">
        <v>1344</v>
      </c>
    </row>
    <row r="1504" spans="1:9" x14ac:dyDescent="0.2">
      <c r="A1504" s="127" t="s">
        <v>3454</v>
      </c>
      <c r="B1504" s="127" t="s">
        <v>3455</v>
      </c>
      <c r="C1504" s="127" t="s">
        <v>46</v>
      </c>
      <c r="D1504" s="127"/>
      <c r="E1504" s="127"/>
      <c r="F1504" s="128"/>
      <c r="G1504" s="128"/>
      <c r="H1504" s="128"/>
      <c r="I1504" s="127" t="s">
        <v>1344</v>
      </c>
    </row>
    <row r="1505" spans="1:9" x14ac:dyDescent="0.2">
      <c r="A1505" s="127" t="s">
        <v>3456</v>
      </c>
      <c r="B1505" s="127" t="s">
        <v>3457</v>
      </c>
      <c r="C1505" s="127" t="s">
        <v>22</v>
      </c>
      <c r="D1505" s="127"/>
      <c r="E1505" s="127"/>
      <c r="F1505" s="128"/>
      <c r="G1505" s="128"/>
      <c r="H1505" s="128"/>
      <c r="I1505" s="127" t="s">
        <v>1344</v>
      </c>
    </row>
    <row r="1506" spans="1:9" x14ac:dyDescent="0.2">
      <c r="A1506" s="127" t="s">
        <v>3458</v>
      </c>
      <c r="B1506" s="127" t="s">
        <v>3459</v>
      </c>
      <c r="C1506" s="127" t="s">
        <v>46</v>
      </c>
      <c r="D1506" s="127"/>
      <c r="E1506" s="127"/>
      <c r="F1506" s="128"/>
      <c r="G1506" s="128"/>
      <c r="H1506" s="128"/>
      <c r="I1506" s="127" t="s">
        <v>1344</v>
      </c>
    </row>
    <row r="1507" spans="1:9" x14ac:dyDescent="0.2">
      <c r="A1507" s="127" t="s">
        <v>3460</v>
      </c>
      <c r="B1507" s="127" t="s">
        <v>3461</v>
      </c>
      <c r="C1507" s="127" t="s">
        <v>46</v>
      </c>
      <c r="D1507" s="127"/>
      <c r="E1507" s="127"/>
      <c r="F1507" s="128"/>
      <c r="G1507" s="128"/>
      <c r="H1507" s="128"/>
      <c r="I1507" s="127" t="s">
        <v>1344</v>
      </c>
    </row>
    <row r="1508" spans="1:9" x14ac:dyDescent="0.2">
      <c r="A1508" s="127"/>
      <c r="B1508" s="127" t="s">
        <v>3462</v>
      </c>
      <c r="C1508" s="127" t="s">
        <v>22</v>
      </c>
      <c r="D1508" s="127"/>
      <c r="E1508" s="127"/>
      <c r="F1508" s="128"/>
      <c r="G1508" s="128"/>
      <c r="H1508" s="128"/>
      <c r="I1508" s="127" t="s">
        <v>1344</v>
      </c>
    </row>
    <row r="1509" spans="1:9" x14ac:dyDescent="0.2">
      <c r="A1509" s="127" t="s">
        <v>3289</v>
      </c>
      <c r="B1509" s="127" t="s">
        <v>3463</v>
      </c>
      <c r="C1509" s="127" t="s">
        <v>22</v>
      </c>
      <c r="D1509" s="127"/>
      <c r="E1509" s="127"/>
      <c r="F1509" s="128"/>
      <c r="G1509" s="128"/>
      <c r="H1509" s="128"/>
      <c r="I1509" s="127" t="s">
        <v>1344</v>
      </c>
    </row>
    <row r="1510" spans="1:9" x14ac:dyDescent="0.2">
      <c r="A1510" s="127" t="s">
        <v>3464</v>
      </c>
      <c r="B1510" s="127" t="s">
        <v>3465</v>
      </c>
      <c r="C1510" s="127" t="s">
        <v>46</v>
      </c>
      <c r="D1510" s="127"/>
      <c r="E1510" s="127"/>
      <c r="F1510" s="128"/>
      <c r="G1510" s="128"/>
      <c r="H1510" s="128"/>
      <c r="I1510" s="127" t="s">
        <v>1344</v>
      </c>
    </row>
    <row r="1511" spans="1:9" x14ac:dyDescent="0.2">
      <c r="A1511" s="127" t="s">
        <v>1373</v>
      </c>
      <c r="B1511" s="127" t="s">
        <v>3466</v>
      </c>
      <c r="C1511" s="127" t="s">
        <v>46</v>
      </c>
      <c r="D1511" s="127"/>
      <c r="E1511" s="127"/>
      <c r="F1511" s="128"/>
      <c r="G1511" s="128"/>
      <c r="H1511" s="128"/>
      <c r="I1511" s="127" t="s">
        <v>1344</v>
      </c>
    </row>
    <row r="1512" spans="1:9" x14ac:dyDescent="0.2">
      <c r="A1512" s="127" t="s">
        <v>1373</v>
      </c>
      <c r="B1512" s="127" t="s">
        <v>3467</v>
      </c>
      <c r="C1512" s="127" t="s">
        <v>46</v>
      </c>
      <c r="D1512" s="127"/>
      <c r="E1512" s="127"/>
      <c r="F1512" s="128"/>
      <c r="G1512" s="128"/>
      <c r="H1512" s="128"/>
      <c r="I1512" s="127" t="s">
        <v>1344</v>
      </c>
    </row>
    <row r="1513" spans="1:9" x14ac:dyDescent="0.2">
      <c r="A1513" s="127" t="s">
        <v>3468</v>
      </c>
      <c r="B1513" s="127" t="s">
        <v>3469</v>
      </c>
      <c r="C1513" s="127" t="s">
        <v>17</v>
      </c>
      <c r="D1513" s="127"/>
      <c r="E1513" s="127"/>
      <c r="F1513" s="128"/>
      <c r="G1513" s="128"/>
      <c r="H1513" s="128"/>
      <c r="I1513" s="127" t="s">
        <v>1344</v>
      </c>
    </row>
    <row r="1514" spans="1:9" x14ac:dyDescent="0.2">
      <c r="A1514" s="127" t="s">
        <v>3470</v>
      </c>
      <c r="B1514" s="127" t="s">
        <v>3471</v>
      </c>
      <c r="C1514" s="127" t="s">
        <v>46</v>
      </c>
      <c r="D1514" s="127"/>
      <c r="E1514" s="127"/>
      <c r="F1514" s="128"/>
      <c r="G1514" s="128"/>
      <c r="H1514" s="128"/>
      <c r="I1514" s="127" t="s">
        <v>1344</v>
      </c>
    </row>
    <row r="1515" spans="1:9" x14ac:dyDescent="0.2">
      <c r="A1515" s="127" t="s">
        <v>3472</v>
      </c>
      <c r="B1515" s="127" t="s">
        <v>3473</v>
      </c>
      <c r="C1515" s="127" t="s">
        <v>46</v>
      </c>
      <c r="D1515" s="127"/>
      <c r="E1515" s="127"/>
      <c r="F1515" s="128"/>
      <c r="G1515" s="128"/>
      <c r="H1515" s="128"/>
      <c r="I1515" s="127" t="s">
        <v>1344</v>
      </c>
    </row>
    <row r="1516" spans="1:9" x14ac:dyDescent="0.2">
      <c r="A1516" s="127" t="s">
        <v>3474</v>
      </c>
      <c r="B1516" s="127" t="s">
        <v>3475</v>
      </c>
      <c r="C1516" s="127" t="s">
        <v>46</v>
      </c>
      <c r="D1516" s="127"/>
      <c r="E1516" s="127"/>
      <c r="F1516" s="128"/>
      <c r="G1516" s="128"/>
      <c r="H1516" s="128"/>
      <c r="I1516" s="127" t="s">
        <v>1344</v>
      </c>
    </row>
    <row r="1517" spans="1:9" x14ac:dyDescent="0.2">
      <c r="A1517" s="127" t="s">
        <v>3476</v>
      </c>
      <c r="B1517" s="127" t="s">
        <v>3477</v>
      </c>
      <c r="C1517" s="127" t="s">
        <v>46</v>
      </c>
      <c r="D1517" s="127"/>
      <c r="E1517" s="127"/>
      <c r="F1517" s="128"/>
      <c r="G1517" s="128"/>
      <c r="H1517" s="128"/>
      <c r="I1517" s="127" t="s">
        <v>1344</v>
      </c>
    </row>
    <row r="1518" spans="1:9" x14ac:dyDescent="0.2">
      <c r="A1518" s="127" t="s">
        <v>3478</v>
      </c>
      <c r="B1518" s="127" t="s">
        <v>3479</v>
      </c>
      <c r="C1518" s="127" t="s">
        <v>46</v>
      </c>
      <c r="D1518" s="127"/>
      <c r="E1518" s="127"/>
      <c r="F1518" s="128"/>
      <c r="G1518" s="128"/>
      <c r="H1518" s="128"/>
      <c r="I1518" s="127" t="s">
        <v>1344</v>
      </c>
    </row>
    <row r="1519" spans="1:9" x14ac:dyDescent="0.2">
      <c r="A1519" s="127" t="s">
        <v>3480</v>
      </c>
      <c r="B1519" s="127" t="s">
        <v>3481</v>
      </c>
      <c r="C1519" s="127" t="s">
        <v>17</v>
      </c>
      <c r="D1519" s="127"/>
      <c r="E1519" s="127"/>
      <c r="F1519" s="128"/>
      <c r="G1519" s="128"/>
      <c r="H1519" s="128"/>
      <c r="I1519" s="127" t="s">
        <v>1344</v>
      </c>
    </row>
    <row r="1520" spans="1:9" x14ac:dyDescent="0.2">
      <c r="A1520" s="127" t="s">
        <v>3482</v>
      </c>
      <c r="B1520" s="127" t="s">
        <v>3483</v>
      </c>
      <c r="C1520" s="127" t="s">
        <v>46</v>
      </c>
      <c r="D1520" s="127"/>
      <c r="E1520" s="127"/>
      <c r="F1520" s="128"/>
      <c r="G1520" s="128"/>
      <c r="H1520" s="128"/>
      <c r="I1520" s="127" t="s">
        <v>1344</v>
      </c>
    </row>
    <row r="1521" spans="1:9" x14ac:dyDescent="0.2">
      <c r="A1521" s="127" t="s">
        <v>3484</v>
      </c>
      <c r="B1521" s="127" t="s">
        <v>3485</v>
      </c>
      <c r="C1521" s="127" t="s">
        <v>46</v>
      </c>
      <c r="D1521" s="127"/>
      <c r="E1521" s="127"/>
      <c r="F1521" s="128"/>
      <c r="G1521" s="128"/>
      <c r="H1521" s="128"/>
      <c r="I1521" s="127" t="s">
        <v>1344</v>
      </c>
    </row>
    <row r="1522" spans="1:9" x14ac:dyDescent="0.2">
      <c r="A1522" s="127" t="s">
        <v>3486</v>
      </c>
      <c r="B1522" s="127" t="s">
        <v>3487</v>
      </c>
      <c r="C1522" s="127" t="s">
        <v>46</v>
      </c>
      <c r="D1522" s="127"/>
      <c r="E1522" s="127"/>
      <c r="F1522" s="128"/>
      <c r="G1522" s="128"/>
      <c r="H1522" s="128"/>
      <c r="I1522" s="127" t="s">
        <v>1344</v>
      </c>
    </row>
    <row r="1523" spans="1:9" x14ac:dyDescent="0.2">
      <c r="A1523" s="127" t="s">
        <v>3488</v>
      </c>
      <c r="B1523" s="127" t="s">
        <v>3489</v>
      </c>
      <c r="C1523" s="127" t="s">
        <v>46</v>
      </c>
      <c r="D1523" s="127"/>
      <c r="E1523" s="127"/>
      <c r="F1523" s="128"/>
      <c r="G1523" s="128"/>
      <c r="H1523" s="128"/>
      <c r="I1523" s="127" t="s">
        <v>1344</v>
      </c>
    </row>
    <row r="1524" spans="1:9" x14ac:dyDescent="0.2">
      <c r="A1524" s="127" t="s">
        <v>3490</v>
      </c>
      <c r="B1524" s="127" t="s">
        <v>3491</v>
      </c>
      <c r="C1524" s="127" t="s">
        <v>22</v>
      </c>
      <c r="D1524" s="127"/>
      <c r="E1524" s="127"/>
      <c r="F1524" s="128"/>
      <c r="G1524" s="128"/>
      <c r="H1524" s="128"/>
      <c r="I1524" s="127" t="s">
        <v>1344</v>
      </c>
    </row>
    <row r="1525" spans="1:9" x14ac:dyDescent="0.2">
      <c r="A1525" s="127" t="s">
        <v>3492</v>
      </c>
      <c r="B1525" s="127" t="s">
        <v>3493</v>
      </c>
      <c r="C1525" s="127" t="s">
        <v>22</v>
      </c>
      <c r="D1525" s="127"/>
      <c r="E1525" s="127"/>
      <c r="F1525" s="128"/>
      <c r="G1525" s="128"/>
      <c r="H1525" s="128"/>
      <c r="I1525" s="127" t="s">
        <v>1344</v>
      </c>
    </row>
    <row r="1526" spans="1:9" x14ac:dyDescent="0.2">
      <c r="A1526" s="127" t="s">
        <v>3494</v>
      </c>
      <c r="B1526" s="127" t="s">
        <v>3495</v>
      </c>
      <c r="C1526" s="127" t="s">
        <v>46</v>
      </c>
      <c r="D1526" s="127"/>
      <c r="E1526" s="127"/>
      <c r="F1526" s="128"/>
      <c r="G1526" s="128"/>
      <c r="H1526" s="128"/>
      <c r="I1526" s="127" t="s">
        <v>1344</v>
      </c>
    </row>
    <row r="1527" spans="1:9" x14ac:dyDescent="0.2">
      <c r="A1527" s="127" t="s">
        <v>3484</v>
      </c>
      <c r="B1527" s="127" t="s">
        <v>3496</v>
      </c>
      <c r="C1527" s="127" t="s">
        <v>46</v>
      </c>
      <c r="D1527" s="127"/>
      <c r="E1527" s="127"/>
      <c r="F1527" s="128"/>
      <c r="G1527" s="128"/>
      <c r="H1527" s="128"/>
      <c r="I1527" s="127" t="s">
        <v>1344</v>
      </c>
    </row>
    <row r="1528" spans="1:9" x14ac:dyDescent="0.2">
      <c r="A1528" s="127" t="s">
        <v>3497</v>
      </c>
      <c r="B1528" s="127" t="s">
        <v>3498</v>
      </c>
      <c r="C1528" s="127" t="s">
        <v>46</v>
      </c>
      <c r="D1528" s="127"/>
      <c r="E1528" s="127"/>
      <c r="F1528" s="128"/>
      <c r="G1528" s="128"/>
      <c r="H1528" s="128"/>
      <c r="I1528" s="127" t="s">
        <v>1344</v>
      </c>
    </row>
    <row r="1529" spans="1:9" x14ac:dyDescent="0.2">
      <c r="A1529" s="127" t="s">
        <v>3499</v>
      </c>
      <c r="B1529" s="127" t="s">
        <v>3500</v>
      </c>
      <c r="C1529" s="127" t="s">
        <v>22</v>
      </c>
      <c r="D1529" s="127"/>
      <c r="E1529" s="127"/>
      <c r="F1529" s="128"/>
      <c r="G1529" s="128"/>
      <c r="H1529" s="128"/>
      <c r="I1529" s="127" t="s">
        <v>1344</v>
      </c>
    </row>
    <row r="1530" spans="1:9" x14ac:dyDescent="0.2">
      <c r="A1530" s="127" t="s">
        <v>3501</v>
      </c>
      <c r="B1530" s="127" t="s">
        <v>3502</v>
      </c>
      <c r="C1530" s="127" t="s">
        <v>22</v>
      </c>
      <c r="D1530" s="127"/>
      <c r="E1530" s="127"/>
      <c r="F1530" s="128"/>
      <c r="G1530" s="128"/>
      <c r="H1530" s="128"/>
      <c r="I1530" s="127" t="s">
        <v>1344</v>
      </c>
    </row>
    <row r="1531" spans="1:9" x14ac:dyDescent="0.2">
      <c r="A1531" s="127" t="s">
        <v>3503</v>
      </c>
      <c r="B1531" s="127" t="s">
        <v>3504</v>
      </c>
      <c r="C1531" s="127" t="s">
        <v>22</v>
      </c>
      <c r="D1531" s="127"/>
      <c r="E1531" s="127"/>
      <c r="F1531" s="128"/>
      <c r="G1531" s="128"/>
      <c r="H1531" s="128"/>
      <c r="I1531" s="127" t="s">
        <v>1344</v>
      </c>
    </row>
    <row r="1532" spans="1:9" x14ac:dyDescent="0.2">
      <c r="A1532" s="127" t="s">
        <v>3505</v>
      </c>
      <c r="B1532" s="127" t="s">
        <v>3506</v>
      </c>
      <c r="C1532" s="127" t="s">
        <v>22</v>
      </c>
      <c r="D1532" s="127"/>
      <c r="E1532" s="127"/>
      <c r="F1532" s="128"/>
      <c r="G1532" s="128"/>
      <c r="H1532" s="128"/>
      <c r="I1532" s="127" t="s">
        <v>1344</v>
      </c>
    </row>
    <row r="1533" spans="1:9" x14ac:dyDescent="0.2">
      <c r="A1533" s="127" t="s">
        <v>3507</v>
      </c>
      <c r="B1533" s="127" t="s">
        <v>3508</v>
      </c>
      <c r="C1533" s="127" t="s">
        <v>17</v>
      </c>
      <c r="D1533" s="127"/>
      <c r="E1533" s="127"/>
      <c r="F1533" s="128"/>
      <c r="G1533" s="128"/>
      <c r="H1533" s="128"/>
      <c r="I1533" s="127" t="s">
        <v>1344</v>
      </c>
    </row>
    <row r="1534" spans="1:9" x14ac:dyDescent="0.2">
      <c r="A1534" s="127"/>
      <c r="B1534" s="127" t="s">
        <v>3509</v>
      </c>
      <c r="C1534" s="127" t="s">
        <v>46</v>
      </c>
      <c r="D1534" s="127"/>
      <c r="E1534" s="127"/>
      <c r="F1534" s="128"/>
      <c r="G1534" s="128"/>
      <c r="H1534" s="128"/>
      <c r="I1534" s="127" t="s">
        <v>1344</v>
      </c>
    </row>
    <row r="1535" spans="1:9" x14ac:dyDescent="0.2">
      <c r="A1535" s="127" t="s">
        <v>3510</v>
      </c>
      <c r="B1535" s="127" t="s">
        <v>3511</v>
      </c>
      <c r="C1535" s="127" t="s">
        <v>22</v>
      </c>
      <c r="D1535" s="127"/>
      <c r="E1535" s="127"/>
      <c r="F1535" s="128"/>
      <c r="G1535" s="128"/>
      <c r="H1535" s="128"/>
      <c r="I1535" s="127" t="s">
        <v>1344</v>
      </c>
    </row>
    <row r="1536" spans="1:9" x14ac:dyDescent="0.2">
      <c r="A1536" s="127" t="s">
        <v>3512</v>
      </c>
      <c r="B1536" s="127" t="s">
        <v>3513</v>
      </c>
      <c r="C1536" s="127" t="s">
        <v>46</v>
      </c>
      <c r="D1536" s="127"/>
      <c r="E1536" s="127"/>
      <c r="F1536" s="128"/>
      <c r="G1536" s="128"/>
      <c r="H1536" s="128"/>
      <c r="I1536" s="127" t="s">
        <v>1344</v>
      </c>
    </row>
    <row r="1537" spans="1:9" x14ac:dyDescent="0.2">
      <c r="A1537" s="127" t="s">
        <v>1154</v>
      </c>
      <c r="B1537" s="127" t="s">
        <v>3514</v>
      </c>
      <c r="C1537" s="127" t="s">
        <v>46</v>
      </c>
      <c r="D1537" s="127"/>
      <c r="E1537" s="127"/>
      <c r="F1537" s="128"/>
      <c r="G1537" s="128"/>
      <c r="H1537" s="128"/>
      <c r="I1537" s="127" t="s">
        <v>1344</v>
      </c>
    </row>
    <row r="1538" spans="1:9" x14ac:dyDescent="0.2">
      <c r="A1538" s="127" t="s">
        <v>3515</v>
      </c>
      <c r="B1538" s="127" t="s">
        <v>3516</v>
      </c>
      <c r="C1538" s="127" t="s">
        <v>46</v>
      </c>
      <c r="D1538" s="127"/>
      <c r="E1538" s="127"/>
      <c r="F1538" s="128"/>
      <c r="G1538" s="128"/>
      <c r="H1538" s="128"/>
      <c r="I1538" s="127" t="s">
        <v>1344</v>
      </c>
    </row>
    <row r="1539" spans="1:9" x14ac:dyDescent="0.2">
      <c r="A1539" s="127" t="s">
        <v>3517</v>
      </c>
      <c r="B1539" s="127" t="s">
        <v>3518</v>
      </c>
      <c r="C1539" s="127" t="s">
        <v>22</v>
      </c>
      <c r="D1539" s="127"/>
      <c r="E1539" s="127"/>
      <c r="F1539" s="128"/>
      <c r="G1539" s="128"/>
      <c r="H1539" s="128"/>
      <c r="I1539" s="127" t="s">
        <v>1344</v>
      </c>
    </row>
    <row r="1540" spans="1:9" x14ac:dyDescent="0.2">
      <c r="A1540" s="127" t="s">
        <v>3519</v>
      </c>
      <c r="B1540" s="127" t="s">
        <v>3520</v>
      </c>
      <c r="C1540" s="127" t="s">
        <v>46</v>
      </c>
      <c r="D1540" s="127"/>
      <c r="E1540" s="127"/>
      <c r="F1540" s="128"/>
      <c r="G1540" s="128"/>
      <c r="H1540" s="128"/>
      <c r="I1540" s="127" t="s">
        <v>1344</v>
      </c>
    </row>
    <row r="1541" spans="1:9" x14ac:dyDescent="0.2">
      <c r="A1541" s="127" t="s">
        <v>3521</v>
      </c>
      <c r="B1541" s="127" t="s">
        <v>3522</v>
      </c>
      <c r="C1541" s="127" t="s">
        <v>17</v>
      </c>
      <c r="D1541" s="127"/>
      <c r="E1541" s="127"/>
      <c r="F1541" s="128"/>
      <c r="G1541" s="128"/>
      <c r="H1541" s="128"/>
      <c r="I1541" s="127" t="s">
        <v>1344</v>
      </c>
    </row>
    <row r="1542" spans="1:9" x14ac:dyDescent="0.2">
      <c r="A1542" s="127" t="s">
        <v>3523</v>
      </c>
      <c r="B1542" s="127" t="s">
        <v>3524</v>
      </c>
      <c r="C1542" s="127" t="s">
        <v>46</v>
      </c>
      <c r="D1542" s="127"/>
      <c r="E1542" s="127"/>
      <c r="F1542" s="128"/>
      <c r="G1542" s="128"/>
      <c r="H1542" s="128"/>
      <c r="I1542" s="127" t="s">
        <v>1344</v>
      </c>
    </row>
    <row r="1543" spans="1:9" x14ac:dyDescent="0.2">
      <c r="A1543" s="127" t="s">
        <v>3525</v>
      </c>
      <c r="B1543" s="127" t="s">
        <v>3526</v>
      </c>
      <c r="C1543" s="127" t="s">
        <v>46</v>
      </c>
      <c r="D1543" s="127"/>
      <c r="E1543" s="127"/>
      <c r="F1543" s="128"/>
      <c r="G1543" s="128"/>
      <c r="H1543" s="128"/>
      <c r="I1543" s="127" t="s">
        <v>1344</v>
      </c>
    </row>
    <row r="1544" spans="1:9" x14ac:dyDescent="0.2">
      <c r="A1544" s="127" t="s">
        <v>1154</v>
      </c>
      <c r="B1544" s="127" t="s">
        <v>3527</v>
      </c>
      <c r="C1544" s="127" t="s">
        <v>46</v>
      </c>
      <c r="D1544" s="127"/>
      <c r="E1544" s="127"/>
      <c r="F1544" s="128"/>
      <c r="G1544" s="128"/>
      <c r="H1544" s="128"/>
      <c r="I1544" s="127" t="s">
        <v>1344</v>
      </c>
    </row>
    <row r="1545" spans="1:9" x14ac:dyDescent="0.2">
      <c r="A1545" s="127" t="s">
        <v>3528</v>
      </c>
      <c r="B1545" s="127" t="s">
        <v>3529</v>
      </c>
      <c r="C1545" s="127" t="s">
        <v>46</v>
      </c>
      <c r="D1545" s="127"/>
      <c r="E1545" s="127"/>
      <c r="F1545" s="128"/>
      <c r="G1545" s="128"/>
      <c r="H1545" s="128"/>
      <c r="I1545" s="127" t="s">
        <v>1344</v>
      </c>
    </row>
    <row r="1546" spans="1:9" x14ac:dyDescent="0.2">
      <c r="A1546" s="127" t="s">
        <v>3530</v>
      </c>
      <c r="B1546" s="127" t="s">
        <v>3531</v>
      </c>
      <c r="C1546" s="127" t="s">
        <v>22</v>
      </c>
      <c r="D1546" s="127"/>
      <c r="E1546" s="127"/>
      <c r="F1546" s="128"/>
      <c r="G1546" s="128"/>
      <c r="H1546" s="128"/>
      <c r="I1546" s="127" t="s">
        <v>1344</v>
      </c>
    </row>
    <row r="1547" spans="1:9" x14ac:dyDescent="0.2">
      <c r="A1547" s="127" t="s">
        <v>3532</v>
      </c>
      <c r="B1547" s="127" t="s">
        <v>3533</v>
      </c>
      <c r="C1547" s="127" t="s">
        <v>22</v>
      </c>
      <c r="D1547" s="127"/>
      <c r="E1547" s="127"/>
      <c r="F1547" s="128"/>
      <c r="G1547" s="128"/>
      <c r="H1547" s="128"/>
      <c r="I1547" s="127" t="s">
        <v>1344</v>
      </c>
    </row>
    <row r="1548" spans="1:9" x14ac:dyDescent="0.2">
      <c r="A1548" s="127" t="s">
        <v>3534</v>
      </c>
      <c r="B1548" s="127" t="s">
        <v>3535</v>
      </c>
      <c r="C1548" s="127" t="s">
        <v>46</v>
      </c>
      <c r="D1548" s="127"/>
      <c r="E1548" s="127"/>
      <c r="F1548" s="128"/>
      <c r="G1548" s="128"/>
      <c r="H1548" s="128"/>
      <c r="I1548" s="127" t="s">
        <v>1344</v>
      </c>
    </row>
    <row r="1549" spans="1:9" x14ac:dyDescent="0.2">
      <c r="A1549" s="127" t="s">
        <v>3536</v>
      </c>
      <c r="B1549" s="127" t="s">
        <v>3537</v>
      </c>
      <c r="C1549" s="127" t="s">
        <v>46</v>
      </c>
      <c r="D1549" s="127"/>
      <c r="E1549" s="127"/>
      <c r="F1549" s="128"/>
      <c r="G1549" s="128"/>
      <c r="H1549" s="128"/>
      <c r="I1549" s="127" t="s">
        <v>1344</v>
      </c>
    </row>
    <row r="1550" spans="1:9" x14ac:dyDescent="0.2">
      <c r="A1550" s="127" t="s">
        <v>3538</v>
      </c>
      <c r="B1550" s="127" t="s">
        <v>3539</v>
      </c>
      <c r="C1550" s="127" t="s">
        <v>22</v>
      </c>
      <c r="D1550" s="127"/>
      <c r="E1550" s="127"/>
      <c r="F1550" s="128"/>
      <c r="G1550" s="128"/>
      <c r="H1550" s="128"/>
      <c r="I1550" s="127" t="s">
        <v>1344</v>
      </c>
    </row>
    <row r="1551" spans="1:9" x14ac:dyDescent="0.2">
      <c r="A1551" s="127" t="s">
        <v>3540</v>
      </c>
      <c r="B1551" s="127" t="s">
        <v>3541</v>
      </c>
      <c r="C1551" s="127" t="s">
        <v>46</v>
      </c>
      <c r="D1551" s="127"/>
      <c r="E1551" s="127"/>
      <c r="F1551" s="128"/>
      <c r="G1551" s="128"/>
      <c r="H1551" s="128"/>
      <c r="I1551" s="127" t="s">
        <v>1344</v>
      </c>
    </row>
    <row r="1552" spans="1:9" x14ac:dyDescent="0.2">
      <c r="A1552" s="127" t="s">
        <v>3542</v>
      </c>
      <c r="B1552" s="127" t="s">
        <v>3543</v>
      </c>
      <c r="C1552" s="127" t="s">
        <v>46</v>
      </c>
      <c r="D1552" s="127"/>
      <c r="E1552" s="127"/>
      <c r="F1552" s="128"/>
      <c r="G1552" s="128"/>
      <c r="H1552" s="128"/>
      <c r="I1552" s="127" t="s">
        <v>1344</v>
      </c>
    </row>
    <row r="1553" spans="1:9" x14ac:dyDescent="0.2">
      <c r="A1553" s="127" t="s">
        <v>3544</v>
      </c>
      <c r="B1553" s="127" t="s">
        <v>3545</v>
      </c>
      <c r="C1553" s="127" t="s">
        <v>46</v>
      </c>
      <c r="D1553" s="127"/>
      <c r="E1553" s="127"/>
      <c r="F1553" s="128"/>
      <c r="G1553" s="128"/>
      <c r="H1553" s="128"/>
      <c r="I1553" s="127" t="s">
        <v>1344</v>
      </c>
    </row>
    <row r="1554" spans="1:9" x14ac:dyDescent="0.2">
      <c r="A1554" s="127" t="s">
        <v>3546</v>
      </c>
      <c r="B1554" s="127" t="s">
        <v>3547</v>
      </c>
      <c r="C1554" s="127" t="s">
        <v>46</v>
      </c>
      <c r="D1554" s="127"/>
      <c r="E1554" s="127"/>
      <c r="F1554" s="128"/>
      <c r="G1554" s="128"/>
      <c r="H1554" s="128"/>
      <c r="I1554" s="127" t="s">
        <v>1344</v>
      </c>
    </row>
    <row r="1555" spans="1:9" x14ac:dyDescent="0.2">
      <c r="A1555" s="127" t="s">
        <v>3548</v>
      </c>
      <c r="B1555" s="127" t="s">
        <v>3549</v>
      </c>
      <c r="C1555" s="127" t="s">
        <v>46</v>
      </c>
      <c r="D1555" s="127"/>
      <c r="E1555" s="127"/>
      <c r="F1555" s="128"/>
      <c r="G1555" s="128"/>
      <c r="H1555" s="128"/>
      <c r="I1555" s="127" t="s">
        <v>1344</v>
      </c>
    </row>
    <row r="1556" spans="1:9" x14ac:dyDescent="0.2">
      <c r="A1556" s="127" t="s">
        <v>3550</v>
      </c>
      <c r="B1556" s="127" t="s">
        <v>3551</v>
      </c>
      <c r="C1556" s="127" t="s">
        <v>46</v>
      </c>
      <c r="D1556" s="127"/>
      <c r="E1556" s="127"/>
      <c r="F1556" s="128"/>
      <c r="G1556" s="128"/>
      <c r="H1556" s="128"/>
      <c r="I1556" s="127" t="s">
        <v>1344</v>
      </c>
    </row>
    <row r="1557" spans="1:9" x14ac:dyDescent="0.2">
      <c r="A1557" s="127" t="s">
        <v>3552</v>
      </c>
      <c r="B1557" s="127" t="s">
        <v>3553</v>
      </c>
      <c r="C1557" s="127" t="s">
        <v>22</v>
      </c>
      <c r="D1557" s="127"/>
      <c r="E1557" s="127"/>
      <c r="F1557" s="128"/>
      <c r="G1557" s="128"/>
      <c r="H1557" s="128"/>
      <c r="I1557" s="127" t="s">
        <v>1344</v>
      </c>
    </row>
    <row r="1558" spans="1:9" x14ac:dyDescent="0.2">
      <c r="A1558" s="127" t="s">
        <v>3554</v>
      </c>
      <c r="B1558" s="127" t="s">
        <v>3555</v>
      </c>
      <c r="C1558" s="127" t="s">
        <v>22</v>
      </c>
      <c r="D1558" s="127"/>
      <c r="E1558" s="127"/>
      <c r="F1558" s="128"/>
      <c r="G1558" s="128"/>
      <c r="H1558" s="128"/>
      <c r="I1558" s="127" t="s">
        <v>1344</v>
      </c>
    </row>
    <row r="1559" spans="1:9" x14ac:dyDescent="0.2">
      <c r="A1559" s="127" t="s">
        <v>3556</v>
      </c>
      <c r="B1559" s="127" t="s">
        <v>3557</v>
      </c>
      <c r="C1559" s="127" t="s">
        <v>17</v>
      </c>
      <c r="D1559" s="127"/>
      <c r="E1559" s="127"/>
      <c r="F1559" s="128"/>
      <c r="G1559" s="128"/>
      <c r="H1559" s="128"/>
      <c r="I1559" s="127" t="s">
        <v>1344</v>
      </c>
    </row>
    <row r="1560" spans="1:9" x14ac:dyDescent="0.2">
      <c r="A1560" s="127" t="s">
        <v>3558</v>
      </c>
      <c r="B1560" s="127" t="s">
        <v>3559</v>
      </c>
      <c r="C1560" s="127" t="s">
        <v>46</v>
      </c>
      <c r="D1560" s="127"/>
      <c r="E1560" s="127"/>
      <c r="F1560" s="128"/>
      <c r="G1560" s="128"/>
      <c r="H1560" s="128"/>
      <c r="I1560" s="127" t="s">
        <v>1344</v>
      </c>
    </row>
    <row r="1561" spans="1:9" x14ac:dyDescent="0.2">
      <c r="A1561" s="127" t="s">
        <v>3560</v>
      </c>
      <c r="B1561" s="127" t="s">
        <v>3561</v>
      </c>
      <c r="C1561" s="127" t="s">
        <v>22</v>
      </c>
      <c r="D1561" s="127"/>
      <c r="E1561" s="127"/>
      <c r="F1561" s="128"/>
      <c r="G1561" s="128"/>
      <c r="H1561" s="128"/>
      <c r="I1561" s="127" t="s">
        <v>1344</v>
      </c>
    </row>
    <row r="1562" spans="1:9" x14ac:dyDescent="0.2">
      <c r="A1562" s="127" t="s">
        <v>3562</v>
      </c>
      <c r="B1562" s="127" t="s">
        <v>3563</v>
      </c>
      <c r="C1562" s="127" t="s">
        <v>46</v>
      </c>
      <c r="D1562" s="127"/>
      <c r="E1562" s="127"/>
      <c r="F1562" s="128"/>
      <c r="G1562" s="128"/>
      <c r="H1562" s="128"/>
      <c r="I1562" s="127" t="s">
        <v>1344</v>
      </c>
    </row>
    <row r="1563" spans="1:9" x14ac:dyDescent="0.2">
      <c r="A1563" s="127" t="s">
        <v>3564</v>
      </c>
      <c r="B1563" s="127" t="s">
        <v>3565</v>
      </c>
      <c r="C1563" s="127" t="s">
        <v>17</v>
      </c>
      <c r="D1563" s="127"/>
      <c r="E1563" s="127"/>
      <c r="F1563" s="128"/>
      <c r="G1563" s="128"/>
      <c r="H1563" s="128"/>
      <c r="I1563" s="127" t="s">
        <v>1344</v>
      </c>
    </row>
    <row r="1564" spans="1:9" x14ac:dyDescent="0.2">
      <c r="A1564" s="127" t="s">
        <v>3566</v>
      </c>
      <c r="B1564" s="127" t="s">
        <v>3567</v>
      </c>
      <c r="C1564" s="127" t="s">
        <v>17</v>
      </c>
      <c r="D1564" s="127"/>
      <c r="E1564" s="127"/>
      <c r="F1564" s="128"/>
      <c r="G1564" s="128"/>
      <c r="H1564" s="128"/>
      <c r="I1564" s="127" t="s">
        <v>1344</v>
      </c>
    </row>
    <row r="1565" spans="1:9" x14ac:dyDescent="0.2">
      <c r="A1565" s="127" t="s">
        <v>3568</v>
      </c>
      <c r="B1565" s="127" t="s">
        <v>3569</v>
      </c>
      <c r="C1565" s="127" t="s">
        <v>46</v>
      </c>
      <c r="D1565" s="127"/>
      <c r="E1565" s="127"/>
      <c r="F1565" s="128"/>
      <c r="G1565" s="128"/>
      <c r="H1565" s="128"/>
      <c r="I1565" s="127" t="s">
        <v>1344</v>
      </c>
    </row>
    <row r="1566" spans="1:9" x14ac:dyDescent="0.2">
      <c r="A1566" s="127" t="s">
        <v>2848</v>
      </c>
      <c r="B1566" s="127" t="s">
        <v>3570</v>
      </c>
      <c r="C1566" s="127" t="s">
        <v>46</v>
      </c>
      <c r="D1566" s="127"/>
      <c r="E1566" s="127"/>
      <c r="F1566" s="128"/>
      <c r="G1566" s="128"/>
      <c r="H1566" s="128"/>
      <c r="I1566" s="127" t="s">
        <v>1344</v>
      </c>
    </row>
    <row r="1567" spans="1:9" x14ac:dyDescent="0.2">
      <c r="A1567" s="127" t="s">
        <v>3571</v>
      </c>
      <c r="B1567" s="127" t="s">
        <v>3572</v>
      </c>
      <c r="C1567" s="127" t="s">
        <v>46</v>
      </c>
      <c r="D1567" s="127"/>
      <c r="E1567" s="127"/>
      <c r="F1567" s="128"/>
      <c r="G1567" s="128"/>
      <c r="H1567" s="128"/>
      <c r="I1567" s="127" t="s">
        <v>1344</v>
      </c>
    </row>
    <row r="1568" spans="1:9" x14ac:dyDescent="0.2">
      <c r="A1568" s="127" t="s">
        <v>1085</v>
      </c>
      <c r="B1568" s="127" t="s">
        <v>3573</v>
      </c>
      <c r="C1568" s="127" t="s">
        <v>22</v>
      </c>
      <c r="D1568" s="127"/>
      <c r="E1568" s="127"/>
      <c r="F1568" s="128"/>
      <c r="G1568" s="128"/>
      <c r="H1568" s="128"/>
      <c r="I1568" s="127" t="s">
        <v>1344</v>
      </c>
    </row>
    <row r="1569" spans="1:9" x14ac:dyDescent="0.2">
      <c r="A1569" s="127" t="s">
        <v>3574</v>
      </c>
      <c r="B1569" s="127" t="s">
        <v>3575</v>
      </c>
      <c r="C1569" s="127" t="s">
        <v>17</v>
      </c>
      <c r="D1569" s="127"/>
      <c r="E1569" s="127"/>
      <c r="F1569" s="128"/>
      <c r="G1569" s="128"/>
      <c r="H1569" s="128"/>
      <c r="I1569" s="127" t="s">
        <v>1344</v>
      </c>
    </row>
    <row r="1570" spans="1:9" x14ac:dyDescent="0.2">
      <c r="A1570" s="127" t="s">
        <v>3576</v>
      </c>
      <c r="B1570" s="127" t="s">
        <v>3577</v>
      </c>
      <c r="C1570" s="127" t="s">
        <v>46</v>
      </c>
      <c r="D1570" s="127"/>
      <c r="E1570" s="127"/>
      <c r="F1570" s="128"/>
      <c r="G1570" s="128"/>
      <c r="H1570" s="128"/>
      <c r="I1570" s="127" t="s">
        <v>1344</v>
      </c>
    </row>
    <row r="1571" spans="1:9" x14ac:dyDescent="0.2">
      <c r="A1571" s="127" t="s">
        <v>1862</v>
      </c>
      <c r="B1571" s="127" t="s">
        <v>3578</v>
      </c>
      <c r="C1571" s="127" t="s">
        <v>22</v>
      </c>
      <c r="D1571" s="127"/>
      <c r="E1571" s="127"/>
      <c r="F1571" s="128"/>
      <c r="G1571" s="128"/>
      <c r="H1571" s="128"/>
      <c r="I1571" s="127" t="s">
        <v>1344</v>
      </c>
    </row>
    <row r="1572" spans="1:9" x14ac:dyDescent="0.2">
      <c r="A1572" s="127" t="s">
        <v>3579</v>
      </c>
      <c r="B1572" s="127" t="s">
        <v>3580</v>
      </c>
      <c r="C1572" s="127" t="s">
        <v>46</v>
      </c>
      <c r="D1572" s="127"/>
      <c r="E1572" s="127"/>
      <c r="F1572" s="128"/>
      <c r="G1572" s="128"/>
      <c r="H1572" s="128"/>
      <c r="I1572" s="127" t="s">
        <v>1344</v>
      </c>
    </row>
    <row r="1573" spans="1:9" x14ac:dyDescent="0.2">
      <c r="A1573" s="127" t="s">
        <v>3581</v>
      </c>
      <c r="B1573" s="127" t="s">
        <v>1281</v>
      </c>
      <c r="C1573" s="127" t="s">
        <v>22</v>
      </c>
      <c r="D1573" s="127"/>
      <c r="E1573" s="127"/>
      <c r="F1573" s="128"/>
      <c r="G1573" s="128"/>
      <c r="H1573" s="128"/>
      <c r="I1573" s="127" t="s">
        <v>1344</v>
      </c>
    </row>
    <row r="1574" spans="1:9" x14ac:dyDescent="0.2">
      <c r="A1574" s="127" t="s">
        <v>3582</v>
      </c>
      <c r="B1574" s="127" t="s">
        <v>3583</v>
      </c>
      <c r="C1574" s="127" t="s">
        <v>46</v>
      </c>
      <c r="D1574" s="127"/>
      <c r="E1574" s="127"/>
      <c r="F1574" s="128"/>
      <c r="G1574" s="128"/>
      <c r="H1574" s="128"/>
      <c r="I1574" s="127" t="s">
        <v>1344</v>
      </c>
    </row>
    <row r="1575" spans="1:9" x14ac:dyDescent="0.2">
      <c r="A1575" s="127" t="s">
        <v>3584</v>
      </c>
      <c r="B1575" s="127" t="s">
        <v>3585</v>
      </c>
      <c r="C1575" s="127" t="s">
        <v>46</v>
      </c>
      <c r="D1575" s="127"/>
      <c r="E1575" s="127"/>
      <c r="F1575" s="128"/>
      <c r="G1575" s="128"/>
      <c r="H1575" s="128"/>
      <c r="I1575" s="127" t="s">
        <v>1344</v>
      </c>
    </row>
    <row r="1576" spans="1:9" x14ac:dyDescent="0.2">
      <c r="A1576" s="127" t="s">
        <v>3586</v>
      </c>
      <c r="B1576" s="127" t="s">
        <v>3587</v>
      </c>
      <c r="C1576" s="127" t="s">
        <v>17</v>
      </c>
      <c r="D1576" s="127"/>
      <c r="E1576" s="127"/>
      <c r="F1576" s="128"/>
      <c r="G1576" s="128"/>
      <c r="H1576" s="128"/>
      <c r="I1576" s="127" t="s">
        <v>1344</v>
      </c>
    </row>
    <row r="1577" spans="1:9" x14ac:dyDescent="0.2">
      <c r="A1577" s="127" t="s">
        <v>3588</v>
      </c>
      <c r="B1577" s="127" t="s">
        <v>3589</v>
      </c>
      <c r="C1577" s="127" t="s">
        <v>46</v>
      </c>
      <c r="D1577" s="127"/>
      <c r="E1577" s="127"/>
      <c r="F1577" s="128"/>
      <c r="G1577" s="128"/>
      <c r="H1577" s="128"/>
      <c r="I1577" s="127" t="s">
        <v>1344</v>
      </c>
    </row>
    <row r="1578" spans="1:9" x14ac:dyDescent="0.2">
      <c r="A1578" s="127" t="s">
        <v>3590</v>
      </c>
      <c r="B1578" s="127" t="s">
        <v>3591</v>
      </c>
      <c r="C1578" s="127" t="s">
        <v>46</v>
      </c>
      <c r="D1578" s="127"/>
      <c r="E1578" s="127"/>
      <c r="F1578" s="128"/>
      <c r="G1578" s="128"/>
      <c r="H1578" s="128"/>
      <c r="I1578" s="127" t="s">
        <v>1344</v>
      </c>
    </row>
    <row r="1579" spans="1:9" x14ac:dyDescent="0.2">
      <c r="A1579" s="127" t="s">
        <v>3592</v>
      </c>
      <c r="B1579" s="127" t="s">
        <v>3593</v>
      </c>
      <c r="C1579" s="127" t="s">
        <v>46</v>
      </c>
      <c r="D1579" s="127"/>
      <c r="E1579" s="127"/>
      <c r="F1579" s="128"/>
      <c r="G1579" s="128"/>
      <c r="H1579" s="128"/>
      <c r="I1579" s="127" t="s">
        <v>1344</v>
      </c>
    </row>
    <row r="1580" spans="1:9" x14ac:dyDescent="0.2">
      <c r="A1580" s="127" t="s">
        <v>3592</v>
      </c>
      <c r="B1580" s="127" t="s">
        <v>3594</v>
      </c>
      <c r="C1580" s="127" t="s">
        <v>22</v>
      </c>
      <c r="D1580" s="127"/>
      <c r="E1580" s="127"/>
      <c r="F1580" s="128"/>
      <c r="G1580" s="128"/>
      <c r="H1580" s="128"/>
      <c r="I1580" s="127" t="s">
        <v>1344</v>
      </c>
    </row>
    <row r="1581" spans="1:9" x14ac:dyDescent="0.2">
      <c r="A1581" s="127"/>
      <c r="B1581" s="127"/>
      <c r="C1581" s="127" t="s">
        <v>17</v>
      </c>
      <c r="D1581" s="127"/>
      <c r="E1581" s="127"/>
      <c r="F1581" s="128"/>
      <c r="G1581" s="128"/>
      <c r="H1581" s="128"/>
      <c r="I1581" s="127" t="s">
        <v>1344</v>
      </c>
    </row>
    <row r="1582" spans="1:9" x14ac:dyDescent="0.2">
      <c r="A1582" s="127" t="s">
        <v>3595</v>
      </c>
      <c r="B1582" s="127" t="s">
        <v>3596</v>
      </c>
      <c r="C1582" s="127" t="s">
        <v>22</v>
      </c>
      <c r="D1582" s="127"/>
      <c r="E1582" s="127"/>
      <c r="F1582" s="128"/>
      <c r="G1582" s="128"/>
      <c r="H1582" s="128"/>
      <c r="I1582" s="127" t="s">
        <v>1344</v>
      </c>
    </row>
    <row r="1583" spans="1:9" x14ac:dyDescent="0.2">
      <c r="A1583" s="127" t="s">
        <v>3597</v>
      </c>
      <c r="B1583" s="127" t="s">
        <v>3598</v>
      </c>
      <c r="C1583" s="127" t="s">
        <v>22</v>
      </c>
      <c r="D1583" s="127"/>
      <c r="E1583" s="127"/>
      <c r="F1583" s="128"/>
      <c r="G1583" s="128"/>
      <c r="H1583" s="128"/>
      <c r="I1583" s="127" t="s">
        <v>1344</v>
      </c>
    </row>
    <row r="1584" spans="1:9" x14ac:dyDescent="0.2">
      <c r="A1584" s="127" t="s">
        <v>3599</v>
      </c>
      <c r="B1584" s="127" t="s">
        <v>3600</v>
      </c>
      <c r="C1584" s="127" t="s">
        <v>46</v>
      </c>
      <c r="D1584" s="127"/>
      <c r="E1584" s="127"/>
      <c r="F1584" s="128"/>
      <c r="G1584" s="128"/>
      <c r="H1584" s="128"/>
      <c r="I1584" s="127" t="s">
        <v>1344</v>
      </c>
    </row>
    <row r="1585" spans="1:9" x14ac:dyDescent="0.2">
      <c r="A1585" s="127" t="s">
        <v>3601</v>
      </c>
      <c r="B1585" s="127" t="s">
        <v>1247</v>
      </c>
      <c r="C1585" s="127" t="s">
        <v>22</v>
      </c>
      <c r="D1585" s="127"/>
      <c r="E1585" s="127"/>
      <c r="F1585" s="128"/>
      <c r="G1585" s="128"/>
      <c r="H1585" s="128"/>
      <c r="I1585" s="127" t="s">
        <v>1344</v>
      </c>
    </row>
    <row r="1586" spans="1:9" x14ac:dyDescent="0.2">
      <c r="A1586" s="127" t="s">
        <v>3602</v>
      </c>
      <c r="B1586" s="127" t="s">
        <v>3603</v>
      </c>
      <c r="C1586" s="127" t="s">
        <v>46</v>
      </c>
      <c r="D1586" s="127"/>
      <c r="E1586" s="127"/>
      <c r="F1586" s="128"/>
      <c r="G1586" s="128"/>
      <c r="H1586" s="128"/>
      <c r="I1586" s="127" t="s">
        <v>1344</v>
      </c>
    </row>
    <row r="1587" spans="1:9" x14ac:dyDescent="0.2">
      <c r="A1587" s="127" t="s">
        <v>549</v>
      </c>
      <c r="B1587" s="127" t="s">
        <v>3604</v>
      </c>
      <c r="C1587" s="127" t="s">
        <v>22</v>
      </c>
      <c r="D1587" s="127"/>
      <c r="E1587" s="127"/>
      <c r="F1587" s="128"/>
      <c r="G1587" s="128"/>
      <c r="H1587" s="128"/>
      <c r="I1587" s="127" t="s">
        <v>1344</v>
      </c>
    </row>
    <row r="1588" spans="1:9" x14ac:dyDescent="0.2">
      <c r="A1588" s="127" t="s">
        <v>3605</v>
      </c>
      <c r="B1588" s="127" t="s">
        <v>3606</v>
      </c>
      <c r="C1588" s="127" t="s">
        <v>46</v>
      </c>
      <c r="D1588" s="127"/>
      <c r="E1588" s="127"/>
      <c r="F1588" s="128"/>
      <c r="G1588" s="128"/>
      <c r="H1588" s="128"/>
      <c r="I1588" s="127" t="s">
        <v>1344</v>
      </c>
    </row>
    <row r="1589" spans="1:9" x14ac:dyDescent="0.2">
      <c r="A1589" s="127"/>
      <c r="B1589" s="127" t="s">
        <v>3607</v>
      </c>
      <c r="C1589" s="127" t="s">
        <v>46</v>
      </c>
      <c r="D1589" s="127"/>
      <c r="E1589" s="127"/>
      <c r="F1589" s="128"/>
      <c r="G1589" s="128"/>
      <c r="H1589" s="128"/>
      <c r="I1589" s="127" t="s">
        <v>1344</v>
      </c>
    </row>
    <row r="1590" spans="1:9" x14ac:dyDescent="0.2">
      <c r="A1590" s="127"/>
      <c r="B1590" s="127" t="s">
        <v>1020</v>
      </c>
      <c r="C1590" s="127" t="s">
        <v>46</v>
      </c>
      <c r="D1590" s="127"/>
      <c r="E1590" s="127"/>
      <c r="F1590" s="128"/>
      <c r="G1590" s="128"/>
      <c r="H1590" s="128"/>
      <c r="I1590" s="127" t="s">
        <v>1344</v>
      </c>
    </row>
    <row r="1591" spans="1:9" x14ac:dyDescent="0.2">
      <c r="A1591" s="127" t="s">
        <v>3608</v>
      </c>
      <c r="B1591" s="127" t="s">
        <v>3609</v>
      </c>
      <c r="C1591" s="127" t="s">
        <v>46</v>
      </c>
      <c r="D1591" s="127"/>
      <c r="E1591" s="127"/>
      <c r="F1591" s="128"/>
      <c r="G1591" s="128"/>
      <c r="H1591" s="128"/>
      <c r="I1591" s="127" t="s">
        <v>1344</v>
      </c>
    </row>
    <row r="1592" spans="1:9" x14ac:dyDescent="0.2">
      <c r="A1592" s="127" t="s">
        <v>3610</v>
      </c>
      <c r="B1592" s="127" t="s">
        <v>3611</v>
      </c>
      <c r="C1592" s="127" t="s">
        <v>22</v>
      </c>
      <c r="D1592" s="127"/>
      <c r="E1592" s="127"/>
      <c r="F1592" s="128"/>
      <c r="G1592" s="128"/>
      <c r="H1592" s="128"/>
      <c r="I1592" s="127" t="s">
        <v>1344</v>
      </c>
    </row>
    <row r="1593" spans="1:9" x14ac:dyDescent="0.2">
      <c r="A1593" s="127" t="s">
        <v>3612</v>
      </c>
      <c r="B1593" s="127" t="s">
        <v>3613</v>
      </c>
      <c r="C1593" s="127" t="s">
        <v>46</v>
      </c>
      <c r="D1593" s="127"/>
      <c r="E1593" s="127"/>
      <c r="F1593" s="128"/>
      <c r="G1593" s="128"/>
      <c r="H1593" s="128"/>
      <c r="I1593" s="127" t="s">
        <v>1344</v>
      </c>
    </row>
    <row r="1594" spans="1:9" x14ac:dyDescent="0.2">
      <c r="A1594" s="127" t="s">
        <v>3614</v>
      </c>
      <c r="B1594" s="127" t="s">
        <v>3615</v>
      </c>
      <c r="C1594" s="127" t="s">
        <v>17</v>
      </c>
      <c r="D1594" s="127"/>
      <c r="E1594" s="127"/>
      <c r="F1594" s="128"/>
      <c r="G1594" s="128"/>
      <c r="H1594" s="128"/>
      <c r="I1594" s="127" t="s">
        <v>1344</v>
      </c>
    </row>
    <row r="1595" spans="1:9" x14ac:dyDescent="0.2">
      <c r="A1595" s="127" t="s">
        <v>3614</v>
      </c>
      <c r="B1595" s="127" t="s">
        <v>3616</v>
      </c>
      <c r="C1595" s="127" t="s">
        <v>46</v>
      </c>
      <c r="D1595" s="127"/>
      <c r="E1595" s="127"/>
      <c r="F1595" s="128"/>
      <c r="G1595" s="128"/>
      <c r="H1595" s="128"/>
      <c r="I1595" s="127" t="s">
        <v>1344</v>
      </c>
    </row>
    <row r="1596" spans="1:9" x14ac:dyDescent="0.2">
      <c r="A1596" s="127" t="s">
        <v>3617</v>
      </c>
      <c r="B1596" s="127" t="s">
        <v>3618</v>
      </c>
      <c r="C1596" s="127" t="s">
        <v>46</v>
      </c>
      <c r="D1596" s="127"/>
      <c r="E1596" s="127"/>
      <c r="F1596" s="128"/>
      <c r="G1596" s="128"/>
      <c r="H1596" s="128"/>
      <c r="I1596" s="127" t="s">
        <v>1344</v>
      </c>
    </row>
    <row r="1597" spans="1:9" x14ac:dyDescent="0.2">
      <c r="A1597" s="127" t="s">
        <v>3619</v>
      </c>
      <c r="B1597" s="127" t="s">
        <v>3620</v>
      </c>
      <c r="C1597" s="127" t="s">
        <v>17</v>
      </c>
      <c r="D1597" s="127"/>
      <c r="E1597" s="127"/>
      <c r="F1597" s="128"/>
      <c r="G1597" s="128"/>
      <c r="H1597" s="128"/>
      <c r="I1597" s="127" t="s">
        <v>1344</v>
      </c>
    </row>
    <row r="1598" spans="1:9" x14ac:dyDescent="0.2">
      <c r="A1598" s="127" t="s">
        <v>3621</v>
      </c>
      <c r="B1598" s="127" t="s">
        <v>3622</v>
      </c>
      <c r="C1598" s="127" t="s">
        <v>22</v>
      </c>
      <c r="D1598" s="127"/>
      <c r="E1598" s="127"/>
      <c r="F1598" s="128"/>
      <c r="G1598" s="128"/>
      <c r="H1598" s="128"/>
      <c r="I1598" s="127" t="s">
        <v>1344</v>
      </c>
    </row>
    <row r="1599" spans="1:9" x14ac:dyDescent="0.2">
      <c r="A1599" s="127" t="s">
        <v>3623</v>
      </c>
      <c r="B1599" s="127" t="s">
        <v>3624</v>
      </c>
      <c r="C1599" s="127" t="s">
        <v>46</v>
      </c>
      <c r="D1599" s="127"/>
      <c r="E1599" s="127"/>
      <c r="F1599" s="128"/>
      <c r="G1599" s="128"/>
      <c r="H1599" s="128"/>
      <c r="I1599" s="127" t="s">
        <v>1344</v>
      </c>
    </row>
    <row r="1600" spans="1:9" x14ac:dyDescent="0.2">
      <c r="A1600" s="127" t="s">
        <v>3625</v>
      </c>
      <c r="B1600" s="127" t="s">
        <v>3626</v>
      </c>
      <c r="C1600" s="127" t="s">
        <v>22</v>
      </c>
      <c r="D1600" s="127"/>
      <c r="E1600" s="127"/>
      <c r="F1600" s="128"/>
      <c r="G1600" s="128"/>
      <c r="H1600" s="128"/>
      <c r="I1600" s="127" t="s">
        <v>1344</v>
      </c>
    </row>
    <row r="1601" spans="1:9" x14ac:dyDescent="0.2">
      <c r="A1601" s="127" t="s">
        <v>3625</v>
      </c>
      <c r="B1601" s="127" t="s">
        <v>3626</v>
      </c>
      <c r="C1601" s="127" t="s">
        <v>22</v>
      </c>
      <c r="D1601" s="127"/>
      <c r="E1601" s="127"/>
      <c r="F1601" s="128"/>
      <c r="G1601" s="128"/>
      <c r="H1601" s="128"/>
      <c r="I1601" s="127" t="s">
        <v>1344</v>
      </c>
    </row>
    <row r="1602" spans="1:9" x14ac:dyDescent="0.2">
      <c r="A1602" s="127" t="s">
        <v>3627</v>
      </c>
      <c r="B1602" s="127" t="s">
        <v>3628</v>
      </c>
      <c r="C1602" s="127" t="s">
        <v>22</v>
      </c>
      <c r="D1602" s="127"/>
      <c r="E1602" s="127"/>
      <c r="F1602" s="128"/>
      <c r="G1602" s="128"/>
      <c r="H1602" s="128"/>
      <c r="I1602" s="127" t="s">
        <v>1344</v>
      </c>
    </row>
    <row r="1603" spans="1:9" x14ac:dyDescent="0.2">
      <c r="A1603" s="127" t="s">
        <v>3629</v>
      </c>
      <c r="B1603" s="127" t="s">
        <v>3630</v>
      </c>
      <c r="C1603" s="127" t="s">
        <v>46</v>
      </c>
      <c r="D1603" s="127"/>
      <c r="E1603" s="127"/>
      <c r="F1603" s="128"/>
      <c r="G1603" s="128"/>
      <c r="H1603" s="128"/>
      <c r="I1603" s="127" t="s">
        <v>1344</v>
      </c>
    </row>
    <row r="1604" spans="1:9" x14ac:dyDescent="0.2">
      <c r="A1604" s="127" t="s">
        <v>3631</v>
      </c>
      <c r="B1604" s="127" t="s">
        <v>3632</v>
      </c>
      <c r="C1604" s="127" t="s">
        <v>46</v>
      </c>
      <c r="D1604" s="127"/>
      <c r="E1604" s="127"/>
      <c r="F1604" s="128"/>
      <c r="G1604" s="128"/>
      <c r="H1604" s="128"/>
      <c r="I1604" s="127" t="s">
        <v>1344</v>
      </c>
    </row>
    <row r="1605" spans="1:9" x14ac:dyDescent="0.2">
      <c r="A1605" s="127" t="s">
        <v>3633</v>
      </c>
      <c r="B1605" s="127" t="s">
        <v>3634</v>
      </c>
      <c r="C1605" s="127" t="s">
        <v>46</v>
      </c>
      <c r="D1605" s="127"/>
      <c r="E1605" s="127"/>
      <c r="F1605" s="128"/>
      <c r="G1605" s="128"/>
      <c r="H1605" s="128"/>
      <c r="I1605" s="127" t="s">
        <v>1344</v>
      </c>
    </row>
    <row r="1606" spans="1:9" x14ac:dyDescent="0.2">
      <c r="A1606" s="127" t="s">
        <v>3635</v>
      </c>
      <c r="B1606" s="127" t="s">
        <v>3636</v>
      </c>
      <c r="C1606" s="127" t="s">
        <v>46</v>
      </c>
      <c r="D1606" s="127"/>
      <c r="E1606" s="127"/>
      <c r="F1606" s="128"/>
      <c r="G1606" s="128"/>
      <c r="H1606" s="128"/>
      <c r="I1606" s="127" t="s">
        <v>1344</v>
      </c>
    </row>
    <row r="1607" spans="1:9" x14ac:dyDescent="0.2">
      <c r="A1607" s="127" t="s">
        <v>3637</v>
      </c>
      <c r="B1607" s="127" t="s">
        <v>3638</v>
      </c>
      <c r="C1607" s="127" t="s">
        <v>17</v>
      </c>
      <c r="D1607" s="127"/>
      <c r="E1607" s="127"/>
      <c r="F1607" s="128"/>
      <c r="G1607" s="128"/>
      <c r="H1607" s="128"/>
      <c r="I1607" s="127" t="s">
        <v>1344</v>
      </c>
    </row>
    <row r="1608" spans="1:9" x14ac:dyDescent="0.2">
      <c r="A1608" s="127" t="s">
        <v>3639</v>
      </c>
      <c r="B1608" s="127" t="s">
        <v>3640</v>
      </c>
      <c r="C1608" s="127" t="s">
        <v>46</v>
      </c>
      <c r="D1608" s="127"/>
      <c r="E1608" s="127"/>
      <c r="F1608" s="128"/>
      <c r="G1608" s="128"/>
      <c r="H1608" s="128"/>
      <c r="I1608" s="127" t="s">
        <v>1344</v>
      </c>
    </row>
    <row r="1609" spans="1:9" x14ac:dyDescent="0.2">
      <c r="A1609" s="127" t="s">
        <v>3641</v>
      </c>
      <c r="B1609" s="127" t="s">
        <v>3642</v>
      </c>
      <c r="C1609" s="127" t="s">
        <v>46</v>
      </c>
      <c r="D1609" s="127"/>
      <c r="E1609" s="127"/>
      <c r="F1609" s="128"/>
      <c r="G1609" s="128"/>
      <c r="H1609" s="128"/>
      <c r="I1609" s="127" t="s">
        <v>1344</v>
      </c>
    </row>
    <row r="1610" spans="1:9" x14ac:dyDescent="0.2">
      <c r="A1610" s="127" t="s">
        <v>3643</v>
      </c>
      <c r="B1610" s="127" t="s">
        <v>3644</v>
      </c>
      <c r="C1610" s="127" t="s">
        <v>46</v>
      </c>
      <c r="D1610" s="127"/>
      <c r="E1610" s="127"/>
      <c r="F1610" s="128"/>
      <c r="G1610" s="128"/>
      <c r="H1610" s="128"/>
      <c r="I1610" s="127" t="s">
        <v>1344</v>
      </c>
    </row>
    <row r="1611" spans="1:9" x14ac:dyDescent="0.2">
      <c r="A1611" s="127" t="s">
        <v>3645</v>
      </c>
      <c r="B1611" s="127" t="s">
        <v>3646</v>
      </c>
      <c r="C1611" s="127" t="s">
        <v>22</v>
      </c>
      <c r="D1611" s="127"/>
      <c r="E1611" s="127"/>
      <c r="F1611" s="128"/>
      <c r="G1611" s="128"/>
      <c r="H1611" s="128"/>
      <c r="I1611" s="127" t="s">
        <v>1344</v>
      </c>
    </row>
    <row r="1612" spans="1:9" x14ac:dyDescent="0.2">
      <c r="A1612" s="127" t="s">
        <v>3647</v>
      </c>
      <c r="B1612" s="127" t="s">
        <v>3648</v>
      </c>
      <c r="C1612" s="127" t="s">
        <v>22</v>
      </c>
      <c r="D1612" s="127"/>
      <c r="E1612" s="127"/>
      <c r="F1612" s="128"/>
      <c r="G1612" s="128"/>
      <c r="H1612" s="128"/>
      <c r="I1612" s="127" t="s">
        <v>1344</v>
      </c>
    </row>
    <row r="1613" spans="1:9" x14ac:dyDescent="0.2">
      <c r="A1613" s="127" t="s">
        <v>154</v>
      </c>
      <c r="B1613" s="127" t="s">
        <v>3649</v>
      </c>
      <c r="C1613" s="127" t="s">
        <v>22</v>
      </c>
      <c r="D1613" s="127"/>
      <c r="E1613" s="127"/>
      <c r="F1613" s="128"/>
      <c r="G1613" s="128"/>
      <c r="H1613" s="128"/>
      <c r="I1613" s="127" t="s">
        <v>1344</v>
      </c>
    </row>
    <row r="1614" spans="1:9" x14ac:dyDescent="0.2">
      <c r="A1614" s="127" t="s">
        <v>3650</v>
      </c>
      <c r="B1614" s="127" t="s">
        <v>3651</v>
      </c>
      <c r="C1614" s="127" t="s">
        <v>46</v>
      </c>
      <c r="D1614" s="127"/>
      <c r="E1614" s="127"/>
      <c r="F1614" s="128"/>
      <c r="G1614" s="128"/>
      <c r="H1614" s="128"/>
      <c r="I1614" s="127" t="s">
        <v>1344</v>
      </c>
    </row>
    <row r="1615" spans="1:9" x14ac:dyDescent="0.2">
      <c r="A1615" s="127" t="s">
        <v>3652</v>
      </c>
      <c r="B1615" s="127" t="s">
        <v>3653</v>
      </c>
      <c r="C1615" s="127" t="s">
        <v>22</v>
      </c>
      <c r="D1615" s="127"/>
      <c r="E1615" s="127"/>
      <c r="F1615" s="128"/>
      <c r="G1615" s="128"/>
      <c r="H1615" s="128"/>
      <c r="I1615" s="127" t="s">
        <v>1344</v>
      </c>
    </row>
    <row r="1616" spans="1:9" x14ac:dyDescent="0.2">
      <c r="A1616" s="127" t="s">
        <v>3654</v>
      </c>
      <c r="B1616" s="127" t="s">
        <v>3655</v>
      </c>
      <c r="C1616" s="127" t="s">
        <v>46</v>
      </c>
      <c r="D1616" s="127"/>
      <c r="E1616" s="127"/>
      <c r="F1616" s="128"/>
      <c r="G1616" s="128"/>
      <c r="H1616" s="128"/>
      <c r="I1616" s="127" t="s">
        <v>1344</v>
      </c>
    </row>
    <row r="1617" spans="1:9" x14ac:dyDescent="0.2">
      <c r="A1617" s="127" t="s">
        <v>3656</v>
      </c>
      <c r="B1617" s="127" t="s">
        <v>3657</v>
      </c>
      <c r="C1617" s="127" t="s">
        <v>46</v>
      </c>
      <c r="D1617" s="127"/>
      <c r="E1617" s="127"/>
      <c r="F1617" s="128"/>
      <c r="G1617" s="128"/>
      <c r="H1617" s="128"/>
      <c r="I1617" s="127" t="s">
        <v>1344</v>
      </c>
    </row>
    <row r="1618" spans="1:9" x14ac:dyDescent="0.2">
      <c r="A1618" s="127"/>
      <c r="B1618" s="127" t="s">
        <v>3658</v>
      </c>
      <c r="C1618" s="127" t="s">
        <v>46</v>
      </c>
      <c r="D1618" s="127"/>
      <c r="E1618" s="127"/>
      <c r="F1618" s="128"/>
      <c r="G1618" s="128"/>
      <c r="H1618" s="128"/>
      <c r="I1618" s="127" t="s">
        <v>1344</v>
      </c>
    </row>
    <row r="1619" spans="1:9" x14ac:dyDescent="0.2">
      <c r="A1619" s="127"/>
      <c r="B1619" s="127" t="s">
        <v>3659</v>
      </c>
      <c r="C1619" s="127" t="s">
        <v>46</v>
      </c>
      <c r="D1619" s="127"/>
      <c r="E1619" s="127"/>
      <c r="F1619" s="128"/>
      <c r="G1619" s="128"/>
      <c r="H1619" s="128"/>
      <c r="I1619" s="127" t="s">
        <v>1344</v>
      </c>
    </row>
    <row r="1620" spans="1:9" x14ac:dyDescent="0.2">
      <c r="A1620" s="127"/>
      <c r="B1620" s="127"/>
      <c r="C1620" s="127" t="s">
        <v>46</v>
      </c>
      <c r="D1620" s="127"/>
      <c r="E1620" s="127"/>
      <c r="F1620" s="128"/>
      <c r="G1620" s="128"/>
      <c r="H1620" s="128"/>
      <c r="I1620" s="127" t="s">
        <v>1344</v>
      </c>
    </row>
    <row r="1621" spans="1:9" x14ac:dyDescent="0.2">
      <c r="A1621" s="127" t="s">
        <v>3660</v>
      </c>
      <c r="B1621" s="127" t="s">
        <v>3661</v>
      </c>
      <c r="C1621" s="127" t="s">
        <v>17</v>
      </c>
      <c r="D1621" s="127"/>
      <c r="E1621" s="127"/>
      <c r="F1621" s="128"/>
      <c r="G1621" s="128"/>
      <c r="H1621" s="128"/>
      <c r="I1621" s="127" t="s">
        <v>1344</v>
      </c>
    </row>
    <row r="1622" spans="1:9" x14ac:dyDescent="0.2">
      <c r="A1622" s="127" t="s">
        <v>3662</v>
      </c>
      <c r="B1622" s="127" t="s">
        <v>3663</v>
      </c>
      <c r="C1622" s="127" t="s">
        <v>46</v>
      </c>
      <c r="D1622" s="127"/>
      <c r="E1622" s="127"/>
      <c r="F1622" s="128"/>
      <c r="G1622" s="128"/>
      <c r="H1622" s="128"/>
      <c r="I1622" s="127" t="s">
        <v>1344</v>
      </c>
    </row>
    <row r="1623" spans="1:9" x14ac:dyDescent="0.2">
      <c r="A1623" s="127"/>
      <c r="B1623" s="127" t="s">
        <v>3664</v>
      </c>
      <c r="C1623" s="127" t="s">
        <v>46</v>
      </c>
      <c r="D1623" s="127"/>
      <c r="E1623" s="127"/>
      <c r="F1623" s="128"/>
      <c r="G1623" s="128"/>
      <c r="H1623" s="128"/>
      <c r="I1623" s="127" t="s">
        <v>1344</v>
      </c>
    </row>
    <row r="1624" spans="1:9" x14ac:dyDescent="0.2">
      <c r="A1624" s="127" t="s">
        <v>3665</v>
      </c>
      <c r="B1624" s="127" t="s">
        <v>3666</v>
      </c>
      <c r="C1624" s="127" t="s">
        <v>46</v>
      </c>
      <c r="D1624" s="127"/>
      <c r="E1624" s="127"/>
      <c r="F1624" s="128"/>
      <c r="G1624" s="128"/>
      <c r="H1624" s="128"/>
      <c r="I1624" s="127" t="s">
        <v>1344</v>
      </c>
    </row>
    <row r="1625" spans="1:9" x14ac:dyDescent="0.2">
      <c r="A1625" s="127" t="s">
        <v>3667</v>
      </c>
      <c r="B1625" s="127" t="s">
        <v>3668</v>
      </c>
      <c r="C1625" s="127" t="s">
        <v>46</v>
      </c>
      <c r="D1625" s="127"/>
      <c r="E1625" s="127"/>
      <c r="F1625" s="128"/>
      <c r="G1625" s="128"/>
      <c r="H1625" s="128"/>
      <c r="I1625" s="127" t="s">
        <v>1344</v>
      </c>
    </row>
    <row r="1626" spans="1:9" x14ac:dyDescent="0.2">
      <c r="A1626" s="127" t="s">
        <v>3669</v>
      </c>
      <c r="B1626" s="127" t="s">
        <v>3670</v>
      </c>
      <c r="C1626" s="127" t="s">
        <v>17</v>
      </c>
      <c r="D1626" s="127"/>
      <c r="E1626" s="127"/>
      <c r="F1626" s="128"/>
      <c r="G1626" s="128"/>
      <c r="H1626" s="128"/>
      <c r="I1626" s="127" t="s">
        <v>1344</v>
      </c>
    </row>
    <row r="1627" spans="1:9" x14ac:dyDescent="0.2">
      <c r="A1627" s="127" t="s">
        <v>3671</v>
      </c>
      <c r="B1627" s="127" t="s">
        <v>3672</v>
      </c>
      <c r="C1627" s="127" t="s">
        <v>17</v>
      </c>
      <c r="D1627" s="127"/>
      <c r="E1627" s="127"/>
      <c r="F1627" s="128"/>
      <c r="G1627" s="128"/>
      <c r="H1627" s="128"/>
      <c r="I1627" s="127" t="s">
        <v>1344</v>
      </c>
    </row>
    <row r="1628" spans="1:9" x14ac:dyDescent="0.2">
      <c r="A1628" s="127" t="s">
        <v>3673</v>
      </c>
      <c r="B1628" s="127" t="s">
        <v>3674</v>
      </c>
      <c r="C1628" s="127" t="s">
        <v>46</v>
      </c>
      <c r="D1628" s="127"/>
      <c r="E1628" s="127"/>
      <c r="F1628" s="128"/>
      <c r="G1628" s="128"/>
      <c r="H1628" s="128"/>
      <c r="I1628" s="127" t="s">
        <v>1344</v>
      </c>
    </row>
    <row r="1629" spans="1:9" x14ac:dyDescent="0.2">
      <c r="A1629" s="127" t="s">
        <v>3675</v>
      </c>
      <c r="B1629" s="127" t="s">
        <v>3676</v>
      </c>
      <c r="C1629" s="127" t="s">
        <v>17</v>
      </c>
      <c r="D1629" s="127"/>
      <c r="E1629" s="127"/>
      <c r="F1629" s="128"/>
      <c r="G1629" s="128"/>
      <c r="H1629" s="128"/>
      <c r="I1629" s="127" t="s">
        <v>1344</v>
      </c>
    </row>
    <row r="1630" spans="1:9" x14ac:dyDescent="0.2">
      <c r="A1630" s="127" t="s">
        <v>3677</v>
      </c>
      <c r="B1630" s="127" t="s">
        <v>3678</v>
      </c>
      <c r="C1630" s="127" t="s">
        <v>22</v>
      </c>
      <c r="D1630" s="127"/>
      <c r="E1630" s="127"/>
      <c r="F1630" s="128"/>
      <c r="G1630" s="128"/>
      <c r="H1630" s="128"/>
      <c r="I1630" s="127" t="s">
        <v>1344</v>
      </c>
    </row>
    <row r="1631" spans="1:9" x14ac:dyDescent="0.2">
      <c r="A1631" s="127" t="s">
        <v>3679</v>
      </c>
      <c r="B1631" s="127" t="s">
        <v>3680</v>
      </c>
      <c r="C1631" s="127" t="s">
        <v>22</v>
      </c>
      <c r="D1631" s="127"/>
      <c r="E1631" s="127"/>
      <c r="F1631" s="128"/>
      <c r="G1631" s="128"/>
      <c r="H1631" s="128"/>
      <c r="I1631" s="127" t="s">
        <v>1344</v>
      </c>
    </row>
    <row r="1632" spans="1:9" x14ac:dyDescent="0.2">
      <c r="A1632" s="127" t="s">
        <v>3681</v>
      </c>
      <c r="B1632" s="127" t="s">
        <v>3682</v>
      </c>
      <c r="C1632" s="127" t="s">
        <v>46</v>
      </c>
      <c r="D1632" s="127"/>
      <c r="E1632" s="127"/>
      <c r="F1632" s="128"/>
      <c r="G1632" s="128"/>
      <c r="H1632" s="128"/>
      <c r="I1632" s="127" t="s">
        <v>1344</v>
      </c>
    </row>
    <row r="1633" spans="1:9" x14ac:dyDescent="0.2">
      <c r="A1633" s="127" t="s">
        <v>3683</v>
      </c>
      <c r="B1633" s="127" t="s">
        <v>3684</v>
      </c>
      <c r="C1633" s="127" t="s">
        <v>46</v>
      </c>
      <c r="D1633" s="127"/>
      <c r="E1633" s="127"/>
      <c r="F1633" s="128"/>
      <c r="G1633" s="128"/>
      <c r="H1633" s="128"/>
      <c r="I1633" s="127" t="s">
        <v>1344</v>
      </c>
    </row>
    <row r="1634" spans="1:9" x14ac:dyDescent="0.2">
      <c r="A1634" s="127" t="s">
        <v>3685</v>
      </c>
      <c r="B1634" s="127" t="s">
        <v>3686</v>
      </c>
      <c r="C1634" s="127" t="s">
        <v>46</v>
      </c>
      <c r="D1634" s="127"/>
      <c r="E1634" s="127"/>
      <c r="F1634" s="128"/>
      <c r="G1634" s="128"/>
      <c r="H1634" s="128"/>
      <c r="I1634" s="127" t="s">
        <v>1344</v>
      </c>
    </row>
    <row r="1635" spans="1:9" x14ac:dyDescent="0.2">
      <c r="A1635" s="127" t="s">
        <v>3687</v>
      </c>
      <c r="B1635" s="127" t="s">
        <v>3688</v>
      </c>
      <c r="C1635" s="127" t="s">
        <v>46</v>
      </c>
      <c r="D1635" s="127"/>
      <c r="E1635" s="127"/>
      <c r="F1635" s="128"/>
      <c r="G1635" s="128"/>
      <c r="H1635" s="128"/>
      <c r="I1635" s="127" t="s">
        <v>1344</v>
      </c>
    </row>
    <row r="1636" spans="1:9" x14ac:dyDescent="0.2">
      <c r="A1636" s="127" t="s">
        <v>3689</v>
      </c>
      <c r="B1636" s="127" t="s">
        <v>3690</v>
      </c>
      <c r="C1636" s="127" t="s">
        <v>22</v>
      </c>
      <c r="D1636" s="127"/>
      <c r="E1636" s="127"/>
      <c r="F1636" s="128"/>
      <c r="G1636" s="128"/>
      <c r="H1636" s="128"/>
      <c r="I1636" s="127" t="s">
        <v>1344</v>
      </c>
    </row>
    <row r="1637" spans="1:9" x14ac:dyDescent="0.2">
      <c r="A1637" s="127" t="s">
        <v>3691</v>
      </c>
      <c r="B1637" s="127" t="s">
        <v>3692</v>
      </c>
      <c r="C1637" s="127" t="s">
        <v>46</v>
      </c>
      <c r="D1637" s="127"/>
      <c r="E1637" s="127"/>
      <c r="F1637" s="128"/>
      <c r="G1637" s="128"/>
      <c r="H1637" s="128"/>
      <c r="I1637" s="127" t="s">
        <v>1344</v>
      </c>
    </row>
    <row r="1638" spans="1:9" x14ac:dyDescent="0.2">
      <c r="A1638" s="127" t="s">
        <v>3693</v>
      </c>
      <c r="B1638" s="127" t="s">
        <v>3694</v>
      </c>
      <c r="C1638" s="127" t="s">
        <v>46</v>
      </c>
      <c r="D1638" s="127"/>
      <c r="E1638" s="127"/>
      <c r="F1638" s="128"/>
      <c r="G1638" s="128"/>
      <c r="H1638" s="128"/>
      <c r="I1638" s="127" t="s">
        <v>1344</v>
      </c>
    </row>
    <row r="1639" spans="1:9" x14ac:dyDescent="0.2">
      <c r="A1639" s="127" t="s">
        <v>3695</v>
      </c>
      <c r="B1639" s="127" t="s">
        <v>3696</v>
      </c>
      <c r="C1639" s="127" t="s">
        <v>46</v>
      </c>
      <c r="D1639" s="127"/>
      <c r="E1639" s="127"/>
      <c r="F1639" s="128"/>
      <c r="G1639" s="128"/>
      <c r="H1639" s="128"/>
      <c r="I1639" s="127" t="s">
        <v>1344</v>
      </c>
    </row>
    <row r="1640" spans="1:9" x14ac:dyDescent="0.2">
      <c r="A1640" s="127" t="s">
        <v>3697</v>
      </c>
      <c r="B1640" s="127" t="s">
        <v>3698</v>
      </c>
      <c r="C1640" s="127" t="s">
        <v>22</v>
      </c>
      <c r="D1640" s="127"/>
      <c r="E1640" s="127"/>
      <c r="F1640" s="128"/>
      <c r="G1640" s="128"/>
      <c r="H1640" s="128"/>
      <c r="I1640" s="127" t="s">
        <v>1344</v>
      </c>
    </row>
    <row r="1641" spans="1:9" x14ac:dyDescent="0.2">
      <c r="A1641" s="127" t="s">
        <v>154</v>
      </c>
      <c r="B1641" s="127" t="s">
        <v>3699</v>
      </c>
      <c r="C1641" s="127" t="s">
        <v>22</v>
      </c>
      <c r="D1641" s="127"/>
      <c r="E1641" s="127"/>
      <c r="F1641" s="128"/>
      <c r="G1641" s="128"/>
      <c r="H1641" s="128"/>
      <c r="I1641" s="127" t="s">
        <v>1344</v>
      </c>
    </row>
    <row r="1642" spans="1:9" x14ac:dyDescent="0.2">
      <c r="A1642" s="127" t="s">
        <v>154</v>
      </c>
      <c r="B1642" s="127" t="s">
        <v>3700</v>
      </c>
      <c r="C1642" s="127" t="s">
        <v>22</v>
      </c>
      <c r="D1642" s="127"/>
      <c r="E1642" s="127"/>
      <c r="F1642" s="128"/>
      <c r="G1642" s="128"/>
      <c r="H1642" s="128"/>
      <c r="I1642" s="127" t="s">
        <v>1344</v>
      </c>
    </row>
    <row r="1643" spans="1:9" x14ac:dyDescent="0.2">
      <c r="A1643" s="127" t="s">
        <v>1862</v>
      </c>
      <c r="B1643" s="127" t="s">
        <v>3701</v>
      </c>
      <c r="C1643" s="127" t="s">
        <v>22</v>
      </c>
      <c r="D1643" s="127"/>
      <c r="E1643" s="127"/>
      <c r="F1643" s="128"/>
      <c r="G1643" s="128"/>
      <c r="H1643" s="128"/>
      <c r="I1643" s="127" t="s">
        <v>1344</v>
      </c>
    </row>
    <row r="1644" spans="1:9" x14ac:dyDescent="0.2">
      <c r="A1644" s="127" t="s">
        <v>1862</v>
      </c>
      <c r="B1644" s="127" t="s">
        <v>3702</v>
      </c>
      <c r="C1644" s="127" t="s">
        <v>22</v>
      </c>
      <c r="D1644" s="127"/>
      <c r="E1644" s="127"/>
      <c r="F1644" s="128"/>
      <c r="G1644" s="128"/>
      <c r="H1644" s="128"/>
      <c r="I1644" s="127" t="s">
        <v>1344</v>
      </c>
    </row>
    <row r="1645" spans="1:9" x14ac:dyDescent="0.2">
      <c r="A1645" s="127" t="s">
        <v>1862</v>
      </c>
      <c r="B1645" s="127" t="s">
        <v>3703</v>
      </c>
      <c r="C1645" s="127" t="s">
        <v>22</v>
      </c>
      <c r="D1645" s="127"/>
      <c r="E1645" s="127"/>
      <c r="F1645" s="128"/>
      <c r="G1645" s="128"/>
      <c r="H1645" s="128"/>
      <c r="I1645" s="127" t="s">
        <v>1344</v>
      </c>
    </row>
    <row r="1646" spans="1:9" x14ac:dyDescent="0.2">
      <c r="A1646" s="127" t="s">
        <v>3704</v>
      </c>
      <c r="B1646" s="127" t="s">
        <v>3705</v>
      </c>
      <c r="C1646" s="127" t="s">
        <v>22</v>
      </c>
      <c r="D1646" s="127"/>
      <c r="E1646" s="127"/>
      <c r="F1646" s="128"/>
      <c r="G1646" s="128"/>
      <c r="H1646" s="128"/>
      <c r="I1646" s="127" t="s">
        <v>1344</v>
      </c>
    </row>
    <row r="1647" spans="1:9" x14ac:dyDescent="0.2">
      <c r="A1647" s="127" t="s">
        <v>3706</v>
      </c>
      <c r="B1647" s="127" t="s">
        <v>3707</v>
      </c>
      <c r="C1647" s="127" t="s">
        <v>22</v>
      </c>
      <c r="D1647" s="127"/>
      <c r="E1647" s="127"/>
      <c r="F1647" s="128"/>
      <c r="G1647" s="128"/>
      <c r="H1647" s="128"/>
      <c r="I1647" s="127" t="s">
        <v>1344</v>
      </c>
    </row>
    <row r="1648" spans="1:9" x14ac:dyDescent="0.2">
      <c r="A1648" s="127" t="s">
        <v>3708</v>
      </c>
      <c r="B1648" s="127" t="s">
        <v>3709</v>
      </c>
      <c r="C1648" s="127" t="s">
        <v>46</v>
      </c>
      <c r="D1648" s="127"/>
      <c r="E1648" s="127"/>
      <c r="F1648" s="128"/>
      <c r="G1648" s="128"/>
      <c r="H1648" s="128"/>
      <c r="I1648" s="127" t="s">
        <v>1344</v>
      </c>
    </row>
    <row r="1649" spans="1:9" x14ac:dyDescent="0.2">
      <c r="A1649" s="127" t="s">
        <v>3704</v>
      </c>
      <c r="B1649" s="127" t="s">
        <v>3710</v>
      </c>
      <c r="C1649" s="127" t="s">
        <v>22</v>
      </c>
      <c r="D1649" s="127"/>
      <c r="E1649" s="127"/>
      <c r="F1649" s="128"/>
      <c r="G1649" s="128"/>
      <c r="H1649" s="128"/>
      <c r="I1649" s="127" t="s">
        <v>1344</v>
      </c>
    </row>
    <row r="1650" spans="1:9" x14ac:dyDescent="0.2">
      <c r="A1650" s="127" t="s">
        <v>3711</v>
      </c>
      <c r="B1650" s="127" t="s">
        <v>3712</v>
      </c>
      <c r="C1650" s="127" t="s">
        <v>22</v>
      </c>
      <c r="D1650" s="127"/>
      <c r="E1650" s="127"/>
      <c r="F1650" s="128"/>
      <c r="G1650" s="128"/>
      <c r="H1650" s="128"/>
      <c r="I1650" s="127" t="s">
        <v>1344</v>
      </c>
    </row>
    <row r="1651" spans="1:9" x14ac:dyDescent="0.2">
      <c r="A1651" s="127" t="s">
        <v>3713</v>
      </c>
      <c r="B1651" s="127" t="s">
        <v>3714</v>
      </c>
      <c r="C1651" s="127" t="s">
        <v>22</v>
      </c>
      <c r="D1651" s="127"/>
      <c r="E1651" s="127"/>
      <c r="F1651" s="128"/>
      <c r="G1651" s="128"/>
      <c r="H1651" s="128"/>
      <c r="I1651" s="127" t="s">
        <v>1344</v>
      </c>
    </row>
    <row r="1652" spans="1:9" x14ac:dyDescent="0.2">
      <c r="A1652" s="127" t="s">
        <v>3715</v>
      </c>
      <c r="B1652" s="127" t="s">
        <v>3716</v>
      </c>
      <c r="C1652" s="127" t="s">
        <v>22</v>
      </c>
      <c r="D1652" s="127"/>
      <c r="E1652" s="127"/>
      <c r="F1652" s="128"/>
      <c r="G1652" s="128"/>
      <c r="H1652" s="128"/>
      <c r="I1652" s="127" t="s">
        <v>1344</v>
      </c>
    </row>
    <row r="1653" spans="1:9" x14ac:dyDescent="0.2">
      <c r="A1653" s="127" t="s">
        <v>3717</v>
      </c>
      <c r="B1653" s="127" t="s">
        <v>3718</v>
      </c>
      <c r="C1653" s="127" t="s">
        <v>22</v>
      </c>
      <c r="D1653" s="127"/>
      <c r="E1653" s="127"/>
      <c r="F1653" s="128"/>
      <c r="G1653" s="128"/>
      <c r="H1653" s="128"/>
      <c r="I1653" s="127" t="s">
        <v>1344</v>
      </c>
    </row>
    <row r="1654" spans="1:9" x14ac:dyDescent="0.2">
      <c r="A1654" s="127" t="s">
        <v>3719</v>
      </c>
      <c r="B1654" s="127" t="s">
        <v>3720</v>
      </c>
      <c r="C1654" s="127" t="s">
        <v>17</v>
      </c>
      <c r="D1654" s="127"/>
      <c r="E1654" s="127"/>
      <c r="F1654" s="128"/>
      <c r="G1654" s="128"/>
      <c r="H1654" s="128"/>
      <c r="I1654" s="127" t="s">
        <v>1344</v>
      </c>
    </row>
    <row r="1655" spans="1:9" x14ac:dyDescent="0.2">
      <c r="A1655" s="127" t="s">
        <v>3721</v>
      </c>
      <c r="B1655" s="127" t="s">
        <v>3722</v>
      </c>
      <c r="C1655" s="127" t="s">
        <v>46</v>
      </c>
      <c r="D1655" s="127"/>
      <c r="E1655" s="127"/>
      <c r="F1655" s="128"/>
      <c r="G1655" s="128"/>
      <c r="H1655" s="128"/>
      <c r="I1655" s="127" t="s">
        <v>1344</v>
      </c>
    </row>
    <row r="1656" spans="1:9" x14ac:dyDescent="0.2">
      <c r="A1656" s="127" t="s">
        <v>3723</v>
      </c>
      <c r="B1656" s="127" t="s">
        <v>3724</v>
      </c>
      <c r="C1656" s="127" t="s">
        <v>17</v>
      </c>
      <c r="D1656" s="127"/>
      <c r="E1656" s="127"/>
      <c r="F1656" s="128"/>
      <c r="G1656" s="128"/>
      <c r="H1656" s="128"/>
      <c r="I1656" s="127" t="s">
        <v>1344</v>
      </c>
    </row>
    <row r="1657" spans="1:9" x14ac:dyDescent="0.2">
      <c r="A1657" s="127" t="s">
        <v>3725</v>
      </c>
      <c r="B1657" s="127" t="s">
        <v>3726</v>
      </c>
      <c r="C1657" s="127" t="s">
        <v>17</v>
      </c>
      <c r="D1657" s="127"/>
      <c r="E1657" s="127"/>
      <c r="F1657" s="128"/>
      <c r="G1657" s="128"/>
      <c r="H1657" s="128"/>
      <c r="I1657" s="127" t="s">
        <v>1344</v>
      </c>
    </row>
    <row r="1658" spans="1:9" x14ac:dyDescent="0.2">
      <c r="A1658" s="127" t="s">
        <v>3727</v>
      </c>
      <c r="B1658" s="127" t="s">
        <v>3728</v>
      </c>
      <c r="C1658" s="127" t="s">
        <v>17</v>
      </c>
      <c r="D1658" s="127"/>
      <c r="E1658" s="127"/>
      <c r="F1658" s="128"/>
      <c r="G1658" s="128"/>
      <c r="H1658" s="128"/>
      <c r="I1658" s="127" t="s">
        <v>1344</v>
      </c>
    </row>
    <row r="1659" spans="1:9" x14ac:dyDescent="0.2">
      <c r="A1659" s="127" t="s">
        <v>3729</v>
      </c>
      <c r="B1659" s="127" t="s">
        <v>3730</v>
      </c>
      <c r="C1659" s="127" t="s">
        <v>46</v>
      </c>
      <c r="D1659" s="127"/>
      <c r="E1659" s="127"/>
      <c r="F1659" s="128"/>
      <c r="G1659" s="128"/>
      <c r="H1659" s="128"/>
      <c r="I1659" s="127" t="s">
        <v>1344</v>
      </c>
    </row>
    <row r="1660" spans="1:9" x14ac:dyDescent="0.2">
      <c r="A1660" s="127" t="s">
        <v>3731</v>
      </c>
      <c r="B1660" s="127" t="s">
        <v>1244</v>
      </c>
      <c r="C1660" s="127" t="s">
        <v>22</v>
      </c>
      <c r="D1660" s="127"/>
      <c r="E1660" s="127"/>
      <c r="F1660" s="128"/>
      <c r="G1660" s="128"/>
      <c r="H1660" s="128"/>
      <c r="I1660" s="127" t="s">
        <v>1344</v>
      </c>
    </row>
    <row r="1661" spans="1:9" x14ac:dyDescent="0.2">
      <c r="A1661" s="127" t="s">
        <v>1462</v>
      </c>
      <c r="B1661" s="127" t="s">
        <v>3732</v>
      </c>
      <c r="C1661" s="127" t="s">
        <v>46</v>
      </c>
      <c r="D1661" s="127"/>
      <c r="E1661" s="127"/>
      <c r="F1661" s="128"/>
      <c r="G1661" s="128"/>
      <c r="H1661" s="128"/>
      <c r="I1661" s="127" t="s">
        <v>1344</v>
      </c>
    </row>
    <row r="1662" spans="1:9" x14ac:dyDescent="0.2">
      <c r="A1662" s="127" t="s">
        <v>3733</v>
      </c>
      <c r="B1662" s="127" t="s">
        <v>3734</v>
      </c>
      <c r="C1662" s="127" t="s">
        <v>46</v>
      </c>
      <c r="D1662" s="127"/>
      <c r="E1662" s="127"/>
      <c r="F1662" s="128"/>
      <c r="G1662" s="128"/>
      <c r="H1662" s="128"/>
      <c r="I1662" s="127" t="s">
        <v>1344</v>
      </c>
    </row>
    <row r="1663" spans="1:9" x14ac:dyDescent="0.2">
      <c r="A1663" s="127" t="s">
        <v>3735</v>
      </c>
      <c r="B1663" s="127" t="s">
        <v>3736</v>
      </c>
      <c r="C1663" s="127" t="s">
        <v>17</v>
      </c>
      <c r="D1663" s="127"/>
      <c r="E1663" s="127"/>
      <c r="F1663" s="128"/>
      <c r="G1663" s="128"/>
      <c r="H1663" s="128"/>
      <c r="I1663" s="127" t="s">
        <v>1344</v>
      </c>
    </row>
    <row r="1664" spans="1:9" x14ac:dyDescent="0.2">
      <c r="A1664" s="127" t="s">
        <v>3737</v>
      </c>
      <c r="B1664" s="127" t="s">
        <v>3738</v>
      </c>
      <c r="C1664" s="127" t="s">
        <v>46</v>
      </c>
      <c r="D1664" s="127"/>
      <c r="E1664" s="127"/>
      <c r="F1664" s="128"/>
      <c r="G1664" s="128"/>
      <c r="H1664" s="128"/>
      <c r="I1664" s="127" t="s">
        <v>1344</v>
      </c>
    </row>
    <row r="1665" spans="1:9" x14ac:dyDescent="0.2">
      <c r="A1665" s="127" t="s">
        <v>3739</v>
      </c>
      <c r="B1665" s="127" t="s">
        <v>3740</v>
      </c>
      <c r="C1665" s="127" t="s">
        <v>17</v>
      </c>
      <c r="D1665" s="127"/>
      <c r="E1665" s="127"/>
      <c r="F1665" s="128"/>
      <c r="G1665" s="128"/>
      <c r="H1665" s="128"/>
      <c r="I1665" s="127" t="s">
        <v>1344</v>
      </c>
    </row>
    <row r="1666" spans="1:9" x14ac:dyDescent="0.2">
      <c r="A1666" s="127" t="s">
        <v>3741</v>
      </c>
      <c r="B1666" s="127" t="s">
        <v>3742</v>
      </c>
      <c r="C1666" s="127" t="s">
        <v>22</v>
      </c>
      <c r="D1666" s="127"/>
      <c r="E1666" s="127"/>
      <c r="F1666" s="128"/>
      <c r="G1666" s="128"/>
      <c r="H1666" s="128"/>
      <c r="I1666" s="127" t="s">
        <v>1344</v>
      </c>
    </row>
    <row r="1667" spans="1:9" x14ac:dyDescent="0.2">
      <c r="A1667" s="127" t="s">
        <v>3743</v>
      </c>
      <c r="B1667" s="127" t="s">
        <v>3744</v>
      </c>
      <c r="C1667" s="127" t="s">
        <v>46</v>
      </c>
      <c r="D1667" s="127"/>
      <c r="E1667" s="127"/>
      <c r="F1667" s="128"/>
      <c r="G1667" s="128"/>
      <c r="H1667" s="128"/>
      <c r="I1667" s="127" t="s">
        <v>1344</v>
      </c>
    </row>
    <row r="1668" spans="1:9" x14ac:dyDescent="0.2">
      <c r="A1668" s="127" t="s">
        <v>2379</v>
      </c>
      <c r="B1668" s="127" t="s">
        <v>3745</v>
      </c>
      <c r="C1668" s="127" t="s">
        <v>46</v>
      </c>
      <c r="D1668" s="127"/>
      <c r="E1668" s="127"/>
      <c r="F1668" s="128"/>
      <c r="G1668" s="128"/>
      <c r="H1668" s="128"/>
      <c r="I1668" s="127" t="s">
        <v>1344</v>
      </c>
    </row>
    <row r="1669" spans="1:9" x14ac:dyDescent="0.2">
      <c r="A1669" s="127" t="s">
        <v>1862</v>
      </c>
      <c r="B1669" s="127" t="s">
        <v>3746</v>
      </c>
      <c r="C1669" s="127" t="s">
        <v>22</v>
      </c>
      <c r="D1669" s="127"/>
      <c r="E1669" s="127"/>
      <c r="F1669" s="128"/>
      <c r="G1669" s="128"/>
      <c r="H1669" s="128"/>
      <c r="I1669" s="127" t="s">
        <v>1344</v>
      </c>
    </row>
    <row r="1670" spans="1:9" x14ac:dyDescent="0.2">
      <c r="A1670" s="127" t="s">
        <v>3747</v>
      </c>
      <c r="B1670" s="127" t="s">
        <v>3748</v>
      </c>
      <c r="C1670" s="127" t="s">
        <v>22</v>
      </c>
      <c r="D1670" s="127"/>
      <c r="E1670" s="127"/>
      <c r="F1670" s="128"/>
      <c r="G1670" s="128"/>
      <c r="H1670" s="128"/>
      <c r="I1670" s="127" t="s">
        <v>1344</v>
      </c>
    </row>
    <row r="1671" spans="1:9" x14ac:dyDescent="0.2">
      <c r="A1671" s="127" t="s">
        <v>2231</v>
      </c>
      <c r="B1671" s="127" t="s">
        <v>3749</v>
      </c>
      <c r="C1671" s="127" t="s">
        <v>22</v>
      </c>
      <c r="D1671" s="127"/>
      <c r="E1671" s="127"/>
      <c r="F1671" s="128"/>
      <c r="G1671" s="128"/>
      <c r="H1671" s="128"/>
      <c r="I1671" s="127" t="s">
        <v>1344</v>
      </c>
    </row>
    <row r="1672" spans="1:9" x14ac:dyDescent="0.2">
      <c r="A1672" s="127" t="s">
        <v>3750</v>
      </c>
      <c r="B1672" s="127"/>
      <c r="C1672" s="127" t="s">
        <v>22</v>
      </c>
      <c r="D1672" s="127"/>
      <c r="E1672" s="127"/>
      <c r="F1672" s="128"/>
      <c r="G1672" s="128"/>
      <c r="H1672" s="128"/>
      <c r="I1672" s="127" t="s">
        <v>1344</v>
      </c>
    </row>
    <row r="1673" spans="1:9" x14ac:dyDescent="0.2">
      <c r="A1673" s="127" t="s">
        <v>1853</v>
      </c>
      <c r="B1673" s="127" t="s">
        <v>3751</v>
      </c>
      <c r="C1673" s="127" t="s">
        <v>46</v>
      </c>
      <c r="D1673" s="127"/>
      <c r="E1673" s="127"/>
      <c r="F1673" s="128"/>
      <c r="G1673" s="128"/>
      <c r="H1673" s="128"/>
      <c r="I1673" s="127" t="s">
        <v>1344</v>
      </c>
    </row>
    <row r="1674" spans="1:9" x14ac:dyDescent="0.2">
      <c r="A1674" s="127" t="s">
        <v>3752</v>
      </c>
      <c r="B1674" s="127" t="s">
        <v>3753</v>
      </c>
      <c r="C1674" s="127" t="s">
        <v>17</v>
      </c>
      <c r="D1674" s="127"/>
      <c r="E1674" s="127"/>
      <c r="F1674" s="128"/>
      <c r="G1674" s="128"/>
      <c r="H1674" s="128"/>
      <c r="I1674" s="127" t="s">
        <v>1344</v>
      </c>
    </row>
    <row r="1675" spans="1:9" x14ac:dyDescent="0.2">
      <c r="A1675" s="127"/>
      <c r="B1675" s="127" t="s">
        <v>3754</v>
      </c>
      <c r="C1675" s="127" t="s">
        <v>46</v>
      </c>
      <c r="D1675" s="127"/>
      <c r="E1675" s="127"/>
      <c r="F1675" s="128"/>
      <c r="G1675" s="128"/>
      <c r="H1675" s="128"/>
      <c r="I1675" s="127" t="s">
        <v>1344</v>
      </c>
    </row>
    <row r="1676" spans="1:9" x14ac:dyDescent="0.2">
      <c r="A1676" s="127" t="s">
        <v>3755</v>
      </c>
      <c r="B1676" s="127" t="s">
        <v>3756</v>
      </c>
      <c r="C1676" s="127" t="s">
        <v>46</v>
      </c>
      <c r="D1676" s="127"/>
      <c r="E1676" s="127"/>
      <c r="F1676" s="128"/>
      <c r="G1676" s="128"/>
      <c r="H1676" s="128"/>
      <c r="I1676" s="127" t="s">
        <v>1344</v>
      </c>
    </row>
    <row r="1677" spans="1:9" x14ac:dyDescent="0.2">
      <c r="A1677" s="127" t="s">
        <v>3755</v>
      </c>
      <c r="B1677" s="127" t="s">
        <v>3756</v>
      </c>
      <c r="C1677" s="127" t="s">
        <v>46</v>
      </c>
      <c r="D1677" s="127"/>
      <c r="E1677" s="127"/>
      <c r="F1677" s="128"/>
      <c r="G1677" s="128"/>
      <c r="H1677" s="128"/>
      <c r="I1677" s="127" t="s">
        <v>1344</v>
      </c>
    </row>
    <row r="1678" spans="1:9" x14ac:dyDescent="0.2">
      <c r="A1678" s="127" t="s">
        <v>3757</v>
      </c>
      <c r="B1678" s="127" t="s">
        <v>3758</v>
      </c>
      <c r="C1678" s="127" t="s">
        <v>22</v>
      </c>
      <c r="D1678" s="127"/>
      <c r="E1678" s="127"/>
      <c r="F1678" s="128"/>
      <c r="G1678" s="128"/>
      <c r="H1678" s="128"/>
      <c r="I1678" s="127" t="s">
        <v>1344</v>
      </c>
    </row>
    <row r="1679" spans="1:9" x14ac:dyDescent="0.2">
      <c r="A1679" s="127" t="s">
        <v>1862</v>
      </c>
      <c r="B1679" s="127" t="s">
        <v>3759</v>
      </c>
      <c r="C1679" s="127" t="s">
        <v>22</v>
      </c>
      <c r="D1679" s="127"/>
      <c r="E1679" s="127"/>
      <c r="F1679" s="128"/>
      <c r="G1679" s="128"/>
      <c r="H1679" s="128"/>
      <c r="I1679" s="127" t="s">
        <v>1344</v>
      </c>
    </row>
    <row r="1680" spans="1:9" x14ac:dyDescent="0.2">
      <c r="A1680" s="127" t="s">
        <v>1862</v>
      </c>
      <c r="B1680" s="127" t="s">
        <v>3760</v>
      </c>
      <c r="C1680" s="127" t="s">
        <v>22</v>
      </c>
      <c r="D1680" s="127"/>
      <c r="E1680" s="127"/>
      <c r="F1680" s="128"/>
      <c r="G1680" s="128"/>
      <c r="H1680" s="128"/>
      <c r="I1680" s="127" t="s">
        <v>1344</v>
      </c>
    </row>
    <row r="1681" spans="1:9" x14ac:dyDescent="0.2">
      <c r="A1681" s="127" t="s">
        <v>3761</v>
      </c>
      <c r="B1681" s="127" t="s">
        <v>3762</v>
      </c>
      <c r="C1681" s="127" t="s">
        <v>46</v>
      </c>
      <c r="D1681" s="127"/>
      <c r="E1681" s="127"/>
      <c r="F1681" s="128"/>
      <c r="G1681" s="128"/>
      <c r="H1681" s="128"/>
      <c r="I1681" s="127" t="s">
        <v>1344</v>
      </c>
    </row>
    <row r="1682" spans="1:9" x14ac:dyDescent="0.2">
      <c r="A1682" s="127" t="s">
        <v>3763</v>
      </c>
      <c r="B1682" s="127" t="s">
        <v>3764</v>
      </c>
      <c r="C1682" s="127" t="s">
        <v>46</v>
      </c>
      <c r="D1682" s="127"/>
      <c r="E1682" s="127"/>
      <c r="F1682" s="128"/>
      <c r="G1682" s="128"/>
      <c r="H1682" s="128"/>
      <c r="I1682" s="127" t="s">
        <v>1344</v>
      </c>
    </row>
    <row r="1683" spans="1:9" x14ac:dyDescent="0.2">
      <c r="A1683" s="127" t="s">
        <v>3765</v>
      </c>
      <c r="B1683" s="127" t="s">
        <v>3766</v>
      </c>
      <c r="C1683" s="127" t="s">
        <v>46</v>
      </c>
      <c r="D1683" s="127"/>
      <c r="E1683" s="127"/>
      <c r="F1683" s="128"/>
      <c r="G1683" s="128"/>
      <c r="H1683" s="128"/>
      <c r="I1683" s="127" t="s">
        <v>1344</v>
      </c>
    </row>
    <row r="1684" spans="1:9" x14ac:dyDescent="0.2">
      <c r="A1684" s="127" t="s">
        <v>3767</v>
      </c>
      <c r="B1684" s="127" t="s">
        <v>3768</v>
      </c>
      <c r="C1684" s="127" t="s">
        <v>46</v>
      </c>
      <c r="D1684" s="127"/>
      <c r="E1684" s="127"/>
      <c r="F1684" s="128"/>
      <c r="G1684" s="128"/>
      <c r="H1684" s="128"/>
      <c r="I1684" s="127" t="s">
        <v>1344</v>
      </c>
    </row>
    <row r="1685" spans="1:9" x14ac:dyDescent="0.2">
      <c r="A1685" s="127" t="s">
        <v>3769</v>
      </c>
      <c r="B1685" s="127" t="s">
        <v>3770</v>
      </c>
      <c r="C1685" s="127" t="s">
        <v>22</v>
      </c>
      <c r="D1685" s="127"/>
      <c r="E1685" s="127"/>
      <c r="F1685" s="128"/>
      <c r="G1685" s="128"/>
      <c r="H1685" s="128"/>
      <c r="I1685" s="127" t="s">
        <v>1344</v>
      </c>
    </row>
    <row r="1686" spans="1:9" x14ac:dyDescent="0.2">
      <c r="A1686" s="127" t="s">
        <v>3771</v>
      </c>
      <c r="B1686" s="127" t="s">
        <v>3772</v>
      </c>
      <c r="C1686" s="127" t="s">
        <v>46</v>
      </c>
      <c r="D1686" s="127"/>
      <c r="E1686" s="127"/>
      <c r="F1686" s="128"/>
      <c r="G1686" s="128"/>
      <c r="H1686" s="128"/>
      <c r="I1686" s="127" t="s">
        <v>1344</v>
      </c>
    </row>
    <row r="1687" spans="1:9" x14ac:dyDescent="0.2">
      <c r="A1687" s="127"/>
      <c r="B1687" s="127" t="s">
        <v>3773</v>
      </c>
      <c r="C1687" s="127" t="s">
        <v>22</v>
      </c>
      <c r="D1687" s="127"/>
      <c r="E1687" s="127"/>
      <c r="F1687" s="128"/>
      <c r="G1687" s="128"/>
      <c r="H1687" s="128"/>
      <c r="I1687" s="127" t="s">
        <v>1344</v>
      </c>
    </row>
    <row r="1688" spans="1:9" x14ac:dyDescent="0.2">
      <c r="A1688" s="127" t="s">
        <v>3774</v>
      </c>
      <c r="B1688" s="127" t="s">
        <v>3775</v>
      </c>
      <c r="C1688" s="127" t="s">
        <v>46</v>
      </c>
      <c r="D1688" s="127"/>
      <c r="E1688" s="127"/>
      <c r="F1688" s="128"/>
      <c r="G1688" s="128"/>
      <c r="H1688" s="128"/>
      <c r="I1688" s="127" t="s">
        <v>1344</v>
      </c>
    </row>
    <row r="1689" spans="1:9" x14ac:dyDescent="0.2">
      <c r="A1689" s="127" t="s">
        <v>3776</v>
      </c>
      <c r="B1689" s="127" t="s">
        <v>3777</v>
      </c>
      <c r="C1689" s="127" t="s">
        <v>46</v>
      </c>
      <c r="D1689" s="127"/>
      <c r="E1689" s="127"/>
      <c r="F1689" s="128"/>
      <c r="G1689" s="128"/>
      <c r="H1689" s="128"/>
      <c r="I1689" s="127" t="s">
        <v>1344</v>
      </c>
    </row>
    <row r="1690" spans="1:9" x14ac:dyDescent="0.2">
      <c r="A1690" s="127" t="s">
        <v>3778</v>
      </c>
      <c r="B1690" s="127" t="s">
        <v>3779</v>
      </c>
      <c r="C1690" s="127" t="s">
        <v>46</v>
      </c>
      <c r="D1690" s="127"/>
      <c r="E1690" s="127"/>
      <c r="F1690" s="128"/>
      <c r="G1690" s="128"/>
      <c r="H1690" s="128"/>
      <c r="I1690" s="127" t="s">
        <v>1344</v>
      </c>
    </row>
    <row r="1691" spans="1:9" x14ac:dyDescent="0.2">
      <c r="A1691" s="127" t="s">
        <v>3106</v>
      </c>
      <c r="B1691" s="127" t="s">
        <v>1240</v>
      </c>
      <c r="C1691" s="127" t="s">
        <v>46</v>
      </c>
      <c r="D1691" s="127"/>
      <c r="E1691" s="127"/>
      <c r="F1691" s="128"/>
      <c r="G1691" s="128"/>
      <c r="H1691" s="128"/>
      <c r="I1691" s="127" t="s">
        <v>1344</v>
      </c>
    </row>
    <row r="1692" spans="1:9" x14ac:dyDescent="0.2">
      <c r="A1692" s="127" t="s">
        <v>3780</v>
      </c>
      <c r="B1692" s="127" t="s">
        <v>3781</v>
      </c>
      <c r="C1692" s="127" t="s">
        <v>17</v>
      </c>
      <c r="D1692" s="127"/>
      <c r="E1692" s="127"/>
      <c r="F1692" s="128"/>
      <c r="G1692" s="128"/>
      <c r="H1692" s="128"/>
      <c r="I1692" s="127" t="s">
        <v>1344</v>
      </c>
    </row>
    <row r="1693" spans="1:9" x14ac:dyDescent="0.2">
      <c r="A1693" s="127" t="s">
        <v>1373</v>
      </c>
      <c r="B1693" s="127" t="s">
        <v>3782</v>
      </c>
      <c r="C1693" s="127" t="s">
        <v>46</v>
      </c>
      <c r="D1693" s="127"/>
      <c r="E1693" s="127"/>
      <c r="F1693" s="128"/>
      <c r="G1693" s="128"/>
      <c r="H1693" s="128"/>
      <c r="I1693" s="127" t="s">
        <v>1344</v>
      </c>
    </row>
    <row r="1694" spans="1:9" x14ac:dyDescent="0.2">
      <c r="A1694" s="127" t="s">
        <v>3783</v>
      </c>
      <c r="B1694" s="127" t="s">
        <v>3784</v>
      </c>
      <c r="C1694" s="127" t="s">
        <v>22</v>
      </c>
      <c r="D1694" s="127"/>
      <c r="E1694" s="127"/>
      <c r="F1694" s="128"/>
      <c r="G1694" s="128"/>
      <c r="H1694" s="128"/>
      <c r="I1694" s="127" t="s">
        <v>1344</v>
      </c>
    </row>
    <row r="1695" spans="1:9" x14ac:dyDescent="0.2">
      <c r="A1695" s="127" t="s">
        <v>3785</v>
      </c>
      <c r="B1695" s="127" t="s">
        <v>3786</v>
      </c>
      <c r="C1695" s="127" t="s">
        <v>22</v>
      </c>
      <c r="D1695" s="127"/>
      <c r="E1695" s="127"/>
      <c r="F1695" s="128"/>
      <c r="G1695" s="128"/>
      <c r="H1695" s="128"/>
      <c r="I1695" s="127" t="s">
        <v>1344</v>
      </c>
    </row>
    <row r="1696" spans="1:9" x14ac:dyDescent="0.2">
      <c r="A1696" s="127" t="s">
        <v>3787</v>
      </c>
      <c r="B1696" s="127" t="s">
        <v>3788</v>
      </c>
      <c r="C1696" s="127" t="s">
        <v>46</v>
      </c>
      <c r="D1696" s="127"/>
      <c r="E1696" s="127"/>
      <c r="F1696" s="128"/>
      <c r="G1696" s="128"/>
      <c r="H1696" s="128"/>
      <c r="I1696" s="127" t="s">
        <v>1344</v>
      </c>
    </row>
    <row r="1697" spans="1:9" x14ac:dyDescent="0.2">
      <c r="A1697" s="127" t="s">
        <v>3789</v>
      </c>
      <c r="B1697" s="127" t="s">
        <v>3790</v>
      </c>
      <c r="C1697" s="127" t="s">
        <v>46</v>
      </c>
      <c r="D1697" s="127"/>
      <c r="E1697" s="127"/>
      <c r="F1697" s="128"/>
      <c r="G1697" s="128"/>
      <c r="H1697" s="128"/>
      <c r="I1697" s="127" t="s">
        <v>1344</v>
      </c>
    </row>
    <row r="1698" spans="1:9" x14ac:dyDescent="0.2">
      <c r="A1698" s="127" t="s">
        <v>3791</v>
      </c>
      <c r="B1698" s="127" t="s">
        <v>3792</v>
      </c>
      <c r="C1698" s="127" t="s">
        <v>46</v>
      </c>
      <c r="D1698" s="127"/>
      <c r="E1698" s="127"/>
      <c r="F1698" s="128"/>
      <c r="G1698" s="128"/>
      <c r="H1698" s="128"/>
      <c r="I1698" s="127" t="s">
        <v>1344</v>
      </c>
    </row>
    <row r="1699" spans="1:9" x14ac:dyDescent="0.2">
      <c r="A1699" s="127" t="s">
        <v>3793</v>
      </c>
      <c r="B1699" s="127" t="s">
        <v>3794</v>
      </c>
      <c r="C1699" s="127" t="s">
        <v>46</v>
      </c>
      <c r="D1699" s="127"/>
      <c r="E1699" s="127"/>
      <c r="F1699" s="128"/>
      <c r="G1699" s="128"/>
      <c r="H1699" s="128"/>
      <c r="I1699" s="127" t="s">
        <v>1344</v>
      </c>
    </row>
    <row r="1700" spans="1:9" x14ac:dyDescent="0.2">
      <c r="A1700" s="127" t="s">
        <v>3795</v>
      </c>
      <c r="B1700" s="127" t="s">
        <v>3796</v>
      </c>
      <c r="C1700" s="127" t="s">
        <v>22</v>
      </c>
      <c r="D1700" s="127"/>
      <c r="E1700" s="127"/>
      <c r="F1700" s="128"/>
      <c r="G1700" s="128"/>
      <c r="H1700" s="128"/>
      <c r="I1700" s="127" t="s">
        <v>1344</v>
      </c>
    </row>
    <row r="1701" spans="1:9" x14ac:dyDescent="0.2">
      <c r="A1701" s="127" t="s">
        <v>3797</v>
      </c>
      <c r="B1701" s="127" t="s">
        <v>3798</v>
      </c>
      <c r="C1701" s="127" t="s">
        <v>22</v>
      </c>
      <c r="D1701" s="127"/>
      <c r="E1701" s="127"/>
      <c r="F1701" s="128"/>
      <c r="G1701" s="128"/>
      <c r="H1701" s="128"/>
      <c r="I1701" s="127" t="s">
        <v>1344</v>
      </c>
    </row>
    <row r="1702" spans="1:9" x14ac:dyDescent="0.2">
      <c r="A1702" s="127" t="s">
        <v>3799</v>
      </c>
      <c r="B1702" s="127" t="s">
        <v>3800</v>
      </c>
      <c r="C1702" s="127" t="s">
        <v>46</v>
      </c>
      <c r="D1702" s="127"/>
      <c r="E1702" s="127"/>
      <c r="F1702" s="128"/>
      <c r="G1702" s="128"/>
      <c r="H1702" s="128"/>
      <c r="I1702" s="127" t="s">
        <v>1344</v>
      </c>
    </row>
    <row r="1703" spans="1:9" x14ac:dyDescent="0.2">
      <c r="A1703" s="127" t="s">
        <v>3801</v>
      </c>
      <c r="B1703" s="127" t="s">
        <v>3802</v>
      </c>
      <c r="C1703" s="127" t="s">
        <v>46</v>
      </c>
      <c r="D1703" s="127"/>
      <c r="E1703" s="127"/>
      <c r="F1703" s="128"/>
      <c r="G1703" s="128"/>
      <c r="H1703" s="128"/>
      <c r="I1703" s="127" t="s">
        <v>1344</v>
      </c>
    </row>
    <row r="1704" spans="1:9" x14ac:dyDescent="0.2">
      <c r="A1704" s="127" t="s">
        <v>3803</v>
      </c>
      <c r="B1704" s="127" t="s">
        <v>3804</v>
      </c>
      <c r="C1704" s="127" t="s">
        <v>17</v>
      </c>
      <c r="D1704" s="127"/>
      <c r="E1704" s="127"/>
      <c r="F1704" s="128"/>
      <c r="G1704" s="128"/>
      <c r="H1704" s="128"/>
      <c r="I1704" s="127" t="s">
        <v>1344</v>
      </c>
    </row>
    <row r="1705" spans="1:9" x14ac:dyDescent="0.2">
      <c r="A1705" s="127" t="s">
        <v>3805</v>
      </c>
      <c r="B1705" s="127" t="s">
        <v>3806</v>
      </c>
      <c r="C1705" s="127" t="s">
        <v>46</v>
      </c>
      <c r="D1705" s="127"/>
      <c r="E1705" s="127"/>
      <c r="F1705" s="128"/>
      <c r="G1705" s="128"/>
      <c r="H1705" s="128"/>
      <c r="I1705" s="127" t="s">
        <v>1344</v>
      </c>
    </row>
    <row r="1706" spans="1:9" x14ac:dyDescent="0.2">
      <c r="A1706" s="127" t="s">
        <v>3807</v>
      </c>
      <c r="B1706" s="127" t="s">
        <v>3808</v>
      </c>
      <c r="C1706" s="127" t="s">
        <v>46</v>
      </c>
      <c r="D1706" s="127"/>
      <c r="E1706" s="127"/>
      <c r="F1706" s="128"/>
      <c r="G1706" s="128"/>
      <c r="H1706" s="128"/>
      <c r="I1706" s="127" t="s">
        <v>1344</v>
      </c>
    </row>
    <row r="1707" spans="1:9" x14ac:dyDescent="0.2">
      <c r="A1707" s="127" t="s">
        <v>1373</v>
      </c>
      <c r="B1707" s="127" t="s">
        <v>3809</v>
      </c>
      <c r="C1707" s="127" t="s">
        <v>46</v>
      </c>
      <c r="D1707" s="127"/>
      <c r="E1707" s="127"/>
      <c r="F1707" s="128"/>
      <c r="G1707" s="128"/>
      <c r="H1707" s="128"/>
      <c r="I1707" s="127" t="s">
        <v>1344</v>
      </c>
    </row>
    <row r="1708" spans="1:9" x14ac:dyDescent="0.2">
      <c r="A1708" s="127" t="s">
        <v>3810</v>
      </c>
      <c r="B1708" s="127" t="s">
        <v>3811</v>
      </c>
      <c r="C1708" s="127" t="s">
        <v>46</v>
      </c>
      <c r="D1708" s="127"/>
      <c r="E1708" s="127"/>
      <c r="F1708" s="128"/>
      <c r="G1708" s="128"/>
      <c r="H1708" s="128"/>
      <c r="I1708" s="127" t="s">
        <v>1344</v>
      </c>
    </row>
    <row r="1709" spans="1:9" x14ac:dyDescent="0.2">
      <c r="A1709" s="127" t="s">
        <v>1664</v>
      </c>
      <c r="B1709" s="127" t="s">
        <v>3812</v>
      </c>
      <c r="C1709" s="127" t="s">
        <v>46</v>
      </c>
      <c r="D1709" s="127"/>
      <c r="E1709" s="127"/>
      <c r="F1709" s="128"/>
      <c r="G1709" s="128"/>
      <c r="H1709" s="128"/>
      <c r="I1709" s="127" t="s">
        <v>1344</v>
      </c>
    </row>
    <row r="1710" spans="1:9" x14ac:dyDescent="0.2">
      <c r="A1710" s="127" t="s">
        <v>3813</v>
      </c>
      <c r="B1710" s="127" t="s">
        <v>3814</v>
      </c>
      <c r="C1710" s="127" t="s">
        <v>46</v>
      </c>
      <c r="D1710" s="127"/>
      <c r="E1710" s="127"/>
      <c r="F1710" s="128"/>
      <c r="G1710" s="128"/>
      <c r="H1710" s="128"/>
      <c r="I1710" s="127" t="s">
        <v>1344</v>
      </c>
    </row>
    <row r="1711" spans="1:9" x14ac:dyDescent="0.2">
      <c r="A1711" s="127" t="s">
        <v>3815</v>
      </c>
      <c r="B1711" s="127" t="s">
        <v>3816</v>
      </c>
      <c r="C1711" s="127" t="s">
        <v>22</v>
      </c>
      <c r="D1711" s="127"/>
      <c r="E1711" s="127"/>
      <c r="F1711" s="128"/>
      <c r="G1711" s="128"/>
      <c r="H1711" s="128"/>
      <c r="I1711" s="127" t="s">
        <v>1344</v>
      </c>
    </row>
    <row r="1712" spans="1:9" x14ac:dyDescent="0.2">
      <c r="A1712" s="127" t="s">
        <v>3817</v>
      </c>
      <c r="B1712" s="127" t="s">
        <v>3818</v>
      </c>
      <c r="C1712" s="127" t="s">
        <v>17</v>
      </c>
      <c r="D1712" s="127"/>
      <c r="E1712" s="127"/>
      <c r="F1712" s="128"/>
      <c r="G1712" s="128"/>
      <c r="H1712" s="128"/>
      <c r="I1712" s="127" t="s">
        <v>1344</v>
      </c>
    </row>
    <row r="1713" spans="1:9" x14ac:dyDescent="0.2">
      <c r="A1713" s="127" t="s">
        <v>3819</v>
      </c>
      <c r="B1713" s="127" t="s">
        <v>3820</v>
      </c>
      <c r="C1713" s="127" t="s">
        <v>22</v>
      </c>
      <c r="D1713" s="127"/>
      <c r="E1713" s="127"/>
      <c r="F1713" s="128"/>
      <c r="G1713" s="128"/>
      <c r="H1713" s="128"/>
      <c r="I1713" s="127" t="s">
        <v>1344</v>
      </c>
    </row>
    <row r="1714" spans="1:9" x14ac:dyDescent="0.2">
      <c r="A1714" s="127" t="s">
        <v>3450</v>
      </c>
      <c r="B1714" s="127" t="s">
        <v>3821</v>
      </c>
      <c r="C1714" s="127" t="s">
        <v>22</v>
      </c>
      <c r="D1714" s="127"/>
      <c r="E1714" s="127"/>
      <c r="F1714" s="128"/>
      <c r="G1714" s="128"/>
      <c r="H1714" s="128"/>
      <c r="I1714" s="127" t="s">
        <v>1344</v>
      </c>
    </row>
    <row r="1715" spans="1:9" x14ac:dyDescent="0.2">
      <c r="A1715" s="127" t="s">
        <v>3822</v>
      </c>
      <c r="B1715" s="127" t="s">
        <v>3823</v>
      </c>
      <c r="C1715" s="127" t="s">
        <v>17</v>
      </c>
      <c r="D1715" s="127"/>
      <c r="E1715" s="127"/>
      <c r="F1715" s="128"/>
      <c r="G1715" s="128"/>
      <c r="H1715" s="128"/>
      <c r="I1715" s="127" t="s">
        <v>1344</v>
      </c>
    </row>
    <row r="1716" spans="1:9" x14ac:dyDescent="0.2">
      <c r="A1716" s="127" t="s">
        <v>3824</v>
      </c>
      <c r="B1716" s="127" t="s">
        <v>3825</v>
      </c>
      <c r="C1716" s="127" t="s">
        <v>46</v>
      </c>
      <c r="D1716" s="127"/>
      <c r="E1716" s="127"/>
      <c r="F1716" s="128"/>
      <c r="G1716" s="128"/>
      <c r="H1716" s="128"/>
      <c r="I1716" s="127" t="s">
        <v>1344</v>
      </c>
    </row>
    <row r="1717" spans="1:9" x14ac:dyDescent="0.2">
      <c r="A1717" s="127" t="s">
        <v>3826</v>
      </c>
      <c r="B1717" s="127" t="s">
        <v>3827</v>
      </c>
      <c r="C1717" s="127" t="s">
        <v>17</v>
      </c>
      <c r="D1717" s="127"/>
      <c r="E1717" s="127"/>
      <c r="F1717" s="128"/>
      <c r="G1717" s="128"/>
      <c r="H1717" s="128"/>
      <c r="I1717" s="127" t="s">
        <v>1344</v>
      </c>
    </row>
    <row r="1718" spans="1:9" x14ac:dyDescent="0.2">
      <c r="A1718" s="127" t="s">
        <v>3828</v>
      </c>
      <c r="B1718" s="127" t="s">
        <v>3829</v>
      </c>
      <c r="C1718" s="127" t="s">
        <v>22</v>
      </c>
      <c r="D1718" s="127"/>
      <c r="E1718" s="127"/>
      <c r="F1718" s="128"/>
      <c r="G1718" s="128"/>
      <c r="H1718" s="128"/>
      <c r="I1718" s="127" t="s">
        <v>1344</v>
      </c>
    </row>
    <row r="1719" spans="1:9" x14ac:dyDescent="0.2">
      <c r="A1719" s="127" t="s">
        <v>3830</v>
      </c>
      <c r="B1719" s="127" t="s">
        <v>3831</v>
      </c>
      <c r="C1719" s="127" t="s">
        <v>22</v>
      </c>
      <c r="D1719" s="127"/>
      <c r="E1719" s="127"/>
      <c r="F1719" s="128"/>
      <c r="G1719" s="128"/>
      <c r="H1719" s="128"/>
      <c r="I1719" s="127" t="s">
        <v>1344</v>
      </c>
    </row>
    <row r="1720" spans="1:9" x14ac:dyDescent="0.2">
      <c r="A1720" s="127" t="s">
        <v>3832</v>
      </c>
      <c r="B1720" s="127" t="s">
        <v>3833</v>
      </c>
      <c r="C1720" s="127" t="s">
        <v>22</v>
      </c>
      <c r="D1720" s="127"/>
      <c r="E1720" s="127"/>
      <c r="F1720" s="128"/>
      <c r="G1720" s="128"/>
      <c r="H1720" s="128"/>
      <c r="I1720" s="127" t="s">
        <v>1344</v>
      </c>
    </row>
    <row r="1721" spans="1:9" x14ac:dyDescent="0.2">
      <c r="A1721" s="127" t="s">
        <v>3834</v>
      </c>
      <c r="B1721" s="127" t="s">
        <v>3835</v>
      </c>
      <c r="C1721" s="127" t="s">
        <v>17</v>
      </c>
      <c r="D1721" s="127"/>
      <c r="E1721" s="127"/>
      <c r="F1721" s="128"/>
      <c r="G1721" s="128"/>
      <c r="H1721" s="128"/>
      <c r="I1721" s="127" t="s">
        <v>1344</v>
      </c>
    </row>
    <row r="1722" spans="1:9" x14ac:dyDescent="0.2">
      <c r="A1722" s="127" t="s">
        <v>3836</v>
      </c>
      <c r="B1722" s="127" t="s">
        <v>3837</v>
      </c>
      <c r="C1722" s="127" t="s">
        <v>46</v>
      </c>
      <c r="D1722" s="127"/>
      <c r="E1722" s="127"/>
      <c r="F1722" s="128"/>
      <c r="G1722" s="128"/>
      <c r="H1722" s="128"/>
      <c r="I1722" s="127" t="s">
        <v>1344</v>
      </c>
    </row>
    <row r="1723" spans="1:9" x14ac:dyDescent="0.2">
      <c r="A1723" s="127" t="s">
        <v>3838</v>
      </c>
      <c r="B1723" s="127" t="s">
        <v>3839</v>
      </c>
      <c r="C1723" s="127" t="s">
        <v>22</v>
      </c>
      <c r="D1723" s="127"/>
      <c r="E1723" s="127"/>
      <c r="F1723" s="128"/>
      <c r="G1723" s="128"/>
      <c r="H1723" s="128"/>
      <c r="I1723" s="127" t="s">
        <v>1344</v>
      </c>
    </row>
    <row r="1724" spans="1:9" x14ac:dyDescent="0.2">
      <c r="A1724" s="127" t="s">
        <v>3840</v>
      </c>
      <c r="B1724" s="127" t="s">
        <v>3841</v>
      </c>
      <c r="C1724" s="127" t="s">
        <v>46</v>
      </c>
      <c r="D1724" s="127"/>
      <c r="E1724" s="127"/>
      <c r="F1724" s="128"/>
      <c r="G1724" s="128"/>
      <c r="H1724" s="128"/>
      <c r="I1724" s="127" t="s">
        <v>1344</v>
      </c>
    </row>
    <row r="1725" spans="1:9" x14ac:dyDescent="0.2">
      <c r="A1725" s="127" t="s">
        <v>3842</v>
      </c>
      <c r="B1725" s="127" t="s">
        <v>3843</v>
      </c>
      <c r="C1725" s="127" t="s">
        <v>17</v>
      </c>
      <c r="D1725" s="127"/>
      <c r="E1725" s="127"/>
      <c r="F1725" s="128"/>
      <c r="G1725" s="128"/>
      <c r="H1725" s="128"/>
      <c r="I1725" s="127" t="s">
        <v>1344</v>
      </c>
    </row>
    <row r="1726" spans="1:9" x14ac:dyDescent="0.2">
      <c r="A1726" s="127" t="s">
        <v>3844</v>
      </c>
      <c r="B1726" s="127" t="s">
        <v>3845</v>
      </c>
      <c r="C1726" s="127" t="s">
        <v>46</v>
      </c>
      <c r="D1726" s="127"/>
      <c r="E1726" s="127"/>
      <c r="F1726" s="128"/>
      <c r="G1726" s="128"/>
      <c r="H1726" s="128"/>
      <c r="I1726" s="127" t="s">
        <v>1344</v>
      </c>
    </row>
    <row r="1727" spans="1:9" x14ac:dyDescent="0.2">
      <c r="A1727" s="127" t="s">
        <v>3846</v>
      </c>
      <c r="B1727" s="127" t="s">
        <v>3847</v>
      </c>
      <c r="C1727" s="127" t="s">
        <v>22</v>
      </c>
      <c r="D1727" s="127"/>
      <c r="E1727" s="127"/>
      <c r="F1727" s="128"/>
      <c r="G1727" s="128"/>
      <c r="H1727" s="128"/>
      <c r="I1727" s="127" t="s">
        <v>1344</v>
      </c>
    </row>
    <row r="1728" spans="1:9" x14ac:dyDescent="0.2">
      <c r="A1728" s="127" t="s">
        <v>3848</v>
      </c>
      <c r="B1728" s="127" t="s">
        <v>3849</v>
      </c>
      <c r="C1728" s="127" t="s">
        <v>46</v>
      </c>
      <c r="D1728" s="127"/>
      <c r="E1728" s="127"/>
      <c r="F1728" s="128"/>
      <c r="G1728" s="128"/>
      <c r="H1728" s="128"/>
      <c r="I1728" s="127" t="s">
        <v>1344</v>
      </c>
    </row>
    <row r="1729" spans="1:9" x14ac:dyDescent="0.2">
      <c r="A1729" s="127" t="s">
        <v>1437</v>
      </c>
      <c r="B1729" s="127" t="s">
        <v>3850</v>
      </c>
      <c r="C1729" s="127" t="s">
        <v>46</v>
      </c>
      <c r="D1729" s="127"/>
      <c r="E1729" s="127"/>
      <c r="F1729" s="128"/>
      <c r="G1729" s="128"/>
      <c r="H1729" s="128"/>
      <c r="I1729" s="127" t="s">
        <v>1344</v>
      </c>
    </row>
    <row r="1730" spans="1:9" x14ac:dyDescent="0.2">
      <c r="A1730" s="127"/>
      <c r="B1730" s="127" t="s">
        <v>3851</v>
      </c>
      <c r="C1730" s="127" t="s">
        <v>46</v>
      </c>
      <c r="D1730" s="127"/>
      <c r="E1730" s="127"/>
      <c r="F1730" s="128"/>
      <c r="G1730" s="128"/>
      <c r="H1730" s="128"/>
      <c r="I1730" s="127" t="s">
        <v>1344</v>
      </c>
    </row>
    <row r="1731" spans="1:9" x14ac:dyDescent="0.2">
      <c r="A1731" s="127" t="s">
        <v>3852</v>
      </c>
      <c r="B1731" s="127" t="s">
        <v>3853</v>
      </c>
      <c r="C1731" s="127" t="s">
        <v>22</v>
      </c>
      <c r="D1731" s="127"/>
      <c r="E1731" s="127"/>
      <c r="F1731" s="128"/>
      <c r="G1731" s="128"/>
      <c r="H1731" s="128"/>
      <c r="I1731" s="127" t="s">
        <v>1344</v>
      </c>
    </row>
    <row r="1732" spans="1:9" x14ac:dyDescent="0.2">
      <c r="A1732" s="127" t="s">
        <v>3854</v>
      </c>
      <c r="B1732" s="127" t="s">
        <v>3855</v>
      </c>
      <c r="C1732" s="127" t="s">
        <v>46</v>
      </c>
      <c r="D1732" s="127"/>
      <c r="E1732" s="127"/>
      <c r="F1732" s="128"/>
      <c r="G1732" s="128"/>
      <c r="H1732" s="128"/>
      <c r="I1732" s="127" t="s">
        <v>1344</v>
      </c>
    </row>
    <row r="1733" spans="1:9" x14ac:dyDescent="0.2">
      <c r="A1733" s="127" t="s">
        <v>3856</v>
      </c>
      <c r="B1733" s="127" t="s">
        <v>3857</v>
      </c>
      <c r="C1733" s="127" t="s">
        <v>17</v>
      </c>
      <c r="D1733" s="127"/>
      <c r="E1733" s="127"/>
      <c r="F1733" s="128"/>
      <c r="G1733" s="128"/>
      <c r="H1733" s="128"/>
      <c r="I1733" s="127" t="s">
        <v>1344</v>
      </c>
    </row>
    <row r="1734" spans="1:9" x14ac:dyDescent="0.2">
      <c r="A1734" s="127" t="s">
        <v>1478</v>
      </c>
      <c r="B1734" s="127" t="s">
        <v>3858</v>
      </c>
      <c r="C1734" s="127" t="s">
        <v>46</v>
      </c>
      <c r="D1734" s="127"/>
      <c r="E1734" s="127"/>
      <c r="F1734" s="128"/>
      <c r="G1734" s="128"/>
      <c r="H1734" s="128"/>
      <c r="I1734" s="127" t="s">
        <v>1344</v>
      </c>
    </row>
    <row r="1735" spans="1:9" x14ac:dyDescent="0.2">
      <c r="A1735" s="127" t="s">
        <v>3859</v>
      </c>
      <c r="B1735" s="127" t="s">
        <v>3860</v>
      </c>
      <c r="C1735" s="127" t="s">
        <v>22</v>
      </c>
      <c r="D1735" s="127"/>
      <c r="E1735" s="127"/>
      <c r="F1735" s="128"/>
      <c r="G1735" s="128"/>
      <c r="H1735" s="128"/>
      <c r="I1735" s="127" t="s">
        <v>1344</v>
      </c>
    </row>
    <row r="1736" spans="1:9" x14ac:dyDescent="0.2">
      <c r="A1736" s="127" t="s">
        <v>3861</v>
      </c>
      <c r="B1736" s="127" t="s">
        <v>3862</v>
      </c>
      <c r="C1736" s="127" t="s">
        <v>22</v>
      </c>
      <c r="D1736" s="127"/>
      <c r="E1736" s="127"/>
      <c r="F1736" s="128"/>
      <c r="G1736" s="128"/>
      <c r="H1736" s="128"/>
      <c r="I1736" s="127" t="s">
        <v>1344</v>
      </c>
    </row>
    <row r="1737" spans="1:9" x14ac:dyDescent="0.2">
      <c r="A1737" s="127" t="s">
        <v>3863</v>
      </c>
      <c r="B1737" s="127" t="s">
        <v>3864</v>
      </c>
      <c r="C1737" s="127" t="s">
        <v>46</v>
      </c>
      <c r="D1737" s="127"/>
      <c r="E1737" s="127"/>
      <c r="F1737" s="128"/>
      <c r="G1737" s="128"/>
      <c r="H1737" s="128"/>
      <c r="I1737" s="127" t="s">
        <v>1344</v>
      </c>
    </row>
    <row r="1738" spans="1:9" x14ac:dyDescent="0.2">
      <c r="A1738" s="127" t="s">
        <v>1600</v>
      </c>
      <c r="B1738" s="127" t="s">
        <v>3865</v>
      </c>
      <c r="C1738" s="127" t="s">
        <v>46</v>
      </c>
      <c r="D1738" s="127"/>
      <c r="E1738" s="127"/>
      <c r="F1738" s="128"/>
      <c r="G1738" s="128"/>
      <c r="H1738" s="128"/>
      <c r="I1738" s="127" t="s">
        <v>1344</v>
      </c>
    </row>
    <row r="1739" spans="1:9" x14ac:dyDescent="0.2">
      <c r="A1739" s="127" t="s">
        <v>3866</v>
      </c>
      <c r="B1739" s="127" t="s">
        <v>3867</v>
      </c>
      <c r="C1739" s="127" t="s">
        <v>17</v>
      </c>
      <c r="D1739" s="127"/>
      <c r="E1739" s="127"/>
      <c r="F1739" s="128"/>
      <c r="G1739" s="128"/>
      <c r="H1739" s="128"/>
      <c r="I1739" s="127" t="s">
        <v>1344</v>
      </c>
    </row>
    <row r="1740" spans="1:9" x14ac:dyDescent="0.2">
      <c r="A1740" s="127" t="s">
        <v>3868</v>
      </c>
      <c r="B1740" s="127" t="s">
        <v>3869</v>
      </c>
      <c r="C1740" s="127" t="s">
        <v>17</v>
      </c>
      <c r="D1740" s="127"/>
      <c r="E1740" s="127"/>
      <c r="F1740" s="128"/>
      <c r="G1740" s="128"/>
      <c r="H1740" s="128"/>
      <c r="I1740" s="127" t="s">
        <v>1344</v>
      </c>
    </row>
    <row r="1741" spans="1:9" x14ac:dyDescent="0.2">
      <c r="A1741" s="127" t="s">
        <v>3870</v>
      </c>
      <c r="B1741" s="127" t="s">
        <v>3871</v>
      </c>
      <c r="C1741" s="127" t="s">
        <v>22</v>
      </c>
      <c r="D1741" s="127"/>
      <c r="E1741" s="127"/>
      <c r="F1741" s="128"/>
      <c r="G1741" s="128"/>
      <c r="H1741" s="128"/>
      <c r="I1741" s="127" t="s">
        <v>1344</v>
      </c>
    </row>
    <row r="1742" spans="1:9" x14ac:dyDescent="0.2">
      <c r="A1742" s="127" t="s">
        <v>1399</v>
      </c>
      <c r="B1742" s="127" t="s">
        <v>3872</v>
      </c>
      <c r="C1742" s="127" t="s">
        <v>46</v>
      </c>
      <c r="D1742" s="127"/>
      <c r="E1742" s="127"/>
      <c r="F1742" s="128"/>
      <c r="G1742" s="128"/>
      <c r="H1742" s="128"/>
      <c r="I1742" s="127" t="s">
        <v>1344</v>
      </c>
    </row>
    <row r="1743" spans="1:9" x14ac:dyDescent="0.2">
      <c r="A1743" s="127"/>
      <c r="B1743" s="127" t="s">
        <v>3873</v>
      </c>
      <c r="C1743" s="127" t="s">
        <v>22</v>
      </c>
      <c r="D1743" s="127"/>
      <c r="E1743" s="127"/>
      <c r="F1743" s="128"/>
      <c r="G1743" s="128"/>
      <c r="H1743" s="128"/>
      <c r="I1743" s="127" t="s">
        <v>1344</v>
      </c>
    </row>
    <row r="1744" spans="1:9" x14ac:dyDescent="0.2">
      <c r="A1744" s="127" t="s">
        <v>3874</v>
      </c>
      <c r="B1744" s="127" t="s">
        <v>3875</v>
      </c>
      <c r="C1744" s="127" t="s">
        <v>17</v>
      </c>
      <c r="D1744" s="127"/>
      <c r="E1744" s="127"/>
      <c r="F1744" s="128"/>
      <c r="G1744" s="128"/>
      <c r="H1744" s="128"/>
      <c r="I1744" s="127" t="s">
        <v>1344</v>
      </c>
    </row>
    <row r="1745" spans="1:9" x14ac:dyDescent="0.2">
      <c r="A1745" s="127" t="s">
        <v>3876</v>
      </c>
      <c r="B1745" s="127" t="s">
        <v>3877</v>
      </c>
      <c r="C1745" s="127" t="s">
        <v>17</v>
      </c>
      <c r="D1745" s="127"/>
      <c r="E1745" s="127"/>
      <c r="F1745" s="128"/>
      <c r="G1745" s="128"/>
      <c r="H1745" s="128"/>
      <c r="I1745" s="127" t="s">
        <v>1344</v>
      </c>
    </row>
    <row r="1746" spans="1:9" x14ac:dyDescent="0.2">
      <c r="A1746" s="127" t="s">
        <v>3878</v>
      </c>
      <c r="B1746" s="127" t="s">
        <v>3879</v>
      </c>
      <c r="C1746" s="127" t="s">
        <v>17</v>
      </c>
      <c r="D1746" s="127"/>
      <c r="E1746" s="127"/>
      <c r="F1746" s="128"/>
      <c r="G1746" s="128"/>
      <c r="H1746" s="128"/>
      <c r="I1746" s="127" t="s">
        <v>1344</v>
      </c>
    </row>
    <row r="1747" spans="1:9" x14ac:dyDescent="0.2">
      <c r="A1747" s="127" t="s">
        <v>3880</v>
      </c>
      <c r="B1747" s="127" t="s">
        <v>3881</v>
      </c>
      <c r="C1747" s="127" t="s">
        <v>17</v>
      </c>
      <c r="D1747" s="127"/>
      <c r="E1747" s="127"/>
      <c r="F1747" s="128"/>
      <c r="G1747" s="128"/>
      <c r="H1747" s="128"/>
      <c r="I1747" s="127" t="s">
        <v>1344</v>
      </c>
    </row>
    <row r="1748" spans="1:9" x14ac:dyDescent="0.2">
      <c r="A1748" s="127" t="s">
        <v>3882</v>
      </c>
      <c r="B1748" s="127" t="s">
        <v>3883</v>
      </c>
      <c r="C1748" s="127" t="s">
        <v>17</v>
      </c>
      <c r="D1748" s="127"/>
      <c r="E1748" s="127"/>
      <c r="F1748" s="128"/>
      <c r="G1748" s="128"/>
      <c r="H1748" s="128"/>
      <c r="I1748" s="127" t="s">
        <v>1344</v>
      </c>
    </row>
    <row r="1749" spans="1:9" x14ac:dyDescent="0.2">
      <c r="A1749" s="127" t="s">
        <v>2090</v>
      </c>
      <c r="B1749" s="127" t="s">
        <v>3884</v>
      </c>
      <c r="C1749" s="127" t="s">
        <v>17</v>
      </c>
      <c r="D1749" s="127"/>
      <c r="E1749" s="127"/>
      <c r="F1749" s="128"/>
      <c r="G1749" s="128"/>
      <c r="H1749" s="128"/>
      <c r="I1749" s="127" t="s">
        <v>1344</v>
      </c>
    </row>
    <row r="1750" spans="1:9" x14ac:dyDescent="0.2">
      <c r="A1750" s="127" t="s">
        <v>3885</v>
      </c>
      <c r="B1750" s="127" t="s">
        <v>3886</v>
      </c>
      <c r="C1750" s="127" t="s">
        <v>22</v>
      </c>
      <c r="D1750" s="127"/>
      <c r="E1750" s="127"/>
      <c r="F1750" s="128"/>
      <c r="G1750" s="128"/>
      <c r="H1750" s="128"/>
      <c r="I1750" s="127" t="s">
        <v>1344</v>
      </c>
    </row>
    <row r="1751" spans="1:9" x14ac:dyDescent="0.2">
      <c r="A1751" s="127" t="s">
        <v>3887</v>
      </c>
      <c r="B1751" s="127" t="s">
        <v>3888</v>
      </c>
      <c r="C1751" s="127" t="s">
        <v>22</v>
      </c>
      <c r="D1751" s="127"/>
      <c r="E1751" s="127"/>
      <c r="F1751" s="128"/>
      <c r="G1751" s="128"/>
      <c r="H1751" s="128"/>
      <c r="I1751" s="127" t="s">
        <v>1344</v>
      </c>
    </row>
    <row r="1752" spans="1:9" x14ac:dyDescent="0.2">
      <c r="A1752" s="127" t="s">
        <v>3889</v>
      </c>
      <c r="B1752" s="127" t="s">
        <v>3890</v>
      </c>
      <c r="C1752" s="127" t="s">
        <v>46</v>
      </c>
      <c r="D1752" s="127"/>
      <c r="E1752" s="127"/>
      <c r="F1752" s="128"/>
      <c r="G1752" s="128"/>
      <c r="H1752" s="128"/>
      <c r="I1752" s="127" t="s">
        <v>1344</v>
      </c>
    </row>
    <row r="1753" spans="1:9" x14ac:dyDescent="0.2">
      <c r="A1753" s="127" t="s">
        <v>3891</v>
      </c>
      <c r="B1753" s="127" t="s">
        <v>3892</v>
      </c>
      <c r="C1753" s="127" t="s">
        <v>17</v>
      </c>
      <c r="D1753" s="127"/>
      <c r="E1753" s="127"/>
      <c r="F1753" s="128"/>
      <c r="G1753" s="128"/>
      <c r="H1753" s="128"/>
      <c r="I1753" s="127" t="s">
        <v>1344</v>
      </c>
    </row>
    <row r="1754" spans="1:9" x14ac:dyDescent="0.2">
      <c r="A1754" s="127" t="s">
        <v>3893</v>
      </c>
      <c r="B1754" s="127" t="s">
        <v>3894</v>
      </c>
      <c r="C1754" s="127" t="s">
        <v>46</v>
      </c>
      <c r="D1754" s="127"/>
      <c r="E1754" s="127"/>
      <c r="F1754" s="128"/>
      <c r="G1754" s="128"/>
      <c r="H1754" s="128"/>
      <c r="I1754" s="127" t="s">
        <v>1344</v>
      </c>
    </row>
    <row r="1755" spans="1:9" x14ac:dyDescent="0.2">
      <c r="A1755" s="127" t="s">
        <v>3895</v>
      </c>
      <c r="B1755" s="127" t="s">
        <v>3896</v>
      </c>
      <c r="C1755" s="127" t="s">
        <v>22</v>
      </c>
      <c r="D1755" s="127"/>
      <c r="E1755" s="127"/>
      <c r="F1755" s="128"/>
      <c r="G1755" s="128"/>
      <c r="H1755" s="128"/>
      <c r="I1755" s="127" t="s">
        <v>1344</v>
      </c>
    </row>
    <row r="1756" spans="1:9" x14ac:dyDescent="0.2">
      <c r="A1756" s="127" t="s">
        <v>3897</v>
      </c>
      <c r="B1756" s="127" t="s">
        <v>3898</v>
      </c>
      <c r="C1756" s="127" t="s">
        <v>46</v>
      </c>
      <c r="D1756" s="127"/>
      <c r="E1756" s="127"/>
      <c r="F1756" s="128"/>
      <c r="G1756" s="128"/>
      <c r="H1756" s="128"/>
      <c r="I1756" s="127" t="s">
        <v>1344</v>
      </c>
    </row>
    <row r="1757" spans="1:9" x14ac:dyDescent="0.2">
      <c r="A1757" s="127" t="s">
        <v>3899</v>
      </c>
      <c r="B1757" s="127" t="s">
        <v>3900</v>
      </c>
      <c r="C1757" s="127" t="s">
        <v>46</v>
      </c>
      <c r="D1757" s="127"/>
      <c r="E1757" s="127"/>
      <c r="F1757" s="128"/>
      <c r="G1757" s="128"/>
      <c r="H1757" s="128"/>
      <c r="I1757" s="127" t="s">
        <v>1344</v>
      </c>
    </row>
    <row r="1758" spans="1:9" x14ac:dyDescent="0.2">
      <c r="A1758" s="127" t="s">
        <v>3901</v>
      </c>
      <c r="B1758" s="127" t="s">
        <v>3902</v>
      </c>
      <c r="C1758" s="127" t="s">
        <v>22</v>
      </c>
      <c r="D1758" s="127"/>
      <c r="E1758" s="127"/>
      <c r="F1758" s="128"/>
      <c r="G1758" s="128"/>
      <c r="H1758" s="128"/>
      <c r="I1758" s="127" t="s">
        <v>1344</v>
      </c>
    </row>
    <row r="1759" spans="1:9" x14ac:dyDescent="0.2">
      <c r="A1759" s="127" t="s">
        <v>3903</v>
      </c>
      <c r="B1759" s="127" t="s">
        <v>3904</v>
      </c>
      <c r="C1759" s="127" t="s">
        <v>22</v>
      </c>
      <c r="D1759" s="127"/>
      <c r="E1759" s="127"/>
      <c r="F1759" s="128"/>
      <c r="G1759" s="128"/>
      <c r="H1759" s="128"/>
      <c r="I1759" s="127" t="s">
        <v>1344</v>
      </c>
    </row>
    <row r="1760" spans="1:9" x14ac:dyDescent="0.2">
      <c r="A1760" s="127" t="s">
        <v>3905</v>
      </c>
      <c r="B1760" s="127" t="s">
        <v>3906</v>
      </c>
      <c r="C1760" s="127" t="s">
        <v>22</v>
      </c>
      <c r="D1760" s="127"/>
      <c r="E1760" s="127"/>
      <c r="F1760" s="128"/>
      <c r="G1760" s="128"/>
      <c r="H1760" s="128"/>
      <c r="I1760" s="127" t="s">
        <v>1344</v>
      </c>
    </row>
    <row r="1761" spans="1:9" x14ac:dyDescent="0.2">
      <c r="A1761" s="127" t="s">
        <v>3907</v>
      </c>
      <c r="B1761" s="127" t="s">
        <v>1325</v>
      </c>
      <c r="C1761" s="127" t="s">
        <v>22</v>
      </c>
      <c r="D1761" s="127"/>
      <c r="E1761" s="127"/>
      <c r="F1761" s="128"/>
      <c r="G1761" s="128"/>
      <c r="H1761" s="128"/>
      <c r="I1761" s="127" t="s">
        <v>1344</v>
      </c>
    </row>
    <row r="1762" spans="1:9" x14ac:dyDescent="0.2">
      <c r="A1762" s="127" t="s">
        <v>3908</v>
      </c>
      <c r="B1762" s="127" t="s">
        <v>3909</v>
      </c>
      <c r="C1762" s="127" t="s">
        <v>22</v>
      </c>
      <c r="D1762" s="127"/>
      <c r="E1762" s="127"/>
      <c r="F1762" s="128"/>
      <c r="G1762" s="128"/>
      <c r="H1762" s="128"/>
      <c r="I1762" s="127" t="s">
        <v>1344</v>
      </c>
    </row>
    <row r="1763" spans="1:9" x14ac:dyDescent="0.2">
      <c r="A1763" s="127" t="s">
        <v>3824</v>
      </c>
      <c r="B1763" s="127" t="s">
        <v>3910</v>
      </c>
      <c r="C1763" s="127" t="s">
        <v>46</v>
      </c>
      <c r="D1763" s="127"/>
      <c r="E1763" s="127"/>
      <c r="F1763" s="128"/>
      <c r="G1763" s="128"/>
      <c r="H1763" s="128"/>
      <c r="I1763" s="127" t="s">
        <v>1344</v>
      </c>
    </row>
    <row r="1764" spans="1:9" x14ac:dyDescent="0.2">
      <c r="A1764" s="127" t="s">
        <v>3911</v>
      </c>
      <c r="B1764" s="127" t="s">
        <v>3912</v>
      </c>
      <c r="C1764" s="127" t="s">
        <v>22</v>
      </c>
      <c r="D1764" s="127"/>
      <c r="E1764" s="127"/>
      <c r="F1764" s="128"/>
      <c r="G1764" s="128"/>
      <c r="H1764" s="128"/>
      <c r="I1764" s="127" t="s">
        <v>1344</v>
      </c>
    </row>
    <row r="1765" spans="1:9" x14ac:dyDescent="0.2">
      <c r="A1765" s="127" t="s">
        <v>3913</v>
      </c>
      <c r="B1765" s="127" t="s">
        <v>3914</v>
      </c>
      <c r="C1765" s="127" t="s">
        <v>46</v>
      </c>
      <c r="D1765" s="127"/>
      <c r="E1765" s="127"/>
      <c r="F1765" s="128"/>
      <c r="G1765" s="128"/>
      <c r="H1765" s="128"/>
      <c r="I1765" s="127" t="s">
        <v>1344</v>
      </c>
    </row>
    <row r="1766" spans="1:9" x14ac:dyDescent="0.2">
      <c r="A1766" s="127" t="s">
        <v>3915</v>
      </c>
      <c r="B1766" s="127" t="s">
        <v>3916</v>
      </c>
      <c r="C1766" s="127" t="s">
        <v>46</v>
      </c>
      <c r="D1766" s="127"/>
      <c r="E1766" s="127"/>
      <c r="F1766" s="128"/>
      <c r="G1766" s="128"/>
      <c r="H1766" s="128"/>
      <c r="I1766" s="127" t="s">
        <v>1344</v>
      </c>
    </row>
    <row r="1767" spans="1:9" x14ac:dyDescent="0.2">
      <c r="A1767" s="127" t="s">
        <v>3917</v>
      </c>
      <c r="B1767" s="127" t="s">
        <v>3918</v>
      </c>
      <c r="C1767" s="127" t="s">
        <v>46</v>
      </c>
      <c r="D1767" s="127"/>
      <c r="E1767" s="127"/>
      <c r="F1767" s="128"/>
      <c r="G1767" s="128"/>
      <c r="H1767" s="128"/>
      <c r="I1767" s="127" t="s">
        <v>1344</v>
      </c>
    </row>
    <row r="1768" spans="1:9" x14ac:dyDescent="0.2">
      <c r="A1768" s="127" t="s">
        <v>3919</v>
      </c>
      <c r="B1768" s="127" t="s">
        <v>3920</v>
      </c>
      <c r="C1768" s="127" t="s">
        <v>22</v>
      </c>
      <c r="D1768" s="127"/>
      <c r="E1768" s="127"/>
      <c r="F1768" s="128"/>
      <c r="G1768" s="128"/>
      <c r="H1768" s="128"/>
      <c r="I1768" s="127" t="s">
        <v>1344</v>
      </c>
    </row>
    <row r="1769" spans="1:9" x14ac:dyDescent="0.2">
      <c r="A1769" s="127"/>
      <c r="B1769" s="127" t="s">
        <v>3921</v>
      </c>
      <c r="C1769" s="127" t="s">
        <v>46</v>
      </c>
      <c r="D1769" s="127"/>
      <c r="E1769" s="127"/>
      <c r="F1769" s="128"/>
      <c r="G1769" s="128"/>
      <c r="H1769" s="128"/>
      <c r="I1769" s="127" t="s">
        <v>1344</v>
      </c>
    </row>
    <row r="1770" spans="1:9" x14ac:dyDescent="0.2">
      <c r="A1770" s="127" t="s">
        <v>1085</v>
      </c>
      <c r="B1770" s="127" t="s">
        <v>3922</v>
      </c>
      <c r="C1770" s="127" t="s">
        <v>46</v>
      </c>
      <c r="D1770" s="127"/>
      <c r="E1770" s="127"/>
      <c r="F1770" s="128"/>
      <c r="G1770" s="128"/>
      <c r="H1770" s="128"/>
      <c r="I1770" s="127" t="s">
        <v>1344</v>
      </c>
    </row>
    <row r="1771" spans="1:9" x14ac:dyDescent="0.2">
      <c r="A1771" s="127" t="s">
        <v>3923</v>
      </c>
      <c r="B1771" s="127" t="s">
        <v>3924</v>
      </c>
      <c r="C1771" s="127" t="s">
        <v>46</v>
      </c>
      <c r="D1771" s="127"/>
      <c r="E1771" s="127"/>
      <c r="F1771" s="128"/>
      <c r="G1771" s="128"/>
      <c r="H1771" s="128"/>
      <c r="I1771" s="127" t="s">
        <v>1344</v>
      </c>
    </row>
    <row r="1772" spans="1:9" x14ac:dyDescent="0.2">
      <c r="A1772" s="127" t="s">
        <v>3925</v>
      </c>
      <c r="B1772" s="127" t="s">
        <v>1241</v>
      </c>
      <c r="C1772" s="127" t="s">
        <v>46</v>
      </c>
      <c r="D1772" s="127"/>
      <c r="E1772" s="127"/>
      <c r="F1772" s="128"/>
      <c r="G1772" s="128"/>
      <c r="H1772" s="128"/>
      <c r="I1772" s="127" t="s">
        <v>1344</v>
      </c>
    </row>
    <row r="1773" spans="1:9" x14ac:dyDescent="0.2">
      <c r="A1773" s="127" t="s">
        <v>3926</v>
      </c>
      <c r="B1773" s="127" t="s">
        <v>3927</v>
      </c>
      <c r="C1773" s="127" t="s">
        <v>46</v>
      </c>
      <c r="D1773" s="127"/>
      <c r="E1773" s="127"/>
      <c r="F1773" s="128"/>
      <c r="G1773" s="128"/>
      <c r="H1773" s="128"/>
      <c r="I1773" s="127" t="s">
        <v>1344</v>
      </c>
    </row>
    <row r="1774" spans="1:9" x14ac:dyDescent="0.2">
      <c r="A1774" s="127" t="s">
        <v>3928</v>
      </c>
      <c r="B1774" s="127" t="s">
        <v>3929</v>
      </c>
      <c r="C1774" s="127" t="s">
        <v>46</v>
      </c>
      <c r="D1774" s="127"/>
      <c r="E1774" s="127"/>
      <c r="F1774" s="128"/>
      <c r="G1774" s="128"/>
      <c r="H1774" s="128"/>
      <c r="I1774" s="127" t="s">
        <v>1344</v>
      </c>
    </row>
    <row r="1775" spans="1:9" x14ac:dyDescent="0.2">
      <c r="A1775" s="127" t="s">
        <v>3930</v>
      </c>
      <c r="B1775" s="127" t="s">
        <v>3931</v>
      </c>
      <c r="C1775" s="127" t="s">
        <v>17</v>
      </c>
      <c r="D1775" s="127"/>
      <c r="E1775" s="127"/>
      <c r="F1775" s="128"/>
      <c r="G1775" s="128"/>
      <c r="H1775" s="128"/>
      <c r="I1775" s="127" t="s">
        <v>1344</v>
      </c>
    </row>
    <row r="1776" spans="1:9" x14ac:dyDescent="0.2">
      <c r="A1776" s="127" t="s">
        <v>2233</v>
      </c>
      <c r="B1776" s="127" t="s">
        <v>3932</v>
      </c>
      <c r="C1776" s="127" t="s">
        <v>22</v>
      </c>
      <c r="D1776" s="127"/>
      <c r="E1776" s="127"/>
      <c r="F1776" s="128"/>
      <c r="G1776" s="128"/>
      <c r="H1776" s="128"/>
      <c r="I1776" s="127" t="s">
        <v>1344</v>
      </c>
    </row>
    <row r="1777" spans="1:9" x14ac:dyDescent="0.2">
      <c r="A1777" s="127" t="s">
        <v>3933</v>
      </c>
      <c r="B1777" s="127" t="s">
        <v>3934</v>
      </c>
      <c r="C1777" s="127" t="s">
        <v>46</v>
      </c>
      <c r="D1777" s="127"/>
      <c r="E1777" s="127"/>
      <c r="F1777" s="128"/>
      <c r="G1777" s="128"/>
      <c r="H1777" s="128"/>
      <c r="I1777" s="127" t="s">
        <v>1344</v>
      </c>
    </row>
    <row r="1778" spans="1:9" x14ac:dyDescent="0.2">
      <c r="A1778" s="127" t="s">
        <v>3935</v>
      </c>
      <c r="B1778" s="127" t="s">
        <v>3936</v>
      </c>
      <c r="C1778" s="127" t="s">
        <v>22</v>
      </c>
      <c r="D1778" s="127"/>
      <c r="E1778" s="127"/>
      <c r="F1778" s="128"/>
      <c r="G1778" s="128"/>
      <c r="H1778" s="128"/>
      <c r="I1778" s="127" t="s">
        <v>1344</v>
      </c>
    </row>
    <row r="1779" spans="1:9" x14ac:dyDescent="0.2">
      <c r="A1779" s="127" t="s">
        <v>3937</v>
      </c>
      <c r="B1779" s="127" t="s">
        <v>3938</v>
      </c>
      <c r="C1779" s="127" t="s">
        <v>22</v>
      </c>
      <c r="D1779" s="127"/>
      <c r="E1779" s="127"/>
      <c r="F1779" s="128"/>
      <c r="G1779" s="128"/>
      <c r="H1779" s="128"/>
      <c r="I1779" s="127" t="s">
        <v>1344</v>
      </c>
    </row>
    <row r="1780" spans="1:9" x14ac:dyDescent="0.2">
      <c r="A1780" s="127" t="s">
        <v>3939</v>
      </c>
      <c r="B1780" s="127" t="s">
        <v>3940</v>
      </c>
      <c r="C1780" s="127" t="s">
        <v>46</v>
      </c>
      <c r="D1780" s="127"/>
      <c r="E1780" s="127"/>
      <c r="F1780" s="128"/>
      <c r="G1780" s="128"/>
      <c r="H1780" s="128"/>
      <c r="I1780" s="127" t="s">
        <v>1344</v>
      </c>
    </row>
    <row r="1781" spans="1:9" x14ac:dyDescent="0.2">
      <c r="A1781" s="127" t="s">
        <v>3941</v>
      </c>
      <c r="B1781" s="127" t="s">
        <v>3942</v>
      </c>
      <c r="C1781" s="127" t="s">
        <v>46</v>
      </c>
      <c r="D1781" s="127"/>
      <c r="E1781" s="127"/>
      <c r="F1781" s="128"/>
      <c r="G1781" s="128"/>
      <c r="H1781" s="128"/>
      <c r="I1781" s="127" t="s">
        <v>1344</v>
      </c>
    </row>
    <row r="1782" spans="1:9" x14ac:dyDescent="0.2">
      <c r="A1782" s="127" t="s">
        <v>3943</v>
      </c>
      <c r="B1782" s="127" t="s">
        <v>3944</v>
      </c>
      <c r="C1782" s="127" t="s">
        <v>46</v>
      </c>
      <c r="D1782" s="127"/>
      <c r="E1782" s="127"/>
      <c r="F1782" s="128"/>
      <c r="G1782" s="128"/>
      <c r="H1782" s="128"/>
      <c r="I1782" s="127" t="s">
        <v>1344</v>
      </c>
    </row>
    <row r="1783" spans="1:9" x14ac:dyDescent="0.2">
      <c r="A1783" s="127" t="s">
        <v>3148</v>
      </c>
      <c r="B1783" s="127" t="s">
        <v>3945</v>
      </c>
      <c r="C1783" s="127" t="s">
        <v>46</v>
      </c>
      <c r="D1783" s="127"/>
      <c r="E1783" s="127"/>
      <c r="F1783" s="128"/>
      <c r="G1783" s="128"/>
      <c r="H1783" s="128"/>
      <c r="I1783" s="127" t="s">
        <v>1344</v>
      </c>
    </row>
    <row r="1784" spans="1:9" x14ac:dyDescent="0.2">
      <c r="A1784" s="127" t="s">
        <v>3946</v>
      </c>
      <c r="B1784" s="127" t="s">
        <v>3947</v>
      </c>
      <c r="C1784" s="127" t="s">
        <v>22</v>
      </c>
      <c r="D1784" s="127"/>
      <c r="E1784" s="127"/>
      <c r="F1784" s="128"/>
      <c r="G1784" s="128"/>
      <c r="H1784" s="128"/>
      <c r="I1784" s="127" t="s">
        <v>1344</v>
      </c>
    </row>
    <row r="1785" spans="1:9" x14ac:dyDescent="0.2">
      <c r="A1785" s="127" t="s">
        <v>3948</v>
      </c>
      <c r="B1785" s="127" t="s">
        <v>3949</v>
      </c>
      <c r="C1785" s="127" t="s">
        <v>46</v>
      </c>
      <c r="D1785" s="127"/>
      <c r="E1785" s="127"/>
      <c r="F1785" s="128"/>
      <c r="G1785" s="128"/>
      <c r="H1785" s="128"/>
      <c r="I1785" s="127" t="s">
        <v>1344</v>
      </c>
    </row>
    <row r="1786" spans="1:9" x14ac:dyDescent="0.2">
      <c r="A1786" s="127" t="s">
        <v>3950</v>
      </c>
      <c r="B1786" s="127" t="s">
        <v>3951</v>
      </c>
      <c r="C1786" s="127" t="s">
        <v>46</v>
      </c>
      <c r="D1786" s="127"/>
      <c r="E1786" s="127"/>
      <c r="F1786" s="128"/>
      <c r="G1786" s="128"/>
      <c r="H1786" s="128"/>
      <c r="I1786" s="127" t="s">
        <v>1344</v>
      </c>
    </row>
    <row r="1787" spans="1:9" x14ac:dyDescent="0.2">
      <c r="A1787" s="127" t="s">
        <v>3952</v>
      </c>
      <c r="B1787" s="127" t="s">
        <v>3953</v>
      </c>
      <c r="C1787" s="127" t="s">
        <v>46</v>
      </c>
      <c r="D1787" s="127"/>
      <c r="E1787" s="127"/>
      <c r="F1787" s="128"/>
      <c r="G1787" s="128"/>
      <c r="H1787" s="128"/>
      <c r="I1787" s="127" t="s">
        <v>1344</v>
      </c>
    </row>
    <row r="1788" spans="1:9" x14ac:dyDescent="0.2">
      <c r="A1788" s="127" t="s">
        <v>2231</v>
      </c>
      <c r="B1788" s="127" t="s">
        <v>3954</v>
      </c>
      <c r="C1788" s="127" t="s">
        <v>22</v>
      </c>
      <c r="D1788" s="127"/>
      <c r="E1788" s="127"/>
      <c r="F1788" s="128"/>
      <c r="G1788" s="128"/>
      <c r="H1788" s="128"/>
      <c r="I1788" s="127" t="s">
        <v>1344</v>
      </c>
    </row>
    <row r="1789" spans="1:9" x14ac:dyDescent="0.2">
      <c r="A1789" s="127" t="s">
        <v>2423</v>
      </c>
      <c r="B1789" s="127" t="s">
        <v>3955</v>
      </c>
      <c r="C1789" s="127" t="s">
        <v>22</v>
      </c>
      <c r="D1789" s="127"/>
      <c r="E1789" s="127"/>
      <c r="F1789" s="128"/>
      <c r="G1789" s="128"/>
      <c r="H1789" s="128"/>
      <c r="I1789" s="127" t="s">
        <v>1344</v>
      </c>
    </row>
    <row r="1790" spans="1:9" x14ac:dyDescent="0.2">
      <c r="A1790" s="127" t="s">
        <v>3956</v>
      </c>
      <c r="B1790" s="127" t="s">
        <v>3957</v>
      </c>
      <c r="C1790" s="127" t="s">
        <v>17</v>
      </c>
      <c r="D1790" s="127"/>
      <c r="E1790" s="127"/>
      <c r="F1790" s="128"/>
      <c r="G1790" s="128"/>
      <c r="H1790" s="128"/>
      <c r="I1790" s="127" t="s">
        <v>1344</v>
      </c>
    </row>
    <row r="1791" spans="1:9" x14ac:dyDescent="0.2">
      <c r="A1791" s="127" t="s">
        <v>3958</v>
      </c>
      <c r="B1791" s="127" t="s">
        <v>3959</v>
      </c>
      <c r="C1791" s="127" t="s">
        <v>46</v>
      </c>
      <c r="D1791" s="127"/>
      <c r="E1791" s="127"/>
      <c r="F1791" s="128"/>
      <c r="G1791" s="128"/>
      <c r="H1791" s="128"/>
      <c r="I1791" s="127" t="s">
        <v>1344</v>
      </c>
    </row>
    <row r="1792" spans="1:9" x14ac:dyDescent="0.2">
      <c r="A1792" s="127" t="s">
        <v>1862</v>
      </c>
      <c r="B1792" s="127" t="s">
        <v>3960</v>
      </c>
      <c r="C1792" s="127" t="s">
        <v>46</v>
      </c>
      <c r="D1792" s="127"/>
      <c r="E1792" s="127"/>
      <c r="F1792" s="128"/>
      <c r="G1792" s="128"/>
      <c r="H1792" s="128"/>
      <c r="I1792" s="127" t="s">
        <v>1344</v>
      </c>
    </row>
    <row r="1793" spans="1:9" x14ac:dyDescent="0.2">
      <c r="A1793" s="127" t="s">
        <v>3961</v>
      </c>
      <c r="B1793" s="127" t="s">
        <v>3962</v>
      </c>
      <c r="C1793" s="127" t="s">
        <v>46</v>
      </c>
      <c r="D1793" s="127"/>
      <c r="E1793" s="127"/>
      <c r="F1793" s="128"/>
      <c r="G1793" s="128"/>
      <c r="H1793" s="128"/>
      <c r="I1793" s="127" t="s">
        <v>1344</v>
      </c>
    </row>
    <row r="1794" spans="1:9" x14ac:dyDescent="0.2">
      <c r="A1794" s="127" t="s">
        <v>3963</v>
      </c>
      <c r="B1794" s="127" t="s">
        <v>3964</v>
      </c>
      <c r="C1794" s="127" t="s">
        <v>22</v>
      </c>
      <c r="D1794" s="127"/>
      <c r="E1794" s="127"/>
      <c r="F1794" s="128"/>
      <c r="G1794" s="128"/>
      <c r="H1794" s="128"/>
      <c r="I1794" s="127" t="s">
        <v>1344</v>
      </c>
    </row>
    <row r="1795" spans="1:9" x14ac:dyDescent="0.2">
      <c r="A1795" s="127" t="s">
        <v>3965</v>
      </c>
      <c r="B1795" s="127" t="s">
        <v>3966</v>
      </c>
      <c r="C1795" s="127" t="s">
        <v>22</v>
      </c>
      <c r="D1795" s="127"/>
      <c r="E1795" s="127"/>
      <c r="F1795" s="128"/>
      <c r="G1795" s="128"/>
      <c r="H1795" s="128"/>
      <c r="I1795" s="127" t="s">
        <v>1344</v>
      </c>
    </row>
    <row r="1796" spans="1:9" x14ac:dyDescent="0.2">
      <c r="A1796" s="127"/>
      <c r="B1796" s="127" t="s">
        <v>3967</v>
      </c>
      <c r="C1796" s="127" t="s">
        <v>17</v>
      </c>
      <c r="D1796" s="127"/>
      <c r="E1796" s="127"/>
      <c r="F1796" s="128"/>
      <c r="G1796" s="128"/>
      <c r="H1796" s="128"/>
      <c r="I1796" s="127" t="s">
        <v>1344</v>
      </c>
    </row>
    <row r="1797" spans="1:9" x14ac:dyDescent="0.2">
      <c r="A1797" s="127" t="s">
        <v>3968</v>
      </c>
      <c r="B1797" s="127" t="s">
        <v>3969</v>
      </c>
      <c r="C1797" s="127" t="s">
        <v>46</v>
      </c>
      <c r="D1797" s="127"/>
      <c r="E1797" s="127"/>
      <c r="F1797" s="128"/>
      <c r="G1797" s="128"/>
      <c r="H1797" s="128"/>
      <c r="I1797" s="127" t="s">
        <v>1344</v>
      </c>
    </row>
    <row r="1798" spans="1:9" x14ac:dyDescent="0.2">
      <c r="A1798" s="127" t="s">
        <v>3970</v>
      </c>
      <c r="B1798" s="127" t="s">
        <v>3971</v>
      </c>
      <c r="C1798" s="127" t="s">
        <v>46</v>
      </c>
      <c r="D1798" s="127"/>
      <c r="E1798" s="127"/>
      <c r="F1798" s="128"/>
      <c r="G1798" s="128"/>
      <c r="H1798" s="128"/>
      <c r="I1798" s="127" t="s">
        <v>1344</v>
      </c>
    </row>
    <row r="1799" spans="1:9" x14ac:dyDescent="0.2">
      <c r="A1799" s="127" t="s">
        <v>3972</v>
      </c>
      <c r="B1799" s="127" t="s">
        <v>3973</v>
      </c>
      <c r="C1799" s="127" t="s">
        <v>17</v>
      </c>
      <c r="D1799" s="127"/>
      <c r="E1799" s="127"/>
      <c r="F1799" s="128"/>
      <c r="G1799" s="128"/>
      <c r="H1799" s="128"/>
      <c r="I1799" s="127" t="s">
        <v>1344</v>
      </c>
    </row>
    <row r="1800" spans="1:9" x14ac:dyDescent="0.2">
      <c r="A1800" s="127" t="s">
        <v>3974</v>
      </c>
      <c r="B1800" s="127" t="s">
        <v>3975</v>
      </c>
      <c r="C1800" s="127" t="s">
        <v>17</v>
      </c>
      <c r="D1800" s="127"/>
      <c r="E1800" s="127"/>
      <c r="F1800" s="128"/>
      <c r="G1800" s="128"/>
      <c r="H1800" s="128"/>
      <c r="I1800" s="127" t="s">
        <v>1344</v>
      </c>
    </row>
    <row r="1801" spans="1:9" x14ac:dyDescent="0.2">
      <c r="A1801" s="127" t="s">
        <v>2039</v>
      </c>
      <c r="B1801" s="127" t="s">
        <v>3976</v>
      </c>
      <c r="C1801" s="127" t="s">
        <v>46</v>
      </c>
      <c r="D1801" s="127"/>
      <c r="E1801" s="127"/>
      <c r="F1801" s="128"/>
      <c r="G1801" s="128"/>
      <c r="H1801" s="128"/>
      <c r="I1801" s="127" t="s">
        <v>1344</v>
      </c>
    </row>
    <row r="1802" spans="1:9" x14ac:dyDescent="0.2">
      <c r="A1802" s="127" t="s">
        <v>3977</v>
      </c>
      <c r="B1802" s="127" t="s">
        <v>3978</v>
      </c>
      <c r="C1802" s="127" t="s">
        <v>22</v>
      </c>
      <c r="D1802" s="127"/>
      <c r="E1802" s="127"/>
      <c r="F1802" s="128"/>
      <c r="G1802" s="128"/>
      <c r="H1802" s="128"/>
      <c r="I1802" s="127" t="s">
        <v>1344</v>
      </c>
    </row>
    <row r="1803" spans="1:9" x14ac:dyDescent="0.2">
      <c r="A1803" s="127" t="s">
        <v>3979</v>
      </c>
      <c r="B1803" s="127" t="s">
        <v>3980</v>
      </c>
      <c r="C1803" s="127" t="s">
        <v>17</v>
      </c>
      <c r="D1803" s="127"/>
      <c r="E1803" s="127"/>
      <c r="F1803" s="128"/>
      <c r="G1803" s="128"/>
      <c r="H1803" s="128"/>
      <c r="I1803" s="127" t="s">
        <v>1344</v>
      </c>
    </row>
    <row r="1804" spans="1:9" x14ac:dyDescent="0.2">
      <c r="A1804" s="127" t="s">
        <v>3979</v>
      </c>
      <c r="B1804" s="127" t="s">
        <v>3981</v>
      </c>
      <c r="C1804" s="127" t="s">
        <v>17</v>
      </c>
      <c r="D1804" s="127"/>
      <c r="E1804" s="127"/>
      <c r="F1804" s="128"/>
      <c r="G1804" s="128"/>
      <c r="H1804" s="128"/>
      <c r="I1804" s="127" t="s">
        <v>1344</v>
      </c>
    </row>
    <row r="1805" spans="1:9" x14ac:dyDescent="0.2">
      <c r="A1805" s="127" t="s">
        <v>1585</v>
      </c>
      <c r="B1805" s="127" t="s">
        <v>3982</v>
      </c>
      <c r="C1805" s="127" t="s">
        <v>46</v>
      </c>
      <c r="D1805" s="127"/>
      <c r="E1805" s="127"/>
      <c r="F1805" s="128"/>
      <c r="G1805" s="128"/>
      <c r="H1805" s="128"/>
      <c r="I1805" s="127" t="s">
        <v>1344</v>
      </c>
    </row>
    <row r="1806" spans="1:9" x14ac:dyDescent="0.2">
      <c r="A1806" s="127" t="s">
        <v>1862</v>
      </c>
      <c r="B1806" s="127" t="s">
        <v>3983</v>
      </c>
      <c r="C1806" s="127" t="s">
        <v>22</v>
      </c>
      <c r="D1806" s="127"/>
      <c r="E1806" s="127"/>
      <c r="F1806" s="128"/>
      <c r="G1806" s="128"/>
      <c r="H1806" s="128"/>
      <c r="I1806" s="127" t="s">
        <v>1344</v>
      </c>
    </row>
    <row r="1807" spans="1:9" x14ac:dyDescent="0.2">
      <c r="A1807" s="127" t="s">
        <v>1862</v>
      </c>
      <c r="B1807" s="127" t="s">
        <v>3984</v>
      </c>
      <c r="C1807" s="127" t="s">
        <v>22</v>
      </c>
      <c r="D1807" s="127"/>
      <c r="E1807" s="127"/>
      <c r="F1807" s="128"/>
      <c r="G1807" s="128"/>
      <c r="H1807" s="128"/>
      <c r="I1807" s="127" t="s">
        <v>1344</v>
      </c>
    </row>
    <row r="1808" spans="1:9" x14ac:dyDescent="0.2">
      <c r="A1808" s="127"/>
      <c r="B1808" s="127" t="s">
        <v>3985</v>
      </c>
      <c r="C1808" s="127" t="s">
        <v>46</v>
      </c>
      <c r="D1808" s="127"/>
      <c r="E1808" s="127"/>
      <c r="F1808" s="128"/>
      <c r="G1808" s="128"/>
      <c r="H1808" s="128"/>
      <c r="I1808" s="127" t="s">
        <v>1344</v>
      </c>
    </row>
    <row r="1809" spans="1:9" x14ac:dyDescent="0.2">
      <c r="A1809" s="127" t="s">
        <v>3986</v>
      </c>
      <c r="B1809" s="127" t="s">
        <v>3987</v>
      </c>
      <c r="C1809" s="127" t="s">
        <v>46</v>
      </c>
      <c r="D1809" s="127"/>
      <c r="E1809" s="127"/>
      <c r="F1809" s="128"/>
      <c r="G1809" s="128"/>
      <c r="H1809" s="128"/>
      <c r="I1809" s="127" t="s">
        <v>1344</v>
      </c>
    </row>
    <row r="1810" spans="1:9" x14ac:dyDescent="0.2">
      <c r="A1810" s="127" t="s">
        <v>3988</v>
      </c>
      <c r="B1810" s="127" t="s">
        <v>3989</v>
      </c>
      <c r="C1810" s="127" t="s">
        <v>46</v>
      </c>
      <c r="D1810" s="127"/>
      <c r="E1810" s="127"/>
      <c r="F1810" s="128"/>
      <c r="G1810" s="128"/>
      <c r="H1810" s="128"/>
      <c r="I1810" s="127" t="s">
        <v>1344</v>
      </c>
    </row>
    <row r="1811" spans="1:9" x14ac:dyDescent="0.2">
      <c r="A1811" s="127"/>
      <c r="B1811" s="127" t="s">
        <v>3990</v>
      </c>
      <c r="C1811" s="127" t="s">
        <v>22</v>
      </c>
      <c r="D1811" s="127"/>
      <c r="E1811" s="127"/>
      <c r="F1811" s="128"/>
      <c r="G1811" s="128"/>
      <c r="H1811" s="128"/>
      <c r="I1811" s="127" t="s">
        <v>1344</v>
      </c>
    </row>
    <row r="1812" spans="1:9" x14ac:dyDescent="0.2">
      <c r="A1812" s="127" t="s">
        <v>3991</v>
      </c>
      <c r="B1812" s="127" t="s">
        <v>3992</v>
      </c>
      <c r="C1812" s="127" t="s">
        <v>17</v>
      </c>
      <c r="D1812" s="127"/>
      <c r="E1812" s="127"/>
      <c r="F1812" s="128"/>
      <c r="G1812" s="128"/>
      <c r="H1812" s="128"/>
      <c r="I1812" s="127" t="s">
        <v>1344</v>
      </c>
    </row>
    <row r="1813" spans="1:9" x14ac:dyDescent="0.2">
      <c r="A1813" s="127" t="s">
        <v>3993</v>
      </c>
      <c r="B1813" s="127" t="s">
        <v>3994</v>
      </c>
      <c r="C1813" s="127" t="s">
        <v>22</v>
      </c>
      <c r="D1813" s="127"/>
      <c r="E1813" s="127"/>
      <c r="F1813" s="128"/>
      <c r="G1813" s="128"/>
      <c r="H1813" s="128"/>
      <c r="I1813" s="127" t="s">
        <v>1344</v>
      </c>
    </row>
    <row r="1814" spans="1:9" x14ac:dyDescent="0.2">
      <c r="A1814" s="127"/>
      <c r="B1814" s="127" t="s">
        <v>3995</v>
      </c>
      <c r="C1814" s="127" t="s">
        <v>22</v>
      </c>
      <c r="D1814" s="127"/>
      <c r="E1814" s="127"/>
      <c r="F1814" s="128"/>
      <c r="G1814" s="128"/>
      <c r="H1814" s="128"/>
      <c r="I1814" s="127" t="s">
        <v>1344</v>
      </c>
    </row>
    <row r="1815" spans="1:9" x14ac:dyDescent="0.2">
      <c r="A1815" s="127" t="s">
        <v>3996</v>
      </c>
      <c r="B1815" s="127" t="s">
        <v>3997</v>
      </c>
      <c r="C1815" s="127" t="s">
        <v>46</v>
      </c>
      <c r="D1815" s="127"/>
      <c r="E1815" s="127"/>
      <c r="F1815" s="128"/>
      <c r="G1815" s="128"/>
      <c r="H1815" s="128"/>
      <c r="I1815" s="127" t="s">
        <v>1344</v>
      </c>
    </row>
    <row r="1816" spans="1:9" x14ac:dyDescent="0.2">
      <c r="A1816" s="127" t="s">
        <v>3998</v>
      </c>
      <c r="B1816" s="127" t="s">
        <v>3999</v>
      </c>
      <c r="C1816" s="127" t="s">
        <v>46</v>
      </c>
      <c r="D1816" s="127"/>
      <c r="E1816" s="127"/>
      <c r="F1816" s="128"/>
      <c r="G1816" s="128"/>
      <c r="H1816" s="128"/>
      <c r="I1816" s="127" t="s">
        <v>1344</v>
      </c>
    </row>
    <row r="1817" spans="1:9" x14ac:dyDescent="0.2">
      <c r="A1817" s="127" t="s">
        <v>4000</v>
      </c>
      <c r="B1817" s="127" t="s">
        <v>4001</v>
      </c>
      <c r="C1817" s="127" t="s">
        <v>22</v>
      </c>
      <c r="D1817" s="127"/>
      <c r="E1817" s="127"/>
      <c r="F1817" s="128"/>
      <c r="G1817" s="128"/>
      <c r="H1817" s="128"/>
      <c r="I1817" s="127" t="s">
        <v>1344</v>
      </c>
    </row>
    <row r="1818" spans="1:9" x14ac:dyDescent="0.2">
      <c r="A1818" s="127" t="s">
        <v>4002</v>
      </c>
      <c r="B1818" s="127" t="s">
        <v>4003</v>
      </c>
      <c r="C1818" s="127" t="s">
        <v>17</v>
      </c>
      <c r="D1818" s="127"/>
      <c r="E1818" s="127"/>
      <c r="F1818" s="128"/>
      <c r="G1818" s="128"/>
      <c r="H1818" s="128"/>
      <c r="I1818" s="127" t="s">
        <v>1344</v>
      </c>
    </row>
    <row r="1819" spans="1:9" x14ac:dyDescent="0.2">
      <c r="A1819" s="127" t="s">
        <v>4004</v>
      </c>
      <c r="B1819" s="127" t="s">
        <v>4005</v>
      </c>
      <c r="C1819" s="127" t="s">
        <v>17</v>
      </c>
      <c r="D1819" s="127"/>
      <c r="E1819" s="127"/>
      <c r="F1819" s="128"/>
      <c r="G1819" s="128"/>
      <c r="H1819" s="128"/>
      <c r="I1819" s="127" t="s">
        <v>1344</v>
      </c>
    </row>
    <row r="1820" spans="1:9" x14ac:dyDescent="0.2">
      <c r="A1820" s="127"/>
      <c r="B1820" s="127" t="s">
        <v>4006</v>
      </c>
      <c r="C1820" s="127" t="s">
        <v>46</v>
      </c>
      <c r="D1820" s="127"/>
      <c r="E1820" s="127"/>
      <c r="F1820" s="128"/>
      <c r="G1820" s="128"/>
      <c r="H1820" s="128"/>
      <c r="I1820" s="127" t="s">
        <v>1344</v>
      </c>
    </row>
    <row r="1821" spans="1:9" x14ac:dyDescent="0.2">
      <c r="A1821" s="127" t="s">
        <v>4007</v>
      </c>
      <c r="B1821" s="127" t="s">
        <v>4008</v>
      </c>
      <c r="C1821" s="127" t="s">
        <v>17</v>
      </c>
      <c r="D1821" s="127"/>
      <c r="E1821" s="127"/>
      <c r="F1821" s="128"/>
      <c r="G1821" s="128"/>
      <c r="H1821" s="128"/>
      <c r="I1821" s="127" t="s">
        <v>1344</v>
      </c>
    </row>
    <row r="1822" spans="1:9" x14ac:dyDescent="0.2">
      <c r="A1822" s="127" t="s">
        <v>4009</v>
      </c>
      <c r="B1822" s="127" t="s">
        <v>4010</v>
      </c>
      <c r="C1822" s="127" t="s">
        <v>22</v>
      </c>
      <c r="D1822" s="127"/>
      <c r="E1822" s="127"/>
      <c r="F1822" s="128"/>
      <c r="G1822" s="128"/>
      <c r="H1822" s="128"/>
      <c r="I1822" s="127" t="s">
        <v>1344</v>
      </c>
    </row>
    <row r="1823" spans="1:9" x14ac:dyDescent="0.2">
      <c r="A1823" s="127" t="s">
        <v>4011</v>
      </c>
      <c r="B1823" s="127" t="s">
        <v>4012</v>
      </c>
      <c r="C1823" s="127" t="s">
        <v>17</v>
      </c>
      <c r="D1823" s="127"/>
      <c r="E1823" s="127"/>
      <c r="F1823" s="128"/>
      <c r="G1823" s="128"/>
      <c r="H1823" s="128"/>
      <c r="I1823" s="127" t="s">
        <v>1344</v>
      </c>
    </row>
    <row r="1824" spans="1:9" x14ac:dyDescent="0.2">
      <c r="A1824" s="127" t="s">
        <v>4013</v>
      </c>
      <c r="B1824" s="127" t="s">
        <v>4014</v>
      </c>
      <c r="C1824" s="127" t="s">
        <v>46</v>
      </c>
      <c r="D1824" s="127"/>
      <c r="E1824" s="127"/>
      <c r="F1824" s="128"/>
      <c r="G1824" s="128"/>
      <c r="H1824" s="128"/>
      <c r="I1824" s="127" t="s">
        <v>1344</v>
      </c>
    </row>
    <row r="1825" spans="1:9" x14ac:dyDescent="0.2">
      <c r="A1825" s="127" t="s">
        <v>4015</v>
      </c>
      <c r="B1825" s="127" t="s">
        <v>4016</v>
      </c>
      <c r="C1825" s="127" t="s">
        <v>46</v>
      </c>
      <c r="D1825" s="127"/>
      <c r="E1825" s="127"/>
      <c r="F1825" s="128"/>
      <c r="G1825" s="128"/>
      <c r="H1825" s="128"/>
      <c r="I1825" s="127" t="s">
        <v>1344</v>
      </c>
    </row>
    <row r="1826" spans="1:9" x14ac:dyDescent="0.2">
      <c r="A1826" s="127" t="s">
        <v>4017</v>
      </c>
      <c r="B1826" s="127" t="s">
        <v>4018</v>
      </c>
      <c r="C1826" s="127" t="s">
        <v>22</v>
      </c>
      <c r="D1826" s="127"/>
      <c r="E1826" s="127"/>
      <c r="F1826" s="128"/>
      <c r="G1826" s="128"/>
      <c r="H1826" s="128"/>
      <c r="I1826" s="127" t="s">
        <v>1344</v>
      </c>
    </row>
    <row r="1827" spans="1:9" x14ac:dyDescent="0.2">
      <c r="A1827" s="127" t="s">
        <v>4019</v>
      </c>
      <c r="B1827" s="127" t="s">
        <v>4020</v>
      </c>
      <c r="C1827" s="127" t="s">
        <v>46</v>
      </c>
      <c r="D1827" s="127"/>
      <c r="E1827" s="127"/>
      <c r="F1827" s="128"/>
      <c r="G1827" s="128"/>
      <c r="H1827" s="128"/>
      <c r="I1827" s="127" t="s">
        <v>1344</v>
      </c>
    </row>
    <row r="1828" spans="1:9" x14ac:dyDescent="0.2">
      <c r="A1828" s="127" t="s">
        <v>4021</v>
      </c>
      <c r="B1828" s="127" t="s">
        <v>4022</v>
      </c>
      <c r="C1828" s="127" t="s">
        <v>17</v>
      </c>
      <c r="D1828" s="127"/>
      <c r="E1828" s="127"/>
      <c r="F1828" s="128"/>
      <c r="G1828" s="128"/>
      <c r="H1828" s="128"/>
      <c r="I1828" s="127" t="s">
        <v>1344</v>
      </c>
    </row>
    <row r="1829" spans="1:9" x14ac:dyDescent="0.2">
      <c r="A1829" s="127" t="s">
        <v>4023</v>
      </c>
      <c r="B1829" s="127" t="s">
        <v>4024</v>
      </c>
      <c r="C1829" s="127" t="s">
        <v>17</v>
      </c>
      <c r="D1829" s="127"/>
      <c r="E1829" s="127"/>
      <c r="F1829" s="128"/>
      <c r="G1829" s="128"/>
      <c r="H1829" s="128"/>
      <c r="I1829" s="127" t="s">
        <v>1344</v>
      </c>
    </row>
    <row r="1830" spans="1:9" x14ac:dyDescent="0.2">
      <c r="A1830" s="127" t="s">
        <v>2932</v>
      </c>
      <c r="B1830" s="127" t="s">
        <v>4025</v>
      </c>
      <c r="C1830" s="127" t="s">
        <v>46</v>
      </c>
      <c r="D1830" s="127"/>
      <c r="E1830" s="127"/>
      <c r="F1830" s="128"/>
      <c r="G1830" s="128"/>
      <c r="H1830" s="128"/>
      <c r="I1830" s="127" t="s">
        <v>1344</v>
      </c>
    </row>
    <row r="1831" spans="1:9" x14ac:dyDescent="0.2">
      <c r="A1831" s="127" t="s">
        <v>4026</v>
      </c>
      <c r="B1831" s="127" t="s">
        <v>4027</v>
      </c>
      <c r="C1831" s="127" t="s">
        <v>17</v>
      </c>
      <c r="D1831" s="127"/>
      <c r="E1831" s="127"/>
      <c r="F1831" s="128"/>
      <c r="G1831" s="128"/>
      <c r="H1831" s="128"/>
      <c r="I1831" s="127" t="s">
        <v>1344</v>
      </c>
    </row>
    <row r="1832" spans="1:9" x14ac:dyDescent="0.2">
      <c r="A1832" s="127" t="s">
        <v>4028</v>
      </c>
      <c r="B1832" s="127" t="s">
        <v>4029</v>
      </c>
      <c r="C1832" s="127" t="s">
        <v>46</v>
      </c>
      <c r="D1832" s="127"/>
      <c r="E1832" s="127"/>
      <c r="F1832" s="128"/>
      <c r="G1832" s="128"/>
      <c r="H1832" s="128"/>
      <c r="I1832" s="127" t="s">
        <v>1344</v>
      </c>
    </row>
    <row r="1833" spans="1:9" x14ac:dyDescent="0.2">
      <c r="A1833" s="127" t="s">
        <v>4030</v>
      </c>
      <c r="B1833" s="127" t="s">
        <v>4031</v>
      </c>
      <c r="C1833" s="127" t="s">
        <v>46</v>
      </c>
      <c r="D1833" s="127"/>
      <c r="E1833" s="127"/>
      <c r="F1833" s="128"/>
      <c r="G1833" s="128"/>
      <c r="H1833" s="128"/>
      <c r="I1833" s="127" t="s">
        <v>1344</v>
      </c>
    </row>
    <row r="1834" spans="1:9" x14ac:dyDescent="0.2">
      <c r="A1834" s="127" t="s">
        <v>4032</v>
      </c>
      <c r="B1834" s="127" t="s">
        <v>4033</v>
      </c>
      <c r="C1834" s="127" t="s">
        <v>46</v>
      </c>
      <c r="D1834" s="127"/>
      <c r="E1834" s="127"/>
      <c r="F1834" s="128"/>
      <c r="G1834" s="128"/>
      <c r="H1834" s="128"/>
      <c r="I1834" s="127" t="s">
        <v>1344</v>
      </c>
    </row>
    <row r="1835" spans="1:9" x14ac:dyDescent="0.2">
      <c r="A1835" s="127" t="s">
        <v>4034</v>
      </c>
      <c r="B1835" s="127" t="s">
        <v>4035</v>
      </c>
      <c r="C1835" s="127" t="s">
        <v>22</v>
      </c>
      <c r="D1835" s="127"/>
      <c r="E1835" s="127"/>
      <c r="F1835" s="128"/>
      <c r="G1835" s="128"/>
      <c r="H1835" s="128"/>
      <c r="I1835" s="127" t="s">
        <v>1344</v>
      </c>
    </row>
    <row r="1836" spans="1:9" x14ac:dyDescent="0.2">
      <c r="A1836" s="127" t="s">
        <v>4036</v>
      </c>
      <c r="B1836" s="127" t="s">
        <v>4037</v>
      </c>
      <c r="C1836" s="127" t="s">
        <v>17</v>
      </c>
      <c r="D1836" s="127"/>
      <c r="E1836" s="127"/>
      <c r="F1836" s="128"/>
      <c r="G1836" s="128"/>
      <c r="H1836" s="128"/>
      <c r="I1836" s="127" t="s">
        <v>1344</v>
      </c>
    </row>
    <row r="1837" spans="1:9" x14ac:dyDescent="0.2">
      <c r="A1837" s="127" t="s">
        <v>4038</v>
      </c>
      <c r="B1837" s="127" t="s">
        <v>4039</v>
      </c>
      <c r="C1837" s="127" t="s">
        <v>17</v>
      </c>
      <c r="D1837" s="127"/>
      <c r="E1837" s="127"/>
      <c r="F1837" s="128"/>
      <c r="G1837" s="128"/>
      <c r="H1837" s="128"/>
      <c r="I1837" s="127" t="s">
        <v>1344</v>
      </c>
    </row>
    <row r="1838" spans="1:9" x14ac:dyDescent="0.2">
      <c r="A1838" s="127" t="s">
        <v>4040</v>
      </c>
      <c r="B1838" s="127" t="s">
        <v>4041</v>
      </c>
      <c r="C1838" s="127" t="s">
        <v>46</v>
      </c>
      <c r="D1838" s="127"/>
      <c r="E1838" s="127"/>
      <c r="F1838" s="128"/>
      <c r="G1838" s="128"/>
      <c r="H1838" s="128"/>
      <c r="I1838" s="127" t="s">
        <v>1344</v>
      </c>
    </row>
    <row r="1839" spans="1:9" x14ac:dyDescent="0.2">
      <c r="A1839" s="127" t="s">
        <v>4042</v>
      </c>
      <c r="B1839" s="127" t="s">
        <v>4043</v>
      </c>
      <c r="C1839" s="127" t="s">
        <v>22</v>
      </c>
      <c r="D1839" s="127"/>
      <c r="E1839" s="127"/>
      <c r="F1839" s="128"/>
      <c r="G1839" s="128"/>
      <c r="H1839" s="128"/>
      <c r="I1839" s="127" t="s">
        <v>1344</v>
      </c>
    </row>
    <row r="1840" spans="1:9" x14ac:dyDescent="0.2">
      <c r="A1840" s="127" t="s">
        <v>4044</v>
      </c>
      <c r="B1840" s="127" t="s">
        <v>4045</v>
      </c>
      <c r="C1840" s="127" t="s">
        <v>22</v>
      </c>
      <c r="D1840" s="127"/>
      <c r="E1840" s="127"/>
      <c r="F1840" s="128"/>
      <c r="G1840" s="128"/>
      <c r="H1840" s="128"/>
      <c r="I1840" s="127" t="s">
        <v>1344</v>
      </c>
    </row>
    <row r="1841" spans="1:9" x14ac:dyDescent="0.2">
      <c r="A1841" s="127" t="s">
        <v>4046</v>
      </c>
      <c r="B1841" s="127" t="s">
        <v>4047</v>
      </c>
      <c r="C1841" s="127" t="s">
        <v>46</v>
      </c>
      <c r="D1841" s="127"/>
      <c r="E1841" s="127"/>
      <c r="F1841" s="128"/>
      <c r="G1841" s="128"/>
      <c r="H1841" s="128"/>
      <c r="I1841" s="127" t="s">
        <v>1344</v>
      </c>
    </row>
    <row r="1842" spans="1:9" x14ac:dyDescent="0.2">
      <c r="A1842" s="127"/>
      <c r="B1842" s="127" t="s">
        <v>4048</v>
      </c>
      <c r="C1842" s="127" t="s">
        <v>22</v>
      </c>
      <c r="D1842" s="127"/>
      <c r="E1842" s="127"/>
      <c r="F1842" s="128"/>
      <c r="G1842" s="128"/>
      <c r="H1842" s="128"/>
      <c r="I1842" s="127" t="s">
        <v>1344</v>
      </c>
    </row>
    <row r="1843" spans="1:9" x14ac:dyDescent="0.2">
      <c r="A1843" s="127" t="s">
        <v>4049</v>
      </c>
      <c r="B1843" s="127" t="s">
        <v>4050</v>
      </c>
      <c r="C1843" s="127" t="s">
        <v>46</v>
      </c>
      <c r="D1843" s="127"/>
      <c r="E1843" s="127"/>
      <c r="F1843" s="128"/>
      <c r="G1843" s="128"/>
      <c r="H1843" s="128"/>
      <c r="I1843" s="127" t="s">
        <v>1344</v>
      </c>
    </row>
    <row r="1844" spans="1:9" x14ac:dyDescent="0.2">
      <c r="A1844" s="127" t="s">
        <v>4051</v>
      </c>
      <c r="B1844" s="127" t="s">
        <v>4052</v>
      </c>
      <c r="C1844" s="127" t="s">
        <v>22</v>
      </c>
      <c r="D1844" s="127"/>
      <c r="E1844" s="127"/>
      <c r="F1844" s="128"/>
      <c r="G1844" s="128"/>
      <c r="H1844" s="128"/>
      <c r="I1844" s="127" t="s">
        <v>1344</v>
      </c>
    </row>
    <row r="1845" spans="1:9" x14ac:dyDescent="0.2">
      <c r="A1845" s="127" t="s">
        <v>4053</v>
      </c>
      <c r="B1845" s="127" t="s">
        <v>4054</v>
      </c>
      <c r="C1845" s="127" t="s">
        <v>17</v>
      </c>
      <c r="D1845" s="127"/>
      <c r="E1845" s="127"/>
      <c r="F1845" s="128"/>
      <c r="G1845" s="128"/>
      <c r="H1845" s="128"/>
      <c r="I1845" s="127" t="s">
        <v>1344</v>
      </c>
    </row>
    <row r="1846" spans="1:9" x14ac:dyDescent="0.2">
      <c r="A1846" s="127" t="s">
        <v>4055</v>
      </c>
      <c r="B1846" s="127" t="s">
        <v>4056</v>
      </c>
      <c r="C1846" s="127" t="s">
        <v>46</v>
      </c>
      <c r="D1846" s="127"/>
      <c r="E1846" s="127"/>
      <c r="F1846" s="128"/>
      <c r="G1846" s="128"/>
      <c r="H1846" s="128"/>
      <c r="I1846" s="127" t="s">
        <v>1344</v>
      </c>
    </row>
    <row r="1847" spans="1:9" x14ac:dyDescent="0.2">
      <c r="A1847" s="127" t="s">
        <v>4057</v>
      </c>
      <c r="B1847" s="127" t="s">
        <v>4058</v>
      </c>
      <c r="C1847" s="127" t="s">
        <v>46</v>
      </c>
      <c r="D1847" s="127"/>
      <c r="E1847" s="127"/>
      <c r="F1847" s="128"/>
      <c r="G1847" s="128"/>
      <c r="H1847" s="128"/>
      <c r="I1847" s="127" t="s">
        <v>1344</v>
      </c>
    </row>
    <row r="1848" spans="1:9" x14ac:dyDescent="0.2">
      <c r="A1848" s="127" t="s">
        <v>4059</v>
      </c>
      <c r="B1848" s="127" t="s">
        <v>4060</v>
      </c>
      <c r="C1848" s="127" t="s">
        <v>22</v>
      </c>
      <c r="D1848" s="127"/>
      <c r="E1848" s="127"/>
      <c r="F1848" s="128"/>
      <c r="G1848" s="128"/>
      <c r="H1848" s="128"/>
      <c r="I1848" s="127" t="s">
        <v>1344</v>
      </c>
    </row>
    <row r="1849" spans="1:9" x14ac:dyDescent="0.2">
      <c r="A1849" s="127" t="s">
        <v>4061</v>
      </c>
      <c r="B1849" s="127" t="s">
        <v>4062</v>
      </c>
      <c r="C1849" s="127" t="s">
        <v>17</v>
      </c>
      <c r="D1849" s="127"/>
      <c r="E1849" s="127"/>
      <c r="F1849" s="128"/>
      <c r="G1849" s="128"/>
      <c r="H1849" s="128"/>
      <c r="I1849" s="127" t="s">
        <v>1344</v>
      </c>
    </row>
    <row r="1850" spans="1:9" x14ac:dyDescent="0.2">
      <c r="A1850" s="127" t="s">
        <v>4063</v>
      </c>
      <c r="B1850" s="127" t="s">
        <v>4064</v>
      </c>
      <c r="C1850" s="127" t="s">
        <v>46</v>
      </c>
      <c r="D1850" s="127"/>
      <c r="E1850" s="127"/>
      <c r="F1850" s="128"/>
      <c r="G1850" s="128"/>
      <c r="H1850" s="128"/>
      <c r="I1850" s="127" t="s">
        <v>1344</v>
      </c>
    </row>
    <row r="1851" spans="1:9" x14ac:dyDescent="0.2">
      <c r="A1851" s="127" t="s">
        <v>4065</v>
      </c>
      <c r="B1851" s="127" t="s">
        <v>4066</v>
      </c>
      <c r="C1851" s="127" t="s">
        <v>46</v>
      </c>
      <c r="D1851" s="127"/>
      <c r="E1851" s="127"/>
      <c r="F1851" s="128"/>
      <c r="G1851" s="128"/>
      <c r="H1851" s="128"/>
      <c r="I1851" s="127" t="s">
        <v>1344</v>
      </c>
    </row>
    <row r="1852" spans="1:9" x14ac:dyDescent="0.2">
      <c r="A1852" s="127" t="s">
        <v>4067</v>
      </c>
      <c r="B1852" s="127" t="s">
        <v>4068</v>
      </c>
      <c r="C1852" s="127" t="s">
        <v>46</v>
      </c>
      <c r="D1852" s="127"/>
      <c r="E1852" s="127"/>
      <c r="F1852" s="128"/>
      <c r="G1852" s="128"/>
      <c r="H1852" s="128"/>
      <c r="I1852" s="127" t="s">
        <v>1344</v>
      </c>
    </row>
    <row r="1853" spans="1:9" x14ac:dyDescent="0.2">
      <c r="A1853" s="127" t="s">
        <v>4069</v>
      </c>
      <c r="B1853" s="127" t="s">
        <v>4070</v>
      </c>
      <c r="C1853" s="127" t="s">
        <v>46</v>
      </c>
      <c r="D1853" s="127"/>
      <c r="E1853" s="127"/>
      <c r="F1853" s="128"/>
      <c r="G1853" s="128"/>
      <c r="H1853" s="128"/>
      <c r="I1853" s="127" t="s">
        <v>1344</v>
      </c>
    </row>
    <row r="1854" spans="1:9" x14ac:dyDescent="0.2">
      <c r="A1854" s="127" t="s">
        <v>4071</v>
      </c>
      <c r="B1854" s="127" t="s">
        <v>4072</v>
      </c>
      <c r="C1854" s="127" t="s">
        <v>46</v>
      </c>
      <c r="D1854" s="127"/>
      <c r="E1854" s="127"/>
      <c r="F1854" s="128"/>
      <c r="G1854" s="128"/>
      <c r="H1854" s="128"/>
      <c r="I1854" s="127" t="s">
        <v>1344</v>
      </c>
    </row>
    <row r="1855" spans="1:9" x14ac:dyDescent="0.2">
      <c r="A1855" s="127" t="s">
        <v>4073</v>
      </c>
      <c r="B1855" s="127" t="s">
        <v>4074</v>
      </c>
      <c r="C1855" s="127" t="s">
        <v>46</v>
      </c>
      <c r="D1855" s="127"/>
      <c r="E1855" s="127"/>
      <c r="F1855" s="128"/>
      <c r="G1855" s="128"/>
      <c r="H1855" s="128"/>
      <c r="I1855" s="127" t="s">
        <v>1344</v>
      </c>
    </row>
    <row r="1856" spans="1:9" x14ac:dyDescent="0.2">
      <c r="A1856" s="127"/>
      <c r="B1856" s="127" t="s">
        <v>4075</v>
      </c>
      <c r="C1856" s="127" t="s">
        <v>17</v>
      </c>
      <c r="D1856" s="127"/>
      <c r="E1856" s="127"/>
      <c r="F1856" s="128"/>
      <c r="G1856" s="128"/>
      <c r="H1856" s="128"/>
      <c r="I1856" s="127" t="s">
        <v>1344</v>
      </c>
    </row>
    <row r="1857" spans="1:9" x14ac:dyDescent="0.2">
      <c r="A1857" s="127" t="s">
        <v>4076</v>
      </c>
      <c r="B1857" s="127" t="s">
        <v>4077</v>
      </c>
      <c r="C1857" s="127" t="s">
        <v>46</v>
      </c>
      <c r="D1857" s="127"/>
      <c r="E1857" s="127"/>
      <c r="F1857" s="128"/>
      <c r="G1857" s="128"/>
      <c r="H1857" s="128"/>
      <c r="I1857" s="127" t="s">
        <v>1344</v>
      </c>
    </row>
    <row r="1858" spans="1:9" x14ac:dyDescent="0.2">
      <c r="A1858" s="127" t="s">
        <v>4078</v>
      </c>
      <c r="B1858" s="127" t="s">
        <v>4079</v>
      </c>
      <c r="C1858" s="127" t="s">
        <v>17</v>
      </c>
      <c r="D1858" s="127"/>
      <c r="E1858" s="127"/>
      <c r="F1858" s="128"/>
      <c r="G1858" s="128"/>
      <c r="H1858" s="128"/>
      <c r="I1858" s="127" t="s">
        <v>1344</v>
      </c>
    </row>
    <row r="1859" spans="1:9" x14ac:dyDescent="0.2">
      <c r="A1859" s="127" t="s">
        <v>4080</v>
      </c>
      <c r="B1859" s="127" t="s">
        <v>4081</v>
      </c>
      <c r="C1859" s="127" t="s">
        <v>46</v>
      </c>
      <c r="D1859" s="127"/>
      <c r="E1859" s="127"/>
      <c r="F1859" s="128"/>
      <c r="G1859" s="128"/>
      <c r="H1859" s="128"/>
      <c r="I1859" s="127" t="s">
        <v>1344</v>
      </c>
    </row>
    <row r="1860" spans="1:9" x14ac:dyDescent="0.2">
      <c r="A1860" s="127" t="s">
        <v>4082</v>
      </c>
      <c r="B1860" s="127" t="s">
        <v>4083</v>
      </c>
      <c r="C1860" s="127" t="s">
        <v>46</v>
      </c>
      <c r="D1860" s="127"/>
      <c r="E1860" s="127"/>
      <c r="F1860" s="128"/>
      <c r="G1860" s="128"/>
      <c r="H1860" s="128"/>
      <c r="I1860" s="127" t="s">
        <v>1344</v>
      </c>
    </row>
    <row r="1861" spans="1:9" x14ac:dyDescent="0.2">
      <c r="A1861" s="127" t="s">
        <v>4084</v>
      </c>
      <c r="B1861" s="127" t="s">
        <v>4085</v>
      </c>
      <c r="C1861" s="127" t="s">
        <v>46</v>
      </c>
      <c r="D1861" s="127"/>
      <c r="E1861" s="127"/>
      <c r="F1861" s="128"/>
      <c r="G1861" s="128"/>
      <c r="H1861" s="128"/>
      <c r="I1861" s="127" t="s">
        <v>1344</v>
      </c>
    </row>
    <row r="1862" spans="1:9" x14ac:dyDescent="0.2">
      <c r="A1862" s="127" t="s">
        <v>4084</v>
      </c>
      <c r="B1862" s="127" t="s">
        <v>4085</v>
      </c>
      <c r="C1862" s="127" t="s">
        <v>46</v>
      </c>
      <c r="D1862" s="127"/>
      <c r="E1862" s="127"/>
      <c r="F1862" s="128"/>
      <c r="G1862" s="128"/>
      <c r="H1862" s="128"/>
      <c r="I1862" s="127" t="s">
        <v>1344</v>
      </c>
    </row>
    <row r="1863" spans="1:9" x14ac:dyDescent="0.2">
      <c r="A1863" s="127" t="s">
        <v>4086</v>
      </c>
      <c r="B1863" s="127" t="s">
        <v>4087</v>
      </c>
      <c r="C1863" s="127" t="s">
        <v>17</v>
      </c>
      <c r="D1863" s="127"/>
      <c r="E1863" s="127"/>
      <c r="F1863" s="128"/>
      <c r="G1863" s="128"/>
      <c r="H1863" s="128"/>
      <c r="I1863" s="127" t="s">
        <v>1344</v>
      </c>
    </row>
    <row r="1864" spans="1:9" x14ac:dyDescent="0.2">
      <c r="A1864" s="127" t="s">
        <v>4088</v>
      </c>
      <c r="B1864" s="127" t="s">
        <v>4089</v>
      </c>
      <c r="C1864" s="127" t="s">
        <v>22</v>
      </c>
      <c r="D1864" s="127"/>
      <c r="E1864" s="127"/>
      <c r="F1864" s="128"/>
      <c r="G1864" s="128"/>
      <c r="H1864" s="128"/>
      <c r="I1864" s="127" t="s">
        <v>1344</v>
      </c>
    </row>
    <row r="1865" spans="1:9" x14ac:dyDescent="0.2">
      <c r="A1865" s="127" t="s">
        <v>4090</v>
      </c>
      <c r="B1865" s="127" t="s">
        <v>4091</v>
      </c>
      <c r="C1865" s="127" t="s">
        <v>17</v>
      </c>
      <c r="D1865" s="127"/>
      <c r="E1865" s="127"/>
      <c r="F1865" s="128"/>
      <c r="G1865" s="128"/>
      <c r="H1865" s="128"/>
      <c r="I1865" s="127" t="s">
        <v>1344</v>
      </c>
    </row>
    <row r="1866" spans="1:9" x14ac:dyDescent="0.2">
      <c r="A1866" s="127" t="s">
        <v>4092</v>
      </c>
      <c r="B1866" s="127" t="s">
        <v>4093</v>
      </c>
      <c r="C1866" s="127" t="s">
        <v>46</v>
      </c>
      <c r="D1866" s="127"/>
      <c r="E1866" s="127"/>
      <c r="F1866" s="128"/>
      <c r="G1866" s="128"/>
      <c r="H1866" s="128"/>
      <c r="I1866" s="127" t="s">
        <v>1344</v>
      </c>
    </row>
    <row r="1867" spans="1:9" x14ac:dyDescent="0.2">
      <c r="A1867" s="127" t="s">
        <v>4094</v>
      </c>
      <c r="B1867" s="127" t="s">
        <v>4095</v>
      </c>
      <c r="C1867" s="127" t="s">
        <v>17</v>
      </c>
      <c r="D1867" s="127"/>
      <c r="E1867" s="127"/>
      <c r="F1867" s="128"/>
      <c r="G1867" s="128"/>
      <c r="H1867" s="128"/>
      <c r="I1867" s="127" t="s">
        <v>1344</v>
      </c>
    </row>
    <row r="1868" spans="1:9" x14ac:dyDescent="0.2">
      <c r="A1868" s="127" t="s">
        <v>4096</v>
      </c>
      <c r="B1868" s="127" t="s">
        <v>4097</v>
      </c>
      <c r="C1868" s="127" t="s">
        <v>46</v>
      </c>
      <c r="D1868" s="127"/>
      <c r="E1868" s="127"/>
      <c r="F1868" s="128"/>
      <c r="G1868" s="128"/>
      <c r="H1868" s="128"/>
      <c r="I1868" s="127" t="s">
        <v>1344</v>
      </c>
    </row>
    <row r="1869" spans="1:9" x14ac:dyDescent="0.2">
      <c r="A1869" s="127" t="s">
        <v>4098</v>
      </c>
      <c r="B1869" s="127" t="s">
        <v>4099</v>
      </c>
      <c r="C1869" s="127" t="s">
        <v>17</v>
      </c>
      <c r="D1869" s="127"/>
      <c r="E1869" s="127"/>
      <c r="F1869" s="128"/>
      <c r="G1869" s="128"/>
      <c r="H1869" s="128"/>
      <c r="I1869" s="127" t="s">
        <v>1344</v>
      </c>
    </row>
    <row r="1870" spans="1:9" x14ac:dyDescent="0.2">
      <c r="A1870" s="127" t="s">
        <v>4100</v>
      </c>
      <c r="B1870" s="127" t="s">
        <v>4101</v>
      </c>
      <c r="C1870" s="127" t="s">
        <v>46</v>
      </c>
      <c r="D1870" s="127"/>
      <c r="E1870" s="127"/>
      <c r="F1870" s="128"/>
      <c r="G1870" s="128"/>
      <c r="H1870" s="128"/>
      <c r="I1870" s="127" t="s">
        <v>1344</v>
      </c>
    </row>
    <row r="1871" spans="1:9" x14ac:dyDescent="0.2">
      <c r="A1871" s="127" t="s">
        <v>4102</v>
      </c>
      <c r="B1871" s="127" t="s">
        <v>4103</v>
      </c>
      <c r="C1871" s="127" t="s">
        <v>46</v>
      </c>
      <c r="D1871" s="127"/>
      <c r="E1871" s="127"/>
      <c r="F1871" s="128"/>
      <c r="G1871" s="128"/>
      <c r="H1871" s="128"/>
      <c r="I1871" s="127" t="s">
        <v>1344</v>
      </c>
    </row>
    <row r="1872" spans="1:9" x14ac:dyDescent="0.2">
      <c r="A1872" s="127" t="s">
        <v>4104</v>
      </c>
      <c r="B1872" s="127" t="s">
        <v>4105</v>
      </c>
      <c r="C1872" s="127" t="s">
        <v>46</v>
      </c>
      <c r="D1872" s="127"/>
      <c r="E1872" s="127"/>
      <c r="F1872" s="128"/>
      <c r="G1872" s="128"/>
      <c r="H1872" s="128"/>
      <c r="I1872" s="127" t="s">
        <v>1344</v>
      </c>
    </row>
    <row r="1873" spans="1:9" x14ac:dyDescent="0.2">
      <c r="A1873" s="127" t="s">
        <v>1862</v>
      </c>
      <c r="B1873" s="127" t="s">
        <v>4106</v>
      </c>
      <c r="C1873" s="127" t="s">
        <v>22</v>
      </c>
      <c r="D1873" s="127"/>
      <c r="E1873" s="127"/>
      <c r="F1873" s="128"/>
      <c r="G1873" s="128"/>
      <c r="H1873" s="128"/>
      <c r="I1873" s="127" t="s">
        <v>1344</v>
      </c>
    </row>
    <row r="1874" spans="1:9" x14ac:dyDescent="0.2">
      <c r="A1874" s="127" t="s">
        <v>4107</v>
      </c>
      <c r="B1874" s="127" t="s">
        <v>4108</v>
      </c>
      <c r="C1874" s="127" t="s">
        <v>22</v>
      </c>
      <c r="D1874" s="127"/>
      <c r="E1874" s="127"/>
      <c r="F1874" s="128"/>
      <c r="G1874" s="128"/>
      <c r="H1874" s="128"/>
      <c r="I1874" s="127" t="s">
        <v>1344</v>
      </c>
    </row>
    <row r="1875" spans="1:9" x14ac:dyDescent="0.2">
      <c r="A1875" s="127" t="s">
        <v>2837</v>
      </c>
      <c r="B1875" s="127" t="s">
        <v>4109</v>
      </c>
      <c r="C1875" s="127" t="s">
        <v>17</v>
      </c>
      <c r="D1875" s="127"/>
      <c r="E1875" s="127"/>
      <c r="F1875" s="128"/>
      <c r="G1875" s="128"/>
      <c r="H1875" s="128"/>
      <c r="I1875" s="127" t="s">
        <v>1344</v>
      </c>
    </row>
    <row r="1876" spans="1:9" x14ac:dyDescent="0.2">
      <c r="A1876" s="127" t="s">
        <v>4110</v>
      </c>
      <c r="B1876" s="127" t="s">
        <v>4111</v>
      </c>
      <c r="C1876" s="127" t="s">
        <v>17</v>
      </c>
      <c r="D1876" s="127"/>
      <c r="E1876" s="127"/>
      <c r="F1876" s="128"/>
      <c r="G1876" s="128"/>
      <c r="H1876" s="128"/>
      <c r="I1876" s="127" t="s">
        <v>1344</v>
      </c>
    </row>
    <row r="1877" spans="1:9" x14ac:dyDescent="0.2">
      <c r="A1877" s="127" t="s">
        <v>4112</v>
      </c>
      <c r="B1877" s="127"/>
      <c r="C1877" s="127" t="s">
        <v>17</v>
      </c>
      <c r="D1877" s="127"/>
      <c r="E1877" s="127"/>
      <c r="F1877" s="128"/>
      <c r="G1877" s="128"/>
      <c r="H1877" s="128"/>
      <c r="I1877" s="127" t="s">
        <v>1344</v>
      </c>
    </row>
    <row r="1878" spans="1:9" x14ac:dyDescent="0.2">
      <c r="A1878" s="127"/>
      <c r="B1878" s="127" t="s">
        <v>4113</v>
      </c>
      <c r="C1878" s="127" t="s">
        <v>46</v>
      </c>
      <c r="D1878" s="127"/>
      <c r="E1878" s="127"/>
      <c r="F1878" s="128"/>
      <c r="G1878" s="128"/>
      <c r="H1878" s="128"/>
      <c r="I1878" s="127" t="s">
        <v>1344</v>
      </c>
    </row>
    <row r="1879" spans="1:9" x14ac:dyDescent="0.2">
      <c r="A1879" s="127" t="s">
        <v>4114</v>
      </c>
      <c r="B1879" s="127" t="s">
        <v>4115</v>
      </c>
      <c r="C1879" s="127" t="s">
        <v>46</v>
      </c>
      <c r="D1879" s="127"/>
      <c r="E1879" s="127"/>
      <c r="F1879" s="128"/>
      <c r="G1879" s="128"/>
      <c r="H1879" s="128"/>
      <c r="I1879" s="127" t="s">
        <v>1344</v>
      </c>
    </row>
    <row r="1880" spans="1:9" x14ac:dyDescent="0.2">
      <c r="A1880" s="127" t="s">
        <v>4116</v>
      </c>
      <c r="B1880" s="127" t="s">
        <v>4117</v>
      </c>
      <c r="C1880" s="127" t="s">
        <v>46</v>
      </c>
      <c r="D1880" s="127"/>
      <c r="E1880" s="127"/>
      <c r="F1880" s="128"/>
      <c r="G1880" s="128"/>
      <c r="H1880" s="128"/>
      <c r="I1880" s="127" t="s">
        <v>1344</v>
      </c>
    </row>
    <row r="1881" spans="1:9" x14ac:dyDescent="0.2">
      <c r="A1881" s="127" t="s">
        <v>4118</v>
      </c>
      <c r="B1881" s="127" t="s">
        <v>4119</v>
      </c>
      <c r="C1881" s="127" t="s">
        <v>22</v>
      </c>
      <c r="D1881" s="127"/>
      <c r="E1881" s="127"/>
      <c r="F1881" s="128"/>
      <c r="G1881" s="128"/>
      <c r="H1881" s="128"/>
      <c r="I1881" s="127" t="s">
        <v>1344</v>
      </c>
    </row>
    <row r="1882" spans="1:9" x14ac:dyDescent="0.2">
      <c r="A1882" s="127" t="s">
        <v>3704</v>
      </c>
      <c r="B1882" s="127" t="s">
        <v>4120</v>
      </c>
      <c r="C1882" s="127" t="s">
        <v>22</v>
      </c>
      <c r="D1882" s="127"/>
      <c r="E1882" s="127"/>
      <c r="F1882" s="128"/>
      <c r="G1882" s="128"/>
      <c r="H1882" s="128"/>
      <c r="I1882" s="127" t="s">
        <v>1344</v>
      </c>
    </row>
    <row r="1883" spans="1:9" x14ac:dyDescent="0.2">
      <c r="A1883" s="127" t="s">
        <v>4121</v>
      </c>
      <c r="B1883" s="127" t="s">
        <v>4122</v>
      </c>
      <c r="C1883" s="127" t="s">
        <v>17</v>
      </c>
      <c r="D1883" s="127"/>
      <c r="E1883" s="127"/>
      <c r="F1883" s="128"/>
      <c r="G1883" s="128"/>
      <c r="H1883" s="128"/>
      <c r="I1883" s="127" t="s">
        <v>1344</v>
      </c>
    </row>
    <row r="1884" spans="1:9" x14ac:dyDescent="0.2">
      <c r="A1884" s="127" t="s">
        <v>4123</v>
      </c>
      <c r="B1884" s="127" t="s">
        <v>4124</v>
      </c>
      <c r="C1884" s="127" t="s">
        <v>46</v>
      </c>
      <c r="D1884" s="127"/>
      <c r="E1884" s="127"/>
      <c r="F1884" s="128"/>
      <c r="G1884" s="128"/>
      <c r="H1884" s="128"/>
      <c r="I1884" s="127" t="s">
        <v>1344</v>
      </c>
    </row>
    <row r="1885" spans="1:9" x14ac:dyDescent="0.2">
      <c r="A1885" s="127" t="s">
        <v>4125</v>
      </c>
      <c r="B1885" s="127" t="s">
        <v>4126</v>
      </c>
      <c r="C1885" s="127" t="s">
        <v>22</v>
      </c>
      <c r="D1885" s="127"/>
      <c r="E1885" s="127"/>
      <c r="F1885" s="128"/>
      <c r="G1885" s="128"/>
      <c r="H1885" s="128"/>
      <c r="I1885" s="127" t="s">
        <v>1344</v>
      </c>
    </row>
    <row r="1886" spans="1:9" x14ac:dyDescent="0.2">
      <c r="A1886" s="127" t="s">
        <v>4127</v>
      </c>
      <c r="B1886" s="127" t="s">
        <v>4128</v>
      </c>
      <c r="C1886" s="127" t="s">
        <v>22</v>
      </c>
      <c r="D1886" s="127"/>
      <c r="E1886" s="127"/>
      <c r="F1886" s="128"/>
      <c r="G1886" s="128"/>
      <c r="H1886" s="128"/>
      <c r="I1886" s="127" t="s">
        <v>1344</v>
      </c>
    </row>
    <row r="1887" spans="1:9" x14ac:dyDescent="0.2">
      <c r="A1887" s="127"/>
      <c r="B1887" s="127" t="s">
        <v>4129</v>
      </c>
      <c r="C1887" s="127" t="s">
        <v>22</v>
      </c>
      <c r="D1887" s="127"/>
      <c r="E1887" s="127"/>
      <c r="F1887" s="128"/>
      <c r="G1887" s="128"/>
      <c r="H1887" s="128"/>
      <c r="I1887" s="127" t="s">
        <v>1344</v>
      </c>
    </row>
    <row r="1888" spans="1:9" x14ac:dyDescent="0.2">
      <c r="A1888" s="127" t="s">
        <v>4130</v>
      </c>
      <c r="B1888" s="127" t="s">
        <v>4131</v>
      </c>
      <c r="C1888" s="127" t="s">
        <v>46</v>
      </c>
      <c r="D1888" s="127"/>
      <c r="E1888" s="127"/>
      <c r="F1888" s="128"/>
      <c r="G1888" s="128"/>
      <c r="H1888" s="128"/>
      <c r="I1888" s="127" t="s">
        <v>1344</v>
      </c>
    </row>
    <row r="1889" spans="1:9" x14ac:dyDescent="0.2">
      <c r="A1889" s="127"/>
      <c r="B1889" s="127" t="s">
        <v>4132</v>
      </c>
      <c r="C1889" s="127" t="s">
        <v>46</v>
      </c>
      <c r="D1889" s="127"/>
      <c r="E1889" s="127"/>
      <c r="F1889" s="128"/>
      <c r="G1889" s="128"/>
      <c r="H1889" s="128"/>
      <c r="I1889" s="127" t="s">
        <v>1344</v>
      </c>
    </row>
    <row r="1890" spans="1:9" x14ac:dyDescent="0.2">
      <c r="A1890" s="127" t="s">
        <v>4133</v>
      </c>
      <c r="B1890" s="127" t="s">
        <v>4134</v>
      </c>
      <c r="C1890" s="127" t="s">
        <v>46</v>
      </c>
      <c r="D1890" s="127"/>
      <c r="E1890" s="127"/>
      <c r="F1890" s="128"/>
      <c r="G1890" s="128"/>
      <c r="H1890" s="128"/>
      <c r="I1890" s="127" t="s">
        <v>1344</v>
      </c>
    </row>
    <row r="1891" spans="1:9" x14ac:dyDescent="0.2">
      <c r="A1891" s="127" t="s">
        <v>4135</v>
      </c>
      <c r="B1891" s="127" t="s">
        <v>4136</v>
      </c>
      <c r="C1891" s="127" t="s">
        <v>22</v>
      </c>
      <c r="D1891" s="127"/>
      <c r="E1891" s="127"/>
      <c r="F1891" s="128"/>
      <c r="G1891" s="128"/>
      <c r="H1891" s="128"/>
      <c r="I1891" s="127" t="s">
        <v>1344</v>
      </c>
    </row>
    <row r="1892" spans="1:9" x14ac:dyDescent="0.2">
      <c r="A1892" s="127" t="s">
        <v>4137</v>
      </c>
      <c r="B1892" s="127" t="s">
        <v>4138</v>
      </c>
      <c r="C1892" s="127" t="s">
        <v>22</v>
      </c>
      <c r="D1892" s="127"/>
      <c r="E1892" s="127"/>
      <c r="F1892" s="128"/>
      <c r="G1892" s="128"/>
      <c r="H1892" s="128"/>
      <c r="I1892" s="127" t="s">
        <v>1344</v>
      </c>
    </row>
    <row r="1893" spans="1:9" x14ac:dyDescent="0.2">
      <c r="A1893" s="127" t="s">
        <v>4139</v>
      </c>
      <c r="B1893" s="127" t="s">
        <v>4140</v>
      </c>
      <c r="C1893" s="127" t="s">
        <v>46</v>
      </c>
      <c r="D1893" s="127"/>
      <c r="E1893" s="127"/>
      <c r="F1893" s="128"/>
      <c r="G1893" s="128"/>
      <c r="H1893" s="128"/>
      <c r="I1893" s="127" t="s">
        <v>1344</v>
      </c>
    </row>
    <row r="1894" spans="1:9" x14ac:dyDescent="0.2">
      <c r="A1894" s="127" t="s">
        <v>4141</v>
      </c>
      <c r="B1894" s="127" t="s">
        <v>4142</v>
      </c>
      <c r="C1894" s="127" t="s">
        <v>17</v>
      </c>
      <c r="D1894" s="127"/>
      <c r="E1894" s="127"/>
      <c r="F1894" s="128"/>
      <c r="G1894" s="128"/>
      <c r="H1894" s="128"/>
      <c r="I1894" s="127" t="s">
        <v>1344</v>
      </c>
    </row>
    <row r="1895" spans="1:9" x14ac:dyDescent="0.2">
      <c r="A1895" s="127" t="s">
        <v>4143</v>
      </c>
      <c r="B1895" s="127" t="s">
        <v>4144</v>
      </c>
      <c r="C1895" s="127" t="s">
        <v>17</v>
      </c>
      <c r="D1895" s="127"/>
      <c r="E1895" s="127"/>
      <c r="F1895" s="128"/>
      <c r="G1895" s="128"/>
      <c r="H1895" s="128"/>
      <c r="I1895" s="127" t="s">
        <v>1344</v>
      </c>
    </row>
    <row r="1896" spans="1:9" x14ac:dyDescent="0.2">
      <c r="A1896" s="127" t="s">
        <v>4145</v>
      </c>
      <c r="B1896" s="127" t="s">
        <v>4146</v>
      </c>
      <c r="C1896" s="127" t="s">
        <v>17</v>
      </c>
      <c r="D1896" s="127"/>
      <c r="E1896" s="127"/>
      <c r="F1896" s="128"/>
      <c r="G1896" s="128"/>
      <c r="H1896" s="128"/>
      <c r="I1896" s="127" t="s">
        <v>1344</v>
      </c>
    </row>
    <row r="1897" spans="1:9" x14ac:dyDescent="0.2">
      <c r="A1897" s="127" t="s">
        <v>4147</v>
      </c>
      <c r="B1897" s="127" t="s">
        <v>4148</v>
      </c>
      <c r="C1897" s="127" t="s">
        <v>46</v>
      </c>
      <c r="D1897" s="127"/>
      <c r="E1897" s="127"/>
      <c r="F1897" s="128"/>
      <c r="G1897" s="128"/>
      <c r="H1897" s="128"/>
      <c r="I1897" s="127" t="s">
        <v>1344</v>
      </c>
    </row>
    <row r="1898" spans="1:9" x14ac:dyDescent="0.2">
      <c r="A1898" s="127" t="s">
        <v>4149</v>
      </c>
      <c r="B1898" s="127" t="s">
        <v>4150</v>
      </c>
      <c r="C1898" s="127" t="s">
        <v>46</v>
      </c>
      <c r="D1898" s="127"/>
      <c r="E1898" s="127"/>
      <c r="F1898" s="128"/>
      <c r="G1898" s="128"/>
      <c r="H1898" s="128"/>
      <c r="I1898" s="127" t="s">
        <v>1344</v>
      </c>
    </row>
    <row r="1899" spans="1:9" x14ac:dyDescent="0.2">
      <c r="A1899" s="127" t="s">
        <v>4151</v>
      </c>
      <c r="B1899" s="127" t="s">
        <v>4152</v>
      </c>
      <c r="C1899" s="127" t="s">
        <v>46</v>
      </c>
      <c r="D1899" s="127"/>
      <c r="E1899" s="127"/>
      <c r="F1899" s="128"/>
      <c r="G1899" s="128"/>
      <c r="H1899" s="128"/>
      <c r="I1899" s="127" t="s">
        <v>1344</v>
      </c>
    </row>
    <row r="1900" spans="1:9" x14ac:dyDescent="0.2">
      <c r="A1900" s="127" t="s">
        <v>4153</v>
      </c>
      <c r="B1900" s="127" t="s">
        <v>4154</v>
      </c>
      <c r="C1900" s="127" t="s">
        <v>22</v>
      </c>
      <c r="D1900" s="127"/>
      <c r="E1900" s="127"/>
      <c r="F1900" s="128"/>
      <c r="G1900" s="128"/>
      <c r="H1900" s="128"/>
      <c r="I1900" s="127" t="s">
        <v>1344</v>
      </c>
    </row>
    <row r="1901" spans="1:9" x14ac:dyDescent="0.2">
      <c r="A1901" s="127" t="s">
        <v>4155</v>
      </c>
      <c r="B1901" s="127" t="s">
        <v>4156</v>
      </c>
      <c r="C1901" s="127" t="s">
        <v>22</v>
      </c>
      <c r="D1901" s="127"/>
      <c r="E1901" s="127"/>
      <c r="F1901" s="128"/>
      <c r="G1901" s="128"/>
      <c r="H1901" s="128"/>
      <c r="I1901" s="127" t="s">
        <v>1344</v>
      </c>
    </row>
    <row r="1902" spans="1:9" x14ac:dyDescent="0.2">
      <c r="A1902" s="127" t="s">
        <v>4157</v>
      </c>
      <c r="B1902" s="127" t="s">
        <v>4158</v>
      </c>
      <c r="C1902" s="127" t="s">
        <v>17</v>
      </c>
      <c r="D1902" s="127"/>
      <c r="E1902" s="127"/>
      <c r="F1902" s="128"/>
      <c r="G1902" s="128"/>
      <c r="H1902" s="128"/>
      <c r="I1902" s="127" t="s">
        <v>1344</v>
      </c>
    </row>
    <row r="1903" spans="1:9" x14ac:dyDescent="0.2">
      <c r="A1903" s="127" t="s">
        <v>4159</v>
      </c>
      <c r="B1903" s="127" t="s">
        <v>4160</v>
      </c>
      <c r="C1903" s="127" t="s">
        <v>46</v>
      </c>
      <c r="D1903" s="127"/>
      <c r="E1903" s="127"/>
      <c r="F1903" s="128"/>
      <c r="G1903" s="128"/>
      <c r="H1903" s="128"/>
      <c r="I1903" s="127" t="s">
        <v>1344</v>
      </c>
    </row>
    <row r="1904" spans="1:9" x14ac:dyDescent="0.2">
      <c r="A1904" s="127" t="s">
        <v>1862</v>
      </c>
      <c r="B1904" s="127" t="s">
        <v>4161</v>
      </c>
      <c r="C1904" s="127" t="s">
        <v>22</v>
      </c>
      <c r="D1904" s="127"/>
      <c r="E1904" s="127"/>
      <c r="F1904" s="128"/>
      <c r="G1904" s="128"/>
      <c r="H1904" s="128"/>
      <c r="I1904" s="127" t="s">
        <v>1344</v>
      </c>
    </row>
    <row r="1905" spans="1:9" x14ac:dyDescent="0.2">
      <c r="A1905" s="127" t="s">
        <v>4162</v>
      </c>
      <c r="B1905" s="127" t="s">
        <v>4163</v>
      </c>
      <c r="C1905" s="127" t="s">
        <v>17</v>
      </c>
      <c r="D1905" s="127"/>
      <c r="E1905" s="127"/>
      <c r="F1905" s="128"/>
      <c r="G1905" s="128"/>
      <c r="H1905" s="128"/>
      <c r="I1905" s="127" t="s">
        <v>1344</v>
      </c>
    </row>
    <row r="1906" spans="1:9" x14ac:dyDescent="0.2">
      <c r="A1906" s="127" t="s">
        <v>4164</v>
      </c>
      <c r="B1906" s="127" t="s">
        <v>4165</v>
      </c>
      <c r="C1906" s="127" t="s">
        <v>17</v>
      </c>
      <c r="D1906" s="127"/>
      <c r="E1906" s="127"/>
      <c r="F1906" s="128"/>
      <c r="G1906" s="128"/>
      <c r="H1906" s="128"/>
      <c r="I1906" s="127" t="s">
        <v>1344</v>
      </c>
    </row>
    <row r="1907" spans="1:9" x14ac:dyDescent="0.2">
      <c r="A1907" s="127" t="s">
        <v>4166</v>
      </c>
      <c r="B1907" s="127" t="s">
        <v>4167</v>
      </c>
      <c r="C1907" s="127" t="s">
        <v>17</v>
      </c>
      <c r="D1907" s="127"/>
      <c r="E1907" s="127"/>
      <c r="F1907" s="128"/>
      <c r="G1907" s="128"/>
      <c r="H1907" s="128"/>
      <c r="I1907" s="127" t="s">
        <v>1344</v>
      </c>
    </row>
    <row r="1908" spans="1:9" x14ac:dyDescent="0.2">
      <c r="A1908" s="127" t="s">
        <v>4168</v>
      </c>
      <c r="B1908" s="127" t="s">
        <v>4169</v>
      </c>
      <c r="C1908" s="127" t="s">
        <v>46</v>
      </c>
      <c r="D1908" s="127"/>
      <c r="E1908" s="127"/>
      <c r="F1908" s="128"/>
      <c r="G1908" s="128"/>
      <c r="H1908" s="128"/>
      <c r="I1908" s="127" t="s">
        <v>1344</v>
      </c>
    </row>
    <row r="1909" spans="1:9" x14ac:dyDescent="0.2">
      <c r="A1909" s="127" t="s">
        <v>3878</v>
      </c>
      <c r="B1909" s="127" t="s">
        <v>4170</v>
      </c>
      <c r="C1909" s="127" t="s">
        <v>17</v>
      </c>
      <c r="D1909" s="127"/>
      <c r="E1909" s="127"/>
      <c r="F1909" s="128"/>
      <c r="G1909" s="128"/>
      <c r="H1909" s="128"/>
      <c r="I1909" s="127" t="s">
        <v>1344</v>
      </c>
    </row>
    <row r="1910" spans="1:9" x14ac:dyDescent="0.2">
      <c r="A1910" s="127"/>
      <c r="B1910" s="127"/>
      <c r="C1910" s="127" t="s">
        <v>46</v>
      </c>
      <c r="D1910" s="127"/>
      <c r="E1910" s="127"/>
      <c r="F1910" s="128"/>
      <c r="G1910" s="128"/>
      <c r="H1910" s="128"/>
      <c r="I1910" s="127" t="s">
        <v>1344</v>
      </c>
    </row>
    <row r="1911" spans="1:9" x14ac:dyDescent="0.2">
      <c r="A1911" s="127" t="s">
        <v>4171</v>
      </c>
      <c r="B1911" s="127" t="s">
        <v>4172</v>
      </c>
      <c r="C1911" s="127" t="s">
        <v>46</v>
      </c>
      <c r="D1911" s="127"/>
      <c r="E1911" s="127"/>
      <c r="F1911" s="128"/>
      <c r="G1911" s="128"/>
      <c r="H1911" s="128"/>
      <c r="I1911" s="127" t="s">
        <v>1344</v>
      </c>
    </row>
    <row r="1912" spans="1:9" x14ac:dyDescent="0.2">
      <c r="A1912" s="127" t="s">
        <v>4173</v>
      </c>
      <c r="B1912" s="127" t="s">
        <v>4174</v>
      </c>
      <c r="C1912" s="127" t="s">
        <v>17</v>
      </c>
      <c r="D1912" s="127"/>
      <c r="E1912" s="127"/>
      <c r="F1912" s="128"/>
      <c r="G1912" s="128"/>
      <c r="H1912" s="128"/>
      <c r="I1912" s="127" t="s">
        <v>1344</v>
      </c>
    </row>
    <row r="1913" spans="1:9" x14ac:dyDescent="0.2">
      <c r="A1913" s="127" t="s">
        <v>4175</v>
      </c>
      <c r="B1913" s="127" t="s">
        <v>4176</v>
      </c>
      <c r="C1913" s="127" t="s">
        <v>22</v>
      </c>
      <c r="D1913" s="127"/>
      <c r="E1913" s="127"/>
      <c r="F1913" s="128"/>
      <c r="G1913" s="128"/>
      <c r="H1913" s="128"/>
      <c r="I1913" s="127" t="s">
        <v>1344</v>
      </c>
    </row>
    <row r="1914" spans="1:9" x14ac:dyDescent="0.2">
      <c r="A1914" s="127" t="s">
        <v>4177</v>
      </c>
      <c r="B1914" s="127" t="s">
        <v>4178</v>
      </c>
      <c r="C1914" s="127" t="s">
        <v>46</v>
      </c>
      <c r="D1914" s="127"/>
      <c r="E1914" s="127"/>
      <c r="F1914" s="128"/>
      <c r="G1914" s="128"/>
      <c r="H1914" s="128"/>
      <c r="I1914" s="127" t="s">
        <v>1344</v>
      </c>
    </row>
    <row r="1915" spans="1:9" x14ac:dyDescent="0.2">
      <c r="A1915" s="127" t="s">
        <v>4179</v>
      </c>
      <c r="B1915" s="127" t="s">
        <v>4180</v>
      </c>
      <c r="C1915" s="127" t="s">
        <v>22</v>
      </c>
      <c r="D1915" s="127"/>
      <c r="E1915" s="127"/>
      <c r="F1915" s="128"/>
      <c r="G1915" s="128"/>
      <c r="H1915" s="128"/>
      <c r="I1915" s="127" t="s">
        <v>1344</v>
      </c>
    </row>
    <row r="1916" spans="1:9" x14ac:dyDescent="0.2">
      <c r="A1916" s="127" t="s">
        <v>4181</v>
      </c>
      <c r="B1916" s="127" t="s">
        <v>4182</v>
      </c>
      <c r="C1916" s="127" t="s">
        <v>22</v>
      </c>
      <c r="D1916" s="127"/>
      <c r="E1916" s="127"/>
      <c r="F1916" s="128"/>
      <c r="G1916" s="128"/>
      <c r="H1916" s="128"/>
      <c r="I1916" s="127" t="s">
        <v>1344</v>
      </c>
    </row>
    <row r="1917" spans="1:9" x14ac:dyDescent="0.2">
      <c r="A1917" s="127" t="s">
        <v>1972</v>
      </c>
      <c r="B1917" s="127" t="s">
        <v>4183</v>
      </c>
      <c r="C1917" s="127" t="s">
        <v>46</v>
      </c>
      <c r="D1917" s="127"/>
      <c r="E1917" s="127"/>
      <c r="F1917" s="128"/>
      <c r="G1917" s="128"/>
      <c r="H1917" s="128"/>
      <c r="I1917" s="127" t="s">
        <v>1344</v>
      </c>
    </row>
    <row r="1918" spans="1:9" x14ac:dyDescent="0.2">
      <c r="A1918" s="127" t="s">
        <v>4184</v>
      </c>
      <c r="B1918" s="127" t="s">
        <v>1022</v>
      </c>
      <c r="C1918" s="127" t="s">
        <v>17</v>
      </c>
      <c r="D1918" s="127"/>
      <c r="E1918" s="127"/>
      <c r="F1918" s="128"/>
      <c r="G1918" s="128"/>
      <c r="H1918" s="128"/>
      <c r="I1918" s="127" t="s">
        <v>1344</v>
      </c>
    </row>
    <row r="1919" spans="1:9" x14ac:dyDescent="0.2">
      <c r="A1919" s="127" t="s">
        <v>4185</v>
      </c>
      <c r="B1919" s="127" t="s">
        <v>4186</v>
      </c>
      <c r="C1919" s="127" t="s">
        <v>22</v>
      </c>
      <c r="D1919" s="127"/>
      <c r="E1919" s="127"/>
      <c r="F1919" s="128"/>
      <c r="G1919" s="128"/>
      <c r="H1919" s="128"/>
      <c r="I1919" s="127" t="s">
        <v>1344</v>
      </c>
    </row>
    <row r="1920" spans="1:9" x14ac:dyDescent="0.2">
      <c r="A1920" s="127" t="s">
        <v>4187</v>
      </c>
      <c r="B1920" s="127" t="s">
        <v>4188</v>
      </c>
      <c r="C1920" s="127" t="s">
        <v>46</v>
      </c>
      <c r="D1920" s="127"/>
      <c r="E1920" s="127"/>
      <c r="F1920" s="128"/>
      <c r="G1920" s="128"/>
      <c r="H1920" s="128"/>
      <c r="I1920" s="127" t="s">
        <v>1344</v>
      </c>
    </row>
    <row r="1921" spans="1:9" x14ac:dyDescent="0.2">
      <c r="A1921" s="127" t="s">
        <v>4189</v>
      </c>
      <c r="B1921" s="127" t="s">
        <v>4190</v>
      </c>
      <c r="C1921" s="127" t="s">
        <v>46</v>
      </c>
      <c r="D1921" s="127"/>
      <c r="E1921" s="127"/>
      <c r="F1921" s="128"/>
      <c r="G1921" s="128"/>
      <c r="H1921" s="128"/>
      <c r="I1921" s="127" t="s">
        <v>1344</v>
      </c>
    </row>
    <row r="1922" spans="1:9" x14ac:dyDescent="0.2">
      <c r="A1922" s="127" t="s">
        <v>4191</v>
      </c>
      <c r="B1922" s="127" t="s">
        <v>4192</v>
      </c>
      <c r="C1922" s="127" t="s">
        <v>46</v>
      </c>
      <c r="D1922" s="127"/>
      <c r="E1922" s="127"/>
      <c r="F1922" s="128"/>
      <c r="G1922" s="128"/>
      <c r="H1922" s="128"/>
      <c r="I1922" s="127" t="s">
        <v>1344</v>
      </c>
    </row>
    <row r="1923" spans="1:9" x14ac:dyDescent="0.2">
      <c r="A1923" s="127" t="s">
        <v>4193</v>
      </c>
      <c r="B1923" s="127" t="s">
        <v>4194</v>
      </c>
      <c r="C1923" s="127" t="s">
        <v>17</v>
      </c>
      <c r="D1923" s="127"/>
      <c r="E1923" s="127"/>
      <c r="F1923" s="128"/>
      <c r="G1923" s="128"/>
      <c r="H1923" s="128"/>
      <c r="I1923" s="127" t="s">
        <v>1344</v>
      </c>
    </row>
    <row r="1924" spans="1:9" x14ac:dyDescent="0.2">
      <c r="A1924" s="127" t="s">
        <v>4195</v>
      </c>
      <c r="B1924" s="127" t="s">
        <v>4196</v>
      </c>
      <c r="C1924" s="127" t="s">
        <v>17</v>
      </c>
      <c r="D1924" s="127"/>
      <c r="E1924" s="127"/>
      <c r="F1924" s="128"/>
      <c r="G1924" s="128"/>
      <c r="H1924" s="128"/>
      <c r="I1924" s="127" t="s">
        <v>1344</v>
      </c>
    </row>
    <row r="1925" spans="1:9" x14ac:dyDescent="0.2">
      <c r="A1925" s="127" t="s">
        <v>4197</v>
      </c>
      <c r="B1925" s="127" t="s">
        <v>4198</v>
      </c>
      <c r="C1925" s="127" t="s">
        <v>22</v>
      </c>
      <c r="D1925" s="127"/>
      <c r="E1925" s="127"/>
      <c r="F1925" s="128"/>
      <c r="G1925" s="128"/>
      <c r="H1925" s="128"/>
      <c r="I1925" s="127" t="s">
        <v>1344</v>
      </c>
    </row>
    <row r="1926" spans="1:9" x14ac:dyDescent="0.2">
      <c r="A1926" s="127" t="s">
        <v>4199</v>
      </c>
      <c r="B1926" s="127" t="s">
        <v>4200</v>
      </c>
      <c r="C1926" s="127" t="s">
        <v>46</v>
      </c>
      <c r="D1926" s="127"/>
      <c r="E1926" s="127"/>
      <c r="F1926" s="128"/>
      <c r="G1926" s="128"/>
      <c r="H1926" s="128"/>
      <c r="I1926" s="127" t="s">
        <v>1344</v>
      </c>
    </row>
    <row r="1927" spans="1:9" x14ac:dyDescent="0.2">
      <c r="A1927" s="127" t="s">
        <v>4201</v>
      </c>
      <c r="B1927" s="127" t="s">
        <v>4202</v>
      </c>
      <c r="C1927" s="127" t="s">
        <v>46</v>
      </c>
      <c r="D1927" s="127"/>
      <c r="E1927" s="127"/>
      <c r="F1927" s="128"/>
      <c r="G1927" s="128"/>
      <c r="H1927" s="128"/>
      <c r="I1927" s="127" t="s">
        <v>1344</v>
      </c>
    </row>
    <row r="1928" spans="1:9" x14ac:dyDescent="0.2">
      <c r="A1928" s="127" t="s">
        <v>2423</v>
      </c>
      <c r="B1928" s="127" t="s">
        <v>4203</v>
      </c>
      <c r="C1928" s="127" t="s">
        <v>46</v>
      </c>
      <c r="D1928" s="127"/>
      <c r="E1928" s="127"/>
      <c r="F1928" s="128"/>
      <c r="G1928" s="128"/>
      <c r="H1928" s="128"/>
      <c r="I1928" s="127" t="s">
        <v>1344</v>
      </c>
    </row>
    <row r="1929" spans="1:9" x14ac:dyDescent="0.2">
      <c r="A1929" s="127" t="s">
        <v>4204</v>
      </c>
      <c r="B1929" s="127" t="s">
        <v>4205</v>
      </c>
      <c r="C1929" s="127" t="s">
        <v>46</v>
      </c>
      <c r="D1929" s="127"/>
      <c r="E1929" s="127"/>
      <c r="F1929" s="128"/>
      <c r="G1929" s="128"/>
      <c r="H1929" s="128"/>
      <c r="I1929" s="127" t="s">
        <v>1344</v>
      </c>
    </row>
    <row r="1930" spans="1:9" x14ac:dyDescent="0.2">
      <c r="A1930" s="127" t="s">
        <v>3878</v>
      </c>
      <c r="B1930" s="127" t="s">
        <v>4206</v>
      </c>
      <c r="C1930" s="127" t="s">
        <v>17</v>
      </c>
      <c r="D1930" s="127"/>
      <c r="E1930" s="127"/>
      <c r="F1930" s="128"/>
      <c r="G1930" s="128"/>
      <c r="H1930" s="128"/>
      <c r="I1930" s="127" t="s">
        <v>1344</v>
      </c>
    </row>
    <row r="1931" spans="1:9" x14ac:dyDescent="0.2">
      <c r="A1931" s="127" t="s">
        <v>4207</v>
      </c>
      <c r="B1931" s="127" t="s">
        <v>4208</v>
      </c>
      <c r="C1931" s="127" t="s">
        <v>22</v>
      </c>
      <c r="D1931" s="127"/>
      <c r="E1931" s="127"/>
      <c r="F1931" s="128"/>
      <c r="G1931" s="128"/>
      <c r="H1931" s="128"/>
      <c r="I1931" s="127" t="s">
        <v>1344</v>
      </c>
    </row>
    <row r="1932" spans="1:9" x14ac:dyDescent="0.2">
      <c r="A1932" s="127" t="s">
        <v>4209</v>
      </c>
      <c r="B1932" s="127" t="s">
        <v>4210</v>
      </c>
      <c r="C1932" s="127" t="s">
        <v>46</v>
      </c>
      <c r="D1932" s="127"/>
      <c r="E1932" s="127"/>
      <c r="F1932" s="128"/>
      <c r="G1932" s="128"/>
      <c r="H1932" s="128"/>
      <c r="I1932" s="127" t="s">
        <v>1344</v>
      </c>
    </row>
    <row r="1933" spans="1:9" x14ac:dyDescent="0.2">
      <c r="A1933" s="127" t="s">
        <v>4211</v>
      </c>
      <c r="B1933" s="127" t="s">
        <v>4212</v>
      </c>
      <c r="C1933" s="127" t="s">
        <v>22</v>
      </c>
      <c r="D1933" s="127"/>
      <c r="E1933" s="127"/>
      <c r="F1933" s="128"/>
      <c r="G1933" s="128"/>
      <c r="H1933" s="128"/>
      <c r="I1933" s="127" t="s">
        <v>1344</v>
      </c>
    </row>
    <row r="1934" spans="1:9" x14ac:dyDescent="0.2">
      <c r="A1934" s="127" t="s">
        <v>4213</v>
      </c>
      <c r="B1934" s="127" t="s">
        <v>4214</v>
      </c>
      <c r="C1934" s="127" t="s">
        <v>22</v>
      </c>
      <c r="D1934" s="127"/>
      <c r="E1934" s="127"/>
      <c r="F1934" s="128"/>
      <c r="G1934" s="128"/>
      <c r="H1934" s="128"/>
      <c r="I1934" s="127" t="s">
        <v>1344</v>
      </c>
    </row>
    <row r="1935" spans="1:9" x14ac:dyDescent="0.2">
      <c r="A1935" s="127" t="s">
        <v>4215</v>
      </c>
      <c r="B1935" s="127" t="s">
        <v>4216</v>
      </c>
      <c r="C1935" s="127" t="s">
        <v>22</v>
      </c>
      <c r="D1935" s="127"/>
      <c r="E1935" s="127"/>
      <c r="F1935" s="128"/>
      <c r="G1935" s="128"/>
      <c r="H1935" s="128"/>
      <c r="I1935" s="127" t="s">
        <v>1344</v>
      </c>
    </row>
    <row r="1936" spans="1:9" x14ac:dyDescent="0.2">
      <c r="A1936" s="127" t="s">
        <v>4217</v>
      </c>
      <c r="B1936" s="127" t="s">
        <v>4218</v>
      </c>
      <c r="C1936" s="127" t="s">
        <v>22</v>
      </c>
      <c r="D1936" s="127"/>
      <c r="E1936" s="127"/>
      <c r="F1936" s="128"/>
      <c r="G1936" s="128"/>
      <c r="H1936" s="128"/>
      <c r="I1936" s="127" t="s">
        <v>1344</v>
      </c>
    </row>
    <row r="1937" spans="1:9" x14ac:dyDescent="0.2">
      <c r="A1937" s="127" t="s">
        <v>4219</v>
      </c>
      <c r="B1937" s="127" t="s">
        <v>4220</v>
      </c>
      <c r="C1937" s="127" t="s">
        <v>46</v>
      </c>
      <c r="D1937" s="127"/>
      <c r="E1937" s="127"/>
      <c r="F1937" s="128"/>
      <c r="G1937" s="128"/>
      <c r="H1937" s="128"/>
      <c r="I1937" s="127" t="s">
        <v>1344</v>
      </c>
    </row>
    <row r="1938" spans="1:9" x14ac:dyDescent="0.2">
      <c r="A1938" s="127" t="s">
        <v>4221</v>
      </c>
      <c r="B1938" s="127" t="s">
        <v>4222</v>
      </c>
      <c r="C1938" s="127" t="s">
        <v>46</v>
      </c>
      <c r="D1938" s="127"/>
      <c r="E1938" s="127"/>
      <c r="F1938" s="128"/>
      <c r="G1938" s="128"/>
      <c r="H1938" s="128"/>
      <c r="I1938" s="127" t="s">
        <v>1344</v>
      </c>
    </row>
    <row r="1939" spans="1:9" x14ac:dyDescent="0.2">
      <c r="A1939" s="127" t="s">
        <v>4223</v>
      </c>
      <c r="B1939" s="127" t="s">
        <v>4224</v>
      </c>
      <c r="C1939" s="127" t="s">
        <v>46</v>
      </c>
      <c r="D1939" s="127"/>
      <c r="E1939" s="127"/>
      <c r="F1939" s="128"/>
      <c r="G1939" s="128"/>
      <c r="H1939" s="128"/>
      <c r="I1939" s="127" t="s">
        <v>1344</v>
      </c>
    </row>
    <row r="1940" spans="1:9" x14ac:dyDescent="0.2">
      <c r="A1940" s="127" t="s">
        <v>4225</v>
      </c>
      <c r="B1940" s="127" t="s">
        <v>4226</v>
      </c>
      <c r="C1940" s="127" t="s">
        <v>46</v>
      </c>
      <c r="D1940" s="127"/>
      <c r="E1940" s="127"/>
      <c r="F1940" s="128"/>
      <c r="G1940" s="128"/>
      <c r="H1940" s="128"/>
      <c r="I1940" s="127" t="s">
        <v>1344</v>
      </c>
    </row>
    <row r="1941" spans="1:9" x14ac:dyDescent="0.2">
      <c r="A1941" s="127"/>
      <c r="B1941" s="127" t="s">
        <v>4227</v>
      </c>
      <c r="C1941" s="127" t="s">
        <v>22</v>
      </c>
      <c r="D1941" s="127"/>
      <c r="E1941" s="127"/>
      <c r="F1941" s="128"/>
      <c r="G1941" s="128"/>
      <c r="H1941" s="128"/>
      <c r="I1941" s="127" t="s">
        <v>1344</v>
      </c>
    </row>
    <row r="1942" spans="1:9" x14ac:dyDescent="0.2">
      <c r="A1942" s="127" t="s">
        <v>4228</v>
      </c>
      <c r="B1942" s="127" t="s">
        <v>4229</v>
      </c>
      <c r="C1942" s="127" t="s">
        <v>22</v>
      </c>
      <c r="D1942" s="127"/>
      <c r="E1942" s="127"/>
      <c r="F1942" s="128"/>
      <c r="G1942" s="128"/>
      <c r="H1942" s="128"/>
      <c r="I1942" s="127" t="s">
        <v>1344</v>
      </c>
    </row>
    <row r="1943" spans="1:9" x14ac:dyDescent="0.2">
      <c r="A1943" s="127" t="s">
        <v>1585</v>
      </c>
      <c r="B1943" s="127" t="s">
        <v>4230</v>
      </c>
      <c r="C1943" s="127" t="s">
        <v>22</v>
      </c>
      <c r="D1943" s="127"/>
      <c r="E1943" s="127"/>
      <c r="F1943" s="128"/>
      <c r="G1943" s="128"/>
      <c r="H1943" s="128"/>
      <c r="I1943" s="127" t="s">
        <v>1344</v>
      </c>
    </row>
    <row r="1944" spans="1:9" x14ac:dyDescent="0.2">
      <c r="A1944" s="127" t="s">
        <v>1154</v>
      </c>
      <c r="B1944" s="127" t="s">
        <v>4231</v>
      </c>
      <c r="C1944" s="127" t="s">
        <v>46</v>
      </c>
      <c r="D1944" s="127"/>
      <c r="E1944" s="127"/>
      <c r="F1944" s="128"/>
      <c r="G1944" s="128"/>
      <c r="H1944" s="128"/>
      <c r="I1944" s="127" t="s">
        <v>1344</v>
      </c>
    </row>
    <row r="1945" spans="1:9" x14ac:dyDescent="0.2">
      <c r="A1945" s="127" t="s">
        <v>4232</v>
      </c>
      <c r="B1945" s="127" t="s">
        <v>4233</v>
      </c>
      <c r="C1945" s="127" t="s">
        <v>46</v>
      </c>
      <c r="D1945" s="127"/>
      <c r="E1945" s="127"/>
      <c r="F1945" s="128"/>
      <c r="G1945" s="128"/>
      <c r="H1945" s="128"/>
      <c r="I1945" s="127" t="s">
        <v>1344</v>
      </c>
    </row>
    <row r="1946" spans="1:9" x14ac:dyDescent="0.2">
      <c r="A1946" s="127" t="s">
        <v>4234</v>
      </c>
      <c r="B1946" s="127" t="s">
        <v>4235</v>
      </c>
      <c r="C1946" s="127" t="s">
        <v>17</v>
      </c>
      <c r="D1946" s="127"/>
      <c r="E1946" s="127"/>
      <c r="F1946" s="128"/>
      <c r="G1946" s="128"/>
      <c r="H1946" s="128"/>
      <c r="I1946" s="127" t="s">
        <v>1344</v>
      </c>
    </row>
    <row r="1947" spans="1:9" x14ac:dyDescent="0.2">
      <c r="A1947" s="127"/>
      <c r="B1947" s="127" t="s">
        <v>4236</v>
      </c>
      <c r="C1947" s="127" t="s">
        <v>22</v>
      </c>
      <c r="D1947" s="127"/>
      <c r="E1947" s="127"/>
      <c r="F1947" s="128"/>
      <c r="G1947" s="128"/>
      <c r="H1947" s="128"/>
      <c r="I1947" s="127" t="s">
        <v>1344</v>
      </c>
    </row>
    <row r="1948" spans="1:9" x14ac:dyDescent="0.2">
      <c r="A1948" s="127" t="s">
        <v>4237</v>
      </c>
      <c r="B1948" s="127" t="s">
        <v>4238</v>
      </c>
      <c r="C1948" s="127" t="s">
        <v>46</v>
      </c>
      <c r="D1948" s="127"/>
      <c r="E1948" s="127"/>
      <c r="F1948" s="128"/>
      <c r="G1948" s="128"/>
      <c r="H1948" s="128"/>
      <c r="I1948" s="127" t="s">
        <v>1344</v>
      </c>
    </row>
    <row r="1949" spans="1:9" x14ac:dyDescent="0.2">
      <c r="A1949" s="127" t="s">
        <v>4239</v>
      </c>
      <c r="B1949" s="127" t="s">
        <v>4240</v>
      </c>
      <c r="C1949" s="127" t="s">
        <v>46</v>
      </c>
      <c r="D1949" s="127"/>
      <c r="E1949" s="127"/>
      <c r="F1949" s="128"/>
      <c r="G1949" s="128"/>
      <c r="H1949" s="128"/>
      <c r="I1949" s="127" t="s">
        <v>1344</v>
      </c>
    </row>
    <row r="1950" spans="1:9" x14ac:dyDescent="0.2">
      <c r="A1950" s="127" t="s">
        <v>4241</v>
      </c>
      <c r="B1950" s="127" t="s">
        <v>4242</v>
      </c>
      <c r="C1950" s="127" t="s">
        <v>46</v>
      </c>
      <c r="D1950" s="127"/>
      <c r="E1950" s="127"/>
      <c r="F1950" s="128"/>
      <c r="G1950" s="128"/>
      <c r="H1950" s="128"/>
      <c r="I1950" s="127" t="s">
        <v>1344</v>
      </c>
    </row>
    <row r="1951" spans="1:9" x14ac:dyDescent="0.2">
      <c r="A1951" s="127"/>
      <c r="B1951" s="127"/>
      <c r="C1951" s="127" t="s">
        <v>46</v>
      </c>
      <c r="D1951" s="127"/>
      <c r="E1951" s="127"/>
      <c r="F1951" s="128"/>
      <c r="G1951" s="128"/>
      <c r="H1951" s="128"/>
      <c r="I1951" s="127" t="s">
        <v>1344</v>
      </c>
    </row>
    <row r="1952" spans="1:9" x14ac:dyDescent="0.2">
      <c r="A1952" s="127" t="s">
        <v>4243</v>
      </c>
      <c r="B1952" s="127" t="s">
        <v>4244</v>
      </c>
      <c r="C1952" s="127" t="s">
        <v>22</v>
      </c>
      <c r="D1952" s="127"/>
      <c r="E1952" s="127"/>
      <c r="F1952" s="128"/>
      <c r="G1952" s="128"/>
      <c r="H1952" s="128"/>
      <c r="I1952" s="127" t="s">
        <v>1344</v>
      </c>
    </row>
    <row r="1953" spans="1:9" x14ac:dyDescent="0.2">
      <c r="A1953" s="127" t="s">
        <v>4245</v>
      </c>
      <c r="B1953" s="127" t="s">
        <v>4246</v>
      </c>
      <c r="C1953" s="127" t="s">
        <v>22</v>
      </c>
      <c r="D1953" s="127"/>
      <c r="E1953" s="127"/>
      <c r="F1953" s="128"/>
      <c r="G1953" s="128"/>
      <c r="H1953" s="128"/>
      <c r="I1953" s="127" t="s">
        <v>1344</v>
      </c>
    </row>
    <row r="1954" spans="1:9" x14ac:dyDescent="0.2">
      <c r="A1954" s="127" t="s">
        <v>4247</v>
      </c>
      <c r="B1954" s="127" t="s">
        <v>4248</v>
      </c>
      <c r="C1954" s="127" t="s">
        <v>46</v>
      </c>
      <c r="D1954" s="127"/>
      <c r="E1954" s="127"/>
      <c r="F1954" s="128"/>
      <c r="G1954" s="128"/>
      <c r="H1954" s="128"/>
      <c r="I1954" s="127" t="s">
        <v>1344</v>
      </c>
    </row>
    <row r="1955" spans="1:9" x14ac:dyDescent="0.2">
      <c r="A1955" s="127" t="s">
        <v>4249</v>
      </c>
      <c r="B1955" s="127" t="s">
        <v>4250</v>
      </c>
      <c r="C1955" s="127" t="s">
        <v>17</v>
      </c>
      <c r="D1955" s="127"/>
      <c r="E1955" s="127"/>
      <c r="F1955" s="128"/>
      <c r="G1955" s="128"/>
      <c r="H1955" s="128"/>
      <c r="I1955" s="127" t="s">
        <v>1344</v>
      </c>
    </row>
    <row r="1956" spans="1:9" x14ac:dyDescent="0.2">
      <c r="A1956" s="127" t="s">
        <v>4251</v>
      </c>
      <c r="B1956" s="127" t="s">
        <v>4252</v>
      </c>
      <c r="C1956" s="127" t="s">
        <v>46</v>
      </c>
      <c r="D1956" s="127"/>
      <c r="E1956" s="127"/>
      <c r="F1956" s="128"/>
      <c r="G1956" s="128"/>
      <c r="H1956" s="128"/>
      <c r="I1956" s="127" t="s">
        <v>1344</v>
      </c>
    </row>
    <row r="1957" spans="1:9" x14ac:dyDescent="0.2">
      <c r="A1957" s="127" t="s">
        <v>4253</v>
      </c>
      <c r="B1957" s="127" t="s">
        <v>4254</v>
      </c>
      <c r="C1957" s="127" t="s">
        <v>17</v>
      </c>
      <c r="D1957" s="127"/>
      <c r="E1957" s="127"/>
      <c r="F1957" s="128"/>
      <c r="G1957" s="128"/>
      <c r="H1957" s="128"/>
      <c r="I1957" s="127" t="s">
        <v>1344</v>
      </c>
    </row>
    <row r="1958" spans="1:9" x14ac:dyDescent="0.2">
      <c r="A1958" s="127" t="s">
        <v>4255</v>
      </c>
      <c r="B1958" s="127" t="s">
        <v>4256</v>
      </c>
      <c r="C1958" s="127" t="s">
        <v>46</v>
      </c>
      <c r="D1958" s="127"/>
      <c r="E1958" s="127"/>
      <c r="F1958" s="128"/>
      <c r="G1958" s="128"/>
      <c r="H1958" s="128"/>
      <c r="I1958" s="127" t="s">
        <v>1344</v>
      </c>
    </row>
    <row r="1959" spans="1:9" x14ac:dyDescent="0.2">
      <c r="A1959" s="127"/>
      <c r="B1959" s="127" t="s">
        <v>4257</v>
      </c>
      <c r="C1959" s="127" t="s">
        <v>46</v>
      </c>
      <c r="D1959" s="127"/>
      <c r="E1959" s="127"/>
      <c r="F1959" s="128"/>
      <c r="G1959" s="128"/>
      <c r="H1959" s="128"/>
      <c r="I1959" s="127" t="s">
        <v>1344</v>
      </c>
    </row>
    <row r="1960" spans="1:9" x14ac:dyDescent="0.2">
      <c r="A1960" s="127"/>
      <c r="B1960" s="127" t="s">
        <v>4258</v>
      </c>
      <c r="C1960" s="127" t="s">
        <v>46</v>
      </c>
      <c r="D1960" s="127"/>
      <c r="E1960" s="127"/>
      <c r="F1960" s="128"/>
      <c r="G1960" s="128"/>
      <c r="H1960" s="128"/>
      <c r="I1960" s="127" t="s">
        <v>1344</v>
      </c>
    </row>
    <row r="1961" spans="1:9" x14ac:dyDescent="0.2">
      <c r="A1961" s="127" t="s">
        <v>4259</v>
      </c>
      <c r="B1961" s="127" t="s">
        <v>4260</v>
      </c>
      <c r="C1961" s="127" t="s">
        <v>22</v>
      </c>
      <c r="D1961" s="127"/>
      <c r="E1961" s="127"/>
      <c r="F1961" s="128"/>
      <c r="G1961" s="128"/>
      <c r="H1961" s="128"/>
      <c r="I1961" s="127" t="s">
        <v>1344</v>
      </c>
    </row>
    <row r="1962" spans="1:9" x14ac:dyDescent="0.2">
      <c r="A1962" s="127" t="s">
        <v>4261</v>
      </c>
      <c r="B1962" s="127" t="s">
        <v>4262</v>
      </c>
      <c r="C1962" s="127" t="s">
        <v>46</v>
      </c>
      <c r="D1962" s="127"/>
      <c r="E1962" s="127"/>
      <c r="F1962" s="128"/>
      <c r="G1962" s="128"/>
      <c r="H1962" s="128"/>
      <c r="I1962" s="127" t="s">
        <v>1344</v>
      </c>
    </row>
    <row r="1963" spans="1:9" x14ac:dyDescent="0.2">
      <c r="A1963" s="127" t="s">
        <v>4263</v>
      </c>
      <c r="B1963" s="127" t="s">
        <v>4264</v>
      </c>
      <c r="C1963" s="127" t="s">
        <v>46</v>
      </c>
      <c r="D1963" s="127"/>
      <c r="E1963" s="127"/>
      <c r="F1963" s="128"/>
      <c r="G1963" s="128"/>
      <c r="H1963" s="128"/>
      <c r="I1963" s="127" t="s">
        <v>1344</v>
      </c>
    </row>
    <row r="1964" spans="1:9" x14ac:dyDescent="0.2">
      <c r="A1964" s="127" t="s">
        <v>4265</v>
      </c>
      <c r="B1964" s="127" t="s">
        <v>4266</v>
      </c>
      <c r="C1964" s="127" t="s">
        <v>22</v>
      </c>
      <c r="D1964" s="127"/>
      <c r="E1964" s="127"/>
      <c r="F1964" s="128"/>
      <c r="G1964" s="128"/>
      <c r="H1964" s="128"/>
      <c r="I1964" s="127" t="s">
        <v>1344</v>
      </c>
    </row>
    <row r="1965" spans="1:9" x14ac:dyDescent="0.2">
      <c r="A1965" s="127" t="s">
        <v>4267</v>
      </c>
      <c r="B1965" s="127" t="s">
        <v>4268</v>
      </c>
      <c r="C1965" s="127" t="s">
        <v>46</v>
      </c>
      <c r="D1965" s="127"/>
      <c r="E1965" s="127"/>
      <c r="F1965" s="128"/>
      <c r="G1965" s="128"/>
      <c r="H1965" s="128"/>
      <c r="I1965" s="127" t="s">
        <v>1344</v>
      </c>
    </row>
    <row r="1966" spans="1:9" x14ac:dyDescent="0.2">
      <c r="A1966" s="127" t="s">
        <v>4269</v>
      </c>
      <c r="B1966" s="127" t="s">
        <v>4270</v>
      </c>
      <c r="C1966" s="127" t="s">
        <v>22</v>
      </c>
      <c r="D1966" s="127"/>
      <c r="E1966" s="127"/>
      <c r="F1966" s="128"/>
      <c r="G1966" s="128"/>
      <c r="H1966" s="128"/>
      <c r="I1966" s="127" t="s">
        <v>1344</v>
      </c>
    </row>
    <row r="1967" spans="1:9" x14ac:dyDescent="0.2">
      <c r="A1967" s="127" t="s">
        <v>4271</v>
      </c>
      <c r="B1967" s="127" t="s">
        <v>4272</v>
      </c>
      <c r="C1967" s="127" t="s">
        <v>46</v>
      </c>
      <c r="D1967" s="127"/>
      <c r="E1967" s="127"/>
      <c r="F1967" s="128"/>
      <c r="G1967" s="128"/>
      <c r="H1967" s="128"/>
      <c r="I1967" s="127" t="s">
        <v>1344</v>
      </c>
    </row>
    <row r="1968" spans="1:9" x14ac:dyDescent="0.2">
      <c r="A1968" s="127" t="s">
        <v>1849</v>
      </c>
      <c r="B1968" s="127" t="s">
        <v>4273</v>
      </c>
      <c r="C1968" s="127" t="s">
        <v>46</v>
      </c>
      <c r="D1968" s="127"/>
      <c r="E1968" s="127"/>
      <c r="F1968" s="128"/>
      <c r="G1968" s="128"/>
      <c r="H1968" s="128"/>
      <c r="I1968" s="127" t="s">
        <v>1344</v>
      </c>
    </row>
    <row r="1969" spans="1:9" x14ac:dyDescent="0.2">
      <c r="A1969" s="127" t="s">
        <v>4274</v>
      </c>
      <c r="B1969" s="127" t="s">
        <v>4275</v>
      </c>
      <c r="C1969" s="127" t="s">
        <v>46</v>
      </c>
      <c r="D1969" s="127"/>
      <c r="E1969" s="127"/>
      <c r="F1969" s="128"/>
      <c r="G1969" s="128"/>
      <c r="H1969" s="128"/>
      <c r="I1969" s="127" t="s">
        <v>1344</v>
      </c>
    </row>
    <row r="1970" spans="1:9" x14ac:dyDescent="0.2">
      <c r="A1970" s="127" t="s">
        <v>4276</v>
      </c>
      <c r="B1970" s="127" t="s">
        <v>4277</v>
      </c>
      <c r="C1970" s="127" t="s">
        <v>22</v>
      </c>
      <c r="D1970" s="127"/>
      <c r="E1970" s="127"/>
      <c r="F1970" s="128"/>
      <c r="G1970" s="128"/>
      <c r="H1970" s="128"/>
      <c r="I1970" s="127" t="s">
        <v>1344</v>
      </c>
    </row>
    <row r="1971" spans="1:9" x14ac:dyDescent="0.2">
      <c r="A1971" s="127" t="s">
        <v>4271</v>
      </c>
      <c r="B1971" s="127" t="s">
        <v>4278</v>
      </c>
      <c r="C1971" s="127" t="s">
        <v>46</v>
      </c>
      <c r="D1971" s="127"/>
      <c r="E1971" s="127"/>
      <c r="F1971" s="128"/>
      <c r="G1971" s="128"/>
      <c r="H1971" s="128"/>
      <c r="I1971" s="127" t="s">
        <v>1344</v>
      </c>
    </row>
    <row r="1972" spans="1:9" x14ac:dyDescent="0.2">
      <c r="A1972" s="127" t="s">
        <v>4279</v>
      </c>
      <c r="B1972" s="127" t="s">
        <v>4280</v>
      </c>
      <c r="C1972" s="127" t="s">
        <v>46</v>
      </c>
      <c r="D1972" s="127"/>
      <c r="E1972" s="127"/>
      <c r="F1972" s="128"/>
      <c r="G1972" s="128"/>
      <c r="H1972" s="128"/>
      <c r="I1972" s="127" t="s">
        <v>1344</v>
      </c>
    </row>
    <row r="1973" spans="1:9" x14ac:dyDescent="0.2">
      <c r="A1973" s="127" t="s">
        <v>4281</v>
      </c>
      <c r="B1973" s="127" t="s">
        <v>4282</v>
      </c>
      <c r="C1973" s="127" t="s">
        <v>22</v>
      </c>
      <c r="D1973" s="127"/>
      <c r="E1973" s="127"/>
      <c r="F1973" s="128"/>
      <c r="G1973" s="128"/>
      <c r="H1973" s="128"/>
      <c r="I1973" s="127" t="s">
        <v>1344</v>
      </c>
    </row>
    <row r="1974" spans="1:9" x14ac:dyDescent="0.2">
      <c r="A1974" s="127" t="s">
        <v>4283</v>
      </c>
      <c r="B1974" s="127" t="s">
        <v>4284</v>
      </c>
      <c r="C1974" s="127" t="s">
        <v>46</v>
      </c>
      <c r="D1974" s="127"/>
      <c r="E1974" s="127"/>
      <c r="F1974" s="128"/>
      <c r="G1974" s="128"/>
      <c r="H1974" s="128"/>
      <c r="I1974" s="127" t="s">
        <v>1344</v>
      </c>
    </row>
    <row r="1975" spans="1:9" x14ac:dyDescent="0.2">
      <c r="A1975" s="127" t="s">
        <v>4285</v>
      </c>
      <c r="B1975" s="127" t="s">
        <v>4286</v>
      </c>
      <c r="C1975" s="127" t="s">
        <v>22</v>
      </c>
      <c r="D1975" s="127"/>
      <c r="E1975" s="127"/>
      <c r="F1975" s="128"/>
      <c r="G1975" s="128"/>
      <c r="H1975" s="128"/>
      <c r="I1975" s="127" t="s">
        <v>1344</v>
      </c>
    </row>
    <row r="1976" spans="1:9" x14ac:dyDescent="0.2">
      <c r="A1976" s="127" t="s">
        <v>4287</v>
      </c>
      <c r="B1976" s="127" t="s">
        <v>1284</v>
      </c>
      <c r="C1976" s="127" t="s">
        <v>22</v>
      </c>
      <c r="D1976" s="127"/>
      <c r="E1976" s="127"/>
      <c r="F1976" s="128"/>
      <c r="G1976" s="128"/>
      <c r="H1976" s="128"/>
      <c r="I1976" s="127" t="s">
        <v>1344</v>
      </c>
    </row>
    <row r="1977" spans="1:9" x14ac:dyDescent="0.2">
      <c r="A1977" s="127" t="s">
        <v>1862</v>
      </c>
      <c r="B1977" s="127" t="s">
        <v>4288</v>
      </c>
      <c r="C1977" s="127" t="s">
        <v>17</v>
      </c>
      <c r="D1977" s="127"/>
      <c r="E1977" s="127"/>
      <c r="F1977" s="128"/>
      <c r="G1977" s="128"/>
      <c r="H1977" s="128"/>
      <c r="I1977" s="127" t="s">
        <v>1344</v>
      </c>
    </row>
    <row r="1978" spans="1:9" x14ac:dyDescent="0.2">
      <c r="A1978" s="127" t="s">
        <v>4289</v>
      </c>
      <c r="B1978" s="127" t="s">
        <v>4290</v>
      </c>
      <c r="C1978" s="127" t="s">
        <v>22</v>
      </c>
      <c r="D1978" s="127"/>
      <c r="E1978" s="127"/>
      <c r="F1978" s="128"/>
      <c r="G1978" s="128"/>
      <c r="H1978" s="128"/>
      <c r="I1978" s="127" t="s">
        <v>1344</v>
      </c>
    </row>
    <row r="1979" spans="1:9" x14ac:dyDescent="0.2">
      <c r="A1979" s="127" t="s">
        <v>4291</v>
      </c>
      <c r="B1979" s="127" t="s">
        <v>4292</v>
      </c>
      <c r="C1979" s="127" t="s">
        <v>46</v>
      </c>
      <c r="D1979" s="127"/>
      <c r="E1979" s="127"/>
      <c r="F1979" s="128"/>
      <c r="G1979" s="128"/>
      <c r="H1979" s="128"/>
      <c r="I1979" s="127" t="s">
        <v>1344</v>
      </c>
    </row>
    <row r="1980" spans="1:9" x14ac:dyDescent="0.2">
      <c r="A1980" s="127" t="s">
        <v>4293</v>
      </c>
      <c r="B1980" s="127" t="s">
        <v>4294</v>
      </c>
      <c r="C1980" s="127" t="s">
        <v>46</v>
      </c>
      <c r="D1980" s="127"/>
      <c r="E1980" s="127"/>
      <c r="F1980" s="128"/>
      <c r="G1980" s="128"/>
      <c r="H1980" s="128"/>
      <c r="I1980" s="127" t="s">
        <v>1344</v>
      </c>
    </row>
    <row r="1981" spans="1:9" x14ac:dyDescent="0.2">
      <c r="A1981" s="127" t="s">
        <v>3787</v>
      </c>
      <c r="B1981" s="127" t="s">
        <v>4295</v>
      </c>
      <c r="C1981" s="127" t="s">
        <v>46</v>
      </c>
      <c r="D1981" s="127"/>
      <c r="E1981" s="127"/>
      <c r="F1981" s="128"/>
      <c r="G1981" s="128"/>
      <c r="H1981" s="128"/>
      <c r="I1981" s="127" t="s">
        <v>1344</v>
      </c>
    </row>
    <row r="1982" spans="1:9" x14ac:dyDescent="0.2">
      <c r="A1982" s="127" t="s">
        <v>4296</v>
      </c>
      <c r="B1982" s="127" t="s">
        <v>4297</v>
      </c>
      <c r="C1982" s="127" t="s">
        <v>46</v>
      </c>
      <c r="D1982" s="127"/>
      <c r="E1982" s="127"/>
      <c r="F1982" s="128"/>
      <c r="G1982" s="128"/>
      <c r="H1982" s="128"/>
      <c r="I1982" s="127" t="s">
        <v>1344</v>
      </c>
    </row>
    <row r="1983" spans="1:9" x14ac:dyDescent="0.2">
      <c r="A1983" s="127"/>
      <c r="B1983" s="127" t="s">
        <v>4298</v>
      </c>
      <c r="C1983" s="127" t="s">
        <v>17</v>
      </c>
      <c r="D1983" s="127"/>
      <c r="E1983" s="127"/>
      <c r="F1983" s="128"/>
      <c r="G1983" s="128"/>
      <c r="H1983" s="128"/>
      <c r="I1983" s="127" t="s">
        <v>1344</v>
      </c>
    </row>
    <row r="1984" spans="1:9" x14ac:dyDescent="0.2">
      <c r="A1984" s="127" t="s">
        <v>2342</v>
      </c>
      <c r="B1984" s="127" t="s">
        <v>4299</v>
      </c>
      <c r="C1984" s="127" t="s">
        <v>46</v>
      </c>
      <c r="D1984" s="127"/>
      <c r="E1984" s="127"/>
      <c r="F1984" s="128"/>
      <c r="G1984" s="128"/>
      <c r="H1984" s="128"/>
      <c r="I1984" s="127" t="s">
        <v>1344</v>
      </c>
    </row>
    <row r="1985" spans="1:9" x14ac:dyDescent="0.2">
      <c r="A1985" s="127" t="s">
        <v>4300</v>
      </c>
      <c r="B1985" s="127" t="s">
        <v>4301</v>
      </c>
      <c r="C1985" s="127" t="s">
        <v>46</v>
      </c>
      <c r="D1985" s="127"/>
      <c r="E1985" s="127"/>
      <c r="F1985" s="128"/>
      <c r="G1985" s="128"/>
      <c r="H1985" s="128"/>
      <c r="I1985" s="127" t="s">
        <v>1344</v>
      </c>
    </row>
    <row r="1986" spans="1:9" x14ac:dyDescent="0.2">
      <c r="A1986" s="127" t="s">
        <v>4302</v>
      </c>
      <c r="B1986" s="127" t="s">
        <v>4303</v>
      </c>
      <c r="C1986" s="127" t="s">
        <v>22</v>
      </c>
      <c r="D1986" s="127"/>
      <c r="E1986" s="127"/>
      <c r="F1986" s="128"/>
      <c r="G1986" s="128"/>
      <c r="H1986" s="128"/>
      <c r="I1986" s="127" t="s">
        <v>1344</v>
      </c>
    </row>
    <row r="1987" spans="1:9" x14ac:dyDescent="0.2">
      <c r="A1987" s="127" t="s">
        <v>4304</v>
      </c>
      <c r="B1987" s="127" t="s">
        <v>4305</v>
      </c>
      <c r="C1987" s="127" t="s">
        <v>22</v>
      </c>
      <c r="D1987" s="127"/>
      <c r="E1987" s="127"/>
      <c r="F1987" s="128"/>
      <c r="G1987" s="128"/>
      <c r="H1987" s="128"/>
      <c r="I1987" s="127" t="s">
        <v>1344</v>
      </c>
    </row>
    <row r="1988" spans="1:9" x14ac:dyDescent="0.2">
      <c r="A1988" s="127" t="s">
        <v>4306</v>
      </c>
      <c r="B1988" s="127" t="s">
        <v>4307</v>
      </c>
      <c r="C1988" s="127" t="s">
        <v>46</v>
      </c>
      <c r="D1988" s="127"/>
      <c r="E1988" s="127"/>
      <c r="F1988" s="128"/>
      <c r="G1988" s="128"/>
      <c r="H1988" s="128"/>
      <c r="I1988" s="127" t="s">
        <v>1344</v>
      </c>
    </row>
    <row r="1989" spans="1:9" x14ac:dyDescent="0.2">
      <c r="A1989" s="127" t="s">
        <v>4308</v>
      </c>
      <c r="B1989" s="127" t="s">
        <v>4309</v>
      </c>
      <c r="C1989" s="127" t="s">
        <v>17</v>
      </c>
      <c r="D1989" s="127"/>
      <c r="E1989" s="127"/>
      <c r="F1989" s="128"/>
      <c r="G1989" s="128"/>
      <c r="H1989" s="128"/>
      <c r="I1989" s="127" t="s">
        <v>1344</v>
      </c>
    </row>
    <row r="1990" spans="1:9" x14ac:dyDescent="0.2">
      <c r="A1990" s="127" t="s">
        <v>4310</v>
      </c>
      <c r="B1990" s="127" t="s">
        <v>4311</v>
      </c>
      <c r="C1990" s="127" t="s">
        <v>22</v>
      </c>
      <c r="D1990" s="127"/>
      <c r="E1990" s="127"/>
      <c r="F1990" s="128"/>
      <c r="G1990" s="128"/>
      <c r="H1990" s="128"/>
      <c r="I1990" s="127" t="s">
        <v>1344</v>
      </c>
    </row>
    <row r="1991" spans="1:9" x14ac:dyDescent="0.2">
      <c r="A1991" s="127"/>
      <c r="B1991" s="127" t="s">
        <v>4312</v>
      </c>
      <c r="C1991" s="127" t="s">
        <v>17</v>
      </c>
      <c r="D1991" s="127"/>
      <c r="E1991" s="127"/>
      <c r="F1991" s="128"/>
      <c r="G1991" s="128"/>
      <c r="H1991" s="128"/>
      <c r="I1991" s="127" t="s">
        <v>1344</v>
      </c>
    </row>
    <row r="1992" spans="1:9" x14ac:dyDescent="0.2">
      <c r="A1992" s="127" t="s">
        <v>4313</v>
      </c>
      <c r="B1992" s="127" t="s">
        <v>4314</v>
      </c>
      <c r="C1992" s="127" t="s">
        <v>46</v>
      </c>
      <c r="D1992" s="127"/>
      <c r="E1992" s="127"/>
      <c r="F1992" s="128"/>
      <c r="G1992" s="128"/>
      <c r="H1992" s="128"/>
      <c r="I1992" s="127" t="s">
        <v>1344</v>
      </c>
    </row>
    <row r="1993" spans="1:9" x14ac:dyDescent="0.2">
      <c r="A1993" s="127"/>
      <c r="B1993" s="127"/>
      <c r="C1993" s="127" t="s">
        <v>22</v>
      </c>
      <c r="D1993" s="127"/>
      <c r="E1993" s="127"/>
      <c r="F1993" s="128"/>
      <c r="G1993" s="128"/>
      <c r="H1993" s="128"/>
      <c r="I1993" s="127" t="s">
        <v>1344</v>
      </c>
    </row>
    <row r="1994" spans="1:9" x14ac:dyDescent="0.2">
      <c r="A1994" s="127" t="s">
        <v>1457</v>
      </c>
      <c r="B1994" s="127"/>
      <c r="C1994" s="127" t="s">
        <v>22</v>
      </c>
      <c r="D1994" s="127"/>
      <c r="E1994" s="127"/>
      <c r="F1994" s="128"/>
      <c r="G1994" s="128"/>
      <c r="H1994" s="128"/>
      <c r="I1994" s="127" t="s">
        <v>1344</v>
      </c>
    </row>
    <row r="1995" spans="1:9" x14ac:dyDescent="0.2">
      <c r="A1995" s="127"/>
      <c r="B1995" s="127"/>
      <c r="C1995" s="127" t="s">
        <v>46</v>
      </c>
      <c r="D1995" s="127"/>
      <c r="E1995" s="127"/>
      <c r="F1995" s="128"/>
      <c r="G1995" s="128"/>
      <c r="H1995" s="128"/>
      <c r="I1995" s="127" t="s">
        <v>1344</v>
      </c>
    </row>
    <row r="1996" spans="1:9" x14ac:dyDescent="0.2">
      <c r="A1996" s="127"/>
      <c r="B1996" s="127"/>
      <c r="C1996" s="127" t="s">
        <v>46</v>
      </c>
      <c r="D1996" s="127"/>
      <c r="E1996" s="127"/>
      <c r="F1996" s="128"/>
      <c r="G1996" s="128"/>
      <c r="H1996" s="128"/>
      <c r="I1996" s="127" t="s">
        <v>1344</v>
      </c>
    </row>
    <row r="1997" spans="1:9" x14ac:dyDescent="0.2">
      <c r="A1997" s="127" t="s">
        <v>2571</v>
      </c>
      <c r="B1997" s="127"/>
      <c r="C1997" s="127" t="s">
        <v>17</v>
      </c>
      <c r="D1997" s="127"/>
      <c r="E1997" s="127"/>
      <c r="F1997" s="128"/>
      <c r="G1997" s="128"/>
      <c r="H1997" s="128"/>
      <c r="I1997" s="127" t="s">
        <v>1344</v>
      </c>
    </row>
    <row r="1998" spans="1:9" x14ac:dyDescent="0.2">
      <c r="A1998" s="127"/>
      <c r="B1998" s="127"/>
      <c r="C1998" s="127" t="s">
        <v>46</v>
      </c>
      <c r="D1998" s="127"/>
      <c r="E1998" s="127"/>
      <c r="F1998" s="128"/>
      <c r="G1998" s="128"/>
      <c r="H1998" s="128"/>
      <c r="I1998" s="127" t="s">
        <v>1344</v>
      </c>
    </row>
    <row r="1999" spans="1:9" x14ac:dyDescent="0.2">
      <c r="A1999" s="127"/>
      <c r="B1999" s="127"/>
      <c r="C1999" s="127"/>
      <c r="D1999" s="127"/>
      <c r="E1999" s="127"/>
      <c r="F1999" s="128"/>
      <c r="G1999" s="128"/>
      <c r="H1999" s="128"/>
      <c r="I1999" s="127" t="s">
        <v>1344</v>
      </c>
    </row>
    <row r="2000" spans="1:9" x14ac:dyDescent="0.2">
      <c r="A2000" s="127"/>
      <c r="B2000" s="127"/>
      <c r="C2000" s="127" t="s">
        <v>17</v>
      </c>
      <c r="D2000" s="127"/>
      <c r="E2000" s="127"/>
      <c r="F2000" s="128"/>
      <c r="G2000" s="128"/>
      <c r="H2000" s="128"/>
      <c r="I2000" s="127" t="s">
        <v>1344</v>
      </c>
    </row>
    <row r="2001" spans="1:9" x14ac:dyDescent="0.2">
      <c r="A2001" s="127"/>
      <c r="B2001" s="127"/>
      <c r="C2001" s="127" t="s">
        <v>46</v>
      </c>
      <c r="D2001" s="127"/>
      <c r="E2001" s="127"/>
      <c r="F2001" s="128"/>
      <c r="G2001" s="128"/>
      <c r="H2001" s="128"/>
      <c r="I2001" s="127" t="s">
        <v>1344</v>
      </c>
    </row>
    <row r="2002" spans="1:9" x14ac:dyDescent="0.2">
      <c r="A2002" s="127" t="s">
        <v>4112</v>
      </c>
      <c r="B2002" s="127"/>
      <c r="C2002" s="127" t="s">
        <v>17</v>
      </c>
      <c r="D2002" s="127"/>
      <c r="E2002" s="127"/>
      <c r="F2002" s="128"/>
      <c r="G2002" s="128"/>
      <c r="H2002" s="128"/>
      <c r="I2002" s="127" t="s">
        <v>1344</v>
      </c>
    </row>
    <row r="2003" spans="1:9" x14ac:dyDescent="0.2">
      <c r="A2003" s="127" t="s">
        <v>4315</v>
      </c>
      <c r="B2003" s="127" t="s">
        <v>4316</v>
      </c>
      <c r="C2003" s="127"/>
      <c r="D2003" s="127"/>
      <c r="E2003" s="127"/>
      <c r="F2003" s="128"/>
      <c r="G2003" s="128"/>
      <c r="H2003" s="128"/>
      <c r="I2003" s="127" t="s">
        <v>1344</v>
      </c>
    </row>
    <row r="2004" spans="1:9" x14ac:dyDescent="0.2">
      <c r="A2004" s="127"/>
      <c r="B2004" s="127"/>
      <c r="C2004" s="127" t="s">
        <v>46</v>
      </c>
      <c r="D2004" s="127"/>
      <c r="E2004" s="127"/>
      <c r="F2004" s="128"/>
      <c r="G2004" s="128"/>
      <c r="H2004" s="128"/>
      <c r="I2004" s="127" t="s">
        <v>1344</v>
      </c>
    </row>
    <row r="2005" spans="1:9" x14ac:dyDescent="0.2">
      <c r="A2005" s="127"/>
      <c r="B2005" s="127"/>
      <c r="C2005" s="127" t="s">
        <v>46</v>
      </c>
      <c r="D2005" s="127"/>
      <c r="E2005" s="127"/>
      <c r="F2005" s="128"/>
      <c r="G2005" s="128"/>
      <c r="H2005" s="128"/>
      <c r="I2005" s="127" t="s">
        <v>1344</v>
      </c>
    </row>
    <row r="2006" spans="1:9" x14ac:dyDescent="0.2">
      <c r="A2006" s="127"/>
      <c r="B2006" s="127"/>
      <c r="C2006" s="127" t="s">
        <v>22</v>
      </c>
      <c r="D2006" s="127"/>
      <c r="E2006" s="127"/>
      <c r="F2006" s="128"/>
      <c r="G2006" s="128"/>
      <c r="H2006" s="128"/>
      <c r="I2006" s="127" t="s">
        <v>1344</v>
      </c>
    </row>
    <row r="2007" spans="1:9" x14ac:dyDescent="0.2">
      <c r="A2007" s="127"/>
      <c r="B2007" s="127"/>
      <c r="C2007" s="127" t="s">
        <v>46</v>
      </c>
      <c r="D2007" s="127"/>
      <c r="E2007" s="127"/>
      <c r="F2007" s="128"/>
      <c r="G2007" s="128"/>
      <c r="H2007" s="128"/>
      <c r="I2007" s="127" t="s">
        <v>1344</v>
      </c>
    </row>
    <row r="2008" spans="1:9" x14ac:dyDescent="0.2">
      <c r="A2008" s="127"/>
      <c r="B2008" s="127"/>
      <c r="C2008" s="127" t="s">
        <v>46</v>
      </c>
      <c r="D2008" s="127"/>
      <c r="E2008" s="127"/>
      <c r="F2008" s="128"/>
      <c r="G2008" s="128"/>
      <c r="H2008" s="128"/>
      <c r="I2008" s="127" t="s">
        <v>1344</v>
      </c>
    </row>
    <row r="2009" spans="1:9" x14ac:dyDescent="0.2">
      <c r="A2009" s="127" t="s">
        <v>2571</v>
      </c>
      <c r="B2009" s="127"/>
      <c r="C2009" s="127" t="s">
        <v>17</v>
      </c>
      <c r="D2009" s="127"/>
      <c r="E2009" s="127"/>
      <c r="F2009" s="128"/>
      <c r="G2009" s="128"/>
      <c r="H2009" s="128"/>
      <c r="I2009" s="127" t="s">
        <v>1344</v>
      </c>
    </row>
    <row r="2010" spans="1:9" x14ac:dyDescent="0.2">
      <c r="A2010" s="127"/>
      <c r="B2010" s="127"/>
      <c r="C2010" s="127" t="s">
        <v>46</v>
      </c>
      <c r="D2010" s="127"/>
      <c r="E2010" s="127"/>
      <c r="F2010" s="128"/>
      <c r="G2010" s="128"/>
      <c r="H2010" s="128"/>
      <c r="I2010" s="127" t="s">
        <v>1344</v>
      </c>
    </row>
    <row r="2011" spans="1:9" x14ac:dyDescent="0.2">
      <c r="A2011" s="127" t="s">
        <v>1457</v>
      </c>
      <c r="B2011" s="127"/>
      <c r="C2011" s="127" t="s">
        <v>22</v>
      </c>
      <c r="D2011" s="127"/>
      <c r="E2011" s="127"/>
      <c r="F2011" s="128"/>
      <c r="G2011" s="128"/>
      <c r="H2011" s="128"/>
      <c r="I2011" s="127" t="s">
        <v>1344</v>
      </c>
    </row>
    <row r="2012" spans="1:9" x14ac:dyDescent="0.2">
      <c r="A2012" s="127"/>
      <c r="B2012" s="127"/>
      <c r="C2012" s="127"/>
      <c r="D2012" s="127"/>
      <c r="E2012" s="127"/>
      <c r="F2012" s="128"/>
      <c r="G2012" s="128"/>
      <c r="H2012" s="128"/>
      <c r="I2012" s="127" t="s">
        <v>1344</v>
      </c>
    </row>
    <row r="2013" spans="1:9" x14ac:dyDescent="0.2">
      <c r="A2013" s="127"/>
      <c r="B2013" s="127"/>
      <c r="C2013" s="127" t="s">
        <v>17</v>
      </c>
      <c r="D2013" s="127"/>
      <c r="E2013" s="127"/>
      <c r="F2013" s="128"/>
      <c r="G2013" s="128"/>
      <c r="H2013" s="128"/>
      <c r="I2013" s="127" t="s">
        <v>1344</v>
      </c>
    </row>
    <row r="2014" spans="1:9" x14ac:dyDescent="0.2">
      <c r="A2014" s="127"/>
      <c r="B2014" s="127"/>
      <c r="C2014" s="127" t="s">
        <v>46</v>
      </c>
      <c r="D2014" s="127"/>
      <c r="E2014" s="127"/>
      <c r="F2014" s="128"/>
      <c r="G2014" s="128"/>
      <c r="H2014" s="128"/>
      <c r="I2014" s="127" t="s">
        <v>1344</v>
      </c>
    </row>
    <row r="2015" spans="1:9" x14ac:dyDescent="0.2">
      <c r="A2015" s="127" t="s">
        <v>4112</v>
      </c>
      <c r="B2015" s="127"/>
      <c r="C2015" s="127" t="s">
        <v>17</v>
      </c>
      <c r="D2015" s="127"/>
      <c r="E2015" s="127"/>
      <c r="F2015" s="128"/>
      <c r="G2015" s="128"/>
      <c r="H2015" s="128"/>
      <c r="I2015" s="127" t="s">
        <v>1344</v>
      </c>
    </row>
    <row r="2016" spans="1:9" x14ac:dyDescent="0.2">
      <c r="A2016" s="127"/>
      <c r="B2016" s="127"/>
      <c r="C2016" s="127" t="s">
        <v>46</v>
      </c>
      <c r="D2016" s="127"/>
      <c r="E2016" s="127"/>
      <c r="F2016" s="128"/>
      <c r="G2016" s="128"/>
      <c r="H2016" s="128"/>
      <c r="I2016" s="127" t="s">
        <v>1344</v>
      </c>
    </row>
    <row r="2017" spans="1:9" x14ac:dyDescent="0.2">
      <c r="A2017" s="127"/>
      <c r="B2017" s="127"/>
      <c r="C2017" s="127" t="s">
        <v>46</v>
      </c>
      <c r="D2017" s="127"/>
      <c r="E2017" s="127"/>
      <c r="F2017" s="128"/>
      <c r="G2017" s="128"/>
      <c r="H2017" s="128"/>
      <c r="I2017" s="127" t="s">
        <v>1344</v>
      </c>
    </row>
    <row r="2018" spans="1:9" x14ac:dyDescent="0.2">
      <c r="A2018" s="127"/>
      <c r="B2018" s="127"/>
      <c r="C2018" s="127" t="s">
        <v>22</v>
      </c>
      <c r="D2018" s="127"/>
      <c r="E2018" s="127"/>
      <c r="F2018" s="128"/>
      <c r="G2018" s="128"/>
      <c r="H2018" s="128"/>
      <c r="I2018" s="127" t="s">
        <v>1344</v>
      </c>
    </row>
    <row r="2019" spans="1:9" x14ac:dyDescent="0.2">
      <c r="A2019" s="127" t="s">
        <v>3627</v>
      </c>
      <c r="B2019" s="127" t="s">
        <v>4317</v>
      </c>
      <c r="C2019" s="127" t="s">
        <v>22</v>
      </c>
      <c r="D2019" s="127"/>
      <c r="E2019" s="127"/>
      <c r="F2019" s="128"/>
      <c r="G2019" s="128"/>
      <c r="H2019" s="128"/>
      <c r="I2019" s="127" t="s">
        <v>1344</v>
      </c>
    </row>
    <row r="2020" spans="1:9" x14ac:dyDescent="0.2">
      <c r="A2020" s="127" t="s">
        <v>4318</v>
      </c>
      <c r="B2020" s="127" t="s">
        <v>4319</v>
      </c>
      <c r="C2020" s="127" t="s">
        <v>22</v>
      </c>
      <c r="D2020" s="127"/>
      <c r="E2020" s="127"/>
      <c r="F2020" s="128"/>
      <c r="G2020" s="128"/>
      <c r="H2020" s="128"/>
      <c r="I2020" s="127" t="s">
        <v>1344</v>
      </c>
    </row>
    <row r="2021" spans="1:9" x14ac:dyDescent="0.2">
      <c r="A2021" s="127" t="s">
        <v>4320</v>
      </c>
      <c r="B2021" s="127" t="s">
        <v>4321</v>
      </c>
      <c r="C2021" s="127" t="s">
        <v>22</v>
      </c>
      <c r="D2021" s="127"/>
      <c r="E2021" s="127"/>
      <c r="F2021" s="128"/>
      <c r="G2021" s="128"/>
      <c r="H2021" s="128"/>
      <c r="I2021" s="127" t="s">
        <v>1344</v>
      </c>
    </row>
    <row r="2022" spans="1:9" x14ac:dyDescent="0.2">
      <c r="A2022" s="127" t="s">
        <v>4322</v>
      </c>
      <c r="B2022" s="127" t="s">
        <v>4323</v>
      </c>
      <c r="C2022" s="127" t="s">
        <v>22</v>
      </c>
      <c r="D2022" s="127"/>
      <c r="E2022" s="127"/>
      <c r="F2022" s="128"/>
      <c r="G2022" s="128"/>
      <c r="H2022" s="128"/>
      <c r="I2022" s="127" t="s">
        <v>1344</v>
      </c>
    </row>
    <row r="2023" spans="1:9" x14ac:dyDescent="0.2">
      <c r="A2023" s="127" t="s">
        <v>4324</v>
      </c>
      <c r="B2023" s="127" t="s">
        <v>4325</v>
      </c>
      <c r="C2023" s="127" t="s">
        <v>46</v>
      </c>
      <c r="D2023" s="127"/>
      <c r="E2023" s="127"/>
      <c r="F2023" s="128"/>
      <c r="G2023" s="128"/>
      <c r="H2023" s="128"/>
      <c r="I2023" s="127" t="s">
        <v>1344</v>
      </c>
    </row>
    <row r="2024" spans="1:9" x14ac:dyDescent="0.2">
      <c r="A2024" s="127" t="s">
        <v>4326</v>
      </c>
      <c r="B2024" s="127" t="s">
        <v>4327</v>
      </c>
      <c r="C2024" s="127" t="s">
        <v>46</v>
      </c>
      <c r="D2024" s="127"/>
      <c r="E2024" s="127"/>
      <c r="F2024" s="128"/>
      <c r="G2024" s="128"/>
      <c r="H2024" s="128"/>
      <c r="I2024" s="127" t="s">
        <v>1344</v>
      </c>
    </row>
    <row r="2025" spans="1:9" x14ac:dyDescent="0.2">
      <c r="A2025" s="127" t="s">
        <v>4328</v>
      </c>
      <c r="B2025" s="127" t="s">
        <v>4329</v>
      </c>
      <c r="C2025" s="127" t="s">
        <v>17</v>
      </c>
      <c r="D2025" s="127"/>
      <c r="E2025" s="127"/>
      <c r="F2025" s="128"/>
      <c r="G2025" s="128"/>
      <c r="H2025" s="128"/>
      <c r="I2025" s="127" t="s">
        <v>1344</v>
      </c>
    </row>
    <row r="2026" spans="1:9" x14ac:dyDescent="0.2">
      <c r="A2026" s="127" t="s">
        <v>4330</v>
      </c>
      <c r="B2026" s="127" t="s">
        <v>4331</v>
      </c>
      <c r="C2026" s="127" t="s">
        <v>22</v>
      </c>
      <c r="D2026" s="127"/>
      <c r="E2026" s="127"/>
      <c r="F2026" s="128"/>
      <c r="G2026" s="128"/>
      <c r="H2026" s="128"/>
      <c r="I2026" s="127" t="s">
        <v>1344</v>
      </c>
    </row>
    <row r="2027" spans="1:9" x14ac:dyDescent="0.2">
      <c r="A2027" s="127" t="s">
        <v>4332</v>
      </c>
      <c r="B2027" s="127" t="s">
        <v>4333</v>
      </c>
      <c r="C2027" s="127" t="s">
        <v>22</v>
      </c>
      <c r="D2027" s="127"/>
      <c r="E2027" s="127"/>
      <c r="F2027" s="128"/>
      <c r="G2027" s="128"/>
      <c r="H2027" s="128"/>
      <c r="I2027" s="127" t="s">
        <v>1344</v>
      </c>
    </row>
    <row r="2028" spans="1:9" x14ac:dyDescent="0.2">
      <c r="A2028" s="127" t="s">
        <v>4334</v>
      </c>
      <c r="B2028" s="127" t="s">
        <v>4335</v>
      </c>
      <c r="C2028" s="127" t="s">
        <v>22</v>
      </c>
      <c r="D2028" s="127"/>
      <c r="E2028" s="127"/>
      <c r="F2028" s="128"/>
      <c r="G2028" s="128"/>
      <c r="H2028" s="128"/>
      <c r="I2028" s="127" t="s">
        <v>1344</v>
      </c>
    </row>
    <row r="2029" spans="1:9" x14ac:dyDescent="0.2">
      <c r="A2029" s="127" t="s">
        <v>4336</v>
      </c>
      <c r="B2029" s="127" t="s">
        <v>4337</v>
      </c>
      <c r="C2029" s="127" t="s">
        <v>17</v>
      </c>
      <c r="D2029" s="127"/>
      <c r="E2029" s="127"/>
      <c r="F2029" s="128"/>
      <c r="G2029" s="128"/>
      <c r="H2029" s="128"/>
      <c r="I2029" s="127" t="s">
        <v>1344</v>
      </c>
    </row>
    <row r="2030" spans="1:9" x14ac:dyDescent="0.2">
      <c r="A2030" s="127" t="s">
        <v>4338</v>
      </c>
      <c r="B2030" s="127" t="s">
        <v>4339</v>
      </c>
      <c r="C2030" s="127" t="s">
        <v>46</v>
      </c>
      <c r="D2030" s="127"/>
      <c r="E2030" s="127"/>
      <c r="F2030" s="128"/>
      <c r="G2030" s="128"/>
      <c r="H2030" s="128"/>
      <c r="I2030" s="127" t="s">
        <v>1344</v>
      </c>
    </row>
    <row r="2031" spans="1:9" x14ac:dyDescent="0.2">
      <c r="A2031" s="127" t="s">
        <v>4340</v>
      </c>
      <c r="B2031" s="127" t="s">
        <v>4341</v>
      </c>
      <c r="C2031" s="127" t="s">
        <v>22</v>
      </c>
      <c r="D2031" s="127"/>
      <c r="E2031" s="127"/>
      <c r="F2031" s="128"/>
      <c r="G2031" s="128"/>
      <c r="H2031" s="128"/>
      <c r="I2031" s="127" t="s">
        <v>1344</v>
      </c>
    </row>
    <row r="2032" spans="1:9" x14ac:dyDescent="0.2">
      <c r="A2032" s="127" t="s">
        <v>4342</v>
      </c>
      <c r="B2032" s="127" t="s">
        <v>4343</v>
      </c>
      <c r="C2032" s="127" t="s">
        <v>46</v>
      </c>
      <c r="D2032" s="127"/>
      <c r="E2032" s="127"/>
      <c r="F2032" s="128"/>
      <c r="G2032" s="128"/>
      <c r="H2032" s="128"/>
      <c r="I2032" s="127" t="s">
        <v>1344</v>
      </c>
    </row>
    <row r="2033" spans="1:9" x14ac:dyDescent="0.2">
      <c r="A2033" s="127" t="s">
        <v>4344</v>
      </c>
      <c r="B2033" s="127" t="s">
        <v>4345</v>
      </c>
      <c r="C2033" s="127" t="s">
        <v>22</v>
      </c>
      <c r="D2033" s="127"/>
      <c r="E2033" s="127"/>
      <c r="F2033" s="128"/>
      <c r="G2033" s="128"/>
      <c r="H2033" s="128"/>
      <c r="I2033" s="127" t="s">
        <v>1344</v>
      </c>
    </row>
    <row r="2034" spans="1:9" x14ac:dyDescent="0.2">
      <c r="A2034" s="127" t="s">
        <v>4346</v>
      </c>
      <c r="B2034" s="127" t="s">
        <v>4347</v>
      </c>
      <c r="C2034" s="127" t="s">
        <v>22</v>
      </c>
      <c r="D2034" s="127"/>
      <c r="E2034" s="127"/>
      <c r="F2034" s="128"/>
      <c r="G2034" s="128"/>
      <c r="H2034" s="128"/>
      <c r="I2034" s="127" t="s">
        <v>1344</v>
      </c>
    </row>
    <row r="2035" spans="1:9" x14ac:dyDescent="0.2">
      <c r="A2035" s="127" t="s">
        <v>4348</v>
      </c>
      <c r="B2035" s="127" t="s">
        <v>4349</v>
      </c>
      <c r="C2035" s="127" t="s">
        <v>22</v>
      </c>
      <c r="D2035" s="127"/>
      <c r="E2035" s="127"/>
      <c r="F2035" s="128"/>
      <c r="G2035" s="128"/>
      <c r="H2035" s="128"/>
      <c r="I2035" s="127" t="s">
        <v>1344</v>
      </c>
    </row>
    <row r="2036" spans="1:9" x14ac:dyDescent="0.2">
      <c r="A2036" s="127" t="s">
        <v>4350</v>
      </c>
      <c r="B2036" s="127" t="s">
        <v>4351</v>
      </c>
      <c r="C2036" s="127" t="s">
        <v>22</v>
      </c>
      <c r="D2036" s="127"/>
      <c r="E2036" s="127"/>
      <c r="F2036" s="128"/>
      <c r="G2036" s="128"/>
      <c r="H2036" s="128"/>
      <c r="I2036" s="127" t="s">
        <v>1344</v>
      </c>
    </row>
    <row r="2037" spans="1:9" x14ac:dyDescent="0.2">
      <c r="A2037" s="127" t="s">
        <v>4352</v>
      </c>
      <c r="B2037" s="127" t="s">
        <v>4353</v>
      </c>
      <c r="C2037" s="127" t="s">
        <v>22</v>
      </c>
      <c r="D2037" s="127"/>
      <c r="E2037" s="127"/>
      <c r="F2037" s="128"/>
      <c r="G2037" s="128"/>
      <c r="H2037" s="128"/>
      <c r="I2037" s="127" t="s">
        <v>1344</v>
      </c>
    </row>
    <row r="2038" spans="1:9" x14ac:dyDescent="0.2">
      <c r="A2038" s="127" t="s">
        <v>4350</v>
      </c>
      <c r="B2038" s="127" t="s">
        <v>4354</v>
      </c>
      <c r="C2038" s="127" t="s">
        <v>22</v>
      </c>
      <c r="D2038" s="127"/>
      <c r="E2038" s="127"/>
      <c r="F2038" s="128"/>
      <c r="G2038" s="128"/>
      <c r="H2038" s="128"/>
      <c r="I2038" s="127" t="s">
        <v>1344</v>
      </c>
    </row>
    <row r="2039" spans="1:9" x14ac:dyDescent="0.2">
      <c r="A2039" s="127" t="s">
        <v>4355</v>
      </c>
      <c r="B2039" s="127" t="s">
        <v>4356</v>
      </c>
      <c r="C2039" s="127" t="s">
        <v>46</v>
      </c>
      <c r="D2039" s="127"/>
      <c r="E2039" s="127"/>
      <c r="F2039" s="128"/>
      <c r="G2039" s="128"/>
      <c r="H2039" s="128"/>
      <c r="I2039" s="127" t="s">
        <v>1344</v>
      </c>
    </row>
    <row r="2040" spans="1:9" x14ac:dyDescent="0.2">
      <c r="A2040" s="127" t="s">
        <v>4357</v>
      </c>
      <c r="B2040" s="127" t="s">
        <v>4358</v>
      </c>
      <c r="C2040" s="127" t="s">
        <v>22</v>
      </c>
      <c r="D2040" s="127"/>
      <c r="E2040" s="127"/>
      <c r="F2040" s="128"/>
      <c r="G2040" s="128"/>
      <c r="H2040" s="128"/>
      <c r="I2040" s="127" t="s">
        <v>1344</v>
      </c>
    </row>
    <row r="2041" spans="1:9" x14ac:dyDescent="0.2">
      <c r="A2041" s="127" t="s">
        <v>4359</v>
      </c>
      <c r="B2041" s="127" t="s">
        <v>4360</v>
      </c>
      <c r="C2041" s="127" t="s">
        <v>22</v>
      </c>
      <c r="D2041" s="127"/>
      <c r="E2041" s="127"/>
      <c r="F2041" s="128"/>
      <c r="G2041" s="128"/>
      <c r="H2041" s="128"/>
      <c r="I2041" s="127" t="s">
        <v>1344</v>
      </c>
    </row>
    <row r="2042" spans="1:9" x14ac:dyDescent="0.2">
      <c r="A2042" s="127" t="s">
        <v>4361</v>
      </c>
      <c r="B2042" s="127" t="s">
        <v>4362</v>
      </c>
      <c r="C2042" s="127" t="s">
        <v>22</v>
      </c>
      <c r="D2042" s="127"/>
      <c r="E2042" s="127"/>
      <c r="F2042" s="128"/>
      <c r="G2042" s="128"/>
      <c r="H2042" s="128"/>
      <c r="I2042" s="127" t="s">
        <v>1344</v>
      </c>
    </row>
    <row r="2043" spans="1:9" x14ac:dyDescent="0.2">
      <c r="A2043" s="127" t="s">
        <v>4363</v>
      </c>
      <c r="B2043" s="127" t="s">
        <v>4364</v>
      </c>
      <c r="C2043" s="127" t="s">
        <v>22</v>
      </c>
      <c r="D2043" s="127"/>
      <c r="E2043" s="127"/>
      <c r="F2043" s="128"/>
      <c r="G2043" s="128"/>
      <c r="H2043" s="128"/>
      <c r="I2043" s="127" t="s">
        <v>1344</v>
      </c>
    </row>
    <row r="2044" spans="1:9" x14ac:dyDescent="0.2">
      <c r="A2044" s="127" t="s">
        <v>4365</v>
      </c>
      <c r="B2044" s="127" t="s">
        <v>4366</v>
      </c>
      <c r="C2044" s="127" t="s">
        <v>46</v>
      </c>
      <c r="D2044" s="127"/>
      <c r="E2044" s="127"/>
      <c r="F2044" s="128"/>
      <c r="G2044" s="128"/>
      <c r="H2044" s="128"/>
      <c r="I2044" s="127" t="s">
        <v>1344</v>
      </c>
    </row>
    <row r="2045" spans="1:9" x14ac:dyDescent="0.2">
      <c r="A2045" s="127" t="s">
        <v>4367</v>
      </c>
      <c r="B2045" s="127" t="s">
        <v>4368</v>
      </c>
      <c r="C2045" s="127" t="s">
        <v>46</v>
      </c>
      <c r="D2045" s="127"/>
      <c r="E2045" s="127"/>
      <c r="F2045" s="128"/>
      <c r="G2045" s="128"/>
      <c r="H2045" s="128"/>
      <c r="I2045" s="127" t="s">
        <v>1344</v>
      </c>
    </row>
    <row r="2046" spans="1:9" x14ac:dyDescent="0.2">
      <c r="A2046" s="127" t="s">
        <v>4369</v>
      </c>
      <c r="B2046" s="127" t="s">
        <v>4370</v>
      </c>
      <c r="C2046" s="127" t="s">
        <v>22</v>
      </c>
      <c r="D2046" s="127"/>
      <c r="E2046" s="127"/>
      <c r="F2046" s="128"/>
      <c r="G2046" s="128"/>
      <c r="H2046" s="128"/>
      <c r="I2046" s="127" t="s">
        <v>1344</v>
      </c>
    </row>
    <row r="2047" spans="1:9" x14ac:dyDescent="0.2">
      <c r="A2047" s="127" t="s">
        <v>4371</v>
      </c>
      <c r="B2047" s="127" t="s">
        <v>4372</v>
      </c>
      <c r="C2047" s="127" t="s">
        <v>17</v>
      </c>
      <c r="D2047" s="127"/>
      <c r="E2047" s="127"/>
      <c r="F2047" s="128"/>
      <c r="G2047" s="128"/>
      <c r="H2047" s="128"/>
      <c r="I2047" s="127" t="s">
        <v>1344</v>
      </c>
    </row>
    <row r="2048" spans="1:9" x14ac:dyDescent="0.2">
      <c r="A2048" s="127" t="s">
        <v>4373</v>
      </c>
      <c r="B2048" s="127" t="s">
        <v>4374</v>
      </c>
      <c r="C2048" s="127" t="s">
        <v>22</v>
      </c>
      <c r="D2048" s="127"/>
      <c r="E2048" s="127"/>
      <c r="F2048" s="128"/>
      <c r="G2048" s="128"/>
      <c r="H2048" s="128"/>
      <c r="I2048" s="127" t="s">
        <v>1344</v>
      </c>
    </row>
    <row r="2049" spans="1:9" x14ac:dyDescent="0.2">
      <c r="A2049" s="127" t="s">
        <v>4375</v>
      </c>
      <c r="B2049" s="127" t="s">
        <v>4376</v>
      </c>
      <c r="C2049" s="127" t="s">
        <v>46</v>
      </c>
      <c r="D2049" s="127"/>
      <c r="E2049" s="127"/>
      <c r="F2049" s="128"/>
      <c r="G2049" s="128"/>
      <c r="H2049" s="128"/>
      <c r="I2049" s="127" t="s">
        <v>1344</v>
      </c>
    </row>
    <row r="2050" spans="1:9" x14ac:dyDescent="0.2">
      <c r="A2050" s="127" t="s">
        <v>4377</v>
      </c>
      <c r="B2050" s="127" t="s">
        <v>4378</v>
      </c>
      <c r="C2050" s="127" t="s">
        <v>46</v>
      </c>
      <c r="D2050" s="127"/>
      <c r="E2050" s="127"/>
      <c r="F2050" s="128"/>
      <c r="G2050" s="128"/>
      <c r="H2050" s="128"/>
      <c r="I2050" s="127" t="s">
        <v>1344</v>
      </c>
    </row>
    <row r="2051" spans="1:9" x14ac:dyDescent="0.2">
      <c r="A2051" s="127" t="s">
        <v>4379</v>
      </c>
      <c r="B2051" s="127" t="s">
        <v>4380</v>
      </c>
      <c r="C2051" s="127" t="s">
        <v>22</v>
      </c>
      <c r="D2051" s="127"/>
      <c r="E2051" s="127"/>
      <c r="F2051" s="128"/>
      <c r="G2051" s="128"/>
      <c r="H2051" s="128"/>
      <c r="I2051" s="127" t="s">
        <v>1344</v>
      </c>
    </row>
    <row r="2052" spans="1:9" x14ac:dyDescent="0.2">
      <c r="A2052" s="127" t="s">
        <v>4381</v>
      </c>
      <c r="B2052" s="127" t="s">
        <v>4382</v>
      </c>
      <c r="C2052" s="127" t="s">
        <v>22</v>
      </c>
      <c r="D2052" s="127"/>
      <c r="E2052" s="127"/>
      <c r="F2052" s="128"/>
      <c r="G2052" s="128"/>
      <c r="H2052" s="128"/>
      <c r="I2052" s="127" t="s">
        <v>1344</v>
      </c>
    </row>
    <row r="2053" spans="1:9" x14ac:dyDescent="0.2">
      <c r="A2053" s="127" t="s">
        <v>4383</v>
      </c>
      <c r="B2053" s="127" t="s">
        <v>4384</v>
      </c>
      <c r="C2053" s="127" t="s">
        <v>17</v>
      </c>
      <c r="D2053" s="127"/>
      <c r="E2053" s="127"/>
      <c r="F2053" s="128"/>
      <c r="G2053" s="128"/>
      <c r="H2053" s="128"/>
      <c r="I2053" s="127" t="s">
        <v>1344</v>
      </c>
    </row>
    <row r="2054" spans="1:9" x14ac:dyDescent="0.2">
      <c r="A2054" s="127" t="s">
        <v>4385</v>
      </c>
      <c r="B2054" s="127" t="s">
        <v>4386</v>
      </c>
      <c r="C2054" s="127" t="s">
        <v>17</v>
      </c>
      <c r="D2054" s="127"/>
      <c r="E2054" s="127"/>
      <c r="F2054" s="128"/>
      <c r="G2054" s="128"/>
      <c r="H2054" s="128"/>
      <c r="I2054" s="127" t="s">
        <v>1344</v>
      </c>
    </row>
    <row r="2055" spans="1:9" x14ac:dyDescent="0.2">
      <c r="A2055" s="127" t="s">
        <v>4387</v>
      </c>
      <c r="B2055" s="127" t="s">
        <v>4388</v>
      </c>
      <c r="C2055" s="127" t="s">
        <v>17</v>
      </c>
      <c r="D2055" s="127"/>
      <c r="E2055" s="127"/>
      <c r="F2055" s="128"/>
      <c r="G2055" s="128"/>
      <c r="H2055" s="128"/>
      <c r="I2055" s="127" t="s">
        <v>1344</v>
      </c>
    </row>
    <row r="2056" spans="1:9" x14ac:dyDescent="0.2">
      <c r="A2056" s="127" t="s">
        <v>4389</v>
      </c>
      <c r="B2056" s="127" t="s">
        <v>4390</v>
      </c>
      <c r="C2056" s="127" t="s">
        <v>22</v>
      </c>
      <c r="D2056" s="127"/>
      <c r="E2056" s="127"/>
      <c r="F2056" s="128"/>
      <c r="G2056" s="128"/>
      <c r="H2056" s="128"/>
      <c r="I2056" s="127" t="s">
        <v>1344</v>
      </c>
    </row>
    <row r="2057" spans="1:9" x14ac:dyDescent="0.2">
      <c r="A2057" s="127" t="s">
        <v>4391</v>
      </c>
      <c r="B2057" s="127" t="s">
        <v>4392</v>
      </c>
      <c r="C2057" s="127" t="s">
        <v>22</v>
      </c>
      <c r="D2057" s="127"/>
      <c r="E2057" s="127"/>
      <c r="F2057" s="128"/>
      <c r="G2057" s="128"/>
      <c r="H2057" s="128"/>
      <c r="I2057" s="127" t="s">
        <v>1344</v>
      </c>
    </row>
    <row r="2058" spans="1:9" x14ac:dyDescent="0.2">
      <c r="A2058" s="127" t="s">
        <v>4393</v>
      </c>
      <c r="B2058" s="127" t="s">
        <v>4394</v>
      </c>
      <c r="C2058" s="127" t="s">
        <v>22</v>
      </c>
      <c r="D2058" s="127"/>
      <c r="E2058" s="127"/>
      <c r="F2058" s="128"/>
      <c r="G2058" s="128"/>
      <c r="H2058" s="128"/>
      <c r="I2058" s="127" t="s">
        <v>1344</v>
      </c>
    </row>
    <row r="2059" spans="1:9" x14ac:dyDescent="0.2">
      <c r="A2059" s="127" t="s">
        <v>4395</v>
      </c>
      <c r="B2059" s="127" t="s">
        <v>4396</v>
      </c>
      <c r="C2059" s="127" t="s">
        <v>17</v>
      </c>
      <c r="D2059" s="127"/>
      <c r="E2059" s="127"/>
      <c r="F2059" s="128"/>
      <c r="G2059" s="128"/>
      <c r="H2059" s="128"/>
      <c r="I2059" s="127" t="s">
        <v>1344</v>
      </c>
    </row>
    <row r="2060" spans="1:9" x14ac:dyDescent="0.2">
      <c r="A2060" s="127" t="s">
        <v>4397</v>
      </c>
      <c r="B2060" s="127" t="s">
        <v>4398</v>
      </c>
      <c r="C2060" s="127" t="s">
        <v>46</v>
      </c>
      <c r="D2060" s="127"/>
      <c r="E2060" s="127"/>
      <c r="F2060" s="128"/>
      <c r="G2060" s="128"/>
      <c r="H2060" s="128"/>
      <c r="I2060" s="127" t="s">
        <v>1344</v>
      </c>
    </row>
    <row r="2061" spans="1:9" x14ac:dyDescent="0.2">
      <c r="A2061" s="127" t="s">
        <v>4399</v>
      </c>
      <c r="B2061" s="127" t="s">
        <v>4400</v>
      </c>
      <c r="C2061" s="127" t="s">
        <v>22</v>
      </c>
      <c r="D2061" s="127"/>
      <c r="E2061" s="127"/>
      <c r="F2061" s="128"/>
      <c r="G2061" s="128"/>
      <c r="H2061" s="128"/>
      <c r="I2061" s="127" t="s">
        <v>1344</v>
      </c>
    </row>
    <row r="2062" spans="1:9" x14ac:dyDescent="0.2">
      <c r="A2062" s="127" t="s">
        <v>4401</v>
      </c>
      <c r="B2062" s="127" t="s">
        <v>4402</v>
      </c>
      <c r="C2062" s="127" t="s">
        <v>46</v>
      </c>
      <c r="D2062" s="127"/>
      <c r="E2062" s="127"/>
      <c r="F2062" s="128"/>
      <c r="G2062" s="128"/>
      <c r="H2062" s="128"/>
      <c r="I2062" s="127" t="s">
        <v>1344</v>
      </c>
    </row>
    <row r="2063" spans="1:9" x14ac:dyDescent="0.2">
      <c r="A2063" s="127" t="s">
        <v>4403</v>
      </c>
      <c r="B2063" s="127" t="s">
        <v>4404</v>
      </c>
      <c r="C2063" s="127" t="s">
        <v>17</v>
      </c>
      <c r="D2063" s="127"/>
      <c r="E2063" s="127"/>
      <c r="F2063" s="128"/>
      <c r="G2063" s="128"/>
      <c r="H2063" s="128"/>
      <c r="I2063" s="127" t="s">
        <v>1344</v>
      </c>
    </row>
    <row r="2064" spans="1:9" x14ac:dyDescent="0.2">
      <c r="A2064" s="127" t="s">
        <v>4405</v>
      </c>
      <c r="B2064" s="127" t="s">
        <v>4406</v>
      </c>
      <c r="C2064" s="127" t="s">
        <v>17</v>
      </c>
      <c r="D2064" s="127"/>
      <c r="E2064" s="127"/>
      <c r="F2064" s="128"/>
      <c r="G2064" s="128"/>
      <c r="H2064" s="128"/>
      <c r="I2064" s="127" t="s">
        <v>1344</v>
      </c>
    </row>
    <row r="2065" spans="1:9" x14ac:dyDescent="0.2">
      <c r="A2065" s="127" t="s">
        <v>4407</v>
      </c>
      <c r="B2065" s="127" t="s">
        <v>4408</v>
      </c>
      <c r="C2065" s="127" t="s">
        <v>17</v>
      </c>
      <c r="D2065" s="127"/>
      <c r="E2065" s="127"/>
      <c r="F2065" s="128"/>
      <c r="G2065" s="128"/>
      <c r="H2065" s="128"/>
      <c r="I2065" s="127" t="s">
        <v>1344</v>
      </c>
    </row>
    <row r="2066" spans="1:9" x14ac:dyDescent="0.2">
      <c r="A2066" s="127" t="s">
        <v>4409</v>
      </c>
      <c r="B2066" s="127" t="s">
        <v>4410</v>
      </c>
      <c r="C2066" s="127" t="s">
        <v>46</v>
      </c>
      <c r="D2066" s="127"/>
      <c r="E2066" s="127"/>
      <c r="F2066" s="128"/>
      <c r="G2066" s="128"/>
      <c r="H2066" s="128"/>
      <c r="I2066" s="127" t="s">
        <v>1344</v>
      </c>
    </row>
    <row r="2067" spans="1:9" x14ac:dyDescent="0.2">
      <c r="A2067" s="127" t="s">
        <v>4411</v>
      </c>
      <c r="B2067" s="127" t="s">
        <v>4412</v>
      </c>
      <c r="C2067" s="127" t="s">
        <v>22</v>
      </c>
      <c r="D2067" s="127"/>
      <c r="E2067" s="127"/>
      <c r="F2067" s="128"/>
      <c r="G2067" s="128"/>
      <c r="H2067" s="128"/>
      <c r="I2067" s="127" t="s">
        <v>1344</v>
      </c>
    </row>
    <row r="2068" spans="1:9" x14ac:dyDescent="0.2">
      <c r="A2068" s="127" t="s">
        <v>4413</v>
      </c>
      <c r="B2068" s="127" t="s">
        <v>4414</v>
      </c>
      <c r="C2068" s="127" t="s">
        <v>22</v>
      </c>
      <c r="D2068" s="127"/>
      <c r="E2068" s="127"/>
      <c r="F2068" s="128"/>
      <c r="G2068" s="128"/>
      <c r="H2068" s="128"/>
      <c r="I2068" s="127" t="s">
        <v>1344</v>
      </c>
    </row>
    <row r="2069" spans="1:9" x14ac:dyDescent="0.2">
      <c r="A2069" s="127" t="s">
        <v>4415</v>
      </c>
      <c r="B2069" s="127" t="s">
        <v>4416</v>
      </c>
      <c r="C2069" s="127" t="s">
        <v>46</v>
      </c>
      <c r="D2069" s="127"/>
      <c r="E2069" s="127"/>
      <c r="F2069" s="128"/>
      <c r="G2069" s="128"/>
      <c r="H2069" s="128"/>
      <c r="I2069" s="127" t="s">
        <v>1344</v>
      </c>
    </row>
    <row r="2070" spans="1:9" x14ac:dyDescent="0.2">
      <c r="A2070" s="127" t="s">
        <v>4417</v>
      </c>
      <c r="B2070" s="127" t="s">
        <v>4418</v>
      </c>
      <c r="C2070" s="127" t="s">
        <v>46</v>
      </c>
      <c r="D2070" s="127"/>
      <c r="E2070" s="127"/>
      <c r="F2070" s="128"/>
      <c r="G2070" s="128"/>
      <c r="H2070" s="128"/>
      <c r="I2070" s="127" t="s">
        <v>1344</v>
      </c>
    </row>
    <row r="2071" spans="1:9" x14ac:dyDescent="0.2">
      <c r="A2071" s="127" t="s">
        <v>4419</v>
      </c>
      <c r="B2071" s="127" t="s">
        <v>4420</v>
      </c>
      <c r="C2071" s="127" t="s">
        <v>17</v>
      </c>
      <c r="D2071" s="127"/>
      <c r="E2071" s="127"/>
      <c r="F2071" s="128"/>
      <c r="G2071" s="128"/>
      <c r="H2071" s="128"/>
      <c r="I2071" s="127" t="s">
        <v>1344</v>
      </c>
    </row>
    <row r="2072" spans="1:9" x14ac:dyDescent="0.2">
      <c r="A2072" s="127" t="s">
        <v>4421</v>
      </c>
      <c r="B2072" s="127" t="s">
        <v>4422</v>
      </c>
      <c r="C2072" s="127" t="s">
        <v>46</v>
      </c>
      <c r="D2072" s="127"/>
      <c r="E2072" s="127"/>
      <c r="F2072" s="128"/>
      <c r="G2072" s="128"/>
      <c r="H2072" s="128"/>
      <c r="I2072" s="127" t="s">
        <v>1344</v>
      </c>
    </row>
    <row r="2073" spans="1:9" x14ac:dyDescent="0.2">
      <c r="A2073" s="127" t="s">
        <v>4423</v>
      </c>
      <c r="B2073" s="127" t="s">
        <v>4424</v>
      </c>
      <c r="C2073" s="127" t="s">
        <v>46</v>
      </c>
      <c r="D2073" s="127"/>
      <c r="E2073" s="127"/>
      <c r="F2073" s="128"/>
      <c r="G2073" s="128"/>
      <c r="H2073" s="128"/>
      <c r="I2073" s="127" t="s">
        <v>1344</v>
      </c>
    </row>
    <row r="2074" spans="1:9" x14ac:dyDescent="0.2">
      <c r="A2074" s="127" t="s">
        <v>4425</v>
      </c>
      <c r="B2074" s="127" t="s">
        <v>4426</v>
      </c>
      <c r="C2074" s="127" t="s">
        <v>22</v>
      </c>
      <c r="D2074" s="127"/>
      <c r="E2074" s="127"/>
      <c r="F2074" s="128"/>
      <c r="G2074" s="128"/>
      <c r="H2074" s="128"/>
      <c r="I2074" s="127" t="s">
        <v>1344</v>
      </c>
    </row>
    <row r="2075" spans="1:9" x14ac:dyDescent="0.2">
      <c r="A2075" s="127" t="s">
        <v>4427</v>
      </c>
      <c r="B2075" s="127" t="s">
        <v>4428</v>
      </c>
      <c r="C2075" s="127" t="s">
        <v>22</v>
      </c>
      <c r="D2075" s="127"/>
      <c r="E2075" s="127"/>
      <c r="F2075" s="128"/>
      <c r="G2075" s="128"/>
      <c r="H2075" s="128"/>
      <c r="I2075" s="127" t="s">
        <v>1344</v>
      </c>
    </row>
    <row r="2076" spans="1:9" x14ac:dyDescent="0.2">
      <c r="A2076" s="127" t="s">
        <v>4429</v>
      </c>
      <c r="B2076" s="127" t="s">
        <v>4430</v>
      </c>
      <c r="C2076" s="127" t="s">
        <v>22</v>
      </c>
      <c r="D2076" s="127"/>
      <c r="E2076" s="127"/>
      <c r="F2076" s="128"/>
      <c r="G2076" s="128"/>
      <c r="H2076" s="128"/>
      <c r="I2076" s="127" t="s">
        <v>1344</v>
      </c>
    </row>
    <row r="2077" spans="1:9" x14ac:dyDescent="0.2">
      <c r="A2077" s="127" t="s">
        <v>4431</v>
      </c>
      <c r="B2077" s="127" t="s">
        <v>4432</v>
      </c>
      <c r="C2077" s="127" t="s">
        <v>17</v>
      </c>
      <c r="D2077" s="127"/>
      <c r="E2077" s="127"/>
      <c r="F2077" s="128"/>
      <c r="G2077" s="128"/>
      <c r="H2077" s="128"/>
      <c r="I2077" s="127" t="s">
        <v>1344</v>
      </c>
    </row>
    <row r="2078" spans="1:9" x14ac:dyDescent="0.2">
      <c r="A2078" s="127" t="s">
        <v>4433</v>
      </c>
      <c r="B2078" s="127" t="s">
        <v>4434</v>
      </c>
      <c r="C2078" s="127" t="s">
        <v>17</v>
      </c>
      <c r="D2078" s="127"/>
      <c r="E2078" s="127"/>
      <c r="F2078" s="128"/>
      <c r="G2078" s="128"/>
      <c r="H2078" s="128"/>
      <c r="I2078" s="127" t="s">
        <v>1344</v>
      </c>
    </row>
    <row r="2079" spans="1:9" x14ac:dyDescent="0.2">
      <c r="A2079" s="127" t="s">
        <v>4435</v>
      </c>
      <c r="B2079" s="127" t="s">
        <v>4436</v>
      </c>
      <c r="C2079" s="127" t="s">
        <v>17</v>
      </c>
      <c r="D2079" s="127"/>
      <c r="E2079" s="127"/>
      <c r="F2079" s="128"/>
      <c r="G2079" s="128"/>
      <c r="H2079" s="128"/>
      <c r="I2079" s="127" t="s">
        <v>1344</v>
      </c>
    </row>
    <row r="2080" spans="1:9" x14ac:dyDescent="0.2">
      <c r="A2080" s="127" t="s">
        <v>4437</v>
      </c>
      <c r="B2080" s="127" t="s">
        <v>4438</v>
      </c>
      <c r="C2080" s="127" t="s">
        <v>22</v>
      </c>
      <c r="D2080" s="127"/>
      <c r="E2080" s="127"/>
      <c r="F2080" s="128"/>
      <c r="G2080" s="128"/>
      <c r="H2080" s="128"/>
      <c r="I2080" s="127" t="s">
        <v>1344</v>
      </c>
    </row>
    <row r="2081" spans="1:9" x14ac:dyDescent="0.2">
      <c r="A2081" s="127" t="s">
        <v>4439</v>
      </c>
      <c r="B2081" s="127" t="s">
        <v>4440</v>
      </c>
      <c r="C2081" s="127" t="s">
        <v>22</v>
      </c>
      <c r="D2081" s="127"/>
      <c r="E2081" s="127"/>
      <c r="F2081" s="128"/>
      <c r="G2081" s="128"/>
      <c r="H2081" s="128"/>
      <c r="I2081" s="127" t="s">
        <v>1344</v>
      </c>
    </row>
    <row r="2082" spans="1:9" x14ac:dyDescent="0.2">
      <c r="A2082" s="127" t="s">
        <v>4441</v>
      </c>
      <c r="B2082" s="127" t="s">
        <v>4442</v>
      </c>
      <c r="C2082" s="127" t="s">
        <v>22</v>
      </c>
      <c r="D2082" s="127"/>
      <c r="E2082" s="127"/>
      <c r="F2082" s="128"/>
      <c r="G2082" s="128"/>
      <c r="H2082" s="128"/>
      <c r="I2082" s="127" t="s">
        <v>1344</v>
      </c>
    </row>
    <row r="2083" spans="1:9" x14ac:dyDescent="0.2">
      <c r="A2083" s="127" t="s">
        <v>4443</v>
      </c>
      <c r="B2083" s="127" t="s">
        <v>4444</v>
      </c>
      <c r="C2083" s="127" t="s">
        <v>46</v>
      </c>
      <c r="D2083" s="127"/>
      <c r="E2083" s="127"/>
      <c r="F2083" s="128"/>
      <c r="G2083" s="128"/>
      <c r="H2083" s="128"/>
      <c r="I2083" s="127" t="s">
        <v>1344</v>
      </c>
    </row>
    <row r="2084" spans="1:9" x14ac:dyDescent="0.2">
      <c r="A2084" s="127" t="s">
        <v>4445</v>
      </c>
      <c r="B2084" s="127" t="s">
        <v>4446</v>
      </c>
      <c r="C2084" s="127" t="s">
        <v>46</v>
      </c>
      <c r="D2084" s="127"/>
      <c r="E2084" s="127"/>
      <c r="F2084" s="128"/>
      <c r="G2084" s="128"/>
      <c r="H2084" s="128"/>
      <c r="I2084" s="127" t="s">
        <v>1344</v>
      </c>
    </row>
    <row r="2085" spans="1:9" x14ac:dyDescent="0.2">
      <c r="A2085" s="127" t="s">
        <v>4447</v>
      </c>
      <c r="B2085" s="127" t="s">
        <v>4448</v>
      </c>
      <c r="C2085" s="127" t="s">
        <v>17</v>
      </c>
      <c r="D2085" s="127"/>
      <c r="E2085" s="127"/>
      <c r="F2085" s="128"/>
      <c r="G2085" s="128"/>
      <c r="H2085" s="128"/>
      <c r="I2085" s="127" t="s">
        <v>1344</v>
      </c>
    </row>
    <row r="2086" spans="1:9" x14ac:dyDescent="0.2">
      <c r="A2086" s="127" t="s">
        <v>4449</v>
      </c>
      <c r="B2086" s="127" t="s">
        <v>4450</v>
      </c>
      <c r="C2086" s="127" t="s">
        <v>22</v>
      </c>
      <c r="D2086" s="127"/>
      <c r="E2086" s="127"/>
      <c r="F2086" s="128"/>
      <c r="G2086" s="128"/>
      <c r="H2086" s="128"/>
      <c r="I2086" s="127" t="s">
        <v>1344</v>
      </c>
    </row>
    <row r="2087" spans="1:9" x14ac:dyDescent="0.2">
      <c r="A2087" s="127" t="s">
        <v>4451</v>
      </c>
      <c r="B2087" s="127" t="s">
        <v>4452</v>
      </c>
      <c r="C2087" s="127" t="s">
        <v>22</v>
      </c>
      <c r="D2087" s="127"/>
      <c r="E2087" s="127"/>
      <c r="F2087" s="128"/>
      <c r="G2087" s="128"/>
      <c r="H2087" s="128"/>
      <c r="I2087" s="127" t="s">
        <v>1344</v>
      </c>
    </row>
    <row r="2088" spans="1:9" x14ac:dyDescent="0.2">
      <c r="A2088" s="127" t="s">
        <v>4453</v>
      </c>
      <c r="B2088" s="127" t="s">
        <v>4454</v>
      </c>
      <c r="C2088" s="127" t="s">
        <v>22</v>
      </c>
      <c r="D2088" s="127"/>
      <c r="E2088" s="127"/>
      <c r="F2088" s="128"/>
      <c r="G2088" s="128"/>
      <c r="H2088" s="128"/>
      <c r="I2088" s="127" t="s">
        <v>1344</v>
      </c>
    </row>
    <row r="2089" spans="1:9" x14ac:dyDescent="0.2">
      <c r="A2089" s="127" t="s">
        <v>4455</v>
      </c>
      <c r="B2089" s="127" t="s">
        <v>1340</v>
      </c>
      <c r="C2089" s="127" t="s">
        <v>17</v>
      </c>
      <c r="D2089" s="127"/>
      <c r="E2089" s="127"/>
      <c r="F2089" s="128"/>
      <c r="G2089" s="128"/>
      <c r="H2089" s="128"/>
      <c r="I2089" s="127" t="s">
        <v>1344</v>
      </c>
    </row>
    <row r="2090" spans="1:9" x14ac:dyDescent="0.2">
      <c r="A2090" s="127" t="s">
        <v>4456</v>
      </c>
      <c r="B2090" s="127" t="s">
        <v>4457</v>
      </c>
      <c r="C2090" s="127" t="s">
        <v>46</v>
      </c>
      <c r="D2090" s="127"/>
      <c r="E2090" s="127"/>
      <c r="F2090" s="128"/>
      <c r="G2090" s="128"/>
      <c r="H2090" s="128"/>
      <c r="I2090" s="127" t="s">
        <v>1344</v>
      </c>
    </row>
    <row r="2091" spans="1:9" x14ac:dyDescent="0.2">
      <c r="A2091" s="127" t="s">
        <v>4458</v>
      </c>
      <c r="B2091" s="127" t="s">
        <v>4459</v>
      </c>
      <c r="C2091" s="127" t="s">
        <v>17</v>
      </c>
      <c r="D2091" s="127"/>
      <c r="E2091" s="127"/>
      <c r="F2091" s="128"/>
      <c r="G2091" s="128"/>
      <c r="H2091" s="128"/>
      <c r="I2091" s="127" t="s">
        <v>1344</v>
      </c>
    </row>
    <row r="2092" spans="1:9" x14ac:dyDescent="0.2">
      <c r="A2092" s="127" t="s">
        <v>4460</v>
      </c>
      <c r="B2092" s="127" t="s">
        <v>4461</v>
      </c>
      <c r="C2092" s="127" t="s">
        <v>46</v>
      </c>
      <c r="D2092" s="127"/>
      <c r="E2092" s="127"/>
      <c r="F2092" s="128"/>
      <c r="G2092" s="128"/>
      <c r="H2092" s="128"/>
      <c r="I2092" s="127" t="s">
        <v>1344</v>
      </c>
    </row>
    <row r="2093" spans="1:9" x14ac:dyDescent="0.2">
      <c r="A2093" s="127" t="s">
        <v>4462</v>
      </c>
      <c r="B2093" s="127" t="s">
        <v>4463</v>
      </c>
      <c r="C2093" s="127" t="s">
        <v>22</v>
      </c>
      <c r="D2093" s="127"/>
      <c r="E2093" s="127"/>
      <c r="F2093" s="128"/>
      <c r="G2093" s="128"/>
      <c r="H2093" s="128"/>
      <c r="I2093" s="127" t="s">
        <v>1344</v>
      </c>
    </row>
    <row r="2094" spans="1:9" x14ac:dyDescent="0.2">
      <c r="A2094" s="127" t="s">
        <v>4464</v>
      </c>
      <c r="B2094" s="127" t="s">
        <v>4465</v>
      </c>
      <c r="C2094" s="127" t="s">
        <v>22</v>
      </c>
      <c r="D2094" s="127"/>
      <c r="E2094" s="127"/>
      <c r="F2094" s="128"/>
      <c r="G2094" s="128"/>
      <c r="H2094" s="128"/>
      <c r="I2094" s="127" t="s">
        <v>1344</v>
      </c>
    </row>
    <row r="2095" spans="1:9" x14ac:dyDescent="0.2">
      <c r="A2095" s="127" t="s">
        <v>4466</v>
      </c>
      <c r="B2095" s="127" t="s">
        <v>4467</v>
      </c>
      <c r="C2095" s="127" t="s">
        <v>17</v>
      </c>
      <c r="D2095" s="127"/>
      <c r="E2095" s="127"/>
      <c r="F2095" s="128"/>
      <c r="G2095" s="128"/>
      <c r="H2095" s="128"/>
      <c r="I2095" s="127" t="s">
        <v>1344</v>
      </c>
    </row>
    <row r="2096" spans="1:9" x14ac:dyDescent="0.2">
      <c r="A2096" s="127" t="s">
        <v>4468</v>
      </c>
      <c r="B2096" s="127" t="s">
        <v>4469</v>
      </c>
      <c r="C2096" s="127" t="s">
        <v>22</v>
      </c>
      <c r="D2096" s="127"/>
      <c r="E2096" s="127"/>
      <c r="F2096" s="128"/>
      <c r="G2096" s="128"/>
      <c r="H2096" s="128"/>
      <c r="I2096" s="127" t="s">
        <v>1344</v>
      </c>
    </row>
    <row r="2097" spans="1:9" x14ac:dyDescent="0.2">
      <c r="A2097" s="127" t="s">
        <v>4470</v>
      </c>
      <c r="B2097" s="127" t="s">
        <v>4471</v>
      </c>
      <c r="C2097" s="127" t="s">
        <v>46</v>
      </c>
      <c r="D2097" s="127"/>
      <c r="E2097" s="127"/>
      <c r="F2097" s="128"/>
      <c r="G2097" s="128"/>
      <c r="H2097" s="128"/>
      <c r="I2097" s="127" t="s">
        <v>1344</v>
      </c>
    </row>
    <row r="2098" spans="1:9" x14ac:dyDescent="0.2">
      <c r="A2098" s="127" t="s">
        <v>1198</v>
      </c>
      <c r="B2098" s="127" t="s">
        <v>4472</v>
      </c>
      <c r="C2098" s="127" t="s">
        <v>46</v>
      </c>
      <c r="D2098" s="127"/>
      <c r="E2098" s="127"/>
      <c r="F2098" s="128"/>
      <c r="G2098" s="128"/>
      <c r="H2098" s="128"/>
      <c r="I2098" s="127" t="s">
        <v>1344</v>
      </c>
    </row>
    <row r="2099" spans="1:9" x14ac:dyDescent="0.2">
      <c r="A2099" s="127" t="s">
        <v>4473</v>
      </c>
      <c r="B2099" s="127" t="s">
        <v>4474</v>
      </c>
      <c r="C2099" s="127" t="s">
        <v>46</v>
      </c>
      <c r="D2099" s="127"/>
      <c r="E2099" s="127"/>
      <c r="F2099" s="128"/>
      <c r="G2099" s="128"/>
      <c r="H2099" s="128"/>
      <c r="I2099" s="127" t="s">
        <v>1344</v>
      </c>
    </row>
    <row r="2100" spans="1:9" x14ac:dyDescent="0.2">
      <c r="A2100" s="127" t="s">
        <v>4475</v>
      </c>
      <c r="B2100" s="127" t="s">
        <v>4476</v>
      </c>
      <c r="C2100" s="127" t="s">
        <v>17</v>
      </c>
      <c r="D2100" s="127"/>
      <c r="E2100" s="127"/>
      <c r="F2100" s="128"/>
      <c r="G2100" s="128"/>
      <c r="H2100" s="128"/>
      <c r="I2100" s="127" t="s">
        <v>1344</v>
      </c>
    </row>
    <row r="2101" spans="1:9" x14ac:dyDescent="0.2">
      <c r="A2101" s="127" t="s">
        <v>4477</v>
      </c>
      <c r="B2101" s="127" t="s">
        <v>4478</v>
      </c>
      <c r="C2101" s="127" t="s">
        <v>46</v>
      </c>
      <c r="D2101" s="127"/>
      <c r="E2101" s="127"/>
      <c r="F2101" s="128"/>
      <c r="G2101" s="128"/>
      <c r="H2101" s="128"/>
      <c r="I2101" s="127" t="s">
        <v>1344</v>
      </c>
    </row>
    <row r="2102" spans="1:9" x14ac:dyDescent="0.2">
      <c r="A2102" s="127" t="s">
        <v>1198</v>
      </c>
      <c r="B2102" s="127" t="s">
        <v>4479</v>
      </c>
      <c r="C2102" s="127" t="s">
        <v>22</v>
      </c>
      <c r="D2102" s="127"/>
      <c r="E2102" s="127"/>
      <c r="F2102" s="128"/>
      <c r="G2102" s="128"/>
      <c r="H2102" s="128"/>
      <c r="I2102" s="127" t="s">
        <v>1344</v>
      </c>
    </row>
    <row r="2103" spans="1:9" x14ac:dyDescent="0.2">
      <c r="A2103" s="127" t="s">
        <v>4480</v>
      </c>
      <c r="B2103" s="127" t="s">
        <v>4481</v>
      </c>
      <c r="C2103" s="127" t="s">
        <v>17</v>
      </c>
      <c r="D2103" s="127"/>
      <c r="E2103" s="127"/>
      <c r="F2103" s="128"/>
      <c r="G2103" s="128"/>
      <c r="H2103" s="128"/>
      <c r="I2103" s="127" t="s">
        <v>1344</v>
      </c>
    </row>
    <row r="2104" spans="1:9" x14ac:dyDescent="0.2">
      <c r="A2104" s="127" t="s">
        <v>4482</v>
      </c>
      <c r="B2104" s="127" t="s">
        <v>4483</v>
      </c>
      <c r="C2104" s="127" t="s">
        <v>17</v>
      </c>
      <c r="D2104" s="127"/>
      <c r="E2104" s="127"/>
      <c r="F2104" s="128"/>
      <c r="G2104" s="128"/>
      <c r="H2104" s="128"/>
      <c r="I2104" s="127" t="s">
        <v>1344</v>
      </c>
    </row>
    <row r="2105" spans="1:9" x14ac:dyDescent="0.2">
      <c r="A2105" s="127" t="s">
        <v>4484</v>
      </c>
      <c r="B2105" s="127" t="s">
        <v>4485</v>
      </c>
      <c r="C2105" s="127" t="s">
        <v>46</v>
      </c>
      <c r="D2105" s="127"/>
      <c r="E2105" s="127"/>
      <c r="F2105" s="128"/>
      <c r="G2105" s="128"/>
      <c r="H2105" s="128"/>
      <c r="I2105" s="127" t="s">
        <v>1344</v>
      </c>
    </row>
    <row r="2106" spans="1:9" x14ac:dyDescent="0.2">
      <c r="A2106" s="127" t="s">
        <v>4486</v>
      </c>
      <c r="B2106" s="127" t="s">
        <v>944</v>
      </c>
      <c r="C2106" s="127" t="s">
        <v>22</v>
      </c>
      <c r="D2106" s="127"/>
      <c r="E2106" s="127"/>
      <c r="F2106" s="128"/>
      <c r="G2106" s="128"/>
      <c r="H2106" s="128"/>
      <c r="I2106" s="127" t="s">
        <v>1344</v>
      </c>
    </row>
    <row r="2107" spans="1:9" x14ac:dyDescent="0.2">
      <c r="A2107" s="127" t="s">
        <v>4487</v>
      </c>
      <c r="B2107" s="127" t="s">
        <v>4488</v>
      </c>
      <c r="C2107" s="127" t="s">
        <v>46</v>
      </c>
      <c r="D2107" s="127"/>
      <c r="E2107" s="127"/>
      <c r="F2107" s="128"/>
      <c r="G2107" s="128"/>
      <c r="H2107" s="128"/>
      <c r="I2107" s="127" t="s">
        <v>1344</v>
      </c>
    </row>
    <row r="2108" spans="1:9" x14ac:dyDescent="0.2">
      <c r="A2108" s="127" t="s">
        <v>4489</v>
      </c>
      <c r="B2108" s="127" t="s">
        <v>4490</v>
      </c>
      <c r="C2108" s="127" t="s">
        <v>46</v>
      </c>
      <c r="D2108" s="127"/>
      <c r="E2108" s="127"/>
      <c r="F2108" s="128"/>
      <c r="G2108" s="128"/>
      <c r="H2108" s="128"/>
      <c r="I2108" s="127" t="s">
        <v>1344</v>
      </c>
    </row>
    <row r="2109" spans="1:9" x14ac:dyDescent="0.2">
      <c r="A2109" s="127" t="s">
        <v>4491</v>
      </c>
      <c r="B2109" s="127" t="s">
        <v>989</v>
      </c>
      <c r="C2109" s="127" t="s">
        <v>46</v>
      </c>
      <c r="D2109" s="127"/>
      <c r="E2109" s="127"/>
      <c r="F2109" s="128"/>
      <c r="G2109" s="128"/>
      <c r="H2109" s="128"/>
      <c r="I2109" s="127" t="s">
        <v>1344</v>
      </c>
    </row>
    <row r="2110" spans="1:9" x14ac:dyDescent="0.2">
      <c r="A2110" s="127" t="s">
        <v>1184</v>
      </c>
      <c r="B2110" s="127" t="s">
        <v>4492</v>
      </c>
      <c r="C2110" s="127" t="s">
        <v>46</v>
      </c>
      <c r="D2110" s="127"/>
      <c r="E2110" s="127"/>
      <c r="F2110" s="128"/>
      <c r="G2110" s="128"/>
      <c r="H2110" s="128"/>
      <c r="I2110" s="127" t="s">
        <v>1344</v>
      </c>
    </row>
    <row r="2111" spans="1:9" x14ac:dyDescent="0.2">
      <c r="A2111" s="127" t="s">
        <v>4493</v>
      </c>
      <c r="B2111" s="127" t="s">
        <v>4494</v>
      </c>
      <c r="C2111" s="127" t="s">
        <v>46</v>
      </c>
      <c r="D2111" s="127"/>
      <c r="E2111" s="127"/>
      <c r="F2111" s="128"/>
      <c r="G2111" s="128"/>
      <c r="H2111" s="128"/>
      <c r="I2111" s="127" t="s">
        <v>1344</v>
      </c>
    </row>
    <row r="2112" spans="1:9" x14ac:dyDescent="0.2">
      <c r="A2112" s="127" t="s">
        <v>4495</v>
      </c>
      <c r="B2112" s="127" t="s">
        <v>4496</v>
      </c>
      <c r="C2112" s="127" t="s">
        <v>22</v>
      </c>
      <c r="D2112" s="127"/>
      <c r="E2112" s="127"/>
      <c r="F2112" s="128"/>
      <c r="G2112" s="128"/>
      <c r="H2112" s="128"/>
      <c r="I2112" s="127" t="s">
        <v>1344</v>
      </c>
    </row>
    <row r="2113" spans="1:9" x14ac:dyDescent="0.2">
      <c r="A2113" s="127" t="s">
        <v>4497</v>
      </c>
      <c r="B2113" s="127" t="s">
        <v>1015</v>
      </c>
      <c r="C2113" s="127" t="s">
        <v>22</v>
      </c>
      <c r="D2113" s="127"/>
      <c r="E2113" s="127"/>
      <c r="F2113" s="128"/>
      <c r="G2113" s="128"/>
      <c r="H2113" s="128"/>
      <c r="I2113" s="127" t="s">
        <v>1344</v>
      </c>
    </row>
    <row r="2114" spans="1:9" x14ac:dyDescent="0.2">
      <c r="A2114" s="127" t="s">
        <v>4498</v>
      </c>
      <c r="B2114" s="127" t="s">
        <v>4499</v>
      </c>
      <c r="C2114" s="127" t="s">
        <v>22</v>
      </c>
      <c r="D2114" s="127"/>
      <c r="E2114" s="127"/>
      <c r="F2114" s="128"/>
      <c r="G2114" s="128"/>
      <c r="H2114" s="128"/>
      <c r="I2114" s="127" t="s">
        <v>1344</v>
      </c>
    </row>
    <row r="2115" spans="1:9" x14ac:dyDescent="0.2">
      <c r="A2115" s="127" t="s">
        <v>1081</v>
      </c>
      <c r="B2115" s="127" t="s">
        <v>1080</v>
      </c>
      <c r="C2115" s="127" t="s">
        <v>22</v>
      </c>
      <c r="D2115" s="127"/>
      <c r="E2115" s="127"/>
      <c r="F2115" s="128"/>
      <c r="G2115" s="128"/>
      <c r="H2115" s="128"/>
      <c r="I2115" s="127" t="s">
        <v>1344</v>
      </c>
    </row>
    <row r="2116" spans="1:9" x14ac:dyDescent="0.2">
      <c r="A2116" s="127" t="s">
        <v>4500</v>
      </c>
      <c r="B2116" s="127" t="s">
        <v>4501</v>
      </c>
      <c r="C2116" s="127" t="s">
        <v>17</v>
      </c>
      <c r="D2116" s="127"/>
      <c r="E2116" s="127"/>
      <c r="F2116" s="128"/>
      <c r="G2116" s="128"/>
      <c r="H2116" s="128"/>
      <c r="I2116" s="127" t="s">
        <v>1344</v>
      </c>
    </row>
    <row r="2117" spans="1:9" x14ac:dyDescent="0.2">
      <c r="A2117" s="127" t="s">
        <v>4502</v>
      </c>
      <c r="B2117" s="127" t="s">
        <v>4503</v>
      </c>
      <c r="C2117" s="127" t="s">
        <v>22</v>
      </c>
      <c r="D2117" s="127"/>
      <c r="E2117" s="127"/>
      <c r="F2117" s="128"/>
      <c r="G2117" s="128"/>
      <c r="H2117" s="128"/>
      <c r="I2117" s="127" t="s">
        <v>1344</v>
      </c>
    </row>
    <row r="2118" spans="1:9" x14ac:dyDescent="0.2">
      <c r="A2118" s="127" t="s">
        <v>1198</v>
      </c>
      <c r="B2118" s="127" t="s">
        <v>1329</v>
      </c>
      <c r="C2118" s="127" t="s">
        <v>17</v>
      </c>
      <c r="D2118" s="127"/>
      <c r="E2118" s="127"/>
      <c r="F2118" s="128"/>
      <c r="G2118" s="128"/>
      <c r="H2118" s="128"/>
      <c r="I2118" s="127" t="s">
        <v>1344</v>
      </c>
    </row>
    <row r="2119" spans="1:9" x14ac:dyDescent="0.2">
      <c r="A2119" s="127" t="s">
        <v>1198</v>
      </c>
      <c r="B2119" s="127" t="s">
        <v>1288</v>
      </c>
      <c r="C2119" s="127" t="s">
        <v>17</v>
      </c>
      <c r="D2119" s="127"/>
      <c r="E2119" s="127"/>
      <c r="F2119" s="128"/>
      <c r="G2119" s="128"/>
      <c r="H2119" s="128"/>
      <c r="I2119" s="127" t="s">
        <v>1344</v>
      </c>
    </row>
    <row r="2120" spans="1:9" x14ac:dyDescent="0.2">
      <c r="A2120" s="127" t="s">
        <v>4504</v>
      </c>
      <c r="B2120" s="127" t="s">
        <v>1130</v>
      </c>
      <c r="C2120" s="127" t="s">
        <v>22</v>
      </c>
      <c r="D2120" s="127"/>
      <c r="E2120" s="127"/>
      <c r="F2120" s="128"/>
      <c r="G2120" s="128"/>
      <c r="H2120" s="128"/>
      <c r="I2120" s="127" t="s">
        <v>1344</v>
      </c>
    </row>
    <row r="2121" spans="1:9" x14ac:dyDescent="0.2">
      <c r="A2121" s="127" t="s">
        <v>4505</v>
      </c>
      <c r="B2121" s="127" t="s">
        <v>1126</v>
      </c>
      <c r="C2121" s="127" t="s">
        <v>17</v>
      </c>
      <c r="D2121" s="127"/>
      <c r="E2121" s="127"/>
      <c r="F2121" s="128"/>
      <c r="G2121" s="128"/>
      <c r="H2121" s="128"/>
      <c r="I2121" s="127" t="s">
        <v>1344</v>
      </c>
    </row>
    <row r="2122" spans="1:9" x14ac:dyDescent="0.2">
      <c r="A2122" s="127" t="s">
        <v>4506</v>
      </c>
      <c r="B2122" s="127" t="s">
        <v>1119</v>
      </c>
      <c r="C2122" s="127" t="s">
        <v>46</v>
      </c>
      <c r="D2122" s="127"/>
      <c r="E2122" s="127"/>
      <c r="F2122" s="128"/>
      <c r="G2122" s="128"/>
      <c r="H2122" s="128"/>
      <c r="I2122" s="127" t="s">
        <v>1344</v>
      </c>
    </row>
    <row r="2123" spans="1:9" x14ac:dyDescent="0.2">
      <c r="A2123" s="127" t="s">
        <v>4507</v>
      </c>
      <c r="B2123" s="127" t="s">
        <v>4508</v>
      </c>
      <c r="C2123" s="127" t="s">
        <v>17</v>
      </c>
      <c r="D2123" s="127"/>
      <c r="E2123" s="127"/>
      <c r="F2123" s="128"/>
      <c r="G2123" s="128"/>
      <c r="H2123" s="128"/>
      <c r="I2123" s="127" t="s">
        <v>1344</v>
      </c>
    </row>
    <row r="2124" spans="1:9" x14ac:dyDescent="0.2">
      <c r="A2124" s="127" t="s">
        <v>4509</v>
      </c>
      <c r="B2124" s="127" t="s">
        <v>4510</v>
      </c>
      <c r="C2124" s="127" t="s">
        <v>22</v>
      </c>
      <c r="D2124" s="127"/>
      <c r="E2124" s="127"/>
      <c r="F2124" s="128"/>
      <c r="G2124" s="128"/>
      <c r="H2124" s="128"/>
      <c r="I2124" s="127" t="s">
        <v>1344</v>
      </c>
    </row>
    <row r="2125" spans="1:9" x14ac:dyDescent="0.2">
      <c r="A2125" s="127" t="s">
        <v>1198</v>
      </c>
      <c r="B2125" s="127" t="s">
        <v>1290</v>
      </c>
      <c r="C2125" s="127" t="s">
        <v>22</v>
      </c>
      <c r="D2125" s="127"/>
      <c r="E2125" s="127"/>
      <c r="F2125" s="128"/>
      <c r="G2125" s="128"/>
      <c r="H2125" s="128"/>
      <c r="I2125" s="127" t="s">
        <v>1344</v>
      </c>
    </row>
  </sheetData>
  <autoFilter ref="A1:I307" xr:uid="{30733083-9187-4B10-B310-CF90BE9D8B66}">
    <sortState xmlns:xlrd2="http://schemas.microsoft.com/office/spreadsheetml/2017/richdata2" ref="A2:I349">
      <sortCondition ref="A1:A307"/>
    </sortState>
  </autoFilter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8FCE8-D33C-4196-AD58-A9A5A134B3CF}">
  <dimension ref="B1:R2432"/>
  <sheetViews>
    <sheetView showGridLines="0" topLeftCell="C1" zoomScale="85" zoomScaleNormal="85" workbookViewId="0">
      <selection activeCell="I2186" sqref="I2186"/>
    </sheetView>
  </sheetViews>
  <sheetFormatPr defaultColWidth="9.140625" defaultRowHeight="14.25" x14ac:dyDescent="0.2"/>
  <cols>
    <col min="1" max="1" width="0.5703125" style="23" customWidth="1"/>
    <col min="2" max="2" width="1" style="42" customWidth="1"/>
    <col min="3" max="3" width="41" style="23" customWidth="1"/>
    <col min="4" max="4" width="27.85546875" style="108" customWidth="1"/>
    <col min="5" max="5" width="9" style="25" customWidth="1"/>
    <col min="6" max="7" width="20.28515625" style="36" customWidth="1"/>
    <col min="8" max="8" width="21.7109375" style="39" customWidth="1"/>
    <col min="9" max="9" width="19.7109375" style="40" customWidth="1"/>
    <col min="10" max="10" width="13.5703125" style="24" customWidth="1"/>
    <col min="11" max="11" width="21" style="41" customWidth="1"/>
    <col min="12" max="12" width="1.42578125" style="42" customWidth="1"/>
    <col min="13" max="13" width="16.28515625" style="23" customWidth="1"/>
    <col min="14" max="14" width="16.85546875" style="26" customWidth="1"/>
    <col min="15" max="15" width="19.7109375" style="25" customWidth="1"/>
    <col min="16" max="16" width="53" style="25" customWidth="1"/>
    <col min="17" max="17" width="1.7109375" style="42" customWidth="1"/>
    <col min="18" max="18" width="20.85546875" style="26" customWidth="1"/>
    <col min="19" max="16384" width="9.140625" style="23"/>
  </cols>
  <sheetData>
    <row r="1" spans="2:18" ht="2.25" customHeight="1" x14ac:dyDescent="0.2"/>
    <row r="2" spans="2:18" s="29" customFormat="1" ht="36" customHeight="1" x14ac:dyDescent="0.2">
      <c r="B2" s="43"/>
      <c r="C2" s="27" t="s">
        <v>0</v>
      </c>
      <c r="D2" s="109" t="s">
        <v>1</v>
      </c>
      <c r="E2" s="27" t="s">
        <v>2</v>
      </c>
      <c r="F2" s="37" t="s">
        <v>3</v>
      </c>
      <c r="G2" s="118" t="s">
        <v>4</v>
      </c>
      <c r="H2" s="119" t="s">
        <v>5</v>
      </c>
      <c r="I2" s="119" t="s">
        <v>6</v>
      </c>
      <c r="J2" s="119" t="s">
        <v>7</v>
      </c>
      <c r="K2" s="27" t="s">
        <v>8</v>
      </c>
      <c r="L2" s="43" t="s">
        <v>734</v>
      </c>
      <c r="M2" s="27" t="s">
        <v>735</v>
      </c>
      <c r="N2" s="27" t="s">
        <v>736</v>
      </c>
      <c r="O2" s="27" t="s">
        <v>737</v>
      </c>
      <c r="P2" s="27" t="s">
        <v>738</v>
      </c>
      <c r="Q2" s="43" t="s">
        <v>739</v>
      </c>
      <c r="R2" s="28" t="s">
        <v>740</v>
      </c>
    </row>
    <row r="3" spans="2:18" hidden="1" x14ac:dyDescent="0.2">
      <c r="C3" s="30" t="s">
        <v>92</v>
      </c>
      <c r="D3" s="110" t="s">
        <v>93</v>
      </c>
      <c r="E3" s="33" t="s">
        <v>22</v>
      </c>
      <c r="F3" s="38" t="s">
        <v>12</v>
      </c>
      <c r="G3" s="38" t="s">
        <v>1168</v>
      </c>
      <c r="H3" s="31">
        <v>731.55</v>
      </c>
      <c r="I3" s="32">
        <v>21</v>
      </c>
      <c r="J3" s="32">
        <v>19</v>
      </c>
      <c r="K3" s="44" t="s">
        <v>741</v>
      </c>
      <c r="M3" s="33" t="str">
        <f t="shared" ref="M3:M66" si="0">IF(OR(J3&lt;=0,J3=""),"","Recompra")</f>
        <v>Recompra</v>
      </c>
      <c r="N3" s="34">
        <f>IFERROR(IF(Tabela1[[#This Row],[Nome fantasia]]="","",_xlfn.XLOOKUP($C3,Log!D:D,Log!B:B,,,-1)),"")</f>
        <v>46006</v>
      </c>
      <c r="O3" s="35" t="str">
        <f>IFERROR(_xlfn.XLOOKUP($C3,Log!D:D,Log!W:W,,,-1),"")</f>
        <v>EM ATENDIMENTO</v>
      </c>
      <c r="P3" s="35" t="str">
        <f>IFERROR(_xlfn.XLOOKUP($C3,Log!D:D,Log!Y:Y,,,-1),"")</f>
        <v>FORÇANDO RECOMPRA</v>
      </c>
      <c r="R3" s="26">
        <f>IFERROR(IF(Tabela1[[#This Row],[Nome fantasia]]="","",_xlfn.XLOOKUP($C3,Log!D:D,Log!X:X,,,-1)),"")</f>
        <v>46008</v>
      </c>
    </row>
    <row r="4" spans="2:18" hidden="1" x14ac:dyDescent="0.2">
      <c r="C4" s="30" t="s">
        <v>934</v>
      </c>
      <c r="D4" s="110" t="s">
        <v>933</v>
      </c>
      <c r="E4" s="33" t="s">
        <v>46</v>
      </c>
      <c r="F4" s="38" t="s">
        <v>829</v>
      </c>
      <c r="G4" s="38" t="s">
        <v>933</v>
      </c>
      <c r="H4" s="31" t="s">
        <v>933</v>
      </c>
      <c r="I4" s="32" t="s">
        <v>933</v>
      </c>
      <c r="J4" s="32" t="s">
        <v>933</v>
      </c>
      <c r="K4" s="45" t="s">
        <v>888</v>
      </c>
      <c r="L4" s="129"/>
      <c r="M4" s="33" t="str">
        <f t="shared" si="0"/>
        <v>Recompra</v>
      </c>
      <c r="N4" s="34">
        <f>IFERROR(IF(Tabela1[[#This Row],[Nome fantasia]]="","",_xlfn.XLOOKUP($C4,Log!D:D,Log!B:B,,,-1)),"")</f>
        <v>45922</v>
      </c>
      <c r="O4" s="35" t="str">
        <f>IFERROR(_xlfn.XLOOKUP($C4,Log!D:D,Log!W:W,,,-1),"")</f>
        <v>EM ATENDIMENTO</v>
      </c>
      <c r="P4" s="35" t="str">
        <f>IFERROR(_xlfn.XLOOKUP($C4,Log!D:D,Log!Y:Y,,,-1),"")</f>
        <v>LIGOU PARA INFORMAÇÔES</v>
      </c>
      <c r="Q4" s="130"/>
      <c r="R4" s="26">
        <f>IFERROR(IF(Tabela1[[#This Row],[Nome fantasia]]="","",_xlfn.XLOOKUP($C4,Log!D:D,Log!X:X,,,-1)),"")</f>
        <v>0</v>
      </c>
    </row>
    <row r="5" spans="2:18" hidden="1" x14ac:dyDescent="0.2">
      <c r="C5" s="30" t="s">
        <v>103</v>
      </c>
      <c r="D5" s="110" t="s">
        <v>104</v>
      </c>
      <c r="E5" s="33" t="s">
        <v>11</v>
      </c>
      <c r="F5" s="38" t="s">
        <v>12</v>
      </c>
      <c r="G5" s="38" t="s">
        <v>96</v>
      </c>
      <c r="H5" s="31">
        <v>650.29999999999995</v>
      </c>
      <c r="I5" s="32">
        <v>41</v>
      </c>
      <c r="J5" s="32">
        <v>0</v>
      </c>
      <c r="K5" s="44" t="s">
        <v>741</v>
      </c>
      <c r="M5" s="33" t="str">
        <f t="shared" si="0"/>
        <v/>
      </c>
      <c r="N5" s="34">
        <f>IFERROR(IF(Tabela1[[#This Row],[Nome fantasia]]="","",_xlfn.XLOOKUP($C5,Log!D:D,Log!B:B,,,-1)),"")</f>
        <v>45896</v>
      </c>
      <c r="O5" s="35" t="str">
        <f>IFERROR(_xlfn.XLOOKUP($C5,Log!D:D,Log!W:W,,,-1),"")</f>
        <v>EM ATENDIMENTO</v>
      </c>
      <c r="P5" s="35" t="str">
        <f>IFERROR(_xlfn.XLOOKUP($C5,Log!D:D,Log!Y:Y,,,-1),"")</f>
        <v>LIGAÇÃO</v>
      </c>
      <c r="R5" s="26">
        <f>IFERROR(IF(Tabela1[[#This Row],[Nome fantasia]]="","",_xlfn.XLOOKUP($C5,Log!D:D,Log!X:X,,,-1)),"")</f>
        <v>45894</v>
      </c>
    </row>
    <row r="6" spans="2:18" hidden="1" x14ac:dyDescent="0.2">
      <c r="C6" s="30" t="s">
        <v>838</v>
      </c>
      <c r="D6" s="110" t="s">
        <v>933</v>
      </c>
      <c r="E6" s="33" t="s">
        <v>22</v>
      </c>
      <c r="F6" s="38" t="s">
        <v>829</v>
      </c>
      <c r="G6" s="38" t="s">
        <v>933</v>
      </c>
      <c r="H6" s="31" t="s">
        <v>933</v>
      </c>
      <c r="I6" s="32" t="s">
        <v>933</v>
      </c>
      <c r="J6" s="32" t="s">
        <v>933</v>
      </c>
      <c r="K6" s="45" t="s">
        <v>888</v>
      </c>
      <c r="L6" s="129"/>
      <c r="M6" s="33" t="str">
        <f t="shared" si="0"/>
        <v>Recompra</v>
      </c>
      <c r="N6" s="34">
        <f>IFERROR(IF(Tabela1[[#This Row],[Nome fantasia]]="","",_xlfn.XLOOKUP($C6,Log!D:D,Log!B:B,,,-1)),"")</f>
        <v>45915</v>
      </c>
      <c r="O6" s="35" t="str">
        <f>IFERROR(_xlfn.XLOOKUP($C6,Log!D:D,Log!W:W,,,-1),"")</f>
        <v>ORÇAMENTO</v>
      </c>
      <c r="P6" s="35" t="str">
        <f>IFERROR(_xlfn.XLOOKUP($C6,Log!D:D,Log!Y:Y,,,-1),"")</f>
        <v>LICITAÇÃO</v>
      </c>
      <c r="Q6" s="130"/>
      <c r="R6" s="26">
        <f>IFERROR(IF(Tabela1[[#This Row],[Nome fantasia]]="","",_xlfn.XLOOKUP($C6,Log!D:D,Log!X:X,,,-1)),"")</f>
        <v>45916</v>
      </c>
    </row>
    <row r="7" spans="2:18" hidden="1" x14ac:dyDescent="0.2">
      <c r="C7" s="30" t="s">
        <v>841</v>
      </c>
      <c r="D7" s="110" t="s">
        <v>842</v>
      </c>
      <c r="E7" s="33"/>
      <c r="F7" s="38" t="s">
        <v>829</v>
      </c>
      <c r="G7" s="38" t="s">
        <v>933</v>
      </c>
      <c r="H7" s="31" t="s">
        <v>933</v>
      </c>
      <c r="I7" s="32" t="s">
        <v>933</v>
      </c>
      <c r="J7" s="32" t="s">
        <v>933</v>
      </c>
      <c r="K7" s="45" t="s">
        <v>888</v>
      </c>
      <c r="L7" s="129"/>
      <c r="M7" s="33" t="str">
        <f t="shared" si="0"/>
        <v>Recompra</v>
      </c>
      <c r="N7" s="34">
        <f>IFERROR(IF(Tabela1[[#This Row],[Nome fantasia]]="","",_xlfn.XLOOKUP($C7,Log!D:D,Log!B:B,,,-1)),"")</f>
        <v>45915</v>
      </c>
      <c r="O7" s="35" t="str">
        <f>IFERROR(_xlfn.XLOOKUP($C7,Log!D:D,Log!W:W,,,-1),"")</f>
        <v>ORÇAMENTO</v>
      </c>
      <c r="P7" s="35" t="str">
        <f>IFERROR(_xlfn.XLOOKUP($C7,Log!D:D,Log!Y:Y,,,-1),"")</f>
        <v>E-COMMERCE EM ANDAMENTO</v>
      </c>
      <c r="Q7" s="130"/>
      <c r="R7" s="26">
        <f>IFERROR(IF(Tabela1[[#This Row],[Nome fantasia]]="","",_xlfn.XLOOKUP($C7,Log!D:D,Log!X:X,,,-1)),"")</f>
        <v>45916</v>
      </c>
    </row>
    <row r="8" spans="2:18" hidden="1" x14ac:dyDescent="0.2">
      <c r="C8" s="30" t="s">
        <v>827</v>
      </c>
      <c r="D8" s="110" t="s">
        <v>828</v>
      </c>
      <c r="E8" s="33" t="s">
        <v>11</v>
      </c>
      <c r="F8" s="38" t="s">
        <v>829</v>
      </c>
      <c r="G8" s="38" t="s">
        <v>933</v>
      </c>
      <c r="H8" s="31" t="s">
        <v>933</v>
      </c>
      <c r="I8" s="32" t="s">
        <v>933</v>
      </c>
      <c r="J8" s="32" t="s">
        <v>933</v>
      </c>
      <c r="K8" s="45" t="s">
        <v>888</v>
      </c>
      <c r="L8" s="129"/>
      <c r="M8" s="33" t="str">
        <f t="shared" si="0"/>
        <v>Recompra</v>
      </c>
      <c r="N8" s="34">
        <f>IFERROR(IF(Tabela1[[#This Row],[Nome fantasia]]="","",_xlfn.XLOOKUP($C8,Log!D:D,Log!B:B,,,-1)),"")</f>
        <v>45915</v>
      </c>
      <c r="O8" s="35" t="str">
        <f>IFERROR(_xlfn.XLOOKUP($C8,Log!D:D,Log!W:W,,,-1),"")</f>
        <v>EM ATENDIMENTO</v>
      </c>
      <c r="P8" s="35" t="str">
        <f>IFERROR(_xlfn.XLOOKUP($C8,Log!D:D,Log!Y:Y,,,-1),"")</f>
        <v>VARIOS ORÇAMENTOS</v>
      </c>
      <c r="Q8" s="130"/>
      <c r="R8" s="26">
        <f>IFERROR(IF(Tabela1[[#This Row],[Nome fantasia]]="","",_xlfn.XLOOKUP($C8,Log!D:D,Log!X:X,,,-1)),"")</f>
        <v>45917</v>
      </c>
    </row>
    <row r="9" spans="2:18" hidden="1" x14ac:dyDescent="0.2">
      <c r="C9" s="30" t="s">
        <v>827</v>
      </c>
      <c r="D9" s="110" t="s">
        <v>828</v>
      </c>
      <c r="E9" s="33" t="s">
        <v>11</v>
      </c>
      <c r="F9" s="38" t="s">
        <v>829</v>
      </c>
      <c r="G9" s="38" t="s">
        <v>933</v>
      </c>
      <c r="H9" s="31" t="s">
        <v>933</v>
      </c>
      <c r="I9" s="32" t="s">
        <v>933</v>
      </c>
      <c r="J9" s="32" t="s">
        <v>933</v>
      </c>
      <c r="K9" s="45" t="s">
        <v>888</v>
      </c>
      <c r="L9" s="129"/>
      <c r="M9" s="33" t="str">
        <f t="shared" si="0"/>
        <v>Recompra</v>
      </c>
      <c r="N9" s="34">
        <f>IFERROR(IF(Tabela1[[#This Row],[Nome fantasia]]="","",_xlfn.XLOOKUP($C9,Log!D:D,Log!B:B,,,-1)),"")</f>
        <v>45915</v>
      </c>
      <c r="O9" s="35" t="str">
        <f>IFERROR(_xlfn.XLOOKUP($C9,Log!D:D,Log!W:W,,,-1),"")</f>
        <v>EM ATENDIMENTO</v>
      </c>
      <c r="P9" s="35" t="str">
        <f>IFERROR(_xlfn.XLOOKUP($C9,Log!D:D,Log!Y:Y,,,-1),"")</f>
        <v>VARIOS ORÇAMENTOS</v>
      </c>
      <c r="Q9" s="130"/>
      <c r="R9" s="26">
        <f>IFERROR(IF(Tabela1[[#This Row],[Nome fantasia]]="","",_xlfn.XLOOKUP($C9,Log!D:D,Log!X:X,,,-1)),"")</f>
        <v>45917</v>
      </c>
    </row>
    <row r="10" spans="2:18" hidden="1" x14ac:dyDescent="0.2">
      <c r="C10" s="30" t="s">
        <v>251</v>
      </c>
      <c r="D10" s="110" t="s">
        <v>252</v>
      </c>
      <c r="E10" s="33" t="s">
        <v>31</v>
      </c>
      <c r="F10" s="38" t="s">
        <v>53</v>
      </c>
      <c r="G10" s="38" t="s">
        <v>1165</v>
      </c>
      <c r="H10" s="31">
        <v>1442.87</v>
      </c>
      <c r="I10" s="32">
        <v>20</v>
      </c>
      <c r="J10" s="32">
        <v>40</v>
      </c>
      <c r="K10" s="44" t="s">
        <v>741</v>
      </c>
      <c r="M10" s="33" t="str">
        <f t="shared" si="0"/>
        <v>Recompra</v>
      </c>
      <c r="N10" s="34">
        <f>IFERROR(IF(Tabela1[[#This Row],[Nome fantasia]]="","",_xlfn.XLOOKUP($C10,Log!D:D,Log!B:B,,,-1)),"")</f>
        <v>45877</v>
      </c>
      <c r="O10" s="35" t="str">
        <f>IFERROR(_xlfn.XLOOKUP($C10,Log!D:D,Log!W:W,,,-1),"")</f>
        <v>VENDA</v>
      </c>
      <c r="P10" s="35" t="str">
        <f>IFERROR(_xlfn.XLOOKUP($C10,Log!D:D,Log!Y:Y,,,-1),"")</f>
        <v xml:space="preserve">RECOMPRA </v>
      </c>
      <c r="R10" s="26">
        <f>IFERROR(IF(Tabela1[[#This Row],[Nome fantasia]]="","",_xlfn.XLOOKUP($C10,Log!D:D,Log!X:X,,,-1)),"")</f>
        <v>45940</v>
      </c>
    </row>
    <row r="11" spans="2:18" hidden="1" x14ac:dyDescent="0.2">
      <c r="C11" s="30" t="s">
        <v>256</v>
      </c>
      <c r="D11" s="110" t="s">
        <v>257</v>
      </c>
      <c r="E11" s="33" t="s">
        <v>11</v>
      </c>
      <c r="F11" s="38" t="s">
        <v>53</v>
      </c>
      <c r="G11" s="38" t="s">
        <v>253</v>
      </c>
      <c r="H11" s="31">
        <v>2040.89</v>
      </c>
      <c r="I11" s="32">
        <v>60</v>
      </c>
      <c r="J11" s="32">
        <v>91</v>
      </c>
      <c r="K11" s="44" t="s">
        <v>741</v>
      </c>
      <c r="M11" s="33" t="str">
        <f t="shared" si="0"/>
        <v>Recompra</v>
      </c>
      <c r="N11" s="34">
        <f>IFERROR(IF(Tabela1[[#This Row],[Nome fantasia]]="","",_xlfn.XLOOKUP($C11,Log!D:D,Log!B:B,,,-1)),"")</f>
        <v>45877</v>
      </c>
      <c r="O11" s="35" t="str">
        <f>IFERROR(_xlfn.XLOOKUP($C11,Log!D:D,Log!W:W,,,-1),"")</f>
        <v>VENDA</v>
      </c>
      <c r="P11" s="35" t="str">
        <f>IFERROR(_xlfn.XLOOKUP($C11,Log!D:D,Log!Y:Y,,,-1),"")</f>
        <v xml:space="preserve">RECOMPRA </v>
      </c>
      <c r="R11" s="26">
        <f>IFERROR(IF(Tabela1[[#This Row],[Nome fantasia]]="","",_xlfn.XLOOKUP($C11,Log!D:D,Log!X:X,,,-1)),"")</f>
        <v>45940</v>
      </c>
    </row>
    <row r="12" spans="2:18" hidden="1" x14ac:dyDescent="0.2">
      <c r="C12" s="30" t="s">
        <v>258</v>
      </c>
      <c r="D12" s="110" t="s">
        <v>259</v>
      </c>
      <c r="E12" s="33" t="s">
        <v>26</v>
      </c>
      <c r="F12" s="38" t="s">
        <v>53</v>
      </c>
      <c r="G12" s="38" t="s">
        <v>253</v>
      </c>
      <c r="H12" s="31">
        <v>1009.9</v>
      </c>
      <c r="I12" s="32">
        <v>60</v>
      </c>
      <c r="J12" s="32">
        <v>59</v>
      </c>
      <c r="K12" s="44" t="s">
        <v>741</v>
      </c>
      <c r="M12" s="33" t="str">
        <f t="shared" si="0"/>
        <v>Recompra</v>
      </c>
      <c r="N12" s="34">
        <f>IFERROR(IF(Tabela1[[#This Row],[Nome fantasia]]="","",_xlfn.XLOOKUP($C12,Log!D:D,Log!B:B,,,-1)),"")</f>
        <v>45877</v>
      </c>
      <c r="O12" s="35" t="str">
        <f>IFERROR(_xlfn.XLOOKUP($C12,Log!D:D,Log!W:W,,,-1),"")</f>
        <v>VENDA</v>
      </c>
      <c r="P12" s="35" t="str">
        <f>IFERROR(_xlfn.XLOOKUP($C12,Log!D:D,Log!Y:Y,,,-1),"")</f>
        <v xml:space="preserve">RECOMPRA </v>
      </c>
      <c r="R12" s="26">
        <f>IFERROR(IF(Tabela1[[#This Row],[Nome fantasia]]="","",_xlfn.XLOOKUP($C12,Log!D:D,Log!X:X,,,-1)),"")</f>
        <v>45940</v>
      </c>
    </row>
    <row r="13" spans="2:18" hidden="1" x14ac:dyDescent="0.2">
      <c r="C13" s="30" t="s">
        <v>263</v>
      </c>
      <c r="D13" s="110" t="s">
        <v>264</v>
      </c>
      <c r="E13" s="33" t="s">
        <v>49</v>
      </c>
      <c r="F13" s="38" t="s">
        <v>18</v>
      </c>
      <c r="G13" s="38" t="s">
        <v>262</v>
      </c>
      <c r="H13" s="31">
        <v>1021.87</v>
      </c>
      <c r="I13" s="32">
        <v>61</v>
      </c>
      <c r="J13" s="32">
        <v>0</v>
      </c>
      <c r="K13" s="44" t="s">
        <v>741</v>
      </c>
      <c r="M13" s="33" t="str">
        <f t="shared" si="0"/>
        <v/>
      </c>
      <c r="N13" s="34">
        <f>IFERROR(IF(Tabela1[[#This Row],[Nome fantasia]]="","",_xlfn.XLOOKUP($C13,Log!D:D,Log!B:B,,,-1)),"")</f>
        <v>45876</v>
      </c>
      <c r="O13" s="35" t="str">
        <f>IFERROR(_xlfn.XLOOKUP($C13,Log!D:D,Log!W:W,,,-1),"")</f>
        <v>VENDA</v>
      </c>
      <c r="P13" s="35" t="str">
        <f>IFERROR(_xlfn.XLOOKUP($C13,Log!D:D,Log!Y:Y,,,-1),"")</f>
        <v xml:space="preserve">RECOMPRA </v>
      </c>
      <c r="R13" s="26">
        <f>IFERROR(IF(Tabela1[[#This Row],[Nome fantasia]]="","",_xlfn.XLOOKUP($C13,Log!D:D,Log!X:X,,,-1)),"")</f>
        <v>45939</v>
      </c>
    </row>
    <row r="14" spans="2:18" hidden="1" x14ac:dyDescent="0.2">
      <c r="C14" s="30" t="s">
        <v>265</v>
      </c>
      <c r="D14" s="110" t="s">
        <v>266</v>
      </c>
      <c r="E14" s="33" t="s">
        <v>71</v>
      </c>
      <c r="F14" s="38" t="s">
        <v>18</v>
      </c>
      <c r="G14" s="38" t="s">
        <v>262</v>
      </c>
      <c r="H14" s="31">
        <v>1215.54</v>
      </c>
      <c r="I14" s="32">
        <v>61</v>
      </c>
      <c r="J14" s="32">
        <v>0</v>
      </c>
      <c r="K14" s="44" t="s">
        <v>741</v>
      </c>
      <c r="M14" s="33" t="str">
        <f t="shared" si="0"/>
        <v/>
      </c>
      <c r="N14" s="34">
        <f>IFERROR(IF(Tabela1[[#This Row],[Nome fantasia]]="","",_xlfn.XLOOKUP($C14,Log!D:D,Log!B:B,,,-1)),"")</f>
        <v>45876</v>
      </c>
      <c r="O14" s="35" t="str">
        <f>IFERROR(_xlfn.XLOOKUP($C14,Log!D:D,Log!W:W,,,-1),"")</f>
        <v>VENDA</v>
      </c>
      <c r="P14" s="35" t="str">
        <f>IFERROR(_xlfn.XLOOKUP($C14,Log!D:D,Log!Y:Y,,,-1),"")</f>
        <v xml:space="preserve">RECOMPRA </v>
      </c>
      <c r="R14" s="26">
        <f>IFERROR(IF(Tabela1[[#This Row],[Nome fantasia]]="","",_xlfn.XLOOKUP($C14,Log!D:D,Log!X:X,,,-1)),"")</f>
        <v>45939</v>
      </c>
    </row>
    <row r="15" spans="2:18" hidden="1" x14ac:dyDescent="0.2">
      <c r="C15" s="30" t="s">
        <v>267</v>
      </c>
      <c r="D15" s="110" t="s">
        <v>268</v>
      </c>
      <c r="E15" s="33" t="s">
        <v>22</v>
      </c>
      <c r="F15" s="38" t="s">
        <v>32</v>
      </c>
      <c r="G15" s="38" t="s">
        <v>269</v>
      </c>
      <c r="H15" s="31">
        <v>1036.8699999999999</v>
      </c>
      <c r="I15" s="32">
        <v>62</v>
      </c>
      <c r="J15" s="32">
        <v>0</v>
      </c>
      <c r="K15" s="44" t="s">
        <v>741</v>
      </c>
      <c r="M15" s="33" t="str">
        <f t="shared" si="0"/>
        <v/>
      </c>
      <c r="N15" s="34">
        <f>IFERROR(IF(Tabela1[[#This Row],[Nome fantasia]]="","",_xlfn.XLOOKUP($C15,Log!D:D,Log!B:B,,,-1)),"")</f>
        <v>45875</v>
      </c>
      <c r="O15" s="35" t="str">
        <f>IFERROR(_xlfn.XLOOKUP($C15,Log!D:D,Log!W:W,,,-1),"")</f>
        <v>VENDA</v>
      </c>
      <c r="P15" s="35" t="str">
        <f>IFERROR(_xlfn.XLOOKUP($C15,Log!D:D,Log!Y:Y,,,-1),"")</f>
        <v xml:space="preserve">RECOMPRA </v>
      </c>
      <c r="R15" s="26">
        <f>IFERROR(IF(Tabela1[[#This Row],[Nome fantasia]]="","",_xlfn.XLOOKUP($C15,Log!D:D,Log!X:X,,,-1)),"")</f>
        <v>45938</v>
      </c>
    </row>
    <row r="16" spans="2:18" hidden="1" x14ac:dyDescent="0.2">
      <c r="C16" s="30" t="s">
        <v>272</v>
      </c>
      <c r="D16" s="110" t="s">
        <v>273</v>
      </c>
      <c r="E16" s="33" t="s">
        <v>140</v>
      </c>
      <c r="F16" s="38" t="s">
        <v>53</v>
      </c>
      <c r="G16" s="38" t="s">
        <v>269</v>
      </c>
      <c r="H16" s="31">
        <v>1745.52</v>
      </c>
      <c r="I16" s="32">
        <v>62</v>
      </c>
      <c r="J16" s="32">
        <v>0</v>
      </c>
      <c r="K16" s="44" t="s">
        <v>741</v>
      </c>
      <c r="M16" s="33" t="str">
        <f t="shared" si="0"/>
        <v/>
      </c>
      <c r="N16" s="34">
        <f>IFERROR(IF(Tabela1[[#This Row],[Nome fantasia]]="","",_xlfn.XLOOKUP($C16,Log!D:D,Log!B:B,,,-1)),"")</f>
        <v>45875</v>
      </c>
      <c r="O16" s="35" t="str">
        <f>IFERROR(_xlfn.XLOOKUP($C16,Log!D:D,Log!W:W,,,-1),"")</f>
        <v>VENDA</v>
      </c>
      <c r="P16" s="35" t="str">
        <f>IFERROR(_xlfn.XLOOKUP($C16,Log!D:D,Log!Y:Y,,,-1),"")</f>
        <v xml:space="preserve">RECOMPRA </v>
      </c>
      <c r="R16" s="26">
        <f>IFERROR(IF(Tabela1[[#This Row],[Nome fantasia]]="","",_xlfn.XLOOKUP($C16,Log!D:D,Log!X:X,,,-1)),"")</f>
        <v>45938</v>
      </c>
    </row>
    <row r="17" spans="3:18" hidden="1" x14ac:dyDescent="0.2">
      <c r="C17" s="30" t="s">
        <v>276</v>
      </c>
      <c r="D17" s="110" t="s">
        <v>277</v>
      </c>
      <c r="E17" s="33" t="s">
        <v>26</v>
      </c>
      <c r="F17" s="38" t="s">
        <v>53</v>
      </c>
      <c r="G17" s="38" t="s">
        <v>269</v>
      </c>
      <c r="H17" s="31">
        <v>4108.7299999999996</v>
      </c>
      <c r="I17" s="32">
        <v>62</v>
      </c>
      <c r="J17" s="32">
        <v>0</v>
      </c>
      <c r="K17" s="44" t="s">
        <v>741</v>
      </c>
      <c r="M17" s="33" t="str">
        <f t="shared" si="0"/>
        <v/>
      </c>
      <c r="N17" s="34">
        <f>IFERROR(IF(Tabela1[[#This Row],[Nome fantasia]]="","",_xlfn.XLOOKUP($C17,Log!D:D,Log!B:B,,,-1)),"")</f>
        <v>45875</v>
      </c>
      <c r="O17" s="35" t="str">
        <f>IFERROR(_xlfn.XLOOKUP($C17,Log!D:D,Log!W:W,,,-1),"")</f>
        <v>VENDA</v>
      </c>
      <c r="P17" s="35" t="str">
        <f>IFERROR(_xlfn.XLOOKUP($C17,Log!D:D,Log!Y:Y,,,-1),"")</f>
        <v xml:space="preserve">RECOMPRA </v>
      </c>
      <c r="R17" s="26">
        <f>IFERROR(IF(Tabela1[[#This Row],[Nome fantasia]]="","",_xlfn.XLOOKUP($C17,Log!D:D,Log!X:X,,,-1)),"")</f>
        <v>45938</v>
      </c>
    </row>
    <row r="18" spans="3:18" hidden="1" x14ac:dyDescent="0.2">
      <c r="C18" s="30" t="s">
        <v>278</v>
      </c>
      <c r="D18" s="110" t="s">
        <v>279</v>
      </c>
      <c r="E18" s="33" t="s">
        <v>140</v>
      </c>
      <c r="F18" s="38" t="s">
        <v>53</v>
      </c>
      <c r="G18" s="38" t="s">
        <v>269</v>
      </c>
      <c r="H18" s="31">
        <v>658.55</v>
      </c>
      <c r="I18" s="32">
        <v>62</v>
      </c>
      <c r="J18" s="32">
        <v>0</v>
      </c>
      <c r="K18" s="44" t="s">
        <v>741</v>
      </c>
      <c r="M18" s="33" t="str">
        <f t="shared" si="0"/>
        <v/>
      </c>
      <c r="N18" s="34">
        <f>IFERROR(IF(Tabela1[[#This Row],[Nome fantasia]]="","",_xlfn.XLOOKUP($C18,Log!D:D,Log!B:B,,,-1)),"")</f>
        <v>45875</v>
      </c>
      <c r="O18" s="35" t="str">
        <f>IFERROR(_xlfn.XLOOKUP($C18,Log!D:D,Log!W:W,,,-1),"")</f>
        <v>SUPORTE</v>
      </c>
      <c r="P18" s="35" t="str">
        <f>IFERROR(_xlfn.XLOOKUP($C18,Log!D:D,Log!Y:Y,,,-1),"")</f>
        <v>ENTREGA</v>
      </c>
      <c r="R18" s="26">
        <f>IFERROR(IF(Tabela1[[#This Row],[Nome fantasia]]="","",_xlfn.XLOOKUP($C18,Log!D:D,Log!X:X,,,-1)),"")</f>
        <v>0</v>
      </c>
    </row>
    <row r="19" spans="3:18" hidden="1" x14ac:dyDescent="0.2">
      <c r="C19" s="30" t="s">
        <v>196</v>
      </c>
      <c r="D19" s="110" t="s">
        <v>197</v>
      </c>
      <c r="E19" s="33" t="s">
        <v>11</v>
      </c>
      <c r="F19" s="38" t="s">
        <v>12</v>
      </c>
      <c r="G19" s="38" t="s">
        <v>1165</v>
      </c>
      <c r="H19" s="31">
        <v>3231.74</v>
      </c>
      <c r="I19" s="32">
        <v>20</v>
      </c>
      <c r="J19" s="32">
        <v>32</v>
      </c>
      <c r="K19" s="44" t="s">
        <v>741</v>
      </c>
      <c r="M19" s="33" t="str">
        <f t="shared" si="0"/>
        <v>Recompra</v>
      </c>
      <c r="N19" s="34">
        <f>IFERROR(IF(Tabela1[[#This Row],[Nome fantasia]]="","",_xlfn.XLOOKUP($C19,Log!D:D,Log!B:B,,,-1)),"")</f>
        <v>45917</v>
      </c>
      <c r="O19" s="35" t="str">
        <f>IFERROR(_xlfn.XLOOKUP($C19,Log!D:D,Log!W:W,,,-1),"")</f>
        <v>ORÇAMENTO</v>
      </c>
      <c r="P19" s="35" t="str">
        <f>IFERROR(_xlfn.XLOOKUP($C19,Log!D:D,Log!Y:Y,,,-1),"")</f>
        <v>ORÇAMENTO</v>
      </c>
      <c r="R19" s="26">
        <f>IFERROR(IF(Tabela1[[#This Row],[Nome fantasia]]="","",_xlfn.XLOOKUP($C19,Log!D:D,Log!X:X,,,-1)),"")</f>
        <v>45918</v>
      </c>
    </row>
    <row r="20" spans="3:18" hidden="1" x14ac:dyDescent="0.2">
      <c r="C20" s="30" t="s">
        <v>86</v>
      </c>
      <c r="D20" s="110" t="s">
        <v>87</v>
      </c>
      <c r="E20" s="33" t="s">
        <v>59</v>
      </c>
      <c r="F20" s="38" t="s">
        <v>12</v>
      </c>
      <c r="G20" s="38" t="s">
        <v>83</v>
      </c>
      <c r="H20" s="31">
        <v>998.4</v>
      </c>
      <c r="I20" s="32">
        <v>40</v>
      </c>
      <c r="J20" s="32">
        <v>60.5</v>
      </c>
      <c r="K20" s="44" t="s">
        <v>741</v>
      </c>
      <c r="M20" s="33" t="str">
        <f t="shared" si="0"/>
        <v>Recompra</v>
      </c>
      <c r="N20" s="34">
        <f>IFERROR(IF(Tabela1[[#This Row],[Nome fantasia]]="","",_xlfn.XLOOKUP($C20,Log!D:D,Log!B:B,,,-1)),"")</f>
        <v>45897</v>
      </c>
      <c r="O20" s="35" t="str">
        <f>IFERROR(_xlfn.XLOOKUP($C20,Log!D:D,Log!W:W,,,-1),"")</f>
        <v>FOLLOW UP</v>
      </c>
      <c r="P20" s="35" t="str">
        <f>IFERROR(_xlfn.XLOOKUP($C20,Log!D:D,Log!Y:Y,,,-1),"")</f>
        <v>ENTREGA</v>
      </c>
      <c r="R20" s="26">
        <f>IFERROR(IF(Tabela1[[#This Row],[Nome fantasia]]="","",_xlfn.XLOOKUP($C20,Log!D:D,Log!X:X,,,-1)),"")</f>
        <v>45919</v>
      </c>
    </row>
    <row r="21" spans="3:18" hidden="1" x14ac:dyDescent="0.2">
      <c r="C21" s="30" t="s">
        <v>123</v>
      </c>
      <c r="D21" s="110" t="s">
        <v>124</v>
      </c>
      <c r="E21" s="33" t="s">
        <v>11</v>
      </c>
      <c r="F21" s="38" t="s">
        <v>12</v>
      </c>
      <c r="G21" s="38" t="s">
        <v>111</v>
      </c>
      <c r="H21" s="31">
        <v>936.23</v>
      </c>
      <c r="I21" s="32">
        <v>42</v>
      </c>
      <c r="J21" s="32">
        <v>21</v>
      </c>
      <c r="K21" s="44" t="s">
        <v>741</v>
      </c>
      <c r="M21" s="33" t="str">
        <f t="shared" si="0"/>
        <v>Recompra</v>
      </c>
      <c r="N21" s="34">
        <f>IFERROR(IF(Tabela1[[#This Row],[Nome fantasia]]="","",_xlfn.XLOOKUP($C21,Log!D:D,Log!B:B,,,-1)),"")</f>
        <v>45895</v>
      </c>
      <c r="O21" s="35" t="str">
        <f>IFERROR(_xlfn.XLOOKUP($C21,Log!D:D,Log!W:W,,,-1),"")</f>
        <v>FOLLOW UP</v>
      </c>
      <c r="P21" s="35" t="str">
        <f>IFERROR(_xlfn.XLOOKUP($C21,Log!D:D,Log!Y:Y,,,-1),"")</f>
        <v>ENTREGA</v>
      </c>
      <c r="R21" s="26">
        <f>IFERROR(IF(Tabela1[[#This Row],[Nome fantasia]]="","",_xlfn.XLOOKUP($C21,Log!D:D,Log!X:X,,,-1)),"")</f>
        <v>45919</v>
      </c>
    </row>
    <row r="22" spans="3:18" hidden="1" x14ac:dyDescent="0.2">
      <c r="C22" s="30" t="s">
        <v>293</v>
      </c>
      <c r="D22" s="110" t="s">
        <v>294</v>
      </c>
      <c r="E22" s="33" t="s">
        <v>11</v>
      </c>
      <c r="F22" s="38" t="s">
        <v>53</v>
      </c>
      <c r="G22" s="38" t="s">
        <v>1223</v>
      </c>
      <c r="H22" s="31">
        <v>659.66</v>
      </c>
      <c r="I22" s="32">
        <v>6</v>
      </c>
      <c r="J22" s="32">
        <v>62.5</v>
      </c>
      <c r="K22" s="44" t="s">
        <v>741</v>
      </c>
      <c r="M22" s="33" t="str">
        <f t="shared" si="0"/>
        <v>Recompra</v>
      </c>
      <c r="N22" s="34">
        <f>IFERROR(IF(Tabela1[[#This Row],[Nome fantasia]]="","",_xlfn.XLOOKUP($C22,Log!D:D,Log!B:B,,,-1)),"")</f>
        <v>45873</v>
      </c>
      <c r="O22" s="35" t="str">
        <f>IFERROR(_xlfn.XLOOKUP($C22,Log!D:D,Log!W:W,,,-1),"")</f>
        <v>VENDA</v>
      </c>
      <c r="P22" s="35" t="str">
        <f>IFERROR(_xlfn.XLOOKUP($C22,Log!D:D,Log!Y:Y,,,-1),"")</f>
        <v xml:space="preserve">RECOMPRA </v>
      </c>
      <c r="R22" s="26">
        <f>IFERROR(IF(Tabela1[[#This Row],[Nome fantasia]]="","",_xlfn.XLOOKUP($C22,Log!D:D,Log!X:X,,,-1)),"")</f>
        <v>45936</v>
      </c>
    </row>
    <row r="23" spans="3:18" hidden="1" x14ac:dyDescent="0.2">
      <c r="C23" s="30" t="s">
        <v>867</v>
      </c>
      <c r="D23" s="110" t="s">
        <v>868</v>
      </c>
      <c r="E23" s="33" t="s">
        <v>22</v>
      </c>
      <c r="F23" s="38" t="s">
        <v>12</v>
      </c>
      <c r="G23" s="38" t="s">
        <v>933</v>
      </c>
      <c r="H23" s="31" t="s">
        <v>933</v>
      </c>
      <c r="I23" s="32" t="s">
        <v>933</v>
      </c>
      <c r="J23" s="32" t="s">
        <v>933</v>
      </c>
      <c r="K23" s="45" t="s">
        <v>888</v>
      </c>
      <c r="L23" s="129"/>
      <c r="M23" s="33" t="str">
        <f t="shared" si="0"/>
        <v>Recompra</v>
      </c>
      <c r="N23" s="34">
        <f>IFERROR(IF(Tabela1[[#This Row],[Nome fantasia]]="","",_xlfn.XLOOKUP($C23,Log!D:D,Log!B:B,,,-1)),"")</f>
        <v>45917</v>
      </c>
      <c r="O23" s="35" t="str">
        <f>IFERROR(_xlfn.XLOOKUP($C23,Log!D:D,Log!W:W,,,-1),"")</f>
        <v>EM ATENDIMENTO</v>
      </c>
      <c r="P23" s="35" t="str">
        <f>IFERROR(_xlfn.XLOOKUP($C23,Log!D:D,Log!Y:Y,,,-1),"")</f>
        <v>TRANFERIDO ATENDIMENTO</v>
      </c>
      <c r="Q23" s="130"/>
      <c r="R23" s="26">
        <f>IFERROR(IF(Tabela1[[#This Row],[Nome fantasia]]="","",_xlfn.XLOOKUP($C23,Log!D:D,Log!X:X,,,-1)),"")</f>
        <v>45919</v>
      </c>
    </row>
    <row r="24" spans="3:18" hidden="1" x14ac:dyDescent="0.2">
      <c r="C24" s="30" t="s">
        <v>302</v>
      </c>
      <c r="D24" s="110" t="s">
        <v>303</v>
      </c>
      <c r="E24" s="33" t="s">
        <v>140</v>
      </c>
      <c r="F24" s="38" t="s">
        <v>53</v>
      </c>
      <c r="G24" s="38" t="s">
        <v>298</v>
      </c>
      <c r="H24" s="31">
        <v>747.14</v>
      </c>
      <c r="I24" s="32">
        <v>68</v>
      </c>
      <c r="J24" s="32">
        <v>0</v>
      </c>
      <c r="K24" s="44" t="s">
        <v>741</v>
      </c>
      <c r="M24" s="33" t="str">
        <f t="shared" si="0"/>
        <v/>
      </c>
      <c r="N24" s="34">
        <f>IFERROR(IF(Tabela1[[#This Row],[Nome fantasia]]="","",_xlfn.XLOOKUP($C24,Log!D:D,Log!B:B,,,-1)),"")</f>
        <v>45869</v>
      </c>
      <c r="O24" s="35" t="str">
        <f>IFERROR(_xlfn.XLOOKUP($C24,Log!D:D,Log!W:W,,,-1),"")</f>
        <v>SUPORTE</v>
      </c>
      <c r="P24" s="35" t="str">
        <f>IFERROR(_xlfn.XLOOKUP($C24,Log!D:D,Log!Y:Y,,,-1),"")</f>
        <v>RASTREIO</v>
      </c>
      <c r="R24" s="26">
        <f>IFERROR(IF(Tabela1[[#This Row],[Nome fantasia]]="","",_xlfn.XLOOKUP($C24,Log!D:D,Log!X:X,,,-1)),"")</f>
        <v>0</v>
      </c>
    </row>
    <row r="25" spans="3:18" hidden="1" x14ac:dyDescent="0.2">
      <c r="C25" s="30" t="s">
        <v>329</v>
      </c>
      <c r="D25" s="110" t="s">
        <v>330</v>
      </c>
      <c r="E25" s="33" t="s">
        <v>22</v>
      </c>
      <c r="F25" s="38" t="s">
        <v>12</v>
      </c>
      <c r="G25" s="38" t="s">
        <v>1223</v>
      </c>
      <c r="H25" s="31">
        <v>603</v>
      </c>
      <c r="I25" s="32">
        <v>6</v>
      </c>
      <c r="J25" s="32">
        <v>64</v>
      </c>
      <c r="K25" s="44" t="s">
        <v>741</v>
      </c>
      <c r="M25" s="33" t="str">
        <f t="shared" si="0"/>
        <v>Recompra</v>
      </c>
      <c r="N25" s="34">
        <f>IFERROR(IF(Tabela1[[#This Row],[Nome fantasia]]="","",_xlfn.XLOOKUP($C25,Log!D:D,Log!B:B,,,-1)),"")</f>
        <v>45918</v>
      </c>
      <c r="O25" s="35" t="str">
        <f>IFERROR(_xlfn.XLOOKUP($C25,Log!D:D,Log!W:W,,,-1),"")</f>
        <v>EM ATENDIMENTO</v>
      </c>
      <c r="P25" s="35" t="str">
        <f>IFERROR(_xlfn.XLOOKUP($C25,Log!D:D,Log!Y:Y,,,-1),"")</f>
        <v>MENSAGEM</v>
      </c>
      <c r="R25" s="26">
        <f>IFERROR(IF(Tabela1[[#This Row],[Nome fantasia]]="","",_xlfn.XLOOKUP($C25,Log!D:D,Log!X:X,,,-1)),"")</f>
        <v>45922</v>
      </c>
    </row>
    <row r="26" spans="3:18" hidden="1" x14ac:dyDescent="0.2">
      <c r="C26" s="30" t="s">
        <v>260</v>
      </c>
      <c r="D26" s="110" t="s">
        <v>261</v>
      </c>
      <c r="E26" s="33" t="s">
        <v>22</v>
      </c>
      <c r="F26" s="38" t="s">
        <v>12</v>
      </c>
      <c r="G26" s="38" t="s">
        <v>262</v>
      </c>
      <c r="H26" s="31">
        <v>1033.22</v>
      </c>
      <c r="I26" s="123">
        <v>61</v>
      </c>
      <c r="J26" s="32">
        <v>59</v>
      </c>
      <c r="K26" s="44" t="s">
        <v>741</v>
      </c>
      <c r="M26" s="33" t="str">
        <f t="shared" si="0"/>
        <v>Recompra</v>
      </c>
      <c r="N26" s="34">
        <f>IFERROR(IF(Tabela1[[#This Row],[Nome fantasia]]="","",_xlfn.XLOOKUP($C26,Log!D:D,Log!B:B,,,-1)),"")</f>
        <v>45918</v>
      </c>
      <c r="O26" s="35" t="str">
        <f>IFERROR(_xlfn.XLOOKUP($C26,Log!D:D,Log!W:W,,,-1),"")</f>
        <v>EM ATENDIMENTO</v>
      </c>
      <c r="P26" s="35" t="str">
        <f>IFERROR(_xlfn.XLOOKUP($C26,Log!D:D,Log!Y:Y,,,-1),"")</f>
        <v>AGUARDANDO CLIENTE</v>
      </c>
      <c r="R26" s="26">
        <f>IFERROR(IF(Tabela1[[#This Row],[Nome fantasia]]="","",_xlfn.XLOOKUP($C26,Log!D:D,Log!X:X,,,-1)),"")</f>
        <v>45922</v>
      </c>
    </row>
    <row r="27" spans="3:18" hidden="1" x14ac:dyDescent="0.2">
      <c r="C27" s="30" t="s">
        <v>287</v>
      </c>
      <c r="D27" s="110" t="s">
        <v>288</v>
      </c>
      <c r="E27" s="33" t="s">
        <v>17</v>
      </c>
      <c r="F27" s="38" t="s">
        <v>12</v>
      </c>
      <c r="G27" s="38" t="s">
        <v>286</v>
      </c>
      <c r="H27" s="31">
        <v>1547.8</v>
      </c>
      <c r="I27" s="123">
        <v>63</v>
      </c>
      <c r="J27" s="32">
        <v>65.5</v>
      </c>
      <c r="K27" s="44" t="s">
        <v>741</v>
      </c>
      <c r="M27" s="33" t="str">
        <f t="shared" si="0"/>
        <v>Recompra</v>
      </c>
      <c r="N27" s="34">
        <f>IFERROR(IF(Tabela1[[#This Row],[Nome fantasia]]="","",_xlfn.XLOOKUP($C27,Log!D:D,Log!B:B,,,-1)),"")</f>
        <v>45918</v>
      </c>
      <c r="O27" s="35" t="str">
        <f>IFERROR(_xlfn.XLOOKUP($C27,Log!D:D,Log!W:W,,,-1),"")</f>
        <v>EM ATENDIMENTO</v>
      </c>
      <c r="P27" s="35" t="str">
        <f>IFERROR(_xlfn.XLOOKUP($C27,Log!D:D,Log!Y:Y,,,-1),"")</f>
        <v>MENSAGEM</v>
      </c>
      <c r="R27" s="26">
        <f>IFERROR(IF(Tabela1[[#This Row],[Nome fantasia]]="","",_xlfn.XLOOKUP($C27,Log!D:D,Log!X:X,,,-1)),"")</f>
        <v>45922</v>
      </c>
    </row>
    <row r="28" spans="3:18" hidden="1" x14ac:dyDescent="0.2">
      <c r="C28" s="30" t="s">
        <v>289</v>
      </c>
      <c r="D28" s="110" t="s">
        <v>290</v>
      </c>
      <c r="E28" s="33" t="s">
        <v>46</v>
      </c>
      <c r="F28" s="38" t="s">
        <v>12</v>
      </c>
      <c r="G28" s="38" t="s">
        <v>286</v>
      </c>
      <c r="H28" s="31">
        <v>667.16</v>
      </c>
      <c r="I28" s="122">
        <v>63</v>
      </c>
      <c r="J28" s="32">
        <v>18</v>
      </c>
      <c r="K28" s="44" t="s">
        <v>741</v>
      </c>
      <c r="M28" s="33" t="str">
        <f t="shared" si="0"/>
        <v>Recompra</v>
      </c>
      <c r="N28" s="34">
        <f>IFERROR(IF(Tabela1[[#This Row],[Nome fantasia]]="","",_xlfn.XLOOKUP($C28,Log!D:D,Log!B:B,,,-1)),"")</f>
        <v>45994</v>
      </c>
      <c r="O28" s="35" t="str">
        <f>IFERROR(_xlfn.XLOOKUP($C28,Log!D:D,Log!W:W,,,-1),"")</f>
        <v>VENDA</v>
      </c>
      <c r="P28" s="35" t="str">
        <f>IFERROR(_xlfn.XLOOKUP($C28,Log!D:D,Log!Y:Y,,,-1),"")</f>
        <v>VENDA FINALIZADA</v>
      </c>
      <c r="R28" s="26">
        <f>IFERROR(IF(Tabela1[[#This Row],[Nome fantasia]]="","",_xlfn.XLOOKUP($C28,Log!D:D,Log!X:X,,,-1)),"")</f>
        <v>46057</v>
      </c>
    </row>
    <row r="29" spans="3:18" hidden="1" x14ac:dyDescent="0.2">
      <c r="C29" s="30" t="s">
        <v>300</v>
      </c>
      <c r="D29" s="110" t="s">
        <v>301</v>
      </c>
      <c r="E29" s="33" t="s">
        <v>22</v>
      </c>
      <c r="F29" s="38" t="s">
        <v>12</v>
      </c>
      <c r="G29" s="38" t="s">
        <v>298</v>
      </c>
      <c r="H29" s="31">
        <v>944.22</v>
      </c>
      <c r="I29" s="122">
        <v>68</v>
      </c>
      <c r="J29" s="32">
        <v>35.333300000000001</v>
      </c>
      <c r="K29" s="44" t="s">
        <v>741</v>
      </c>
      <c r="M29" s="33" t="str">
        <f t="shared" si="0"/>
        <v>Recompra</v>
      </c>
      <c r="N29" s="34">
        <f>IFERROR(IF(Tabela1[[#This Row],[Nome fantasia]]="","",_xlfn.XLOOKUP($C29,Log!D:D,Log!B:B,,,-1)),"")</f>
        <v>46001</v>
      </c>
      <c r="O29" s="35" t="str">
        <f>IFERROR(_xlfn.XLOOKUP($C29,Log!D:D,Log!W:W,,,-1),"")</f>
        <v>EM ATENDIMENTO</v>
      </c>
      <c r="P29" s="35" t="str">
        <f>IFERROR(_xlfn.XLOOKUP($C29,Log!D:D,Log!Y:Y,,,-1),"")</f>
        <v>NÃO ATENDEU, MANDEI MENSAGEM</v>
      </c>
      <c r="R29" s="26">
        <f>IFERROR(IF(Tabela1[[#This Row],[Nome fantasia]]="","",_xlfn.XLOOKUP($C29,Log!D:D,Log!X:X,,,-1)),"")</f>
        <v>46003</v>
      </c>
    </row>
    <row r="30" spans="3:18" hidden="1" x14ac:dyDescent="0.2">
      <c r="C30" s="30" t="s">
        <v>337</v>
      </c>
      <c r="D30" s="110" t="s">
        <v>338</v>
      </c>
      <c r="E30" s="33" t="s">
        <v>11</v>
      </c>
      <c r="F30" s="38" t="s">
        <v>53</v>
      </c>
      <c r="G30" s="38" t="s">
        <v>1156</v>
      </c>
      <c r="H30" s="31">
        <v>1879.39</v>
      </c>
      <c r="I30" s="32">
        <v>15</v>
      </c>
      <c r="J30" s="32">
        <v>34.200000000000003</v>
      </c>
      <c r="K30" s="44" t="s">
        <v>741</v>
      </c>
      <c r="M30" s="33" t="str">
        <f t="shared" si="0"/>
        <v>Recompra</v>
      </c>
      <c r="N30" s="34">
        <f>IFERROR(IF(Tabela1[[#This Row],[Nome fantasia]]="","",_xlfn.XLOOKUP($C30,Log!D:D,Log!B:B,,,-1)),"")</f>
        <v>45863</v>
      </c>
      <c r="O30" s="35" t="str">
        <f>IFERROR(_xlfn.XLOOKUP($C30,Log!D:D,Log!W:W,,,-1),"")</f>
        <v>FOLLOW UP</v>
      </c>
      <c r="P30" s="35" t="str">
        <f>IFERROR(_xlfn.XLOOKUP($C30,Log!D:D,Log!Y:Y,,,-1),"")</f>
        <v>MENSAGEM</v>
      </c>
      <c r="R30" s="26">
        <f>IFERROR(IF(Tabela1[[#This Row],[Nome fantasia]]="","",_xlfn.XLOOKUP($C30,Log!D:D,Log!X:X,,,-1)),"")</f>
        <v>45916</v>
      </c>
    </row>
    <row r="31" spans="3:18" hidden="1" x14ac:dyDescent="0.2">
      <c r="C31" s="30" t="s">
        <v>309</v>
      </c>
      <c r="D31" s="110" t="s">
        <v>310</v>
      </c>
      <c r="E31" s="33" t="s">
        <v>46</v>
      </c>
      <c r="F31" s="38" t="s">
        <v>12</v>
      </c>
      <c r="G31" s="38" t="s">
        <v>308</v>
      </c>
      <c r="H31" s="31">
        <v>671.86</v>
      </c>
      <c r="I31" s="122">
        <v>69</v>
      </c>
      <c r="J31" s="32">
        <v>0</v>
      </c>
      <c r="K31" s="44" t="s">
        <v>741</v>
      </c>
      <c r="M31" s="33" t="str">
        <f t="shared" si="0"/>
        <v/>
      </c>
      <c r="N31" s="34">
        <f>IFERROR(IF(Tabela1[[#This Row],[Nome fantasia]]="","",_xlfn.XLOOKUP($C31,Log!D:D,Log!B:B,,,-1)),"")</f>
        <v>45918</v>
      </c>
      <c r="O31" s="35" t="str">
        <f>IFERROR(_xlfn.XLOOKUP($C31,Log!D:D,Log!W:W,,,-1),"")</f>
        <v>EM ATENDIMENTO</v>
      </c>
      <c r="P31" s="35" t="str">
        <f>IFERROR(_xlfn.XLOOKUP($C31,Log!D:D,Log!Y:Y,,,-1),"")</f>
        <v>AINDA TEM ESTOQUE</v>
      </c>
      <c r="R31" s="26">
        <f>IFERROR(IF(Tabela1[[#This Row],[Nome fantasia]]="","",_xlfn.XLOOKUP($C31,Log!D:D,Log!X:X,,,-1)),"")</f>
        <v>45922</v>
      </c>
    </row>
    <row r="32" spans="3:18" hidden="1" x14ac:dyDescent="0.2">
      <c r="C32" s="30" t="s">
        <v>334</v>
      </c>
      <c r="D32" s="110" t="s">
        <v>335</v>
      </c>
      <c r="E32" s="33" t="s">
        <v>46</v>
      </c>
      <c r="F32" s="38" t="s">
        <v>12</v>
      </c>
      <c r="G32" s="38" t="s">
        <v>336</v>
      </c>
      <c r="H32" s="31">
        <v>1253.1300000000001</v>
      </c>
      <c r="I32" s="32">
        <v>74</v>
      </c>
      <c r="J32" s="32">
        <v>0</v>
      </c>
      <c r="K32" s="44" t="s">
        <v>741</v>
      </c>
      <c r="M32" s="33" t="str">
        <f t="shared" si="0"/>
        <v/>
      </c>
      <c r="N32" s="34">
        <f>IFERROR(IF(Tabela1[[#This Row],[Nome fantasia]]="","",_xlfn.XLOOKUP($C32,Log!D:D,Log!B:B,,,-1)),"")</f>
        <v>45994</v>
      </c>
      <c r="O32" s="35" t="str">
        <f>IFERROR(_xlfn.XLOOKUP($C32,Log!D:D,Log!W:W,,,-1),"")</f>
        <v>EM ATENDIMENTO</v>
      </c>
      <c r="P32" s="35" t="str">
        <f>IFERROR(_xlfn.XLOOKUP($C32,Log!D:D,Log!Y:Y,,,-1),"")</f>
        <v>MENSAGEM PARA NOVO RELACIOMENTO</v>
      </c>
      <c r="R32" s="26">
        <f>IFERROR(IF(Tabela1[[#This Row],[Nome fantasia]]="","",_xlfn.XLOOKUP($C32,Log!D:D,Log!X:X,,,-1)),"")</f>
        <v>45996</v>
      </c>
    </row>
    <row r="33" spans="3:18" hidden="1" x14ac:dyDescent="0.2">
      <c r="C33" s="30" t="s">
        <v>832</v>
      </c>
      <c r="D33" s="110" t="s">
        <v>933</v>
      </c>
      <c r="E33" s="33" t="s">
        <v>22</v>
      </c>
      <c r="F33" s="38" t="s">
        <v>829</v>
      </c>
      <c r="G33" s="38" t="s">
        <v>933</v>
      </c>
      <c r="H33" s="31" t="s">
        <v>933</v>
      </c>
      <c r="I33" s="32" t="s">
        <v>933</v>
      </c>
      <c r="J33" s="32" t="s">
        <v>933</v>
      </c>
      <c r="K33" s="45" t="s">
        <v>888</v>
      </c>
      <c r="L33" s="129"/>
      <c r="M33" s="33" t="str">
        <f t="shared" si="0"/>
        <v>Recompra</v>
      </c>
      <c r="N33" s="34">
        <f>IFERROR(IF(Tabela1[[#This Row],[Nome fantasia]]="","",_xlfn.XLOOKUP($C33,Log!D:D,Log!B:B,,,-1)),"")</f>
        <v>45918</v>
      </c>
      <c r="O33" s="35" t="str">
        <f>IFERROR(_xlfn.XLOOKUP($C33,Log!D:D,Log!W:W,,,-1),"")</f>
        <v>FOLLOW UP 7</v>
      </c>
      <c r="P33" s="35" t="str">
        <f>IFERROR(_xlfn.XLOOKUP($C33,Log!D:D,Log!Y:Y,,,-1),"")</f>
        <v>NÃO TIVE MAIS RETORNO</v>
      </c>
      <c r="Q33" s="130"/>
      <c r="R33" s="26">
        <f>IFERROR(IF(Tabela1[[#This Row],[Nome fantasia]]="","",_xlfn.XLOOKUP($C33,Log!D:D,Log!X:X,,,-1)),"")</f>
        <v>45922</v>
      </c>
    </row>
    <row r="34" spans="3:18" hidden="1" x14ac:dyDescent="0.2">
      <c r="C34" s="30" t="s">
        <v>393</v>
      </c>
      <c r="D34" s="110" t="s">
        <v>394</v>
      </c>
      <c r="E34" s="33" t="s">
        <v>59</v>
      </c>
      <c r="F34" s="38" t="s">
        <v>53</v>
      </c>
      <c r="G34" s="38" t="s">
        <v>390</v>
      </c>
      <c r="H34" s="31">
        <v>1452.42</v>
      </c>
      <c r="I34" s="32">
        <v>85</v>
      </c>
      <c r="J34" s="32">
        <v>53</v>
      </c>
      <c r="K34" s="44" t="s">
        <v>741</v>
      </c>
      <c r="M34" s="33" t="str">
        <f t="shared" si="0"/>
        <v>Recompra</v>
      </c>
      <c r="N34" s="34">
        <f>IFERROR(IF(Tabela1[[#This Row],[Nome fantasia]]="","",_xlfn.XLOOKUP($C34,Log!D:D,Log!B:B,,,-1)),"")</f>
        <v>45852</v>
      </c>
      <c r="O34" s="35" t="str">
        <f>IFERROR(_xlfn.XLOOKUP($C34,Log!D:D,Log!W:W,,,-1),"")</f>
        <v>VENDA</v>
      </c>
      <c r="P34" s="35" t="str">
        <f>IFERROR(_xlfn.XLOOKUP($C34,Log!D:D,Log!Y:Y,,,-1),"")</f>
        <v>RECOMPRA</v>
      </c>
      <c r="R34" s="26">
        <f>IFERROR(IF(Tabela1[[#This Row],[Nome fantasia]]="","",_xlfn.XLOOKUP($C34,Log!D:D,Log!X:X,,,-1)),"")</f>
        <v>45923</v>
      </c>
    </row>
    <row r="35" spans="3:18" hidden="1" x14ac:dyDescent="0.2">
      <c r="C35" s="30" t="s">
        <v>393</v>
      </c>
      <c r="D35" s="110" t="s">
        <v>395</v>
      </c>
      <c r="E35" s="33" t="s">
        <v>59</v>
      </c>
      <c r="F35" s="38" t="s">
        <v>53</v>
      </c>
      <c r="G35" s="38" t="s">
        <v>390</v>
      </c>
      <c r="H35" s="31">
        <v>4460.93</v>
      </c>
      <c r="I35" s="32">
        <v>85</v>
      </c>
      <c r="J35" s="32">
        <v>53</v>
      </c>
      <c r="K35" s="44" t="s">
        <v>741</v>
      </c>
      <c r="M35" s="33" t="str">
        <f t="shared" si="0"/>
        <v>Recompra</v>
      </c>
      <c r="N35" s="34">
        <f>IFERROR(IF(Tabela1[[#This Row],[Nome fantasia]]="","",_xlfn.XLOOKUP($C35,Log!D:D,Log!B:B,,,-1)),"")</f>
        <v>45852</v>
      </c>
      <c r="O35" s="35" t="str">
        <f>IFERROR(_xlfn.XLOOKUP($C35,Log!D:D,Log!W:W,,,-1),"")</f>
        <v>VENDA</v>
      </c>
      <c r="P35" s="35" t="str">
        <f>IFERROR(_xlfn.XLOOKUP($C35,Log!D:D,Log!Y:Y,,,-1),"")</f>
        <v>RECOMPRA</v>
      </c>
      <c r="R35" s="26">
        <f>IFERROR(IF(Tabela1[[#This Row],[Nome fantasia]]="","",_xlfn.XLOOKUP($C35,Log!D:D,Log!X:X,,,-1)),"")</f>
        <v>45923</v>
      </c>
    </row>
    <row r="36" spans="3:18" hidden="1" x14ac:dyDescent="0.2">
      <c r="C36" s="30" t="s">
        <v>393</v>
      </c>
      <c r="D36" s="110" t="s">
        <v>396</v>
      </c>
      <c r="E36" s="33" t="s">
        <v>59</v>
      </c>
      <c r="F36" s="38" t="s">
        <v>53</v>
      </c>
      <c r="G36" s="38" t="s">
        <v>390</v>
      </c>
      <c r="H36" s="31">
        <v>1453.67</v>
      </c>
      <c r="I36" s="32">
        <v>85</v>
      </c>
      <c r="J36" s="32">
        <v>53</v>
      </c>
      <c r="K36" s="44" t="s">
        <v>741</v>
      </c>
      <c r="M36" s="33" t="str">
        <f t="shared" si="0"/>
        <v>Recompra</v>
      </c>
      <c r="N36" s="34">
        <f>IFERROR(IF(Tabela1[[#This Row],[Nome fantasia]]="","",_xlfn.XLOOKUP($C36,Log!D:D,Log!B:B,,,-1)),"")</f>
        <v>45852</v>
      </c>
      <c r="O36" s="35" t="str">
        <f>IFERROR(_xlfn.XLOOKUP($C36,Log!D:D,Log!W:W,,,-1),"")</f>
        <v>VENDA</v>
      </c>
      <c r="P36" s="35" t="str">
        <f>IFERROR(_xlfn.XLOOKUP($C36,Log!D:D,Log!Y:Y,,,-1),"")</f>
        <v>RECOMPRA</v>
      </c>
      <c r="R36" s="26">
        <f>IFERROR(IF(Tabela1[[#This Row],[Nome fantasia]]="","",_xlfn.XLOOKUP($C36,Log!D:D,Log!X:X,,,-1)),"")</f>
        <v>45923</v>
      </c>
    </row>
    <row r="37" spans="3:18" hidden="1" x14ac:dyDescent="0.2">
      <c r="C37" s="30" t="s">
        <v>393</v>
      </c>
      <c r="D37" s="110" t="s">
        <v>397</v>
      </c>
      <c r="E37" s="33" t="s">
        <v>59</v>
      </c>
      <c r="F37" s="38" t="s">
        <v>53</v>
      </c>
      <c r="G37" s="38" t="s">
        <v>390</v>
      </c>
      <c r="H37" s="31">
        <v>1392.8</v>
      </c>
      <c r="I37" s="32">
        <v>85</v>
      </c>
      <c r="J37" s="32">
        <v>53</v>
      </c>
      <c r="K37" s="44" t="s">
        <v>741</v>
      </c>
      <c r="M37" s="33" t="str">
        <f t="shared" si="0"/>
        <v>Recompra</v>
      </c>
      <c r="N37" s="34">
        <f>IFERROR(IF(Tabela1[[#This Row],[Nome fantasia]]="","",_xlfn.XLOOKUP($C37,Log!D:D,Log!B:B,,,-1)),"")</f>
        <v>45852</v>
      </c>
      <c r="O37" s="35" t="str">
        <f>IFERROR(_xlfn.XLOOKUP($C37,Log!D:D,Log!W:W,,,-1),"")</f>
        <v>VENDA</v>
      </c>
      <c r="P37" s="35" t="str">
        <f>IFERROR(_xlfn.XLOOKUP($C37,Log!D:D,Log!Y:Y,,,-1),"")</f>
        <v>RECOMPRA</v>
      </c>
      <c r="R37" s="26">
        <f>IFERROR(IF(Tabela1[[#This Row],[Nome fantasia]]="","",_xlfn.XLOOKUP($C37,Log!D:D,Log!X:X,,,-1)),"")</f>
        <v>45923</v>
      </c>
    </row>
    <row r="38" spans="3:18" hidden="1" x14ac:dyDescent="0.2">
      <c r="C38" s="30" t="s">
        <v>400</v>
      </c>
      <c r="D38" s="110" t="s">
        <v>401</v>
      </c>
      <c r="E38" s="33" t="s">
        <v>67</v>
      </c>
      <c r="F38" s="38" t="s">
        <v>53</v>
      </c>
      <c r="G38" s="38" t="s">
        <v>402</v>
      </c>
      <c r="H38" s="31">
        <v>7216.91</v>
      </c>
      <c r="I38" s="32">
        <v>88</v>
      </c>
      <c r="J38" s="32">
        <v>102</v>
      </c>
      <c r="K38" s="46" t="s">
        <v>742</v>
      </c>
      <c r="M38" s="33" t="str">
        <f t="shared" si="0"/>
        <v>Recompra</v>
      </c>
      <c r="N38" s="34">
        <f>IFERROR(IF(Tabela1[[#This Row],[Nome fantasia]]="","",_xlfn.XLOOKUP($C38,Log!D:D,Log!B:B,,,-1)),"")</f>
        <v>45849</v>
      </c>
      <c r="O38" s="35" t="str">
        <f>IFERROR(_xlfn.XLOOKUP($C38,Log!D:D,Log!W:W,,,-1),"")</f>
        <v>EM ATENDIMENTO</v>
      </c>
      <c r="P38" s="35">
        <f>IFERROR(_xlfn.XLOOKUP($C38,Log!D:D,Log!Y:Y,,,-1),"")</f>
        <v>0</v>
      </c>
      <c r="R38" s="26">
        <f>IFERROR(IF(Tabela1[[#This Row],[Nome fantasia]]="","",_xlfn.XLOOKUP($C38,Log!D:D,Log!X:X,,,-1)),"")</f>
        <v>45853</v>
      </c>
    </row>
    <row r="39" spans="3:18" hidden="1" x14ac:dyDescent="0.2">
      <c r="C39" s="30" t="s">
        <v>436</v>
      </c>
      <c r="D39" s="110" t="s">
        <v>437</v>
      </c>
      <c r="E39" s="33" t="s">
        <v>140</v>
      </c>
      <c r="F39" s="38" t="s">
        <v>53</v>
      </c>
      <c r="G39" s="38" t="s">
        <v>1164</v>
      </c>
      <c r="H39" s="31">
        <v>1542.37</v>
      </c>
      <c r="I39" s="32">
        <v>19</v>
      </c>
      <c r="J39" s="32">
        <v>80</v>
      </c>
      <c r="K39" s="46" t="s">
        <v>742</v>
      </c>
      <c r="M39" s="33" t="str">
        <f t="shared" si="0"/>
        <v>Recompra</v>
      </c>
      <c r="N39" s="34">
        <f>IFERROR(IF(Tabela1[[#This Row],[Nome fantasia]]="","",_xlfn.XLOOKUP($C39,Log!D:D,Log!B:B,,,-1)),"")</f>
        <v>45838</v>
      </c>
      <c r="O39" s="35" t="str">
        <f>IFERROR(_xlfn.XLOOKUP($C39,Log!D:D,Log!W:W,,,-1),"")</f>
        <v>SUPORTE</v>
      </c>
      <c r="P39" s="35" t="str">
        <f>IFERROR(_xlfn.XLOOKUP($C39,Log!D:D,Log!Y:Y,,,-1),"")</f>
        <v>ESTOQUE</v>
      </c>
      <c r="R39" s="26">
        <f>IFERROR(IF(Tabela1[[#This Row],[Nome fantasia]]="","",_xlfn.XLOOKUP($C39,Log!D:D,Log!X:X,,,-1)),"")</f>
        <v>45919</v>
      </c>
    </row>
    <row r="40" spans="3:18" hidden="1" x14ac:dyDescent="0.2">
      <c r="C40" s="30" t="s">
        <v>815</v>
      </c>
      <c r="D40" s="110" t="s">
        <v>816</v>
      </c>
      <c r="E40" s="33" t="s">
        <v>22</v>
      </c>
      <c r="F40" s="38" t="s">
        <v>12</v>
      </c>
      <c r="G40" s="38" t="s">
        <v>933</v>
      </c>
      <c r="H40" s="31" t="s">
        <v>933</v>
      </c>
      <c r="I40" s="32" t="s">
        <v>933</v>
      </c>
      <c r="J40" s="32" t="s">
        <v>933</v>
      </c>
      <c r="K40" s="45" t="s">
        <v>888</v>
      </c>
      <c r="L40" s="129"/>
      <c r="M40" s="33" t="str">
        <f t="shared" si="0"/>
        <v>Recompra</v>
      </c>
      <c r="N40" s="34">
        <f>IFERROR(IF(Tabela1[[#This Row],[Nome fantasia]]="","",_xlfn.XLOOKUP($C40,Log!D:D,Log!B:B,,,-1)),"")</f>
        <v>45915</v>
      </c>
      <c r="O40" s="35" t="str">
        <f>IFERROR(_xlfn.XLOOKUP($C40,Log!D:D,Log!W:W,,,-1),"")</f>
        <v>FOLLOW UP 7</v>
      </c>
      <c r="P40" s="35" t="str">
        <f>IFERROR(_xlfn.XLOOKUP($C40,Log!D:D,Log!Y:Y,,,-1),"")</f>
        <v>LIGAÇÃO</v>
      </c>
      <c r="Q40" s="130"/>
      <c r="R40" s="26">
        <f>IFERROR(IF(Tabela1[[#This Row],[Nome fantasia]]="","",_xlfn.XLOOKUP($C40,Log!D:D,Log!X:X,,,-1)),"")</f>
        <v>45924</v>
      </c>
    </row>
    <row r="41" spans="3:18" hidden="1" x14ac:dyDescent="0.2">
      <c r="C41" s="30" t="s">
        <v>478</v>
      </c>
      <c r="D41" s="110" t="s">
        <v>479</v>
      </c>
      <c r="E41" s="33" t="s">
        <v>46</v>
      </c>
      <c r="F41" s="38" t="s">
        <v>32</v>
      </c>
      <c r="G41" s="38" t="s">
        <v>480</v>
      </c>
      <c r="H41" s="31">
        <v>2350.33</v>
      </c>
      <c r="I41" s="32">
        <v>105</v>
      </c>
      <c r="J41" s="32">
        <v>0</v>
      </c>
      <c r="K41" s="46" t="s">
        <v>742</v>
      </c>
      <c r="M41" s="33" t="str">
        <f t="shared" si="0"/>
        <v/>
      </c>
      <c r="N41" s="34">
        <f>IFERROR(IF(Tabela1[[#This Row],[Nome fantasia]]="","",_xlfn.XLOOKUP($C41,Log!D:D,Log!B:B,,,-1)),"")</f>
        <v>45832</v>
      </c>
      <c r="O41" s="35" t="str">
        <f>IFERROR(_xlfn.XLOOKUP($C41,Log!D:D,Log!W:W,,,-1),"")</f>
        <v>VENDA</v>
      </c>
      <c r="P41" s="35" t="str">
        <f>IFERROR(_xlfn.XLOOKUP($C41,Log!D:D,Log!Y:Y,,,-1),"")</f>
        <v xml:space="preserve">Cliente precisa com urgencia do pedido, pois sumiu o pedido dele do sistema </v>
      </c>
      <c r="R41" s="26">
        <f>IFERROR(IF(Tabela1[[#This Row],[Nome fantasia]]="","",_xlfn.XLOOKUP($C41,Log!D:D,Log!X:X,,,-1)),"")</f>
        <v>0</v>
      </c>
    </row>
    <row r="42" spans="3:18" hidden="1" x14ac:dyDescent="0.2">
      <c r="C42" s="30" t="s">
        <v>509</v>
      </c>
      <c r="D42" s="110" t="s">
        <v>510</v>
      </c>
      <c r="E42" s="33" t="s">
        <v>511</v>
      </c>
      <c r="F42" s="38" t="s">
        <v>53</v>
      </c>
      <c r="G42" s="38" t="s">
        <v>508</v>
      </c>
      <c r="H42" s="31">
        <v>2212.34</v>
      </c>
      <c r="I42" s="32">
        <v>113</v>
      </c>
      <c r="J42" s="32">
        <v>48</v>
      </c>
      <c r="K42" s="45" t="s">
        <v>743</v>
      </c>
      <c r="M42" s="33" t="str">
        <f t="shared" si="0"/>
        <v>Recompra</v>
      </c>
      <c r="N42" s="34">
        <f>IFERROR(IF(Tabela1[[#This Row],[Nome fantasia]]="","",_xlfn.XLOOKUP($C42,Log!D:D,Log!B:B,,,-1)),"")</f>
        <v>45824</v>
      </c>
      <c r="O42" s="35" t="str">
        <f>IFERROR(_xlfn.XLOOKUP($C42,Log!D:D,Log!W:W,,,-1),"")</f>
        <v>FOLLOW UP</v>
      </c>
      <c r="P42" s="35" t="str">
        <f>IFERROR(_xlfn.XLOOKUP($C42,Log!D:D,Log!Y:Y,,,-1),"")</f>
        <v>SAIDA DOS PRODUTOS</v>
      </c>
      <c r="R42" s="26">
        <f>IFERROR(IF(Tabela1[[#This Row],[Nome fantasia]]="","",_xlfn.XLOOKUP($C42,Log!D:D,Log!X:X,,,-1)),"")</f>
        <v>45919</v>
      </c>
    </row>
    <row r="43" spans="3:18" hidden="1" x14ac:dyDescent="0.2">
      <c r="C43" s="30" t="s">
        <v>815</v>
      </c>
      <c r="D43" s="110" t="s">
        <v>816</v>
      </c>
      <c r="E43" s="33" t="s">
        <v>22</v>
      </c>
      <c r="F43" s="38" t="s">
        <v>12</v>
      </c>
      <c r="G43" s="38" t="s">
        <v>933</v>
      </c>
      <c r="H43" s="31" t="s">
        <v>933</v>
      </c>
      <c r="I43" s="32" t="s">
        <v>933</v>
      </c>
      <c r="J43" s="32" t="s">
        <v>933</v>
      </c>
      <c r="K43" s="45" t="s">
        <v>888</v>
      </c>
      <c r="L43" s="129"/>
      <c r="M43" s="33" t="str">
        <f t="shared" si="0"/>
        <v>Recompra</v>
      </c>
      <c r="N43" s="34">
        <f>IFERROR(IF(Tabela1[[#This Row],[Nome fantasia]]="","",_xlfn.XLOOKUP($C43,Log!D:D,Log!B:B,,,-1)),"")</f>
        <v>45915</v>
      </c>
      <c r="O43" s="35" t="str">
        <f>IFERROR(_xlfn.XLOOKUP($C43,Log!D:D,Log!W:W,,,-1),"")</f>
        <v>FOLLOW UP 7</v>
      </c>
      <c r="P43" s="35" t="str">
        <f>IFERROR(_xlfn.XLOOKUP($C43,Log!D:D,Log!Y:Y,,,-1),"")</f>
        <v>LIGAÇÃO</v>
      </c>
      <c r="Q43" s="130"/>
      <c r="R43" s="26">
        <f>IFERROR(IF(Tabela1[[#This Row],[Nome fantasia]]="","",_xlfn.XLOOKUP($C43,Log!D:D,Log!X:X,,,-1)),"")</f>
        <v>45924</v>
      </c>
    </row>
    <row r="44" spans="3:18" hidden="1" x14ac:dyDescent="0.2">
      <c r="C44" s="30" t="s">
        <v>818</v>
      </c>
      <c r="D44" s="110" t="s">
        <v>819</v>
      </c>
      <c r="E44" s="33" t="s">
        <v>46</v>
      </c>
      <c r="F44" s="38" t="s">
        <v>12</v>
      </c>
      <c r="G44" s="38" t="s">
        <v>933</v>
      </c>
      <c r="H44" s="31" t="s">
        <v>933</v>
      </c>
      <c r="I44" s="32" t="s">
        <v>933</v>
      </c>
      <c r="J44" s="32" t="s">
        <v>933</v>
      </c>
      <c r="K44" s="45" t="s">
        <v>888</v>
      </c>
      <c r="L44" s="129"/>
      <c r="M44" s="33" t="str">
        <f t="shared" si="0"/>
        <v>Recompra</v>
      </c>
      <c r="N44" s="34">
        <f>IFERROR(IF(Tabela1[[#This Row],[Nome fantasia]]="","",_xlfn.XLOOKUP($C44,Log!D:D,Log!B:B,,,-1)),"")</f>
        <v>45915</v>
      </c>
      <c r="O44" s="35" t="str">
        <f>IFERROR(_xlfn.XLOOKUP($C44,Log!D:D,Log!W:W,,,-1),"")</f>
        <v>FOLLOW UP 7</v>
      </c>
      <c r="P44" s="35" t="str">
        <f>IFERROR(_xlfn.XLOOKUP($C44,Log!D:D,Log!Y:Y,,,-1),"")</f>
        <v>LIGAÇÃO</v>
      </c>
      <c r="Q44" s="130"/>
      <c r="R44" s="26">
        <f>IFERROR(IF(Tabela1[[#This Row],[Nome fantasia]]="","",_xlfn.XLOOKUP($C44,Log!D:D,Log!X:X,,,-1)),"")</f>
        <v>45924</v>
      </c>
    </row>
    <row r="45" spans="3:18" hidden="1" x14ac:dyDescent="0.2">
      <c r="C45" s="30" t="s">
        <v>818</v>
      </c>
      <c r="D45" s="110" t="s">
        <v>819</v>
      </c>
      <c r="E45" s="33" t="s">
        <v>46</v>
      </c>
      <c r="F45" s="38" t="s">
        <v>12</v>
      </c>
      <c r="G45" s="38" t="s">
        <v>933</v>
      </c>
      <c r="H45" s="31" t="s">
        <v>933</v>
      </c>
      <c r="I45" s="32" t="s">
        <v>933</v>
      </c>
      <c r="J45" s="32" t="s">
        <v>933</v>
      </c>
      <c r="K45" s="45" t="s">
        <v>888</v>
      </c>
      <c r="L45" s="129"/>
      <c r="M45" s="33" t="str">
        <f t="shared" si="0"/>
        <v>Recompra</v>
      </c>
      <c r="N45" s="34">
        <f>IFERROR(IF(Tabela1[[#This Row],[Nome fantasia]]="","",_xlfn.XLOOKUP($C45,Log!D:D,Log!B:B,,,-1)),"")</f>
        <v>45915</v>
      </c>
      <c r="O45" s="35" t="str">
        <f>IFERROR(_xlfn.XLOOKUP($C45,Log!D:D,Log!W:W,,,-1),"")</f>
        <v>FOLLOW UP 7</v>
      </c>
      <c r="P45" s="35" t="str">
        <f>IFERROR(_xlfn.XLOOKUP($C45,Log!D:D,Log!Y:Y,,,-1),"")</f>
        <v>LIGAÇÃO</v>
      </c>
      <c r="Q45" s="130"/>
      <c r="R45" s="26">
        <f>IFERROR(IF(Tabela1[[#This Row],[Nome fantasia]]="","",_xlfn.XLOOKUP($C45,Log!D:D,Log!X:X,,,-1)),"")</f>
        <v>45924</v>
      </c>
    </row>
    <row r="46" spans="3:18" hidden="1" x14ac:dyDescent="0.2">
      <c r="C46" s="30" t="s">
        <v>587</v>
      </c>
      <c r="D46" s="110" t="s">
        <v>588</v>
      </c>
      <c r="E46" s="33" t="s">
        <v>26</v>
      </c>
      <c r="F46" s="38" t="s">
        <v>53</v>
      </c>
      <c r="G46" s="38" t="s">
        <v>589</v>
      </c>
      <c r="H46" s="31">
        <v>657.21</v>
      </c>
      <c r="I46" s="32">
        <v>139</v>
      </c>
      <c r="J46" s="32">
        <v>41</v>
      </c>
      <c r="K46" s="45" t="s">
        <v>743</v>
      </c>
      <c r="M46" s="33" t="str">
        <f t="shared" si="0"/>
        <v>Recompra</v>
      </c>
      <c r="N46" s="34">
        <f>IFERROR(IF(Tabela1[[#This Row],[Nome fantasia]]="","",_xlfn.XLOOKUP($C46,Log!D:D,Log!B:B,,,-1)),"")</f>
        <v>45798</v>
      </c>
      <c r="O46" s="35" t="str">
        <f>IFERROR(_xlfn.XLOOKUP($C46,Log!D:D,Log!W:W,,,-1),"")</f>
        <v>FOLLOW UP</v>
      </c>
      <c r="P46" s="35" t="str">
        <f>IFERROR(_xlfn.XLOOKUP($C46,Log!D:D,Log!Y:Y,,,-1),"")</f>
        <v>RECOMPRA</v>
      </c>
      <c r="R46" s="26">
        <f>IFERROR(IF(Tabela1[[#This Row],[Nome fantasia]]="","",_xlfn.XLOOKUP($C46,Log!D:D,Log!X:X,,,-1)),"")</f>
        <v>45919</v>
      </c>
    </row>
    <row r="47" spans="3:18" hidden="1" x14ac:dyDescent="0.2">
      <c r="C47" s="30" t="s">
        <v>620</v>
      </c>
      <c r="D47" s="110" t="s">
        <v>621</v>
      </c>
      <c r="E47" s="33" t="s">
        <v>17</v>
      </c>
      <c r="F47" s="38" t="s">
        <v>32</v>
      </c>
      <c r="G47" s="38" t="s">
        <v>619</v>
      </c>
      <c r="H47" s="31">
        <v>1558.74</v>
      </c>
      <c r="I47" s="32">
        <v>148</v>
      </c>
      <c r="J47" s="32">
        <v>0</v>
      </c>
      <c r="K47" s="45" t="s">
        <v>743</v>
      </c>
      <c r="M47" s="33" t="str">
        <f t="shared" si="0"/>
        <v/>
      </c>
      <c r="N47" s="34">
        <f>IFERROR(IF(Tabela1[[#This Row],[Nome fantasia]]="","",_xlfn.XLOOKUP($C47,Log!D:D,Log!B:B,,,-1)),"")</f>
        <v>45951</v>
      </c>
      <c r="O47" s="35" t="str">
        <f>IFERROR(_xlfn.XLOOKUP($C47,Log!D:D,Log!W:W,,,-1),"")</f>
        <v>EM ATENDIMENTO</v>
      </c>
      <c r="P47" s="35" t="str">
        <f>IFERROR(_xlfn.XLOOKUP($C47,Log!D:D,Log!Y:Y,,,-1),"")</f>
        <v>ENTRANDO EM CONTATO NOVAMENTE COM A CLIENTE !</v>
      </c>
      <c r="R47" s="26">
        <f>IFERROR(IF(Tabela1[[#This Row],[Nome fantasia]]="","",_xlfn.XLOOKUP($C47,Log!D:D,Log!X:X,,,-1)),"")</f>
        <v>45953</v>
      </c>
    </row>
    <row r="48" spans="3:18" hidden="1" x14ac:dyDescent="0.2">
      <c r="C48" s="30" t="s">
        <v>821</v>
      </c>
      <c r="D48" s="110" t="s">
        <v>822</v>
      </c>
      <c r="E48" s="33" t="s">
        <v>31</v>
      </c>
      <c r="F48" s="38" t="s">
        <v>12</v>
      </c>
      <c r="G48" s="38" t="s">
        <v>933</v>
      </c>
      <c r="H48" s="31" t="s">
        <v>933</v>
      </c>
      <c r="I48" s="32" t="s">
        <v>933</v>
      </c>
      <c r="J48" s="32" t="s">
        <v>933</v>
      </c>
      <c r="K48" s="45" t="s">
        <v>888</v>
      </c>
      <c r="L48" s="129"/>
      <c r="M48" s="33" t="str">
        <f t="shared" si="0"/>
        <v>Recompra</v>
      </c>
      <c r="N48" s="34">
        <f>IFERROR(IF(Tabela1[[#This Row],[Nome fantasia]]="","",_xlfn.XLOOKUP($C48,Log!D:D,Log!B:B,,,-1)),"")</f>
        <v>45915</v>
      </c>
      <c r="O48" s="35" t="str">
        <f>IFERROR(_xlfn.XLOOKUP($C48,Log!D:D,Log!W:W,,,-1),"")</f>
        <v>FOLLOW UP 7</v>
      </c>
      <c r="P48" s="35" t="str">
        <f>IFERROR(_xlfn.XLOOKUP($C48,Log!D:D,Log!Y:Y,,,-1),"")</f>
        <v>AMOSTRAS</v>
      </c>
      <c r="Q48" s="130"/>
      <c r="R48" s="26">
        <f>IFERROR(IF(Tabela1[[#This Row],[Nome fantasia]]="","",_xlfn.XLOOKUP($C48,Log!D:D,Log!X:X,,,-1)),"")</f>
        <v>45924</v>
      </c>
    </row>
    <row r="49" spans="3:18" hidden="1" x14ac:dyDescent="0.2">
      <c r="C49" s="30" t="s">
        <v>587</v>
      </c>
      <c r="D49" s="110" t="s">
        <v>683</v>
      </c>
      <c r="E49" s="33" t="s">
        <v>31</v>
      </c>
      <c r="F49" s="38" t="s">
        <v>53</v>
      </c>
      <c r="G49" s="38" t="s">
        <v>680</v>
      </c>
      <c r="H49" s="31">
        <v>1526</v>
      </c>
      <c r="I49" s="32">
        <v>165</v>
      </c>
      <c r="J49" s="32">
        <v>0</v>
      </c>
      <c r="K49" s="45" t="s">
        <v>743</v>
      </c>
      <c r="M49" s="33" t="str">
        <f t="shared" si="0"/>
        <v/>
      </c>
      <c r="N49" s="34">
        <f>IFERROR(IF(Tabela1[[#This Row],[Nome fantasia]]="","",_xlfn.XLOOKUP($C49,Log!D:D,Log!B:B,,,-1)),"")</f>
        <v>45798</v>
      </c>
      <c r="O49" s="35" t="str">
        <f>IFERROR(_xlfn.XLOOKUP($C49,Log!D:D,Log!W:W,,,-1),"")</f>
        <v>FOLLOW UP</v>
      </c>
      <c r="P49" s="35" t="str">
        <f>IFERROR(_xlfn.XLOOKUP($C49,Log!D:D,Log!Y:Y,,,-1),"")</f>
        <v>RECOMPRA</v>
      </c>
      <c r="R49" s="26">
        <f>IFERROR(IF(Tabela1[[#This Row],[Nome fantasia]]="","",_xlfn.XLOOKUP($C49,Log!D:D,Log!X:X,,,-1)),"")</f>
        <v>45919</v>
      </c>
    </row>
    <row r="50" spans="3:18" hidden="1" x14ac:dyDescent="0.2">
      <c r="C50" s="30" t="s">
        <v>587</v>
      </c>
      <c r="D50" s="110" t="s">
        <v>689</v>
      </c>
      <c r="E50" s="33" t="s">
        <v>31</v>
      </c>
      <c r="F50" s="38" t="s">
        <v>53</v>
      </c>
      <c r="G50" s="38" t="s">
        <v>690</v>
      </c>
      <c r="H50" s="31">
        <v>1090.05</v>
      </c>
      <c r="I50" s="32">
        <v>173</v>
      </c>
      <c r="J50" s="32">
        <v>0</v>
      </c>
      <c r="K50" s="45" t="s">
        <v>743</v>
      </c>
      <c r="M50" s="33" t="str">
        <f t="shared" si="0"/>
        <v/>
      </c>
      <c r="N50" s="34">
        <f>IFERROR(IF(Tabela1[[#This Row],[Nome fantasia]]="","",_xlfn.XLOOKUP($C50,Log!D:D,Log!B:B,,,-1)),"")</f>
        <v>45798</v>
      </c>
      <c r="O50" s="35" t="str">
        <f>IFERROR(_xlfn.XLOOKUP($C50,Log!D:D,Log!W:W,,,-1),"")</f>
        <v>FOLLOW UP</v>
      </c>
      <c r="P50" s="35" t="str">
        <f>IFERROR(_xlfn.XLOOKUP($C50,Log!D:D,Log!Y:Y,,,-1),"")</f>
        <v>RECOMPRA</v>
      </c>
      <c r="R50" s="26">
        <f>IFERROR(IF(Tabela1[[#This Row],[Nome fantasia]]="","",_xlfn.XLOOKUP($C50,Log!D:D,Log!X:X,,,-1)),"")</f>
        <v>45919</v>
      </c>
    </row>
    <row r="51" spans="3:18" hidden="1" x14ac:dyDescent="0.2">
      <c r="C51" s="30" t="s">
        <v>267</v>
      </c>
      <c r="D51" s="110" t="s">
        <v>1515</v>
      </c>
      <c r="E51" s="33" t="s">
        <v>17</v>
      </c>
      <c r="F51" s="38"/>
      <c r="G51" s="38"/>
      <c r="H51" s="31"/>
      <c r="I51" s="32"/>
      <c r="J51" s="32"/>
      <c r="K51" s="45" t="s">
        <v>888</v>
      </c>
      <c r="L51" s="129"/>
      <c r="M51" s="33" t="str">
        <f t="shared" si="0"/>
        <v/>
      </c>
      <c r="N51" s="34">
        <f>IFERROR(IF(Tabela1[[#This Row],[Nome fantasia]]="","",_xlfn.XLOOKUP($C51,Log!D:D,Log!B:B,,,-1)),"")</f>
        <v>45875</v>
      </c>
      <c r="O51" s="35" t="str">
        <f>IFERROR(_xlfn.XLOOKUP($C51,Log!D:D,Log!W:W,,,-1),"")</f>
        <v>VENDA</v>
      </c>
      <c r="P51" s="35" t="str">
        <f>IFERROR(_xlfn.XLOOKUP($C51,Log!D:D,Log!Y:Y,,,-1),"")</f>
        <v xml:space="preserve">RECOMPRA </v>
      </c>
      <c r="Q51" s="130"/>
      <c r="R51" s="26">
        <f>IFERROR(IF(Tabela1[[#This Row],[Nome fantasia]]="","",_xlfn.XLOOKUP($C51,Log!D:D,Log!X:X,,,-1)),"")</f>
        <v>45938</v>
      </c>
    </row>
    <row r="52" spans="3:18" hidden="1" x14ac:dyDescent="0.2">
      <c r="C52" s="30" t="s">
        <v>1085</v>
      </c>
      <c r="D52" s="110" t="s">
        <v>1025</v>
      </c>
      <c r="E52" s="33" t="s">
        <v>17</v>
      </c>
      <c r="F52" s="38"/>
      <c r="G52" s="38"/>
      <c r="H52" s="31"/>
      <c r="I52" s="32"/>
      <c r="J52" s="32"/>
      <c r="K52" s="45" t="s">
        <v>888</v>
      </c>
      <c r="L52" s="129"/>
      <c r="M52" s="33" t="str">
        <f t="shared" si="0"/>
        <v/>
      </c>
      <c r="N52" s="34">
        <f>IFERROR(IF(Tabela1[[#This Row],[Nome fantasia]]="","",_xlfn.XLOOKUP($C52,Log!D:D,Log!B:B,,,-1)),"")</f>
        <v>45929</v>
      </c>
      <c r="O52" s="35" t="str">
        <f>IFERROR(_xlfn.XLOOKUP($C52,Log!D:D,Log!W:W,,,-1),"")</f>
        <v>EM ATENDIMENTO</v>
      </c>
      <c r="P52" s="35" t="str">
        <f>IFERROR(_xlfn.XLOOKUP($C52,Log!D:D,Log!Y:Y,,,-1),"")</f>
        <v>TENTAR REATIVAR</v>
      </c>
      <c r="Q52" s="130"/>
      <c r="R52" s="26">
        <f>IFERROR(IF(Tabela1[[#This Row],[Nome fantasia]]="","",_xlfn.XLOOKUP($C52,Log!D:D,Log!X:X,,,-1)),"")</f>
        <v>45931</v>
      </c>
    </row>
    <row r="53" spans="3:18" hidden="1" x14ac:dyDescent="0.2">
      <c r="C53" s="30" t="s">
        <v>287</v>
      </c>
      <c r="D53" s="110" t="s">
        <v>1926</v>
      </c>
      <c r="E53" s="33" t="s">
        <v>17</v>
      </c>
      <c r="F53" s="38"/>
      <c r="G53" s="38"/>
      <c r="H53" s="31"/>
      <c r="I53" s="32"/>
      <c r="J53" s="32"/>
      <c r="K53" s="45" t="s">
        <v>888</v>
      </c>
      <c r="L53" s="129"/>
      <c r="M53" s="33" t="str">
        <f t="shared" si="0"/>
        <v/>
      </c>
      <c r="N53" s="34">
        <f>IFERROR(IF(Tabela1[[#This Row],[Nome fantasia]]="","",_xlfn.XLOOKUP($C53,Log!D:D,Log!B:B,,,-1)),"")</f>
        <v>45918</v>
      </c>
      <c r="O53" s="35" t="str">
        <f>IFERROR(_xlfn.XLOOKUP($C53,Log!D:D,Log!W:W,,,-1),"")</f>
        <v>EM ATENDIMENTO</v>
      </c>
      <c r="P53" s="35" t="str">
        <f>IFERROR(_xlfn.XLOOKUP($C53,Log!D:D,Log!Y:Y,,,-1),"")</f>
        <v>MENSAGEM</v>
      </c>
      <c r="Q53" s="130"/>
      <c r="R53" s="26">
        <f>IFERROR(IF(Tabela1[[#This Row],[Nome fantasia]]="","",_xlfn.XLOOKUP($C53,Log!D:D,Log!X:X,,,-1)),"")</f>
        <v>45922</v>
      </c>
    </row>
    <row r="54" spans="3:18" hidden="1" x14ac:dyDescent="0.2">
      <c r="C54" s="30" t="s">
        <v>985</v>
      </c>
      <c r="D54" s="110" t="s">
        <v>2034</v>
      </c>
      <c r="E54" s="33" t="s">
        <v>46</v>
      </c>
      <c r="F54" s="38"/>
      <c r="G54" s="38"/>
      <c r="H54" s="31"/>
      <c r="I54" s="32"/>
      <c r="J54" s="32"/>
      <c r="K54" s="45" t="s">
        <v>888</v>
      </c>
      <c r="L54" s="129"/>
      <c r="M54" s="33" t="str">
        <f t="shared" si="0"/>
        <v/>
      </c>
      <c r="N54" s="34">
        <f>IFERROR(IF(Tabela1[[#This Row],[Nome fantasia]]="","",_xlfn.XLOOKUP($C54,Log!D:D,Log!B:B,,,-1)),"")</f>
        <v>45923</v>
      </c>
      <c r="O54" s="35" t="str">
        <f>IFERROR(_xlfn.XLOOKUP($C54,Log!D:D,Log!W:W,,,-1),"")</f>
        <v>FOLLOW UP 7</v>
      </c>
      <c r="P54" s="35" t="str">
        <f>IFERROR(_xlfn.XLOOKUP($C54,Log!D:D,Log!Y:Y,,,-1),"")</f>
        <v xml:space="preserve">CONTATO PARA ENTENDER SAIDA </v>
      </c>
      <c r="Q54" s="130"/>
      <c r="R54" s="26">
        <f>IFERROR(IF(Tabela1[[#This Row],[Nome fantasia]]="","",_xlfn.XLOOKUP($C54,Log!D:D,Log!X:X,,,-1)),"")</f>
        <v>45932</v>
      </c>
    </row>
    <row r="55" spans="3:18" hidden="1" x14ac:dyDescent="0.2">
      <c r="C55" s="30" t="s">
        <v>267</v>
      </c>
      <c r="D55" s="110" t="s">
        <v>2435</v>
      </c>
      <c r="E55" s="33" t="s">
        <v>17</v>
      </c>
      <c r="F55" s="38"/>
      <c r="G55" s="38"/>
      <c r="H55" s="31"/>
      <c r="I55" s="32"/>
      <c r="J55" s="32"/>
      <c r="K55" s="45" t="s">
        <v>888</v>
      </c>
      <c r="L55" s="129"/>
      <c r="M55" s="33" t="str">
        <f t="shared" si="0"/>
        <v/>
      </c>
      <c r="N55" s="34">
        <f>IFERROR(IF(Tabela1[[#This Row],[Nome fantasia]]="","",_xlfn.XLOOKUP($C55,Log!D:D,Log!B:B,,,-1)),"")</f>
        <v>45875</v>
      </c>
      <c r="O55" s="35" t="str">
        <f>IFERROR(_xlfn.XLOOKUP($C55,Log!D:D,Log!W:W,,,-1),"")</f>
        <v>VENDA</v>
      </c>
      <c r="P55" s="35" t="str">
        <f>IFERROR(_xlfn.XLOOKUP($C55,Log!D:D,Log!Y:Y,,,-1),"")</f>
        <v xml:space="preserve">RECOMPRA </v>
      </c>
      <c r="Q55" s="130"/>
      <c r="R55" s="26">
        <f>IFERROR(IF(Tabela1[[#This Row],[Nome fantasia]]="","",_xlfn.XLOOKUP($C55,Log!D:D,Log!X:X,,,-1)),"")</f>
        <v>45938</v>
      </c>
    </row>
    <row r="56" spans="3:18" hidden="1" x14ac:dyDescent="0.2">
      <c r="C56" s="30" t="s">
        <v>1085</v>
      </c>
      <c r="D56" s="110" t="s">
        <v>2530</v>
      </c>
      <c r="E56" s="33" t="s">
        <v>46</v>
      </c>
      <c r="F56" s="38"/>
      <c r="G56" s="38"/>
      <c r="H56" s="31"/>
      <c r="I56" s="32"/>
      <c r="J56" s="32"/>
      <c r="K56" s="45" t="s">
        <v>888</v>
      </c>
      <c r="L56" s="129"/>
      <c r="M56" s="33" t="str">
        <f t="shared" si="0"/>
        <v/>
      </c>
      <c r="N56" s="34">
        <f>IFERROR(IF(Tabela1[[#This Row],[Nome fantasia]]="","",_xlfn.XLOOKUP($C56,Log!D:D,Log!B:B,,,-1)),"")</f>
        <v>45929</v>
      </c>
      <c r="O56" s="35" t="str">
        <f>IFERROR(_xlfn.XLOOKUP($C56,Log!D:D,Log!W:W,,,-1),"")</f>
        <v>EM ATENDIMENTO</v>
      </c>
      <c r="P56" s="35" t="str">
        <f>IFERROR(_xlfn.XLOOKUP($C56,Log!D:D,Log!Y:Y,,,-1),"")</f>
        <v>TENTAR REATIVAR</v>
      </c>
      <c r="Q56" s="130"/>
      <c r="R56" s="26">
        <f>IFERROR(IF(Tabela1[[#This Row],[Nome fantasia]]="","",_xlfn.XLOOKUP($C56,Log!D:D,Log!X:X,,,-1)),"")</f>
        <v>45931</v>
      </c>
    </row>
    <row r="57" spans="3:18" hidden="1" x14ac:dyDescent="0.2">
      <c r="C57" s="30" t="s">
        <v>1085</v>
      </c>
      <c r="D57" s="110" t="s">
        <v>3573</v>
      </c>
      <c r="E57" s="33" t="s">
        <v>22</v>
      </c>
      <c r="F57" s="38"/>
      <c r="G57" s="38"/>
      <c r="H57" s="31"/>
      <c r="I57" s="32"/>
      <c r="J57" s="32"/>
      <c r="K57" s="45" t="s">
        <v>888</v>
      </c>
      <c r="L57" s="129"/>
      <c r="M57" s="33" t="str">
        <f t="shared" si="0"/>
        <v/>
      </c>
      <c r="N57" s="34">
        <f>IFERROR(IF(Tabela1[[#This Row],[Nome fantasia]]="","",_xlfn.XLOOKUP($C57,Log!D:D,Log!B:B,,,-1)),"")</f>
        <v>45929</v>
      </c>
      <c r="O57" s="35" t="str">
        <f>IFERROR(_xlfn.XLOOKUP($C57,Log!D:D,Log!W:W,,,-1),"")</f>
        <v>EM ATENDIMENTO</v>
      </c>
      <c r="P57" s="35" t="str">
        <f>IFERROR(_xlfn.XLOOKUP($C57,Log!D:D,Log!Y:Y,,,-1),"")</f>
        <v>TENTAR REATIVAR</v>
      </c>
      <c r="Q57" s="130"/>
      <c r="R57" s="26">
        <f>IFERROR(IF(Tabela1[[#This Row],[Nome fantasia]]="","",_xlfn.XLOOKUP($C57,Log!D:D,Log!X:X,,,-1)),"")</f>
        <v>45931</v>
      </c>
    </row>
    <row r="58" spans="3:18" hidden="1" x14ac:dyDescent="0.2">
      <c r="C58" s="30" t="s">
        <v>1085</v>
      </c>
      <c r="D58" s="110" t="s">
        <v>3922</v>
      </c>
      <c r="E58" s="33" t="s">
        <v>46</v>
      </c>
      <c r="F58" s="38"/>
      <c r="G58" s="38"/>
      <c r="H58" s="31"/>
      <c r="I58" s="32"/>
      <c r="J58" s="32"/>
      <c r="K58" s="45" t="s">
        <v>888</v>
      </c>
      <c r="L58" s="129"/>
      <c r="M58" s="33" t="str">
        <f t="shared" si="0"/>
        <v/>
      </c>
      <c r="N58" s="34">
        <f>IFERROR(IF(Tabela1[[#This Row],[Nome fantasia]]="","",_xlfn.XLOOKUP($C58,Log!D:D,Log!B:B,,,-1)),"")</f>
        <v>45929</v>
      </c>
      <c r="O58" s="35" t="str">
        <f>IFERROR(_xlfn.XLOOKUP($C58,Log!D:D,Log!W:W,,,-1),"")</f>
        <v>EM ATENDIMENTO</v>
      </c>
      <c r="P58" s="35" t="str">
        <f>IFERROR(_xlfn.XLOOKUP($C58,Log!D:D,Log!Y:Y,,,-1),"")</f>
        <v>TENTAR REATIVAR</v>
      </c>
      <c r="Q58" s="130"/>
      <c r="R58" s="26">
        <f>IFERROR(IF(Tabela1[[#This Row],[Nome fantasia]]="","",_xlfn.XLOOKUP($C58,Log!D:D,Log!X:X,,,-1)),"")</f>
        <v>45931</v>
      </c>
    </row>
    <row r="59" spans="3:18" hidden="1" x14ac:dyDescent="0.2">
      <c r="C59" s="30" t="s">
        <v>1081</v>
      </c>
      <c r="D59" s="110" t="s">
        <v>1080</v>
      </c>
      <c r="E59" s="33" t="s">
        <v>22</v>
      </c>
      <c r="F59" s="38"/>
      <c r="G59" s="38"/>
      <c r="H59" s="31"/>
      <c r="I59" s="32"/>
      <c r="J59" s="32"/>
      <c r="K59" s="45" t="s">
        <v>888</v>
      </c>
      <c r="L59" s="129"/>
      <c r="M59" s="33" t="str">
        <f t="shared" si="0"/>
        <v/>
      </c>
      <c r="N59" s="34">
        <f>IFERROR(IF(Tabela1[[#This Row],[Nome fantasia]]="","",_xlfn.XLOOKUP($C59,Log!D:D,Log!B:B,,,-1)),"")</f>
        <v>45930</v>
      </c>
      <c r="O59" s="35" t="str">
        <f>IFERROR(_xlfn.XLOOKUP($C59,Log!D:D,Log!W:W,,,-1),"")</f>
        <v>EM ATENDIMENTO</v>
      </c>
      <c r="P59" s="35" t="str">
        <f>IFERROR(_xlfn.XLOOKUP($C59,Log!D:D,Log!Y:Y,,,-1),"")</f>
        <v>CLIENTE ESTA DE FAZER CARRINHO NO E-COMMERCE</v>
      </c>
      <c r="Q59" s="130"/>
      <c r="R59" s="26">
        <f>IFERROR(IF(Tabela1[[#This Row],[Nome fantasia]]="","",_xlfn.XLOOKUP($C59,Log!D:D,Log!X:X,,,-1)),"")</f>
        <v>45932</v>
      </c>
    </row>
    <row r="60" spans="3:18" hidden="1" x14ac:dyDescent="0.2">
      <c r="C60" s="30" t="s">
        <v>954</v>
      </c>
      <c r="D60" s="110" t="s">
        <v>933</v>
      </c>
      <c r="E60" s="33" t="s">
        <v>46</v>
      </c>
      <c r="F60" s="38" t="s">
        <v>829</v>
      </c>
      <c r="G60" s="38" t="s">
        <v>933</v>
      </c>
      <c r="H60" s="31" t="s">
        <v>933</v>
      </c>
      <c r="I60" s="32" t="s">
        <v>933</v>
      </c>
      <c r="J60" s="32" t="s">
        <v>933</v>
      </c>
      <c r="K60" s="45" t="s">
        <v>888</v>
      </c>
      <c r="L60" s="129"/>
      <c r="M60" s="33" t="str">
        <f t="shared" si="0"/>
        <v>Recompra</v>
      </c>
      <c r="N60" s="34">
        <f>IFERROR(IF(Tabela1[[#This Row],[Nome fantasia]]="","",_xlfn.XLOOKUP($C60,Log!D:D,Log!B:B,,,-1)),"")</f>
        <v>45922</v>
      </c>
      <c r="O60" s="35" t="str">
        <f>IFERROR(_xlfn.XLOOKUP($C60,Log!D:D,Log!W:W,,,-1),"")</f>
        <v>EM ATENDIMENTO</v>
      </c>
      <c r="P60" s="35" t="str">
        <f>IFERROR(_xlfn.XLOOKUP($C60,Log!D:D,Log!Y:Y,,,-1),"")</f>
        <v>MERCADO REGIÃO PRAIA, COMPRAVA COM A BDL</v>
      </c>
      <c r="Q60" s="130"/>
      <c r="R60" s="26">
        <f>IFERROR(IF(Tabela1[[#This Row],[Nome fantasia]]="","",_xlfn.XLOOKUP($C60,Log!D:D,Log!X:X,,,-1)),"")</f>
        <v>45924</v>
      </c>
    </row>
    <row r="61" spans="3:18" hidden="1" x14ac:dyDescent="0.2">
      <c r="C61" s="30" t="s">
        <v>247</v>
      </c>
      <c r="D61" s="110" t="s">
        <v>248</v>
      </c>
      <c r="E61" s="33" t="s">
        <v>17</v>
      </c>
      <c r="F61" s="38" t="s">
        <v>12</v>
      </c>
      <c r="G61" s="38" t="s">
        <v>242</v>
      </c>
      <c r="H61" s="31">
        <v>801.51</v>
      </c>
      <c r="I61" s="123">
        <v>57</v>
      </c>
      <c r="J61" s="32">
        <v>0</v>
      </c>
      <c r="K61" s="44" t="s">
        <v>741</v>
      </c>
      <c r="M61" s="33" t="str">
        <f t="shared" si="0"/>
        <v/>
      </c>
      <c r="N61" s="34">
        <f>IFERROR(IF(Tabela1[[#This Row],[Nome fantasia]]="","",_xlfn.XLOOKUP($C61,Log!D:D,Log!B:B,,,-1)),"")</f>
        <v>45918</v>
      </c>
      <c r="O61" s="35" t="str">
        <f>IFERROR(_xlfn.XLOOKUP($C61,Log!D:D,Log!W:W,,,-1),"")</f>
        <v>FOLLOW UP 7</v>
      </c>
      <c r="P61" s="35" t="str">
        <f>IFERROR(_xlfn.XLOOKUP($C61,Log!D:D,Log!Y:Y,,,-1),"")</f>
        <v>MENSAGEM</v>
      </c>
      <c r="R61" s="26">
        <f>IFERROR(IF(Tabela1[[#This Row],[Nome fantasia]]="","",_xlfn.XLOOKUP($C61,Log!D:D,Log!X:X,,,-1)),"")</f>
        <v>45929</v>
      </c>
    </row>
    <row r="62" spans="3:18" hidden="1" x14ac:dyDescent="0.2">
      <c r="C62" s="30" t="s">
        <v>887</v>
      </c>
      <c r="D62" s="110" t="s">
        <v>933</v>
      </c>
      <c r="E62" s="33" t="s">
        <v>11</v>
      </c>
      <c r="F62" s="38" t="s">
        <v>829</v>
      </c>
      <c r="G62" s="38" t="s">
        <v>933</v>
      </c>
      <c r="H62" s="31" t="s">
        <v>933</v>
      </c>
      <c r="I62" s="32" t="s">
        <v>933</v>
      </c>
      <c r="J62" s="32" t="s">
        <v>933</v>
      </c>
      <c r="K62" s="45" t="s">
        <v>888</v>
      </c>
      <c r="L62" s="129"/>
      <c r="M62" s="33" t="str">
        <f t="shared" si="0"/>
        <v>Recompra</v>
      </c>
      <c r="N62" s="34">
        <f>IFERROR(IF(Tabela1[[#This Row],[Nome fantasia]]="","",_xlfn.XLOOKUP($C62,Log!D:D,Log!B:B,,,-1)),"")</f>
        <v>45918</v>
      </c>
      <c r="O62" s="35" t="str">
        <f>IFERROR(_xlfn.XLOOKUP($C62,Log!D:D,Log!W:W,,,-1),"")</f>
        <v>FOLLOW UP 7</v>
      </c>
      <c r="P62" s="35" t="str">
        <f>IFERROR(_xlfn.XLOOKUP($C62,Log!D:D,Log!Y:Y,,,-1),"")</f>
        <v>LEAD</v>
      </c>
      <c r="Q62" s="130"/>
      <c r="R62" s="26">
        <f>IFERROR(IF(Tabela1[[#This Row],[Nome fantasia]]="","",_xlfn.XLOOKUP($C62,Log!D:D,Log!X:X,,,-1)),"")</f>
        <v>45929</v>
      </c>
    </row>
    <row r="63" spans="3:18" hidden="1" x14ac:dyDescent="0.2">
      <c r="C63" s="30" t="s">
        <v>890</v>
      </c>
      <c r="D63" s="110" t="s">
        <v>891</v>
      </c>
      <c r="E63" s="33" t="s">
        <v>328</v>
      </c>
      <c r="F63" s="38" t="s">
        <v>829</v>
      </c>
      <c r="G63" s="38" t="s">
        <v>933</v>
      </c>
      <c r="H63" s="31" t="s">
        <v>933</v>
      </c>
      <c r="I63" s="32" t="s">
        <v>933</v>
      </c>
      <c r="J63" s="32" t="s">
        <v>933</v>
      </c>
      <c r="K63" s="45" t="s">
        <v>888</v>
      </c>
      <c r="L63" s="129"/>
      <c r="M63" s="33" t="str">
        <f t="shared" si="0"/>
        <v>Recompra</v>
      </c>
      <c r="N63" s="34">
        <f>IFERROR(IF(Tabela1[[#This Row],[Nome fantasia]]="","",_xlfn.XLOOKUP($C63,Log!D:D,Log!B:B,,,-1)),"")</f>
        <v>45925</v>
      </c>
      <c r="O63" s="35" t="str">
        <f>IFERROR(_xlfn.XLOOKUP($C63,Log!D:D,Log!W:W,,,-1),"")</f>
        <v>EM ATENDIMENTO</v>
      </c>
      <c r="P63" s="35" t="str">
        <f>IFERROR(_xlfn.XLOOKUP($C63,Log!D:D,Log!Y:Y,,,-1),"")</f>
        <v>REDE VIDA LEVE</v>
      </c>
      <c r="Q63" s="130"/>
      <c r="R63" s="26">
        <f>IFERROR(IF(Tabela1[[#This Row],[Nome fantasia]]="","",_xlfn.XLOOKUP($C63,Log!D:D,Log!X:X,,,-1)),"")</f>
        <v>45929</v>
      </c>
    </row>
    <row r="64" spans="3:18" hidden="1" x14ac:dyDescent="0.2">
      <c r="C64" s="30" t="s">
        <v>1036</v>
      </c>
      <c r="D64" s="110" t="s">
        <v>1027</v>
      </c>
      <c r="E64" s="33" t="s">
        <v>17</v>
      </c>
      <c r="F64" s="38" t="s">
        <v>829</v>
      </c>
      <c r="G64" s="38" t="s">
        <v>933</v>
      </c>
      <c r="H64" s="31" t="s">
        <v>933</v>
      </c>
      <c r="I64" s="32" t="s">
        <v>933</v>
      </c>
      <c r="J64" s="32" t="s">
        <v>933</v>
      </c>
      <c r="K64" s="45" t="s">
        <v>888</v>
      </c>
      <c r="L64" s="129"/>
      <c r="M64" s="33" t="str">
        <f t="shared" si="0"/>
        <v>Recompra</v>
      </c>
      <c r="N64" s="34">
        <f>IFERROR(IF(Tabela1[[#This Row],[Nome fantasia]]="","",_xlfn.XLOOKUP($C64,Log!D:D,Log!B:B,,,-1)),"")</f>
        <v>45925</v>
      </c>
      <c r="O64" s="35" t="str">
        <f>IFERROR(_xlfn.XLOOKUP($C64,Log!D:D,Log!W:W,,,-1),"")</f>
        <v>EM ATENDIMENTO</v>
      </c>
      <c r="P64" s="35" t="str">
        <f>IFERROR(_xlfn.XLOOKUP($C64,Log!D:D,Log!Y:Y,,,-1),"")</f>
        <v>FEITO CONTATO PARA AVALIAR PARCERIA</v>
      </c>
      <c r="Q64" s="130"/>
      <c r="R64" s="26">
        <f>IFERROR(IF(Tabela1[[#This Row],[Nome fantasia]]="","",_xlfn.XLOOKUP($C64,Log!D:D,Log!X:X,,,-1)),"")</f>
        <v>45929</v>
      </c>
    </row>
    <row r="65" spans="3:18" hidden="1" x14ac:dyDescent="0.2">
      <c r="C65" s="30" t="s">
        <v>1031</v>
      </c>
      <c r="D65" s="110" t="s">
        <v>1022</v>
      </c>
      <c r="E65" s="33" t="s">
        <v>17</v>
      </c>
      <c r="F65" s="38" t="s">
        <v>829</v>
      </c>
      <c r="G65" s="38" t="s">
        <v>933</v>
      </c>
      <c r="H65" s="31" t="s">
        <v>933</v>
      </c>
      <c r="I65" s="32" t="s">
        <v>933</v>
      </c>
      <c r="J65" s="32" t="s">
        <v>933</v>
      </c>
      <c r="K65" s="45" t="s">
        <v>888</v>
      </c>
      <c r="L65" s="129"/>
      <c r="M65" s="33" t="str">
        <f t="shared" si="0"/>
        <v>Recompra</v>
      </c>
      <c r="N65" s="34">
        <f>IFERROR(IF(Tabela1[[#This Row],[Nome fantasia]]="","",_xlfn.XLOOKUP($C65,Log!D:D,Log!B:B,,,-1)),"")</f>
        <v>45925</v>
      </c>
      <c r="O65" s="35" t="str">
        <f>IFERROR(_xlfn.XLOOKUP($C65,Log!D:D,Log!W:W,,,-1),"")</f>
        <v>EM ATENDIMENTO</v>
      </c>
      <c r="P65" s="35" t="str">
        <f>IFERROR(_xlfn.XLOOKUP($C65,Log!D:D,Log!Y:Y,,,-1),"")</f>
        <v>FEITO CONTATO PARA AVALIAR PARCERIA</v>
      </c>
      <c r="Q65" s="130"/>
      <c r="R65" s="26">
        <f>IFERROR(IF(Tabela1[[#This Row],[Nome fantasia]]="","",_xlfn.XLOOKUP($C65,Log!D:D,Log!X:X,,,-1)),"")</f>
        <v>45929</v>
      </c>
    </row>
    <row r="66" spans="3:18" hidden="1" x14ac:dyDescent="0.2">
      <c r="C66" s="30" t="s">
        <v>1014</v>
      </c>
      <c r="D66" s="110" t="s">
        <v>1015</v>
      </c>
      <c r="E66" s="33" t="s">
        <v>22</v>
      </c>
      <c r="F66" s="38" t="s">
        <v>829</v>
      </c>
      <c r="G66" s="38"/>
      <c r="H66" s="31"/>
      <c r="I66" s="32"/>
      <c r="J66" s="32"/>
      <c r="K66" s="45" t="s">
        <v>888</v>
      </c>
      <c r="L66" s="129"/>
      <c r="M66" s="33" t="str">
        <f t="shared" si="0"/>
        <v/>
      </c>
      <c r="N66" s="34">
        <f>IFERROR(IF(Tabela1[[#This Row],[Nome fantasia]]="","",_xlfn.XLOOKUP($C66,Log!D:D,Log!B:B,,,-1)),"")</f>
        <v>45925</v>
      </c>
      <c r="O66" s="35" t="str">
        <f>IFERROR(_xlfn.XLOOKUP($C66,Log!D:D,Log!W:W,,,-1),"")</f>
        <v>CADASTRO</v>
      </c>
      <c r="P66" s="35" t="str">
        <f>IFERROR(_xlfn.XLOOKUP($C66,Log!D:D,Log!Y:Y,,,-1),"")</f>
        <v>AMOSTRAS</v>
      </c>
      <c r="Q66" s="130"/>
      <c r="R66" s="26">
        <f>IFERROR(IF(Tabela1[[#This Row],[Nome fantasia]]="","",_xlfn.XLOOKUP($C66,Log!D:D,Log!X:X,,,-1)),"")</f>
        <v>45929</v>
      </c>
    </row>
    <row r="67" spans="3:18" hidden="1" x14ac:dyDescent="0.2">
      <c r="C67" s="30" t="s">
        <v>890</v>
      </c>
      <c r="D67" s="110" t="s">
        <v>891</v>
      </c>
      <c r="E67" s="33" t="s">
        <v>328</v>
      </c>
      <c r="F67" s="38" t="s">
        <v>829</v>
      </c>
      <c r="G67" s="38"/>
      <c r="H67" s="31"/>
      <c r="I67" s="32"/>
      <c r="J67" s="32"/>
      <c r="K67" s="45" t="s">
        <v>888</v>
      </c>
      <c r="L67" s="129"/>
      <c r="M67" s="33" t="str">
        <f t="shared" ref="M67:M130" si="1">IF(OR(J67&lt;=0,J67=""),"","Recompra")</f>
        <v/>
      </c>
      <c r="N67" s="34">
        <f>IFERROR(IF(Tabela1[[#This Row],[Nome fantasia]]="","",_xlfn.XLOOKUP($C67,Log!D:D,Log!B:B,,,-1)),"")</f>
        <v>45925</v>
      </c>
      <c r="O67" s="35" t="str">
        <f>IFERROR(_xlfn.XLOOKUP($C67,Log!D:D,Log!W:W,,,-1),"")</f>
        <v>EM ATENDIMENTO</v>
      </c>
      <c r="P67" s="35" t="str">
        <f>IFERROR(_xlfn.XLOOKUP($C67,Log!D:D,Log!Y:Y,,,-1),"")</f>
        <v>REDE VIDA LEVE</v>
      </c>
      <c r="Q67" s="130"/>
      <c r="R67" s="26">
        <f>IFERROR(IF(Tabela1[[#This Row],[Nome fantasia]]="","",_xlfn.XLOOKUP($C67,Log!D:D,Log!X:X,,,-1)),"")</f>
        <v>45929</v>
      </c>
    </row>
    <row r="68" spans="3:18" hidden="1" x14ac:dyDescent="0.2">
      <c r="C68" s="30" t="s">
        <v>1028</v>
      </c>
      <c r="D68" s="110" t="s">
        <v>1019</v>
      </c>
      <c r="E68" s="33" t="s">
        <v>11</v>
      </c>
      <c r="F68" s="38" t="s">
        <v>829</v>
      </c>
      <c r="G68" s="38"/>
      <c r="H68" s="31"/>
      <c r="I68" s="32"/>
      <c r="J68" s="32"/>
      <c r="K68" s="45" t="s">
        <v>888</v>
      </c>
      <c r="L68" s="129"/>
      <c r="M68" s="33" t="str">
        <f t="shared" si="1"/>
        <v/>
      </c>
      <c r="N68" s="34">
        <f>IFERROR(IF(Tabela1[[#This Row],[Nome fantasia]]="","",_xlfn.XLOOKUP($C68,Log!D:D,Log!B:B,,,-1)),"")</f>
        <v>45925</v>
      </c>
      <c r="O68" s="35" t="str">
        <f>IFERROR(_xlfn.XLOOKUP($C68,Log!D:D,Log!W:W,,,-1),"")</f>
        <v>EM ATENDIMENTO</v>
      </c>
      <c r="P68" s="35" t="str">
        <f>IFERROR(_xlfn.XLOOKUP($C68,Log!D:D,Log!Y:Y,,,-1),"")</f>
        <v>PROSPECÇÃO, CACAU SHOW, FOI ENVIADO AMOSTRA, AGUARDANDO ...</v>
      </c>
      <c r="Q68" s="130"/>
      <c r="R68" s="26">
        <f>IFERROR(IF(Tabela1[[#This Row],[Nome fantasia]]="","",_xlfn.XLOOKUP($C68,Log!D:D,Log!X:X,,,-1)),"")</f>
        <v>45929</v>
      </c>
    </row>
    <row r="69" spans="3:18" hidden="1" x14ac:dyDescent="0.2">
      <c r="C69" s="30" t="s">
        <v>1029</v>
      </c>
      <c r="D69" s="110" t="s">
        <v>1020</v>
      </c>
      <c r="E69" s="33" t="s">
        <v>46</v>
      </c>
      <c r="F69" s="38" t="s">
        <v>829</v>
      </c>
      <c r="G69" s="38"/>
      <c r="H69" s="31"/>
      <c r="I69" s="32"/>
      <c r="J69" s="32"/>
      <c r="K69" s="45" t="s">
        <v>888</v>
      </c>
      <c r="L69" s="129"/>
      <c r="M69" s="33" t="str">
        <f t="shared" si="1"/>
        <v/>
      </c>
      <c r="N69" s="34">
        <f>IFERROR(IF(Tabela1[[#This Row],[Nome fantasia]]="","",_xlfn.XLOOKUP($C69,Log!D:D,Log!B:B,,,-1)),"")</f>
        <v>45925</v>
      </c>
      <c r="O69" s="35" t="str">
        <f>IFERROR(_xlfn.XLOOKUP($C69,Log!D:D,Log!W:W,,,-1),"")</f>
        <v>EM ATENDIMENTO</v>
      </c>
      <c r="P69" s="35" t="str">
        <f>IFERROR(_xlfn.XLOOKUP($C69,Log!D:D,Log!Y:Y,,,-1),"")</f>
        <v>FEITO CONTATO PARA AVALIAR PARCERIA</v>
      </c>
      <c r="Q69" s="130"/>
      <c r="R69" s="26">
        <f>IFERROR(IF(Tabela1[[#This Row],[Nome fantasia]]="","",_xlfn.XLOOKUP($C69,Log!D:D,Log!X:X,,,-1)),"")</f>
        <v>45929</v>
      </c>
    </row>
    <row r="70" spans="3:18" hidden="1" x14ac:dyDescent="0.2">
      <c r="C70" s="30" t="s">
        <v>1030</v>
      </c>
      <c r="D70" s="110" t="s">
        <v>1021</v>
      </c>
      <c r="E70" s="33" t="s">
        <v>11</v>
      </c>
      <c r="F70" s="38" t="s">
        <v>829</v>
      </c>
      <c r="G70" s="38"/>
      <c r="H70" s="31"/>
      <c r="I70" s="32"/>
      <c r="J70" s="32"/>
      <c r="K70" s="45" t="s">
        <v>888</v>
      </c>
      <c r="L70" s="129"/>
      <c r="M70" s="33" t="str">
        <f t="shared" si="1"/>
        <v/>
      </c>
      <c r="N70" s="34">
        <f>IFERROR(IF(Tabela1[[#This Row],[Nome fantasia]]="","",_xlfn.XLOOKUP($C70,Log!D:D,Log!B:B,,,-1)),"")</f>
        <v>45925</v>
      </c>
      <c r="O70" s="35" t="str">
        <f>IFERROR(_xlfn.XLOOKUP($C70,Log!D:D,Log!W:W,,,-1),"")</f>
        <v>EM ATENDIMENTO</v>
      </c>
      <c r="P70" s="35" t="str">
        <f>IFERROR(_xlfn.XLOOKUP($C70,Log!D:D,Log!Y:Y,,,-1),"")</f>
        <v>FEITO CONTATO PARA AVALIAR PARCERIA</v>
      </c>
      <c r="Q70" s="130"/>
      <c r="R70" s="26">
        <f>IFERROR(IF(Tabela1[[#This Row],[Nome fantasia]]="","",_xlfn.XLOOKUP($C70,Log!D:D,Log!X:X,,,-1)),"")</f>
        <v>45929</v>
      </c>
    </row>
    <row r="71" spans="3:18" hidden="1" x14ac:dyDescent="0.2">
      <c r="C71" s="30" t="s">
        <v>1031</v>
      </c>
      <c r="D71" s="110" t="s">
        <v>1022</v>
      </c>
      <c r="E71" s="33" t="s">
        <v>17</v>
      </c>
      <c r="F71" s="38" t="s">
        <v>829</v>
      </c>
      <c r="G71" s="38"/>
      <c r="H71" s="31"/>
      <c r="I71" s="32"/>
      <c r="J71" s="32"/>
      <c r="K71" s="45" t="s">
        <v>888</v>
      </c>
      <c r="L71" s="129"/>
      <c r="M71" s="33" t="str">
        <f t="shared" si="1"/>
        <v/>
      </c>
      <c r="N71" s="34">
        <f>IFERROR(IF(Tabela1[[#This Row],[Nome fantasia]]="","",_xlfn.XLOOKUP($C71,Log!D:D,Log!B:B,,,-1)),"")</f>
        <v>45925</v>
      </c>
      <c r="O71" s="35" t="str">
        <f>IFERROR(_xlfn.XLOOKUP($C71,Log!D:D,Log!W:W,,,-1),"")</f>
        <v>EM ATENDIMENTO</v>
      </c>
      <c r="P71" s="35" t="str">
        <f>IFERROR(_xlfn.XLOOKUP($C71,Log!D:D,Log!Y:Y,,,-1),"")</f>
        <v>FEITO CONTATO PARA AVALIAR PARCERIA</v>
      </c>
      <c r="Q71" s="130"/>
      <c r="R71" s="26">
        <f>IFERROR(IF(Tabela1[[#This Row],[Nome fantasia]]="","",_xlfn.XLOOKUP($C71,Log!D:D,Log!X:X,,,-1)),"")</f>
        <v>45929</v>
      </c>
    </row>
    <row r="72" spans="3:18" hidden="1" x14ac:dyDescent="0.2">
      <c r="C72" s="30" t="s">
        <v>1032</v>
      </c>
      <c r="D72" s="110" t="s">
        <v>1023</v>
      </c>
      <c r="E72" s="33" t="s">
        <v>22</v>
      </c>
      <c r="F72" s="38" t="s">
        <v>829</v>
      </c>
      <c r="G72" s="38"/>
      <c r="H72" s="31"/>
      <c r="I72" s="32"/>
      <c r="J72" s="32"/>
      <c r="K72" s="45" t="s">
        <v>888</v>
      </c>
      <c r="L72" s="129"/>
      <c r="M72" s="33" t="str">
        <f t="shared" si="1"/>
        <v/>
      </c>
      <c r="N72" s="34">
        <f>IFERROR(IF(Tabela1[[#This Row],[Nome fantasia]]="","",_xlfn.XLOOKUP($C72,Log!D:D,Log!B:B,,,-1)),"")</f>
        <v>45925</v>
      </c>
      <c r="O72" s="35" t="str">
        <f>IFERROR(_xlfn.XLOOKUP($C72,Log!D:D,Log!W:W,,,-1),"")</f>
        <v>EM ATENDIMENTO</v>
      </c>
      <c r="P72" s="35" t="str">
        <f>IFERROR(_xlfn.XLOOKUP($C72,Log!D:D,Log!Y:Y,,,-1),"")</f>
        <v>FEITO CONTATO PARA AVALIAR PARCERIA</v>
      </c>
      <c r="Q72" s="130"/>
      <c r="R72" s="26">
        <f>IFERROR(IF(Tabela1[[#This Row],[Nome fantasia]]="","",_xlfn.XLOOKUP($C72,Log!D:D,Log!X:X,,,-1)),"")</f>
        <v>45929</v>
      </c>
    </row>
    <row r="73" spans="3:18" hidden="1" x14ac:dyDescent="0.2">
      <c r="C73" s="30" t="s">
        <v>1034</v>
      </c>
      <c r="D73" s="110" t="s">
        <v>1025</v>
      </c>
      <c r="E73" s="33" t="s">
        <v>17</v>
      </c>
      <c r="F73" s="38" t="s">
        <v>829</v>
      </c>
      <c r="G73" s="38"/>
      <c r="H73" s="31"/>
      <c r="I73" s="32"/>
      <c r="J73" s="32"/>
      <c r="K73" s="45" t="s">
        <v>888</v>
      </c>
      <c r="L73" s="129"/>
      <c r="M73" s="33" t="str">
        <f t="shared" si="1"/>
        <v/>
      </c>
      <c r="N73" s="34">
        <f>IFERROR(IF(Tabela1[[#This Row],[Nome fantasia]]="","",_xlfn.XLOOKUP($C73,Log!D:D,Log!B:B,,,-1)),"")</f>
        <v>45925</v>
      </c>
      <c r="O73" s="35" t="str">
        <f>IFERROR(_xlfn.XLOOKUP($C73,Log!D:D,Log!W:W,,,-1),"")</f>
        <v>EM ATENDIMENTO</v>
      </c>
      <c r="P73" s="35" t="str">
        <f>IFERROR(_xlfn.XLOOKUP($C73,Log!D:D,Log!Y:Y,,,-1),"")</f>
        <v>FEITO CONTATO PARA AVALIAR PARCERIA</v>
      </c>
      <c r="Q73" s="130"/>
      <c r="R73" s="26">
        <f>IFERROR(IF(Tabela1[[#This Row],[Nome fantasia]]="","",_xlfn.XLOOKUP($C73,Log!D:D,Log!X:X,,,-1)),"")</f>
        <v>45929</v>
      </c>
    </row>
    <row r="74" spans="3:18" hidden="1" x14ac:dyDescent="0.2">
      <c r="C74" s="30" t="s">
        <v>1035</v>
      </c>
      <c r="D74" s="110" t="s">
        <v>1026</v>
      </c>
      <c r="E74" s="33" t="s">
        <v>46</v>
      </c>
      <c r="F74" s="38" t="s">
        <v>829</v>
      </c>
      <c r="G74" s="38"/>
      <c r="H74" s="31"/>
      <c r="I74" s="32"/>
      <c r="J74" s="32"/>
      <c r="K74" s="45" t="s">
        <v>888</v>
      </c>
      <c r="L74" s="129"/>
      <c r="M74" s="33" t="str">
        <f t="shared" si="1"/>
        <v/>
      </c>
      <c r="N74" s="34">
        <f>IFERROR(IF(Tabela1[[#This Row],[Nome fantasia]]="","",_xlfn.XLOOKUP($C74,Log!D:D,Log!B:B,,,-1)),"")</f>
        <v>45925</v>
      </c>
      <c r="O74" s="35" t="str">
        <f>IFERROR(_xlfn.XLOOKUP($C74,Log!D:D,Log!W:W,,,-1),"")</f>
        <v>EM ATENDIMENTO</v>
      </c>
      <c r="P74" s="35" t="str">
        <f>IFERROR(_xlfn.XLOOKUP($C74,Log!D:D,Log!Y:Y,,,-1),"")</f>
        <v>FEITO CONTATO PARA AVALIAR PARCERIA</v>
      </c>
      <c r="Q74" s="130"/>
      <c r="R74" s="26">
        <f>IFERROR(IF(Tabela1[[#This Row],[Nome fantasia]]="","",_xlfn.XLOOKUP($C74,Log!D:D,Log!X:X,,,-1)),"")</f>
        <v>45929</v>
      </c>
    </row>
    <row r="75" spans="3:18" hidden="1" x14ac:dyDescent="0.2">
      <c r="C75" s="30" t="s">
        <v>1036</v>
      </c>
      <c r="D75" s="110" t="s">
        <v>1027</v>
      </c>
      <c r="E75" s="33" t="s">
        <v>17</v>
      </c>
      <c r="F75" s="38" t="s">
        <v>829</v>
      </c>
      <c r="G75" s="38"/>
      <c r="H75" s="31"/>
      <c r="I75" s="32"/>
      <c r="J75" s="32"/>
      <c r="K75" s="45" t="s">
        <v>888</v>
      </c>
      <c r="L75" s="129"/>
      <c r="M75" s="33" t="str">
        <f t="shared" si="1"/>
        <v/>
      </c>
      <c r="N75" s="34">
        <f>IFERROR(IF(Tabela1[[#This Row],[Nome fantasia]]="","",_xlfn.XLOOKUP($C75,Log!D:D,Log!B:B,,,-1)),"")</f>
        <v>45925</v>
      </c>
      <c r="O75" s="35" t="str">
        <f>IFERROR(_xlfn.XLOOKUP($C75,Log!D:D,Log!W:W,,,-1),"")</f>
        <v>EM ATENDIMENTO</v>
      </c>
      <c r="P75" s="35" t="str">
        <f>IFERROR(_xlfn.XLOOKUP($C75,Log!D:D,Log!Y:Y,,,-1),"")</f>
        <v>FEITO CONTATO PARA AVALIAR PARCERIA</v>
      </c>
      <c r="Q75" s="130"/>
      <c r="R75" s="26">
        <f>IFERROR(IF(Tabela1[[#This Row],[Nome fantasia]]="","",_xlfn.XLOOKUP($C75,Log!D:D,Log!X:X,,,-1)),"")</f>
        <v>45929</v>
      </c>
    </row>
    <row r="76" spans="3:18" hidden="1" x14ac:dyDescent="0.2">
      <c r="C76" s="30" t="s">
        <v>1064</v>
      </c>
      <c r="D76" s="110" t="s">
        <v>933</v>
      </c>
      <c r="E76" s="33" t="s">
        <v>22</v>
      </c>
      <c r="F76" s="38" t="s">
        <v>12</v>
      </c>
      <c r="G76" s="38" t="s">
        <v>933</v>
      </c>
      <c r="H76" s="31" t="s">
        <v>933</v>
      </c>
      <c r="I76" s="32" t="s">
        <v>933</v>
      </c>
      <c r="J76" s="32" t="s">
        <v>933</v>
      </c>
      <c r="K76" s="45" t="s">
        <v>888</v>
      </c>
      <c r="L76" s="129"/>
      <c r="M76" s="33" t="str">
        <f t="shared" si="1"/>
        <v>Recompra</v>
      </c>
      <c r="N76" s="34">
        <f>IFERROR(IF(Tabela1[[#This Row],[Nome fantasia]]="","",_xlfn.XLOOKUP($C76,Log!D:D,Log!B:B,,,-1)),"")</f>
        <v>45926</v>
      </c>
      <c r="O76" s="35" t="str">
        <f>IFERROR(_xlfn.XLOOKUP($C76,Log!D:D,Log!W:W,,,-1),"")</f>
        <v>EM ATENDIMENTO</v>
      </c>
      <c r="P76" s="35" t="str">
        <f>IFERROR(_xlfn.XLOOKUP($C76,Log!D:D,Log!Y:Y,,,-1),"")</f>
        <v xml:space="preserve">CLIENTE QUER REPRESENTATE </v>
      </c>
      <c r="Q76" s="130"/>
      <c r="R76" s="26">
        <f>IFERROR(IF(Tabela1[[#This Row],[Nome fantasia]]="","",_xlfn.XLOOKUP($C76,Log!D:D,Log!X:X,,,-1)),"")</f>
        <v>45930</v>
      </c>
    </row>
    <row r="77" spans="3:18" hidden="1" x14ac:dyDescent="0.2">
      <c r="C77" s="30" t="s">
        <v>430</v>
      </c>
      <c r="D77" s="110" t="s">
        <v>431</v>
      </c>
      <c r="E77" s="33" t="s">
        <v>46</v>
      </c>
      <c r="F77" s="38" t="s">
        <v>12</v>
      </c>
      <c r="G77" s="38" t="s">
        <v>425</v>
      </c>
      <c r="H77" s="31">
        <v>1792.87</v>
      </c>
      <c r="I77" s="32">
        <v>99</v>
      </c>
      <c r="J77" s="32">
        <v>0</v>
      </c>
      <c r="K77" s="46" t="s">
        <v>742</v>
      </c>
      <c r="M77" s="33" t="str">
        <f t="shared" si="1"/>
        <v/>
      </c>
      <c r="N77" s="34">
        <f>IFERROR(IF(Tabela1[[#This Row],[Nome fantasia]]="","",_xlfn.XLOOKUP($C77,Log!D:D,Log!B:B,,,-1)),"")</f>
        <v>45994</v>
      </c>
      <c r="O77" s="35" t="str">
        <f>IFERROR(_xlfn.XLOOKUP($C77,Log!D:D,Log!W:W,,,-1),"")</f>
        <v>EM ATENDIMENTO</v>
      </c>
      <c r="P77" s="35" t="str">
        <f>IFERROR(_xlfn.XLOOKUP($C77,Log!D:D,Log!Y:Y,,,-1),"")</f>
        <v>MENSAGEM PARA NOVO RELACIOMENTO</v>
      </c>
      <c r="R77" s="26">
        <f>IFERROR(IF(Tabela1[[#This Row],[Nome fantasia]]="","",_xlfn.XLOOKUP($C77,Log!D:D,Log!X:X,,,-1)),"")</f>
        <v>45996</v>
      </c>
    </row>
    <row r="78" spans="3:18" hidden="1" x14ac:dyDescent="0.2">
      <c r="C78" s="30" t="s">
        <v>945</v>
      </c>
      <c r="D78" s="110" t="s">
        <v>944</v>
      </c>
      <c r="E78" s="33" t="s">
        <v>22</v>
      </c>
      <c r="F78" s="38" t="s">
        <v>829</v>
      </c>
      <c r="G78" s="38" t="s">
        <v>933</v>
      </c>
      <c r="H78" s="31" t="s">
        <v>933</v>
      </c>
      <c r="I78" s="32" t="s">
        <v>933</v>
      </c>
      <c r="J78" s="32" t="s">
        <v>933</v>
      </c>
      <c r="K78" s="45" t="s">
        <v>888</v>
      </c>
      <c r="L78" s="129"/>
      <c r="M78" s="33" t="str">
        <f t="shared" si="1"/>
        <v>Recompra</v>
      </c>
      <c r="N78" s="34">
        <f>IFERROR(IF(Tabela1[[#This Row],[Nome fantasia]]="","",_xlfn.XLOOKUP($C78,Log!D:D,Log!B:B,,,-1)),"")</f>
        <v>45922</v>
      </c>
      <c r="O78" s="35" t="str">
        <f>IFERROR(_xlfn.XLOOKUP($C78,Log!D:D,Log!W:W,,,-1),"")</f>
        <v>FOLLOW UP 7</v>
      </c>
      <c r="P78" s="35" t="str">
        <f>IFERROR(_xlfn.XLOOKUP($C78,Log!D:D,Log!Y:Y,,,-1),"")</f>
        <v>VOLTANDO PARA VER SE A CLIENTE CONSEGUIU ACESSAR NOSSO E-COMMERCE</v>
      </c>
      <c r="Q78" s="130"/>
      <c r="R78" s="26">
        <f>IFERROR(IF(Tabela1[[#This Row],[Nome fantasia]]="","",_xlfn.XLOOKUP($C78,Log!D:D,Log!X:X,,,-1)),"")</f>
        <v>45931</v>
      </c>
    </row>
    <row r="79" spans="3:18" hidden="1" x14ac:dyDescent="0.2">
      <c r="C79" s="30" t="s">
        <v>1088</v>
      </c>
      <c r="D79" s="110" t="s">
        <v>1021</v>
      </c>
      <c r="E79" s="33" t="s">
        <v>11</v>
      </c>
      <c r="F79" s="38" t="s">
        <v>829</v>
      </c>
      <c r="G79" s="38" t="s">
        <v>933</v>
      </c>
      <c r="H79" s="31" t="s">
        <v>933</v>
      </c>
      <c r="I79" s="32" t="s">
        <v>933</v>
      </c>
      <c r="J79" s="32" t="s">
        <v>933</v>
      </c>
      <c r="K79" s="45" t="s">
        <v>888</v>
      </c>
      <c r="L79" s="129"/>
      <c r="M79" s="33" t="str">
        <f t="shared" si="1"/>
        <v>Recompra</v>
      </c>
      <c r="N79" s="34">
        <f>IFERROR(IF(Tabela1[[#This Row],[Nome fantasia]]="","",_xlfn.XLOOKUP($C79,Log!D:D,Log!B:B,,,-1)),"")</f>
        <v>45929</v>
      </c>
      <c r="O79" s="35" t="str">
        <f>IFERROR(_xlfn.XLOOKUP($C79,Log!D:D,Log!W:W,,,-1),"")</f>
        <v>EM ATENDIMENTO</v>
      </c>
      <c r="P79" s="35" t="str">
        <f>IFERROR(_xlfn.XLOOKUP($C79,Log!D:D,Log!Y:Y,,,-1),"")</f>
        <v>FEITO INUMEROS CONTATOS</v>
      </c>
      <c r="Q79" s="130"/>
      <c r="R79" s="26">
        <f>IFERROR(IF(Tabela1[[#This Row],[Nome fantasia]]="","",_xlfn.XLOOKUP($C79,Log!D:D,Log!X:X,,,-1)),"")</f>
        <v>45931</v>
      </c>
    </row>
    <row r="80" spans="3:18" hidden="1" x14ac:dyDescent="0.2">
      <c r="C80" s="30" t="s">
        <v>514</v>
      </c>
      <c r="D80" s="110" t="s">
        <v>515</v>
      </c>
      <c r="E80" s="33" t="s">
        <v>22</v>
      </c>
      <c r="F80" s="38" t="s">
        <v>12</v>
      </c>
      <c r="G80" s="38" t="s">
        <v>508</v>
      </c>
      <c r="H80" s="31">
        <v>699.03</v>
      </c>
      <c r="I80" s="32">
        <v>113</v>
      </c>
      <c r="J80" s="32">
        <v>0</v>
      </c>
      <c r="K80" s="45" t="s">
        <v>743</v>
      </c>
      <c r="M80" s="33" t="str">
        <f t="shared" si="1"/>
        <v/>
      </c>
      <c r="N80" s="34">
        <f>IFERROR(IF(Tabela1[[#This Row],[Nome fantasia]]="","",_xlfn.XLOOKUP($C80,Log!D:D,Log!B:B,,,-1)),"")</f>
        <v>45923</v>
      </c>
      <c r="O80" s="35" t="str">
        <f>IFERROR(_xlfn.XLOOKUP($C80,Log!D:D,Log!W:W,,,-1),"")</f>
        <v>FOLLOW UP 7</v>
      </c>
      <c r="P80" s="35" t="str">
        <f>IFERROR(_xlfn.XLOOKUP($C80,Log!D:D,Log!Y:Y,,,-1),"")</f>
        <v>FEITO CONTATO PARA ENTENDER O MOTIVO DA NÃO VENDA</v>
      </c>
      <c r="R80" s="26">
        <f>IFERROR(IF(Tabela1[[#This Row],[Nome fantasia]]="","",_xlfn.XLOOKUP($C80,Log!D:D,Log!X:X,,,-1)),"")</f>
        <v>45932</v>
      </c>
    </row>
    <row r="81" spans="3:18" hidden="1" x14ac:dyDescent="0.2">
      <c r="C81" s="30" t="s">
        <v>539</v>
      </c>
      <c r="D81" s="110" t="s">
        <v>540</v>
      </c>
      <c r="E81" s="33" t="s">
        <v>22</v>
      </c>
      <c r="F81" s="38" t="s">
        <v>12</v>
      </c>
      <c r="G81" s="38" t="s">
        <v>541</v>
      </c>
      <c r="H81" s="31">
        <v>11358.43</v>
      </c>
      <c r="I81" s="32">
        <v>120</v>
      </c>
      <c r="J81" s="32">
        <v>0</v>
      </c>
      <c r="K81" s="45" t="s">
        <v>743</v>
      </c>
      <c r="M81" s="33" t="str">
        <f t="shared" si="1"/>
        <v/>
      </c>
      <c r="N81" s="34">
        <f>IFERROR(IF(Tabela1[[#This Row],[Nome fantasia]]="","",_xlfn.XLOOKUP($C81,Log!D:D,Log!B:B,,,-1)),"")</f>
        <v>45923</v>
      </c>
      <c r="O81" s="35" t="str">
        <f>IFERROR(_xlfn.XLOOKUP($C81,Log!D:D,Log!W:W,,,-1),"")</f>
        <v>FOLLOW UP 7</v>
      </c>
      <c r="P81" s="35" t="str">
        <f>IFERROR(_xlfn.XLOOKUP($C81,Log!D:D,Log!Y:Y,,,-1),"")</f>
        <v>CLIENTE TROCOU O COMPRAS</v>
      </c>
      <c r="R81" s="26">
        <f>IFERROR(IF(Tabela1[[#This Row],[Nome fantasia]]="","",_xlfn.XLOOKUP($C81,Log!D:D,Log!X:X,,,-1)),"")</f>
        <v>45932</v>
      </c>
    </row>
    <row r="82" spans="3:18" hidden="1" x14ac:dyDescent="0.2">
      <c r="C82" s="30" t="s">
        <v>585</v>
      </c>
      <c r="D82" s="110" t="s">
        <v>586</v>
      </c>
      <c r="E82" s="33" t="s">
        <v>140</v>
      </c>
      <c r="F82" s="38" t="s">
        <v>12</v>
      </c>
      <c r="G82" s="38" t="s">
        <v>584</v>
      </c>
      <c r="H82" s="31">
        <v>1415.8</v>
      </c>
      <c r="I82" s="32">
        <v>138</v>
      </c>
      <c r="J82" s="32">
        <v>0</v>
      </c>
      <c r="K82" s="45" t="s">
        <v>743</v>
      </c>
      <c r="M82" s="33" t="str">
        <f t="shared" si="1"/>
        <v/>
      </c>
      <c r="N82" s="34">
        <f>IFERROR(IF(Tabela1[[#This Row],[Nome fantasia]]="","",_xlfn.XLOOKUP($C82,Log!D:D,Log!B:B,,,-1)),"")</f>
        <v>45923</v>
      </c>
      <c r="O82" s="35" t="str">
        <f>IFERROR(_xlfn.XLOOKUP($C82,Log!D:D,Log!W:W,,,-1),"")</f>
        <v>FOLLOW UP 7</v>
      </c>
      <c r="P82" s="35" t="str">
        <f>IFERROR(_xlfn.XLOOKUP($C82,Log!D:D,Log!Y:Y,,,-1),"")</f>
        <v>FEITO CONTATO PARA ENTENDER O MOTIVO DA NÃO VENDA</v>
      </c>
      <c r="R82" s="26">
        <f>IFERROR(IF(Tabela1[[#This Row],[Nome fantasia]]="","",_xlfn.XLOOKUP($C82,Log!D:D,Log!X:X,,,-1)),"")</f>
        <v>45932</v>
      </c>
    </row>
    <row r="83" spans="3:18" hidden="1" x14ac:dyDescent="0.2">
      <c r="C83" s="30" t="s">
        <v>675</v>
      </c>
      <c r="D83" s="110" t="s">
        <v>676</v>
      </c>
      <c r="E83" s="33" t="s">
        <v>17</v>
      </c>
      <c r="F83" s="38" t="s">
        <v>12</v>
      </c>
      <c r="G83" s="38" t="s">
        <v>677</v>
      </c>
      <c r="H83" s="31">
        <v>838.45</v>
      </c>
      <c r="I83" s="32">
        <v>162</v>
      </c>
      <c r="J83" s="32">
        <v>0</v>
      </c>
      <c r="K83" s="45" t="s">
        <v>743</v>
      </c>
      <c r="M83" s="33" t="str">
        <f t="shared" si="1"/>
        <v/>
      </c>
      <c r="N83" s="34">
        <f>IFERROR(IF(Tabela1[[#This Row],[Nome fantasia]]="","",_xlfn.XLOOKUP($C83,Log!D:D,Log!B:B,,,-1)),"")</f>
        <v>45999</v>
      </c>
      <c r="O83" s="35" t="str">
        <f>IFERROR(_xlfn.XLOOKUP($C83,Log!D:D,Log!W:W,,,-1),"")</f>
        <v>EM ATENDIMENTO</v>
      </c>
      <c r="P83" s="35" t="str">
        <f>IFERROR(_xlfn.XLOOKUP($C83,Log!D:D,Log!Y:Y,,,-1),"")</f>
        <v>CLIENTE FICOU DE VER O PORTAL</v>
      </c>
      <c r="R83" s="26">
        <f>IFERROR(IF(Tabela1[[#This Row],[Nome fantasia]]="","",_xlfn.XLOOKUP($C83,Log!D:D,Log!X:X,,,-1)),"")</f>
        <v>46001</v>
      </c>
    </row>
    <row r="84" spans="3:18" hidden="1" x14ac:dyDescent="0.2">
      <c r="C84" s="30" t="s">
        <v>1081</v>
      </c>
      <c r="D84" s="110" t="s">
        <v>1080</v>
      </c>
      <c r="E84" s="33" t="s">
        <v>22</v>
      </c>
      <c r="F84" s="38" t="s">
        <v>829</v>
      </c>
      <c r="G84" s="38" t="s">
        <v>933</v>
      </c>
      <c r="H84" s="31" t="s">
        <v>933</v>
      </c>
      <c r="I84" s="32" t="s">
        <v>933</v>
      </c>
      <c r="J84" s="32" t="s">
        <v>933</v>
      </c>
      <c r="K84" s="45" t="s">
        <v>888</v>
      </c>
      <c r="L84" s="129"/>
      <c r="M84" s="33" t="str">
        <f t="shared" si="1"/>
        <v>Recompra</v>
      </c>
      <c r="N84" s="34">
        <f>IFERROR(IF(Tabela1[[#This Row],[Nome fantasia]]="","",_xlfn.XLOOKUP($C84,Log!D:D,Log!B:B,,,-1)),"")</f>
        <v>45930</v>
      </c>
      <c r="O84" s="35" t="str">
        <f>IFERROR(_xlfn.XLOOKUP($C84,Log!D:D,Log!W:W,,,-1),"")</f>
        <v>EM ATENDIMENTO</v>
      </c>
      <c r="P84" s="35" t="str">
        <f>IFERROR(_xlfn.XLOOKUP($C84,Log!D:D,Log!Y:Y,,,-1),"")</f>
        <v>CLIENTE ESTA DE FAZER CARRINHO NO E-COMMERCE</v>
      </c>
      <c r="Q84" s="130"/>
      <c r="R84" s="26">
        <f>IFERROR(IF(Tabela1[[#This Row],[Nome fantasia]]="","",_xlfn.XLOOKUP($C84,Log!D:D,Log!X:X,,,-1)),"")</f>
        <v>45932</v>
      </c>
    </row>
    <row r="85" spans="3:18" hidden="1" x14ac:dyDescent="0.2">
      <c r="C85" s="30" t="s">
        <v>1093</v>
      </c>
      <c r="D85" s="110" t="s">
        <v>1094</v>
      </c>
      <c r="E85" s="33" t="s">
        <v>46</v>
      </c>
      <c r="F85" s="38" t="s">
        <v>12</v>
      </c>
      <c r="G85" s="38"/>
      <c r="H85" s="31"/>
      <c r="I85" s="32"/>
      <c r="J85" s="32"/>
      <c r="K85" s="45" t="s">
        <v>888</v>
      </c>
      <c r="L85" s="129"/>
      <c r="M85" s="33" t="str">
        <f t="shared" si="1"/>
        <v/>
      </c>
      <c r="N85" s="34">
        <f>IFERROR(IF(Tabela1[[#This Row],[Nome fantasia]]="","",_xlfn.XLOOKUP($C85,Log!D:D,Log!B:B,,,-1)),"")</f>
        <v>45930</v>
      </c>
      <c r="O85" s="35" t="str">
        <f>IFERROR(_xlfn.XLOOKUP($C85,Log!D:D,Log!W:W,,,-1),"")</f>
        <v>EM ATENDIMENTO</v>
      </c>
      <c r="P85" s="35" t="str">
        <f>IFERROR(_xlfn.XLOOKUP($C85,Log!D:D,Log!Y:Y,,,-1),"")</f>
        <v>PROPECÇÃO BASE SAP</v>
      </c>
      <c r="Q85" s="130"/>
      <c r="R85" s="26">
        <f>IFERROR(IF(Tabela1[[#This Row],[Nome fantasia]]="","",_xlfn.XLOOKUP($C85,Log!D:D,Log!X:X,,,-1)),"")</f>
        <v>45932</v>
      </c>
    </row>
    <row r="86" spans="3:18" hidden="1" x14ac:dyDescent="0.2">
      <c r="C86" s="30" t="s">
        <v>1096</v>
      </c>
      <c r="D86" s="110" t="s">
        <v>933</v>
      </c>
      <c r="E86" s="33" t="s">
        <v>17</v>
      </c>
      <c r="F86" s="38" t="s">
        <v>12</v>
      </c>
      <c r="G86" s="38"/>
      <c r="H86" s="31"/>
      <c r="I86" s="32"/>
      <c r="J86" s="32"/>
      <c r="K86" s="45" t="s">
        <v>888</v>
      </c>
      <c r="L86" s="129"/>
      <c r="M86" s="33" t="str">
        <f t="shared" si="1"/>
        <v/>
      </c>
      <c r="N86" s="34">
        <f>IFERROR(IF(Tabela1[[#This Row],[Nome fantasia]]="","",_xlfn.XLOOKUP($C86,Log!D:D,Log!B:B,,,-1)),"")</f>
        <v>45930</v>
      </c>
      <c r="O86" s="35" t="str">
        <f>IFERROR(_xlfn.XLOOKUP($C86,Log!D:D,Log!W:W,,,-1),"")</f>
        <v>EM ATENDIMENTO</v>
      </c>
      <c r="P86" s="35" t="str">
        <f>IFERROR(_xlfn.XLOOKUP($C86,Log!D:D,Log!Y:Y,,,-1),"")</f>
        <v>VEIO ATRAS DOS NOSSO GRANEL</v>
      </c>
      <c r="Q86" s="130"/>
      <c r="R86" s="26">
        <f>IFERROR(IF(Tabela1[[#This Row],[Nome fantasia]]="","",_xlfn.XLOOKUP($C86,Log!D:D,Log!X:X,,,-1)),"")</f>
        <v>45932</v>
      </c>
    </row>
    <row r="87" spans="3:18" hidden="1" x14ac:dyDescent="0.2">
      <c r="C87" s="30" t="s">
        <v>1108</v>
      </c>
      <c r="D87" s="110" t="s">
        <v>933</v>
      </c>
      <c r="E87" s="33" t="s">
        <v>17</v>
      </c>
      <c r="F87" s="38" t="s">
        <v>12</v>
      </c>
      <c r="G87" s="38"/>
      <c r="H87" s="31"/>
      <c r="I87" s="32"/>
      <c r="J87" s="32"/>
      <c r="K87" s="45" t="s">
        <v>888</v>
      </c>
      <c r="L87" s="129"/>
      <c r="M87" s="33" t="str">
        <f t="shared" si="1"/>
        <v/>
      </c>
      <c r="N87" s="34">
        <f>IFERROR(IF(Tabela1[[#This Row],[Nome fantasia]]="","",_xlfn.XLOOKUP($C87,Log!D:D,Log!B:B,,,-1)),"")</f>
        <v>45930</v>
      </c>
      <c r="O87" s="35" t="str">
        <f>IFERROR(_xlfn.XLOOKUP($C87,Log!D:D,Log!W:W,,,-1),"")</f>
        <v>EM ATENDIMENTO</v>
      </c>
      <c r="P87" s="35" t="str">
        <f>IFERROR(_xlfn.XLOOKUP($C87,Log!D:D,Log!Y:Y,,,-1),"")</f>
        <v>VEIO ATRAS DAS LASCAS</v>
      </c>
      <c r="Q87" s="130"/>
      <c r="R87" s="26">
        <f>IFERROR(IF(Tabela1[[#This Row],[Nome fantasia]]="","",_xlfn.XLOOKUP($C87,Log!D:D,Log!X:X,,,-1)),"")</f>
        <v>45932</v>
      </c>
    </row>
    <row r="88" spans="3:18" hidden="1" x14ac:dyDescent="0.2">
      <c r="C88" s="30" t="s">
        <v>1081</v>
      </c>
      <c r="D88" s="110" t="s">
        <v>1080</v>
      </c>
      <c r="E88" s="33" t="s">
        <v>22</v>
      </c>
      <c r="F88" s="38" t="s">
        <v>12</v>
      </c>
      <c r="G88" s="38"/>
      <c r="H88" s="31"/>
      <c r="I88" s="32"/>
      <c r="J88" s="32"/>
      <c r="K88" s="45" t="s">
        <v>888</v>
      </c>
      <c r="L88" s="129"/>
      <c r="M88" s="33" t="str">
        <f t="shared" si="1"/>
        <v/>
      </c>
      <c r="N88" s="34">
        <f>IFERROR(IF(Tabela1[[#This Row],[Nome fantasia]]="","",_xlfn.XLOOKUP($C88,Log!D:D,Log!B:B,,,-1)),"")</f>
        <v>45930</v>
      </c>
      <c r="O88" s="35" t="str">
        <f>IFERROR(_xlfn.XLOOKUP($C88,Log!D:D,Log!W:W,,,-1),"")</f>
        <v>EM ATENDIMENTO</v>
      </c>
      <c r="P88" s="35" t="str">
        <f>IFERROR(_xlfn.XLOOKUP($C88,Log!D:D,Log!Y:Y,,,-1),"")</f>
        <v>CLIENTE ESTA DE FAZER CARRINHO NO E-COMMERCE</v>
      </c>
      <c r="Q88" s="130"/>
      <c r="R88" s="26">
        <f>IFERROR(IF(Tabela1[[#This Row],[Nome fantasia]]="","",_xlfn.XLOOKUP($C88,Log!D:D,Log!X:X,,,-1)),"")</f>
        <v>45932</v>
      </c>
    </row>
    <row r="89" spans="3:18" hidden="1" x14ac:dyDescent="0.2">
      <c r="C89" s="30" t="s">
        <v>996</v>
      </c>
      <c r="D89" s="110" t="s">
        <v>933</v>
      </c>
      <c r="E89" s="33" t="s">
        <v>46</v>
      </c>
      <c r="F89" s="38" t="s">
        <v>829</v>
      </c>
      <c r="G89" s="38"/>
      <c r="H89" s="31"/>
      <c r="I89" s="32"/>
      <c r="J89" s="32"/>
      <c r="K89" s="45" t="s">
        <v>888</v>
      </c>
      <c r="L89" s="129"/>
      <c r="M89" s="33" t="str">
        <f t="shared" si="1"/>
        <v/>
      </c>
      <c r="N89" s="34">
        <f>IFERROR(IF(Tabela1[[#This Row],[Nome fantasia]]="","",_xlfn.XLOOKUP($C89,Log!D:D,Log!B:B,,,-1)),"")</f>
        <v>45924</v>
      </c>
      <c r="O89" s="35" t="str">
        <f>IFERROR(_xlfn.XLOOKUP($C89,Log!D:D,Log!W:W,,,-1),"")</f>
        <v>FOLLOW UP 7</v>
      </c>
      <c r="P89" s="35" t="str">
        <f>IFERROR(_xlfn.XLOOKUP($C89,Log!D:D,Log!Y:Y,,,-1),"")</f>
        <v>INDICAÇÃO MAICON</v>
      </c>
      <c r="Q89" s="130"/>
      <c r="R89" s="26">
        <f>IFERROR(IF(Tabela1[[#This Row],[Nome fantasia]]="","",_xlfn.XLOOKUP($C89,Log!D:D,Log!X:X,,,-1)),"")</f>
        <v>45933</v>
      </c>
    </row>
    <row r="90" spans="3:18" hidden="1" x14ac:dyDescent="0.2">
      <c r="C90" s="30" t="s">
        <v>1118</v>
      </c>
      <c r="D90" s="110" t="s">
        <v>1119</v>
      </c>
      <c r="E90" s="33" t="s">
        <v>46</v>
      </c>
      <c r="F90" s="38" t="s">
        <v>12</v>
      </c>
      <c r="G90" s="38"/>
      <c r="H90" s="31"/>
      <c r="I90" s="32"/>
      <c r="J90" s="32"/>
      <c r="K90" s="45" t="s">
        <v>888</v>
      </c>
      <c r="L90" s="129"/>
      <c r="M90" s="33" t="str">
        <f t="shared" si="1"/>
        <v/>
      </c>
      <c r="N90" s="34">
        <f>IFERROR(IF(Tabela1[[#This Row],[Nome fantasia]]="","",_xlfn.XLOOKUP($C90,Log!D:D,Log!B:B,,,-1)),"")</f>
        <v>45932</v>
      </c>
      <c r="O90" s="35" t="str">
        <f>IFERROR(_xlfn.XLOOKUP($C90,Log!D:D,Log!W:W,,,-1),"")</f>
        <v>EM ATENDIMENTO</v>
      </c>
      <c r="P90" s="35" t="str">
        <f>IFERROR(_xlfn.XLOOKUP($C90,Log!D:D,Log!Y:Y,,,-1),"")</f>
        <v>CLIENTE QUER GOTAS PARA CHOCOTONE</v>
      </c>
      <c r="Q90" s="130"/>
      <c r="R90" s="26">
        <f>IFERROR(IF(Tabela1[[#This Row],[Nome fantasia]]="","",_xlfn.XLOOKUP($C90,Log!D:D,Log!X:X,,,-1)),"")</f>
        <v>45936</v>
      </c>
    </row>
    <row r="91" spans="3:18" hidden="1" x14ac:dyDescent="0.2">
      <c r="C91" s="30" t="s">
        <v>291</v>
      </c>
      <c r="D91" s="110" t="s">
        <v>292</v>
      </c>
      <c r="E91" s="33" t="s">
        <v>46</v>
      </c>
      <c r="F91" s="38" t="s">
        <v>12</v>
      </c>
      <c r="G91" s="38" t="s">
        <v>286</v>
      </c>
      <c r="H91" s="31">
        <v>1263.69</v>
      </c>
      <c r="I91" s="122">
        <v>63</v>
      </c>
      <c r="J91" s="32">
        <v>0</v>
      </c>
      <c r="K91" s="44" t="s">
        <v>741</v>
      </c>
      <c r="M91" s="33" t="str">
        <f t="shared" si="1"/>
        <v/>
      </c>
      <c r="N91" s="34">
        <f>IFERROR(IF(Tabela1[[#This Row],[Nome fantasia]]="","",_xlfn.XLOOKUP($C91,Log!D:D,Log!B:B,,,-1)),"")</f>
        <v>45874</v>
      </c>
      <c r="O91" s="35" t="str">
        <f>IFERROR(_xlfn.XLOOKUP($C91,Log!D:D,Log!W:W,,,-1),"")</f>
        <v>VENDA</v>
      </c>
      <c r="P91" s="35" t="str">
        <f>IFERROR(_xlfn.XLOOKUP($C91,Log!D:D,Log!Y:Y,,,-1),"")</f>
        <v xml:space="preserve">RECOMPRA </v>
      </c>
      <c r="R91" s="26">
        <f>IFERROR(IF(Tabela1[[#This Row],[Nome fantasia]]="","",_xlfn.XLOOKUP($C91,Log!D:D,Log!X:X,,,-1)),"")</f>
        <v>45937</v>
      </c>
    </row>
    <row r="92" spans="3:18" hidden="1" x14ac:dyDescent="0.2">
      <c r="C92" s="30" t="s">
        <v>270</v>
      </c>
      <c r="D92" s="110" t="s">
        <v>271</v>
      </c>
      <c r="E92" s="33" t="s">
        <v>11</v>
      </c>
      <c r="F92" s="38" t="s">
        <v>12</v>
      </c>
      <c r="G92" s="38" t="s">
        <v>1225</v>
      </c>
      <c r="H92" s="31">
        <v>1928.84</v>
      </c>
      <c r="I92" s="32">
        <v>7</v>
      </c>
      <c r="J92" s="32">
        <v>55</v>
      </c>
      <c r="K92" s="44" t="s">
        <v>741</v>
      </c>
      <c r="M92" s="33" t="str">
        <f t="shared" si="1"/>
        <v>Recompra</v>
      </c>
      <c r="N92" s="34">
        <f>IFERROR(IF(Tabela1[[#This Row],[Nome fantasia]]="","",_xlfn.XLOOKUP($C92,Log!D:D,Log!B:B,,,-1)),"")</f>
        <v>45875</v>
      </c>
      <c r="O92" s="35" t="str">
        <f>IFERROR(_xlfn.XLOOKUP($C92,Log!D:D,Log!W:W,,,-1),"")</f>
        <v>VENDA</v>
      </c>
      <c r="P92" s="35" t="str">
        <f>IFERROR(_xlfn.XLOOKUP($C92,Log!D:D,Log!Y:Y,,,-1),"")</f>
        <v xml:space="preserve">RECOMPRA </v>
      </c>
      <c r="R92" s="26">
        <f>IFERROR(IF(Tabela1[[#This Row],[Nome fantasia]]="","",_xlfn.XLOOKUP($C92,Log!D:D,Log!X:X,,,-1)),"")</f>
        <v>45938</v>
      </c>
    </row>
    <row r="93" spans="3:18" hidden="1" x14ac:dyDescent="0.2">
      <c r="C93" s="30" t="s">
        <v>1227</v>
      </c>
      <c r="D93" s="110" t="s">
        <v>1239</v>
      </c>
      <c r="E93" s="33" t="s">
        <v>17</v>
      </c>
      <c r="F93" s="38" t="s">
        <v>12</v>
      </c>
      <c r="G93" s="38"/>
      <c r="H93" s="31"/>
      <c r="I93" s="32"/>
      <c r="J93" s="32"/>
      <c r="K93" s="45" t="s">
        <v>888</v>
      </c>
      <c r="L93" s="129"/>
      <c r="M93" s="33" t="str">
        <f t="shared" si="1"/>
        <v/>
      </c>
      <c r="N93" s="34">
        <f>IFERROR(IF(Tabela1[[#This Row],[Nome fantasia]]="","",_xlfn.XLOOKUP($C93,Log!D:D,Log!B:B,,,-1)),"")</f>
        <v>45937</v>
      </c>
      <c r="O93" s="35" t="str">
        <f>IFERROR(_xlfn.XLOOKUP($C93,Log!D:D,Log!W:W,,,-1),"")</f>
        <v>EM ATENDIMENTO</v>
      </c>
      <c r="P93" s="35" t="str">
        <f>IFERROR(_xlfn.XLOOKUP($C93,Log!D:D,Log!Y:Y,,,-1),"")</f>
        <v>CLIENTES BASE SAP</v>
      </c>
      <c r="Q93" s="130"/>
      <c r="R93" s="26">
        <f>IFERROR(IF(Tabela1[[#This Row],[Nome fantasia]]="","",_xlfn.XLOOKUP($C93,Log!D:D,Log!X:X,,,-1)),"")</f>
        <v>45939</v>
      </c>
    </row>
    <row r="94" spans="3:18" hidden="1" x14ac:dyDescent="0.2">
      <c r="C94" s="30" t="s">
        <v>1228</v>
      </c>
      <c r="D94" s="110" t="s">
        <v>1240</v>
      </c>
      <c r="E94" s="33" t="s">
        <v>46</v>
      </c>
      <c r="F94" s="38" t="s">
        <v>12</v>
      </c>
      <c r="G94" s="38"/>
      <c r="H94" s="31"/>
      <c r="I94" s="32"/>
      <c r="J94" s="32"/>
      <c r="K94" s="45" t="s">
        <v>888</v>
      </c>
      <c r="L94" s="129"/>
      <c r="M94" s="33" t="str">
        <f t="shared" si="1"/>
        <v/>
      </c>
      <c r="N94" s="34">
        <f>IFERROR(IF(Tabela1[[#This Row],[Nome fantasia]]="","",_xlfn.XLOOKUP($C94,Log!D:D,Log!B:B,,,-1)),"")</f>
        <v>45937</v>
      </c>
      <c r="O94" s="35" t="str">
        <f>IFERROR(_xlfn.XLOOKUP($C94,Log!D:D,Log!W:W,,,-1),"")</f>
        <v>EM ATENDIMENTO</v>
      </c>
      <c r="P94" s="35" t="str">
        <f>IFERROR(_xlfn.XLOOKUP($C94,Log!D:D,Log!Y:Y,,,-1),"")</f>
        <v>CLIENTES BASE SAP</v>
      </c>
      <c r="Q94" s="130"/>
      <c r="R94" s="26">
        <f>IFERROR(IF(Tabela1[[#This Row],[Nome fantasia]]="","",_xlfn.XLOOKUP($C94,Log!D:D,Log!X:X,,,-1)),"")</f>
        <v>45939</v>
      </c>
    </row>
    <row r="95" spans="3:18" hidden="1" x14ac:dyDescent="0.2">
      <c r="C95" s="30" t="s">
        <v>1229</v>
      </c>
      <c r="D95" s="110" t="s">
        <v>1241</v>
      </c>
      <c r="E95" s="33" t="s">
        <v>46</v>
      </c>
      <c r="F95" s="38" t="s">
        <v>12</v>
      </c>
      <c r="G95" s="38"/>
      <c r="H95" s="31"/>
      <c r="I95" s="32"/>
      <c r="J95" s="32"/>
      <c r="K95" s="45" t="s">
        <v>888</v>
      </c>
      <c r="L95" s="129"/>
      <c r="M95" s="33" t="str">
        <f t="shared" si="1"/>
        <v/>
      </c>
      <c r="N95" s="34">
        <f>IFERROR(IF(Tabela1[[#This Row],[Nome fantasia]]="","",_xlfn.XLOOKUP($C95,Log!D:D,Log!B:B,,,-1)),"")</f>
        <v>45937</v>
      </c>
      <c r="O95" s="35" t="str">
        <f>IFERROR(_xlfn.XLOOKUP($C95,Log!D:D,Log!W:W,,,-1),"")</f>
        <v>EM ATENDIMENTO</v>
      </c>
      <c r="P95" s="35" t="str">
        <f>IFERROR(_xlfn.XLOOKUP($C95,Log!D:D,Log!Y:Y,,,-1),"")</f>
        <v>CLIENTES BASE SAP</v>
      </c>
      <c r="Q95" s="130"/>
      <c r="R95" s="26">
        <f>IFERROR(IF(Tabela1[[#This Row],[Nome fantasia]]="","",_xlfn.XLOOKUP($C95,Log!D:D,Log!X:X,,,-1)),"")</f>
        <v>45939</v>
      </c>
    </row>
    <row r="96" spans="3:18" hidden="1" x14ac:dyDescent="0.2">
      <c r="C96" s="30" t="s">
        <v>1231</v>
      </c>
      <c r="D96" s="110" t="s">
        <v>1243</v>
      </c>
      <c r="E96" s="33" t="s">
        <v>22</v>
      </c>
      <c r="F96" s="38" t="s">
        <v>12</v>
      </c>
      <c r="G96" s="38"/>
      <c r="H96" s="31"/>
      <c r="I96" s="32"/>
      <c r="J96" s="32"/>
      <c r="K96" s="45" t="s">
        <v>888</v>
      </c>
      <c r="L96" s="129"/>
      <c r="M96" s="33" t="str">
        <f t="shared" si="1"/>
        <v/>
      </c>
      <c r="N96" s="34">
        <f>IFERROR(IF(Tabela1[[#This Row],[Nome fantasia]]="","",_xlfn.XLOOKUP($C96,Log!D:D,Log!B:B,,,-1)),"")</f>
        <v>45937</v>
      </c>
      <c r="O96" s="35" t="str">
        <f>IFERROR(_xlfn.XLOOKUP($C96,Log!D:D,Log!W:W,,,-1),"")</f>
        <v>EM ATENDIMENTO</v>
      </c>
      <c r="P96" s="35" t="str">
        <f>IFERROR(_xlfn.XLOOKUP($C96,Log!D:D,Log!Y:Y,,,-1),"")</f>
        <v>CLIENTES BASE SAP</v>
      </c>
      <c r="Q96" s="130"/>
      <c r="R96" s="26">
        <f>IFERROR(IF(Tabela1[[#This Row],[Nome fantasia]]="","",_xlfn.XLOOKUP($C96,Log!D:D,Log!X:X,,,-1)),"")</f>
        <v>45939</v>
      </c>
    </row>
    <row r="97" spans="3:18" hidden="1" x14ac:dyDescent="0.2">
      <c r="C97" s="30" t="s">
        <v>1232</v>
      </c>
      <c r="D97" s="110" t="s">
        <v>1244</v>
      </c>
      <c r="E97" s="33" t="s">
        <v>22</v>
      </c>
      <c r="F97" s="38" t="s">
        <v>12</v>
      </c>
      <c r="G97" s="38"/>
      <c r="H97" s="31"/>
      <c r="I97" s="32"/>
      <c r="J97" s="32"/>
      <c r="K97" s="45" t="s">
        <v>888</v>
      </c>
      <c r="L97" s="129"/>
      <c r="M97" s="33" t="str">
        <f t="shared" si="1"/>
        <v/>
      </c>
      <c r="N97" s="34">
        <f>IFERROR(IF(Tabela1[[#This Row],[Nome fantasia]]="","",_xlfn.XLOOKUP($C97,Log!D:D,Log!B:B,,,-1)),"")</f>
        <v>45937</v>
      </c>
      <c r="O97" s="35" t="str">
        <f>IFERROR(_xlfn.XLOOKUP($C97,Log!D:D,Log!W:W,,,-1),"")</f>
        <v>EM ATENDIMENTO</v>
      </c>
      <c r="P97" s="35" t="str">
        <f>IFERROR(_xlfn.XLOOKUP($C97,Log!D:D,Log!Y:Y,,,-1),"")</f>
        <v>CLIENTES BASE SAP</v>
      </c>
      <c r="Q97" s="130"/>
      <c r="R97" s="26">
        <f>IFERROR(IF(Tabela1[[#This Row],[Nome fantasia]]="","",_xlfn.XLOOKUP($C97,Log!D:D,Log!X:X,,,-1)),"")</f>
        <v>45939</v>
      </c>
    </row>
    <row r="98" spans="3:18" hidden="1" x14ac:dyDescent="0.2">
      <c r="C98" s="30" t="s">
        <v>1233</v>
      </c>
      <c r="D98" s="110" t="s">
        <v>1245</v>
      </c>
      <c r="E98" s="33" t="s">
        <v>22</v>
      </c>
      <c r="F98" s="38" t="s">
        <v>12</v>
      </c>
      <c r="G98" s="38"/>
      <c r="H98" s="31"/>
      <c r="I98" s="32"/>
      <c r="J98" s="32"/>
      <c r="K98" s="45" t="s">
        <v>888</v>
      </c>
      <c r="L98" s="129"/>
      <c r="M98" s="33" t="str">
        <f t="shared" si="1"/>
        <v/>
      </c>
      <c r="N98" s="34">
        <f>IFERROR(IF(Tabela1[[#This Row],[Nome fantasia]]="","",_xlfn.XLOOKUP($C98,Log!D:D,Log!B:B,,,-1)),"")</f>
        <v>45937</v>
      </c>
      <c r="O98" s="35" t="str">
        <f>IFERROR(_xlfn.XLOOKUP($C98,Log!D:D,Log!W:W,,,-1),"")</f>
        <v>EM ATENDIMENTO</v>
      </c>
      <c r="P98" s="35" t="str">
        <f>IFERROR(_xlfn.XLOOKUP($C98,Log!D:D,Log!Y:Y,,,-1),"")</f>
        <v>CLIENTES BASE SAP</v>
      </c>
      <c r="Q98" s="130"/>
      <c r="R98" s="26">
        <f>IFERROR(IF(Tabela1[[#This Row],[Nome fantasia]]="","",_xlfn.XLOOKUP($C98,Log!D:D,Log!X:X,,,-1)),"")</f>
        <v>45939</v>
      </c>
    </row>
    <row r="99" spans="3:18" hidden="1" x14ac:dyDescent="0.2">
      <c r="C99" s="30" t="s">
        <v>1235</v>
      </c>
      <c r="D99" s="110" t="s">
        <v>1247</v>
      </c>
      <c r="E99" s="33" t="s">
        <v>22</v>
      </c>
      <c r="F99" s="38" t="s">
        <v>12</v>
      </c>
      <c r="G99" s="38"/>
      <c r="H99" s="31"/>
      <c r="I99" s="32"/>
      <c r="J99" s="32"/>
      <c r="K99" s="45" t="s">
        <v>888</v>
      </c>
      <c r="L99" s="129"/>
      <c r="M99" s="33" t="str">
        <f t="shared" si="1"/>
        <v/>
      </c>
      <c r="N99" s="34">
        <f>IFERROR(IF(Tabela1[[#This Row],[Nome fantasia]]="","",_xlfn.XLOOKUP($C99,Log!D:D,Log!B:B,,,-1)),"")</f>
        <v>45937</v>
      </c>
      <c r="O99" s="35" t="str">
        <f>IFERROR(_xlfn.XLOOKUP($C99,Log!D:D,Log!W:W,,,-1),"")</f>
        <v>EM ATENDIMENTO</v>
      </c>
      <c r="P99" s="35" t="str">
        <f>IFERROR(_xlfn.XLOOKUP($C99,Log!D:D,Log!Y:Y,,,-1),"")</f>
        <v>CLIENTES BASE SAP</v>
      </c>
      <c r="Q99" s="130"/>
      <c r="R99" s="26">
        <f>IFERROR(IF(Tabela1[[#This Row],[Nome fantasia]]="","",_xlfn.XLOOKUP($C99,Log!D:D,Log!X:X,,,-1)),"")</f>
        <v>45939</v>
      </c>
    </row>
    <row r="100" spans="3:18" hidden="1" x14ac:dyDescent="0.2">
      <c r="C100" s="30" t="s">
        <v>1236</v>
      </c>
      <c r="D100" s="110" t="s">
        <v>1248</v>
      </c>
      <c r="E100" s="33" t="s">
        <v>22</v>
      </c>
      <c r="F100" s="38" t="s">
        <v>12</v>
      </c>
      <c r="G100" s="38"/>
      <c r="H100" s="31"/>
      <c r="I100" s="32"/>
      <c r="J100" s="32"/>
      <c r="K100" s="45" t="s">
        <v>888</v>
      </c>
      <c r="L100" s="129"/>
      <c r="M100" s="33" t="str">
        <f t="shared" si="1"/>
        <v/>
      </c>
      <c r="N100" s="34">
        <f>IFERROR(IF(Tabela1[[#This Row],[Nome fantasia]]="","",_xlfn.XLOOKUP($C100,Log!D:D,Log!B:B,,,-1)),"")</f>
        <v>45937</v>
      </c>
      <c r="O100" s="35" t="str">
        <f>IFERROR(_xlfn.XLOOKUP($C100,Log!D:D,Log!W:W,,,-1),"")</f>
        <v>EM ATENDIMENTO</v>
      </c>
      <c r="P100" s="35" t="str">
        <f>IFERROR(_xlfn.XLOOKUP($C100,Log!D:D,Log!Y:Y,,,-1),"")</f>
        <v>CLIENTES BASE SAP</v>
      </c>
      <c r="Q100" s="130"/>
      <c r="R100" s="26">
        <f>IFERROR(IF(Tabela1[[#This Row],[Nome fantasia]]="","",_xlfn.XLOOKUP($C100,Log!D:D,Log!X:X,,,-1)),"")</f>
        <v>45939</v>
      </c>
    </row>
    <row r="101" spans="3:18" hidden="1" x14ac:dyDescent="0.2">
      <c r="C101" s="30" t="s">
        <v>254</v>
      </c>
      <c r="D101" s="110" t="s">
        <v>255</v>
      </c>
      <c r="E101" s="33" t="s">
        <v>46</v>
      </c>
      <c r="F101" s="38" t="s">
        <v>12</v>
      </c>
      <c r="G101" s="38" t="s">
        <v>253</v>
      </c>
      <c r="H101" s="31">
        <v>697.63</v>
      </c>
      <c r="I101" s="123">
        <v>60</v>
      </c>
      <c r="J101" s="32">
        <v>33.333300000000001</v>
      </c>
      <c r="K101" s="44" t="s">
        <v>741</v>
      </c>
      <c r="M101" s="33" t="str">
        <f t="shared" si="1"/>
        <v>Recompra</v>
      </c>
      <c r="N101" s="34">
        <f>IFERROR(IF(Tabela1[[#This Row],[Nome fantasia]]="","",_xlfn.XLOOKUP($C101,Log!D:D,Log!B:B,,,-1)),"")</f>
        <v>45940</v>
      </c>
      <c r="O101" s="35" t="str">
        <f>IFERROR(_xlfn.XLOOKUP($C101,Log!D:D,Log!W:W,,,-1),"")</f>
        <v>FOLLOW UP 15</v>
      </c>
      <c r="P101" s="35" t="str">
        <f>IFERROR(_xlfn.XLOOKUP($C101,Log!D:D,Log!Y:Y,,,-1),"")</f>
        <v>CLIENTE COM ESTOQUE MUITO ALTO</v>
      </c>
      <c r="R101" s="26">
        <f>IFERROR(IF(Tabela1[[#This Row],[Nome fantasia]]="","",_xlfn.XLOOKUP($C101,Log!D:D,Log!X:X,,,-1)),"")</f>
        <v>45961</v>
      </c>
    </row>
    <row r="102" spans="3:18" hidden="1" x14ac:dyDescent="0.2">
      <c r="C102" s="30" t="s">
        <v>282</v>
      </c>
      <c r="D102" s="110" t="s">
        <v>283</v>
      </c>
      <c r="E102" s="33" t="s">
        <v>46</v>
      </c>
      <c r="F102" s="38" t="s">
        <v>12</v>
      </c>
      <c r="G102" s="38" t="s">
        <v>269</v>
      </c>
      <c r="H102" s="31">
        <v>1524.53</v>
      </c>
      <c r="I102" s="123">
        <v>62</v>
      </c>
      <c r="J102" s="32">
        <v>0</v>
      </c>
      <c r="K102" s="44" t="s">
        <v>741</v>
      </c>
      <c r="M102" s="33" t="str">
        <f t="shared" si="1"/>
        <v/>
      </c>
      <c r="N102" s="34">
        <f>IFERROR(IF(Tabela1[[#This Row],[Nome fantasia]]="","",_xlfn.XLOOKUP($C102,Log!D:D,Log!B:B,,,-1)),"")</f>
        <v>45944</v>
      </c>
      <c r="O102" s="35" t="str">
        <f>IFERROR(_xlfn.XLOOKUP($C102,Log!D:D,Log!W:W,,,-1),"")</f>
        <v>FOLLOW UP 7</v>
      </c>
      <c r="P102" s="35" t="str">
        <f>IFERROR(_xlfn.XLOOKUP($C102,Log!D:D,Log!Y:Y,,,-1),"")</f>
        <v>TERCEIRIZADA, ENTRANDO EM CONTATO</v>
      </c>
      <c r="R102" s="26">
        <f>IFERROR(IF(Tabela1[[#This Row],[Nome fantasia]]="","",_xlfn.XLOOKUP($C102,Log!D:D,Log!X:X,,,-1)),"")</f>
        <v>45953</v>
      </c>
    </row>
    <row r="103" spans="3:18" hidden="1" x14ac:dyDescent="0.2">
      <c r="C103" s="30" t="s">
        <v>322</v>
      </c>
      <c r="D103" s="110" t="s">
        <v>323</v>
      </c>
      <c r="E103" s="33" t="s">
        <v>22</v>
      </c>
      <c r="F103" s="38" t="s">
        <v>12</v>
      </c>
      <c r="G103" s="38" t="s">
        <v>315</v>
      </c>
      <c r="H103" s="31">
        <v>720.13</v>
      </c>
      <c r="I103" s="32">
        <v>70</v>
      </c>
      <c r="J103" s="32">
        <v>39</v>
      </c>
      <c r="K103" s="44" t="s">
        <v>741</v>
      </c>
      <c r="M103" s="33" t="str">
        <f t="shared" si="1"/>
        <v>Recompra</v>
      </c>
      <c r="N103" s="34">
        <f>IFERROR(IF(Tabela1[[#This Row],[Nome fantasia]]="","",_xlfn.XLOOKUP($C103,Log!D:D,Log!B:B,,,-1)),"")</f>
        <v>46001</v>
      </c>
      <c r="O103" s="35" t="str">
        <f>IFERROR(_xlfn.XLOOKUP($C103,Log!D:D,Log!W:W,,,-1),"")</f>
        <v>EM ATENDIMENTO</v>
      </c>
      <c r="P103" s="35" t="str">
        <f>IFERROR(_xlfn.XLOOKUP($C103,Log!D:D,Log!Y:Y,,,-1),"")</f>
        <v>COBREI ESTOQUE, AGUARDANDO RETORNO</v>
      </c>
      <c r="R103" s="26">
        <f>IFERROR(IF(Tabela1[[#This Row],[Nome fantasia]]="","",_xlfn.XLOOKUP($C103,Log!D:D,Log!X:X,,,-1)),"")</f>
        <v>46003</v>
      </c>
    </row>
    <row r="104" spans="3:18" hidden="1" x14ac:dyDescent="0.2">
      <c r="C104" s="30" t="s">
        <v>348</v>
      </c>
      <c r="D104" s="110" t="s">
        <v>349</v>
      </c>
      <c r="E104" s="33" t="s">
        <v>22</v>
      </c>
      <c r="F104" s="38" t="s">
        <v>12</v>
      </c>
      <c r="G104" s="38" t="s">
        <v>347</v>
      </c>
      <c r="H104" s="31">
        <v>2102.89</v>
      </c>
      <c r="I104" s="32">
        <v>75</v>
      </c>
      <c r="J104" s="32">
        <v>0</v>
      </c>
      <c r="K104" s="44" t="s">
        <v>741</v>
      </c>
      <c r="M104" s="33" t="str">
        <f t="shared" si="1"/>
        <v/>
      </c>
      <c r="N104" s="34">
        <f>IFERROR(IF(Tabela1[[#This Row],[Nome fantasia]]="","",_xlfn.XLOOKUP($C104,Log!D:D,Log!B:B,,,-1)),"")</f>
        <v>45992</v>
      </c>
      <c r="O104" s="35" t="str">
        <f>IFERROR(_xlfn.XLOOKUP($C104,Log!D:D,Log!W:W,,,-1),"")</f>
        <v>VENDA</v>
      </c>
      <c r="P104" s="35" t="str">
        <f>IFERROR(_xlfn.XLOOKUP($C104,Log!D:D,Log!Y:Y,,,-1),"")</f>
        <v>VENDA FINALIZADA</v>
      </c>
      <c r="R104" s="26">
        <f>IFERROR(IF(Tabela1[[#This Row],[Nome fantasia]]="","",_xlfn.XLOOKUP($C104,Log!D:D,Log!X:X,,,-1)),"")</f>
        <v>46055</v>
      </c>
    </row>
    <row r="105" spans="3:18" hidden="1" x14ac:dyDescent="0.2">
      <c r="C105" s="30" t="s">
        <v>1268</v>
      </c>
      <c r="D105" s="110" t="s">
        <v>1278</v>
      </c>
      <c r="E105" s="33" t="s">
        <v>22</v>
      </c>
      <c r="F105" s="38" t="s">
        <v>12</v>
      </c>
      <c r="G105" s="38" t="s">
        <v>933</v>
      </c>
      <c r="H105" s="31" t="s">
        <v>933</v>
      </c>
      <c r="I105" s="32" t="s">
        <v>933</v>
      </c>
      <c r="J105" s="32" t="s">
        <v>933</v>
      </c>
      <c r="K105" s="45" t="s">
        <v>888</v>
      </c>
      <c r="L105" s="129"/>
      <c r="M105" s="33" t="str">
        <f t="shared" si="1"/>
        <v>Recompra</v>
      </c>
      <c r="N105" s="34">
        <f>IFERROR(IF(Tabela1[[#This Row],[Nome fantasia]]="","",_xlfn.XLOOKUP($C105,Log!D:D,Log!B:B,,,-1)),"")</f>
        <v>45944</v>
      </c>
      <c r="O105" s="35" t="str">
        <f>IFERROR(_xlfn.XLOOKUP($C105,Log!D:D,Log!W:W,,,-1),"")</f>
        <v>FOLLOW UP 7</v>
      </c>
      <c r="P105" s="35" t="str">
        <f>IFERROR(_xlfn.XLOOKUP($C105,Log!D:D,Log!Y:Y,,,-1),"")</f>
        <v>FEITO O CONTATO COM O MESMO PARA ANALISE DE PARCERIA NOVAMENTE0</v>
      </c>
      <c r="Q105" s="130"/>
      <c r="R105" s="26">
        <f>IFERROR(IF(Tabela1[[#This Row],[Nome fantasia]]="","",_xlfn.XLOOKUP($C105,Log!D:D,Log!X:X,,,-1)),"")</f>
        <v>45953</v>
      </c>
    </row>
    <row r="106" spans="3:18" hidden="1" x14ac:dyDescent="0.2">
      <c r="C106" s="30" t="s">
        <v>1269</v>
      </c>
      <c r="D106" s="110" t="s">
        <v>1279</v>
      </c>
      <c r="E106" s="33" t="s">
        <v>22</v>
      </c>
      <c r="F106" s="38" t="s">
        <v>12</v>
      </c>
      <c r="G106" s="38" t="s">
        <v>933</v>
      </c>
      <c r="H106" s="31" t="s">
        <v>933</v>
      </c>
      <c r="I106" s="32" t="s">
        <v>933</v>
      </c>
      <c r="J106" s="32" t="s">
        <v>933</v>
      </c>
      <c r="K106" s="45" t="s">
        <v>888</v>
      </c>
      <c r="L106" s="129"/>
      <c r="M106" s="33" t="str">
        <f t="shared" si="1"/>
        <v>Recompra</v>
      </c>
      <c r="N106" s="34">
        <f>IFERROR(IF(Tabela1[[#This Row],[Nome fantasia]]="","",_xlfn.XLOOKUP($C106,Log!D:D,Log!B:B,,,-1)),"")</f>
        <v>45944</v>
      </c>
      <c r="O106" s="35" t="str">
        <f>IFERROR(_xlfn.XLOOKUP($C106,Log!D:D,Log!W:W,,,-1),"")</f>
        <v>FOLLOW UP 7</v>
      </c>
      <c r="P106" s="35" t="str">
        <f>IFERROR(_xlfn.XLOOKUP($C106,Log!D:D,Log!Y:Y,,,-1),"")</f>
        <v>VERIFICANDO SE ENTROU NO E-COMMERCE</v>
      </c>
      <c r="Q106" s="130"/>
      <c r="R106" s="26">
        <f>IFERROR(IF(Tabela1[[#This Row],[Nome fantasia]]="","",_xlfn.XLOOKUP($C106,Log!D:D,Log!X:X,,,-1)),"")</f>
        <v>45953</v>
      </c>
    </row>
    <row r="107" spans="3:18" hidden="1" x14ac:dyDescent="0.2">
      <c r="C107" s="30" t="s">
        <v>1271</v>
      </c>
      <c r="D107" s="110" t="s">
        <v>1281</v>
      </c>
      <c r="E107" s="33" t="s">
        <v>22</v>
      </c>
      <c r="F107" s="38" t="s">
        <v>12</v>
      </c>
      <c r="G107" s="38" t="s">
        <v>933</v>
      </c>
      <c r="H107" s="31" t="s">
        <v>933</v>
      </c>
      <c r="I107" s="32" t="s">
        <v>933</v>
      </c>
      <c r="J107" s="32" t="s">
        <v>933</v>
      </c>
      <c r="K107" s="45" t="s">
        <v>888</v>
      </c>
      <c r="L107" s="129"/>
      <c r="M107" s="33" t="str">
        <f t="shared" si="1"/>
        <v>Recompra</v>
      </c>
      <c r="N107" s="34">
        <f>IFERROR(IF(Tabela1[[#This Row],[Nome fantasia]]="","",_xlfn.XLOOKUP($C107,Log!D:D,Log!B:B,,,-1)),"")</f>
        <v>45951</v>
      </c>
      <c r="O107" s="35" t="str">
        <f>IFERROR(_xlfn.XLOOKUP($C107,Log!D:D,Log!W:W,,,-1),"")</f>
        <v>FOLLOW UP 15</v>
      </c>
      <c r="P107" s="35" t="str">
        <f>IFERROR(_xlfn.XLOOKUP($C107,Log!D:D,Log!Y:Y,,,-1),"")</f>
        <v>CLIENTE NÃO RESPONDE</v>
      </c>
      <c r="Q107" s="130"/>
      <c r="R107" s="26">
        <f>IFERROR(IF(Tabela1[[#This Row],[Nome fantasia]]="","",_xlfn.XLOOKUP($C107,Log!D:D,Log!X:X,,,-1)),"")</f>
        <v>45972</v>
      </c>
    </row>
    <row r="108" spans="3:18" hidden="1" x14ac:dyDescent="0.2">
      <c r="C108" s="30" t="s">
        <v>1272</v>
      </c>
      <c r="D108" s="110" t="s">
        <v>1282</v>
      </c>
      <c r="E108" s="33" t="s">
        <v>22</v>
      </c>
      <c r="F108" s="38" t="s">
        <v>12</v>
      </c>
      <c r="G108" s="38" t="s">
        <v>933</v>
      </c>
      <c r="H108" s="31" t="s">
        <v>933</v>
      </c>
      <c r="I108" s="32" t="s">
        <v>933</v>
      </c>
      <c r="J108" s="32" t="s">
        <v>933</v>
      </c>
      <c r="K108" s="45" t="s">
        <v>888</v>
      </c>
      <c r="L108" s="129"/>
      <c r="M108" s="33" t="str">
        <f t="shared" si="1"/>
        <v>Recompra</v>
      </c>
      <c r="N108" s="34">
        <f>IFERROR(IF(Tabela1[[#This Row],[Nome fantasia]]="","",_xlfn.XLOOKUP($C108,Log!D:D,Log!B:B,,,-1)),"")</f>
        <v>45951</v>
      </c>
      <c r="O108" s="35" t="str">
        <f>IFERROR(_xlfn.XLOOKUP($C108,Log!D:D,Log!W:W,,,-1),"")</f>
        <v>EM ATENDIMENTO</v>
      </c>
      <c r="P108" s="35" t="str">
        <f>IFERROR(_xlfn.XLOOKUP($C108,Log!D:D,Log!Y:Y,,,-1),"")</f>
        <v xml:space="preserve">MANDEI CAMPANHAS, AGUARDANDO RETORNO </v>
      </c>
      <c r="Q108" s="130"/>
      <c r="R108" s="26">
        <f>IFERROR(IF(Tabela1[[#This Row],[Nome fantasia]]="","",_xlfn.XLOOKUP($C108,Log!D:D,Log!X:X,,,-1)),"")</f>
        <v>45953</v>
      </c>
    </row>
    <row r="109" spans="3:18" hidden="1" x14ac:dyDescent="0.2">
      <c r="C109" s="30" t="s">
        <v>1273</v>
      </c>
      <c r="D109" s="110" t="s">
        <v>1283</v>
      </c>
      <c r="E109" s="33" t="s">
        <v>22</v>
      </c>
      <c r="F109" s="38" t="s">
        <v>12</v>
      </c>
      <c r="G109" s="38" t="s">
        <v>933</v>
      </c>
      <c r="H109" s="31" t="s">
        <v>933</v>
      </c>
      <c r="I109" s="32" t="s">
        <v>933</v>
      </c>
      <c r="J109" s="32" t="s">
        <v>933</v>
      </c>
      <c r="K109" s="45" t="s">
        <v>888</v>
      </c>
      <c r="L109" s="129"/>
      <c r="M109" s="33" t="str">
        <f t="shared" si="1"/>
        <v>Recompra</v>
      </c>
      <c r="N109" s="34">
        <f>IFERROR(IF(Tabela1[[#This Row],[Nome fantasia]]="","",_xlfn.XLOOKUP($C109,Log!D:D,Log!B:B,,,-1)),"")</f>
        <v>45951</v>
      </c>
      <c r="O109" s="35" t="str">
        <f>IFERROR(_xlfn.XLOOKUP($C109,Log!D:D,Log!W:W,,,-1),"")</f>
        <v>FOLLOW UP 15</v>
      </c>
      <c r="P109" s="35" t="str">
        <f>IFERROR(_xlfn.XLOOKUP($C109,Log!D:D,Log!Y:Y,,,-1),"")</f>
        <v>MANDEI CAMPANHAS NOVAMENTE</v>
      </c>
      <c r="Q109" s="130"/>
      <c r="R109" s="26">
        <f>IFERROR(IF(Tabela1[[#This Row],[Nome fantasia]]="","",_xlfn.XLOOKUP($C109,Log!D:D,Log!X:X,,,-1)),"")</f>
        <v>45972</v>
      </c>
    </row>
    <row r="110" spans="3:18" hidden="1" x14ac:dyDescent="0.2">
      <c r="C110" s="30" t="s">
        <v>1274</v>
      </c>
      <c r="D110" s="110" t="s">
        <v>1284</v>
      </c>
      <c r="E110" s="33" t="s">
        <v>22</v>
      </c>
      <c r="F110" s="38" t="s">
        <v>12</v>
      </c>
      <c r="G110" s="38" t="s">
        <v>933</v>
      </c>
      <c r="H110" s="31" t="s">
        <v>933</v>
      </c>
      <c r="I110" s="32" t="s">
        <v>933</v>
      </c>
      <c r="J110" s="32" t="s">
        <v>933</v>
      </c>
      <c r="K110" s="45" t="s">
        <v>888</v>
      </c>
      <c r="L110" s="129"/>
      <c r="M110" s="33" t="str">
        <f t="shared" si="1"/>
        <v>Recompra</v>
      </c>
      <c r="N110" s="34">
        <f>IFERROR(IF(Tabela1[[#This Row],[Nome fantasia]]="","",_xlfn.XLOOKUP($C110,Log!D:D,Log!B:B,,,-1)),"")</f>
        <v>45944</v>
      </c>
      <c r="O110" s="35" t="str">
        <f>IFERROR(_xlfn.XLOOKUP($C110,Log!D:D,Log!W:W,,,-1),"")</f>
        <v>FOLLOW UP 7</v>
      </c>
      <c r="P110" s="35" t="str">
        <f>IFERROR(_xlfn.XLOOKUP($C110,Log!D:D,Log!Y:Y,,,-1),"")</f>
        <v>MANDEI UM AUDIO EXPLICANDO PRODUTOS</v>
      </c>
      <c r="Q110" s="130"/>
      <c r="R110" s="26">
        <f>IFERROR(IF(Tabela1[[#This Row],[Nome fantasia]]="","",_xlfn.XLOOKUP($C110,Log!D:D,Log!X:X,,,-1)),"")</f>
        <v>45953</v>
      </c>
    </row>
    <row r="111" spans="3:18" hidden="1" x14ac:dyDescent="0.2">
      <c r="C111" s="30" t="s">
        <v>1277</v>
      </c>
      <c r="D111" s="110" t="s">
        <v>1287</v>
      </c>
      <c r="E111" s="33" t="s">
        <v>22</v>
      </c>
      <c r="F111" s="38" t="s">
        <v>12</v>
      </c>
      <c r="G111" s="38" t="s">
        <v>933</v>
      </c>
      <c r="H111" s="31" t="s">
        <v>933</v>
      </c>
      <c r="I111" s="32" t="s">
        <v>933</v>
      </c>
      <c r="J111" s="32" t="s">
        <v>933</v>
      </c>
      <c r="K111" s="45" t="s">
        <v>888</v>
      </c>
      <c r="L111" s="129"/>
      <c r="M111" s="33" t="str">
        <f t="shared" si="1"/>
        <v>Recompra</v>
      </c>
      <c r="N111" s="34">
        <f>IFERROR(IF(Tabela1[[#This Row],[Nome fantasia]]="","",_xlfn.XLOOKUP($C111,Log!D:D,Log!B:B,,,-1)),"")</f>
        <v>45944</v>
      </c>
      <c r="O111" s="35" t="str">
        <f>IFERROR(_xlfn.XLOOKUP($C111,Log!D:D,Log!W:W,,,-1),"")</f>
        <v>FOLLOW UP 7</v>
      </c>
      <c r="P111" s="35" t="str">
        <f>IFERROR(_xlfn.XLOOKUP($C111,Log!D:D,Log!Y:Y,,,-1),"")</f>
        <v>FEITO O CONTATO COM O MESMO PARA ANALISE DE PARCERIA NOVAMENTE0</v>
      </c>
      <c r="Q111" s="130"/>
      <c r="R111" s="26">
        <f>IFERROR(IF(Tabela1[[#This Row],[Nome fantasia]]="","",_xlfn.XLOOKUP($C111,Log!D:D,Log!X:X,,,-1)),"")</f>
        <v>45953</v>
      </c>
    </row>
    <row r="112" spans="3:18" hidden="1" x14ac:dyDescent="0.2">
      <c r="C112" s="30" t="s">
        <v>1289</v>
      </c>
      <c r="D112" s="110" t="s">
        <v>1288</v>
      </c>
      <c r="E112" s="33" t="s">
        <v>17</v>
      </c>
      <c r="F112" s="38" t="s">
        <v>12</v>
      </c>
      <c r="G112" s="38" t="s">
        <v>933</v>
      </c>
      <c r="H112" s="31" t="s">
        <v>933</v>
      </c>
      <c r="I112" s="32" t="s">
        <v>933</v>
      </c>
      <c r="J112" s="32" t="s">
        <v>933</v>
      </c>
      <c r="K112" s="45" t="s">
        <v>888</v>
      </c>
      <c r="L112" s="129"/>
      <c r="M112" s="33" t="str">
        <f t="shared" si="1"/>
        <v>Recompra</v>
      </c>
      <c r="N112" s="34">
        <f>IFERROR(IF(Tabela1[[#This Row],[Nome fantasia]]="","",_xlfn.XLOOKUP($C112,Log!D:D,Log!B:B,,,-1)),"")</f>
        <v>45944</v>
      </c>
      <c r="O112" s="35" t="str">
        <f>IFERROR(_xlfn.XLOOKUP($C112,Log!D:D,Log!W:W,,,-1),"")</f>
        <v>FOLLOW UP 7</v>
      </c>
      <c r="P112" s="35" t="str">
        <f>IFERROR(_xlfn.XLOOKUP($C112,Log!D:D,Log!Y:Y,,,-1),"")</f>
        <v>FEITO O CONTATO COM O MESMO PARA ANALISE DE PARCERIA NOVAMENTE0</v>
      </c>
      <c r="Q112" s="130"/>
      <c r="R112" s="26">
        <f>IFERROR(IF(Tabela1[[#This Row],[Nome fantasia]]="","",_xlfn.XLOOKUP($C112,Log!D:D,Log!X:X,,,-1)),"")</f>
        <v>45953</v>
      </c>
    </row>
    <row r="113" spans="3:18" hidden="1" x14ac:dyDescent="0.2">
      <c r="C113" s="30" t="s">
        <v>1291</v>
      </c>
      <c r="D113" s="110" t="s">
        <v>1290</v>
      </c>
      <c r="E113" s="33" t="s">
        <v>22</v>
      </c>
      <c r="F113" s="38" t="s">
        <v>12</v>
      </c>
      <c r="G113" s="38" t="s">
        <v>933</v>
      </c>
      <c r="H113" s="31" t="s">
        <v>933</v>
      </c>
      <c r="I113" s="32" t="s">
        <v>933</v>
      </c>
      <c r="J113" s="32" t="s">
        <v>933</v>
      </c>
      <c r="K113" s="45" t="s">
        <v>888</v>
      </c>
      <c r="L113" s="129"/>
      <c r="M113" s="33" t="str">
        <f t="shared" si="1"/>
        <v>Recompra</v>
      </c>
      <c r="N113" s="34">
        <f>IFERROR(IF(Tabela1[[#This Row],[Nome fantasia]]="","",_xlfn.XLOOKUP($C113,Log!D:D,Log!B:B,,,-1)),"")</f>
        <v>45944</v>
      </c>
      <c r="O113" s="35" t="str">
        <f>IFERROR(_xlfn.XLOOKUP($C113,Log!D:D,Log!W:W,,,-1),"")</f>
        <v>FOLLOW UP 7</v>
      </c>
      <c r="P113" s="35" t="str">
        <f>IFERROR(_xlfn.XLOOKUP($C113,Log!D:D,Log!Y:Y,,,-1),"")</f>
        <v>FEITO O CONTATO COM O MESMO PARA ANALISE DE PARCERIA NOVAMENTE0</v>
      </c>
      <c r="Q113" s="130"/>
      <c r="R113" s="26">
        <f>IFERROR(IF(Tabela1[[#This Row],[Nome fantasia]]="","",_xlfn.XLOOKUP($C113,Log!D:D,Log!X:X,,,-1)),"")</f>
        <v>45953</v>
      </c>
    </row>
    <row r="114" spans="3:18" hidden="1" x14ac:dyDescent="0.2">
      <c r="C114" s="30" t="s">
        <v>15</v>
      </c>
      <c r="D114" s="110" t="s">
        <v>16</v>
      </c>
      <c r="E114" s="33" t="s">
        <v>17</v>
      </c>
      <c r="F114" s="38" t="s">
        <v>32</v>
      </c>
      <c r="G114" s="38" t="s">
        <v>19</v>
      </c>
      <c r="H114" s="31">
        <v>2088.6999999999998</v>
      </c>
      <c r="I114" s="32">
        <v>27</v>
      </c>
      <c r="J114" s="32">
        <v>17.5</v>
      </c>
      <c r="K114" s="44" t="s">
        <v>741</v>
      </c>
      <c r="M114" s="33" t="str">
        <f t="shared" si="1"/>
        <v>Recompra</v>
      </c>
      <c r="N114" s="34">
        <f>IFERROR(IF(Tabela1[[#This Row],[Nome fantasia]]="","",_xlfn.XLOOKUP($C114,Log!D:D,Log!B:B,,,-1)),"")</f>
        <v>45910</v>
      </c>
      <c r="O114" s="35" t="str">
        <f>IFERROR(_xlfn.XLOOKUP($C114,Log!D:D,Log!W:W,,,-1),"")</f>
        <v>VENDA</v>
      </c>
      <c r="P114" s="35" t="str">
        <f>IFERROR(_xlfn.XLOOKUP($C114,Log!D:D,Log!Y:Y,,,-1),"")</f>
        <v xml:space="preserve">RECOMPRA </v>
      </c>
      <c r="R114" s="26">
        <f>IFERROR(IF(Tabela1[[#This Row],[Nome fantasia]]="","",_xlfn.XLOOKUP($C114,Log!D:D,Log!X:X,,,-1)),"")</f>
        <v>45973</v>
      </c>
    </row>
    <row r="115" spans="3:18" hidden="1" x14ac:dyDescent="0.2">
      <c r="C115" s="30" t="s">
        <v>94</v>
      </c>
      <c r="D115" s="110" t="s">
        <v>95</v>
      </c>
      <c r="E115" s="33" t="s">
        <v>11</v>
      </c>
      <c r="F115" s="38" t="s">
        <v>12</v>
      </c>
      <c r="G115" s="38" t="s">
        <v>96</v>
      </c>
      <c r="H115" s="31">
        <v>2571.8200000000002</v>
      </c>
      <c r="I115" s="32">
        <v>41</v>
      </c>
      <c r="J115" s="32">
        <v>91</v>
      </c>
      <c r="K115" s="44" t="s">
        <v>741</v>
      </c>
      <c r="M115" s="33" t="str">
        <f t="shared" si="1"/>
        <v>Recompra</v>
      </c>
      <c r="N115" s="34">
        <f>IFERROR(IF(Tabela1[[#This Row],[Nome fantasia]]="","",_xlfn.XLOOKUP($C115,Log!D:D,Log!B:B,,,-1)),"")</f>
        <v>46006</v>
      </c>
      <c r="O115" s="35" t="str">
        <f>IFERROR(_xlfn.XLOOKUP($C115,Log!D:D,Log!W:W,,,-1),"")</f>
        <v>EM ATENDIMENTO</v>
      </c>
      <c r="P115" s="35" t="str">
        <f>IFERROR(_xlfn.XLOOKUP($C115,Log!D:D,Log!Y:Y,,,-1),"")</f>
        <v>FORÇANDO RECOMPRA</v>
      </c>
      <c r="R115" s="26">
        <f>IFERROR(IF(Tabela1[[#This Row],[Nome fantasia]]="","",_xlfn.XLOOKUP($C115,Log!D:D,Log!X:X,,,-1)),"")</f>
        <v>46008</v>
      </c>
    </row>
    <row r="116" spans="3:18" hidden="1" x14ac:dyDescent="0.2">
      <c r="C116" s="30" t="s">
        <v>105</v>
      </c>
      <c r="D116" s="110" t="s">
        <v>106</v>
      </c>
      <c r="E116" s="33" t="s">
        <v>17</v>
      </c>
      <c r="F116" s="38" t="s">
        <v>12</v>
      </c>
      <c r="G116" s="38" t="s">
        <v>96</v>
      </c>
      <c r="H116" s="31">
        <v>1199</v>
      </c>
      <c r="I116" s="123">
        <v>41</v>
      </c>
      <c r="J116" s="32">
        <v>0</v>
      </c>
      <c r="K116" s="44" t="s">
        <v>741</v>
      </c>
      <c r="M116" s="33" t="str">
        <f t="shared" si="1"/>
        <v/>
      </c>
      <c r="N116" s="34">
        <f>IFERROR(IF(Tabela1[[#This Row],[Nome fantasia]]="","",_xlfn.XLOOKUP($C116,Log!D:D,Log!B:B,,,-1)),"")</f>
        <v>45946</v>
      </c>
      <c r="O116" s="35" t="str">
        <f>IFERROR(_xlfn.XLOOKUP($C116,Log!D:D,Log!W:W,,,-1),"")</f>
        <v>FOLLOW UP 15</v>
      </c>
      <c r="P116" s="35" t="str">
        <f>IFERROR(_xlfn.XLOOKUP($C116,Log!D:D,Log!Y:Y,,,-1),"")</f>
        <v>CLIENTE NÃO PRETENDE COMPRAR AGORA</v>
      </c>
      <c r="R116" s="26">
        <f>IFERROR(IF(Tabela1[[#This Row],[Nome fantasia]]="","",_xlfn.XLOOKUP($C116,Log!D:D,Log!X:X,,,-1)),"")</f>
        <v>45967</v>
      </c>
    </row>
    <row r="117" spans="3:18" hidden="1" x14ac:dyDescent="0.2">
      <c r="C117" s="30" t="s">
        <v>29</v>
      </c>
      <c r="D117" s="110" t="s">
        <v>30</v>
      </c>
      <c r="E117" s="33" t="s">
        <v>31</v>
      </c>
      <c r="F117" s="38" t="s">
        <v>32</v>
      </c>
      <c r="G117" s="38" t="s">
        <v>33</v>
      </c>
      <c r="H117" s="31">
        <v>5983.46</v>
      </c>
      <c r="I117" s="32">
        <v>33</v>
      </c>
      <c r="J117" s="32">
        <v>20</v>
      </c>
      <c r="K117" s="44" t="s">
        <v>741</v>
      </c>
      <c r="M117" s="33" t="str">
        <f t="shared" si="1"/>
        <v>Recompra</v>
      </c>
      <c r="N117" s="34">
        <f>IFERROR(IF(Tabela1[[#This Row],[Nome fantasia]]="","",_xlfn.XLOOKUP($C117,Log!D:D,Log!B:B,,,-1)),"")</f>
        <v>45904</v>
      </c>
      <c r="O117" s="35" t="str">
        <f>IFERROR(_xlfn.XLOOKUP($C117,Log!D:D,Log!W:W,,,-1),"")</f>
        <v>VENDA</v>
      </c>
      <c r="P117" s="35" t="str">
        <f>IFERROR(_xlfn.XLOOKUP($C117,Log!D:D,Log!Y:Y,,,-1),"")</f>
        <v xml:space="preserve">RECOMPRA </v>
      </c>
      <c r="R117" s="26">
        <f>IFERROR(IF(Tabela1[[#This Row],[Nome fantasia]]="","",_xlfn.XLOOKUP($C117,Log!D:D,Log!X:X,,,-1)),"")</f>
        <v>45967</v>
      </c>
    </row>
    <row r="118" spans="3:18" hidden="1" x14ac:dyDescent="0.2">
      <c r="C118" s="30" t="s">
        <v>148</v>
      </c>
      <c r="D118" s="110" t="s">
        <v>149</v>
      </c>
      <c r="E118" s="33" t="s">
        <v>22</v>
      </c>
      <c r="F118" s="38" t="s">
        <v>12</v>
      </c>
      <c r="G118" s="38" t="s">
        <v>131</v>
      </c>
      <c r="H118" s="31">
        <v>665.76</v>
      </c>
      <c r="I118" s="123">
        <v>43</v>
      </c>
      <c r="J118" s="32">
        <v>26</v>
      </c>
      <c r="K118" s="44" t="s">
        <v>741</v>
      </c>
      <c r="M118" s="33" t="str">
        <f t="shared" si="1"/>
        <v>Recompra</v>
      </c>
      <c r="N118" s="34">
        <f>IFERROR(IF(Tabela1[[#This Row],[Nome fantasia]]="","",_xlfn.XLOOKUP($C118,Log!D:D,Log!B:B,,,-1)),"")</f>
        <v>46000</v>
      </c>
      <c r="O118" s="35" t="str">
        <f>IFERROR(_xlfn.XLOOKUP($C118,Log!D:D,Log!W:W,,,-1),"")</f>
        <v>FOLLOW UP 15</v>
      </c>
      <c r="P118" s="35" t="str">
        <f>IFERROR(_xlfn.XLOOKUP($C118,Log!D:D,Log!Y:Y,,,-1),"")</f>
        <v>CLIENTE SÓ VAI COMPRAR ANO QUE VEM, JÁ ENCERROU AS COMPRAS</v>
      </c>
      <c r="R118" s="26">
        <f>IFERROR(IF(Tabela1[[#This Row],[Nome fantasia]]="","",_xlfn.XLOOKUP($C118,Log!D:D,Log!X:X,,,-1)),"")</f>
        <v>46021</v>
      </c>
    </row>
    <row r="119" spans="3:18" hidden="1" x14ac:dyDescent="0.2">
      <c r="C119" s="30" t="s">
        <v>284</v>
      </c>
      <c r="D119" s="110" t="s">
        <v>285</v>
      </c>
      <c r="E119" s="33" t="s">
        <v>22</v>
      </c>
      <c r="F119" s="38" t="s">
        <v>12</v>
      </c>
      <c r="G119" s="38" t="s">
        <v>286</v>
      </c>
      <c r="H119" s="31">
        <v>767.84</v>
      </c>
      <c r="I119" s="123">
        <v>63</v>
      </c>
      <c r="J119" s="32">
        <v>42.5</v>
      </c>
      <c r="K119" s="44" t="s">
        <v>741</v>
      </c>
      <c r="M119" s="33" t="str">
        <f t="shared" si="1"/>
        <v>Recompra</v>
      </c>
      <c r="N119" s="34">
        <f>IFERROR(IF(Tabela1[[#This Row],[Nome fantasia]]="","",_xlfn.XLOOKUP($C119,Log!D:D,Log!B:B,,,-1)),"")</f>
        <v>45992</v>
      </c>
      <c r="O119" s="35" t="str">
        <f>IFERROR(_xlfn.XLOOKUP($C119,Log!D:D,Log!W:W,,,-1),"")</f>
        <v>SUPORTE</v>
      </c>
      <c r="P119" s="35" t="str">
        <f>IFERROR(_xlfn.XLOOKUP($C119,Log!D:D,Log!Y:Y,,,-1),"")</f>
        <v>CLIENTE DEIXOU BOLETO IR A CARTORIO</v>
      </c>
      <c r="R119" s="26" t="str">
        <f>IFERROR(IF(Tabela1[[#This Row],[Nome fantasia]]="","",_xlfn.XLOOKUP($C119,Log!D:D,Log!X:X,,,-1)),"")</f>
        <v/>
      </c>
    </row>
    <row r="120" spans="3:18" hidden="1" x14ac:dyDescent="0.2">
      <c r="C120" s="30" t="s">
        <v>39</v>
      </c>
      <c r="D120" s="110" t="s">
        <v>40</v>
      </c>
      <c r="E120" s="33" t="s">
        <v>41</v>
      </c>
      <c r="F120" s="38" t="s">
        <v>32</v>
      </c>
      <c r="G120" s="38" t="s">
        <v>33</v>
      </c>
      <c r="H120" s="31">
        <v>675.96</v>
      </c>
      <c r="I120" s="32">
        <v>33</v>
      </c>
      <c r="J120" s="32">
        <v>0</v>
      </c>
      <c r="K120" s="44" t="s">
        <v>741</v>
      </c>
      <c r="M120" s="33" t="str">
        <f t="shared" si="1"/>
        <v/>
      </c>
      <c r="N120" s="34">
        <f>IFERROR(IF(Tabela1[[#This Row],[Nome fantasia]]="","",_xlfn.XLOOKUP($C120,Log!D:D,Log!B:B,,,-1)),"")</f>
        <v>45904</v>
      </c>
      <c r="O120" s="35" t="str">
        <f>IFERROR(_xlfn.XLOOKUP($C120,Log!D:D,Log!W:W,,,-1),"")</f>
        <v>VENDA</v>
      </c>
      <c r="P120" s="35" t="str">
        <f>IFERROR(_xlfn.XLOOKUP($C120,Log!D:D,Log!Y:Y,,,-1),"")</f>
        <v xml:space="preserve">RECOMPRA </v>
      </c>
      <c r="R120" s="26">
        <f>IFERROR(IF(Tabela1[[#This Row],[Nome fantasia]]="","",_xlfn.XLOOKUP($C120,Log!D:D,Log!X:X,,,-1)),"")</f>
        <v>45967</v>
      </c>
    </row>
    <row r="121" spans="3:18" hidden="1" x14ac:dyDescent="0.2">
      <c r="C121" s="30" t="s">
        <v>1010</v>
      </c>
      <c r="D121" s="110" t="s">
        <v>1011</v>
      </c>
      <c r="E121" s="33" t="s">
        <v>11</v>
      </c>
      <c r="F121" s="38" t="s">
        <v>829</v>
      </c>
      <c r="G121" s="38"/>
      <c r="H121" s="31"/>
      <c r="I121" s="32"/>
      <c r="J121" s="32"/>
      <c r="K121" s="45" t="s">
        <v>888</v>
      </c>
      <c r="L121" s="129"/>
      <c r="M121" s="33" t="str">
        <f t="shared" si="1"/>
        <v/>
      </c>
      <c r="N121" s="34">
        <f>IFERROR(IF(Tabela1[[#This Row],[Nome fantasia]]="","",_xlfn.XLOOKUP($C121,Log!D:D,Log!B:B,,,-1)),"")</f>
        <v>45944</v>
      </c>
      <c r="O121" s="35" t="str">
        <f>IFERROR(_xlfn.XLOOKUP($C121,Log!D:D,Log!W:W,,,-1),"")</f>
        <v>FOLLOW UP 15</v>
      </c>
      <c r="P121" s="35" t="str">
        <f>IFERROR(_xlfn.XLOOKUP($C121,Log!D:D,Log!Y:Y,,,-1),"")</f>
        <v>AINDA NÃO TEVE RETORNO DO CLIENTE DELA</v>
      </c>
      <c r="Q121" s="130"/>
      <c r="R121" s="26">
        <f>IFERROR(IF(Tabela1[[#This Row],[Nome fantasia]]="","",_xlfn.XLOOKUP($C121,Log!D:D,Log!X:X,,,-1)),"")</f>
        <v>45965</v>
      </c>
    </row>
    <row r="122" spans="3:18" hidden="1" x14ac:dyDescent="0.2">
      <c r="C122" s="30" t="s">
        <v>44</v>
      </c>
      <c r="D122" s="110" t="s">
        <v>45</v>
      </c>
      <c r="E122" s="33" t="s">
        <v>46</v>
      </c>
      <c r="F122" s="38" t="s">
        <v>32</v>
      </c>
      <c r="G122" s="38" t="s">
        <v>33</v>
      </c>
      <c r="H122" s="31">
        <v>775.04</v>
      </c>
      <c r="I122" s="32">
        <v>33</v>
      </c>
      <c r="J122" s="32">
        <v>0</v>
      </c>
      <c r="K122" s="44" t="s">
        <v>741</v>
      </c>
      <c r="M122" s="33" t="str">
        <f t="shared" si="1"/>
        <v/>
      </c>
      <c r="N122" s="34">
        <f>IFERROR(IF(Tabela1[[#This Row],[Nome fantasia]]="","",_xlfn.XLOOKUP($C122,Log!D:D,Log!B:B,,,-1)),"")</f>
        <v>45904</v>
      </c>
      <c r="O122" s="35" t="str">
        <f>IFERROR(_xlfn.XLOOKUP($C122,Log!D:D,Log!W:W,,,-1),"")</f>
        <v>VENDA</v>
      </c>
      <c r="P122" s="35" t="str">
        <f>IFERROR(_xlfn.XLOOKUP($C122,Log!D:D,Log!Y:Y,,,-1),"")</f>
        <v xml:space="preserve">RECOMPRA </v>
      </c>
      <c r="R122" s="26">
        <f>IFERROR(IF(Tabela1[[#This Row],[Nome fantasia]]="","",_xlfn.XLOOKUP($C122,Log!D:D,Log!X:X,,,-1)),"")</f>
        <v>45967</v>
      </c>
    </row>
    <row r="123" spans="3:18" hidden="1" x14ac:dyDescent="0.2">
      <c r="C123" s="30" t="s">
        <v>47</v>
      </c>
      <c r="D123" s="110" t="s">
        <v>48</v>
      </c>
      <c r="E123" s="33" t="s">
        <v>49</v>
      </c>
      <c r="F123" s="38" t="s">
        <v>18</v>
      </c>
      <c r="G123" s="38" t="s">
        <v>1153</v>
      </c>
      <c r="H123" s="31">
        <v>727.86</v>
      </c>
      <c r="I123" s="32">
        <v>14</v>
      </c>
      <c r="J123" s="32">
        <v>19</v>
      </c>
      <c r="K123" s="44" t="s">
        <v>741</v>
      </c>
      <c r="M123" s="33" t="str">
        <f t="shared" si="1"/>
        <v>Recompra</v>
      </c>
      <c r="N123" s="34">
        <f>IFERROR(IF(Tabela1[[#This Row],[Nome fantasia]]="","",_xlfn.XLOOKUP($C123,Log!D:D,Log!B:B,,,-1)),"")</f>
        <v>45904</v>
      </c>
      <c r="O123" s="35" t="str">
        <f>IFERROR(_xlfn.XLOOKUP($C123,Log!D:D,Log!W:W,,,-1),"")</f>
        <v>VENDA</v>
      </c>
      <c r="P123" s="35" t="str">
        <f>IFERROR(_xlfn.XLOOKUP($C123,Log!D:D,Log!Y:Y,,,-1),"")</f>
        <v xml:space="preserve">RECOMPRA </v>
      </c>
      <c r="R123" s="26">
        <f>IFERROR(IF(Tabela1[[#This Row],[Nome fantasia]]="","",_xlfn.XLOOKUP($C123,Log!D:D,Log!X:X,,,-1)),"")</f>
        <v>45967</v>
      </c>
    </row>
    <row r="124" spans="3:18" hidden="1" x14ac:dyDescent="0.2">
      <c r="C124" s="30" t="s">
        <v>50</v>
      </c>
      <c r="D124" s="110" t="s">
        <v>51</v>
      </c>
      <c r="E124" s="33" t="s">
        <v>52</v>
      </c>
      <c r="F124" s="38" t="s">
        <v>53</v>
      </c>
      <c r="G124" s="38" t="s">
        <v>54</v>
      </c>
      <c r="H124" s="31">
        <v>1572.57</v>
      </c>
      <c r="I124" s="32">
        <v>34</v>
      </c>
      <c r="J124" s="32">
        <v>53.5</v>
      </c>
      <c r="K124" s="44" t="s">
        <v>741</v>
      </c>
      <c r="M124" s="33" t="str">
        <f t="shared" si="1"/>
        <v>Recompra</v>
      </c>
      <c r="N124" s="34">
        <f>IFERROR(IF(Tabela1[[#This Row],[Nome fantasia]]="","",_xlfn.XLOOKUP($C124,Log!D:D,Log!B:B,,,-1)),"")</f>
        <v>45903</v>
      </c>
      <c r="O124" s="35" t="str">
        <f>IFERROR(_xlfn.XLOOKUP($C124,Log!D:D,Log!W:W,,,-1),"")</f>
        <v>VENDA</v>
      </c>
      <c r="P124" s="35" t="str">
        <f>IFERROR(_xlfn.XLOOKUP($C124,Log!D:D,Log!Y:Y,,,-1),"")</f>
        <v xml:space="preserve">RECOMPRA </v>
      </c>
      <c r="R124" s="26">
        <f>IFERROR(IF(Tabela1[[#This Row],[Nome fantasia]]="","",_xlfn.XLOOKUP($C124,Log!D:D,Log!X:X,,,-1)),"")</f>
        <v>45966</v>
      </c>
    </row>
    <row r="125" spans="3:18" hidden="1" x14ac:dyDescent="0.2">
      <c r="C125" s="30" t="s">
        <v>1306</v>
      </c>
      <c r="D125" s="110" t="s">
        <v>1319</v>
      </c>
      <c r="E125" s="33" t="s">
        <v>22</v>
      </c>
      <c r="F125" s="38" t="s">
        <v>12</v>
      </c>
      <c r="G125" s="38" t="s">
        <v>933</v>
      </c>
      <c r="H125" s="31" t="s">
        <v>933</v>
      </c>
      <c r="I125" s="32" t="s">
        <v>933</v>
      </c>
      <c r="J125" s="32" t="s">
        <v>933</v>
      </c>
      <c r="K125" s="45" t="s">
        <v>888</v>
      </c>
      <c r="L125" s="129"/>
      <c r="M125" s="33" t="str">
        <f>IF(OR(J125&lt;=0,J125=""),"","Recompra")</f>
        <v>Recompra</v>
      </c>
      <c r="N125" s="34">
        <f>IFERROR(IF(Tabela1[[#This Row],[Nome fantasia]]="","",_xlfn.XLOOKUP($C125,Log!D:D,Log!B:B,,,-1)),"")</f>
        <v>45944</v>
      </c>
      <c r="O125" s="35" t="str">
        <f>IFERROR(_xlfn.XLOOKUP($C125,Log!D:D,Log!W:W,,,-1),"")</f>
        <v>FOLLOW UP 7</v>
      </c>
      <c r="P125" s="35" t="str">
        <f>IFERROR(_xlfn.XLOOKUP($C125,Log!D:D,Log!Y:Y,,,-1),"")</f>
        <v xml:space="preserve">ENVIADO MENSAGEM, AINDA TENTANDO ENTENDER SOBRE O QUE É </v>
      </c>
      <c r="Q125" s="130"/>
      <c r="R125" s="26">
        <f>IFERROR(IF(Tabela1[[#This Row],[Nome fantasia]]="","",_xlfn.XLOOKUP($C125,Log!D:D,Log!X:X,,,-1)),"")</f>
        <v>45953</v>
      </c>
    </row>
    <row r="126" spans="3:18" hidden="1" x14ac:dyDescent="0.2">
      <c r="C126" s="30" t="s">
        <v>1307</v>
      </c>
      <c r="D126" s="110" t="s">
        <v>1320</v>
      </c>
      <c r="E126" s="33" t="s">
        <v>22</v>
      </c>
      <c r="F126" s="38" t="s">
        <v>12</v>
      </c>
      <c r="G126" s="38" t="s">
        <v>933</v>
      </c>
      <c r="H126" s="31" t="s">
        <v>933</v>
      </c>
      <c r="I126" s="32" t="s">
        <v>933</v>
      </c>
      <c r="J126" s="32" t="s">
        <v>933</v>
      </c>
      <c r="K126" s="45" t="s">
        <v>888</v>
      </c>
      <c r="L126" s="129"/>
      <c r="M126" s="33" t="str">
        <f t="shared" si="1"/>
        <v>Recompra</v>
      </c>
      <c r="N126" s="34">
        <f>IFERROR(IF(Tabela1[[#This Row],[Nome fantasia]]="","",_xlfn.XLOOKUP($C126,Log!D:D,Log!B:B,,,-1)),"")</f>
        <v>45944</v>
      </c>
      <c r="O126" s="35" t="str">
        <f>IFERROR(_xlfn.XLOOKUP($C126,Log!D:D,Log!W:W,,,-1),"")</f>
        <v>PERDA / NÃO VENDA</v>
      </c>
      <c r="P126" s="35" t="str">
        <f>IFERROR(_xlfn.XLOOKUP($C126,Log!D:D,Log!Y:Y,,,-1),"")</f>
        <v>REDE</v>
      </c>
      <c r="Q126" s="130"/>
      <c r="R126" s="26" t="str">
        <f>IFERROR(IF(Tabela1[[#This Row],[Nome fantasia]]="","",_xlfn.XLOOKUP($C126,Log!D:D,Log!X:X,,,-1)),"")</f>
        <v/>
      </c>
    </row>
    <row r="127" spans="3:18" hidden="1" x14ac:dyDescent="0.2">
      <c r="C127" s="30" t="s">
        <v>1308</v>
      </c>
      <c r="D127" s="110" t="s">
        <v>1321</v>
      </c>
      <c r="E127" s="33" t="s">
        <v>22</v>
      </c>
      <c r="F127" s="38" t="s">
        <v>12</v>
      </c>
      <c r="G127" s="38" t="s">
        <v>933</v>
      </c>
      <c r="H127" s="31" t="s">
        <v>933</v>
      </c>
      <c r="I127" s="32" t="s">
        <v>933</v>
      </c>
      <c r="J127" s="32" t="s">
        <v>933</v>
      </c>
      <c r="K127" s="45" t="s">
        <v>888</v>
      </c>
      <c r="L127" s="129"/>
      <c r="M127" s="33" t="str">
        <f t="shared" si="1"/>
        <v>Recompra</v>
      </c>
      <c r="N127" s="34">
        <f>IFERROR(IF(Tabela1[[#This Row],[Nome fantasia]]="","",_xlfn.XLOOKUP($C127,Log!D:D,Log!B:B,,,-1)),"")</f>
        <v>45944</v>
      </c>
      <c r="O127" s="35" t="str">
        <f>IFERROR(_xlfn.XLOOKUP($C127,Log!D:D,Log!W:W,,,-1),"")</f>
        <v>PERDA / NÃO VENDA</v>
      </c>
      <c r="P127" s="35" t="str">
        <f>IFERROR(_xlfn.XLOOKUP($C127,Log!D:D,Log!Y:Y,,,-1),"")</f>
        <v>FECHOU</v>
      </c>
      <c r="Q127" s="130"/>
      <c r="R127" s="26" t="str">
        <f>IFERROR(IF(Tabela1[[#This Row],[Nome fantasia]]="","",_xlfn.XLOOKUP($C127,Log!D:D,Log!X:X,,,-1)),"")</f>
        <v/>
      </c>
    </row>
    <row r="128" spans="3:18" hidden="1" x14ac:dyDescent="0.2">
      <c r="C128" s="30" t="s">
        <v>1309</v>
      </c>
      <c r="D128" s="110" t="s">
        <v>1322</v>
      </c>
      <c r="E128" s="33" t="s">
        <v>22</v>
      </c>
      <c r="F128" s="38" t="s">
        <v>12</v>
      </c>
      <c r="G128" s="38" t="s">
        <v>933</v>
      </c>
      <c r="H128" s="31" t="s">
        <v>933</v>
      </c>
      <c r="I128" s="32" t="s">
        <v>933</v>
      </c>
      <c r="J128" s="32" t="s">
        <v>933</v>
      </c>
      <c r="K128" s="45" t="s">
        <v>888</v>
      </c>
      <c r="L128" s="129"/>
      <c r="M128" s="33" t="str">
        <f t="shared" si="1"/>
        <v>Recompra</v>
      </c>
      <c r="N128" s="34">
        <f>IFERROR(IF(Tabela1[[#This Row],[Nome fantasia]]="","",_xlfn.XLOOKUP($C128,Log!D:D,Log!B:B,,,-1)),"")</f>
        <v>45944</v>
      </c>
      <c r="O128" s="35" t="str">
        <f>IFERROR(_xlfn.XLOOKUP($C128,Log!D:D,Log!W:W,,,-1),"")</f>
        <v>FOLLOW UP 7</v>
      </c>
      <c r="P128" s="35" t="str">
        <f>IFERROR(_xlfn.XLOOKUP($C128,Log!D:D,Log!Y:Y,,,-1),"")</f>
        <v>FEITO NOVO CONTATO</v>
      </c>
      <c r="Q128" s="130"/>
      <c r="R128" s="26">
        <f>IFERROR(IF(Tabela1[[#This Row],[Nome fantasia]]="","",_xlfn.XLOOKUP($C128,Log!D:D,Log!X:X,,,-1)),"")</f>
        <v>45953</v>
      </c>
    </row>
    <row r="129" spans="3:18" hidden="1" x14ac:dyDescent="0.2">
      <c r="C129" s="30" t="s">
        <v>65</v>
      </c>
      <c r="D129" s="110" t="s">
        <v>66</v>
      </c>
      <c r="E129" s="33" t="s">
        <v>67</v>
      </c>
      <c r="F129" s="38" t="s">
        <v>18</v>
      </c>
      <c r="G129" s="38" t="s">
        <v>68</v>
      </c>
      <c r="H129" s="31">
        <v>858.48</v>
      </c>
      <c r="I129" s="32">
        <v>36</v>
      </c>
      <c r="J129" s="32">
        <v>153</v>
      </c>
      <c r="K129" s="44" t="s">
        <v>741</v>
      </c>
      <c r="M129" s="33" t="str">
        <f t="shared" si="1"/>
        <v>Recompra</v>
      </c>
      <c r="N129" s="34">
        <f>IFERROR(IF(Tabela1[[#This Row],[Nome fantasia]]="","",_xlfn.XLOOKUP($C129,Log!D:D,Log!B:B,,,-1)),"")</f>
        <v>45901</v>
      </c>
      <c r="O129" s="35" t="str">
        <f>IFERROR(_xlfn.XLOOKUP($C129,Log!D:D,Log!W:W,,,-1),"")</f>
        <v>VENDA</v>
      </c>
      <c r="P129" s="35" t="str">
        <f>IFERROR(_xlfn.XLOOKUP($C129,Log!D:D,Log!Y:Y,,,-1),"")</f>
        <v xml:space="preserve">RECOMPRA </v>
      </c>
      <c r="R129" s="26">
        <f>IFERROR(IF(Tabela1[[#This Row],[Nome fantasia]]="","",_xlfn.XLOOKUP($C129,Log!D:D,Log!X:X,,,-1)),"")</f>
        <v>45964</v>
      </c>
    </row>
    <row r="130" spans="3:18" hidden="1" x14ac:dyDescent="0.2">
      <c r="C130" s="30" t="s">
        <v>1310</v>
      </c>
      <c r="D130" s="110" t="s">
        <v>1323</v>
      </c>
      <c r="E130" s="33" t="s">
        <v>22</v>
      </c>
      <c r="F130" s="38" t="s">
        <v>12</v>
      </c>
      <c r="G130" s="38" t="s">
        <v>933</v>
      </c>
      <c r="H130" s="31" t="s">
        <v>933</v>
      </c>
      <c r="I130" s="32" t="s">
        <v>933</v>
      </c>
      <c r="J130" s="32" t="s">
        <v>933</v>
      </c>
      <c r="K130" s="45" t="s">
        <v>888</v>
      </c>
      <c r="L130" s="129"/>
      <c r="M130" s="33" t="str">
        <f t="shared" si="1"/>
        <v>Recompra</v>
      </c>
      <c r="N130" s="34">
        <f>IFERROR(IF(Tabela1[[#This Row],[Nome fantasia]]="","",_xlfn.XLOOKUP($C130,Log!D:D,Log!B:B,,,-1)),"")</f>
        <v>45944</v>
      </c>
      <c r="O130" s="35" t="str">
        <f>IFERROR(_xlfn.XLOOKUP($C130,Log!D:D,Log!W:W,,,-1),"")</f>
        <v>FOLLOW UP 7</v>
      </c>
      <c r="P130" s="35" t="str">
        <f>IFERROR(_xlfn.XLOOKUP($C130,Log!D:D,Log!Y:Y,,,-1),"")</f>
        <v>FEITO NOVO CONTATO</v>
      </c>
      <c r="Q130" s="130"/>
      <c r="R130" s="26">
        <f>IFERROR(IF(Tabela1[[#This Row],[Nome fantasia]]="","",_xlfn.XLOOKUP($C130,Log!D:D,Log!X:X,,,-1)),"")</f>
        <v>45953</v>
      </c>
    </row>
    <row r="131" spans="3:18" hidden="1" x14ac:dyDescent="0.2">
      <c r="C131" s="30" t="s">
        <v>73</v>
      </c>
      <c r="D131" s="110" t="s">
        <v>74</v>
      </c>
      <c r="E131" s="33" t="s">
        <v>46</v>
      </c>
      <c r="F131" s="38" t="s">
        <v>32</v>
      </c>
      <c r="G131" s="38" t="s">
        <v>1226</v>
      </c>
      <c r="H131" s="31">
        <v>2748.6</v>
      </c>
      <c r="I131" s="32">
        <v>25</v>
      </c>
      <c r="J131" s="32">
        <v>42.333300000000001</v>
      </c>
      <c r="K131" s="44" t="s">
        <v>741</v>
      </c>
      <c r="M131" s="33" t="str">
        <f t="shared" ref="M131:M194" si="2">IF(OR(J131&lt;=0,J131=""),"","Recompra")</f>
        <v>Recompra</v>
      </c>
      <c r="N131" s="34">
        <f>IFERROR(IF(Tabela1[[#This Row],[Nome fantasia]]="","",_xlfn.XLOOKUP($C131,Log!D:D,Log!B:B,,,-1)),"")</f>
        <v>45898</v>
      </c>
      <c r="O131" s="35" t="str">
        <f>IFERROR(_xlfn.XLOOKUP($C131,Log!D:D,Log!W:W,,,-1),"")</f>
        <v>VENDA</v>
      </c>
      <c r="P131" s="35" t="str">
        <f>IFERROR(_xlfn.XLOOKUP($C131,Log!D:D,Log!Y:Y,,,-1),"")</f>
        <v xml:space="preserve">RECOMPRA </v>
      </c>
      <c r="R131" s="26">
        <f>IFERROR(IF(Tabela1[[#This Row],[Nome fantasia]]="","",_xlfn.XLOOKUP($C131,Log!D:D,Log!X:X,,,-1)),"")</f>
        <v>45961</v>
      </c>
    </row>
    <row r="132" spans="3:18" hidden="1" x14ac:dyDescent="0.2">
      <c r="C132" s="30" t="s">
        <v>1311</v>
      </c>
      <c r="D132" s="110" t="s">
        <v>1324</v>
      </c>
      <c r="E132" s="33" t="s">
        <v>22</v>
      </c>
      <c r="F132" s="38" t="s">
        <v>12</v>
      </c>
      <c r="G132" s="38" t="s">
        <v>933</v>
      </c>
      <c r="H132" s="31" t="s">
        <v>933</v>
      </c>
      <c r="I132" s="32" t="s">
        <v>933</v>
      </c>
      <c r="J132" s="32" t="s">
        <v>933</v>
      </c>
      <c r="K132" s="45" t="s">
        <v>888</v>
      </c>
      <c r="L132" s="129"/>
      <c r="M132" s="33" t="str">
        <f t="shared" si="2"/>
        <v>Recompra</v>
      </c>
      <c r="N132" s="34">
        <f>IFERROR(IF(Tabela1[[#This Row],[Nome fantasia]]="","",_xlfn.XLOOKUP($C132,Log!D:D,Log!B:B,,,-1)),"")</f>
        <v>45944</v>
      </c>
      <c r="O132" s="35" t="str">
        <f>IFERROR(_xlfn.XLOOKUP($C132,Log!D:D,Log!W:W,,,-1),"")</f>
        <v>FOLLOW UP 7</v>
      </c>
      <c r="P132" s="35" t="str">
        <f>IFERROR(_xlfn.XLOOKUP($C132,Log!D:D,Log!Y:Y,,,-1),"")</f>
        <v>FEITO NOVO CONTATO/ ENVIADO ECOMMERCE</v>
      </c>
      <c r="Q132" s="130"/>
      <c r="R132" s="26">
        <f>IFERROR(IF(Tabela1[[#This Row],[Nome fantasia]]="","",_xlfn.XLOOKUP($C132,Log!D:D,Log!X:X,,,-1)),"")</f>
        <v>45953</v>
      </c>
    </row>
    <row r="133" spans="3:18" hidden="1" x14ac:dyDescent="0.2">
      <c r="C133" s="30" t="s">
        <v>1312</v>
      </c>
      <c r="D133" s="110" t="s">
        <v>1325</v>
      </c>
      <c r="E133" s="33" t="s">
        <v>22</v>
      </c>
      <c r="F133" s="38" t="s">
        <v>12</v>
      </c>
      <c r="G133" s="38" t="s">
        <v>933</v>
      </c>
      <c r="H133" s="31" t="s">
        <v>933</v>
      </c>
      <c r="I133" s="32" t="s">
        <v>933</v>
      </c>
      <c r="J133" s="32" t="s">
        <v>933</v>
      </c>
      <c r="K133" s="45" t="s">
        <v>888</v>
      </c>
      <c r="L133" s="129"/>
      <c r="M133" s="33" t="str">
        <f t="shared" si="2"/>
        <v>Recompra</v>
      </c>
      <c r="N133" s="34">
        <f>IFERROR(IF(Tabela1[[#This Row],[Nome fantasia]]="","",_xlfn.XLOOKUP($C133,Log!D:D,Log!B:B,,,-1)),"")</f>
        <v>45946</v>
      </c>
      <c r="O133" s="35" t="str">
        <f>IFERROR(_xlfn.XLOOKUP($C133,Log!D:D,Log!W:W,,,-1),"")</f>
        <v>FOLLOW UP 7</v>
      </c>
      <c r="P133" s="35" t="str">
        <f>IFERROR(_xlfn.XLOOKUP($C133,Log!D:D,Log!Y:Y,,,-1),"")</f>
        <v>MANDEI CAMPANHA</v>
      </c>
      <c r="Q133" s="130"/>
      <c r="R133" s="26">
        <f>IFERROR(IF(Tabela1[[#This Row],[Nome fantasia]]="","",_xlfn.XLOOKUP($C133,Log!D:D,Log!X:X,,,-1)),"")</f>
        <v>45957</v>
      </c>
    </row>
    <row r="134" spans="3:18" hidden="1" x14ac:dyDescent="0.2">
      <c r="C134" s="30" t="s">
        <v>1313</v>
      </c>
      <c r="D134" s="110" t="s">
        <v>1326</v>
      </c>
      <c r="E134" s="33" t="s">
        <v>22</v>
      </c>
      <c r="F134" s="38" t="s">
        <v>12</v>
      </c>
      <c r="G134" s="38" t="s">
        <v>933</v>
      </c>
      <c r="H134" s="31" t="s">
        <v>933</v>
      </c>
      <c r="I134" s="32" t="s">
        <v>933</v>
      </c>
      <c r="J134" s="32" t="s">
        <v>933</v>
      </c>
      <c r="K134" s="45" t="s">
        <v>888</v>
      </c>
      <c r="L134" s="129"/>
      <c r="M134" s="33" t="str">
        <f t="shared" si="2"/>
        <v>Recompra</v>
      </c>
      <c r="N134" s="34">
        <f>IFERROR(IF(Tabela1[[#This Row],[Nome fantasia]]="","",_xlfn.XLOOKUP($C134,Log!D:D,Log!B:B,,,-1)),"")</f>
        <v>45951</v>
      </c>
      <c r="O134" s="35" t="str">
        <f>IFERROR(_xlfn.XLOOKUP($C134,Log!D:D,Log!W:W,,,-1),"")</f>
        <v>FOLLOW UP 15</v>
      </c>
      <c r="P134" s="35" t="str">
        <f>IFERROR(_xlfn.XLOOKUP($C134,Log!D:D,Log!Y:Y,,,-1),"")</f>
        <v>MANDEI CAMPANHAS NOVAMENTE</v>
      </c>
      <c r="Q134" s="130"/>
      <c r="R134" s="26">
        <f>IFERROR(IF(Tabela1[[#This Row],[Nome fantasia]]="","",_xlfn.XLOOKUP($C134,Log!D:D,Log!X:X,,,-1)),"")</f>
        <v>45972</v>
      </c>
    </row>
    <row r="135" spans="3:18" hidden="1" x14ac:dyDescent="0.2">
      <c r="C135" s="30" t="s">
        <v>84</v>
      </c>
      <c r="D135" s="110" t="s">
        <v>85</v>
      </c>
      <c r="E135" s="33" t="s">
        <v>26</v>
      </c>
      <c r="F135" s="38" t="s">
        <v>18</v>
      </c>
      <c r="G135" s="38" t="s">
        <v>83</v>
      </c>
      <c r="H135" s="31">
        <v>1570.64</v>
      </c>
      <c r="I135" s="32">
        <v>40</v>
      </c>
      <c r="J135" s="32">
        <v>0</v>
      </c>
      <c r="K135" s="44" t="s">
        <v>741</v>
      </c>
      <c r="M135" s="33" t="str">
        <f t="shared" si="2"/>
        <v/>
      </c>
      <c r="N135" s="34">
        <f>IFERROR(IF(Tabela1[[#This Row],[Nome fantasia]]="","",_xlfn.XLOOKUP($C135,Log!D:D,Log!B:B,,,-1)),"")</f>
        <v>45897</v>
      </c>
      <c r="O135" s="35" t="str">
        <f>IFERROR(_xlfn.XLOOKUP($C135,Log!D:D,Log!W:W,,,-1),"")</f>
        <v>VENDA</v>
      </c>
      <c r="P135" s="35" t="str">
        <f>IFERROR(_xlfn.XLOOKUP($C135,Log!D:D,Log!Y:Y,,,-1),"")</f>
        <v xml:space="preserve">RECOMPRA </v>
      </c>
      <c r="R135" s="26">
        <f>IFERROR(IF(Tabela1[[#This Row],[Nome fantasia]]="","",_xlfn.XLOOKUP($C135,Log!D:D,Log!X:X,,,-1)),"")</f>
        <v>45960</v>
      </c>
    </row>
    <row r="136" spans="3:18" hidden="1" x14ac:dyDescent="0.2">
      <c r="C136" s="30" t="s">
        <v>1314</v>
      </c>
      <c r="D136" s="110" t="s">
        <v>1327</v>
      </c>
      <c r="E136" s="33" t="s">
        <v>22</v>
      </c>
      <c r="F136" s="38" t="s">
        <v>12</v>
      </c>
      <c r="G136" s="38" t="s">
        <v>933</v>
      </c>
      <c r="H136" s="31" t="s">
        <v>933</v>
      </c>
      <c r="I136" s="32" t="s">
        <v>933</v>
      </c>
      <c r="J136" s="32" t="s">
        <v>933</v>
      </c>
      <c r="K136" s="45" t="s">
        <v>888</v>
      </c>
      <c r="L136" s="129"/>
      <c r="M136" s="33" t="str">
        <f t="shared" si="2"/>
        <v>Recompra</v>
      </c>
      <c r="N136" s="34">
        <f>IFERROR(IF(Tabela1[[#This Row],[Nome fantasia]]="","",_xlfn.XLOOKUP($C136,Log!D:D,Log!B:B,,,-1)),"")</f>
        <v>45944</v>
      </c>
      <c r="O136" s="35" t="str">
        <f>IFERROR(_xlfn.XLOOKUP($C136,Log!D:D,Log!W:W,,,-1),"")</f>
        <v>SUPORTE</v>
      </c>
      <c r="P136" s="35" t="str">
        <f>IFERROR(_xlfn.XLOOKUP($C136,Log!D:D,Log!Y:Y,,,-1),"")</f>
        <v>CLIENTE JÁ COMPRA EM OUTRO CNPJ</v>
      </c>
      <c r="Q136" s="130"/>
      <c r="R136" s="26" t="str">
        <f>IFERROR(IF(Tabela1[[#This Row],[Nome fantasia]]="","",_xlfn.XLOOKUP($C136,Log!D:D,Log!X:X,,,-1)),"")</f>
        <v/>
      </c>
    </row>
    <row r="137" spans="3:18" hidden="1" x14ac:dyDescent="0.2">
      <c r="C137" s="30" t="s">
        <v>90</v>
      </c>
      <c r="D137" s="110" t="s">
        <v>91</v>
      </c>
      <c r="E137" s="33" t="s">
        <v>46</v>
      </c>
      <c r="F137" s="38" t="s">
        <v>32</v>
      </c>
      <c r="G137" s="38" t="s">
        <v>83</v>
      </c>
      <c r="H137" s="31">
        <v>876.13</v>
      </c>
      <c r="I137" s="32">
        <v>40</v>
      </c>
      <c r="J137" s="32">
        <v>63</v>
      </c>
      <c r="K137" s="44" t="s">
        <v>741</v>
      </c>
      <c r="M137" s="33" t="str">
        <f t="shared" si="2"/>
        <v>Recompra</v>
      </c>
      <c r="N137" s="34">
        <f>IFERROR(IF(Tabela1[[#This Row],[Nome fantasia]]="","",_xlfn.XLOOKUP($C137,Log!D:D,Log!B:B,,,-1)),"")</f>
        <v>45897</v>
      </c>
      <c r="O137" s="35" t="str">
        <f>IFERROR(_xlfn.XLOOKUP($C137,Log!D:D,Log!W:W,,,-1),"")</f>
        <v>VENDA</v>
      </c>
      <c r="P137" s="35" t="str">
        <f>IFERROR(_xlfn.XLOOKUP($C137,Log!D:D,Log!Y:Y,,,-1),"")</f>
        <v xml:space="preserve">RECOMPRA </v>
      </c>
      <c r="R137" s="26">
        <f>IFERROR(IF(Tabela1[[#This Row],[Nome fantasia]]="","",_xlfn.XLOOKUP($C137,Log!D:D,Log!X:X,,,-1)),"")</f>
        <v>45960</v>
      </c>
    </row>
    <row r="138" spans="3:18" hidden="1" x14ac:dyDescent="0.2">
      <c r="C138" s="30" t="s">
        <v>1315</v>
      </c>
      <c r="D138" s="110" t="s">
        <v>1328</v>
      </c>
      <c r="E138" s="33" t="s">
        <v>22</v>
      </c>
      <c r="F138" s="38" t="s">
        <v>12</v>
      </c>
      <c r="G138" s="38" t="s">
        <v>933</v>
      </c>
      <c r="H138" s="31" t="s">
        <v>933</v>
      </c>
      <c r="I138" s="32" t="s">
        <v>933</v>
      </c>
      <c r="J138" s="32" t="s">
        <v>933</v>
      </c>
      <c r="K138" s="45" t="s">
        <v>888</v>
      </c>
      <c r="L138" s="129"/>
      <c r="M138" s="33" t="str">
        <f t="shared" si="2"/>
        <v>Recompra</v>
      </c>
      <c r="N138" s="34">
        <f>IFERROR(IF(Tabela1[[#This Row],[Nome fantasia]]="","",_xlfn.XLOOKUP($C138,Log!D:D,Log!B:B,,,-1)),"")</f>
        <v>45944</v>
      </c>
      <c r="O138" s="35" t="str">
        <f>IFERROR(_xlfn.XLOOKUP($C138,Log!D:D,Log!W:W,,,-1),"")</f>
        <v>FOLLOW UP 7</v>
      </c>
      <c r="P138" s="35" t="str">
        <f>IFERROR(_xlfn.XLOOKUP($C138,Log!D:D,Log!Y:Y,,,-1),"")</f>
        <v>NÃO ESTA ENTRANDO MENSAGEM, FEITO TENTATIVA DE CONTATO</v>
      </c>
      <c r="Q138" s="130"/>
      <c r="R138" s="26">
        <f>IFERROR(IF(Tabela1[[#This Row],[Nome fantasia]]="","",_xlfn.XLOOKUP($C138,Log!D:D,Log!X:X,,,-1)),"")</f>
        <v>45953</v>
      </c>
    </row>
    <row r="139" spans="3:18" hidden="1" x14ac:dyDescent="0.2">
      <c r="C139" s="30" t="s">
        <v>1010</v>
      </c>
      <c r="D139" s="110" t="s">
        <v>1011</v>
      </c>
      <c r="E139" s="33" t="s">
        <v>11</v>
      </c>
      <c r="F139" s="38" t="s">
        <v>12</v>
      </c>
      <c r="G139" s="38" t="s">
        <v>933</v>
      </c>
      <c r="H139" s="31" t="s">
        <v>933</v>
      </c>
      <c r="I139" s="32" t="s">
        <v>933</v>
      </c>
      <c r="J139" s="32" t="s">
        <v>933</v>
      </c>
      <c r="K139" s="45" t="s">
        <v>888</v>
      </c>
      <c r="L139" s="129"/>
      <c r="M139" s="33" t="str">
        <f t="shared" si="2"/>
        <v>Recompra</v>
      </c>
      <c r="N139" s="34">
        <f>IFERROR(IF(Tabela1[[#This Row],[Nome fantasia]]="","",_xlfn.XLOOKUP($C139,Log!D:D,Log!B:B,,,-1)),"")</f>
        <v>45944</v>
      </c>
      <c r="O139" s="35" t="str">
        <f>IFERROR(_xlfn.XLOOKUP($C139,Log!D:D,Log!W:W,,,-1),"")</f>
        <v>FOLLOW UP 15</v>
      </c>
      <c r="P139" s="35" t="str">
        <f>IFERROR(_xlfn.XLOOKUP($C139,Log!D:D,Log!Y:Y,,,-1),"")</f>
        <v>AINDA NÃO TEVE RETORNO DO CLIENTE DELA</v>
      </c>
      <c r="Q139" s="130"/>
      <c r="R139" s="26">
        <f>IFERROR(IF(Tabela1[[#This Row],[Nome fantasia]]="","",_xlfn.XLOOKUP($C139,Log!D:D,Log!X:X,,,-1)),"")</f>
        <v>45965</v>
      </c>
    </row>
    <row r="140" spans="3:18" hidden="1" x14ac:dyDescent="0.2">
      <c r="C140" s="30" t="s">
        <v>1339</v>
      </c>
      <c r="D140" s="110" t="s">
        <v>1340</v>
      </c>
      <c r="E140" s="33" t="s">
        <v>17</v>
      </c>
      <c r="F140" s="38" t="s">
        <v>12</v>
      </c>
      <c r="G140" s="38" t="s">
        <v>933</v>
      </c>
      <c r="H140" s="31" t="s">
        <v>933</v>
      </c>
      <c r="I140" s="32" t="s">
        <v>933</v>
      </c>
      <c r="J140" s="32" t="s">
        <v>933</v>
      </c>
      <c r="K140" s="45" t="s">
        <v>888</v>
      </c>
      <c r="L140" s="129"/>
      <c r="M140" s="33" t="str">
        <f t="shared" si="2"/>
        <v>Recompra</v>
      </c>
      <c r="N140" s="34">
        <f>IFERROR(IF(Tabela1[[#This Row],[Nome fantasia]]="","",_xlfn.XLOOKUP($C140,Log!D:D,Log!B:B,,,-1)),"")</f>
        <v>45944</v>
      </c>
      <c r="O140" s="35" t="str">
        <f>IFERROR(_xlfn.XLOOKUP($C140,Log!D:D,Log!W:W,,,-1),"")</f>
        <v>FOLLOW UP 7</v>
      </c>
      <c r="P140" s="35" t="str">
        <f>IFERROR(_xlfn.XLOOKUP($C140,Log!D:D,Log!Y:Y,,,-1),"")</f>
        <v>AGUARDANDO RETORNO</v>
      </c>
      <c r="Q140" s="130"/>
      <c r="R140" s="26">
        <f>IFERROR(IF(Tabela1[[#This Row],[Nome fantasia]]="","",_xlfn.XLOOKUP($C140,Log!D:D,Log!X:X,,,-1)),"")</f>
        <v>45953</v>
      </c>
    </row>
    <row r="141" spans="3:18" hidden="1" x14ac:dyDescent="0.2">
      <c r="C141" s="30" t="s">
        <v>216</v>
      </c>
      <c r="D141" s="110" t="s">
        <v>217</v>
      </c>
      <c r="E141" s="33" t="s">
        <v>11</v>
      </c>
      <c r="F141" s="38" t="s">
        <v>12</v>
      </c>
      <c r="G141" s="38" t="s">
        <v>205</v>
      </c>
      <c r="H141" s="31">
        <v>1341.15</v>
      </c>
      <c r="I141" s="32">
        <v>55</v>
      </c>
      <c r="J141" s="32">
        <v>0</v>
      </c>
      <c r="K141" s="44" t="s">
        <v>741</v>
      </c>
      <c r="M141" s="33" t="str">
        <f t="shared" si="2"/>
        <v/>
      </c>
      <c r="N141" s="34">
        <f>IFERROR(IF(Tabela1[[#This Row],[Nome fantasia]]="","",_xlfn.XLOOKUP($C141,Log!D:D,Log!B:B,,,-1)),"")</f>
        <v>45882</v>
      </c>
      <c r="O141" s="35" t="str">
        <f>IFERROR(_xlfn.XLOOKUP($C141,Log!D:D,Log!W:W,,,-1),"")</f>
        <v>VENDA</v>
      </c>
      <c r="P141" s="35" t="str">
        <f>IFERROR(_xlfn.XLOOKUP($C141,Log!D:D,Log!Y:Y,,,-1),"")</f>
        <v xml:space="preserve">RECOMPRA </v>
      </c>
      <c r="R141" s="26">
        <f>IFERROR(IF(Tabela1[[#This Row],[Nome fantasia]]="","",_xlfn.XLOOKUP($C141,Log!D:D,Log!X:X,,,-1)),"")</f>
        <v>45945</v>
      </c>
    </row>
    <row r="142" spans="3:18" hidden="1" x14ac:dyDescent="0.2">
      <c r="C142" s="30" t="s">
        <v>192</v>
      </c>
      <c r="D142" s="110" t="s">
        <v>193</v>
      </c>
      <c r="E142" s="33" t="s">
        <v>17</v>
      </c>
      <c r="F142" s="38" t="s">
        <v>12</v>
      </c>
      <c r="G142" s="38" t="s">
        <v>185</v>
      </c>
      <c r="H142" s="31">
        <v>2105.6</v>
      </c>
      <c r="I142" s="123">
        <v>53</v>
      </c>
      <c r="J142" s="32">
        <v>0</v>
      </c>
      <c r="K142" s="44" t="s">
        <v>741</v>
      </c>
      <c r="M142" s="33" t="str">
        <f t="shared" si="2"/>
        <v/>
      </c>
      <c r="N142" s="34">
        <f>IFERROR(IF(Tabela1[[#This Row],[Nome fantasia]]="","",_xlfn.XLOOKUP($C142,Log!D:D,Log!B:B,,,-1)),"")</f>
        <v>46006</v>
      </c>
      <c r="O142" s="35" t="str">
        <f>IFERROR(_xlfn.XLOOKUP($C142,Log!D:D,Log!W:W,,,-1),"")</f>
        <v>FOLLOW UP 15</v>
      </c>
      <c r="P142" s="35" t="str">
        <f>IFERROR(_xlfn.XLOOKUP($C142,Log!D:D,Log!Y:Y,,,-1),"")</f>
        <v>FEITO CONTATO PARA POSSIVEL RECOMPRA</v>
      </c>
      <c r="R142" s="26">
        <f>IFERROR(IF(Tabela1[[#This Row],[Nome fantasia]]="","",_xlfn.XLOOKUP($C142,Log!D:D,Log!X:X,,,-1)),"")</f>
        <v>46027</v>
      </c>
    </row>
    <row r="143" spans="3:18" hidden="1" x14ac:dyDescent="0.2">
      <c r="C143" s="30" t="s">
        <v>199</v>
      </c>
      <c r="D143" s="110" t="s">
        <v>200</v>
      </c>
      <c r="E143" s="33" t="s">
        <v>22</v>
      </c>
      <c r="F143" s="38" t="s">
        <v>12</v>
      </c>
      <c r="G143" s="38" t="s">
        <v>198</v>
      </c>
      <c r="H143" s="31">
        <v>653</v>
      </c>
      <c r="I143" s="123">
        <v>54</v>
      </c>
      <c r="J143" s="32">
        <v>0</v>
      </c>
      <c r="K143" s="44" t="s">
        <v>741</v>
      </c>
      <c r="M143" s="33" t="str">
        <f t="shared" si="2"/>
        <v/>
      </c>
      <c r="N143" s="34">
        <f>IFERROR(IF(Tabela1[[#This Row],[Nome fantasia]]="","",_xlfn.XLOOKUP($C143,Log!D:D,Log!B:B,,,-1)),"")</f>
        <v>45950</v>
      </c>
      <c r="O143" s="35" t="str">
        <f>IFERROR(_xlfn.XLOOKUP($C143,Log!D:D,Log!W:W,,,-1),"")</f>
        <v>FOLLOW UP 15</v>
      </c>
      <c r="P143" s="35" t="str">
        <f>IFERROR(_xlfn.XLOOKUP($C143,Log!D:D,Log!Y:Y,,,-1),"")</f>
        <v>CLIENTE É MUITO PEQUENO AINDA TEM PRODUTO</v>
      </c>
      <c r="R143" s="26">
        <f>IFERROR(IF(Tabela1[[#This Row],[Nome fantasia]]="","",_xlfn.XLOOKUP($C143,Log!D:D,Log!X:X,,,-1)),"")</f>
        <v>45971</v>
      </c>
    </row>
    <row r="144" spans="3:18" hidden="1" x14ac:dyDescent="0.2">
      <c r="C144" s="30" t="s">
        <v>201</v>
      </c>
      <c r="D144" s="110" t="s">
        <v>202</v>
      </c>
      <c r="E144" s="33" t="s">
        <v>46</v>
      </c>
      <c r="F144" s="38" t="s">
        <v>12</v>
      </c>
      <c r="G144" s="38" t="s">
        <v>198</v>
      </c>
      <c r="H144" s="31">
        <v>2505.4299999999998</v>
      </c>
      <c r="I144" s="123">
        <v>54</v>
      </c>
      <c r="J144" s="32">
        <v>0</v>
      </c>
      <c r="K144" s="44" t="s">
        <v>741</v>
      </c>
      <c r="M144" s="33" t="str">
        <f t="shared" si="2"/>
        <v/>
      </c>
      <c r="N144" s="34">
        <f>IFERROR(IF(Tabela1[[#This Row],[Nome fantasia]]="","",_xlfn.XLOOKUP($C144,Log!D:D,Log!B:B,,,-1)),"")</f>
        <v>45993</v>
      </c>
      <c r="O144" s="35" t="str">
        <f>IFERROR(_xlfn.XLOOKUP($C144,Log!D:D,Log!W:W,,,-1),"")</f>
        <v>EM ATENDIMENTO</v>
      </c>
      <c r="P144" s="35" t="str">
        <f>IFERROR(_xlfn.XLOOKUP($C144,Log!D:D,Log!Y:Y,,,-1),"")</f>
        <v>PRECISO SABER O DIA DE COMPRA</v>
      </c>
      <c r="R144" s="26">
        <f>IFERROR(IF(Tabela1[[#This Row],[Nome fantasia]]="","",_xlfn.XLOOKUP($C144,Log!D:D,Log!X:X,,,-1)),"")</f>
        <v>45995</v>
      </c>
    </row>
    <row r="145" spans="3:18" hidden="1" x14ac:dyDescent="0.2">
      <c r="C145" s="30" t="s">
        <v>186</v>
      </c>
      <c r="D145" s="110" t="s">
        <v>187</v>
      </c>
      <c r="E145" s="33" t="s">
        <v>46</v>
      </c>
      <c r="F145" s="38" t="s">
        <v>12</v>
      </c>
      <c r="G145" s="38" t="s">
        <v>1143</v>
      </c>
      <c r="H145" s="31">
        <v>1354.15</v>
      </c>
      <c r="I145" s="32">
        <v>12</v>
      </c>
      <c r="J145" s="32">
        <v>41</v>
      </c>
      <c r="K145" s="44" t="s">
        <v>741</v>
      </c>
      <c r="M145" s="33" t="str">
        <f t="shared" si="2"/>
        <v>Recompra</v>
      </c>
      <c r="N145" s="34">
        <f>IFERROR(IF(Tabela1[[#This Row],[Nome fantasia]]="","",_xlfn.XLOOKUP($C145,Log!D:D,Log!B:B,,,-1)),"")</f>
        <v>45951</v>
      </c>
      <c r="O145" s="35" t="str">
        <f>IFERROR(_xlfn.XLOOKUP($C145,Log!D:D,Log!W:W,,,-1),"")</f>
        <v>EM ATENDIMENTO</v>
      </c>
      <c r="P145" s="35" t="str">
        <f>IFERROR(_xlfn.XLOOKUP($C145,Log!D:D,Log!Y:Y,,,-1),"")</f>
        <v>ENTRANDO EM CONTATO NOVAMENTE COM A CLIENTE !</v>
      </c>
      <c r="R145" s="26">
        <f>IFERROR(IF(Tabela1[[#This Row],[Nome fantasia]]="","",_xlfn.XLOOKUP($C145,Log!D:D,Log!X:X,,,-1)),"")</f>
        <v>45953</v>
      </c>
    </row>
    <row r="146" spans="3:18" hidden="1" x14ac:dyDescent="0.2">
      <c r="C146" s="30" t="s">
        <v>109</v>
      </c>
      <c r="D146" s="110" t="s">
        <v>110</v>
      </c>
      <c r="E146" s="33" t="s">
        <v>46</v>
      </c>
      <c r="F146" s="38" t="s">
        <v>32</v>
      </c>
      <c r="G146" s="38" t="s">
        <v>1135</v>
      </c>
      <c r="H146" s="31">
        <v>774.24</v>
      </c>
      <c r="I146" s="32">
        <v>8</v>
      </c>
      <c r="J146" s="32">
        <v>34</v>
      </c>
      <c r="K146" s="44" t="s">
        <v>741</v>
      </c>
      <c r="M146" s="33" t="str">
        <f t="shared" si="2"/>
        <v>Recompra</v>
      </c>
      <c r="N146" s="34">
        <f>IFERROR(IF(Tabela1[[#This Row],[Nome fantasia]]="","",_xlfn.XLOOKUP($C146,Log!D:D,Log!B:B,,,-1)),"")</f>
        <v>45895</v>
      </c>
      <c r="O146" s="35" t="str">
        <f>IFERROR(_xlfn.XLOOKUP($C146,Log!D:D,Log!W:W,,,-1),"")</f>
        <v>VENDA</v>
      </c>
      <c r="P146" s="35" t="str">
        <f>IFERROR(_xlfn.XLOOKUP($C146,Log!D:D,Log!Y:Y,,,-1),"")</f>
        <v xml:space="preserve">RECOMPRA </v>
      </c>
      <c r="R146" s="26">
        <f>IFERROR(IF(Tabela1[[#This Row],[Nome fantasia]]="","",_xlfn.XLOOKUP($C146,Log!D:D,Log!X:X,,,-1)),"")</f>
        <v>45958</v>
      </c>
    </row>
    <row r="147" spans="3:18" hidden="1" x14ac:dyDescent="0.2">
      <c r="C147" s="30" t="s">
        <v>112</v>
      </c>
      <c r="D147" s="110" t="s">
        <v>113</v>
      </c>
      <c r="E147" s="33" t="s">
        <v>46</v>
      </c>
      <c r="F147" s="38" t="s">
        <v>32</v>
      </c>
      <c r="G147" s="38" t="s">
        <v>1135</v>
      </c>
      <c r="H147" s="31">
        <v>1304.1500000000001</v>
      </c>
      <c r="I147" s="32">
        <v>8</v>
      </c>
      <c r="J147" s="32">
        <v>44.333300000000001</v>
      </c>
      <c r="K147" s="44" t="s">
        <v>741</v>
      </c>
      <c r="M147" s="33" t="str">
        <f t="shared" si="2"/>
        <v>Recompra</v>
      </c>
      <c r="N147" s="34">
        <f>IFERROR(IF(Tabela1[[#This Row],[Nome fantasia]]="","",_xlfn.XLOOKUP($C147,Log!D:D,Log!B:B,,,-1)),"")</f>
        <v>45895</v>
      </c>
      <c r="O147" s="35" t="str">
        <f>IFERROR(_xlfn.XLOOKUP($C147,Log!D:D,Log!W:W,,,-1),"")</f>
        <v>VENDA</v>
      </c>
      <c r="P147" s="35" t="str">
        <f>IFERROR(_xlfn.XLOOKUP($C147,Log!D:D,Log!Y:Y,,,-1),"")</f>
        <v xml:space="preserve">RECOMPRA </v>
      </c>
      <c r="R147" s="26">
        <f>IFERROR(IF(Tabela1[[#This Row],[Nome fantasia]]="","",_xlfn.XLOOKUP($C147,Log!D:D,Log!X:X,,,-1)),"")</f>
        <v>45958</v>
      </c>
    </row>
    <row r="148" spans="3:18" hidden="1" x14ac:dyDescent="0.2">
      <c r="C148" s="30" t="s">
        <v>114</v>
      </c>
      <c r="D148" s="110" t="s">
        <v>115</v>
      </c>
      <c r="E148" s="33" t="s">
        <v>46</v>
      </c>
      <c r="F148" s="38" t="s">
        <v>32</v>
      </c>
      <c r="G148" s="38" t="s">
        <v>1135</v>
      </c>
      <c r="H148" s="31">
        <v>2074.89</v>
      </c>
      <c r="I148" s="32">
        <v>8</v>
      </c>
      <c r="J148" s="32">
        <v>27.5</v>
      </c>
      <c r="K148" s="44" t="s">
        <v>741</v>
      </c>
      <c r="M148" s="33" t="str">
        <f t="shared" si="2"/>
        <v>Recompra</v>
      </c>
      <c r="N148" s="34">
        <f>IFERROR(IF(Tabela1[[#This Row],[Nome fantasia]]="","",_xlfn.XLOOKUP($C148,Log!D:D,Log!B:B,,,-1)),"")</f>
        <v>45895</v>
      </c>
      <c r="O148" s="35" t="str">
        <f>IFERROR(_xlfn.XLOOKUP($C148,Log!D:D,Log!W:W,,,-1),"")</f>
        <v>VENDA</v>
      </c>
      <c r="P148" s="35" t="str">
        <f>IFERROR(_xlfn.XLOOKUP($C148,Log!D:D,Log!Y:Y,,,-1),"")</f>
        <v xml:space="preserve">RECOMPRA </v>
      </c>
      <c r="R148" s="26">
        <f>IFERROR(IF(Tabela1[[#This Row],[Nome fantasia]]="","",_xlfn.XLOOKUP($C148,Log!D:D,Log!X:X,,,-1)),"")</f>
        <v>45958</v>
      </c>
    </row>
    <row r="149" spans="3:18" hidden="1" x14ac:dyDescent="0.2">
      <c r="C149" s="30" t="s">
        <v>97</v>
      </c>
      <c r="D149" s="110" t="s">
        <v>98</v>
      </c>
      <c r="E149" s="33" t="s">
        <v>36</v>
      </c>
      <c r="F149" s="38" t="s">
        <v>12</v>
      </c>
      <c r="G149" s="38" t="s">
        <v>96</v>
      </c>
      <c r="H149" s="31">
        <v>1490.4</v>
      </c>
      <c r="I149" s="32">
        <v>41</v>
      </c>
      <c r="J149" s="32">
        <v>72</v>
      </c>
      <c r="K149" s="44" t="s">
        <v>741</v>
      </c>
      <c r="M149" s="33" t="str">
        <f t="shared" si="2"/>
        <v>Recompra</v>
      </c>
      <c r="N149" s="34">
        <f>IFERROR(IF(Tabela1[[#This Row],[Nome fantasia]]="","",_xlfn.XLOOKUP($C149,Log!D:D,Log!B:B,,,-1)),"")</f>
        <v>45926</v>
      </c>
      <c r="O149" s="35" t="str">
        <f>IFERROR(_xlfn.XLOOKUP($C149,Log!D:D,Log!W:W,,,-1),"")</f>
        <v>FOLLOW UP 15</v>
      </c>
      <c r="P149" s="35" t="str">
        <f>IFERROR(_xlfn.XLOOKUP($C149,Log!D:D,Log!Y:Y,,,-1),"")</f>
        <v>CLIENTE DE TAMARAS</v>
      </c>
      <c r="R149" s="26">
        <f>IFERROR(IF(Tabela1[[#This Row],[Nome fantasia]]="","",_xlfn.XLOOKUP($C149,Log!D:D,Log!X:X,,,-1)),"")</f>
        <v>45947</v>
      </c>
    </row>
    <row r="150" spans="3:18" hidden="1" x14ac:dyDescent="0.2">
      <c r="C150" s="30" t="s">
        <v>188</v>
      </c>
      <c r="D150" s="110" t="s">
        <v>189</v>
      </c>
      <c r="E150" s="33" t="s">
        <v>22</v>
      </c>
      <c r="F150" s="38" t="s">
        <v>12</v>
      </c>
      <c r="G150" s="38" t="s">
        <v>185</v>
      </c>
      <c r="H150" s="31">
        <v>940.5</v>
      </c>
      <c r="I150" s="123">
        <v>53</v>
      </c>
      <c r="J150" s="32">
        <v>33.799999999999997</v>
      </c>
      <c r="K150" s="44" t="s">
        <v>741</v>
      </c>
      <c r="M150" s="33" t="str">
        <f t="shared" si="2"/>
        <v>Recompra</v>
      </c>
      <c r="N150" s="34">
        <f>IFERROR(IF(Tabela1[[#This Row],[Nome fantasia]]="","",_xlfn.XLOOKUP($C150,Log!D:D,Log!B:B,,,-1)),"")</f>
        <v>45946</v>
      </c>
      <c r="O150" s="35" t="str">
        <f>IFERROR(_xlfn.XLOOKUP($C150,Log!D:D,Log!W:W,,,-1),"")</f>
        <v>FOLLOW UP 15</v>
      </c>
      <c r="P150" s="35" t="str">
        <f>IFERROR(_xlfn.XLOOKUP($C150,Log!D:D,Log!Y:Y,,,-1),"")</f>
        <v>CLIENTE ACHOU MUITO CARO, POIS COMPROU COM MUITO DESCONTO</v>
      </c>
      <c r="R150" s="26">
        <f>IFERROR(IF(Tabela1[[#This Row],[Nome fantasia]]="","",_xlfn.XLOOKUP($C150,Log!D:D,Log!X:X,,,-1)),"")</f>
        <v>45967</v>
      </c>
    </row>
    <row r="151" spans="3:18" hidden="1" x14ac:dyDescent="0.2">
      <c r="C151" s="30" t="s">
        <v>121</v>
      </c>
      <c r="D151" s="110" t="s">
        <v>122</v>
      </c>
      <c r="E151" s="33" t="s">
        <v>17</v>
      </c>
      <c r="F151" s="38" t="s">
        <v>32</v>
      </c>
      <c r="G151" s="38" t="s">
        <v>111</v>
      </c>
      <c r="H151" s="31">
        <v>924.68</v>
      </c>
      <c r="I151" s="32">
        <v>42</v>
      </c>
      <c r="J151" s="32">
        <v>0</v>
      </c>
      <c r="K151" s="44" t="s">
        <v>741</v>
      </c>
      <c r="M151" s="33" t="str">
        <f t="shared" si="2"/>
        <v/>
      </c>
      <c r="N151" s="34">
        <f>IFERROR(IF(Tabela1[[#This Row],[Nome fantasia]]="","",_xlfn.XLOOKUP($C151,Log!D:D,Log!B:B,,,-1)),"")</f>
        <v>45895</v>
      </c>
      <c r="O151" s="35" t="str">
        <f>IFERROR(_xlfn.XLOOKUP($C151,Log!D:D,Log!W:W,,,-1),"")</f>
        <v>VENDA</v>
      </c>
      <c r="P151" s="35" t="str">
        <f>IFERROR(_xlfn.XLOOKUP($C151,Log!D:D,Log!Y:Y,,,-1),"")</f>
        <v xml:space="preserve">RECOMPRA </v>
      </c>
      <c r="R151" s="26">
        <f>IFERROR(IF(Tabela1[[#This Row],[Nome fantasia]]="","",_xlfn.XLOOKUP($C151,Log!D:D,Log!X:X,,,-1)),"")</f>
        <v>45958</v>
      </c>
    </row>
    <row r="152" spans="3:18" hidden="1" x14ac:dyDescent="0.2">
      <c r="C152" s="30" t="s">
        <v>107</v>
      </c>
      <c r="D152" s="110" t="s">
        <v>108</v>
      </c>
      <c r="E152" s="33" t="s">
        <v>46</v>
      </c>
      <c r="F152" s="38" t="s">
        <v>12</v>
      </c>
      <c r="G152" s="38" t="s">
        <v>96</v>
      </c>
      <c r="H152" s="31">
        <v>2161.62</v>
      </c>
      <c r="I152" s="123">
        <v>41</v>
      </c>
      <c r="J152" s="32">
        <v>0</v>
      </c>
      <c r="K152" s="44" t="s">
        <v>741</v>
      </c>
      <c r="M152" s="33" t="str">
        <f t="shared" si="2"/>
        <v/>
      </c>
      <c r="N152" s="34">
        <f>IFERROR(IF(Tabela1[[#This Row],[Nome fantasia]]="","",_xlfn.XLOOKUP($C152,Log!D:D,Log!B:B,,,-1)),"")</f>
        <v>46000</v>
      </c>
      <c r="O152" s="35" t="str">
        <f>IFERROR(_xlfn.XLOOKUP($C152,Log!D:D,Log!W:W,,,-1),"")</f>
        <v>SUPORTE</v>
      </c>
      <c r="P152" s="35" t="str">
        <f>IFERROR(_xlfn.XLOOKUP($C152,Log!D:D,Log!Y:Y,,,-1),"")</f>
        <v>MERCADORIA CHEGOU HOJE, E VENCIMENTO DO BOLETO ESTA PARA DIA 17/12 CLIENTE PEDIU PARA ARRUMAR PRAZO</v>
      </c>
      <c r="R152" s="26" t="str">
        <f>IFERROR(IF(Tabela1[[#This Row],[Nome fantasia]]="","",_xlfn.XLOOKUP($C152,Log!D:D,Log!X:X,,,-1)),"")</f>
        <v/>
      </c>
    </row>
    <row r="153" spans="3:18" hidden="1" x14ac:dyDescent="0.2">
      <c r="C153" s="30" t="s">
        <v>171</v>
      </c>
      <c r="D153" s="110" t="s">
        <v>172</v>
      </c>
      <c r="E153" s="33" t="s">
        <v>22</v>
      </c>
      <c r="F153" s="38" t="s">
        <v>12</v>
      </c>
      <c r="G153" s="38" t="s">
        <v>170</v>
      </c>
      <c r="H153" s="31">
        <v>684.92</v>
      </c>
      <c r="I153" s="123">
        <v>48</v>
      </c>
      <c r="J153" s="32">
        <v>0</v>
      </c>
      <c r="K153" s="44" t="s">
        <v>741</v>
      </c>
      <c r="M153" s="33" t="str">
        <f t="shared" si="2"/>
        <v/>
      </c>
      <c r="N153" s="34">
        <f>IFERROR(IF(Tabela1[[#This Row],[Nome fantasia]]="","",_xlfn.XLOOKUP($C153,Log!D:D,Log!B:B,,,-1)),"")</f>
        <v>45946</v>
      </c>
      <c r="O153" s="35" t="str">
        <f>IFERROR(_xlfn.XLOOKUP($C153,Log!D:D,Log!W:W,,,-1),"")</f>
        <v>FOLLOW UP 7</v>
      </c>
      <c r="P153" s="35" t="str">
        <f>IFERROR(_xlfn.XLOOKUP($C153,Log!D:D,Log!Y:Y,,,-1),"")</f>
        <v>CLIENTE NÃO RESPONDE MAIS</v>
      </c>
      <c r="R153" s="26">
        <f>IFERROR(IF(Tabela1[[#This Row],[Nome fantasia]]="","",_xlfn.XLOOKUP($C153,Log!D:D,Log!X:X,,,-1)),"")</f>
        <v>45957</v>
      </c>
    </row>
    <row r="154" spans="3:18" hidden="1" x14ac:dyDescent="0.2">
      <c r="C154" s="30" t="s">
        <v>331</v>
      </c>
      <c r="D154" s="110" t="s">
        <v>332</v>
      </c>
      <c r="E154" s="33" t="s">
        <v>17</v>
      </c>
      <c r="F154" s="38" t="s">
        <v>12</v>
      </c>
      <c r="G154" s="38" t="s">
        <v>333</v>
      </c>
      <c r="H154" s="31">
        <v>859.97</v>
      </c>
      <c r="I154" s="32">
        <v>71</v>
      </c>
      <c r="J154" s="32">
        <v>125</v>
      </c>
      <c r="K154" s="44" t="s">
        <v>741</v>
      </c>
      <c r="M154" s="33" t="str">
        <f t="shared" si="2"/>
        <v>Recompra</v>
      </c>
      <c r="N154" s="34">
        <f>IFERROR(IF(Tabela1[[#This Row],[Nome fantasia]]="","",_xlfn.XLOOKUP($C154,Log!D:D,Log!B:B,,,-1)),"")</f>
        <v>45951</v>
      </c>
      <c r="O154" s="35" t="str">
        <f>IFERROR(_xlfn.XLOOKUP($C154,Log!D:D,Log!W:W,,,-1),"")</f>
        <v>EM ATENDIMENTO</v>
      </c>
      <c r="P154" s="35" t="str">
        <f>IFERROR(_xlfn.XLOOKUP($C154,Log!D:D,Log!Y:Y,,,-1),"")</f>
        <v>ENTRANDO EM CONTATO NOVAMENTE COM A CLIENTE !</v>
      </c>
      <c r="R154" s="26">
        <f>IFERROR(IF(Tabela1[[#This Row],[Nome fantasia]]="","",_xlfn.XLOOKUP($C154,Log!D:D,Log!X:X,,,-1)),"")</f>
        <v>45953</v>
      </c>
    </row>
    <row r="155" spans="3:18" hidden="1" x14ac:dyDescent="0.2">
      <c r="C155" s="30" t="s">
        <v>129</v>
      </c>
      <c r="D155" s="110" t="s">
        <v>130</v>
      </c>
      <c r="E155" s="33" t="s">
        <v>46</v>
      </c>
      <c r="F155" s="38" t="s">
        <v>32</v>
      </c>
      <c r="G155" s="38" t="s">
        <v>1135</v>
      </c>
      <c r="H155" s="31">
        <v>1347.96</v>
      </c>
      <c r="I155" s="32">
        <v>8</v>
      </c>
      <c r="J155" s="32">
        <v>27.5</v>
      </c>
      <c r="K155" s="44" t="s">
        <v>741</v>
      </c>
      <c r="M155" s="33" t="str">
        <f t="shared" si="2"/>
        <v>Recompra</v>
      </c>
      <c r="N155" s="34">
        <f>IFERROR(IF(Tabela1[[#This Row],[Nome fantasia]]="","",_xlfn.XLOOKUP($C155,Log!D:D,Log!B:B,,,-1)),"")</f>
        <v>45894</v>
      </c>
      <c r="O155" s="35" t="str">
        <f>IFERROR(_xlfn.XLOOKUP($C155,Log!D:D,Log!W:W,,,-1),"")</f>
        <v>VENDA</v>
      </c>
      <c r="P155" s="35" t="str">
        <f>IFERROR(_xlfn.XLOOKUP($C155,Log!D:D,Log!Y:Y,,,-1),"")</f>
        <v xml:space="preserve">RECOMPRA </v>
      </c>
      <c r="R155" s="26">
        <f>IFERROR(IF(Tabela1[[#This Row],[Nome fantasia]]="","",_xlfn.XLOOKUP($C155,Log!D:D,Log!X:X,,,-1)),"")</f>
        <v>45957</v>
      </c>
    </row>
    <row r="156" spans="3:18" hidden="1" x14ac:dyDescent="0.2">
      <c r="C156" s="30" t="s">
        <v>132</v>
      </c>
      <c r="D156" s="110" t="s">
        <v>133</v>
      </c>
      <c r="E156" s="33" t="s">
        <v>46</v>
      </c>
      <c r="F156" s="38" t="s">
        <v>32</v>
      </c>
      <c r="G156" s="38" t="s">
        <v>131</v>
      </c>
      <c r="H156" s="31">
        <v>1377.68</v>
      </c>
      <c r="I156" s="32">
        <v>43</v>
      </c>
      <c r="J156" s="32">
        <v>61.5</v>
      </c>
      <c r="K156" s="44" t="s">
        <v>741</v>
      </c>
      <c r="M156" s="33" t="str">
        <f t="shared" si="2"/>
        <v>Recompra</v>
      </c>
      <c r="N156" s="34">
        <f>IFERROR(IF(Tabela1[[#This Row],[Nome fantasia]]="","",_xlfn.XLOOKUP($C156,Log!D:D,Log!B:B,,,-1)),"")</f>
        <v>45894</v>
      </c>
      <c r="O156" s="35" t="str">
        <f>IFERROR(_xlfn.XLOOKUP($C156,Log!D:D,Log!W:W,,,-1),"")</f>
        <v>VENDA</v>
      </c>
      <c r="P156" s="35" t="str">
        <f>IFERROR(_xlfn.XLOOKUP($C156,Log!D:D,Log!Y:Y,,,-1),"")</f>
        <v xml:space="preserve">RECOMPRA </v>
      </c>
      <c r="R156" s="26">
        <f>IFERROR(IF(Tabela1[[#This Row],[Nome fantasia]]="","",_xlfn.XLOOKUP($C156,Log!D:D,Log!X:X,,,-1)),"")</f>
        <v>45957</v>
      </c>
    </row>
    <row r="157" spans="3:18" hidden="1" x14ac:dyDescent="0.2">
      <c r="C157" s="30" t="s">
        <v>134</v>
      </c>
      <c r="D157" s="110" t="s">
        <v>135</v>
      </c>
      <c r="E157" s="33" t="s">
        <v>46</v>
      </c>
      <c r="F157" s="38" t="s">
        <v>32</v>
      </c>
      <c r="G157" s="38" t="s">
        <v>131</v>
      </c>
      <c r="H157" s="31">
        <v>2303.38</v>
      </c>
      <c r="I157" s="32">
        <v>43</v>
      </c>
      <c r="J157" s="32">
        <v>77</v>
      </c>
      <c r="K157" s="44" t="s">
        <v>741</v>
      </c>
      <c r="M157" s="33" t="str">
        <f t="shared" si="2"/>
        <v>Recompra</v>
      </c>
      <c r="N157" s="34">
        <f>IFERROR(IF(Tabela1[[#This Row],[Nome fantasia]]="","",_xlfn.XLOOKUP($C157,Log!D:D,Log!B:B,,,-1)),"")</f>
        <v>45894</v>
      </c>
      <c r="O157" s="35" t="str">
        <f>IFERROR(_xlfn.XLOOKUP($C157,Log!D:D,Log!W:W,,,-1),"")</f>
        <v>VENDA</v>
      </c>
      <c r="P157" s="35" t="str">
        <f>IFERROR(_xlfn.XLOOKUP($C157,Log!D:D,Log!Y:Y,,,-1),"")</f>
        <v xml:space="preserve">RECOMPRA </v>
      </c>
      <c r="R157" s="26">
        <f>IFERROR(IF(Tabela1[[#This Row],[Nome fantasia]]="","",_xlfn.XLOOKUP($C157,Log!D:D,Log!X:X,,,-1)),"")</f>
        <v>45957</v>
      </c>
    </row>
    <row r="158" spans="3:18" hidden="1" x14ac:dyDescent="0.2">
      <c r="C158" s="30" t="s">
        <v>168</v>
      </c>
      <c r="D158" s="110" t="s">
        <v>169</v>
      </c>
      <c r="E158" s="33" t="s">
        <v>46</v>
      </c>
      <c r="F158" s="38" t="s">
        <v>12</v>
      </c>
      <c r="G158" s="38" t="s">
        <v>1165</v>
      </c>
      <c r="H158" s="31">
        <v>2129.81</v>
      </c>
      <c r="I158" s="32">
        <v>20</v>
      </c>
      <c r="J158" s="32">
        <v>22</v>
      </c>
      <c r="K158" s="44" t="s">
        <v>741</v>
      </c>
      <c r="M158" s="33" t="str">
        <f t="shared" si="2"/>
        <v>Recompra</v>
      </c>
      <c r="N158" s="34">
        <f>IFERROR(IF(Tabela1[[#This Row],[Nome fantasia]]="","",_xlfn.XLOOKUP($C158,Log!D:D,Log!B:B,,,-1)),"")</f>
        <v>45994</v>
      </c>
      <c r="O158" s="35" t="str">
        <f>IFERROR(_xlfn.XLOOKUP($C158,Log!D:D,Log!W:W,,,-1),"")</f>
        <v>SUPORTE</v>
      </c>
      <c r="P158" s="35" t="str">
        <f>IFERROR(_xlfn.XLOOKUP($C158,Log!D:D,Log!Y:Y,,,-1),"")</f>
        <v>DUVIDAS SOBRE GOTAS, E BOLETO</v>
      </c>
      <c r="R158" s="26" t="str">
        <f>IFERROR(IF(Tabela1[[#This Row],[Nome fantasia]]="","",_xlfn.XLOOKUP($C158,Log!D:D,Log!X:X,,,-1)),"")</f>
        <v/>
      </c>
    </row>
    <row r="159" spans="3:18" hidden="1" x14ac:dyDescent="0.2">
      <c r="C159" s="30" t="s">
        <v>159</v>
      </c>
      <c r="D159" s="110" t="s">
        <v>160</v>
      </c>
      <c r="E159" s="33" t="s">
        <v>59</v>
      </c>
      <c r="F159" s="38" t="s">
        <v>12</v>
      </c>
      <c r="G159" s="38" t="s">
        <v>161</v>
      </c>
      <c r="H159" s="31">
        <v>1322.32</v>
      </c>
      <c r="I159" s="32">
        <v>47</v>
      </c>
      <c r="J159" s="32">
        <v>0</v>
      </c>
      <c r="K159" s="44" t="s">
        <v>741</v>
      </c>
      <c r="M159" s="33" t="str">
        <f t="shared" si="2"/>
        <v/>
      </c>
      <c r="N159" s="34">
        <f>IFERROR(IF(Tabela1[[#This Row],[Nome fantasia]]="","",_xlfn.XLOOKUP($C159,Log!D:D,Log!B:B,,,-1)),"")</f>
        <v>45890</v>
      </c>
      <c r="O159" s="35" t="str">
        <f>IFERROR(_xlfn.XLOOKUP($C159,Log!D:D,Log!W:W,,,-1),"")</f>
        <v>VENDA</v>
      </c>
      <c r="P159" s="35" t="str">
        <f>IFERROR(_xlfn.XLOOKUP($C159,Log!D:D,Log!Y:Y,,,-1),"")</f>
        <v xml:space="preserve">RECOMPRA </v>
      </c>
      <c r="R159" s="26">
        <f>IFERROR(IF(Tabela1[[#This Row],[Nome fantasia]]="","",_xlfn.XLOOKUP($C159,Log!D:D,Log!X:X,,,-1)),"")</f>
        <v>45953</v>
      </c>
    </row>
    <row r="160" spans="3:18" hidden="1" x14ac:dyDescent="0.2">
      <c r="C160" s="30" t="s">
        <v>162</v>
      </c>
      <c r="D160" s="110" t="s">
        <v>163</v>
      </c>
      <c r="E160" s="33" t="s">
        <v>31</v>
      </c>
      <c r="F160" s="38" t="s">
        <v>12</v>
      </c>
      <c r="G160" s="38" t="s">
        <v>161</v>
      </c>
      <c r="H160" s="31">
        <v>1859.19</v>
      </c>
      <c r="I160" s="32">
        <v>47</v>
      </c>
      <c r="J160" s="32">
        <v>59.5</v>
      </c>
      <c r="K160" s="44" t="s">
        <v>741</v>
      </c>
      <c r="M160" s="33" t="str">
        <f t="shared" si="2"/>
        <v>Recompra</v>
      </c>
      <c r="N160" s="34">
        <f>IFERROR(IF(Tabela1[[#This Row],[Nome fantasia]]="","",_xlfn.XLOOKUP($C160,Log!D:D,Log!B:B,,,-1)),"")</f>
        <v>45890</v>
      </c>
      <c r="O160" s="35" t="str">
        <f>IFERROR(_xlfn.XLOOKUP($C160,Log!D:D,Log!W:W,,,-1),"")</f>
        <v>VENDA</v>
      </c>
      <c r="P160" s="35" t="str">
        <f>IFERROR(_xlfn.XLOOKUP($C160,Log!D:D,Log!Y:Y,,,-1),"")</f>
        <v xml:space="preserve">RECOMPRA </v>
      </c>
      <c r="R160" s="26">
        <f>IFERROR(IF(Tabela1[[#This Row],[Nome fantasia]]="","",_xlfn.XLOOKUP($C160,Log!D:D,Log!X:X,,,-1)),"")</f>
        <v>45953</v>
      </c>
    </row>
    <row r="161" spans="3:18" hidden="1" x14ac:dyDescent="0.2">
      <c r="C161" s="30" t="s">
        <v>164</v>
      </c>
      <c r="D161" s="110" t="s">
        <v>165</v>
      </c>
      <c r="E161" s="33" t="s">
        <v>140</v>
      </c>
      <c r="F161" s="38" t="s">
        <v>12</v>
      </c>
      <c r="G161" s="38" t="s">
        <v>161</v>
      </c>
      <c r="H161" s="31">
        <v>2116.36</v>
      </c>
      <c r="I161" s="32">
        <v>47</v>
      </c>
      <c r="J161" s="32">
        <v>52</v>
      </c>
      <c r="K161" s="44" t="s">
        <v>741</v>
      </c>
      <c r="M161" s="33" t="str">
        <f t="shared" si="2"/>
        <v>Recompra</v>
      </c>
      <c r="N161" s="34">
        <f>IFERROR(IF(Tabela1[[#This Row],[Nome fantasia]]="","",_xlfn.XLOOKUP($C161,Log!D:D,Log!B:B,,,-1)),"")</f>
        <v>45890</v>
      </c>
      <c r="O161" s="35" t="str">
        <f>IFERROR(_xlfn.XLOOKUP($C161,Log!D:D,Log!W:W,,,-1),"")</f>
        <v>VENDA</v>
      </c>
      <c r="P161" s="35" t="str">
        <f>IFERROR(_xlfn.XLOOKUP($C161,Log!D:D,Log!Y:Y,,,-1),"")</f>
        <v xml:space="preserve">RECOMPRA </v>
      </c>
      <c r="R161" s="26">
        <f>IFERROR(IF(Tabela1[[#This Row],[Nome fantasia]]="","",_xlfn.XLOOKUP($C161,Log!D:D,Log!X:X,,,-1)),"")</f>
        <v>45953</v>
      </c>
    </row>
    <row r="162" spans="3:18" hidden="1" x14ac:dyDescent="0.2">
      <c r="C162" s="30" t="s">
        <v>166</v>
      </c>
      <c r="D162" s="110" t="s">
        <v>167</v>
      </c>
      <c r="E162" s="33" t="s">
        <v>140</v>
      </c>
      <c r="F162" s="38" t="s">
        <v>12</v>
      </c>
      <c r="G162" s="38" t="s">
        <v>161</v>
      </c>
      <c r="H162" s="31">
        <v>933.42</v>
      </c>
      <c r="I162" s="32">
        <v>47</v>
      </c>
      <c r="J162" s="32">
        <v>0</v>
      </c>
      <c r="K162" s="44" t="s">
        <v>741</v>
      </c>
      <c r="M162" s="33" t="str">
        <f t="shared" si="2"/>
        <v/>
      </c>
      <c r="N162" s="34">
        <f>IFERROR(IF(Tabela1[[#This Row],[Nome fantasia]]="","",_xlfn.XLOOKUP($C162,Log!D:D,Log!B:B,,,-1)),"")</f>
        <v>45890</v>
      </c>
      <c r="O162" s="35" t="str">
        <f>IFERROR(_xlfn.XLOOKUP($C162,Log!D:D,Log!W:W,,,-1),"")</f>
        <v>VENDA</v>
      </c>
      <c r="P162" s="35" t="str">
        <f>IFERROR(_xlfn.XLOOKUP($C162,Log!D:D,Log!Y:Y,,,-1),"")</f>
        <v xml:space="preserve">RECOMPRA </v>
      </c>
      <c r="R162" s="26">
        <f>IFERROR(IF(Tabela1[[#This Row],[Nome fantasia]]="","",_xlfn.XLOOKUP($C162,Log!D:D,Log!X:X,,,-1)),"")</f>
        <v>45953</v>
      </c>
    </row>
    <row r="163" spans="3:18" hidden="1" x14ac:dyDescent="0.2">
      <c r="C163" s="30" t="s">
        <v>138</v>
      </c>
      <c r="D163" s="110" t="s">
        <v>139</v>
      </c>
      <c r="E163" s="33" t="s">
        <v>140</v>
      </c>
      <c r="F163" s="38" t="s">
        <v>12</v>
      </c>
      <c r="G163" s="38" t="s">
        <v>1165</v>
      </c>
      <c r="H163" s="31">
        <v>1680.08</v>
      </c>
      <c r="I163" s="32">
        <v>20</v>
      </c>
      <c r="J163" s="32">
        <v>28</v>
      </c>
      <c r="K163" s="44" t="s">
        <v>741</v>
      </c>
      <c r="M163" s="33" t="str">
        <f t="shared" si="2"/>
        <v>Recompra</v>
      </c>
      <c r="N163" s="34">
        <f>IFERROR(IF(Tabela1[[#This Row],[Nome fantasia]]="","",_xlfn.XLOOKUP($C163,Log!D:D,Log!B:B,,,-1)),"")</f>
        <v>45894</v>
      </c>
      <c r="O163" s="35" t="str">
        <f>IFERROR(_xlfn.XLOOKUP($C163,Log!D:D,Log!W:W,,,-1),"")</f>
        <v>VENDA</v>
      </c>
      <c r="P163" s="35" t="str">
        <f>IFERROR(_xlfn.XLOOKUP($C163,Log!D:D,Log!Y:Y,,,-1),"")</f>
        <v xml:space="preserve">RECOMPRA </v>
      </c>
      <c r="R163" s="26">
        <f>IFERROR(IF(Tabela1[[#This Row],[Nome fantasia]]="","",_xlfn.XLOOKUP($C163,Log!D:D,Log!X:X,,,-1)),"")</f>
        <v>45957</v>
      </c>
    </row>
    <row r="164" spans="3:18" hidden="1" x14ac:dyDescent="0.2">
      <c r="C164" s="30" t="s">
        <v>141</v>
      </c>
      <c r="D164" s="110" t="s">
        <v>142</v>
      </c>
      <c r="E164" s="33" t="s">
        <v>11</v>
      </c>
      <c r="F164" s="38" t="s">
        <v>12</v>
      </c>
      <c r="G164" s="38" t="s">
        <v>131</v>
      </c>
      <c r="H164" s="31">
        <v>812.27</v>
      </c>
      <c r="I164" s="32">
        <v>43</v>
      </c>
      <c r="J164" s="32">
        <v>73.5</v>
      </c>
      <c r="K164" s="44" t="s">
        <v>741</v>
      </c>
      <c r="M164" s="33" t="str">
        <f t="shared" si="2"/>
        <v>Recompra</v>
      </c>
      <c r="N164" s="34">
        <f>IFERROR(IF(Tabela1[[#This Row],[Nome fantasia]]="","",_xlfn.XLOOKUP($C164,Log!D:D,Log!B:B,,,-1)),"")</f>
        <v>45894</v>
      </c>
      <c r="O164" s="35" t="str">
        <f>IFERROR(_xlfn.XLOOKUP($C164,Log!D:D,Log!W:W,,,-1),"")</f>
        <v>VENDA</v>
      </c>
      <c r="P164" s="35" t="str">
        <f>IFERROR(_xlfn.XLOOKUP($C164,Log!D:D,Log!Y:Y,,,-1),"")</f>
        <v xml:space="preserve">RECOMPRA </v>
      </c>
      <c r="R164" s="26">
        <f>IFERROR(IF(Tabela1[[#This Row],[Nome fantasia]]="","",_xlfn.XLOOKUP($C164,Log!D:D,Log!X:X,,,-1)),"")</f>
        <v>45957</v>
      </c>
    </row>
    <row r="165" spans="3:18" hidden="1" x14ac:dyDescent="0.2">
      <c r="C165" s="30" t="s">
        <v>154</v>
      </c>
      <c r="D165" s="110" t="s">
        <v>155</v>
      </c>
      <c r="E165" s="33" t="s">
        <v>17</v>
      </c>
      <c r="F165" s="38" t="s">
        <v>32</v>
      </c>
      <c r="G165" s="38" t="s">
        <v>156</v>
      </c>
      <c r="H165" s="31">
        <v>1233.6600000000001</v>
      </c>
      <c r="I165" s="32">
        <v>46</v>
      </c>
      <c r="J165" s="32">
        <v>0</v>
      </c>
      <c r="K165" s="44" t="s">
        <v>741</v>
      </c>
      <c r="M165" s="33" t="str">
        <f t="shared" si="2"/>
        <v/>
      </c>
      <c r="N165" s="34">
        <f>IFERROR(IF(Tabela1[[#This Row],[Nome fantasia]]="","",_xlfn.XLOOKUP($C165,Log!D:D,Log!B:B,,,-1)),"")</f>
        <v>45891</v>
      </c>
      <c r="O165" s="35" t="str">
        <f>IFERROR(_xlfn.XLOOKUP($C165,Log!D:D,Log!W:W,,,-1),"")</f>
        <v>VENDA</v>
      </c>
      <c r="P165" s="35" t="str">
        <f>IFERROR(_xlfn.XLOOKUP($C165,Log!D:D,Log!Y:Y,,,-1),"")</f>
        <v xml:space="preserve">RECOMPRA </v>
      </c>
      <c r="R165" s="26">
        <f>IFERROR(IF(Tabela1[[#This Row],[Nome fantasia]]="","",_xlfn.XLOOKUP($C165,Log!D:D,Log!X:X,,,-1)),"")</f>
        <v>45954</v>
      </c>
    </row>
    <row r="166" spans="3:18" hidden="1" x14ac:dyDescent="0.2">
      <c r="C166" s="30" t="s">
        <v>157</v>
      </c>
      <c r="D166" s="110" t="s">
        <v>158</v>
      </c>
      <c r="E166" s="33" t="s">
        <v>11</v>
      </c>
      <c r="F166" s="38" t="s">
        <v>18</v>
      </c>
      <c r="G166" s="38" t="s">
        <v>156</v>
      </c>
      <c r="H166" s="31">
        <v>784.65</v>
      </c>
      <c r="I166" s="32">
        <v>46</v>
      </c>
      <c r="J166" s="32">
        <v>24</v>
      </c>
      <c r="K166" s="44" t="s">
        <v>741</v>
      </c>
      <c r="M166" s="33" t="str">
        <f t="shared" si="2"/>
        <v>Recompra</v>
      </c>
      <c r="N166" s="34">
        <f>IFERROR(IF(Tabela1[[#This Row],[Nome fantasia]]="","",_xlfn.XLOOKUP($C166,Log!D:D,Log!B:B,,,-1)),"")</f>
        <v>45891</v>
      </c>
      <c r="O166" s="35" t="str">
        <f>IFERROR(_xlfn.XLOOKUP($C166,Log!D:D,Log!W:W,,,-1),"")</f>
        <v>VENDA</v>
      </c>
      <c r="P166" s="35" t="str">
        <f>IFERROR(_xlfn.XLOOKUP($C166,Log!D:D,Log!Y:Y,,,-1),"")</f>
        <v xml:space="preserve">RECOMPRA </v>
      </c>
      <c r="R166" s="26">
        <f>IFERROR(IF(Tabela1[[#This Row],[Nome fantasia]]="","",_xlfn.XLOOKUP($C166,Log!D:D,Log!X:X,,,-1)),"")</f>
        <v>45954</v>
      </c>
    </row>
    <row r="167" spans="3:18" hidden="1" x14ac:dyDescent="0.2">
      <c r="C167" s="30" t="s">
        <v>143</v>
      </c>
      <c r="D167" s="110" t="s">
        <v>144</v>
      </c>
      <c r="E167" s="33" t="s">
        <v>145</v>
      </c>
      <c r="F167" s="38" t="s">
        <v>12</v>
      </c>
      <c r="G167" s="38" t="s">
        <v>131</v>
      </c>
      <c r="H167" s="31">
        <v>2363.33</v>
      </c>
      <c r="I167" s="32">
        <v>43</v>
      </c>
      <c r="J167" s="32">
        <v>144</v>
      </c>
      <c r="K167" s="44" t="s">
        <v>741</v>
      </c>
      <c r="M167" s="33" t="str">
        <f t="shared" si="2"/>
        <v>Recompra</v>
      </c>
      <c r="N167" s="34">
        <f>IFERROR(IF(Tabela1[[#This Row],[Nome fantasia]]="","",_xlfn.XLOOKUP($C167,Log!D:D,Log!B:B,,,-1)),"")</f>
        <v>45894</v>
      </c>
      <c r="O167" s="35" t="str">
        <f>IFERROR(_xlfn.XLOOKUP($C167,Log!D:D,Log!W:W,,,-1),"")</f>
        <v>VENDA</v>
      </c>
      <c r="P167" s="35" t="str">
        <f>IFERROR(_xlfn.XLOOKUP($C167,Log!D:D,Log!Y:Y,,,-1),"")</f>
        <v xml:space="preserve">RECOMPRA </v>
      </c>
      <c r="R167" s="26">
        <f>IFERROR(IF(Tabela1[[#This Row],[Nome fantasia]]="","",_xlfn.XLOOKUP($C167,Log!D:D,Log!X:X,,,-1)),"")</f>
        <v>45957</v>
      </c>
    </row>
    <row r="168" spans="3:18" hidden="1" x14ac:dyDescent="0.2">
      <c r="C168" s="30" t="s">
        <v>146</v>
      </c>
      <c r="D168" s="110" t="s">
        <v>147</v>
      </c>
      <c r="E168" s="33" t="s">
        <v>140</v>
      </c>
      <c r="F168" s="38" t="s">
        <v>12</v>
      </c>
      <c r="G168" s="38" t="s">
        <v>131</v>
      </c>
      <c r="H168" s="31">
        <v>1556.38</v>
      </c>
      <c r="I168" s="32">
        <v>43</v>
      </c>
      <c r="J168" s="32">
        <v>82</v>
      </c>
      <c r="K168" s="44" t="s">
        <v>741</v>
      </c>
      <c r="M168" s="33" t="str">
        <f t="shared" si="2"/>
        <v>Recompra</v>
      </c>
      <c r="N168" s="34">
        <f>IFERROR(IF(Tabela1[[#This Row],[Nome fantasia]]="","",_xlfn.XLOOKUP($C168,Log!D:D,Log!B:B,,,-1)),"")</f>
        <v>45894</v>
      </c>
      <c r="O168" s="35" t="str">
        <f>IFERROR(_xlfn.XLOOKUP($C168,Log!D:D,Log!W:W,,,-1),"")</f>
        <v>VENDA</v>
      </c>
      <c r="P168" s="35" t="str">
        <f>IFERROR(_xlfn.XLOOKUP($C168,Log!D:D,Log!Y:Y,,,-1),"")</f>
        <v xml:space="preserve">RECOMPRA </v>
      </c>
      <c r="R168" s="26">
        <f>IFERROR(IF(Tabela1[[#This Row],[Nome fantasia]]="","",_xlfn.XLOOKUP($C168,Log!D:D,Log!X:X,,,-1)),"")</f>
        <v>45957</v>
      </c>
    </row>
    <row r="169" spans="3:18" hidden="1" x14ac:dyDescent="0.2">
      <c r="C169" s="30" t="s">
        <v>152</v>
      </c>
      <c r="D169" s="110" t="s">
        <v>153</v>
      </c>
      <c r="E169" s="33" t="s">
        <v>11</v>
      </c>
      <c r="F169" s="38" t="s">
        <v>12</v>
      </c>
      <c r="G169" s="38" t="s">
        <v>131</v>
      </c>
      <c r="H169" s="31">
        <v>658.02</v>
      </c>
      <c r="I169" s="32">
        <v>43</v>
      </c>
      <c r="J169" s="32">
        <v>0</v>
      </c>
      <c r="K169" s="44" t="s">
        <v>741</v>
      </c>
      <c r="M169" s="33" t="str">
        <f t="shared" si="2"/>
        <v/>
      </c>
      <c r="N169" s="34">
        <f>IFERROR(IF(Tabela1[[#This Row],[Nome fantasia]]="","",_xlfn.XLOOKUP($C169,Log!D:D,Log!B:B,,,-1)),"")</f>
        <v>45894</v>
      </c>
      <c r="O169" s="35" t="str">
        <f>IFERROR(_xlfn.XLOOKUP($C169,Log!D:D,Log!W:W,,,-1),"")</f>
        <v>VENDA</v>
      </c>
      <c r="P169" s="35" t="str">
        <f>IFERROR(_xlfn.XLOOKUP($C169,Log!D:D,Log!Y:Y,,,-1),"")</f>
        <v xml:space="preserve">RECOMPRA </v>
      </c>
      <c r="R169" s="26">
        <f>IFERROR(IF(Tabela1[[#This Row],[Nome fantasia]]="","",_xlfn.XLOOKUP($C169,Log!D:D,Log!X:X,,,-1)),"")</f>
        <v>45957</v>
      </c>
    </row>
    <row r="170" spans="3:18" hidden="1" x14ac:dyDescent="0.2">
      <c r="C170" s="30" t="s">
        <v>116</v>
      </c>
      <c r="D170" s="110" t="s">
        <v>117</v>
      </c>
      <c r="E170" s="33" t="s">
        <v>11</v>
      </c>
      <c r="F170" s="38" t="s">
        <v>12</v>
      </c>
      <c r="G170" s="38" t="s">
        <v>1143</v>
      </c>
      <c r="H170" s="31">
        <v>1781.13</v>
      </c>
      <c r="I170" s="32">
        <v>12</v>
      </c>
      <c r="J170" s="32">
        <v>23.25</v>
      </c>
      <c r="K170" s="44" t="s">
        <v>741</v>
      </c>
      <c r="M170" s="33" t="str">
        <f t="shared" si="2"/>
        <v>Recompra</v>
      </c>
      <c r="N170" s="34">
        <f>IFERROR(IF(Tabela1[[#This Row],[Nome fantasia]]="","",_xlfn.XLOOKUP($C170,Log!D:D,Log!B:B,,,-1)),"")</f>
        <v>45895</v>
      </c>
      <c r="O170" s="35" t="str">
        <f>IFERROR(_xlfn.XLOOKUP($C170,Log!D:D,Log!W:W,,,-1),"")</f>
        <v>VENDA</v>
      </c>
      <c r="P170" s="35" t="str">
        <f>IFERROR(_xlfn.XLOOKUP($C170,Log!D:D,Log!Y:Y,,,-1),"")</f>
        <v xml:space="preserve">RECOMPRA </v>
      </c>
      <c r="R170" s="26">
        <f>IFERROR(IF(Tabela1[[#This Row],[Nome fantasia]]="","",_xlfn.XLOOKUP($C170,Log!D:D,Log!X:X,,,-1)),"")</f>
        <v>45958</v>
      </c>
    </row>
    <row r="171" spans="3:18" hidden="1" x14ac:dyDescent="0.2">
      <c r="C171" s="30" t="s">
        <v>118</v>
      </c>
      <c r="D171" s="110" t="s">
        <v>119</v>
      </c>
      <c r="E171" s="33" t="s">
        <v>120</v>
      </c>
      <c r="F171" s="38" t="s">
        <v>12</v>
      </c>
      <c r="G171" s="38" t="s">
        <v>111</v>
      </c>
      <c r="H171" s="31">
        <v>2596.83</v>
      </c>
      <c r="I171" s="32">
        <v>42</v>
      </c>
      <c r="J171" s="32">
        <v>60</v>
      </c>
      <c r="K171" s="44" t="s">
        <v>741</v>
      </c>
      <c r="M171" s="33" t="str">
        <f t="shared" si="2"/>
        <v>Recompra</v>
      </c>
      <c r="N171" s="34">
        <f>IFERROR(IF(Tabela1[[#This Row],[Nome fantasia]]="","",_xlfn.XLOOKUP($C171,Log!D:D,Log!B:B,,,-1)),"")</f>
        <v>45895</v>
      </c>
      <c r="O171" s="35" t="str">
        <f>IFERROR(_xlfn.XLOOKUP($C171,Log!D:D,Log!W:W,,,-1),"")</f>
        <v>VENDA</v>
      </c>
      <c r="P171" s="35" t="str">
        <f>IFERROR(_xlfn.XLOOKUP($C171,Log!D:D,Log!Y:Y,,,-1),"")</f>
        <v xml:space="preserve">RECOMPRA </v>
      </c>
      <c r="R171" s="26">
        <f>IFERROR(IF(Tabela1[[#This Row],[Nome fantasia]]="","",_xlfn.XLOOKUP($C171,Log!D:D,Log!X:X,,,-1)),"")</f>
        <v>45958</v>
      </c>
    </row>
    <row r="172" spans="3:18" hidden="1" x14ac:dyDescent="0.2">
      <c r="C172" s="30" t="s">
        <v>173</v>
      </c>
      <c r="D172" s="110" t="s">
        <v>174</v>
      </c>
      <c r="E172" s="33" t="s">
        <v>22</v>
      </c>
      <c r="F172" s="38" t="s">
        <v>32</v>
      </c>
      <c r="G172" s="38" t="s">
        <v>170</v>
      </c>
      <c r="H172" s="31">
        <v>1443.35</v>
      </c>
      <c r="I172" s="32">
        <v>48</v>
      </c>
      <c r="J172" s="32">
        <v>0</v>
      </c>
      <c r="K172" s="44" t="s">
        <v>741</v>
      </c>
      <c r="M172" s="33" t="str">
        <f t="shared" si="2"/>
        <v/>
      </c>
      <c r="N172" s="34">
        <f>IFERROR(IF(Tabela1[[#This Row],[Nome fantasia]]="","",_xlfn.XLOOKUP($C172,Log!D:D,Log!B:B,,,-1)),"")</f>
        <v>45889</v>
      </c>
      <c r="O172" s="35" t="str">
        <f>IFERROR(_xlfn.XLOOKUP($C172,Log!D:D,Log!W:W,,,-1),"")</f>
        <v>VENDA</v>
      </c>
      <c r="P172" s="35" t="str">
        <f>IFERROR(_xlfn.XLOOKUP($C172,Log!D:D,Log!Y:Y,,,-1),"")</f>
        <v xml:space="preserve">RECOMPRA </v>
      </c>
      <c r="R172" s="26">
        <f>IFERROR(IF(Tabela1[[#This Row],[Nome fantasia]]="","",_xlfn.XLOOKUP($C172,Log!D:D,Log!X:X,,,-1)),"")</f>
        <v>45952</v>
      </c>
    </row>
    <row r="173" spans="3:18" hidden="1" x14ac:dyDescent="0.2">
      <c r="C173" s="30" t="s">
        <v>127</v>
      </c>
      <c r="D173" s="110" t="s">
        <v>128</v>
      </c>
      <c r="E173" s="33" t="s">
        <v>67</v>
      </c>
      <c r="F173" s="38" t="s">
        <v>12</v>
      </c>
      <c r="G173" s="38" t="s">
        <v>111</v>
      </c>
      <c r="H173" s="31">
        <v>1160.8499999999999</v>
      </c>
      <c r="I173" s="32">
        <v>42</v>
      </c>
      <c r="J173" s="32">
        <v>0</v>
      </c>
      <c r="K173" s="44" t="s">
        <v>741</v>
      </c>
      <c r="M173" s="33" t="str">
        <f t="shared" si="2"/>
        <v/>
      </c>
      <c r="N173" s="34">
        <f>IFERROR(IF(Tabela1[[#This Row],[Nome fantasia]]="","",_xlfn.XLOOKUP($C173,Log!D:D,Log!B:B,,,-1)),"")</f>
        <v>45895</v>
      </c>
      <c r="O173" s="35" t="str">
        <f>IFERROR(_xlfn.XLOOKUP($C173,Log!D:D,Log!W:W,,,-1),"")</f>
        <v>VENDA</v>
      </c>
      <c r="P173" s="35" t="str">
        <f>IFERROR(_xlfn.XLOOKUP($C173,Log!D:D,Log!Y:Y,,,-1),"")</f>
        <v xml:space="preserve">RECOMPRA </v>
      </c>
      <c r="R173" s="26">
        <f>IFERROR(IF(Tabela1[[#This Row],[Nome fantasia]]="","",_xlfn.XLOOKUP($C173,Log!D:D,Log!X:X,,,-1)),"")</f>
        <v>45958</v>
      </c>
    </row>
    <row r="174" spans="3:18" hidden="1" x14ac:dyDescent="0.2">
      <c r="C174" s="30" t="s">
        <v>178</v>
      </c>
      <c r="D174" s="110" t="s">
        <v>179</v>
      </c>
      <c r="E174" s="33" t="s">
        <v>71</v>
      </c>
      <c r="F174" s="38" t="s">
        <v>53</v>
      </c>
      <c r="G174" s="38" t="s">
        <v>177</v>
      </c>
      <c r="H174" s="31">
        <v>3912.71</v>
      </c>
      <c r="I174" s="32">
        <v>49</v>
      </c>
      <c r="J174" s="32">
        <v>0</v>
      </c>
      <c r="K174" s="44" t="s">
        <v>741</v>
      </c>
      <c r="M174" s="33" t="str">
        <f t="shared" si="2"/>
        <v/>
      </c>
      <c r="N174" s="34">
        <f>IFERROR(IF(Tabela1[[#This Row],[Nome fantasia]]="","",_xlfn.XLOOKUP($C174,Log!D:D,Log!B:B,,,-1)),"")</f>
        <v>45888</v>
      </c>
      <c r="O174" s="35" t="str">
        <f>IFERROR(_xlfn.XLOOKUP($C174,Log!D:D,Log!W:W,,,-1),"")</f>
        <v>VENDA</v>
      </c>
      <c r="P174" s="35" t="str">
        <f>IFERROR(_xlfn.XLOOKUP($C174,Log!D:D,Log!Y:Y,,,-1),"")</f>
        <v xml:space="preserve">RECOMPRA </v>
      </c>
      <c r="R174" s="26">
        <f>IFERROR(IF(Tabela1[[#This Row],[Nome fantasia]]="","",_xlfn.XLOOKUP($C174,Log!D:D,Log!X:X,,,-1)),"")</f>
        <v>45951</v>
      </c>
    </row>
    <row r="175" spans="3:18" hidden="1" x14ac:dyDescent="0.2">
      <c r="C175" s="30" t="s">
        <v>180</v>
      </c>
      <c r="D175" s="110" t="s">
        <v>181</v>
      </c>
      <c r="E175" s="33" t="s">
        <v>67</v>
      </c>
      <c r="F175" s="38" t="s">
        <v>53</v>
      </c>
      <c r="G175" s="38" t="s">
        <v>182</v>
      </c>
      <c r="H175" s="31">
        <v>2016.25</v>
      </c>
      <c r="I175" s="32">
        <v>50</v>
      </c>
      <c r="J175" s="32">
        <v>0</v>
      </c>
      <c r="K175" s="44" t="s">
        <v>741</v>
      </c>
      <c r="M175" s="33" t="str">
        <f t="shared" si="2"/>
        <v/>
      </c>
      <c r="N175" s="34">
        <f>IFERROR(IF(Tabela1[[#This Row],[Nome fantasia]]="","",_xlfn.XLOOKUP($C175,Log!D:D,Log!B:B,,,-1)),"")</f>
        <v>45887</v>
      </c>
      <c r="O175" s="35" t="str">
        <f>IFERROR(_xlfn.XLOOKUP($C175,Log!D:D,Log!W:W,,,-1),"")</f>
        <v>VENDA</v>
      </c>
      <c r="P175" s="35" t="str">
        <f>IFERROR(_xlfn.XLOOKUP($C175,Log!D:D,Log!Y:Y,,,-1),"")</f>
        <v xml:space="preserve">RECOMPRA </v>
      </c>
      <c r="R175" s="26">
        <f>IFERROR(IF(Tabela1[[#This Row],[Nome fantasia]]="","",_xlfn.XLOOKUP($C175,Log!D:D,Log!X:X,,,-1)),"")</f>
        <v>45950</v>
      </c>
    </row>
    <row r="176" spans="3:18" hidden="1" x14ac:dyDescent="0.2">
      <c r="C176" s="30" t="s">
        <v>183</v>
      </c>
      <c r="D176" s="110" t="s">
        <v>184</v>
      </c>
      <c r="E176" s="33" t="s">
        <v>46</v>
      </c>
      <c r="F176" s="38" t="s">
        <v>32</v>
      </c>
      <c r="G176" s="38" t="s">
        <v>185</v>
      </c>
      <c r="H176" s="31">
        <v>820.8</v>
      </c>
      <c r="I176" s="32">
        <v>53</v>
      </c>
      <c r="J176" s="32">
        <v>52</v>
      </c>
      <c r="K176" s="44" t="s">
        <v>741</v>
      </c>
      <c r="M176" s="33" t="str">
        <f t="shared" si="2"/>
        <v>Recompra</v>
      </c>
      <c r="N176" s="34">
        <f>IFERROR(IF(Tabela1[[#This Row],[Nome fantasia]]="","",_xlfn.XLOOKUP($C176,Log!D:D,Log!B:B,,,-1)),"")</f>
        <v>45884</v>
      </c>
      <c r="O176" s="35" t="str">
        <f>IFERROR(_xlfn.XLOOKUP($C176,Log!D:D,Log!W:W,,,-1),"")</f>
        <v>VENDA</v>
      </c>
      <c r="P176" s="35" t="str">
        <f>IFERROR(_xlfn.XLOOKUP($C176,Log!D:D,Log!Y:Y,,,-1),"")</f>
        <v xml:space="preserve">RECOMPRA </v>
      </c>
      <c r="R176" s="26">
        <f>IFERROR(IF(Tabela1[[#This Row],[Nome fantasia]]="","",_xlfn.XLOOKUP($C176,Log!D:D,Log!X:X,,,-1)),"")</f>
        <v>45947</v>
      </c>
    </row>
    <row r="177" spans="3:18" hidden="1" x14ac:dyDescent="0.2">
      <c r="C177" s="30" t="s">
        <v>101</v>
      </c>
      <c r="D177" s="110" t="s">
        <v>102</v>
      </c>
      <c r="E177" s="33" t="s">
        <v>11</v>
      </c>
      <c r="F177" s="38" t="s">
        <v>12</v>
      </c>
      <c r="G177" s="38" t="s">
        <v>96</v>
      </c>
      <c r="H177" s="31">
        <v>901.53</v>
      </c>
      <c r="I177" s="32">
        <v>41</v>
      </c>
      <c r="J177" s="32">
        <v>0</v>
      </c>
      <c r="K177" s="44" t="s">
        <v>741</v>
      </c>
      <c r="M177" s="33" t="str">
        <f t="shared" si="2"/>
        <v/>
      </c>
      <c r="N177" s="34">
        <f>IFERROR(IF(Tabela1[[#This Row],[Nome fantasia]]="","",_xlfn.XLOOKUP($C177,Log!D:D,Log!B:B,,,-1)),"")</f>
        <v>45896</v>
      </c>
      <c r="O177" s="35" t="str">
        <f>IFERROR(_xlfn.XLOOKUP($C177,Log!D:D,Log!W:W,,,-1),"")</f>
        <v>VENDA</v>
      </c>
      <c r="P177" s="35" t="str">
        <f>IFERROR(_xlfn.XLOOKUP($C177,Log!D:D,Log!Y:Y,,,-1),"")</f>
        <v xml:space="preserve">RECOMPRA </v>
      </c>
      <c r="R177" s="26">
        <f>IFERROR(IF(Tabela1[[#This Row],[Nome fantasia]]="","",_xlfn.XLOOKUP($C177,Log!D:D,Log!X:X,,,-1)),"")</f>
        <v>45959</v>
      </c>
    </row>
    <row r="178" spans="3:18" hidden="1" x14ac:dyDescent="0.2">
      <c r="C178" s="30" t="s">
        <v>88</v>
      </c>
      <c r="D178" s="110" t="s">
        <v>89</v>
      </c>
      <c r="E178" s="33" t="s">
        <v>59</v>
      </c>
      <c r="F178" s="38" t="s">
        <v>12</v>
      </c>
      <c r="G178" s="38" t="s">
        <v>1164</v>
      </c>
      <c r="H178" s="31">
        <v>5299.97</v>
      </c>
      <c r="I178" s="32">
        <v>19</v>
      </c>
      <c r="J178" s="32">
        <v>29</v>
      </c>
      <c r="K178" s="44" t="s">
        <v>741</v>
      </c>
      <c r="M178" s="33" t="str">
        <f t="shared" si="2"/>
        <v>Recompra</v>
      </c>
      <c r="N178" s="34">
        <f>IFERROR(IF(Tabela1[[#This Row],[Nome fantasia]]="","",_xlfn.XLOOKUP($C178,Log!D:D,Log!B:B,,,-1)),"")</f>
        <v>45897</v>
      </c>
      <c r="O178" s="35" t="str">
        <f>IFERROR(_xlfn.XLOOKUP($C178,Log!D:D,Log!W:W,,,-1),"")</f>
        <v>VENDA</v>
      </c>
      <c r="P178" s="35" t="str">
        <f>IFERROR(_xlfn.XLOOKUP($C178,Log!D:D,Log!Y:Y,,,-1),"")</f>
        <v xml:space="preserve">RECOMPRA </v>
      </c>
      <c r="R178" s="26">
        <f>IFERROR(IF(Tabela1[[#This Row],[Nome fantasia]]="","",_xlfn.XLOOKUP($C178,Log!D:D,Log!X:X,,,-1)),"")</f>
        <v>45960</v>
      </c>
    </row>
    <row r="179" spans="3:18" hidden="1" x14ac:dyDescent="0.2">
      <c r="C179" s="30" t="s">
        <v>81</v>
      </c>
      <c r="D179" s="110" t="s">
        <v>82</v>
      </c>
      <c r="E179" s="33" t="s">
        <v>46</v>
      </c>
      <c r="F179" s="38" t="s">
        <v>12</v>
      </c>
      <c r="G179" s="38" t="s">
        <v>19</v>
      </c>
      <c r="H179" s="31">
        <v>1188.55</v>
      </c>
      <c r="I179" s="32">
        <v>27</v>
      </c>
      <c r="J179" s="32">
        <v>46</v>
      </c>
      <c r="K179" s="44" t="s">
        <v>741</v>
      </c>
      <c r="M179" s="33" t="str">
        <f t="shared" si="2"/>
        <v>Recompra</v>
      </c>
      <c r="N179" s="34">
        <f>IFERROR(IF(Tabela1[[#This Row],[Nome fantasia]]="","",_xlfn.XLOOKUP($C179,Log!D:D,Log!B:B,,,-1)),"")</f>
        <v>45950</v>
      </c>
      <c r="O179" s="35" t="str">
        <f>IFERROR(_xlfn.XLOOKUP($C179,Log!D:D,Log!W:W,,,-1),"")</f>
        <v>SUPORTE</v>
      </c>
      <c r="P179" s="35" t="str">
        <f>IFERROR(_xlfn.XLOOKUP($C179,Log!D:D,Log!Y:Y,,,-1),"")</f>
        <v>JÁ FEZ PEDIDO SEMANA PASSADA</v>
      </c>
      <c r="R179" s="26" t="str">
        <f>IFERROR(IF(Tabela1[[#This Row],[Nome fantasia]]="","",_xlfn.XLOOKUP($C179,Log!D:D,Log!X:X,,,-1)),"")</f>
        <v/>
      </c>
    </row>
    <row r="180" spans="3:18" hidden="1" x14ac:dyDescent="0.2">
      <c r="C180" s="30" t="s">
        <v>136</v>
      </c>
      <c r="D180" s="110" t="s">
        <v>137</v>
      </c>
      <c r="E180" s="33" t="s">
        <v>17</v>
      </c>
      <c r="F180" s="38" t="s">
        <v>12</v>
      </c>
      <c r="G180" s="38" t="s">
        <v>131</v>
      </c>
      <c r="H180" s="31">
        <v>675.58</v>
      </c>
      <c r="I180" s="123">
        <v>43</v>
      </c>
      <c r="J180" s="32">
        <v>97</v>
      </c>
      <c r="K180" s="44" t="s">
        <v>741</v>
      </c>
      <c r="M180" s="33" t="str">
        <f t="shared" si="2"/>
        <v>Recompra</v>
      </c>
      <c r="N180" s="34">
        <f>IFERROR(IF(Tabela1[[#This Row],[Nome fantasia]]="","",_xlfn.XLOOKUP($C180,Log!D:D,Log!B:B,,,-1)),"")</f>
        <v>45943</v>
      </c>
      <c r="O180" s="35" t="str">
        <f>IFERROR(_xlfn.XLOOKUP($C180,Log!D:D,Log!W:W,,,-1),"")</f>
        <v>FOLLOW UP 7</v>
      </c>
      <c r="P180" s="35" t="str">
        <f>IFERROR(_xlfn.XLOOKUP($C180,Log!D:D,Log!Y:Y,,,-1),"")</f>
        <v>ENTRAR EM CONTATO MAIS FINAL DO MÊS</v>
      </c>
      <c r="R180" s="26">
        <f>IFERROR(IF(Tabela1[[#This Row],[Nome fantasia]]="","",_xlfn.XLOOKUP($C180,Log!D:D,Log!X:X,,,-1)),"")</f>
        <v>45952</v>
      </c>
    </row>
    <row r="181" spans="3:18" hidden="1" x14ac:dyDescent="0.2">
      <c r="C181" s="30" t="s">
        <v>226</v>
      </c>
      <c r="D181" s="110" t="s">
        <v>227</v>
      </c>
      <c r="E181" s="33" t="s">
        <v>22</v>
      </c>
      <c r="F181" s="38" t="s">
        <v>12</v>
      </c>
      <c r="G181" s="38" t="s">
        <v>223</v>
      </c>
      <c r="H181" s="31">
        <v>708.5</v>
      </c>
      <c r="I181" s="123">
        <v>56</v>
      </c>
      <c r="J181" s="32">
        <v>0</v>
      </c>
      <c r="K181" s="44" t="s">
        <v>741</v>
      </c>
      <c r="M181" s="33" t="str">
        <f t="shared" si="2"/>
        <v/>
      </c>
      <c r="N181" s="34">
        <f>IFERROR(IF(Tabela1[[#This Row],[Nome fantasia]]="","",_xlfn.XLOOKUP($C181,Log!D:D,Log!B:B,,,-1)),"")</f>
        <v>45939</v>
      </c>
      <c r="O181" s="35" t="str">
        <f>IFERROR(_xlfn.XLOOKUP($C181,Log!D:D,Log!W:W,,,-1),"")</f>
        <v>FOLLOW UP 15</v>
      </c>
      <c r="P181" s="35" t="str">
        <f>IFERROR(_xlfn.XLOOKUP($C181,Log!D:D,Log!Y:Y,,,-1),"")</f>
        <v>COMPROU EM 1 CNPJ PARA TODAS AS LOJAS</v>
      </c>
      <c r="R181" s="26">
        <f>IFERROR(IF(Tabela1[[#This Row],[Nome fantasia]]="","",_xlfn.XLOOKUP($C181,Log!D:D,Log!X:X,,,-1)),"")</f>
        <v>45960</v>
      </c>
    </row>
    <row r="182" spans="3:18" hidden="1" x14ac:dyDescent="0.2">
      <c r="C182" s="30" t="s">
        <v>238</v>
      </c>
      <c r="D182" s="110" t="s">
        <v>239</v>
      </c>
      <c r="E182" s="33" t="s">
        <v>22</v>
      </c>
      <c r="F182" s="38" t="s">
        <v>12</v>
      </c>
      <c r="G182" s="38" t="s">
        <v>223</v>
      </c>
      <c r="H182" s="31">
        <v>750.5</v>
      </c>
      <c r="I182" s="123">
        <v>56</v>
      </c>
      <c r="J182" s="32">
        <v>0</v>
      </c>
      <c r="K182" s="44" t="s">
        <v>741</v>
      </c>
      <c r="M182" s="33" t="str">
        <f t="shared" si="2"/>
        <v/>
      </c>
      <c r="N182" s="34">
        <f>IFERROR(IF(Tabela1[[#This Row],[Nome fantasia]]="","",_xlfn.XLOOKUP($C182,Log!D:D,Log!B:B,,,-1)),"")</f>
        <v>45939</v>
      </c>
      <c r="O182" s="35" t="str">
        <f>IFERROR(_xlfn.XLOOKUP($C182,Log!D:D,Log!W:W,,,-1),"")</f>
        <v>FOLLOW UP 15</v>
      </c>
      <c r="P182" s="35" t="str">
        <f>IFERROR(_xlfn.XLOOKUP($C182,Log!D:D,Log!Y:Y,,,-1),"")</f>
        <v>COMPROU EM 1 CNPJ PARA TODAS AS LOJAS</v>
      </c>
      <c r="R182" s="26">
        <f>IFERROR(IF(Tabela1[[#This Row],[Nome fantasia]]="","",_xlfn.XLOOKUP($C182,Log!D:D,Log!X:X,,,-1)),"")</f>
        <v>45960</v>
      </c>
    </row>
    <row r="183" spans="3:18" hidden="1" x14ac:dyDescent="0.2">
      <c r="C183" s="30" t="s">
        <v>75</v>
      </c>
      <c r="D183" s="110" t="s">
        <v>76</v>
      </c>
      <c r="E183" s="33" t="s">
        <v>46</v>
      </c>
      <c r="F183" s="38" t="s">
        <v>12</v>
      </c>
      <c r="G183" s="38" t="s">
        <v>13</v>
      </c>
      <c r="H183" s="31">
        <v>1267.1099999999999</v>
      </c>
      <c r="I183" s="32">
        <v>26</v>
      </c>
      <c r="J183" s="32">
        <v>35.5</v>
      </c>
      <c r="K183" s="44" t="s">
        <v>741</v>
      </c>
      <c r="M183" s="33" t="str">
        <f t="shared" si="2"/>
        <v>Recompra</v>
      </c>
      <c r="N183" s="34">
        <f>IFERROR(IF(Tabela1[[#This Row],[Nome fantasia]]="","",_xlfn.XLOOKUP($C183,Log!D:D,Log!B:B,,,-1)),"")</f>
        <v>46006</v>
      </c>
      <c r="O183" s="35" t="str">
        <f>IFERROR(_xlfn.XLOOKUP($C183,Log!D:D,Log!W:W,,,-1),"")</f>
        <v>EM ATENDIMENTO</v>
      </c>
      <c r="P183" s="35" t="str">
        <f>IFERROR(_xlfn.XLOOKUP($C183,Log!D:D,Log!Y:Y,,,-1),"")</f>
        <v>FEITO CONTATO PARA POSSIVEL RECOMPRA</v>
      </c>
      <c r="R183" s="26">
        <f>IFERROR(IF(Tabela1[[#This Row],[Nome fantasia]]="","",_xlfn.XLOOKUP($C183,Log!D:D,Log!X:X,,,-1)),"")</f>
        <v>46008</v>
      </c>
    </row>
    <row r="184" spans="3:18" hidden="1" x14ac:dyDescent="0.2">
      <c r="C184" s="30" t="s">
        <v>203</v>
      </c>
      <c r="D184" s="110" t="s">
        <v>204</v>
      </c>
      <c r="E184" s="33" t="s">
        <v>36</v>
      </c>
      <c r="F184" s="38" t="s">
        <v>53</v>
      </c>
      <c r="G184" s="38" t="s">
        <v>205</v>
      </c>
      <c r="H184" s="31">
        <v>1385.71</v>
      </c>
      <c r="I184" s="32">
        <v>55</v>
      </c>
      <c r="J184" s="32">
        <v>0</v>
      </c>
      <c r="K184" s="44" t="s">
        <v>741</v>
      </c>
      <c r="M184" s="33" t="str">
        <f t="shared" si="2"/>
        <v/>
      </c>
      <c r="N184" s="34">
        <f>IFERROR(IF(Tabela1[[#This Row],[Nome fantasia]]="","",_xlfn.XLOOKUP($C184,Log!D:D,Log!B:B,,,-1)),"")</f>
        <v>45926</v>
      </c>
      <c r="O184" s="35" t="str">
        <f>IFERROR(_xlfn.XLOOKUP($C184,Log!D:D,Log!W:W,,,-1),"")</f>
        <v>FOLLOW UP 15</v>
      </c>
      <c r="P184" s="35" t="str">
        <f>IFERROR(_xlfn.XLOOKUP($C184,Log!D:D,Log!Y:Y,,,-1),"")</f>
        <v>CLIENTE PEDIR RETORNO MAIS METADE DO MÊS</v>
      </c>
      <c r="R184" s="26">
        <f>IFERROR(IF(Tabela1[[#This Row],[Nome fantasia]]="","",_xlfn.XLOOKUP($C184,Log!D:D,Log!X:X,,,-1)),"")</f>
        <v>45947</v>
      </c>
    </row>
    <row r="185" spans="3:18" hidden="1" x14ac:dyDescent="0.2">
      <c r="C185" s="30" t="s">
        <v>206</v>
      </c>
      <c r="D185" s="110" t="s">
        <v>207</v>
      </c>
      <c r="E185" s="33" t="s">
        <v>208</v>
      </c>
      <c r="F185" s="38" t="s">
        <v>53</v>
      </c>
      <c r="G185" s="38" t="s">
        <v>205</v>
      </c>
      <c r="H185" s="31">
        <v>1699.72</v>
      </c>
      <c r="I185" s="32">
        <v>55</v>
      </c>
      <c r="J185" s="32">
        <v>84</v>
      </c>
      <c r="K185" s="44" t="s">
        <v>741</v>
      </c>
      <c r="M185" s="33" t="str">
        <f t="shared" si="2"/>
        <v>Recompra</v>
      </c>
      <c r="N185" s="34">
        <f>IFERROR(IF(Tabela1[[#This Row],[Nome fantasia]]="","",_xlfn.XLOOKUP($C185,Log!D:D,Log!B:B,,,-1)),"")</f>
        <v>45882</v>
      </c>
      <c r="O185" s="35" t="str">
        <f>IFERROR(_xlfn.XLOOKUP($C185,Log!D:D,Log!W:W,,,-1),"")</f>
        <v>VENDA</v>
      </c>
      <c r="P185" s="35" t="str">
        <f>IFERROR(_xlfn.XLOOKUP($C185,Log!D:D,Log!Y:Y,,,-1),"")</f>
        <v xml:space="preserve">RECOMPRA </v>
      </c>
      <c r="R185" s="26">
        <f>IFERROR(IF(Tabela1[[#This Row],[Nome fantasia]]="","",_xlfn.XLOOKUP($C185,Log!D:D,Log!X:X,,,-1)),"")</f>
        <v>45945</v>
      </c>
    </row>
    <row r="186" spans="3:18" hidden="1" x14ac:dyDescent="0.2">
      <c r="C186" s="30" t="s">
        <v>69</v>
      </c>
      <c r="D186" s="110" t="s">
        <v>70</v>
      </c>
      <c r="E186" s="33" t="s">
        <v>71</v>
      </c>
      <c r="F186" s="38" t="s">
        <v>12</v>
      </c>
      <c r="G186" s="38" t="s">
        <v>72</v>
      </c>
      <c r="H186" s="31">
        <v>1715.21</v>
      </c>
      <c r="I186" s="32">
        <v>39</v>
      </c>
      <c r="J186" s="32">
        <v>88</v>
      </c>
      <c r="K186" s="44" t="s">
        <v>741</v>
      </c>
      <c r="M186" s="33" t="str">
        <f t="shared" si="2"/>
        <v>Recompra</v>
      </c>
      <c r="N186" s="34">
        <f>IFERROR(IF(Tabela1[[#This Row],[Nome fantasia]]="","",_xlfn.XLOOKUP($C186,Log!D:D,Log!B:B,,,-1)),"")</f>
        <v>45898</v>
      </c>
      <c r="O186" s="35" t="str">
        <f>IFERROR(_xlfn.XLOOKUP($C186,Log!D:D,Log!W:W,,,-1),"")</f>
        <v>VENDA</v>
      </c>
      <c r="P186" s="35" t="str">
        <f>IFERROR(_xlfn.XLOOKUP($C186,Log!D:D,Log!Y:Y,,,-1),"")</f>
        <v xml:space="preserve">RECOMPRA </v>
      </c>
      <c r="R186" s="26">
        <f>IFERROR(IF(Tabela1[[#This Row],[Nome fantasia]]="","",_xlfn.XLOOKUP($C186,Log!D:D,Log!X:X,,,-1)),"")</f>
        <v>45961</v>
      </c>
    </row>
    <row r="187" spans="3:18" hidden="1" x14ac:dyDescent="0.2">
      <c r="C187" s="30" t="s">
        <v>79</v>
      </c>
      <c r="D187" s="110" t="s">
        <v>80</v>
      </c>
      <c r="E187" s="33" t="s">
        <v>31</v>
      </c>
      <c r="F187" s="38" t="s">
        <v>12</v>
      </c>
      <c r="G187" s="38" t="s">
        <v>72</v>
      </c>
      <c r="H187" s="31">
        <v>3767.53</v>
      </c>
      <c r="I187" s="32">
        <v>39</v>
      </c>
      <c r="J187" s="32">
        <v>0</v>
      </c>
      <c r="K187" s="44" t="s">
        <v>741</v>
      </c>
      <c r="M187" s="33" t="str">
        <f t="shared" si="2"/>
        <v/>
      </c>
      <c r="N187" s="34">
        <f>IFERROR(IF(Tabela1[[#This Row],[Nome fantasia]]="","",_xlfn.XLOOKUP($C187,Log!D:D,Log!B:B,,,-1)),"")</f>
        <v>45898</v>
      </c>
      <c r="O187" s="35" t="str">
        <f>IFERROR(_xlfn.XLOOKUP($C187,Log!D:D,Log!W:W,,,-1),"")</f>
        <v>VENDA</v>
      </c>
      <c r="P187" s="35" t="str">
        <f>IFERROR(_xlfn.XLOOKUP($C187,Log!D:D,Log!Y:Y,,,-1),"")</f>
        <v xml:space="preserve">RECOMPRA </v>
      </c>
      <c r="R187" s="26">
        <f>IFERROR(IF(Tabela1[[#This Row],[Nome fantasia]]="","",_xlfn.XLOOKUP($C187,Log!D:D,Log!X:X,,,-1)),"")</f>
        <v>45961</v>
      </c>
    </row>
    <row r="188" spans="3:18" hidden="1" x14ac:dyDescent="0.2">
      <c r="C188" s="30" t="s">
        <v>77</v>
      </c>
      <c r="D188" s="110" t="s">
        <v>78</v>
      </c>
      <c r="E188" s="33" t="s">
        <v>17</v>
      </c>
      <c r="F188" s="38" t="s">
        <v>12</v>
      </c>
      <c r="G188" s="38" t="s">
        <v>72</v>
      </c>
      <c r="H188" s="31">
        <v>2969.26</v>
      </c>
      <c r="I188" s="123">
        <v>39</v>
      </c>
      <c r="J188" s="32">
        <v>0</v>
      </c>
      <c r="K188" s="44" t="s">
        <v>741</v>
      </c>
      <c r="M188" s="33" t="str">
        <f t="shared" si="2"/>
        <v/>
      </c>
      <c r="N188" s="34">
        <f>IFERROR(IF(Tabela1[[#This Row],[Nome fantasia]]="","",_xlfn.XLOOKUP($C188,Log!D:D,Log!B:B,,,-1)),"")</f>
        <v>45898</v>
      </c>
      <c r="O188" s="35" t="str">
        <f>IFERROR(_xlfn.XLOOKUP($C188,Log!D:D,Log!W:W,,,-1),"")</f>
        <v>VENDA</v>
      </c>
      <c r="P188" s="35" t="str">
        <f>IFERROR(_xlfn.XLOOKUP($C188,Log!D:D,Log!Y:Y,,,-1),"")</f>
        <v xml:space="preserve">RECOMPRA </v>
      </c>
      <c r="R188" s="26">
        <f>IFERROR(IF(Tabela1[[#This Row],[Nome fantasia]]="","",_xlfn.XLOOKUP($C188,Log!D:D,Log!X:X,,,-1)),"")</f>
        <v>45961</v>
      </c>
    </row>
    <row r="189" spans="3:18" hidden="1" x14ac:dyDescent="0.2">
      <c r="C189" s="30" t="s">
        <v>214</v>
      </c>
      <c r="D189" s="110" t="s">
        <v>215</v>
      </c>
      <c r="E189" s="33" t="s">
        <v>26</v>
      </c>
      <c r="F189" s="38" t="s">
        <v>53</v>
      </c>
      <c r="G189" s="38" t="s">
        <v>205</v>
      </c>
      <c r="H189" s="31">
        <v>2105.0500000000002</v>
      </c>
      <c r="I189" s="32">
        <v>55</v>
      </c>
      <c r="J189" s="32">
        <v>0</v>
      </c>
      <c r="K189" s="44" t="s">
        <v>741</v>
      </c>
      <c r="M189" s="33" t="str">
        <f t="shared" si="2"/>
        <v/>
      </c>
      <c r="N189" s="34">
        <f>IFERROR(IF(Tabela1[[#This Row],[Nome fantasia]]="","",_xlfn.XLOOKUP($C189,Log!D:D,Log!B:B,,,-1)),"")</f>
        <v>45882</v>
      </c>
      <c r="O189" s="35" t="str">
        <f>IFERROR(_xlfn.XLOOKUP($C189,Log!D:D,Log!W:W,,,-1),"")</f>
        <v>VENDA</v>
      </c>
      <c r="P189" s="35" t="str">
        <f>IFERROR(_xlfn.XLOOKUP($C189,Log!D:D,Log!Y:Y,,,-1),"")</f>
        <v xml:space="preserve">RECOMPRA </v>
      </c>
      <c r="R189" s="26">
        <f>IFERROR(IF(Tabela1[[#This Row],[Nome fantasia]]="","",_xlfn.XLOOKUP($C189,Log!D:D,Log!X:X,,,-1)),"")</f>
        <v>45945</v>
      </c>
    </row>
    <row r="190" spans="3:18" hidden="1" x14ac:dyDescent="0.2">
      <c r="C190" s="30" t="s">
        <v>57</v>
      </c>
      <c r="D190" s="110" t="s">
        <v>58</v>
      </c>
      <c r="E190" s="33" t="s">
        <v>59</v>
      </c>
      <c r="F190" s="38" t="s">
        <v>12</v>
      </c>
      <c r="G190" s="38" t="s">
        <v>60</v>
      </c>
      <c r="H190" s="31">
        <v>1216.68</v>
      </c>
      <c r="I190" s="32">
        <v>35</v>
      </c>
      <c r="J190" s="32">
        <v>61</v>
      </c>
      <c r="K190" s="44" t="s">
        <v>741</v>
      </c>
      <c r="M190" s="33" t="str">
        <f t="shared" si="2"/>
        <v>Recompra</v>
      </c>
      <c r="N190" s="34">
        <f>IFERROR(IF(Tabela1[[#This Row],[Nome fantasia]]="","",_xlfn.XLOOKUP($C190,Log!D:D,Log!B:B,,,-1)),"")</f>
        <v>45902</v>
      </c>
      <c r="O190" s="35" t="str">
        <f>IFERROR(_xlfn.XLOOKUP($C190,Log!D:D,Log!W:W,,,-1),"")</f>
        <v>VENDA</v>
      </c>
      <c r="P190" s="35" t="str">
        <f>IFERROR(_xlfn.XLOOKUP($C190,Log!D:D,Log!Y:Y,,,-1),"")</f>
        <v xml:space="preserve">RECOMPRA </v>
      </c>
      <c r="R190" s="26">
        <f>IFERROR(IF(Tabela1[[#This Row],[Nome fantasia]]="","",_xlfn.XLOOKUP($C190,Log!D:D,Log!X:X,,,-1)),"")</f>
        <v>45965</v>
      </c>
    </row>
    <row r="191" spans="3:18" hidden="1" x14ac:dyDescent="0.2">
      <c r="C191" s="30" t="s">
        <v>218</v>
      </c>
      <c r="D191" s="110" t="s">
        <v>219</v>
      </c>
      <c r="E191" s="33" t="s">
        <v>11</v>
      </c>
      <c r="F191" s="38" t="s">
        <v>220</v>
      </c>
      <c r="G191" s="38" t="s">
        <v>205</v>
      </c>
      <c r="H191" s="31">
        <v>1012.6</v>
      </c>
      <c r="I191" s="32">
        <v>55</v>
      </c>
      <c r="J191" s="32">
        <v>0</v>
      </c>
      <c r="K191" s="44" t="s">
        <v>741</v>
      </c>
      <c r="M191" s="33" t="str">
        <f t="shared" si="2"/>
        <v/>
      </c>
      <c r="N191" s="34">
        <f>IFERROR(IF(Tabela1[[#This Row],[Nome fantasia]]="","",_xlfn.XLOOKUP($C191,Log!D:D,Log!B:B,,,-1)),"")</f>
        <v>45882</v>
      </c>
      <c r="O191" s="35" t="str">
        <f>IFERROR(_xlfn.XLOOKUP($C191,Log!D:D,Log!W:W,,,-1),"")</f>
        <v>VENDA</v>
      </c>
      <c r="P191" s="35" t="str">
        <f>IFERROR(_xlfn.XLOOKUP($C191,Log!D:D,Log!Y:Y,,,-1),"")</f>
        <v xml:space="preserve">RECOMPRA </v>
      </c>
      <c r="R191" s="26">
        <f>IFERROR(IF(Tabela1[[#This Row],[Nome fantasia]]="","",_xlfn.XLOOKUP($C191,Log!D:D,Log!X:X,,,-1)),"")</f>
        <v>45945</v>
      </c>
    </row>
    <row r="192" spans="3:18" hidden="1" x14ac:dyDescent="0.2">
      <c r="C192" s="30" t="s">
        <v>63</v>
      </c>
      <c r="D192" s="110" t="s">
        <v>64</v>
      </c>
      <c r="E192" s="33" t="s">
        <v>31</v>
      </c>
      <c r="F192" s="38" t="s">
        <v>12</v>
      </c>
      <c r="G192" s="38" t="s">
        <v>60</v>
      </c>
      <c r="H192" s="31">
        <v>2021.53</v>
      </c>
      <c r="I192" s="32">
        <v>35</v>
      </c>
      <c r="J192" s="32">
        <v>0</v>
      </c>
      <c r="K192" s="44" t="s">
        <v>741</v>
      </c>
      <c r="M192" s="33" t="str">
        <f t="shared" si="2"/>
        <v/>
      </c>
      <c r="N192" s="34">
        <f>IFERROR(IF(Tabela1[[#This Row],[Nome fantasia]]="","",_xlfn.XLOOKUP($C192,Log!D:D,Log!B:B,,,-1)),"")</f>
        <v>45902</v>
      </c>
      <c r="O192" s="35" t="str">
        <f>IFERROR(_xlfn.XLOOKUP($C192,Log!D:D,Log!W:W,,,-1),"")</f>
        <v>VENDA</v>
      </c>
      <c r="P192" s="35" t="str">
        <f>IFERROR(_xlfn.XLOOKUP($C192,Log!D:D,Log!Y:Y,,,-1),"")</f>
        <v xml:space="preserve">RECOMPRA </v>
      </c>
      <c r="R192" s="26">
        <f>IFERROR(IF(Tabela1[[#This Row],[Nome fantasia]]="","",_xlfn.XLOOKUP($C192,Log!D:D,Log!X:X,,,-1)),"")</f>
        <v>45965</v>
      </c>
    </row>
    <row r="193" spans="3:18" hidden="1" x14ac:dyDescent="0.2">
      <c r="C193" s="30" t="s">
        <v>61</v>
      </c>
      <c r="D193" s="110" t="s">
        <v>62</v>
      </c>
      <c r="E193" s="33" t="s">
        <v>17</v>
      </c>
      <c r="F193" s="38" t="s">
        <v>12</v>
      </c>
      <c r="G193" s="38" t="s">
        <v>60</v>
      </c>
      <c r="H193" s="31">
        <v>1387.75</v>
      </c>
      <c r="I193" s="123">
        <v>35</v>
      </c>
      <c r="J193" s="32">
        <v>0</v>
      </c>
      <c r="K193" s="44" t="s">
        <v>741</v>
      </c>
      <c r="M193" s="33" t="str">
        <f t="shared" si="2"/>
        <v/>
      </c>
      <c r="N193" s="34">
        <f>IFERROR(IF(Tabela1[[#This Row],[Nome fantasia]]="","",_xlfn.XLOOKUP($C193,Log!D:D,Log!B:B,,,-1)),"")</f>
        <v>45902</v>
      </c>
      <c r="O193" s="35" t="str">
        <f>IFERROR(_xlfn.XLOOKUP($C193,Log!D:D,Log!W:W,,,-1),"")</f>
        <v>VENDA</v>
      </c>
      <c r="P193" s="35" t="str">
        <f>IFERROR(_xlfn.XLOOKUP($C193,Log!D:D,Log!Y:Y,,,-1),"")</f>
        <v xml:space="preserve">RECOMPRA </v>
      </c>
      <c r="R193" s="26">
        <f>IFERROR(IF(Tabela1[[#This Row],[Nome fantasia]]="","",_xlfn.XLOOKUP($C193,Log!D:D,Log!X:X,,,-1)),"")</f>
        <v>45965</v>
      </c>
    </row>
    <row r="194" spans="3:18" hidden="1" x14ac:dyDescent="0.2">
      <c r="C194" s="30" t="s">
        <v>55</v>
      </c>
      <c r="D194" s="110" t="s">
        <v>56</v>
      </c>
      <c r="E194" s="33" t="s">
        <v>11</v>
      </c>
      <c r="F194" s="38" t="s">
        <v>12</v>
      </c>
      <c r="G194" s="38" t="s">
        <v>54</v>
      </c>
      <c r="H194" s="31">
        <v>1873.36</v>
      </c>
      <c r="I194" s="32">
        <v>34</v>
      </c>
      <c r="J194" s="32">
        <v>22</v>
      </c>
      <c r="K194" s="44" t="s">
        <v>741</v>
      </c>
      <c r="M194" s="33" t="str">
        <f t="shared" si="2"/>
        <v>Recompra</v>
      </c>
      <c r="N194" s="34">
        <f>IFERROR(IF(Tabela1[[#This Row],[Nome fantasia]]="","",_xlfn.XLOOKUP($C194,Log!D:D,Log!B:B,,,-1)),"")</f>
        <v>45903</v>
      </c>
      <c r="O194" s="35" t="str">
        <f>IFERROR(_xlfn.XLOOKUP($C194,Log!D:D,Log!W:W,,,-1),"")</f>
        <v>VENDA</v>
      </c>
      <c r="P194" s="35" t="str">
        <f>IFERROR(_xlfn.XLOOKUP($C194,Log!D:D,Log!Y:Y,,,-1),"")</f>
        <v xml:space="preserve">RECOMPRA </v>
      </c>
      <c r="R194" s="26">
        <f>IFERROR(IF(Tabela1[[#This Row],[Nome fantasia]]="","",_xlfn.XLOOKUP($C194,Log!D:D,Log!X:X,,,-1)),"")</f>
        <v>45966</v>
      </c>
    </row>
    <row r="195" spans="3:18" hidden="1" x14ac:dyDescent="0.2">
      <c r="C195" s="30" t="s">
        <v>34</v>
      </c>
      <c r="D195" s="110" t="s">
        <v>35</v>
      </c>
      <c r="E195" s="33" t="s">
        <v>36</v>
      </c>
      <c r="F195" s="38" t="s">
        <v>12</v>
      </c>
      <c r="G195" s="38" t="s">
        <v>33</v>
      </c>
      <c r="H195" s="31">
        <v>2873.11</v>
      </c>
      <c r="I195" s="32">
        <v>33</v>
      </c>
      <c r="J195" s="32">
        <v>90</v>
      </c>
      <c r="K195" s="44" t="s">
        <v>741</v>
      </c>
      <c r="M195" s="33" t="str">
        <f t="shared" ref="M195:M258" si="3">IF(OR(J195&lt;=0,J195=""),"","Recompra")</f>
        <v>Recompra</v>
      </c>
      <c r="N195" s="34">
        <f>IFERROR(IF(Tabela1[[#This Row],[Nome fantasia]]="","",_xlfn.XLOOKUP($C195,Log!D:D,Log!B:B,,,-1)),"")</f>
        <v>45904</v>
      </c>
      <c r="O195" s="35" t="str">
        <f>IFERROR(_xlfn.XLOOKUP($C195,Log!D:D,Log!W:W,,,-1),"")</f>
        <v>VENDA</v>
      </c>
      <c r="P195" s="35" t="str">
        <f>IFERROR(_xlfn.XLOOKUP($C195,Log!D:D,Log!Y:Y,,,-1),"")</f>
        <v xml:space="preserve">RECOMPRA </v>
      </c>
      <c r="R195" s="26">
        <f>IFERROR(IF(Tabela1[[#This Row],[Nome fantasia]]="","",_xlfn.XLOOKUP($C195,Log!D:D,Log!X:X,,,-1)),"")</f>
        <v>45967</v>
      </c>
    </row>
    <row r="196" spans="3:18" hidden="1" x14ac:dyDescent="0.2">
      <c r="C196" s="30" t="s">
        <v>230</v>
      </c>
      <c r="D196" s="110" t="s">
        <v>231</v>
      </c>
      <c r="E196" s="33" t="s">
        <v>145</v>
      </c>
      <c r="F196" s="38" t="s">
        <v>53</v>
      </c>
      <c r="G196" s="38" t="s">
        <v>223</v>
      </c>
      <c r="H196" s="31">
        <v>2217.02</v>
      </c>
      <c r="I196" s="32">
        <v>56</v>
      </c>
      <c r="J196" s="32">
        <v>0</v>
      </c>
      <c r="K196" s="44" t="s">
        <v>741</v>
      </c>
      <c r="M196" s="33" t="str">
        <f t="shared" si="3"/>
        <v/>
      </c>
      <c r="N196" s="34">
        <f>IFERROR(IF(Tabela1[[#This Row],[Nome fantasia]]="","",_xlfn.XLOOKUP($C196,Log!D:D,Log!B:B,,,-1)),"")</f>
        <v>45881</v>
      </c>
      <c r="O196" s="35" t="str">
        <f>IFERROR(_xlfn.XLOOKUP($C196,Log!D:D,Log!W:W,,,-1),"")</f>
        <v>VENDA</v>
      </c>
      <c r="P196" s="35" t="str">
        <f>IFERROR(_xlfn.XLOOKUP($C196,Log!D:D,Log!Y:Y,,,-1),"")</f>
        <v xml:space="preserve">RECOMPRA </v>
      </c>
      <c r="R196" s="26">
        <f>IFERROR(IF(Tabela1[[#This Row],[Nome fantasia]]="","",_xlfn.XLOOKUP($C196,Log!D:D,Log!X:X,,,-1)),"")</f>
        <v>45944</v>
      </c>
    </row>
    <row r="197" spans="3:18" hidden="1" x14ac:dyDescent="0.2">
      <c r="C197" s="30" t="s">
        <v>232</v>
      </c>
      <c r="D197" s="110" t="s">
        <v>233</v>
      </c>
      <c r="E197" s="33" t="s">
        <v>140</v>
      </c>
      <c r="F197" s="38" t="s">
        <v>53</v>
      </c>
      <c r="G197" s="38" t="s">
        <v>223</v>
      </c>
      <c r="H197" s="31">
        <v>9180</v>
      </c>
      <c r="I197" s="32">
        <v>56</v>
      </c>
      <c r="J197" s="32">
        <v>63</v>
      </c>
      <c r="K197" s="44" t="s">
        <v>741</v>
      </c>
      <c r="M197" s="33" t="str">
        <f t="shared" si="3"/>
        <v>Recompra</v>
      </c>
      <c r="N197" s="34">
        <f>IFERROR(IF(Tabela1[[#This Row],[Nome fantasia]]="","",_xlfn.XLOOKUP($C197,Log!D:D,Log!B:B,,,-1)),"")</f>
        <v>45881</v>
      </c>
      <c r="O197" s="35" t="str">
        <f>IFERROR(_xlfn.XLOOKUP($C197,Log!D:D,Log!W:W,,,-1),"")</f>
        <v>VENDA</v>
      </c>
      <c r="P197" s="35" t="str">
        <f>IFERROR(_xlfn.XLOOKUP($C197,Log!D:D,Log!Y:Y,,,-1),"")</f>
        <v xml:space="preserve">RECOMPRA </v>
      </c>
      <c r="R197" s="26">
        <f>IFERROR(IF(Tabela1[[#This Row],[Nome fantasia]]="","",_xlfn.XLOOKUP($C197,Log!D:D,Log!X:X,,,-1)),"")</f>
        <v>45944</v>
      </c>
    </row>
    <row r="198" spans="3:18" hidden="1" x14ac:dyDescent="0.2">
      <c r="C198" s="30" t="s">
        <v>234</v>
      </c>
      <c r="D198" s="110" t="s">
        <v>235</v>
      </c>
      <c r="E198" s="33" t="s">
        <v>140</v>
      </c>
      <c r="F198" s="38" t="s">
        <v>53</v>
      </c>
      <c r="G198" s="38" t="s">
        <v>223</v>
      </c>
      <c r="H198" s="31">
        <v>6768.79</v>
      </c>
      <c r="I198" s="32">
        <v>56</v>
      </c>
      <c r="J198" s="32">
        <v>0</v>
      </c>
      <c r="K198" s="44" t="s">
        <v>741</v>
      </c>
      <c r="M198" s="33" t="str">
        <f t="shared" si="3"/>
        <v/>
      </c>
      <c r="N198" s="34">
        <f>IFERROR(IF(Tabela1[[#This Row],[Nome fantasia]]="","",_xlfn.XLOOKUP($C198,Log!D:D,Log!B:B,,,-1)),"")</f>
        <v>45881</v>
      </c>
      <c r="O198" s="35" t="str">
        <f>IFERROR(_xlfn.XLOOKUP($C198,Log!D:D,Log!W:W,,,-1),"")</f>
        <v>VENDA</v>
      </c>
      <c r="P198" s="35" t="str">
        <f>IFERROR(_xlfn.XLOOKUP($C198,Log!D:D,Log!Y:Y,,,-1),"")</f>
        <v xml:space="preserve">RECOMPRA </v>
      </c>
      <c r="R198" s="26">
        <f>IFERROR(IF(Tabela1[[#This Row],[Nome fantasia]]="","",_xlfn.XLOOKUP($C198,Log!D:D,Log!X:X,,,-1)),"")</f>
        <v>45944</v>
      </c>
    </row>
    <row r="199" spans="3:18" hidden="1" x14ac:dyDescent="0.2">
      <c r="C199" s="30" t="s">
        <v>236</v>
      </c>
      <c r="D199" s="110" t="s">
        <v>237</v>
      </c>
      <c r="E199" s="33" t="s">
        <v>11</v>
      </c>
      <c r="F199" s="38" t="s">
        <v>220</v>
      </c>
      <c r="G199" s="38" t="s">
        <v>223</v>
      </c>
      <c r="H199" s="31">
        <v>898.7</v>
      </c>
      <c r="I199" s="32">
        <v>56</v>
      </c>
      <c r="J199" s="32">
        <v>40</v>
      </c>
      <c r="K199" s="44" t="s">
        <v>741</v>
      </c>
      <c r="M199" s="33" t="str">
        <f t="shared" si="3"/>
        <v>Recompra</v>
      </c>
      <c r="N199" s="34">
        <f>IFERROR(IF(Tabela1[[#This Row],[Nome fantasia]]="","",_xlfn.XLOOKUP($C199,Log!D:D,Log!B:B,,,-1)),"")</f>
        <v>45881</v>
      </c>
      <c r="O199" s="35" t="str">
        <f>IFERROR(_xlfn.XLOOKUP($C199,Log!D:D,Log!W:W,,,-1),"")</f>
        <v>VENDA</v>
      </c>
      <c r="P199" s="35" t="str">
        <f>IFERROR(_xlfn.XLOOKUP($C199,Log!D:D,Log!Y:Y,,,-1),"")</f>
        <v xml:space="preserve">RECOMPRA </v>
      </c>
      <c r="R199" s="26">
        <f>IFERROR(IF(Tabela1[[#This Row],[Nome fantasia]]="","",_xlfn.XLOOKUP($C199,Log!D:D,Log!X:X,,,-1)),"")</f>
        <v>45944</v>
      </c>
    </row>
    <row r="200" spans="3:18" hidden="1" x14ac:dyDescent="0.2">
      <c r="C200" s="30" t="s">
        <v>37</v>
      </c>
      <c r="D200" s="110" t="s">
        <v>38</v>
      </c>
      <c r="E200" s="33" t="s">
        <v>11</v>
      </c>
      <c r="F200" s="38" t="s">
        <v>12</v>
      </c>
      <c r="G200" s="38" t="s">
        <v>33</v>
      </c>
      <c r="H200" s="31">
        <v>769.47</v>
      </c>
      <c r="I200" s="32">
        <v>33</v>
      </c>
      <c r="J200" s="32">
        <v>30</v>
      </c>
      <c r="K200" s="44" t="s">
        <v>741</v>
      </c>
      <c r="M200" s="33" t="str">
        <f t="shared" si="3"/>
        <v>Recompra</v>
      </c>
      <c r="N200" s="34">
        <f>IFERROR(IF(Tabela1[[#This Row],[Nome fantasia]]="","",_xlfn.XLOOKUP($C200,Log!D:D,Log!B:B,,,-1)),"")</f>
        <v>45904</v>
      </c>
      <c r="O200" s="35" t="str">
        <f>IFERROR(_xlfn.XLOOKUP($C200,Log!D:D,Log!W:W,,,-1),"")</f>
        <v>VENDA</v>
      </c>
      <c r="P200" s="35" t="str">
        <f>IFERROR(_xlfn.XLOOKUP($C200,Log!D:D,Log!Y:Y,,,-1),"")</f>
        <v xml:space="preserve">RECOMPRA </v>
      </c>
      <c r="R200" s="26">
        <f>IFERROR(IF(Tabela1[[#This Row],[Nome fantasia]]="","",_xlfn.XLOOKUP($C200,Log!D:D,Log!X:X,,,-1)),"")</f>
        <v>45967</v>
      </c>
    </row>
    <row r="201" spans="3:18" hidden="1" x14ac:dyDescent="0.2">
      <c r="C201" s="30" t="s">
        <v>240</v>
      </c>
      <c r="D201" s="110" t="s">
        <v>241</v>
      </c>
      <c r="E201" s="33" t="s">
        <v>67</v>
      </c>
      <c r="F201" s="38" t="s">
        <v>53</v>
      </c>
      <c r="G201" s="38" t="s">
        <v>242</v>
      </c>
      <c r="H201" s="31">
        <v>3280.39</v>
      </c>
      <c r="I201" s="32">
        <v>57</v>
      </c>
      <c r="J201" s="32">
        <v>48.5</v>
      </c>
      <c r="K201" s="44" t="s">
        <v>741</v>
      </c>
      <c r="M201" s="33" t="str">
        <f t="shared" si="3"/>
        <v>Recompra</v>
      </c>
      <c r="N201" s="34">
        <f>IFERROR(IF(Tabela1[[#This Row],[Nome fantasia]]="","",_xlfn.XLOOKUP($C201,Log!D:D,Log!B:B,,,-1)),"")</f>
        <v>45880</v>
      </c>
      <c r="O201" s="35" t="str">
        <f>IFERROR(_xlfn.XLOOKUP($C201,Log!D:D,Log!W:W,,,-1),"")</f>
        <v>VENDA</v>
      </c>
      <c r="P201" s="35" t="str">
        <f>IFERROR(_xlfn.XLOOKUP($C201,Log!D:D,Log!Y:Y,,,-1),"")</f>
        <v xml:space="preserve">RECOMPRA </v>
      </c>
      <c r="R201" s="26">
        <f>IFERROR(IF(Tabela1[[#This Row],[Nome fantasia]]="","",_xlfn.XLOOKUP($C201,Log!D:D,Log!X:X,,,-1)),"")</f>
        <v>45943</v>
      </c>
    </row>
    <row r="202" spans="3:18" hidden="1" x14ac:dyDescent="0.2">
      <c r="C202" s="30" t="s">
        <v>243</v>
      </c>
      <c r="D202" s="110" t="s">
        <v>244</v>
      </c>
      <c r="E202" s="33" t="s">
        <v>11</v>
      </c>
      <c r="F202" s="38" t="s">
        <v>53</v>
      </c>
      <c r="G202" s="38" t="s">
        <v>242</v>
      </c>
      <c r="H202" s="31">
        <v>5337.2</v>
      </c>
      <c r="I202" s="32">
        <v>57</v>
      </c>
      <c r="J202" s="32">
        <v>33</v>
      </c>
      <c r="K202" s="44" t="s">
        <v>741</v>
      </c>
      <c r="M202" s="33" t="str">
        <f t="shared" si="3"/>
        <v>Recompra</v>
      </c>
      <c r="N202" s="34">
        <f>IFERROR(IF(Tabela1[[#This Row],[Nome fantasia]]="","",_xlfn.XLOOKUP($C202,Log!D:D,Log!B:B,,,-1)),"")</f>
        <v>45880</v>
      </c>
      <c r="O202" s="35" t="str">
        <f>IFERROR(_xlfn.XLOOKUP($C202,Log!D:D,Log!W:W,,,-1),"")</f>
        <v>VENDA</v>
      </c>
      <c r="P202" s="35" t="str">
        <f>IFERROR(_xlfn.XLOOKUP($C202,Log!D:D,Log!Y:Y,,,-1),"")</f>
        <v xml:space="preserve">RECOMPRA </v>
      </c>
      <c r="R202" s="26">
        <f>IFERROR(IF(Tabela1[[#This Row],[Nome fantasia]]="","",_xlfn.XLOOKUP($C202,Log!D:D,Log!X:X,,,-1)),"")</f>
        <v>45943</v>
      </c>
    </row>
    <row r="203" spans="3:18" hidden="1" x14ac:dyDescent="0.2">
      <c r="C203" s="30" t="s">
        <v>245</v>
      </c>
      <c r="D203" s="110" t="s">
        <v>246</v>
      </c>
      <c r="E203" s="33" t="s">
        <v>26</v>
      </c>
      <c r="F203" s="38" t="s">
        <v>53</v>
      </c>
      <c r="G203" s="38" t="s">
        <v>242</v>
      </c>
      <c r="H203" s="31">
        <v>2046.8</v>
      </c>
      <c r="I203" s="32">
        <v>57</v>
      </c>
      <c r="J203" s="32">
        <v>26</v>
      </c>
      <c r="K203" s="44" t="s">
        <v>741</v>
      </c>
      <c r="M203" s="33" t="str">
        <f t="shared" si="3"/>
        <v>Recompra</v>
      </c>
      <c r="N203" s="34">
        <f>IFERROR(IF(Tabela1[[#This Row],[Nome fantasia]]="","",_xlfn.XLOOKUP($C203,Log!D:D,Log!B:B,,,-1)),"")</f>
        <v>45880</v>
      </c>
      <c r="O203" s="35" t="str">
        <f>IFERROR(_xlfn.XLOOKUP($C203,Log!D:D,Log!W:W,,,-1),"")</f>
        <v>VENDA</v>
      </c>
      <c r="P203" s="35" t="str">
        <f>IFERROR(_xlfn.XLOOKUP($C203,Log!D:D,Log!Y:Y,,,-1),"")</f>
        <v xml:space="preserve">RECOMPRA </v>
      </c>
      <c r="R203" s="26">
        <f>IFERROR(IF(Tabela1[[#This Row],[Nome fantasia]]="","",_xlfn.XLOOKUP($C203,Log!D:D,Log!X:X,,,-1)),"")</f>
        <v>45943</v>
      </c>
    </row>
    <row r="204" spans="3:18" hidden="1" x14ac:dyDescent="0.2">
      <c r="C204" s="30" t="s">
        <v>42</v>
      </c>
      <c r="D204" s="110" t="s">
        <v>43</v>
      </c>
      <c r="E204" s="33" t="s">
        <v>11</v>
      </c>
      <c r="F204" s="38" t="s">
        <v>12</v>
      </c>
      <c r="G204" s="38" t="s">
        <v>33</v>
      </c>
      <c r="H204" s="31">
        <v>397.4</v>
      </c>
      <c r="I204" s="32">
        <v>33</v>
      </c>
      <c r="J204" s="32">
        <v>10.5</v>
      </c>
      <c r="K204" s="44" t="s">
        <v>741</v>
      </c>
      <c r="M204" s="33" t="str">
        <f t="shared" si="3"/>
        <v>Recompra</v>
      </c>
      <c r="N204" s="34">
        <f>IFERROR(IF(Tabela1[[#This Row],[Nome fantasia]]="","",_xlfn.XLOOKUP($C204,Log!D:D,Log!B:B,,,-1)),"")</f>
        <v>45904</v>
      </c>
      <c r="O204" s="35" t="str">
        <f>IFERROR(_xlfn.XLOOKUP($C204,Log!D:D,Log!W:W,,,-1),"")</f>
        <v>VENDA</v>
      </c>
      <c r="P204" s="35" t="str">
        <f>IFERROR(_xlfn.XLOOKUP($C204,Log!D:D,Log!Y:Y,,,-1),"")</f>
        <v xml:space="preserve">RECOMPRA </v>
      </c>
      <c r="R204" s="26">
        <f>IFERROR(IF(Tabela1[[#This Row],[Nome fantasia]]="","",_xlfn.XLOOKUP($C204,Log!D:D,Log!X:X,,,-1)),"")</f>
        <v>45967</v>
      </c>
    </row>
    <row r="205" spans="3:18" hidden="1" x14ac:dyDescent="0.2">
      <c r="C205" s="30" t="s">
        <v>249</v>
      </c>
      <c r="D205" s="110" t="s">
        <v>250</v>
      </c>
      <c r="E205" s="33" t="s">
        <v>46</v>
      </c>
      <c r="F205" s="38" t="s">
        <v>32</v>
      </c>
      <c r="G205" s="38" t="s">
        <v>242</v>
      </c>
      <c r="H205" s="31">
        <v>1256.1199999999999</v>
      </c>
      <c r="I205" s="32">
        <v>57</v>
      </c>
      <c r="J205" s="32">
        <v>0</v>
      </c>
      <c r="K205" s="44" t="s">
        <v>741</v>
      </c>
      <c r="M205" s="33" t="str">
        <f t="shared" si="3"/>
        <v/>
      </c>
      <c r="N205" s="34">
        <f>IFERROR(IF(Tabela1[[#This Row],[Nome fantasia]]="","",_xlfn.XLOOKUP($C205,Log!D:D,Log!B:B,,,-1)),"")</f>
        <v>45880</v>
      </c>
      <c r="O205" s="35" t="str">
        <f>IFERROR(_xlfn.XLOOKUP($C205,Log!D:D,Log!W:W,,,-1),"")</f>
        <v>VENDA</v>
      </c>
      <c r="P205" s="35" t="str">
        <f>IFERROR(_xlfn.XLOOKUP($C205,Log!D:D,Log!Y:Y,,,-1),"")</f>
        <v xml:space="preserve">RECOMPRA </v>
      </c>
      <c r="R205" s="26">
        <f>IFERROR(IF(Tabela1[[#This Row],[Nome fantasia]]="","",_xlfn.XLOOKUP($C205,Log!D:D,Log!X:X,,,-1)),"")</f>
        <v>45943</v>
      </c>
    </row>
    <row r="206" spans="3:18" hidden="1" x14ac:dyDescent="0.2">
      <c r="C206" s="30" t="s">
        <v>27</v>
      </c>
      <c r="D206" s="110" t="s">
        <v>28</v>
      </c>
      <c r="E206" s="33" t="s">
        <v>17</v>
      </c>
      <c r="F206" s="38" t="s">
        <v>12</v>
      </c>
      <c r="G206" s="38" t="s">
        <v>23</v>
      </c>
      <c r="H206" s="31">
        <v>1560.86</v>
      </c>
      <c r="I206" s="123">
        <v>32</v>
      </c>
      <c r="J206" s="32">
        <v>0</v>
      </c>
      <c r="K206" s="44" t="s">
        <v>741</v>
      </c>
      <c r="M206" s="33" t="str">
        <f t="shared" si="3"/>
        <v/>
      </c>
      <c r="N206" s="34">
        <f>IFERROR(IF(Tabela1[[#This Row],[Nome fantasia]]="","",_xlfn.XLOOKUP($C206,Log!D:D,Log!B:B,,,-1)),"")</f>
        <v>46006</v>
      </c>
      <c r="O206" s="35" t="str">
        <f>IFERROR(_xlfn.XLOOKUP($C206,Log!D:D,Log!W:W,,,-1),"")</f>
        <v>EM ATENDIMENTO</v>
      </c>
      <c r="P206" s="35" t="str">
        <f>IFERROR(_xlfn.XLOOKUP($C206,Log!D:D,Log!Y:Y,,,-1),"")</f>
        <v>FEITO CONTATO PARA POSSIVEL RECOMPRA</v>
      </c>
      <c r="R206" s="26">
        <f>IFERROR(IF(Tabela1[[#This Row],[Nome fantasia]]="","",_xlfn.XLOOKUP($C206,Log!D:D,Log!X:X,,,-1)),"")</f>
        <v>46008</v>
      </c>
    </row>
    <row r="207" spans="3:18" hidden="1" x14ac:dyDescent="0.2">
      <c r="C207" s="30" t="s">
        <v>9</v>
      </c>
      <c r="D207" s="110" t="s">
        <v>10</v>
      </c>
      <c r="E207" s="33" t="s">
        <v>11</v>
      </c>
      <c r="F207" s="38" t="s">
        <v>12</v>
      </c>
      <c r="G207" s="38" t="s">
        <v>13</v>
      </c>
      <c r="H207" s="31">
        <v>1134</v>
      </c>
      <c r="I207" s="32">
        <v>26</v>
      </c>
      <c r="J207" s="32"/>
      <c r="K207" s="44" t="s">
        <v>741</v>
      </c>
      <c r="M207" s="33" t="str">
        <f t="shared" si="3"/>
        <v/>
      </c>
      <c r="N207" s="34">
        <f>IFERROR(IF(Tabela1[[#This Row],[Nome fantasia]]="","",_xlfn.XLOOKUP($C207,Log!D:D,Log!B:B,,,-1)),"")</f>
        <v>45911</v>
      </c>
      <c r="O207" s="35" t="str">
        <f>IFERROR(_xlfn.XLOOKUP($C207,Log!D:D,Log!W:W,,,-1),"")</f>
        <v>VENDA</v>
      </c>
      <c r="P207" s="35">
        <f>IFERROR(_xlfn.XLOOKUP($C207,Log!D:D,Log!Y:Y,,,-1),"")</f>
        <v>0</v>
      </c>
      <c r="R207" s="26">
        <f>IFERROR(IF(Tabela1[[#This Row],[Nome fantasia]]="","",_xlfn.XLOOKUP($C207,Log!D:D,Log!X:X,,,-1)),"")</f>
        <v>45974</v>
      </c>
    </row>
    <row r="208" spans="3:18" hidden="1" x14ac:dyDescent="0.2">
      <c r="C208" s="30" t="s">
        <v>834</v>
      </c>
      <c r="D208" s="110" t="s">
        <v>835</v>
      </c>
      <c r="E208" s="33" t="s">
        <v>17</v>
      </c>
      <c r="F208" s="38" t="s">
        <v>829</v>
      </c>
      <c r="G208" s="38" t="s">
        <v>933</v>
      </c>
      <c r="H208" s="31" t="s">
        <v>933</v>
      </c>
      <c r="I208" s="32" t="s">
        <v>933</v>
      </c>
      <c r="J208" s="32" t="s">
        <v>933</v>
      </c>
      <c r="K208" s="45" t="s">
        <v>888</v>
      </c>
      <c r="L208" s="129"/>
      <c r="M208" s="33" t="str">
        <f t="shared" si="3"/>
        <v>Recompra</v>
      </c>
      <c r="N208" s="34">
        <f>IFERROR(IF(Tabela1[[#This Row],[Nome fantasia]]="","",_xlfn.XLOOKUP($C208,Log!D:D,Log!B:B,,,-1)),"")</f>
        <v>45915</v>
      </c>
      <c r="O208" s="35" t="str">
        <f>IFERROR(_xlfn.XLOOKUP($C208,Log!D:D,Log!W:W,,,-1),"")</f>
        <v>VENDA</v>
      </c>
      <c r="P208" s="35" t="str">
        <f>IFERROR(_xlfn.XLOOKUP($C208,Log!D:D,Log!Y:Y,,,-1),"")</f>
        <v>REDE QUITANDINHA</v>
      </c>
      <c r="Q208" s="130"/>
      <c r="R208" s="26">
        <f>IFERROR(IF(Tabela1[[#This Row],[Nome fantasia]]="","",_xlfn.XLOOKUP($C208,Log!D:D,Log!X:X,,,-1)),"")</f>
        <v>45978</v>
      </c>
    </row>
    <row r="209" spans="3:18" hidden="1" x14ac:dyDescent="0.2">
      <c r="C209" s="30" t="s">
        <v>209</v>
      </c>
      <c r="D209" s="110" t="s">
        <v>210</v>
      </c>
      <c r="E209" s="33" t="s">
        <v>17</v>
      </c>
      <c r="F209" s="38" t="s">
        <v>12</v>
      </c>
      <c r="G209" s="38" t="s">
        <v>1168</v>
      </c>
      <c r="H209" s="31">
        <v>1310.86</v>
      </c>
      <c r="I209" s="32">
        <v>21</v>
      </c>
      <c r="J209" s="32">
        <v>45</v>
      </c>
      <c r="K209" s="44" t="s">
        <v>741</v>
      </c>
      <c r="M209" s="33" t="str">
        <f t="shared" si="3"/>
        <v>Recompra</v>
      </c>
      <c r="N209" s="34">
        <f>IFERROR(IF(Tabela1[[#This Row],[Nome fantasia]]="","",_xlfn.XLOOKUP($C209,Log!D:D,Log!B:B,,,-1)),"")</f>
        <v>45951</v>
      </c>
      <c r="O209" s="35" t="str">
        <f>IFERROR(_xlfn.XLOOKUP($C209,Log!D:D,Log!W:W,,,-1),"")</f>
        <v>VENDA</v>
      </c>
      <c r="P209" s="35" t="str">
        <f>IFERROR(_xlfn.XLOOKUP($C209,Log!D:D,Log!Y:Y,,,-1),"")</f>
        <v>VENDA FINALIZADA</v>
      </c>
      <c r="R209" s="26">
        <f>IFERROR(IF(Tabela1[[#This Row],[Nome fantasia]]="","",_xlfn.XLOOKUP($C209,Log!D:D,Log!X:X,,,-1)),"")</f>
        <v>46014</v>
      </c>
    </row>
    <row r="210" spans="3:18" hidden="1" x14ac:dyDescent="0.2">
      <c r="C210" s="30" t="s">
        <v>209</v>
      </c>
      <c r="D210" s="110" t="s">
        <v>211</v>
      </c>
      <c r="E210" s="33" t="s">
        <v>17</v>
      </c>
      <c r="F210" s="38" t="s">
        <v>12</v>
      </c>
      <c r="G210" s="38" t="s">
        <v>1168</v>
      </c>
      <c r="H210" s="31">
        <v>908.9</v>
      </c>
      <c r="I210" s="32">
        <v>21</v>
      </c>
      <c r="J210" s="32">
        <v>45</v>
      </c>
      <c r="K210" s="44" t="s">
        <v>741</v>
      </c>
      <c r="M210" s="33" t="str">
        <f t="shared" si="3"/>
        <v>Recompra</v>
      </c>
      <c r="N210" s="34">
        <f>IFERROR(IF(Tabela1[[#This Row],[Nome fantasia]]="","",_xlfn.XLOOKUP($C210,Log!D:D,Log!B:B,,,-1)),"")</f>
        <v>45951</v>
      </c>
      <c r="O210" s="35" t="str">
        <f>IFERROR(_xlfn.XLOOKUP($C210,Log!D:D,Log!W:W,,,-1),"")</f>
        <v>VENDA</v>
      </c>
      <c r="P210" s="35" t="str">
        <f>IFERROR(_xlfn.XLOOKUP($C210,Log!D:D,Log!Y:Y,,,-1),"")</f>
        <v>VENDA FINALIZADA</v>
      </c>
      <c r="R210" s="26">
        <f>IFERROR(IF(Tabela1[[#This Row],[Nome fantasia]]="","",_xlfn.XLOOKUP($C210,Log!D:D,Log!X:X,,,-1)),"")</f>
        <v>46014</v>
      </c>
    </row>
    <row r="211" spans="3:18" hidden="1" x14ac:dyDescent="0.2">
      <c r="C211" s="30" t="s">
        <v>212</v>
      </c>
      <c r="D211" s="110" t="s">
        <v>213</v>
      </c>
      <c r="E211" s="33" t="s">
        <v>17</v>
      </c>
      <c r="F211" s="38" t="s">
        <v>12</v>
      </c>
      <c r="G211" s="38" t="s">
        <v>1168</v>
      </c>
      <c r="H211" s="31">
        <v>2887.26</v>
      </c>
      <c r="I211" s="32">
        <v>21</v>
      </c>
      <c r="J211" s="32">
        <v>45</v>
      </c>
      <c r="K211" s="44" t="s">
        <v>741</v>
      </c>
      <c r="M211" s="33" t="str">
        <f t="shared" si="3"/>
        <v>Recompra</v>
      </c>
      <c r="N211" s="34">
        <f>IFERROR(IF(Tabela1[[#This Row],[Nome fantasia]]="","",_xlfn.XLOOKUP($C211,Log!D:D,Log!B:B,,,-1)),"")</f>
        <v>45950</v>
      </c>
      <c r="O211" s="35" t="str">
        <f>IFERROR(_xlfn.XLOOKUP($C211,Log!D:D,Log!W:W,,,-1),"")</f>
        <v>EM ATENDIMENTO</v>
      </c>
      <c r="P211" s="35" t="str">
        <f>IFERROR(_xlfn.XLOOKUP($C211,Log!D:D,Log!Y:Y,,,-1),"")</f>
        <v xml:space="preserve">DAIANE ESTA TENTANDO CONTATO COM O MESMO </v>
      </c>
      <c r="R211" s="26">
        <f>IFERROR(IF(Tabela1[[#This Row],[Nome fantasia]]="","",_xlfn.XLOOKUP($C211,Log!D:D,Log!X:X,,,-1)),"")</f>
        <v>45952</v>
      </c>
    </row>
    <row r="212" spans="3:18" hidden="1" x14ac:dyDescent="0.2">
      <c r="C212" s="30" t="s">
        <v>280</v>
      </c>
      <c r="D212" s="110" t="s">
        <v>281</v>
      </c>
      <c r="E212" s="33" t="s">
        <v>22</v>
      </c>
      <c r="F212" s="38" t="s">
        <v>12</v>
      </c>
      <c r="G212" s="38" t="s">
        <v>1148</v>
      </c>
      <c r="H212" s="31">
        <v>798</v>
      </c>
      <c r="I212" s="32">
        <v>13</v>
      </c>
      <c r="J212" s="32">
        <v>49</v>
      </c>
      <c r="K212" s="44" t="s">
        <v>741</v>
      </c>
      <c r="M212" s="33" t="str">
        <f t="shared" si="3"/>
        <v>Recompra</v>
      </c>
      <c r="N212" s="34">
        <f>IFERROR(IF(Tabela1[[#This Row],[Nome fantasia]]="","",_xlfn.XLOOKUP($C212,Log!D:D,Log!B:B,,,-1)),"")</f>
        <v>46001</v>
      </c>
      <c r="O212" s="35" t="str">
        <f>IFERROR(_xlfn.XLOOKUP($C212,Log!D:D,Log!W:W,,,-1),"")</f>
        <v>FOLLOW UP 15</v>
      </c>
      <c r="P212" s="35" t="str">
        <f>IFERROR(_xlfn.XLOOKUP($C212,Log!D:D,Log!Y:Y,,,-1),"")</f>
        <v>NÃO VAI COMPRAR MAIS ESSE ANO</v>
      </c>
      <c r="R212" s="26">
        <f>IFERROR(IF(Tabela1[[#This Row],[Nome fantasia]]="","",_xlfn.XLOOKUP($C212,Log!D:D,Log!X:X,,,-1)),"")</f>
        <v>46022</v>
      </c>
    </row>
    <row r="213" spans="3:18" hidden="1" x14ac:dyDescent="0.2">
      <c r="C213" s="30" t="s">
        <v>296</v>
      </c>
      <c r="D213" s="110" t="s">
        <v>297</v>
      </c>
      <c r="E213" s="33" t="s">
        <v>17</v>
      </c>
      <c r="F213" s="38" t="s">
        <v>32</v>
      </c>
      <c r="G213" s="38" t="s">
        <v>298</v>
      </c>
      <c r="H213" s="31">
        <v>643.96</v>
      </c>
      <c r="I213" s="32">
        <v>68</v>
      </c>
      <c r="J213" s="32">
        <v>0</v>
      </c>
      <c r="K213" s="44" t="s">
        <v>741</v>
      </c>
      <c r="M213" s="33" t="str">
        <f t="shared" si="3"/>
        <v/>
      </c>
      <c r="N213" s="34" t="str">
        <f>IFERROR(IF(Tabela1[[#This Row],[Nome fantasia]]="","",_xlfn.XLOOKUP($C213,Log!D:D,Log!B:B,,,-1)),"")</f>
        <v/>
      </c>
      <c r="O213" s="35" t="str">
        <f>IFERROR(_xlfn.XLOOKUP($C213,Log!D:D,Log!W:W,,,-1),"")</f>
        <v/>
      </c>
      <c r="P213" s="35" t="str">
        <f>IFERROR(_xlfn.XLOOKUP($C213,Log!D:D,Log!Y:Y,,,-1),"")</f>
        <v/>
      </c>
      <c r="R213" s="26" t="str">
        <f>IFERROR(IF(Tabela1[[#This Row],[Nome fantasia]]="","",_xlfn.XLOOKUP($C213,Log!D:D,Log!X:X,,,-1)),"")</f>
        <v/>
      </c>
    </row>
    <row r="214" spans="3:18" hidden="1" x14ac:dyDescent="0.2">
      <c r="C214" s="30" t="s">
        <v>296</v>
      </c>
      <c r="D214" s="110" t="s">
        <v>299</v>
      </c>
      <c r="E214" s="33" t="s">
        <v>17</v>
      </c>
      <c r="F214" s="38" t="s">
        <v>32</v>
      </c>
      <c r="G214" s="38" t="s">
        <v>298</v>
      </c>
      <c r="H214" s="31">
        <v>643.96</v>
      </c>
      <c r="I214" s="32">
        <v>68</v>
      </c>
      <c r="J214" s="32">
        <v>17.5</v>
      </c>
      <c r="K214" s="44" t="s">
        <v>741</v>
      </c>
      <c r="M214" s="33" t="str">
        <f t="shared" si="3"/>
        <v>Recompra</v>
      </c>
      <c r="N214" s="34" t="str">
        <f>IFERROR(IF(Tabela1[[#This Row],[Nome fantasia]]="","",_xlfn.XLOOKUP($C214,Log!D:D,Log!B:B,,,-1)),"")</f>
        <v/>
      </c>
      <c r="O214" s="35" t="str">
        <f>IFERROR(_xlfn.XLOOKUP($C214,Log!D:D,Log!W:W,,,-1),"")</f>
        <v/>
      </c>
      <c r="P214" s="35" t="str">
        <f>IFERROR(_xlfn.XLOOKUP($C214,Log!D:D,Log!Y:Y,,,-1),"")</f>
        <v/>
      </c>
      <c r="R214" s="26" t="str">
        <f>IFERROR(IF(Tabela1[[#This Row],[Nome fantasia]]="","",_xlfn.XLOOKUP($C214,Log!D:D,Log!X:X,,,-1)),"")</f>
        <v/>
      </c>
    </row>
    <row r="215" spans="3:18" hidden="1" x14ac:dyDescent="0.2">
      <c r="C215" s="30" t="s">
        <v>304</v>
      </c>
      <c r="D215" s="110" t="s">
        <v>305</v>
      </c>
      <c r="E215" s="33" t="s">
        <v>46</v>
      </c>
      <c r="F215" s="38" t="s">
        <v>32</v>
      </c>
      <c r="G215" s="38" t="s">
        <v>1164</v>
      </c>
      <c r="H215" s="31">
        <v>692.03</v>
      </c>
      <c r="I215" s="32">
        <v>19</v>
      </c>
      <c r="J215" s="32">
        <v>49</v>
      </c>
      <c r="K215" s="44" t="s">
        <v>741</v>
      </c>
      <c r="M215" s="33" t="str">
        <f t="shared" si="3"/>
        <v>Recompra</v>
      </c>
      <c r="N215" s="34">
        <f>IFERROR(IF(Tabela1[[#This Row],[Nome fantasia]]="","",_xlfn.XLOOKUP($C215,Log!D:D,Log!B:B,,,-1)),"")</f>
        <v>46006</v>
      </c>
      <c r="O215" s="35" t="str">
        <f>IFERROR(_xlfn.XLOOKUP($C215,Log!D:D,Log!W:W,,,-1),"")</f>
        <v>VENDA</v>
      </c>
      <c r="P215" s="35" t="str">
        <f>IFERROR(_xlfn.XLOOKUP($C215,Log!D:D,Log!Y:Y,,,-1),"")</f>
        <v>VENDA FINALIZADA</v>
      </c>
      <c r="R215" s="26">
        <f>IFERROR(IF(Tabela1[[#This Row],[Nome fantasia]]="","",_xlfn.XLOOKUP($C215,Log!D:D,Log!X:X,,,-1)),"")</f>
        <v>46069</v>
      </c>
    </row>
    <row r="216" spans="3:18" hidden="1" x14ac:dyDescent="0.2">
      <c r="C216" s="30" t="s">
        <v>306</v>
      </c>
      <c r="D216" s="110" t="s">
        <v>307</v>
      </c>
      <c r="E216" s="33" t="s">
        <v>11</v>
      </c>
      <c r="F216" s="38" t="s">
        <v>53</v>
      </c>
      <c r="G216" s="38" t="s">
        <v>308</v>
      </c>
      <c r="H216" s="31">
        <v>2077.88</v>
      </c>
      <c r="I216" s="32">
        <v>69</v>
      </c>
      <c r="J216" s="32">
        <v>0</v>
      </c>
      <c r="K216" s="44" t="s">
        <v>741</v>
      </c>
      <c r="M216" s="33" t="str">
        <f t="shared" si="3"/>
        <v/>
      </c>
      <c r="N216" s="34" t="str">
        <f>IFERROR(IF(Tabela1[[#This Row],[Nome fantasia]]="","",_xlfn.XLOOKUP($C216,Log!D:D,Log!B:B,,,-1)),"")</f>
        <v/>
      </c>
      <c r="O216" s="35" t="str">
        <f>IFERROR(_xlfn.XLOOKUP($C216,Log!D:D,Log!W:W,,,-1),"")</f>
        <v/>
      </c>
      <c r="P216" s="35" t="str">
        <f>IFERROR(_xlfn.XLOOKUP($C216,Log!D:D,Log!Y:Y,,,-1),"")</f>
        <v/>
      </c>
      <c r="R216" s="26" t="str">
        <f>IFERROR(IF(Tabela1[[#This Row],[Nome fantasia]]="","",_xlfn.XLOOKUP($C216,Log!D:D,Log!X:X,,,-1)),"")</f>
        <v/>
      </c>
    </row>
    <row r="217" spans="3:18" hidden="1" x14ac:dyDescent="0.2">
      <c r="C217" s="30" t="s">
        <v>359</v>
      </c>
      <c r="D217" s="110" t="s">
        <v>360</v>
      </c>
      <c r="E217" s="33" t="s">
        <v>46</v>
      </c>
      <c r="F217" s="38" t="s">
        <v>12</v>
      </c>
      <c r="G217" s="38" t="s">
        <v>1148</v>
      </c>
      <c r="H217" s="31">
        <v>6573.58</v>
      </c>
      <c r="I217" s="32">
        <v>13</v>
      </c>
      <c r="J217" s="32">
        <v>32</v>
      </c>
      <c r="K217" s="44" t="s">
        <v>741</v>
      </c>
      <c r="M217" s="33" t="str">
        <f t="shared" si="3"/>
        <v>Recompra</v>
      </c>
      <c r="N217" s="34">
        <f>IFERROR(IF(Tabela1[[#This Row],[Nome fantasia]]="","",_xlfn.XLOOKUP($C217,Log!D:D,Log!B:B,,,-1)),"")</f>
        <v>46001</v>
      </c>
      <c r="O217" s="35" t="str">
        <f>IFERROR(_xlfn.XLOOKUP($C217,Log!D:D,Log!W:W,,,-1),"")</f>
        <v>FOLLOW UP 15</v>
      </c>
      <c r="P217" s="35" t="str">
        <f>IFERROR(_xlfn.XLOOKUP($C217,Log!D:D,Log!Y:Y,,,-1),"")</f>
        <v>MANDEI WHATSAPP INFORMANDO SOBRE O RECESSO</v>
      </c>
      <c r="R217" s="26">
        <f>IFERROR(IF(Tabela1[[#This Row],[Nome fantasia]]="","",_xlfn.XLOOKUP($C217,Log!D:D,Log!X:X,,,-1)),"")</f>
        <v>46022</v>
      </c>
    </row>
    <row r="218" spans="3:18" hidden="1" x14ac:dyDescent="0.2">
      <c r="C218" s="30" t="s">
        <v>311</v>
      </c>
      <c r="D218" s="110" t="s">
        <v>312</v>
      </c>
      <c r="E218" s="33" t="s">
        <v>36</v>
      </c>
      <c r="F218" s="38" t="s">
        <v>53</v>
      </c>
      <c r="G218" s="38" t="s">
        <v>308</v>
      </c>
      <c r="H218" s="31">
        <v>1862.11</v>
      </c>
      <c r="I218" s="32">
        <v>69</v>
      </c>
      <c r="J218" s="32">
        <v>111</v>
      </c>
      <c r="K218" s="44" t="s">
        <v>741</v>
      </c>
      <c r="M218" s="33" t="str">
        <f t="shared" si="3"/>
        <v>Recompra</v>
      </c>
      <c r="N218" s="34" t="str">
        <f>IFERROR(IF(Tabela1[[#This Row],[Nome fantasia]]="","",_xlfn.XLOOKUP($C218,Log!D:D,Log!B:B,,,-1)),"")</f>
        <v/>
      </c>
      <c r="O218" s="35" t="str">
        <f>IFERROR(_xlfn.XLOOKUP($C218,Log!D:D,Log!W:W,,,-1),"")</f>
        <v/>
      </c>
      <c r="P218" s="35" t="str">
        <f>IFERROR(_xlfn.XLOOKUP($C218,Log!D:D,Log!Y:Y,,,-1),"")</f>
        <v/>
      </c>
      <c r="R218" s="26" t="str">
        <f>IFERROR(IF(Tabela1[[#This Row],[Nome fantasia]]="","",_xlfn.XLOOKUP($C218,Log!D:D,Log!X:X,,,-1)),"")</f>
        <v/>
      </c>
    </row>
    <row r="219" spans="3:18" hidden="1" x14ac:dyDescent="0.2">
      <c r="C219" s="30" t="s">
        <v>313</v>
      </c>
      <c r="D219" s="110" t="s">
        <v>314</v>
      </c>
      <c r="E219" s="33" t="s">
        <v>46</v>
      </c>
      <c r="F219" s="38" t="s">
        <v>32</v>
      </c>
      <c r="G219" s="38" t="s">
        <v>315</v>
      </c>
      <c r="H219" s="31">
        <v>1942.07</v>
      </c>
      <c r="I219" s="32">
        <v>70</v>
      </c>
      <c r="J219" s="32">
        <v>16</v>
      </c>
      <c r="K219" s="44" t="s">
        <v>741</v>
      </c>
      <c r="M219" s="33" t="str">
        <f t="shared" si="3"/>
        <v>Recompra</v>
      </c>
      <c r="N219" s="34" t="str">
        <f>IFERROR(IF(Tabela1[[#This Row],[Nome fantasia]]="","",_xlfn.XLOOKUP($C219,Log!D:D,Log!B:B,,,-1)),"")</f>
        <v/>
      </c>
      <c r="O219" s="35" t="str">
        <f>IFERROR(_xlfn.XLOOKUP($C219,Log!D:D,Log!W:W,,,-1),"")</f>
        <v/>
      </c>
      <c r="P219" s="35" t="str">
        <f>IFERROR(_xlfn.XLOOKUP($C219,Log!D:D,Log!Y:Y,,,-1),"")</f>
        <v/>
      </c>
      <c r="R219" s="26" t="str">
        <f>IFERROR(IF(Tabela1[[#This Row],[Nome fantasia]]="","",_xlfn.XLOOKUP($C219,Log!D:D,Log!X:X,,,-1)),"")</f>
        <v/>
      </c>
    </row>
    <row r="220" spans="3:18" hidden="1" x14ac:dyDescent="0.2">
      <c r="C220" s="30" t="s">
        <v>324</v>
      </c>
      <c r="D220" s="110" t="s">
        <v>325</v>
      </c>
      <c r="E220" s="33" t="s">
        <v>140</v>
      </c>
      <c r="F220" s="38" t="s">
        <v>53</v>
      </c>
      <c r="G220" s="38" t="s">
        <v>315</v>
      </c>
      <c r="H220" s="31">
        <v>1500.53</v>
      </c>
      <c r="I220" s="32">
        <v>70</v>
      </c>
      <c r="J220" s="32">
        <v>0</v>
      </c>
      <c r="K220" s="44" t="s">
        <v>741</v>
      </c>
      <c r="M220" s="33" t="str">
        <f t="shared" si="3"/>
        <v/>
      </c>
      <c r="N220" s="34" t="str">
        <f>IFERROR(IF(Tabela1[[#This Row],[Nome fantasia]]="","",_xlfn.XLOOKUP($C220,Log!D:D,Log!B:B,,,-1)),"")</f>
        <v/>
      </c>
      <c r="O220" s="35" t="str">
        <f>IFERROR(_xlfn.XLOOKUP($C220,Log!D:D,Log!W:W,,,-1),"")</f>
        <v/>
      </c>
      <c r="P220" s="35" t="str">
        <f>IFERROR(_xlfn.XLOOKUP($C220,Log!D:D,Log!Y:Y,,,-1),"")</f>
        <v/>
      </c>
      <c r="R220" s="26" t="str">
        <f>IFERROR(IF(Tabela1[[#This Row],[Nome fantasia]]="","",_xlfn.XLOOKUP($C220,Log!D:D,Log!X:X,,,-1)),"")</f>
        <v/>
      </c>
    </row>
    <row r="221" spans="3:18" hidden="1" x14ac:dyDescent="0.2">
      <c r="C221" s="30" t="s">
        <v>326</v>
      </c>
      <c r="D221" s="110" t="s">
        <v>327</v>
      </c>
      <c r="E221" s="33" t="s">
        <v>328</v>
      </c>
      <c r="F221" s="38" t="s">
        <v>18</v>
      </c>
      <c r="G221" s="38" t="s">
        <v>315</v>
      </c>
      <c r="H221" s="31">
        <v>4632.41</v>
      </c>
      <c r="I221" s="32">
        <v>70</v>
      </c>
      <c r="J221" s="32">
        <v>0</v>
      </c>
      <c r="K221" s="44" t="s">
        <v>741</v>
      </c>
      <c r="M221" s="33" t="str">
        <f t="shared" si="3"/>
        <v/>
      </c>
      <c r="N221" s="34" t="str">
        <f>IFERROR(IF(Tabela1[[#This Row],[Nome fantasia]]="","",_xlfn.XLOOKUP($C221,Log!D:D,Log!B:B,,,-1)),"")</f>
        <v/>
      </c>
      <c r="O221" s="35" t="str">
        <f>IFERROR(_xlfn.XLOOKUP($C221,Log!D:D,Log!W:W,,,-1),"")</f>
        <v/>
      </c>
      <c r="P221" s="35" t="str">
        <f>IFERROR(_xlfn.XLOOKUP($C221,Log!D:D,Log!Y:Y,,,-1),"")</f>
        <v/>
      </c>
      <c r="R221" s="26" t="str">
        <f>IFERROR(IF(Tabela1[[#This Row],[Nome fantasia]]="","",_xlfn.XLOOKUP($C221,Log!D:D,Log!X:X,,,-1)),"")</f>
        <v/>
      </c>
    </row>
    <row r="222" spans="3:18" hidden="1" x14ac:dyDescent="0.2">
      <c r="C222" s="30" t="s">
        <v>190</v>
      </c>
      <c r="D222" s="110" t="s">
        <v>191</v>
      </c>
      <c r="E222" s="33" t="s">
        <v>46</v>
      </c>
      <c r="F222" s="38" t="s">
        <v>12</v>
      </c>
      <c r="G222" s="38" t="s">
        <v>1153</v>
      </c>
      <c r="H222" s="31">
        <v>1824.33</v>
      </c>
      <c r="I222" s="32">
        <v>14</v>
      </c>
      <c r="J222" s="32">
        <v>38</v>
      </c>
      <c r="K222" s="44" t="s">
        <v>741</v>
      </c>
      <c r="M222" s="33" t="str">
        <f t="shared" si="3"/>
        <v>Recompra</v>
      </c>
      <c r="N222" s="34">
        <f>IFERROR(IF(Tabela1[[#This Row],[Nome fantasia]]="","",_xlfn.XLOOKUP($C222,Log!D:D,Log!B:B,,,-1)),"")</f>
        <v>46000</v>
      </c>
      <c r="O222" s="35" t="str">
        <f>IFERROR(_xlfn.XLOOKUP($C222,Log!D:D,Log!W:W,,,-1),"")</f>
        <v>VENDA</v>
      </c>
      <c r="P222" s="35" t="str">
        <f>IFERROR(_xlfn.XLOOKUP($C222,Log!D:D,Log!Y:Y,,,-1),"")</f>
        <v>VENDA FINALIZADA</v>
      </c>
      <c r="R222" s="26">
        <f>IFERROR(IF(Tabela1[[#This Row],[Nome fantasia]]="","",_xlfn.XLOOKUP($C222,Log!D:D,Log!X:X,,,-1)),"")</f>
        <v>46063</v>
      </c>
    </row>
    <row r="223" spans="3:18" hidden="1" x14ac:dyDescent="0.2">
      <c r="C223" s="30" t="s">
        <v>224</v>
      </c>
      <c r="D223" s="110" t="s">
        <v>225</v>
      </c>
      <c r="E223" s="33" t="s">
        <v>22</v>
      </c>
      <c r="F223" s="38" t="s">
        <v>12</v>
      </c>
      <c r="G223" s="38" t="s">
        <v>1143</v>
      </c>
      <c r="H223" s="31">
        <v>945</v>
      </c>
      <c r="I223" s="32">
        <v>12</v>
      </c>
      <c r="J223" s="32">
        <v>22</v>
      </c>
      <c r="K223" s="44" t="s">
        <v>741</v>
      </c>
      <c r="M223" s="33" t="str">
        <f t="shared" si="3"/>
        <v>Recompra</v>
      </c>
      <c r="N223" s="34">
        <f>IFERROR(IF(Tabela1[[#This Row],[Nome fantasia]]="","",_xlfn.XLOOKUP($C223,Log!D:D,Log!B:B,,,-1)),"")</f>
        <v>45945</v>
      </c>
      <c r="O223" s="35" t="str">
        <f>IFERROR(_xlfn.XLOOKUP($C223,Log!D:D,Log!W:W,,,-1),"")</f>
        <v>ORÇAMENTO</v>
      </c>
      <c r="P223" s="35" t="str">
        <f>IFERROR(_xlfn.XLOOKUP($C223,Log!D:D,Log!Y:Y,,,-1),"")</f>
        <v>AGUARDANDO VALIDADES FRUFRUTA</v>
      </c>
      <c r="R223" s="26">
        <f>IFERROR(IF(Tabela1[[#This Row],[Nome fantasia]]="","",_xlfn.XLOOKUP($C223,Log!D:D,Log!X:X,,,-1)),"")</f>
        <v>45946</v>
      </c>
    </row>
    <row r="224" spans="3:18" hidden="1" x14ac:dyDescent="0.2">
      <c r="C224" s="30" t="s">
        <v>339</v>
      </c>
      <c r="D224" s="110" t="s">
        <v>340</v>
      </c>
      <c r="E224" s="33" t="s">
        <v>46</v>
      </c>
      <c r="F224" s="38" t="s">
        <v>32</v>
      </c>
      <c r="G224" s="38" t="s">
        <v>336</v>
      </c>
      <c r="H224" s="31">
        <v>1649.94</v>
      </c>
      <c r="I224" s="32">
        <v>74</v>
      </c>
      <c r="J224" s="32">
        <v>29</v>
      </c>
      <c r="K224" s="44" t="s">
        <v>741</v>
      </c>
      <c r="M224" s="33" t="str">
        <f t="shared" si="3"/>
        <v>Recompra</v>
      </c>
      <c r="N224" s="34" t="str">
        <f>IFERROR(IF(Tabela1[[#This Row],[Nome fantasia]]="","",_xlfn.XLOOKUP($C224,Log!D:D,Log!B:B,,,-1)),"")</f>
        <v/>
      </c>
      <c r="O224" s="35" t="str">
        <f>IFERROR(_xlfn.XLOOKUP($C224,Log!D:D,Log!W:W,,,-1),"")</f>
        <v/>
      </c>
      <c r="P224" s="35" t="str">
        <f>IFERROR(_xlfn.XLOOKUP($C224,Log!D:D,Log!Y:Y,,,-1),"")</f>
        <v/>
      </c>
      <c r="R224" s="26" t="str">
        <f>IFERROR(IF(Tabela1[[#This Row],[Nome fantasia]]="","",_xlfn.XLOOKUP($C224,Log!D:D,Log!X:X,,,-1)),"")</f>
        <v/>
      </c>
    </row>
    <row r="225" spans="3:18" hidden="1" x14ac:dyDescent="0.2">
      <c r="C225" s="30" t="s">
        <v>341</v>
      </c>
      <c r="D225" s="110" t="s">
        <v>342</v>
      </c>
      <c r="E225" s="33" t="s">
        <v>11</v>
      </c>
      <c r="F225" s="38" t="s">
        <v>53</v>
      </c>
      <c r="G225" s="38" t="s">
        <v>336</v>
      </c>
      <c r="H225" s="31">
        <v>699.37</v>
      </c>
      <c r="I225" s="32">
        <v>74</v>
      </c>
      <c r="J225" s="32">
        <v>0</v>
      </c>
      <c r="K225" s="44" t="s">
        <v>741</v>
      </c>
      <c r="M225" s="33" t="str">
        <f t="shared" si="3"/>
        <v/>
      </c>
      <c r="N225" s="34" t="str">
        <f>IFERROR(IF(Tabela1[[#This Row],[Nome fantasia]]="","",_xlfn.XLOOKUP($C225,Log!D:D,Log!B:B,,,-1)),"")</f>
        <v/>
      </c>
      <c r="O225" s="35" t="str">
        <f>IFERROR(_xlfn.XLOOKUP($C225,Log!D:D,Log!W:W,,,-1),"")</f>
        <v/>
      </c>
      <c r="P225" s="35" t="str">
        <f>IFERROR(_xlfn.XLOOKUP($C225,Log!D:D,Log!Y:Y,,,-1),"")</f>
        <v/>
      </c>
      <c r="R225" s="26" t="str">
        <f>IFERROR(IF(Tabela1[[#This Row],[Nome fantasia]]="","",_xlfn.XLOOKUP($C225,Log!D:D,Log!X:X,,,-1)),"")</f>
        <v/>
      </c>
    </row>
    <row r="226" spans="3:18" hidden="1" x14ac:dyDescent="0.2">
      <c r="C226" s="30" t="s">
        <v>343</v>
      </c>
      <c r="D226" s="110" t="s">
        <v>344</v>
      </c>
      <c r="E226" s="33" t="s">
        <v>41</v>
      </c>
      <c r="F226" s="38" t="s">
        <v>53</v>
      </c>
      <c r="G226" s="38" t="s">
        <v>336</v>
      </c>
      <c r="H226" s="31">
        <v>1184.3599999999999</v>
      </c>
      <c r="I226" s="32">
        <v>74</v>
      </c>
      <c r="J226" s="32">
        <v>0</v>
      </c>
      <c r="K226" s="44" t="s">
        <v>741</v>
      </c>
      <c r="M226" s="33" t="str">
        <f t="shared" si="3"/>
        <v/>
      </c>
      <c r="N226" s="34" t="str">
        <f>IFERROR(IF(Tabela1[[#This Row],[Nome fantasia]]="","",_xlfn.XLOOKUP($C226,Log!D:D,Log!B:B,,,-1)),"")</f>
        <v/>
      </c>
      <c r="O226" s="35" t="str">
        <f>IFERROR(_xlfn.XLOOKUP($C226,Log!D:D,Log!W:W,,,-1),"")</f>
        <v/>
      </c>
      <c r="P226" s="35" t="str">
        <f>IFERROR(_xlfn.XLOOKUP($C226,Log!D:D,Log!Y:Y,,,-1),"")</f>
        <v/>
      </c>
      <c r="R226" s="26" t="str">
        <f>IFERROR(IF(Tabela1[[#This Row],[Nome fantasia]]="","",_xlfn.XLOOKUP($C226,Log!D:D,Log!X:X,,,-1)),"")</f>
        <v/>
      </c>
    </row>
    <row r="227" spans="3:18" hidden="1" x14ac:dyDescent="0.2">
      <c r="C227" s="30" t="s">
        <v>856</v>
      </c>
      <c r="D227" s="110" t="s">
        <v>857</v>
      </c>
      <c r="E227" s="33" t="s">
        <v>328</v>
      </c>
      <c r="F227" s="38" t="s">
        <v>12</v>
      </c>
      <c r="G227" s="38" t="s">
        <v>933</v>
      </c>
      <c r="H227" s="31" t="s">
        <v>933</v>
      </c>
      <c r="I227" s="32" t="s">
        <v>933</v>
      </c>
      <c r="J227" s="32" t="s">
        <v>933</v>
      </c>
      <c r="K227" s="45" t="s">
        <v>888</v>
      </c>
      <c r="L227" s="129"/>
      <c r="M227" s="33" t="str">
        <f t="shared" si="3"/>
        <v>Recompra</v>
      </c>
      <c r="N227" s="34">
        <f>IFERROR(IF(Tabela1[[#This Row],[Nome fantasia]]="","",_xlfn.XLOOKUP($C227,Log!D:D,Log!B:B,,,-1)),"")</f>
        <v>45925</v>
      </c>
      <c r="O227" s="35" t="str">
        <f>IFERROR(_xlfn.XLOOKUP($C227,Log!D:D,Log!W:W,,,-1),"")</f>
        <v>VENDA</v>
      </c>
      <c r="P227" s="35" t="str">
        <f>IFERROR(_xlfn.XLOOKUP($C227,Log!D:D,Log!Y:Y,,,-1),"")</f>
        <v>VENDA FINALIZADA</v>
      </c>
      <c r="Q227" s="130"/>
      <c r="R227" s="26">
        <f>IFERROR(IF(Tabela1[[#This Row],[Nome fantasia]]="","",_xlfn.XLOOKUP($C227,Log!D:D,Log!X:X,,,-1)),"")</f>
        <v>45988</v>
      </c>
    </row>
    <row r="228" spans="3:18" hidden="1" x14ac:dyDescent="0.2">
      <c r="C228" s="30" t="s">
        <v>350</v>
      </c>
      <c r="D228" s="110" t="s">
        <v>351</v>
      </c>
      <c r="E228" s="33" t="s">
        <v>46</v>
      </c>
      <c r="F228" s="38" t="s">
        <v>32</v>
      </c>
      <c r="G228" s="38" t="s">
        <v>347</v>
      </c>
      <c r="H228" s="31">
        <v>1137.8399999999999</v>
      </c>
      <c r="I228" s="32">
        <v>75</v>
      </c>
      <c r="J228" s="32">
        <v>0</v>
      </c>
      <c r="K228" s="44" t="s">
        <v>741</v>
      </c>
      <c r="M228" s="33" t="str">
        <f t="shared" si="3"/>
        <v/>
      </c>
      <c r="N228" s="34" t="str">
        <f>IFERROR(IF(Tabela1[[#This Row],[Nome fantasia]]="","",_xlfn.XLOOKUP($C228,Log!D:D,Log!B:B,,,-1)),"")</f>
        <v/>
      </c>
      <c r="O228" s="35" t="str">
        <f>IFERROR(_xlfn.XLOOKUP($C228,Log!D:D,Log!W:W,,,-1),"")</f>
        <v/>
      </c>
      <c r="P228" s="35" t="str">
        <f>IFERROR(_xlfn.XLOOKUP($C228,Log!D:D,Log!Y:Y,,,-1),"")</f>
        <v/>
      </c>
      <c r="R228" s="26" t="str">
        <f>IFERROR(IF(Tabela1[[#This Row],[Nome fantasia]]="","",_xlfn.XLOOKUP($C228,Log!D:D,Log!X:X,,,-1)),"")</f>
        <v/>
      </c>
    </row>
    <row r="229" spans="3:18" hidden="1" x14ac:dyDescent="0.2">
      <c r="C229" s="30" t="s">
        <v>352</v>
      </c>
      <c r="D229" s="110" t="s">
        <v>353</v>
      </c>
      <c r="E229" s="33" t="s">
        <v>36</v>
      </c>
      <c r="F229" s="38" t="s">
        <v>18</v>
      </c>
      <c r="G229" s="38" t="s">
        <v>1153</v>
      </c>
      <c r="H229" s="31">
        <v>2174.7199999999998</v>
      </c>
      <c r="I229" s="32">
        <v>14</v>
      </c>
      <c r="J229" s="32">
        <v>69.5</v>
      </c>
      <c r="K229" s="44" t="s">
        <v>741</v>
      </c>
      <c r="M229" s="33" t="str">
        <f t="shared" si="3"/>
        <v>Recompra</v>
      </c>
      <c r="N229" s="34" t="str">
        <f>IFERROR(IF(Tabela1[[#This Row],[Nome fantasia]]="","",_xlfn.XLOOKUP($C229,Log!D:D,Log!B:B,,,-1)),"")</f>
        <v/>
      </c>
      <c r="O229" s="35" t="str">
        <f>IFERROR(_xlfn.XLOOKUP($C229,Log!D:D,Log!W:W,,,-1),"")</f>
        <v/>
      </c>
      <c r="P229" s="35" t="str">
        <f>IFERROR(_xlfn.XLOOKUP($C229,Log!D:D,Log!Y:Y,,,-1),"")</f>
        <v/>
      </c>
      <c r="R229" s="26" t="str">
        <f>IFERROR(IF(Tabela1[[#This Row],[Nome fantasia]]="","",_xlfn.XLOOKUP($C229,Log!D:D,Log!X:X,,,-1)),"")</f>
        <v/>
      </c>
    </row>
    <row r="230" spans="3:18" hidden="1" x14ac:dyDescent="0.2">
      <c r="C230" s="30" t="s">
        <v>856</v>
      </c>
      <c r="D230" s="110" t="s">
        <v>857</v>
      </c>
      <c r="E230" s="33" t="s">
        <v>328</v>
      </c>
      <c r="F230" s="38" t="s">
        <v>829</v>
      </c>
      <c r="G230" s="38" t="s">
        <v>933</v>
      </c>
      <c r="H230" s="31" t="s">
        <v>933</v>
      </c>
      <c r="I230" s="32" t="s">
        <v>933</v>
      </c>
      <c r="J230" s="32" t="s">
        <v>933</v>
      </c>
      <c r="K230" s="45" t="s">
        <v>888</v>
      </c>
      <c r="L230" s="129"/>
      <c r="M230" s="33" t="str">
        <f t="shared" si="3"/>
        <v>Recompra</v>
      </c>
      <c r="N230" s="34">
        <f>IFERROR(IF(Tabela1[[#This Row],[Nome fantasia]]="","",_xlfn.XLOOKUP($C230,Log!D:D,Log!B:B,,,-1)),"")</f>
        <v>45925</v>
      </c>
      <c r="O230" s="35" t="str">
        <f>IFERROR(_xlfn.XLOOKUP($C230,Log!D:D,Log!W:W,,,-1),"")</f>
        <v>VENDA</v>
      </c>
      <c r="P230" s="35" t="str">
        <f>IFERROR(_xlfn.XLOOKUP($C230,Log!D:D,Log!Y:Y,,,-1),"")</f>
        <v>VENDA FINALIZADA</v>
      </c>
      <c r="Q230" s="130"/>
      <c r="R230" s="26">
        <f>IFERROR(IF(Tabela1[[#This Row],[Nome fantasia]]="","",_xlfn.XLOOKUP($C230,Log!D:D,Log!X:X,,,-1)),"")</f>
        <v>45988</v>
      </c>
    </row>
    <row r="231" spans="3:18" hidden="1" x14ac:dyDescent="0.2">
      <c r="C231" s="30" t="s">
        <v>357</v>
      </c>
      <c r="D231" s="110" t="s">
        <v>358</v>
      </c>
      <c r="E231" s="33" t="s">
        <v>26</v>
      </c>
      <c r="F231" s="38" t="s">
        <v>53</v>
      </c>
      <c r="G231" s="38" t="s">
        <v>354</v>
      </c>
      <c r="H231" s="31">
        <v>737.38</v>
      </c>
      <c r="I231" s="32">
        <v>77</v>
      </c>
      <c r="J231" s="32">
        <v>56</v>
      </c>
      <c r="K231" s="44" t="s">
        <v>741</v>
      </c>
      <c r="M231" s="33" t="str">
        <f t="shared" si="3"/>
        <v>Recompra</v>
      </c>
      <c r="N231" s="34" t="str">
        <f>IFERROR(IF(Tabela1[[#This Row],[Nome fantasia]]="","",_xlfn.XLOOKUP($C231,Log!D:D,Log!B:B,,,-1)),"")</f>
        <v/>
      </c>
      <c r="O231" s="35" t="str">
        <f>IFERROR(_xlfn.XLOOKUP($C231,Log!D:D,Log!W:W,,,-1),"")</f>
        <v/>
      </c>
      <c r="P231" s="35" t="str">
        <f>IFERROR(_xlfn.XLOOKUP($C231,Log!D:D,Log!Y:Y,,,-1),"")</f>
        <v/>
      </c>
      <c r="R231" s="26" t="str">
        <f>IFERROR(IF(Tabela1[[#This Row],[Nome fantasia]]="","",_xlfn.XLOOKUP($C231,Log!D:D,Log!X:X,,,-1)),"")</f>
        <v/>
      </c>
    </row>
    <row r="232" spans="3:18" hidden="1" x14ac:dyDescent="0.2">
      <c r="C232" s="30" t="s">
        <v>361</v>
      </c>
      <c r="D232" s="110" t="s">
        <v>362</v>
      </c>
      <c r="E232" s="33" t="s">
        <v>11</v>
      </c>
      <c r="F232" s="38" t="s">
        <v>53</v>
      </c>
      <c r="G232" s="38" t="s">
        <v>363</v>
      </c>
      <c r="H232" s="31">
        <v>2287.64</v>
      </c>
      <c r="I232" s="32">
        <v>78</v>
      </c>
      <c r="J232" s="32">
        <v>0</v>
      </c>
      <c r="K232" s="44" t="s">
        <v>741</v>
      </c>
      <c r="M232" s="33" t="str">
        <f t="shared" si="3"/>
        <v/>
      </c>
      <c r="N232" s="34" t="str">
        <f>IFERROR(IF(Tabela1[[#This Row],[Nome fantasia]]="","",_xlfn.XLOOKUP($C232,Log!D:D,Log!B:B,,,-1)),"")</f>
        <v/>
      </c>
      <c r="O232" s="35" t="str">
        <f>IFERROR(_xlfn.XLOOKUP($C232,Log!D:D,Log!W:W,,,-1),"")</f>
        <v/>
      </c>
      <c r="P232" s="35" t="str">
        <f>IFERROR(_xlfn.XLOOKUP($C232,Log!D:D,Log!Y:Y,,,-1),"")</f>
        <v/>
      </c>
      <c r="R232" s="26" t="str">
        <f>IFERROR(IF(Tabela1[[#This Row],[Nome fantasia]]="","",_xlfn.XLOOKUP($C232,Log!D:D,Log!X:X,,,-1)),"")</f>
        <v/>
      </c>
    </row>
    <row r="233" spans="3:18" x14ac:dyDescent="0.2">
      <c r="C233" s="30" t="s">
        <v>99</v>
      </c>
      <c r="D233" s="110" t="s">
        <v>100</v>
      </c>
      <c r="E233" s="33" t="s">
        <v>46</v>
      </c>
      <c r="F233" s="38" t="s">
        <v>12</v>
      </c>
      <c r="G233" s="38" t="s">
        <v>96</v>
      </c>
      <c r="H233" s="31">
        <v>1148.79</v>
      </c>
      <c r="I233" s="32">
        <v>12</v>
      </c>
      <c r="J233" s="32">
        <v>21.5</v>
      </c>
      <c r="K233" s="44" t="s">
        <v>741</v>
      </c>
      <c r="M233" s="33" t="str">
        <f t="shared" si="3"/>
        <v>Recompra</v>
      </c>
      <c r="N233" s="34">
        <f>IFERROR(IF(Tabela1[[#This Row],[Nome fantasia]]="","",_xlfn.XLOOKUP($C233,Log!D:D,Log!B:B,,,-1)),"")</f>
        <v>46006</v>
      </c>
      <c r="O233" s="35" t="str">
        <f>IFERROR(_xlfn.XLOOKUP($C233,Log!D:D,Log!W:W,,,-1),"")</f>
        <v>ORÇAMENTO</v>
      </c>
      <c r="P233" s="35" t="str">
        <f>IFERROR(_xlfn.XLOOKUP($C233,Log!D:D,Log!Y:Y,,,-1),"")</f>
        <v>AGUARDANDO APROVAÇÃO DE ORÇAMENTO</v>
      </c>
      <c r="R233" s="26">
        <f>IFERROR(IF(Tabela1[[#This Row],[Nome fantasia]]="","",_xlfn.XLOOKUP($C233,Log!D:D,Log!X:X,,,-1)),"")</f>
        <v>46007</v>
      </c>
    </row>
    <row r="234" spans="3:18" hidden="1" x14ac:dyDescent="0.2">
      <c r="C234" s="30" t="s">
        <v>366</v>
      </c>
      <c r="D234" s="110" t="s">
        <v>367</v>
      </c>
      <c r="E234" s="33" t="s">
        <v>11</v>
      </c>
      <c r="F234" s="38" t="s">
        <v>53</v>
      </c>
      <c r="G234" s="38" t="s">
        <v>363</v>
      </c>
      <c r="H234" s="31">
        <v>1568.19</v>
      </c>
      <c r="I234" s="32">
        <v>78</v>
      </c>
      <c r="J234" s="32">
        <v>0</v>
      </c>
      <c r="K234" s="44" t="s">
        <v>741</v>
      </c>
      <c r="M234" s="33" t="str">
        <f t="shared" si="3"/>
        <v/>
      </c>
      <c r="N234" s="34" t="str">
        <f>IFERROR(IF(Tabela1[[#This Row],[Nome fantasia]]="","",_xlfn.XLOOKUP($C234,Log!D:D,Log!B:B,,,-1)),"")</f>
        <v/>
      </c>
      <c r="O234" s="35" t="str">
        <f>IFERROR(_xlfn.XLOOKUP($C234,Log!D:D,Log!W:W,,,-1),"")</f>
        <v/>
      </c>
      <c r="P234" s="35" t="str">
        <f>IFERROR(_xlfn.XLOOKUP($C234,Log!D:D,Log!Y:Y,,,-1),"")</f>
        <v/>
      </c>
      <c r="R234" s="26" t="str">
        <f>IFERROR(IF(Tabela1[[#This Row],[Nome fantasia]]="","",_xlfn.XLOOKUP($C234,Log!D:D,Log!X:X,,,-1)),"")</f>
        <v/>
      </c>
    </row>
    <row r="235" spans="3:18" hidden="1" x14ac:dyDescent="0.2">
      <c r="C235" s="30" t="s">
        <v>368</v>
      </c>
      <c r="D235" s="110" t="s">
        <v>369</v>
      </c>
      <c r="E235" s="33" t="s">
        <v>26</v>
      </c>
      <c r="F235" s="38" t="s">
        <v>53</v>
      </c>
      <c r="G235" s="38" t="s">
        <v>370</v>
      </c>
      <c r="H235" s="31">
        <v>2744.45</v>
      </c>
      <c r="I235" s="32">
        <v>81</v>
      </c>
      <c r="J235" s="32">
        <v>68</v>
      </c>
      <c r="K235" s="44" t="s">
        <v>741</v>
      </c>
      <c r="M235" s="33" t="str">
        <f t="shared" si="3"/>
        <v>Recompra</v>
      </c>
      <c r="N235" s="34" t="str">
        <f>IFERROR(IF(Tabela1[[#This Row],[Nome fantasia]]="","",_xlfn.XLOOKUP($C235,Log!D:D,Log!B:B,,,-1)),"")</f>
        <v/>
      </c>
      <c r="O235" s="35" t="str">
        <f>IFERROR(_xlfn.XLOOKUP($C235,Log!D:D,Log!W:W,,,-1),"")</f>
        <v/>
      </c>
      <c r="P235" s="35" t="str">
        <f>IFERROR(_xlfn.XLOOKUP($C235,Log!D:D,Log!Y:Y,,,-1),"")</f>
        <v/>
      </c>
      <c r="R235" s="26" t="str">
        <f>IFERROR(IF(Tabela1[[#This Row],[Nome fantasia]]="","",_xlfn.XLOOKUP($C235,Log!D:D,Log!X:X,,,-1)),"")</f>
        <v/>
      </c>
    </row>
    <row r="236" spans="3:18" hidden="1" x14ac:dyDescent="0.2">
      <c r="C236" s="30" t="s">
        <v>371</v>
      </c>
      <c r="D236" s="110" t="s">
        <v>372</v>
      </c>
      <c r="E236" s="33" t="s">
        <v>67</v>
      </c>
      <c r="F236" s="38" t="s">
        <v>53</v>
      </c>
      <c r="G236" s="38" t="s">
        <v>370</v>
      </c>
      <c r="H236" s="31">
        <v>2930.22</v>
      </c>
      <c r="I236" s="32">
        <v>81</v>
      </c>
      <c r="J236" s="32">
        <v>72</v>
      </c>
      <c r="K236" s="44" t="s">
        <v>741</v>
      </c>
      <c r="M236" s="33" t="str">
        <f t="shared" si="3"/>
        <v>Recompra</v>
      </c>
      <c r="N236" s="34" t="str">
        <f>IFERROR(IF(Tabela1[[#This Row],[Nome fantasia]]="","",_xlfn.XLOOKUP($C236,Log!D:D,Log!B:B,,,-1)),"")</f>
        <v/>
      </c>
      <c r="O236" s="35" t="str">
        <f>IFERROR(_xlfn.XLOOKUP($C236,Log!D:D,Log!W:W,,,-1),"")</f>
        <v/>
      </c>
      <c r="P236" s="35" t="str">
        <f>IFERROR(_xlfn.XLOOKUP($C236,Log!D:D,Log!Y:Y,,,-1),"")</f>
        <v/>
      </c>
      <c r="R236" s="26" t="str">
        <f>IFERROR(IF(Tabela1[[#This Row],[Nome fantasia]]="","",_xlfn.XLOOKUP($C236,Log!D:D,Log!X:X,,,-1)),"")</f>
        <v/>
      </c>
    </row>
    <row r="237" spans="3:18" hidden="1" x14ac:dyDescent="0.2">
      <c r="C237" s="30" t="s">
        <v>373</v>
      </c>
      <c r="D237" s="110" t="s">
        <v>374</v>
      </c>
      <c r="E237" s="33" t="s">
        <v>46</v>
      </c>
      <c r="F237" s="38" t="s">
        <v>18</v>
      </c>
      <c r="G237" s="38" t="s">
        <v>375</v>
      </c>
      <c r="H237" s="31">
        <v>853.74</v>
      </c>
      <c r="I237" s="32">
        <v>82</v>
      </c>
      <c r="J237" s="32">
        <v>0</v>
      </c>
      <c r="K237" s="44" t="s">
        <v>741</v>
      </c>
      <c r="M237" s="33" t="str">
        <f t="shared" si="3"/>
        <v/>
      </c>
      <c r="N237" s="34" t="str">
        <f>IFERROR(IF(Tabela1[[#This Row],[Nome fantasia]]="","",_xlfn.XLOOKUP($C237,Log!D:D,Log!B:B,,,-1)),"")</f>
        <v/>
      </c>
      <c r="O237" s="35" t="str">
        <f>IFERROR(_xlfn.XLOOKUP($C237,Log!D:D,Log!W:W,,,-1),"")</f>
        <v/>
      </c>
      <c r="P237" s="35" t="str">
        <f>IFERROR(_xlfn.XLOOKUP($C237,Log!D:D,Log!Y:Y,,,-1),"")</f>
        <v/>
      </c>
      <c r="R237" s="26" t="str">
        <f>IFERROR(IF(Tabela1[[#This Row],[Nome fantasia]]="","",_xlfn.XLOOKUP($C237,Log!D:D,Log!X:X,,,-1)),"")</f>
        <v/>
      </c>
    </row>
    <row r="238" spans="3:18" hidden="1" x14ac:dyDescent="0.2">
      <c r="C238" s="30" t="s">
        <v>376</v>
      </c>
      <c r="D238" s="110" t="s">
        <v>377</v>
      </c>
      <c r="E238" s="33" t="s">
        <v>140</v>
      </c>
      <c r="F238" s="38" t="s">
        <v>18</v>
      </c>
      <c r="G238" s="38" t="s">
        <v>375</v>
      </c>
      <c r="H238" s="31">
        <v>818.67</v>
      </c>
      <c r="I238" s="32">
        <v>82</v>
      </c>
      <c r="J238" s="32">
        <v>0</v>
      </c>
      <c r="K238" s="44" t="s">
        <v>741</v>
      </c>
      <c r="M238" s="33" t="str">
        <f t="shared" si="3"/>
        <v/>
      </c>
      <c r="N238" s="34" t="str">
        <f>IFERROR(IF(Tabela1[[#This Row],[Nome fantasia]]="","",_xlfn.XLOOKUP($C238,Log!D:D,Log!B:B,,,-1)),"")</f>
        <v/>
      </c>
      <c r="O238" s="35" t="str">
        <f>IFERROR(_xlfn.XLOOKUP($C238,Log!D:D,Log!W:W,,,-1),"")</f>
        <v/>
      </c>
      <c r="P238" s="35" t="str">
        <f>IFERROR(_xlfn.XLOOKUP($C238,Log!D:D,Log!Y:Y,,,-1),"")</f>
        <v/>
      </c>
      <c r="R238" s="26" t="str">
        <f>IFERROR(IF(Tabela1[[#This Row],[Nome fantasia]]="","",_xlfn.XLOOKUP($C238,Log!D:D,Log!X:X,,,-1)),"")</f>
        <v/>
      </c>
    </row>
    <row r="239" spans="3:18" hidden="1" x14ac:dyDescent="0.2">
      <c r="C239" s="30" t="s">
        <v>378</v>
      </c>
      <c r="D239" s="110" t="s">
        <v>379</v>
      </c>
      <c r="E239" s="33" t="s">
        <v>46</v>
      </c>
      <c r="F239" s="38" t="s">
        <v>32</v>
      </c>
      <c r="G239" s="38" t="s">
        <v>375</v>
      </c>
      <c r="H239" s="31">
        <v>1099.98</v>
      </c>
      <c r="I239" s="32">
        <v>82</v>
      </c>
      <c r="J239" s="32">
        <v>0</v>
      </c>
      <c r="K239" s="44" t="s">
        <v>741</v>
      </c>
      <c r="M239" s="33" t="str">
        <f t="shared" si="3"/>
        <v/>
      </c>
      <c r="N239" s="34" t="str">
        <f>IFERROR(IF(Tabela1[[#This Row],[Nome fantasia]]="","",_xlfn.XLOOKUP($C239,Log!D:D,Log!B:B,,,-1)),"")</f>
        <v/>
      </c>
      <c r="O239" s="35" t="str">
        <f>IFERROR(_xlfn.XLOOKUP($C239,Log!D:D,Log!W:W,,,-1),"")</f>
        <v/>
      </c>
      <c r="P239" s="35" t="str">
        <f>IFERROR(_xlfn.XLOOKUP($C239,Log!D:D,Log!Y:Y,,,-1),"")</f>
        <v/>
      </c>
      <c r="R239" s="26" t="str">
        <f>IFERROR(IF(Tabela1[[#This Row],[Nome fantasia]]="","",_xlfn.XLOOKUP($C239,Log!D:D,Log!X:X,,,-1)),"")</f>
        <v/>
      </c>
    </row>
    <row r="240" spans="3:18" hidden="1" x14ac:dyDescent="0.2">
      <c r="C240" s="30" t="s">
        <v>380</v>
      </c>
      <c r="D240" s="110" t="s">
        <v>381</v>
      </c>
      <c r="E240" s="33" t="s">
        <v>11</v>
      </c>
      <c r="F240" s="38" t="s">
        <v>53</v>
      </c>
      <c r="G240" s="38" t="s">
        <v>1222</v>
      </c>
      <c r="H240" s="31">
        <v>3508.11</v>
      </c>
      <c r="I240" s="32">
        <v>1</v>
      </c>
      <c r="J240" s="32">
        <v>46.666699999999999</v>
      </c>
      <c r="K240" s="44" t="s">
        <v>741</v>
      </c>
      <c r="M240" s="33" t="str">
        <f t="shared" si="3"/>
        <v>Recompra</v>
      </c>
      <c r="N240" s="34" t="str">
        <f>IFERROR(IF(Tabela1[[#This Row],[Nome fantasia]]="","",_xlfn.XLOOKUP($C240,Log!D:D,Log!B:B,,,-1)),"")</f>
        <v/>
      </c>
      <c r="O240" s="35" t="str">
        <f>IFERROR(_xlfn.XLOOKUP($C240,Log!D:D,Log!W:W,,,-1),"")</f>
        <v/>
      </c>
      <c r="P240" s="35" t="str">
        <f>IFERROR(_xlfn.XLOOKUP($C240,Log!D:D,Log!Y:Y,,,-1),"")</f>
        <v/>
      </c>
      <c r="R240" s="26" t="str">
        <f>IFERROR(IF(Tabela1[[#This Row],[Nome fantasia]]="","",_xlfn.XLOOKUP($C240,Log!D:D,Log!X:X,,,-1)),"")</f>
        <v/>
      </c>
    </row>
    <row r="241" spans="3:18" hidden="1" x14ac:dyDescent="0.2">
      <c r="C241" s="30" t="s">
        <v>385</v>
      </c>
      <c r="D241" s="110" t="s">
        <v>386</v>
      </c>
      <c r="E241" s="33" t="s">
        <v>46</v>
      </c>
      <c r="F241" s="38" t="s">
        <v>32</v>
      </c>
      <c r="G241" s="38" t="s">
        <v>387</v>
      </c>
      <c r="H241" s="31">
        <v>690.8</v>
      </c>
      <c r="I241" s="32">
        <v>84</v>
      </c>
      <c r="J241" s="32">
        <v>0</v>
      </c>
      <c r="K241" s="44" t="s">
        <v>741</v>
      </c>
      <c r="M241" s="33" t="str">
        <f t="shared" si="3"/>
        <v/>
      </c>
      <c r="N241" s="34" t="str">
        <f>IFERROR(IF(Tabela1[[#This Row],[Nome fantasia]]="","",_xlfn.XLOOKUP($C241,Log!D:D,Log!B:B,,,-1)),"")</f>
        <v/>
      </c>
      <c r="O241" s="35" t="str">
        <f>IFERROR(_xlfn.XLOOKUP($C241,Log!D:D,Log!W:W,,,-1),"")</f>
        <v/>
      </c>
      <c r="P241" s="35" t="str">
        <f>IFERROR(_xlfn.XLOOKUP($C241,Log!D:D,Log!Y:Y,,,-1),"")</f>
        <v/>
      </c>
      <c r="R241" s="26" t="str">
        <f>IFERROR(IF(Tabela1[[#This Row],[Nome fantasia]]="","",_xlfn.XLOOKUP($C241,Log!D:D,Log!X:X,,,-1)),"")</f>
        <v/>
      </c>
    </row>
    <row r="242" spans="3:18" hidden="1" x14ac:dyDescent="0.2">
      <c r="C242" s="30" t="s">
        <v>388</v>
      </c>
      <c r="D242" s="110" t="s">
        <v>389</v>
      </c>
      <c r="E242" s="33" t="s">
        <v>49</v>
      </c>
      <c r="F242" s="38" t="s">
        <v>53</v>
      </c>
      <c r="G242" s="38" t="s">
        <v>1164</v>
      </c>
      <c r="H242" s="31">
        <v>1427.88</v>
      </c>
      <c r="I242" s="32">
        <v>19</v>
      </c>
      <c r="J242" s="32">
        <v>66</v>
      </c>
      <c r="K242" s="44" t="s">
        <v>741</v>
      </c>
      <c r="M242" s="33" t="str">
        <f t="shared" si="3"/>
        <v>Recompra</v>
      </c>
      <c r="N242" s="34" t="str">
        <f>IFERROR(IF(Tabela1[[#This Row],[Nome fantasia]]="","",_xlfn.XLOOKUP($C242,Log!D:D,Log!B:B,,,-1)),"")</f>
        <v/>
      </c>
      <c r="O242" s="35" t="str">
        <f>IFERROR(_xlfn.XLOOKUP($C242,Log!D:D,Log!W:W,,,-1),"")</f>
        <v/>
      </c>
      <c r="P242" s="35" t="str">
        <f>IFERROR(_xlfn.XLOOKUP($C242,Log!D:D,Log!Y:Y,,,-1),"")</f>
        <v/>
      </c>
      <c r="R242" s="26" t="str">
        <f>IFERROR(IF(Tabela1[[#This Row],[Nome fantasia]]="","",_xlfn.XLOOKUP($C242,Log!D:D,Log!X:X,,,-1)),"")</f>
        <v/>
      </c>
    </row>
    <row r="243" spans="3:18" hidden="1" x14ac:dyDescent="0.2">
      <c r="C243" s="30" t="s">
        <v>391</v>
      </c>
      <c r="D243" s="110" t="s">
        <v>392</v>
      </c>
      <c r="E243" s="33" t="s">
        <v>59</v>
      </c>
      <c r="F243" s="38" t="s">
        <v>53</v>
      </c>
      <c r="G243" s="38" t="s">
        <v>390</v>
      </c>
      <c r="H243" s="31">
        <v>1576.32</v>
      </c>
      <c r="I243" s="32">
        <v>85</v>
      </c>
      <c r="J243" s="32">
        <v>53</v>
      </c>
      <c r="K243" s="44" t="s">
        <v>741</v>
      </c>
      <c r="M243" s="33" t="str">
        <f t="shared" si="3"/>
        <v>Recompra</v>
      </c>
      <c r="N243" s="34" t="str">
        <f>IFERROR(IF(Tabela1[[#This Row],[Nome fantasia]]="","",_xlfn.XLOOKUP($C243,Log!D:D,Log!B:B,,,-1)),"")</f>
        <v/>
      </c>
      <c r="O243" s="35" t="str">
        <f>IFERROR(_xlfn.XLOOKUP($C243,Log!D:D,Log!W:W,,,-1),"")</f>
        <v/>
      </c>
      <c r="P243" s="35" t="str">
        <f>IFERROR(_xlfn.XLOOKUP($C243,Log!D:D,Log!Y:Y,,,-1),"")</f>
        <v/>
      </c>
      <c r="R243" s="26" t="str">
        <f>IFERROR(IF(Tabela1[[#This Row],[Nome fantasia]]="","",_xlfn.XLOOKUP($C243,Log!D:D,Log!X:X,,,-1)),"")</f>
        <v/>
      </c>
    </row>
    <row r="244" spans="3:18" hidden="1" x14ac:dyDescent="0.2">
      <c r="C244" s="30" t="s">
        <v>398</v>
      </c>
      <c r="D244" s="110" t="s">
        <v>399</v>
      </c>
      <c r="E244" s="33" t="s">
        <v>11</v>
      </c>
      <c r="F244" s="38" t="s">
        <v>53</v>
      </c>
      <c r="G244" s="38" t="s">
        <v>390</v>
      </c>
      <c r="H244" s="31">
        <v>959.79</v>
      </c>
      <c r="I244" s="32">
        <v>85</v>
      </c>
      <c r="J244" s="32">
        <v>0</v>
      </c>
      <c r="K244" s="44" t="s">
        <v>741</v>
      </c>
      <c r="M244" s="33" t="str">
        <f t="shared" si="3"/>
        <v/>
      </c>
      <c r="N244" s="34">
        <f>IFERROR(IF(Tabela1[[#This Row],[Nome fantasia]]="","",_xlfn.XLOOKUP($C244,Log!D:D,Log!B:B,,,-1)),"")</f>
        <v>45852</v>
      </c>
      <c r="O244" s="35" t="str">
        <f>IFERROR(_xlfn.XLOOKUP($C244,Log!D:D,Log!W:W,,,-1),"")</f>
        <v>SUPORTE</v>
      </c>
      <c r="P244" s="35" t="str">
        <f>IFERROR(_xlfn.XLOOKUP($C244,Log!D:D,Log!Y:Y,,,-1),"")</f>
        <v xml:space="preserve">NOTA DE DEVOLUÇAO </v>
      </c>
      <c r="R244" s="26" t="str">
        <f>IFERROR(IF(Tabela1[[#This Row],[Nome fantasia]]="","",_xlfn.XLOOKUP($C244,Log!D:D,Log!X:X,,,-1)),"")</f>
        <v/>
      </c>
    </row>
    <row r="245" spans="3:18" hidden="1" x14ac:dyDescent="0.2">
      <c r="C245" s="30" t="s">
        <v>404</v>
      </c>
      <c r="D245" s="110" t="s">
        <v>405</v>
      </c>
      <c r="E245" s="33" t="s">
        <v>11</v>
      </c>
      <c r="F245" s="38" t="s">
        <v>53</v>
      </c>
      <c r="G245" s="38" t="s">
        <v>402</v>
      </c>
      <c r="H245" s="31">
        <v>990</v>
      </c>
      <c r="I245" s="32">
        <v>88</v>
      </c>
      <c r="J245" s="32">
        <v>0</v>
      </c>
      <c r="K245" s="46" t="s">
        <v>742</v>
      </c>
      <c r="M245" s="33" t="str">
        <f t="shared" si="3"/>
        <v/>
      </c>
      <c r="N245" s="34" t="str">
        <f>IFERROR(IF(Tabela1[[#This Row],[Nome fantasia]]="","",_xlfn.XLOOKUP($C245,Log!D:D,Log!B:B,,,-1)),"")</f>
        <v/>
      </c>
      <c r="O245" s="35" t="str">
        <f>IFERROR(_xlfn.XLOOKUP($C245,Log!D:D,Log!W:W,,,-1),"")</f>
        <v/>
      </c>
      <c r="P245" s="35" t="str">
        <f>IFERROR(_xlfn.XLOOKUP($C245,Log!D:D,Log!Y:Y,,,-1),"")</f>
        <v/>
      </c>
      <c r="R245" s="26" t="str">
        <f>IFERROR(IF(Tabela1[[#This Row],[Nome fantasia]]="","",_xlfn.XLOOKUP($C245,Log!D:D,Log!X:X,,,-1)),"")</f>
        <v/>
      </c>
    </row>
    <row r="246" spans="3:18" hidden="1" x14ac:dyDescent="0.2">
      <c r="C246" s="30" t="s">
        <v>228</v>
      </c>
      <c r="D246" s="110" t="s">
        <v>229</v>
      </c>
      <c r="E246" s="33" t="s">
        <v>36</v>
      </c>
      <c r="F246" s="38" t="s">
        <v>12</v>
      </c>
      <c r="G246" s="38" t="s">
        <v>223</v>
      </c>
      <c r="H246" s="31">
        <v>1448.73</v>
      </c>
      <c r="I246" s="32">
        <v>56</v>
      </c>
      <c r="J246" s="32">
        <v>56</v>
      </c>
      <c r="K246" s="44" t="s">
        <v>741</v>
      </c>
      <c r="M246" s="33" t="str">
        <f t="shared" si="3"/>
        <v>Recompra</v>
      </c>
      <c r="N246" s="34">
        <f>IFERROR(IF(Tabela1[[#This Row],[Nome fantasia]]="","",_xlfn.XLOOKUP($C246,Log!D:D,Log!B:B,,,-1)),"")</f>
        <v>45930</v>
      </c>
      <c r="O246" s="35" t="str">
        <f>IFERROR(_xlfn.XLOOKUP($C246,Log!D:D,Log!W:W,,,-1),"")</f>
        <v>VENDA</v>
      </c>
      <c r="P246" s="35" t="str">
        <f>IFERROR(_xlfn.XLOOKUP($C246,Log!D:D,Log!Y:Y,,,-1),"")</f>
        <v>FINALIZADO VENDA</v>
      </c>
      <c r="R246" s="26">
        <f>IFERROR(IF(Tabela1[[#This Row],[Nome fantasia]]="","",_xlfn.XLOOKUP($C246,Log!D:D,Log!X:X,,,-1)),"")</f>
        <v>45993</v>
      </c>
    </row>
    <row r="247" spans="3:18" hidden="1" x14ac:dyDescent="0.2">
      <c r="C247" s="30" t="s">
        <v>408</v>
      </c>
      <c r="D247" s="110" t="s">
        <v>409</v>
      </c>
      <c r="E247" s="33" t="s">
        <v>46</v>
      </c>
      <c r="F247" s="38" t="s">
        <v>32</v>
      </c>
      <c r="G247" s="38" t="s">
        <v>410</v>
      </c>
      <c r="H247" s="31">
        <v>901.43</v>
      </c>
      <c r="I247" s="32">
        <v>90</v>
      </c>
      <c r="J247" s="32">
        <v>0</v>
      </c>
      <c r="K247" s="46" t="s">
        <v>742</v>
      </c>
      <c r="M247" s="33" t="str">
        <f t="shared" si="3"/>
        <v/>
      </c>
      <c r="N247" s="34" t="str">
        <f>IFERROR(IF(Tabela1[[#This Row],[Nome fantasia]]="","",_xlfn.XLOOKUP($C247,Log!D:D,Log!B:B,,,-1)),"")</f>
        <v/>
      </c>
      <c r="O247" s="35" t="str">
        <f>IFERROR(_xlfn.XLOOKUP($C247,Log!D:D,Log!W:W,,,-1),"")</f>
        <v/>
      </c>
      <c r="P247" s="35" t="str">
        <f>IFERROR(_xlfn.XLOOKUP($C247,Log!D:D,Log!Y:Y,,,-1),"")</f>
        <v/>
      </c>
      <c r="R247" s="26" t="str">
        <f>IFERROR(IF(Tabela1[[#This Row],[Nome fantasia]]="","",_xlfn.XLOOKUP($C247,Log!D:D,Log!X:X,,,-1)),"")</f>
        <v/>
      </c>
    </row>
    <row r="248" spans="3:18" hidden="1" x14ac:dyDescent="0.2">
      <c r="C248" s="30" t="s">
        <v>411</v>
      </c>
      <c r="D248" s="110" t="s">
        <v>412</v>
      </c>
      <c r="E248" s="33" t="s">
        <v>52</v>
      </c>
      <c r="F248" s="38" t="s">
        <v>53</v>
      </c>
      <c r="G248" s="38" t="s">
        <v>413</v>
      </c>
      <c r="H248" s="31">
        <v>1556.85</v>
      </c>
      <c r="I248" s="32">
        <v>92</v>
      </c>
      <c r="J248" s="32">
        <v>42</v>
      </c>
      <c r="K248" s="46" t="s">
        <v>742</v>
      </c>
      <c r="M248" s="33" t="str">
        <f t="shared" si="3"/>
        <v>Recompra</v>
      </c>
      <c r="N248" s="34" t="str">
        <f>IFERROR(IF(Tabela1[[#This Row],[Nome fantasia]]="","",_xlfn.XLOOKUP($C248,Log!D:D,Log!B:B,,,-1)),"")</f>
        <v/>
      </c>
      <c r="O248" s="35" t="str">
        <f>IFERROR(_xlfn.XLOOKUP($C248,Log!D:D,Log!W:W,,,-1),"")</f>
        <v/>
      </c>
      <c r="P248" s="35" t="str">
        <f>IFERROR(_xlfn.XLOOKUP($C248,Log!D:D,Log!Y:Y,,,-1),"")</f>
        <v/>
      </c>
      <c r="R248" s="26" t="str">
        <f>IFERROR(IF(Tabela1[[#This Row],[Nome fantasia]]="","",_xlfn.XLOOKUP($C248,Log!D:D,Log!X:X,,,-1)),"")</f>
        <v/>
      </c>
    </row>
    <row r="249" spans="3:18" hidden="1" x14ac:dyDescent="0.2">
      <c r="C249" s="30" t="s">
        <v>175</v>
      </c>
      <c r="D249" s="110" t="s">
        <v>176</v>
      </c>
      <c r="E249" s="33" t="s">
        <v>46</v>
      </c>
      <c r="F249" s="38" t="s">
        <v>12</v>
      </c>
      <c r="G249" s="38" t="s">
        <v>177</v>
      </c>
      <c r="H249" s="31">
        <v>1508.79</v>
      </c>
      <c r="I249" s="123">
        <v>49</v>
      </c>
      <c r="J249" s="32">
        <v>48</v>
      </c>
      <c r="K249" s="44" t="s">
        <v>741</v>
      </c>
      <c r="M249" s="33" t="str">
        <f t="shared" si="3"/>
        <v>Recompra</v>
      </c>
      <c r="N249" s="34">
        <f>IFERROR(IF(Tabela1[[#This Row],[Nome fantasia]]="","",_xlfn.XLOOKUP($C249,Log!D:D,Log!B:B,,,-1)),"")</f>
        <v>45938</v>
      </c>
      <c r="O249" s="35" t="str">
        <f>IFERROR(_xlfn.XLOOKUP($C249,Log!D:D,Log!W:W,,,-1),"")</f>
        <v>VENDA</v>
      </c>
      <c r="P249" s="35" t="str">
        <f>IFERROR(_xlfn.XLOOKUP($C249,Log!D:D,Log!Y:Y,,,-1),"")</f>
        <v>RECOMPRA</v>
      </c>
      <c r="R249" s="26">
        <f>IFERROR(IF(Tabela1[[#This Row],[Nome fantasia]]="","",_xlfn.XLOOKUP($C249,Log!D:D,Log!X:X,,,-1)),"")</f>
        <v>46001</v>
      </c>
    </row>
    <row r="250" spans="3:18" hidden="1" x14ac:dyDescent="0.2">
      <c r="C250" s="30" t="s">
        <v>318</v>
      </c>
      <c r="D250" s="110" t="s">
        <v>319</v>
      </c>
      <c r="E250" s="33" t="s">
        <v>22</v>
      </c>
      <c r="F250" s="38" t="s">
        <v>12</v>
      </c>
      <c r="G250" s="38" t="s">
        <v>315</v>
      </c>
      <c r="H250" s="31">
        <v>2490.0100000000002</v>
      </c>
      <c r="I250" s="32">
        <v>70</v>
      </c>
      <c r="J250" s="32">
        <v>39</v>
      </c>
      <c r="K250" s="44" t="s">
        <v>741</v>
      </c>
      <c r="M250" s="33" t="str">
        <f t="shared" si="3"/>
        <v>Recompra</v>
      </c>
      <c r="N250" s="34">
        <f>IFERROR(IF(Tabela1[[#This Row],[Nome fantasia]]="","",_xlfn.XLOOKUP($C250,Log!D:D,Log!B:B,,,-1)),"")</f>
        <v>45999</v>
      </c>
      <c r="O250" s="35" t="str">
        <f>IFERROR(_xlfn.XLOOKUP($C250,Log!D:D,Log!W:W,,,-1),"")</f>
        <v>FOLLOW UP 15</v>
      </c>
      <c r="P250" s="35" t="str">
        <f>IFERROR(_xlfn.XLOOKUP($C250,Log!D:D,Log!Y:Y,,,-1),"")</f>
        <v>CLIENTE AINDA TEM ESTOQUE</v>
      </c>
      <c r="R250" s="26">
        <f>IFERROR(IF(Tabela1[[#This Row],[Nome fantasia]]="","",_xlfn.XLOOKUP($C250,Log!D:D,Log!X:X,,,-1)),"")</f>
        <v>46020</v>
      </c>
    </row>
    <row r="251" spans="3:18" hidden="1" x14ac:dyDescent="0.2">
      <c r="C251" s="30" t="s">
        <v>420</v>
      </c>
      <c r="D251" s="110" t="s">
        <v>421</v>
      </c>
      <c r="E251" s="33" t="s">
        <v>11</v>
      </c>
      <c r="F251" s="38" t="s">
        <v>53</v>
      </c>
      <c r="G251" s="38" t="s">
        <v>422</v>
      </c>
      <c r="H251" s="31">
        <v>1507.48</v>
      </c>
      <c r="I251" s="32">
        <v>97</v>
      </c>
      <c r="J251" s="32">
        <v>50</v>
      </c>
      <c r="K251" s="46" t="s">
        <v>742</v>
      </c>
      <c r="M251" s="33" t="str">
        <f t="shared" si="3"/>
        <v>Recompra</v>
      </c>
      <c r="N251" s="34" t="str">
        <f>IFERROR(IF(Tabela1[[#This Row],[Nome fantasia]]="","",_xlfn.XLOOKUP($C251,Log!D:D,Log!B:B,,,-1)),"")</f>
        <v/>
      </c>
      <c r="O251" s="35" t="str">
        <f>IFERROR(_xlfn.XLOOKUP($C251,Log!D:D,Log!W:W,,,-1),"")</f>
        <v/>
      </c>
      <c r="P251" s="35" t="str">
        <f>IFERROR(_xlfn.XLOOKUP($C251,Log!D:D,Log!Y:Y,,,-1),"")</f>
        <v/>
      </c>
      <c r="R251" s="26" t="str">
        <f>IFERROR(IF(Tabela1[[#This Row],[Nome fantasia]]="","",_xlfn.XLOOKUP($C251,Log!D:D,Log!X:X,,,-1)),"")</f>
        <v/>
      </c>
    </row>
    <row r="252" spans="3:18" hidden="1" x14ac:dyDescent="0.2">
      <c r="C252" s="30" t="s">
        <v>496</v>
      </c>
      <c r="D252" s="110" t="s">
        <v>497</v>
      </c>
      <c r="E252" s="33" t="s">
        <v>11</v>
      </c>
      <c r="F252" s="38" t="s">
        <v>12</v>
      </c>
      <c r="G252" s="38" t="s">
        <v>489</v>
      </c>
      <c r="H252" s="31">
        <v>963.58</v>
      </c>
      <c r="I252" s="32">
        <v>109</v>
      </c>
      <c r="J252" s="32">
        <v>0</v>
      </c>
      <c r="K252" s="45" t="s">
        <v>743</v>
      </c>
      <c r="M252" s="33" t="str">
        <f t="shared" si="3"/>
        <v/>
      </c>
      <c r="N252" s="34">
        <f>IFERROR(IF(Tabela1[[#This Row],[Nome fantasia]]="","",_xlfn.XLOOKUP($C252,Log!D:D,Log!B:B,,,-1)),"")</f>
        <v>45938</v>
      </c>
      <c r="O252" s="35" t="str">
        <f>IFERROR(_xlfn.XLOOKUP($C252,Log!D:D,Log!W:W,,,-1),"")</f>
        <v>VENDA</v>
      </c>
      <c r="P252" s="35" t="str">
        <f>IFERROR(_xlfn.XLOOKUP($C252,Log!D:D,Log!Y:Y,,,-1),"")</f>
        <v>RECOMPRA</v>
      </c>
      <c r="R252" s="26">
        <f>IFERROR(IF(Tabela1[[#This Row],[Nome fantasia]]="","",_xlfn.XLOOKUP($C252,Log!D:D,Log!X:X,,,-1)),"")</f>
        <v>46001</v>
      </c>
    </row>
    <row r="253" spans="3:18" hidden="1" x14ac:dyDescent="0.2">
      <c r="C253" s="30" t="s">
        <v>426</v>
      </c>
      <c r="D253" s="110" t="s">
        <v>427</v>
      </c>
      <c r="E253" s="33" t="s">
        <v>46</v>
      </c>
      <c r="F253" s="38" t="s">
        <v>32</v>
      </c>
      <c r="G253" s="38" t="s">
        <v>425</v>
      </c>
      <c r="H253" s="31">
        <v>1802.56</v>
      </c>
      <c r="I253" s="32">
        <v>99</v>
      </c>
      <c r="J253" s="32">
        <v>34</v>
      </c>
      <c r="K253" s="46" t="s">
        <v>742</v>
      </c>
      <c r="M253" s="33" t="str">
        <f t="shared" si="3"/>
        <v>Recompra</v>
      </c>
      <c r="N253" s="34" t="str">
        <f>IFERROR(IF(Tabela1[[#This Row],[Nome fantasia]]="","",_xlfn.XLOOKUP($C253,Log!D:D,Log!B:B,,,-1)),"")</f>
        <v/>
      </c>
      <c r="O253" s="35" t="str">
        <f>IFERROR(_xlfn.XLOOKUP($C253,Log!D:D,Log!W:W,,,-1),"")</f>
        <v/>
      </c>
      <c r="P253" s="35" t="str">
        <f>IFERROR(_xlfn.XLOOKUP($C253,Log!D:D,Log!Y:Y,,,-1),"")</f>
        <v/>
      </c>
      <c r="R253" s="26" t="str">
        <f>IFERROR(IF(Tabela1[[#This Row],[Nome fantasia]]="","",_xlfn.XLOOKUP($C253,Log!D:D,Log!X:X,,,-1)),"")</f>
        <v/>
      </c>
    </row>
    <row r="254" spans="3:18" hidden="1" x14ac:dyDescent="0.2">
      <c r="C254" s="30" t="s">
        <v>428</v>
      </c>
      <c r="D254" s="110" t="s">
        <v>429</v>
      </c>
      <c r="E254" s="33" t="s">
        <v>46</v>
      </c>
      <c r="F254" s="38" t="s">
        <v>32</v>
      </c>
      <c r="G254" s="38" t="s">
        <v>425</v>
      </c>
      <c r="H254" s="31">
        <v>1380.17</v>
      </c>
      <c r="I254" s="32">
        <v>99</v>
      </c>
      <c r="J254" s="32">
        <v>0</v>
      </c>
      <c r="K254" s="46" t="s">
        <v>742</v>
      </c>
      <c r="M254" s="33" t="str">
        <f t="shared" si="3"/>
        <v/>
      </c>
      <c r="N254" s="34" t="str">
        <f>IFERROR(IF(Tabela1[[#This Row],[Nome fantasia]]="","",_xlfn.XLOOKUP($C254,Log!D:D,Log!B:B,,,-1)),"")</f>
        <v/>
      </c>
      <c r="O254" s="35" t="str">
        <f>IFERROR(_xlfn.XLOOKUP($C254,Log!D:D,Log!W:W,,,-1),"")</f>
        <v/>
      </c>
      <c r="P254" s="35" t="str">
        <f>IFERROR(_xlfn.XLOOKUP($C254,Log!D:D,Log!Y:Y,,,-1),"")</f>
        <v/>
      </c>
      <c r="R254" s="26" t="str">
        <f>IFERROR(IF(Tabela1[[#This Row],[Nome fantasia]]="","",_xlfn.XLOOKUP($C254,Log!D:D,Log!X:X,,,-1)),"")</f>
        <v/>
      </c>
    </row>
    <row r="255" spans="3:18" hidden="1" x14ac:dyDescent="0.2">
      <c r="C255" s="30" t="s">
        <v>274</v>
      </c>
      <c r="D255" s="110" t="s">
        <v>275</v>
      </c>
      <c r="E255" s="33" t="s">
        <v>22</v>
      </c>
      <c r="F255" s="38" t="s">
        <v>12</v>
      </c>
      <c r="G255" s="38" t="s">
        <v>269</v>
      </c>
      <c r="H255" s="31">
        <v>2072.25</v>
      </c>
      <c r="I255" s="123">
        <v>62</v>
      </c>
      <c r="J255" s="32">
        <v>41.333300000000001</v>
      </c>
      <c r="K255" s="44" t="s">
        <v>741</v>
      </c>
      <c r="M255" s="33" t="str">
        <f t="shared" si="3"/>
        <v>Recompra</v>
      </c>
      <c r="N255" s="34">
        <f>IFERROR(IF(Tabela1[[#This Row],[Nome fantasia]]="","",_xlfn.XLOOKUP($C255,Log!D:D,Log!B:B,,,-1)),"")</f>
        <v>46001</v>
      </c>
      <c r="O255" s="35" t="str">
        <f>IFERROR(_xlfn.XLOOKUP($C255,Log!D:D,Log!W:W,,,-1),"")</f>
        <v>FOLLOW UP 15</v>
      </c>
      <c r="P255" s="35" t="str">
        <f>IFERROR(_xlfn.XLOOKUP($C255,Log!D:D,Log!Y:Y,,,-1),"")</f>
        <v>CLIENTE USA OS PRODUTOS PARA TREINAMENTO, E JÁ ENCERROU ESSE ANO</v>
      </c>
      <c r="R255" s="26">
        <f>IFERROR(IF(Tabela1[[#This Row],[Nome fantasia]]="","",_xlfn.XLOOKUP($C255,Log!D:D,Log!X:X,,,-1)),"")</f>
        <v>46022</v>
      </c>
    </row>
    <row r="256" spans="3:18" hidden="1" x14ac:dyDescent="0.2">
      <c r="C256" s="30" t="s">
        <v>150</v>
      </c>
      <c r="D256" s="110" t="s">
        <v>151</v>
      </c>
      <c r="E256" s="33" t="s">
        <v>22</v>
      </c>
      <c r="F256" s="38" t="s">
        <v>12</v>
      </c>
      <c r="G256" s="38" t="s">
        <v>1138</v>
      </c>
      <c r="H256" s="31">
        <v>681.47</v>
      </c>
      <c r="I256" s="32">
        <v>11</v>
      </c>
      <c r="J256" s="32">
        <v>32</v>
      </c>
      <c r="K256" s="44" t="s">
        <v>741</v>
      </c>
      <c r="M256" s="33" t="str">
        <f t="shared" si="3"/>
        <v>Recompra</v>
      </c>
      <c r="N256" s="34">
        <f>IFERROR(IF(Tabela1[[#This Row],[Nome fantasia]]="","",_xlfn.XLOOKUP($C256,Log!D:D,Log!B:B,,,-1)),"")</f>
        <v>45939</v>
      </c>
      <c r="O256" s="35" t="str">
        <f>IFERROR(_xlfn.XLOOKUP($C256,Log!D:D,Log!W:W,,,-1),"")</f>
        <v>SUPORTE</v>
      </c>
      <c r="P256" s="35" t="str">
        <f>IFERROR(_xlfn.XLOOKUP($C256,Log!D:D,Log!Y:Y,,,-1),"")</f>
        <v>RASTREIO DA ENTREGA</v>
      </c>
      <c r="R256" s="26" t="str">
        <f>IFERROR(IF(Tabela1[[#This Row],[Nome fantasia]]="","",_xlfn.XLOOKUP($C256,Log!D:D,Log!X:X,,,-1)),"")</f>
        <v/>
      </c>
    </row>
    <row r="257" spans="3:18" hidden="1" x14ac:dyDescent="0.2">
      <c r="C257" s="30" t="s">
        <v>434</v>
      </c>
      <c r="D257" s="110" t="s">
        <v>435</v>
      </c>
      <c r="E257" s="33" t="s">
        <v>11</v>
      </c>
      <c r="F257" s="38" t="s">
        <v>53</v>
      </c>
      <c r="G257" s="38" t="s">
        <v>1165</v>
      </c>
      <c r="H257" s="31">
        <v>1215.54</v>
      </c>
      <c r="I257" s="32">
        <v>20</v>
      </c>
      <c r="J257" s="32">
        <v>79</v>
      </c>
      <c r="K257" s="46" t="s">
        <v>742</v>
      </c>
      <c r="M257" s="33" t="str">
        <f t="shared" si="3"/>
        <v>Recompra</v>
      </c>
      <c r="N257" s="34" t="str">
        <f>IFERROR(IF(Tabela1[[#This Row],[Nome fantasia]]="","",_xlfn.XLOOKUP($C257,Log!D:D,Log!B:B,,,-1)),"")</f>
        <v/>
      </c>
      <c r="O257" s="35" t="str">
        <f>IFERROR(_xlfn.XLOOKUP($C257,Log!D:D,Log!W:W,,,-1),"")</f>
        <v/>
      </c>
      <c r="P257" s="35" t="str">
        <f>IFERROR(_xlfn.XLOOKUP($C257,Log!D:D,Log!Y:Y,,,-1),"")</f>
        <v/>
      </c>
      <c r="R257" s="26" t="str">
        <f>IFERROR(IF(Tabela1[[#This Row],[Nome fantasia]]="","",_xlfn.XLOOKUP($C257,Log!D:D,Log!X:X,,,-1)),"")</f>
        <v/>
      </c>
    </row>
    <row r="258" spans="3:18" hidden="1" x14ac:dyDescent="0.2">
      <c r="C258" s="30" t="s">
        <v>440</v>
      </c>
      <c r="D258" s="110" t="s">
        <v>441</v>
      </c>
      <c r="E258" s="33" t="s">
        <v>442</v>
      </c>
      <c r="F258" s="38" t="s">
        <v>53</v>
      </c>
      <c r="G258" s="38" t="s">
        <v>443</v>
      </c>
      <c r="H258" s="31">
        <v>2170.59</v>
      </c>
      <c r="I258" s="32">
        <v>102</v>
      </c>
      <c r="J258" s="32">
        <v>0</v>
      </c>
      <c r="K258" s="46" t="s">
        <v>742</v>
      </c>
      <c r="M258" s="33" t="str">
        <f t="shared" si="3"/>
        <v/>
      </c>
      <c r="N258" s="34" t="str">
        <f>IFERROR(IF(Tabela1[[#This Row],[Nome fantasia]]="","",_xlfn.XLOOKUP($C258,Log!D:D,Log!B:B,,,-1)),"")</f>
        <v/>
      </c>
      <c r="O258" s="35" t="str">
        <f>IFERROR(_xlfn.XLOOKUP($C258,Log!D:D,Log!W:W,,,-1),"")</f>
        <v/>
      </c>
      <c r="P258" s="35" t="str">
        <f>IFERROR(_xlfn.XLOOKUP($C258,Log!D:D,Log!Y:Y,,,-1),"")</f>
        <v/>
      </c>
      <c r="R258" s="26" t="str">
        <f>IFERROR(IF(Tabela1[[#This Row],[Nome fantasia]]="","",_xlfn.XLOOKUP($C258,Log!D:D,Log!X:X,,,-1)),"")</f>
        <v/>
      </c>
    </row>
    <row r="259" spans="3:18" hidden="1" x14ac:dyDescent="0.2">
      <c r="C259" s="30" t="s">
        <v>444</v>
      </c>
      <c r="D259" s="110" t="s">
        <v>445</v>
      </c>
      <c r="E259" s="33" t="s">
        <v>22</v>
      </c>
      <c r="F259" s="38" t="s">
        <v>32</v>
      </c>
      <c r="G259" s="38" t="s">
        <v>443</v>
      </c>
      <c r="H259" s="31">
        <v>1216.97</v>
      </c>
      <c r="I259" s="32">
        <v>102</v>
      </c>
      <c r="J259" s="32">
        <v>50</v>
      </c>
      <c r="K259" s="46" t="s">
        <v>742</v>
      </c>
      <c r="M259" s="33" t="str">
        <f t="shared" ref="M259:M322" si="4">IF(OR(J259&lt;=0,J259=""),"","Recompra")</f>
        <v>Recompra</v>
      </c>
      <c r="N259" s="34" t="str">
        <f>IFERROR(IF(Tabela1[[#This Row],[Nome fantasia]]="","",_xlfn.XLOOKUP($C259,Log!D:D,Log!B:B,,,-1)),"")</f>
        <v/>
      </c>
      <c r="O259" s="35" t="str">
        <f>IFERROR(_xlfn.XLOOKUP($C259,Log!D:D,Log!W:W,,,-1),"")</f>
        <v/>
      </c>
      <c r="P259" s="35" t="str">
        <f>IFERROR(_xlfn.XLOOKUP($C259,Log!D:D,Log!Y:Y,,,-1),"")</f>
        <v/>
      </c>
      <c r="R259" s="26" t="str">
        <f>IFERROR(IF(Tabela1[[#This Row],[Nome fantasia]]="","",_xlfn.XLOOKUP($C259,Log!D:D,Log!X:X,,,-1)),"")</f>
        <v/>
      </c>
    </row>
    <row r="260" spans="3:18" hidden="1" x14ac:dyDescent="0.2">
      <c r="C260" s="30" t="s">
        <v>446</v>
      </c>
      <c r="D260" s="110" t="s">
        <v>447</v>
      </c>
      <c r="E260" s="33" t="s">
        <v>22</v>
      </c>
      <c r="F260" s="38" t="s">
        <v>32</v>
      </c>
      <c r="G260" s="38" t="s">
        <v>443</v>
      </c>
      <c r="H260" s="31">
        <v>1216.97</v>
      </c>
      <c r="I260" s="32">
        <v>102</v>
      </c>
      <c r="J260" s="32">
        <v>0</v>
      </c>
      <c r="K260" s="46" t="s">
        <v>742</v>
      </c>
      <c r="M260" s="33" t="str">
        <f t="shared" si="4"/>
        <v/>
      </c>
      <c r="N260" s="34" t="str">
        <f>IFERROR(IF(Tabela1[[#This Row],[Nome fantasia]]="","",_xlfn.XLOOKUP($C260,Log!D:D,Log!B:B,,,-1)),"")</f>
        <v/>
      </c>
      <c r="O260" s="35" t="str">
        <f>IFERROR(_xlfn.XLOOKUP($C260,Log!D:D,Log!W:W,,,-1),"")</f>
        <v/>
      </c>
      <c r="P260" s="35" t="str">
        <f>IFERROR(_xlfn.XLOOKUP($C260,Log!D:D,Log!Y:Y,,,-1),"")</f>
        <v/>
      </c>
      <c r="R260" s="26" t="str">
        <f>IFERROR(IF(Tabela1[[#This Row],[Nome fantasia]]="","",_xlfn.XLOOKUP($C260,Log!D:D,Log!X:X,,,-1)),"")</f>
        <v/>
      </c>
    </row>
    <row r="261" spans="3:18" hidden="1" x14ac:dyDescent="0.2">
      <c r="C261" s="30" t="s">
        <v>448</v>
      </c>
      <c r="D261" s="110" t="s">
        <v>449</v>
      </c>
      <c r="E261" s="33" t="s">
        <v>46</v>
      </c>
      <c r="F261" s="38" t="s">
        <v>32</v>
      </c>
      <c r="G261" s="38" t="s">
        <v>1153</v>
      </c>
      <c r="H261" s="31">
        <v>1393.62</v>
      </c>
      <c r="I261" s="32">
        <v>14</v>
      </c>
      <c r="J261" s="32">
        <v>88</v>
      </c>
      <c r="K261" s="46" t="s">
        <v>742</v>
      </c>
      <c r="M261" s="33" t="str">
        <f t="shared" si="4"/>
        <v>Recompra</v>
      </c>
      <c r="N261" s="34" t="str">
        <f>IFERROR(IF(Tabela1[[#This Row],[Nome fantasia]]="","",_xlfn.XLOOKUP($C261,Log!D:D,Log!B:B,,,-1)),"")</f>
        <v/>
      </c>
      <c r="O261" s="35" t="str">
        <f>IFERROR(_xlfn.XLOOKUP($C261,Log!D:D,Log!W:W,,,-1),"")</f>
        <v/>
      </c>
      <c r="P261" s="35" t="str">
        <f>IFERROR(_xlfn.XLOOKUP($C261,Log!D:D,Log!Y:Y,,,-1),"")</f>
        <v/>
      </c>
      <c r="R261" s="26" t="str">
        <f>IFERROR(IF(Tabela1[[#This Row],[Nome fantasia]]="","",_xlfn.XLOOKUP($C261,Log!D:D,Log!X:X,,,-1)),"")</f>
        <v/>
      </c>
    </row>
    <row r="262" spans="3:18" hidden="1" x14ac:dyDescent="0.2">
      <c r="C262" s="30" t="s">
        <v>450</v>
      </c>
      <c r="D262" s="110" t="s">
        <v>451</v>
      </c>
      <c r="E262" s="33" t="s">
        <v>46</v>
      </c>
      <c r="F262" s="38" t="s">
        <v>32</v>
      </c>
      <c r="G262" s="38" t="s">
        <v>452</v>
      </c>
      <c r="H262" s="31">
        <v>737.8</v>
      </c>
      <c r="I262" s="32">
        <v>103</v>
      </c>
      <c r="J262" s="32">
        <v>0</v>
      </c>
      <c r="K262" s="46" t="s">
        <v>742</v>
      </c>
      <c r="M262" s="33" t="str">
        <f t="shared" si="4"/>
        <v/>
      </c>
      <c r="N262" s="34" t="str">
        <f>IFERROR(IF(Tabela1[[#This Row],[Nome fantasia]]="","",_xlfn.XLOOKUP($C262,Log!D:D,Log!B:B,,,-1)),"")</f>
        <v/>
      </c>
      <c r="O262" s="35" t="str">
        <f>IFERROR(_xlfn.XLOOKUP($C262,Log!D:D,Log!W:W,,,-1),"")</f>
        <v/>
      </c>
      <c r="P262" s="35" t="str">
        <f>IFERROR(_xlfn.XLOOKUP($C262,Log!D:D,Log!Y:Y,,,-1),"")</f>
        <v/>
      </c>
      <c r="R262" s="26" t="str">
        <f>IFERROR(IF(Tabela1[[#This Row],[Nome fantasia]]="","",_xlfn.XLOOKUP($C262,Log!D:D,Log!X:X,,,-1)),"")</f>
        <v/>
      </c>
    </row>
    <row r="263" spans="3:18" hidden="1" x14ac:dyDescent="0.2">
      <c r="C263" s="30" t="s">
        <v>453</v>
      </c>
      <c r="D263" s="110" t="s">
        <v>454</v>
      </c>
      <c r="E263" s="33" t="s">
        <v>46</v>
      </c>
      <c r="F263" s="38" t="s">
        <v>32</v>
      </c>
      <c r="G263" s="38" t="s">
        <v>1135</v>
      </c>
      <c r="H263" s="31">
        <v>1216.76</v>
      </c>
      <c r="I263" s="32">
        <v>8</v>
      </c>
      <c r="J263" s="32">
        <v>51.5</v>
      </c>
      <c r="K263" s="46" t="s">
        <v>742</v>
      </c>
      <c r="M263" s="33" t="str">
        <f t="shared" si="4"/>
        <v>Recompra</v>
      </c>
      <c r="N263" s="34" t="str">
        <f>IFERROR(IF(Tabela1[[#This Row],[Nome fantasia]]="","",_xlfn.XLOOKUP($C263,Log!D:D,Log!B:B,,,-1)),"")</f>
        <v/>
      </c>
      <c r="O263" s="35" t="str">
        <f>IFERROR(_xlfn.XLOOKUP($C263,Log!D:D,Log!W:W,,,-1),"")</f>
        <v/>
      </c>
      <c r="P263" s="35" t="str">
        <f>IFERROR(_xlfn.XLOOKUP($C263,Log!D:D,Log!Y:Y,,,-1),"")</f>
        <v/>
      </c>
      <c r="R263" s="26" t="str">
        <f>IFERROR(IF(Tabela1[[#This Row],[Nome fantasia]]="","",_xlfn.XLOOKUP($C263,Log!D:D,Log!X:X,,,-1)),"")</f>
        <v/>
      </c>
    </row>
    <row r="264" spans="3:18" hidden="1" x14ac:dyDescent="0.2">
      <c r="C264" s="30" t="s">
        <v>506</v>
      </c>
      <c r="D264" s="110" t="s">
        <v>507</v>
      </c>
      <c r="E264" s="33" t="s">
        <v>46</v>
      </c>
      <c r="F264" s="38" t="s">
        <v>12</v>
      </c>
      <c r="G264" s="38" t="s">
        <v>1148</v>
      </c>
      <c r="H264" s="31">
        <v>1025.8800000000001</v>
      </c>
      <c r="I264" s="32">
        <v>13</v>
      </c>
      <c r="J264" s="32">
        <v>100</v>
      </c>
      <c r="K264" s="45" t="s">
        <v>743</v>
      </c>
      <c r="M264" s="33" t="str">
        <f t="shared" si="4"/>
        <v>Recompra</v>
      </c>
      <c r="N264" s="34">
        <f>IFERROR(IF(Tabela1[[#This Row],[Nome fantasia]]="","",_xlfn.XLOOKUP($C264,Log!D:D,Log!B:B,,,-1)),"")</f>
        <v>46006</v>
      </c>
      <c r="O264" s="35" t="str">
        <f>IFERROR(_xlfn.XLOOKUP($C264,Log!D:D,Log!W:W,,,-1),"")</f>
        <v>FOLLOW UP 15</v>
      </c>
      <c r="P264" s="35" t="str">
        <f>IFERROR(_xlfn.XLOOKUP($C264,Log!D:D,Log!Y:Y,,,-1),"")</f>
        <v>CLIENTE NÃO VAI PRECISAR ESSE ANO MAIS</v>
      </c>
      <c r="R264" s="26">
        <f>IFERROR(IF(Tabela1[[#This Row],[Nome fantasia]]="","",_xlfn.XLOOKUP($C264,Log!D:D,Log!X:X,,,-1)),"")</f>
        <v>46027</v>
      </c>
    </row>
    <row r="265" spans="3:18" hidden="1" x14ac:dyDescent="0.2">
      <c r="C265" s="30" t="s">
        <v>457</v>
      </c>
      <c r="D265" s="110" t="s">
        <v>458</v>
      </c>
      <c r="E265" s="33" t="s">
        <v>46</v>
      </c>
      <c r="F265" s="38" t="s">
        <v>32</v>
      </c>
      <c r="G265" s="38" t="s">
        <v>452</v>
      </c>
      <c r="H265" s="31">
        <v>1213.9000000000001</v>
      </c>
      <c r="I265" s="32">
        <v>103</v>
      </c>
      <c r="J265" s="32">
        <v>23</v>
      </c>
      <c r="K265" s="46" t="s">
        <v>742</v>
      </c>
      <c r="M265" s="33" t="str">
        <f t="shared" si="4"/>
        <v>Recompra</v>
      </c>
      <c r="N265" s="34" t="str">
        <f>IFERROR(IF(Tabela1[[#This Row],[Nome fantasia]]="","",_xlfn.XLOOKUP($C265,Log!D:D,Log!B:B,,,-1)),"")</f>
        <v/>
      </c>
      <c r="O265" s="35" t="str">
        <f>IFERROR(_xlfn.XLOOKUP($C265,Log!D:D,Log!W:W,,,-1),"")</f>
        <v/>
      </c>
      <c r="P265" s="35" t="str">
        <f>IFERROR(_xlfn.XLOOKUP($C265,Log!D:D,Log!Y:Y,,,-1),"")</f>
        <v/>
      </c>
      <c r="R265" s="26" t="str">
        <f>IFERROR(IF(Tabela1[[#This Row],[Nome fantasia]]="","",_xlfn.XLOOKUP($C265,Log!D:D,Log!X:X,,,-1)),"")</f>
        <v/>
      </c>
    </row>
    <row r="266" spans="3:18" hidden="1" x14ac:dyDescent="0.2">
      <c r="C266" s="30" t="s">
        <v>455</v>
      </c>
      <c r="D266" s="110" t="s">
        <v>456</v>
      </c>
      <c r="E266" s="33" t="s">
        <v>17</v>
      </c>
      <c r="F266" s="38" t="s">
        <v>12</v>
      </c>
      <c r="G266" s="38" t="s">
        <v>1161</v>
      </c>
      <c r="H266" s="31">
        <v>658.4</v>
      </c>
      <c r="I266" s="32">
        <v>18</v>
      </c>
      <c r="J266" s="32">
        <v>85</v>
      </c>
      <c r="K266" s="46" t="s">
        <v>742</v>
      </c>
      <c r="M266" s="33" t="str">
        <f t="shared" si="4"/>
        <v>Recompra</v>
      </c>
      <c r="N266" s="34">
        <f>IFERROR(IF(Tabela1[[#This Row],[Nome fantasia]]="","",_xlfn.XLOOKUP($C266,Log!D:D,Log!B:B,,,-1)),"")</f>
        <v>46001</v>
      </c>
      <c r="O266" s="35" t="str">
        <f>IFERROR(_xlfn.XLOOKUP($C266,Log!D:D,Log!W:W,,,-1),"")</f>
        <v>EM ATENDIMENTO</v>
      </c>
      <c r="P266" s="35" t="str">
        <f>IFERROR(_xlfn.XLOOKUP($C266,Log!D:D,Log!Y:Y,,,-1),"")</f>
        <v>SOMENTE PELO WHATS, O NUMERO PARA LIGAÇÃO É SOMENTE LOJA</v>
      </c>
      <c r="R266" s="26">
        <f>IFERROR(IF(Tabela1[[#This Row],[Nome fantasia]]="","",_xlfn.XLOOKUP($C266,Log!D:D,Log!X:X,,,-1)),"")</f>
        <v>46003</v>
      </c>
    </row>
    <row r="267" spans="3:18" hidden="1" x14ac:dyDescent="0.2">
      <c r="C267" s="30" t="s">
        <v>339</v>
      </c>
      <c r="D267" s="110" t="s">
        <v>461</v>
      </c>
      <c r="E267" s="33" t="s">
        <v>46</v>
      </c>
      <c r="F267" s="38" t="s">
        <v>32</v>
      </c>
      <c r="G267" s="38" t="s">
        <v>452</v>
      </c>
      <c r="H267" s="31">
        <v>1213.9000000000001</v>
      </c>
      <c r="I267" s="32">
        <v>103</v>
      </c>
      <c r="J267" s="32">
        <v>0</v>
      </c>
      <c r="K267" s="46" t="s">
        <v>742</v>
      </c>
      <c r="M267" s="33" t="str">
        <f t="shared" si="4"/>
        <v/>
      </c>
      <c r="N267" s="34" t="str">
        <f>IFERROR(IF(Tabela1[[#This Row],[Nome fantasia]]="","",_xlfn.XLOOKUP($C267,Log!D:D,Log!B:B,,,-1)),"")</f>
        <v/>
      </c>
      <c r="O267" s="35" t="str">
        <f>IFERROR(_xlfn.XLOOKUP($C267,Log!D:D,Log!W:W,,,-1),"")</f>
        <v/>
      </c>
      <c r="P267" s="35" t="str">
        <f>IFERROR(_xlfn.XLOOKUP($C267,Log!D:D,Log!Y:Y,,,-1),"")</f>
        <v/>
      </c>
      <c r="R267" s="26" t="str">
        <f>IFERROR(IF(Tabela1[[#This Row],[Nome fantasia]]="","",_xlfn.XLOOKUP($C267,Log!D:D,Log!X:X,,,-1)),"")</f>
        <v/>
      </c>
    </row>
    <row r="268" spans="3:18" hidden="1" x14ac:dyDescent="0.2">
      <c r="C268" s="30" t="s">
        <v>457</v>
      </c>
      <c r="D268" s="110" t="s">
        <v>462</v>
      </c>
      <c r="E268" s="33" t="s">
        <v>46</v>
      </c>
      <c r="F268" s="38" t="s">
        <v>32</v>
      </c>
      <c r="G268" s="38" t="s">
        <v>452</v>
      </c>
      <c r="H268" s="31">
        <v>1218.44</v>
      </c>
      <c r="I268" s="32">
        <v>103</v>
      </c>
      <c r="J268" s="32">
        <v>0</v>
      </c>
      <c r="K268" s="46" t="s">
        <v>742</v>
      </c>
      <c r="M268" s="33" t="str">
        <f t="shared" si="4"/>
        <v/>
      </c>
      <c r="N268" s="34" t="str">
        <f>IFERROR(IF(Tabela1[[#This Row],[Nome fantasia]]="","",_xlfn.XLOOKUP($C268,Log!D:D,Log!B:B,,,-1)),"")</f>
        <v/>
      </c>
      <c r="O268" s="35" t="str">
        <f>IFERROR(_xlfn.XLOOKUP($C268,Log!D:D,Log!W:W,,,-1),"")</f>
        <v/>
      </c>
      <c r="P268" s="35" t="str">
        <f>IFERROR(_xlfn.XLOOKUP($C268,Log!D:D,Log!Y:Y,,,-1),"")</f>
        <v/>
      </c>
      <c r="R268" s="26" t="str">
        <f>IFERROR(IF(Tabela1[[#This Row],[Nome fantasia]]="","",_xlfn.XLOOKUP($C268,Log!D:D,Log!X:X,,,-1)),"")</f>
        <v/>
      </c>
    </row>
    <row r="269" spans="3:18" hidden="1" x14ac:dyDescent="0.2">
      <c r="C269" s="30" t="s">
        <v>463</v>
      </c>
      <c r="D269" s="110" t="s">
        <v>464</v>
      </c>
      <c r="E269" s="33" t="s">
        <v>46</v>
      </c>
      <c r="F269" s="38" t="s">
        <v>32</v>
      </c>
      <c r="G269" s="38" t="s">
        <v>452</v>
      </c>
      <c r="H269" s="31">
        <v>1213.9000000000001</v>
      </c>
      <c r="I269" s="32">
        <v>103</v>
      </c>
      <c r="J269" s="32">
        <v>0</v>
      </c>
      <c r="K269" s="46" t="s">
        <v>742</v>
      </c>
      <c r="M269" s="33" t="str">
        <f t="shared" si="4"/>
        <v/>
      </c>
      <c r="N269" s="34" t="str">
        <f>IFERROR(IF(Tabela1[[#This Row],[Nome fantasia]]="","",_xlfn.XLOOKUP($C269,Log!D:D,Log!B:B,,,-1)),"")</f>
        <v/>
      </c>
      <c r="O269" s="35" t="str">
        <f>IFERROR(_xlfn.XLOOKUP($C269,Log!D:D,Log!W:W,,,-1),"")</f>
        <v/>
      </c>
      <c r="P269" s="35" t="str">
        <f>IFERROR(_xlfn.XLOOKUP($C269,Log!D:D,Log!Y:Y,,,-1),"")</f>
        <v/>
      </c>
      <c r="R269" s="26" t="str">
        <f>IFERROR(IF(Tabela1[[#This Row],[Nome fantasia]]="","",_xlfn.XLOOKUP($C269,Log!D:D,Log!X:X,,,-1)),"")</f>
        <v/>
      </c>
    </row>
    <row r="270" spans="3:18" hidden="1" x14ac:dyDescent="0.2">
      <c r="C270" s="30" t="s">
        <v>465</v>
      </c>
      <c r="D270" s="110" t="s">
        <v>466</v>
      </c>
      <c r="E270" s="33" t="s">
        <v>46</v>
      </c>
      <c r="F270" s="38" t="s">
        <v>32</v>
      </c>
      <c r="G270" s="38" t="s">
        <v>1223</v>
      </c>
      <c r="H270" s="31">
        <v>1076.4100000000001</v>
      </c>
      <c r="I270" s="32">
        <v>6</v>
      </c>
      <c r="J270" s="32">
        <v>97</v>
      </c>
      <c r="K270" s="46" t="s">
        <v>742</v>
      </c>
      <c r="M270" s="33" t="str">
        <f t="shared" si="4"/>
        <v>Recompra</v>
      </c>
      <c r="N270" s="34" t="str">
        <f>IFERROR(IF(Tabela1[[#This Row],[Nome fantasia]]="","",_xlfn.XLOOKUP($C270,Log!D:D,Log!B:B,,,-1)),"")</f>
        <v/>
      </c>
      <c r="O270" s="35" t="str">
        <f>IFERROR(_xlfn.XLOOKUP($C270,Log!D:D,Log!W:W,,,-1),"")</f>
        <v/>
      </c>
      <c r="P270" s="35" t="str">
        <f>IFERROR(_xlfn.XLOOKUP($C270,Log!D:D,Log!Y:Y,,,-1),"")</f>
        <v/>
      </c>
      <c r="R270" s="26" t="str">
        <f>IFERROR(IF(Tabela1[[#This Row],[Nome fantasia]]="","",_xlfn.XLOOKUP($C270,Log!D:D,Log!X:X,,,-1)),"")</f>
        <v/>
      </c>
    </row>
    <row r="271" spans="3:18" hidden="1" x14ac:dyDescent="0.2">
      <c r="C271" s="30" t="s">
        <v>467</v>
      </c>
      <c r="D271" s="110" t="s">
        <v>468</v>
      </c>
      <c r="E271" s="33" t="s">
        <v>46</v>
      </c>
      <c r="F271" s="38" t="s">
        <v>32</v>
      </c>
      <c r="G271" s="38" t="s">
        <v>452</v>
      </c>
      <c r="H271" s="31">
        <v>1213.9000000000001</v>
      </c>
      <c r="I271" s="32">
        <v>103</v>
      </c>
      <c r="J271" s="32">
        <v>0</v>
      </c>
      <c r="K271" s="46" t="s">
        <v>742</v>
      </c>
      <c r="M271" s="33" t="str">
        <f t="shared" si="4"/>
        <v/>
      </c>
      <c r="N271" s="34" t="str">
        <f>IFERROR(IF(Tabela1[[#This Row],[Nome fantasia]]="","",_xlfn.XLOOKUP($C271,Log!D:D,Log!B:B,,,-1)),"")</f>
        <v/>
      </c>
      <c r="O271" s="35" t="str">
        <f>IFERROR(_xlfn.XLOOKUP($C271,Log!D:D,Log!W:W,,,-1),"")</f>
        <v/>
      </c>
      <c r="P271" s="35" t="str">
        <f>IFERROR(_xlfn.XLOOKUP($C271,Log!D:D,Log!Y:Y,,,-1),"")</f>
        <v/>
      </c>
      <c r="R271" s="26" t="str">
        <f>IFERROR(IF(Tabela1[[#This Row],[Nome fantasia]]="","",_xlfn.XLOOKUP($C271,Log!D:D,Log!X:X,,,-1)),"")</f>
        <v/>
      </c>
    </row>
    <row r="272" spans="3:18" hidden="1" x14ac:dyDescent="0.2">
      <c r="C272" s="30" t="s">
        <v>469</v>
      </c>
      <c r="D272" s="110" t="s">
        <v>470</v>
      </c>
      <c r="E272" s="33" t="s">
        <v>46</v>
      </c>
      <c r="F272" s="38" t="s">
        <v>32</v>
      </c>
      <c r="G272" s="38" t="s">
        <v>471</v>
      </c>
      <c r="H272" s="31">
        <v>1218.44</v>
      </c>
      <c r="I272" s="32">
        <v>104</v>
      </c>
      <c r="J272" s="32">
        <v>0</v>
      </c>
      <c r="K272" s="46" t="s">
        <v>742</v>
      </c>
      <c r="M272" s="33" t="str">
        <f t="shared" si="4"/>
        <v/>
      </c>
      <c r="N272" s="34" t="str">
        <f>IFERROR(IF(Tabela1[[#This Row],[Nome fantasia]]="","",_xlfn.XLOOKUP($C272,Log!D:D,Log!B:B,,,-1)),"")</f>
        <v/>
      </c>
      <c r="O272" s="35" t="str">
        <f>IFERROR(_xlfn.XLOOKUP($C272,Log!D:D,Log!W:W,,,-1),"")</f>
        <v/>
      </c>
      <c r="P272" s="35" t="str">
        <f>IFERROR(_xlfn.XLOOKUP($C272,Log!D:D,Log!Y:Y,,,-1),"")</f>
        <v/>
      </c>
      <c r="R272" s="26" t="str">
        <f>IFERROR(IF(Tabela1[[#This Row],[Nome fantasia]]="","",_xlfn.XLOOKUP($C272,Log!D:D,Log!X:X,,,-1)),"")</f>
        <v/>
      </c>
    </row>
    <row r="273" spans="3:18" hidden="1" x14ac:dyDescent="0.2">
      <c r="C273" s="30" t="s">
        <v>121</v>
      </c>
      <c r="D273" s="110" t="s">
        <v>472</v>
      </c>
      <c r="E273" s="33" t="s">
        <v>46</v>
      </c>
      <c r="F273" s="38" t="s">
        <v>32</v>
      </c>
      <c r="G273" s="38" t="s">
        <v>471</v>
      </c>
      <c r="H273" s="31">
        <v>1218.44</v>
      </c>
      <c r="I273" s="32">
        <v>104</v>
      </c>
      <c r="J273" s="32">
        <v>0</v>
      </c>
      <c r="K273" s="46" t="s">
        <v>742</v>
      </c>
      <c r="M273" s="33" t="str">
        <f t="shared" si="4"/>
        <v/>
      </c>
      <c r="N273" s="34">
        <f>IFERROR(IF(Tabela1[[#This Row],[Nome fantasia]]="","",_xlfn.XLOOKUP($C273,Log!D:D,Log!B:B,,,-1)),"")</f>
        <v>45895</v>
      </c>
      <c r="O273" s="35" t="str">
        <f>IFERROR(_xlfn.XLOOKUP($C273,Log!D:D,Log!W:W,,,-1),"")</f>
        <v>VENDA</v>
      </c>
      <c r="P273" s="35" t="str">
        <f>IFERROR(_xlfn.XLOOKUP($C273,Log!D:D,Log!Y:Y,,,-1),"")</f>
        <v xml:space="preserve">RECOMPRA </v>
      </c>
      <c r="R273" s="26">
        <f>IFERROR(IF(Tabela1[[#This Row],[Nome fantasia]]="","",_xlfn.XLOOKUP($C273,Log!D:D,Log!X:X,,,-1)),"")</f>
        <v>45958</v>
      </c>
    </row>
    <row r="274" spans="3:18" hidden="1" x14ac:dyDescent="0.2">
      <c r="C274" s="30" t="s">
        <v>194</v>
      </c>
      <c r="D274" s="110" t="s">
        <v>195</v>
      </c>
      <c r="E274" s="33" t="s">
        <v>17</v>
      </c>
      <c r="F274" s="38" t="s">
        <v>12</v>
      </c>
      <c r="G274" s="38" t="s">
        <v>1165</v>
      </c>
      <c r="H274" s="31">
        <v>683.35</v>
      </c>
      <c r="I274" s="32">
        <v>20</v>
      </c>
      <c r="J274" s="32">
        <v>33</v>
      </c>
      <c r="K274" s="44" t="s">
        <v>741</v>
      </c>
      <c r="M274" s="33" t="str">
        <f t="shared" si="4"/>
        <v>Recompra</v>
      </c>
      <c r="N274" s="34">
        <f>IFERROR(IF(Tabela1[[#This Row],[Nome fantasia]]="","",_xlfn.XLOOKUP($C274,Log!D:D,Log!B:B,,,-1)),"")</f>
        <v>45996</v>
      </c>
      <c r="O274" s="35" t="str">
        <f>IFERROR(_xlfn.XLOOKUP($C274,Log!D:D,Log!W:W,,,-1),"")</f>
        <v>VENDA</v>
      </c>
      <c r="P274" s="35" t="str">
        <f>IFERROR(_xlfn.XLOOKUP($C274,Log!D:D,Log!Y:Y,,,-1),"")</f>
        <v>VENDA FINALIZADA</v>
      </c>
      <c r="R274" s="26">
        <f>IFERROR(IF(Tabela1[[#This Row],[Nome fantasia]]="","",_xlfn.XLOOKUP($C274,Log!D:D,Log!X:X,,,-1)),"")</f>
        <v>46059</v>
      </c>
    </row>
    <row r="275" spans="3:18" hidden="1" x14ac:dyDescent="0.2">
      <c r="C275" s="30" t="s">
        <v>465</v>
      </c>
      <c r="D275" s="110" t="s">
        <v>475</v>
      </c>
      <c r="E275" s="33" t="s">
        <v>46</v>
      </c>
      <c r="F275" s="38" t="s">
        <v>32</v>
      </c>
      <c r="G275" s="38" t="s">
        <v>471</v>
      </c>
      <c r="H275" s="31">
        <v>1213.9000000000001</v>
      </c>
      <c r="I275" s="32">
        <v>104</v>
      </c>
      <c r="J275" s="32">
        <v>0</v>
      </c>
      <c r="K275" s="46" t="s">
        <v>742</v>
      </c>
      <c r="M275" s="33" t="str">
        <f t="shared" si="4"/>
        <v/>
      </c>
      <c r="N275" s="34" t="str">
        <f>IFERROR(IF(Tabela1[[#This Row],[Nome fantasia]]="","",_xlfn.XLOOKUP($C275,Log!D:D,Log!B:B,,,-1)),"")</f>
        <v/>
      </c>
      <c r="O275" s="35" t="str">
        <f>IFERROR(_xlfn.XLOOKUP($C275,Log!D:D,Log!W:W,,,-1),"")</f>
        <v/>
      </c>
      <c r="P275" s="35" t="str">
        <f>IFERROR(_xlfn.XLOOKUP($C275,Log!D:D,Log!Y:Y,,,-1),"")</f>
        <v/>
      </c>
      <c r="R275" s="26" t="str">
        <f>IFERROR(IF(Tabela1[[#This Row],[Nome fantasia]]="","",_xlfn.XLOOKUP($C275,Log!D:D,Log!X:X,,,-1)),"")</f>
        <v/>
      </c>
    </row>
    <row r="276" spans="3:18" hidden="1" x14ac:dyDescent="0.2">
      <c r="C276" s="30" t="s">
        <v>476</v>
      </c>
      <c r="D276" s="110" t="s">
        <v>477</v>
      </c>
      <c r="E276" s="33" t="s">
        <v>36</v>
      </c>
      <c r="F276" s="38" t="s">
        <v>32</v>
      </c>
      <c r="G276" s="38" t="s">
        <v>1135</v>
      </c>
      <c r="H276" s="31">
        <v>1226.3499999999999</v>
      </c>
      <c r="I276" s="32">
        <v>8</v>
      </c>
      <c r="J276" s="32">
        <v>96</v>
      </c>
      <c r="K276" s="46" t="s">
        <v>742</v>
      </c>
      <c r="M276" s="33" t="str">
        <f t="shared" si="4"/>
        <v>Recompra</v>
      </c>
      <c r="N276" s="34" t="str">
        <f>IFERROR(IF(Tabela1[[#This Row],[Nome fantasia]]="","",_xlfn.XLOOKUP($C276,Log!D:D,Log!B:B,,,-1)),"")</f>
        <v/>
      </c>
      <c r="O276" s="35" t="str">
        <f>IFERROR(_xlfn.XLOOKUP($C276,Log!D:D,Log!W:W,,,-1),"")</f>
        <v/>
      </c>
      <c r="P276" s="35" t="str">
        <f>IFERROR(_xlfn.XLOOKUP($C276,Log!D:D,Log!Y:Y,,,-1),"")</f>
        <v/>
      </c>
      <c r="R276" s="26" t="str">
        <f>IFERROR(IF(Tabela1[[#This Row],[Nome fantasia]]="","",_xlfn.XLOOKUP($C276,Log!D:D,Log!X:X,,,-1)),"")</f>
        <v/>
      </c>
    </row>
    <row r="277" spans="3:18" hidden="1" x14ac:dyDescent="0.2">
      <c r="C277" s="30" t="s">
        <v>481</v>
      </c>
      <c r="D277" s="110" t="s">
        <v>482</v>
      </c>
      <c r="E277" s="33" t="s">
        <v>140</v>
      </c>
      <c r="F277" s="38" t="s">
        <v>53</v>
      </c>
      <c r="G277" s="38" t="s">
        <v>483</v>
      </c>
      <c r="H277" s="31">
        <v>1001.78</v>
      </c>
      <c r="I277" s="32">
        <v>106</v>
      </c>
      <c r="J277" s="32">
        <v>0</v>
      </c>
      <c r="K277" s="45" t="s">
        <v>743</v>
      </c>
      <c r="M277" s="33" t="str">
        <f t="shared" si="4"/>
        <v/>
      </c>
      <c r="N277" s="34" t="str">
        <f>IFERROR(IF(Tabela1[[#This Row],[Nome fantasia]]="","",_xlfn.XLOOKUP($C277,Log!D:D,Log!B:B,,,-1)),"")</f>
        <v/>
      </c>
      <c r="O277" s="35" t="str">
        <f>IFERROR(_xlfn.XLOOKUP($C277,Log!D:D,Log!W:W,,,-1),"")</f>
        <v/>
      </c>
      <c r="P277" s="35" t="str">
        <f>IFERROR(_xlfn.XLOOKUP($C277,Log!D:D,Log!Y:Y,,,-1),"")</f>
        <v/>
      </c>
      <c r="R277" s="26" t="str">
        <f>IFERROR(IF(Tabela1[[#This Row],[Nome fantasia]]="","",_xlfn.XLOOKUP($C277,Log!D:D,Log!X:X,,,-1)),"")</f>
        <v/>
      </c>
    </row>
    <row r="278" spans="3:18" hidden="1" x14ac:dyDescent="0.2">
      <c r="C278" s="30" t="s">
        <v>485</v>
      </c>
      <c r="D278" s="110" t="s">
        <v>486</v>
      </c>
      <c r="E278" s="33" t="s">
        <v>49</v>
      </c>
      <c r="F278" s="38" t="s">
        <v>53</v>
      </c>
      <c r="G278" s="38" t="s">
        <v>483</v>
      </c>
      <c r="H278" s="31">
        <v>652.51</v>
      </c>
      <c r="I278" s="32">
        <v>106</v>
      </c>
      <c r="J278" s="32">
        <v>0</v>
      </c>
      <c r="K278" s="45" t="s">
        <v>743</v>
      </c>
      <c r="M278" s="33" t="str">
        <f t="shared" si="4"/>
        <v/>
      </c>
      <c r="N278" s="34" t="str">
        <f>IFERROR(IF(Tabela1[[#This Row],[Nome fantasia]]="","",_xlfn.XLOOKUP($C278,Log!D:D,Log!B:B,,,-1)),"")</f>
        <v/>
      </c>
      <c r="O278" s="35" t="str">
        <f>IFERROR(_xlfn.XLOOKUP($C278,Log!D:D,Log!W:W,,,-1),"")</f>
        <v/>
      </c>
      <c r="P278" s="35" t="str">
        <f>IFERROR(_xlfn.XLOOKUP($C278,Log!D:D,Log!Y:Y,,,-1),"")</f>
        <v/>
      </c>
      <c r="R278" s="26" t="str">
        <f>IFERROR(IF(Tabela1[[#This Row],[Nome fantasia]]="","",_xlfn.XLOOKUP($C278,Log!D:D,Log!X:X,,,-1)),"")</f>
        <v/>
      </c>
    </row>
    <row r="279" spans="3:18" hidden="1" x14ac:dyDescent="0.2">
      <c r="C279" s="30" t="s">
        <v>487</v>
      </c>
      <c r="D279" s="110" t="s">
        <v>488</v>
      </c>
      <c r="E279" s="33" t="s">
        <v>120</v>
      </c>
      <c r="F279" s="38" t="s">
        <v>53</v>
      </c>
      <c r="G279" s="38" t="s">
        <v>489</v>
      </c>
      <c r="H279" s="31">
        <v>815.05</v>
      </c>
      <c r="I279" s="32">
        <v>109</v>
      </c>
      <c r="J279" s="32">
        <v>45</v>
      </c>
      <c r="K279" s="45" t="s">
        <v>743</v>
      </c>
      <c r="M279" s="33" t="str">
        <f t="shared" si="4"/>
        <v>Recompra</v>
      </c>
      <c r="N279" s="34" t="str">
        <f>IFERROR(IF(Tabela1[[#This Row],[Nome fantasia]]="","",_xlfn.XLOOKUP($C279,Log!D:D,Log!B:B,,,-1)),"")</f>
        <v/>
      </c>
      <c r="O279" s="35" t="str">
        <f>IFERROR(_xlfn.XLOOKUP($C279,Log!D:D,Log!W:W,,,-1),"")</f>
        <v/>
      </c>
      <c r="P279" s="35" t="str">
        <f>IFERROR(_xlfn.XLOOKUP($C279,Log!D:D,Log!Y:Y,,,-1),"")</f>
        <v/>
      </c>
      <c r="R279" s="26" t="str">
        <f>IFERROR(IF(Tabela1[[#This Row],[Nome fantasia]]="","",_xlfn.XLOOKUP($C279,Log!D:D,Log!X:X,,,-1)),"")</f>
        <v/>
      </c>
    </row>
    <row r="280" spans="3:18" hidden="1" x14ac:dyDescent="0.2">
      <c r="C280" s="30" t="s">
        <v>490</v>
      </c>
      <c r="D280" s="110" t="s">
        <v>491</v>
      </c>
      <c r="E280" s="33" t="s">
        <v>11</v>
      </c>
      <c r="F280" s="38" t="s">
        <v>53</v>
      </c>
      <c r="G280" s="38" t="s">
        <v>489</v>
      </c>
      <c r="H280" s="31">
        <v>701.58</v>
      </c>
      <c r="I280" s="32">
        <v>109</v>
      </c>
      <c r="J280" s="32">
        <v>0</v>
      </c>
      <c r="K280" s="45" t="s">
        <v>743</v>
      </c>
      <c r="M280" s="33" t="str">
        <f t="shared" si="4"/>
        <v/>
      </c>
      <c r="N280" s="34" t="str">
        <f>IFERROR(IF(Tabela1[[#This Row],[Nome fantasia]]="","",_xlfn.XLOOKUP($C280,Log!D:D,Log!B:B,,,-1)),"")</f>
        <v/>
      </c>
      <c r="O280" s="35" t="str">
        <f>IFERROR(_xlfn.XLOOKUP($C280,Log!D:D,Log!W:W,,,-1),"")</f>
        <v/>
      </c>
      <c r="P280" s="35" t="str">
        <f>IFERROR(_xlfn.XLOOKUP($C280,Log!D:D,Log!Y:Y,,,-1),"")</f>
        <v/>
      </c>
      <c r="R280" s="26" t="str">
        <f>IFERROR(IF(Tabela1[[#This Row],[Nome fantasia]]="","",_xlfn.XLOOKUP($C280,Log!D:D,Log!X:X,,,-1)),"")</f>
        <v/>
      </c>
    </row>
    <row r="281" spans="3:18" hidden="1" x14ac:dyDescent="0.2">
      <c r="C281" s="30" t="s">
        <v>417</v>
      </c>
      <c r="D281" s="110" t="s">
        <v>418</v>
      </c>
      <c r="E281" s="33" t="s">
        <v>22</v>
      </c>
      <c r="F281" s="38" t="s">
        <v>12</v>
      </c>
      <c r="G281" s="38" t="s">
        <v>13</v>
      </c>
      <c r="H281" s="31">
        <v>1106.6300000000001</v>
      </c>
      <c r="I281" s="32">
        <v>26</v>
      </c>
      <c r="J281" s="32">
        <v>42.5</v>
      </c>
      <c r="K281" s="46" t="s">
        <v>742</v>
      </c>
      <c r="M281" s="33" t="str">
        <f t="shared" si="4"/>
        <v>Recompra</v>
      </c>
      <c r="N281" s="34">
        <f>IFERROR(IF(Tabela1[[#This Row],[Nome fantasia]]="","",_xlfn.XLOOKUP($C281,Log!D:D,Log!B:B,,,-1)),"")</f>
        <v>45993</v>
      </c>
      <c r="O281" s="35" t="str">
        <f>IFERROR(_xlfn.XLOOKUP($C281,Log!D:D,Log!W:W,,,-1),"")</f>
        <v>VENDA</v>
      </c>
      <c r="P281" s="35" t="str">
        <f>IFERROR(_xlfn.XLOOKUP($C281,Log!D:D,Log!Y:Y,,,-1),"")</f>
        <v>VENDA FINALIZADA</v>
      </c>
      <c r="R281" s="26">
        <f>IFERROR(IF(Tabela1[[#This Row],[Nome fantasia]]="","",_xlfn.XLOOKUP($C281,Log!D:D,Log!X:X,,,-1)),"")</f>
        <v>46056</v>
      </c>
    </row>
    <row r="282" spans="3:18" hidden="1" x14ac:dyDescent="0.2">
      <c r="C282" s="30" t="s">
        <v>24</v>
      </c>
      <c r="D282" s="110" t="s">
        <v>25</v>
      </c>
      <c r="E282" s="33" t="s">
        <v>26</v>
      </c>
      <c r="F282" s="38" t="s">
        <v>12</v>
      </c>
      <c r="G282" s="38" t="s">
        <v>23</v>
      </c>
      <c r="H282" s="31">
        <v>5970</v>
      </c>
      <c r="I282" s="32">
        <v>32</v>
      </c>
      <c r="J282" s="32">
        <v>33.5</v>
      </c>
      <c r="K282" s="44" t="s">
        <v>741</v>
      </c>
      <c r="M282" s="33" t="str">
        <f t="shared" si="4"/>
        <v>Recompra</v>
      </c>
      <c r="N282" s="34">
        <f>IFERROR(IF(Tabela1[[#This Row],[Nome fantasia]]="","",_xlfn.XLOOKUP($C282,Log!D:D,Log!B:B,,,-1)),"")</f>
        <v>45939</v>
      </c>
      <c r="O282" s="35" t="str">
        <f>IFERROR(_xlfn.XLOOKUP($C282,Log!D:D,Log!W:W,,,-1),"")</f>
        <v>SUPORTE</v>
      </c>
      <c r="P282" s="35" t="str">
        <f>IFERROR(_xlfn.XLOOKUP($C282,Log!D:D,Log!Y:Y,,,-1),"")</f>
        <v>CLIENTE PEDIU NF</v>
      </c>
      <c r="R282" s="26" t="str">
        <f>IFERROR(IF(Tabela1[[#This Row],[Nome fantasia]]="","",_xlfn.XLOOKUP($C282,Log!D:D,Log!X:X,,,-1)),"")</f>
        <v/>
      </c>
    </row>
    <row r="283" spans="3:18" hidden="1" x14ac:dyDescent="0.2">
      <c r="C283" s="30" t="s">
        <v>20</v>
      </c>
      <c r="D283" s="110" t="s">
        <v>21</v>
      </c>
      <c r="E283" s="33" t="s">
        <v>22</v>
      </c>
      <c r="F283" s="38" t="s">
        <v>12</v>
      </c>
      <c r="G283" s="38" t="s">
        <v>23</v>
      </c>
      <c r="H283" s="31">
        <v>795.71</v>
      </c>
      <c r="I283" s="123">
        <v>32</v>
      </c>
      <c r="J283" s="32">
        <v>134</v>
      </c>
      <c r="K283" s="44" t="s">
        <v>741</v>
      </c>
      <c r="M283" s="33" t="str">
        <f t="shared" si="4"/>
        <v>Recompra</v>
      </c>
      <c r="N283" s="34">
        <f>IFERROR(IF(Tabela1[[#This Row],[Nome fantasia]]="","",_xlfn.XLOOKUP($C283,Log!D:D,Log!B:B,,,-1)),"")</f>
        <v>45943</v>
      </c>
      <c r="O283" s="35" t="str">
        <f>IFERROR(_xlfn.XLOOKUP($C283,Log!D:D,Log!W:W,,,-1),"")</f>
        <v>FOLLOW UP 7</v>
      </c>
      <c r="P283" s="35" t="str">
        <f>IFERROR(_xlfn.XLOOKUP($C283,Log!D:D,Log!Y:Y,,,-1),"")</f>
        <v>AINDA TEM ESTOQUE</v>
      </c>
      <c r="R283" s="26">
        <f>IFERROR(IF(Tabela1[[#This Row],[Nome fantasia]]="","",_xlfn.XLOOKUP($C283,Log!D:D,Log!X:X,,,-1)),"")</f>
        <v>45952</v>
      </c>
    </row>
    <row r="284" spans="3:18" hidden="1" x14ac:dyDescent="0.2">
      <c r="C284" s="30" t="s">
        <v>498</v>
      </c>
      <c r="D284" s="110" t="s">
        <v>499</v>
      </c>
      <c r="E284" s="33" t="s">
        <v>46</v>
      </c>
      <c r="F284" s="38" t="s">
        <v>32</v>
      </c>
      <c r="G284" s="38" t="s">
        <v>489</v>
      </c>
      <c r="H284" s="31">
        <v>3742.44</v>
      </c>
      <c r="I284" s="32">
        <v>109</v>
      </c>
      <c r="J284" s="32">
        <v>0</v>
      </c>
      <c r="K284" s="45" t="s">
        <v>743</v>
      </c>
      <c r="M284" s="33" t="str">
        <f t="shared" si="4"/>
        <v/>
      </c>
      <c r="N284" s="34" t="str">
        <f>IFERROR(IF(Tabela1[[#This Row],[Nome fantasia]]="","",_xlfn.XLOOKUP($C284,Log!D:D,Log!B:B,,,-1)),"")</f>
        <v/>
      </c>
      <c r="O284" s="35" t="str">
        <f>IFERROR(_xlfn.XLOOKUP($C284,Log!D:D,Log!W:W,,,-1),"")</f>
        <v/>
      </c>
      <c r="P284" s="35" t="str">
        <f>IFERROR(_xlfn.XLOOKUP($C284,Log!D:D,Log!Y:Y,,,-1),"")</f>
        <v/>
      </c>
      <c r="R284" s="26" t="str">
        <f>IFERROR(IF(Tabela1[[#This Row],[Nome fantasia]]="","",_xlfn.XLOOKUP($C284,Log!D:D,Log!X:X,,,-1)),"")</f>
        <v/>
      </c>
    </row>
    <row r="285" spans="3:18" hidden="1" x14ac:dyDescent="0.2">
      <c r="C285" s="30" t="s">
        <v>125</v>
      </c>
      <c r="D285" s="110" t="s">
        <v>126</v>
      </c>
      <c r="E285" s="33" t="s">
        <v>49</v>
      </c>
      <c r="F285" s="38" t="s">
        <v>12</v>
      </c>
      <c r="G285" s="38" t="s">
        <v>111</v>
      </c>
      <c r="H285" s="31">
        <v>4119.1000000000004</v>
      </c>
      <c r="I285" s="32">
        <v>42</v>
      </c>
      <c r="J285" s="32">
        <v>0</v>
      </c>
      <c r="K285" s="44" t="s">
        <v>741</v>
      </c>
      <c r="M285" s="33" t="str">
        <f t="shared" si="4"/>
        <v/>
      </c>
      <c r="N285" s="34">
        <f>IFERROR(IF(Tabela1[[#This Row],[Nome fantasia]]="","",_xlfn.XLOOKUP($C285,Log!D:D,Log!B:B,,,-1)),"")</f>
        <v>45916</v>
      </c>
      <c r="O285" s="35" t="str">
        <f>IFERROR(_xlfn.XLOOKUP($C285,Log!D:D,Log!W:W,,,-1),"")</f>
        <v>SUPORTE</v>
      </c>
      <c r="P285" s="35" t="str">
        <f>IFERROR(_xlfn.XLOOKUP($C285,Log!D:D,Log!Y:Y,,,-1),"")</f>
        <v>SUPORTE</v>
      </c>
      <c r="R285" s="26" t="str">
        <f>IFERROR(IF(Tabela1[[#This Row],[Nome fantasia]]="","",_xlfn.XLOOKUP($C285,Log!D:D,Log!X:X,,,-1)),"")</f>
        <v/>
      </c>
    </row>
    <row r="286" spans="3:18" hidden="1" x14ac:dyDescent="0.2">
      <c r="C286" s="30" t="s">
        <v>503</v>
      </c>
      <c r="D286" s="110" t="s">
        <v>504</v>
      </c>
      <c r="E286" s="33" t="s">
        <v>140</v>
      </c>
      <c r="F286" s="38" t="s">
        <v>53</v>
      </c>
      <c r="G286" s="38" t="s">
        <v>505</v>
      </c>
      <c r="H286" s="31">
        <v>1543.95</v>
      </c>
      <c r="I286" s="32">
        <v>112</v>
      </c>
      <c r="J286" s="32">
        <v>0</v>
      </c>
      <c r="K286" s="45" t="s">
        <v>743</v>
      </c>
      <c r="M286" s="33" t="str">
        <f t="shared" si="4"/>
        <v/>
      </c>
      <c r="N286" s="34" t="str">
        <f>IFERROR(IF(Tabela1[[#This Row],[Nome fantasia]]="","",_xlfn.XLOOKUP($C286,Log!D:D,Log!B:B,,,-1)),"")</f>
        <v/>
      </c>
      <c r="O286" s="35" t="str">
        <f>IFERROR(_xlfn.XLOOKUP($C286,Log!D:D,Log!W:W,,,-1),"")</f>
        <v/>
      </c>
      <c r="P286" s="35" t="str">
        <f>IFERROR(_xlfn.XLOOKUP($C286,Log!D:D,Log!Y:Y,,,-1),"")</f>
        <v/>
      </c>
      <c r="R286" s="26" t="str">
        <f>IFERROR(IF(Tabela1[[#This Row],[Nome fantasia]]="","",_xlfn.XLOOKUP($C286,Log!D:D,Log!X:X,,,-1)),"")</f>
        <v/>
      </c>
    </row>
    <row r="287" spans="3:18" hidden="1" x14ac:dyDescent="0.2">
      <c r="C287" s="30" t="s">
        <v>221</v>
      </c>
      <c r="D287" s="110" t="s">
        <v>222</v>
      </c>
      <c r="E287" s="33" t="s">
        <v>22</v>
      </c>
      <c r="F287" s="38" t="s">
        <v>12</v>
      </c>
      <c r="G287" s="38" t="s">
        <v>223</v>
      </c>
      <c r="H287" s="31">
        <v>2931.2</v>
      </c>
      <c r="I287" s="123">
        <v>56</v>
      </c>
      <c r="J287" s="32">
        <v>0</v>
      </c>
      <c r="K287" s="44" t="s">
        <v>741</v>
      </c>
      <c r="M287" s="33" t="str">
        <f t="shared" si="4"/>
        <v/>
      </c>
      <c r="N287" s="34">
        <f>IFERROR(IF(Tabela1[[#This Row],[Nome fantasia]]="","",_xlfn.XLOOKUP($C287,Log!D:D,Log!B:B,,,-1)),"")</f>
        <v>45937</v>
      </c>
      <c r="O287" s="35">
        <f>IFERROR(_xlfn.XLOOKUP($C287,Log!D:D,Log!W:W,,,-1),"")</f>
        <v>0</v>
      </c>
      <c r="P287" s="35">
        <f>IFERROR(_xlfn.XLOOKUP($C287,Log!D:D,Log!Y:Y,,,-1),"")</f>
        <v>0</v>
      </c>
      <c r="R287" s="26" t="str">
        <f>IFERROR(IF(Tabela1[[#This Row],[Nome fantasia]]="","",_xlfn.XLOOKUP($C287,Log!D:D,Log!X:X,,,-1)),"")</f>
        <v/>
      </c>
    </row>
    <row r="288" spans="3:18" hidden="1" x14ac:dyDescent="0.2">
      <c r="C288" s="30" t="s">
        <v>512</v>
      </c>
      <c r="D288" s="110" t="s">
        <v>513</v>
      </c>
      <c r="E288" s="33" t="s">
        <v>11</v>
      </c>
      <c r="F288" s="38" t="s">
        <v>220</v>
      </c>
      <c r="G288" s="38" t="s">
        <v>508</v>
      </c>
      <c r="H288" s="31">
        <v>925.83</v>
      </c>
      <c r="I288" s="32">
        <v>113</v>
      </c>
      <c r="J288" s="32">
        <v>16</v>
      </c>
      <c r="K288" s="45" t="s">
        <v>743</v>
      </c>
      <c r="M288" s="33" t="str">
        <f t="shared" si="4"/>
        <v>Recompra</v>
      </c>
      <c r="N288" s="34" t="str">
        <f>IFERROR(IF(Tabela1[[#This Row],[Nome fantasia]]="","",_xlfn.XLOOKUP($C288,Log!D:D,Log!B:B,,,-1)),"")</f>
        <v/>
      </c>
      <c r="O288" s="35" t="str">
        <f>IFERROR(_xlfn.XLOOKUP($C288,Log!D:D,Log!W:W,,,-1),"")</f>
        <v/>
      </c>
      <c r="P288" s="35" t="str">
        <f>IFERROR(_xlfn.XLOOKUP($C288,Log!D:D,Log!Y:Y,,,-1),"")</f>
        <v/>
      </c>
      <c r="R288" s="26" t="str">
        <f>IFERROR(IF(Tabela1[[#This Row],[Nome fantasia]]="","",_xlfn.XLOOKUP($C288,Log!D:D,Log!X:X,,,-1)),"")</f>
        <v/>
      </c>
    </row>
    <row r="289" spans="3:18" hidden="1" x14ac:dyDescent="0.2">
      <c r="C289" s="30" t="s">
        <v>316</v>
      </c>
      <c r="D289" s="110" t="s">
        <v>317</v>
      </c>
      <c r="E289" s="33" t="s">
        <v>46</v>
      </c>
      <c r="F289" s="38" t="s">
        <v>12</v>
      </c>
      <c r="G289" s="38" t="s">
        <v>315</v>
      </c>
      <c r="H289" s="31">
        <v>960.27</v>
      </c>
      <c r="I289" s="32">
        <v>70</v>
      </c>
      <c r="J289" s="32">
        <v>0</v>
      </c>
      <c r="K289" s="44" t="s">
        <v>741</v>
      </c>
      <c r="M289" s="33" t="str">
        <f t="shared" si="4"/>
        <v/>
      </c>
      <c r="N289" s="34">
        <f>IFERROR(IF(Tabela1[[#This Row],[Nome fantasia]]="","",_xlfn.XLOOKUP($C289,Log!D:D,Log!B:B,,,-1)),"")</f>
        <v>45951</v>
      </c>
      <c r="O289" s="35" t="str">
        <f>IFERROR(_xlfn.XLOOKUP($C289,Log!D:D,Log!W:W,,,-1),"")</f>
        <v>EM ATENDIMENTO</v>
      </c>
      <c r="P289" s="35" t="str">
        <f>IFERROR(_xlfn.XLOOKUP($C289,Log!D:D,Log!Y:Y,,,-1),"")</f>
        <v>ENTRANDO EM CONTATO NOVAMENTE COM A CLIENTE !</v>
      </c>
      <c r="R289" s="26">
        <f>IFERROR(IF(Tabela1[[#This Row],[Nome fantasia]]="","",_xlfn.XLOOKUP($C289,Log!D:D,Log!X:X,,,-1)),"")</f>
        <v>45953</v>
      </c>
    </row>
    <row r="290" spans="3:18" hidden="1" x14ac:dyDescent="0.2">
      <c r="C290" s="30" t="s">
        <v>518</v>
      </c>
      <c r="D290" s="110" t="s">
        <v>519</v>
      </c>
      <c r="E290" s="33" t="s">
        <v>120</v>
      </c>
      <c r="F290" s="38" t="s">
        <v>18</v>
      </c>
      <c r="G290" s="38" t="s">
        <v>508</v>
      </c>
      <c r="H290" s="31">
        <v>3469.32</v>
      </c>
      <c r="I290" s="32">
        <v>113</v>
      </c>
      <c r="J290" s="32">
        <v>0</v>
      </c>
      <c r="K290" s="45" t="s">
        <v>743</v>
      </c>
      <c r="M290" s="33" t="str">
        <f t="shared" si="4"/>
        <v/>
      </c>
      <c r="N290" s="34" t="str">
        <f>IFERROR(IF(Tabela1[[#This Row],[Nome fantasia]]="","",_xlfn.XLOOKUP($C290,Log!D:D,Log!B:B,,,-1)),"")</f>
        <v/>
      </c>
      <c r="O290" s="35" t="str">
        <f>IFERROR(_xlfn.XLOOKUP($C290,Log!D:D,Log!W:W,,,-1),"")</f>
        <v/>
      </c>
      <c r="P290" s="35" t="str">
        <f>IFERROR(_xlfn.XLOOKUP($C290,Log!D:D,Log!Y:Y,,,-1),"")</f>
        <v/>
      </c>
      <c r="R290" s="26" t="str">
        <f>IFERROR(IF(Tabela1[[#This Row],[Nome fantasia]]="","",_xlfn.XLOOKUP($C290,Log!D:D,Log!X:X,,,-1)),"")</f>
        <v/>
      </c>
    </row>
    <row r="291" spans="3:18" hidden="1" x14ac:dyDescent="0.2">
      <c r="C291" s="30" t="s">
        <v>520</v>
      </c>
      <c r="D291" s="110" t="s">
        <v>521</v>
      </c>
      <c r="E291" s="33" t="s">
        <v>522</v>
      </c>
      <c r="F291" s="38" t="s">
        <v>18</v>
      </c>
      <c r="G291" s="38" t="s">
        <v>523</v>
      </c>
      <c r="H291" s="31">
        <v>1355.9</v>
      </c>
      <c r="I291" s="32">
        <v>117</v>
      </c>
      <c r="J291" s="32">
        <v>0</v>
      </c>
      <c r="K291" s="45" t="s">
        <v>743</v>
      </c>
      <c r="M291" s="33" t="str">
        <f t="shared" si="4"/>
        <v/>
      </c>
      <c r="N291" s="34" t="str">
        <f>IFERROR(IF(Tabela1[[#This Row],[Nome fantasia]]="","",_xlfn.XLOOKUP($C291,Log!D:D,Log!B:B,,,-1)),"")</f>
        <v/>
      </c>
      <c r="O291" s="35" t="str">
        <f>IFERROR(_xlfn.XLOOKUP($C291,Log!D:D,Log!W:W,,,-1),"")</f>
        <v/>
      </c>
      <c r="P291" s="35" t="str">
        <f>IFERROR(_xlfn.XLOOKUP($C291,Log!D:D,Log!Y:Y,,,-1),"")</f>
        <v/>
      </c>
      <c r="R291" s="26" t="str">
        <f>IFERROR(IF(Tabela1[[#This Row],[Nome fantasia]]="","",_xlfn.XLOOKUP($C291,Log!D:D,Log!X:X,,,-1)),"")</f>
        <v/>
      </c>
    </row>
    <row r="292" spans="3:18" hidden="1" x14ac:dyDescent="0.2">
      <c r="C292" s="30" t="s">
        <v>524</v>
      </c>
      <c r="D292" s="110" t="s">
        <v>525</v>
      </c>
      <c r="E292" s="33" t="s">
        <v>46</v>
      </c>
      <c r="F292" s="38" t="s">
        <v>32</v>
      </c>
      <c r="G292" s="38" t="s">
        <v>1135</v>
      </c>
      <c r="H292" s="31">
        <v>1016.3</v>
      </c>
      <c r="I292" s="32">
        <v>8</v>
      </c>
      <c r="J292" s="32">
        <v>109</v>
      </c>
      <c r="K292" s="45" t="s">
        <v>743</v>
      </c>
      <c r="M292" s="33" t="str">
        <f t="shared" si="4"/>
        <v>Recompra</v>
      </c>
      <c r="N292" s="34" t="str">
        <f>IFERROR(IF(Tabela1[[#This Row],[Nome fantasia]]="","",_xlfn.XLOOKUP($C292,Log!D:D,Log!B:B,,,-1)),"")</f>
        <v/>
      </c>
      <c r="O292" s="35" t="str">
        <f>IFERROR(_xlfn.XLOOKUP($C292,Log!D:D,Log!W:W,,,-1),"")</f>
        <v/>
      </c>
      <c r="P292" s="35" t="str">
        <f>IFERROR(_xlfn.XLOOKUP($C292,Log!D:D,Log!Y:Y,,,-1),"")</f>
        <v/>
      </c>
      <c r="R292" s="26" t="str">
        <f>IFERROR(IF(Tabela1[[#This Row],[Nome fantasia]]="","",_xlfn.XLOOKUP($C292,Log!D:D,Log!X:X,,,-1)),"")</f>
        <v/>
      </c>
    </row>
    <row r="293" spans="3:18" hidden="1" x14ac:dyDescent="0.2">
      <c r="C293" s="30" t="s">
        <v>526</v>
      </c>
      <c r="D293" s="110" t="s">
        <v>527</v>
      </c>
      <c r="E293" s="33" t="s">
        <v>46</v>
      </c>
      <c r="F293" s="38" t="s">
        <v>32</v>
      </c>
      <c r="G293" s="38" t="s">
        <v>1175</v>
      </c>
      <c r="H293" s="31">
        <v>2126.48</v>
      </c>
      <c r="I293" s="32">
        <v>22</v>
      </c>
      <c r="J293" s="32">
        <v>96</v>
      </c>
      <c r="K293" s="45" t="s">
        <v>743</v>
      </c>
      <c r="M293" s="33" t="str">
        <f t="shared" si="4"/>
        <v>Recompra</v>
      </c>
      <c r="N293" s="34" t="str">
        <f>IFERROR(IF(Tabela1[[#This Row],[Nome fantasia]]="","",_xlfn.XLOOKUP($C293,Log!D:D,Log!B:B,,,-1)),"")</f>
        <v/>
      </c>
      <c r="O293" s="35" t="str">
        <f>IFERROR(_xlfn.XLOOKUP($C293,Log!D:D,Log!W:W,,,-1),"")</f>
        <v/>
      </c>
      <c r="P293" s="35" t="str">
        <f>IFERROR(_xlfn.XLOOKUP($C293,Log!D:D,Log!Y:Y,,,-1),"")</f>
        <v/>
      </c>
      <c r="R293" s="26" t="str">
        <f>IFERROR(IF(Tabela1[[#This Row],[Nome fantasia]]="","",_xlfn.XLOOKUP($C293,Log!D:D,Log!X:X,,,-1)),"")</f>
        <v/>
      </c>
    </row>
    <row r="294" spans="3:18" hidden="1" x14ac:dyDescent="0.2">
      <c r="C294" s="30" t="s">
        <v>529</v>
      </c>
      <c r="D294" s="110" t="s">
        <v>530</v>
      </c>
      <c r="E294" s="33" t="s">
        <v>11</v>
      </c>
      <c r="F294" s="38" t="s">
        <v>32</v>
      </c>
      <c r="G294" s="38" t="s">
        <v>528</v>
      </c>
      <c r="H294" s="31">
        <v>1643.35</v>
      </c>
      <c r="I294" s="32">
        <v>118</v>
      </c>
      <c r="J294" s="32">
        <v>64</v>
      </c>
      <c r="K294" s="45" t="s">
        <v>743</v>
      </c>
      <c r="M294" s="33" t="str">
        <f t="shared" si="4"/>
        <v>Recompra</v>
      </c>
      <c r="N294" s="34" t="str">
        <f>IFERROR(IF(Tabela1[[#This Row],[Nome fantasia]]="","",_xlfn.XLOOKUP($C294,Log!D:D,Log!B:B,,,-1)),"")</f>
        <v/>
      </c>
      <c r="O294" s="35" t="str">
        <f>IFERROR(_xlfn.XLOOKUP($C294,Log!D:D,Log!W:W,,,-1),"")</f>
        <v/>
      </c>
      <c r="P294" s="35" t="str">
        <f>IFERROR(_xlfn.XLOOKUP($C294,Log!D:D,Log!Y:Y,,,-1),"")</f>
        <v/>
      </c>
      <c r="R294" s="26" t="str">
        <f>IFERROR(IF(Tabela1[[#This Row],[Nome fantasia]]="","",_xlfn.XLOOKUP($C294,Log!D:D,Log!X:X,,,-1)),"")</f>
        <v/>
      </c>
    </row>
    <row r="295" spans="3:18" hidden="1" x14ac:dyDescent="0.2">
      <c r="C295" s="30" t="s">
        <v>531</v>
      </c>
      <c r="D295" s="110" t="s">
        <v>532</v>
      </c>
      <c r="E295" s="33" t="s">
        <v>46</v>
      </c>
      <c r="F295" s="38" t="s">
        <v>32</v>
      </c>
      <c r="G295" s="38" t="s">
        <v>528</v>
      </c>
      <c r="H295" s="31">
        <v>1777.6</v>
      </c>
      <c r="I295" s="32">
        <v>118</v>
      </c>
      <c r="J295" s="32">
        <v>62</v>
      </c>
      <c r="K295" s="45" t="s">
        <v>743</v>
      </c>
      <c r="M295" s="33" t="str">
        <f t="shared" si="4"/>
        <v>Recompra</v>
      </c>
      <c r="N295" s="34" t="str">
        <f>IFERROR(IF(Tabela1[[#This Row],[Nome fantasia]]="","",_xlfn.XLOOKUP($C295,Log!D:D,Log!B:B,,,-1)),"")</f>
        <v/>
      </c>
      <c r="O295" s="35" t="str">
        <f>IFERROR(_xlfn.XLOOKUP($C295,Log!D:D,Log!W:W,,,-1),"")</f>
        <v/>
      </c>
      <c r="P295" s="35" t="str">
        <f>IFERROR(_xlfn.XLOOKUP($C295,Log!D:D,Log!Y:Y,,,-1),"")</f>
        <v/>
      </c>
      <c r="R295" s="26" t="str">
        <f>IFERROR(IF(Tabela1[[#This Row],[Nome fantasia]]="","",_xlfn.XLOOKUP($C295,Log!D:D,Log!X:X,,,-1)),"")</f>
        <v/>
      </c>
    </row>
    <row r="296" spans="3:18" hidden="1" x14ac:dyDescent="0.2">
      <c r="C296" s="30" t="s">
        <v>533</v>
      </c>
      <c r="D296" s="110" t="s">
        <v>534</v>
      </c>
      <c r="E296" s="33" t="s">
        <v>36</v>
      </c>
      <c r="F296" s="38" t="s">
        <v>53</v>
      </c>
      <c r="G296" s="38" t="s">
        <v>1153</v>
      </c>
      <c r="H296" s="31">
        <v>1269.8499999999999</v>
      </c>
      <c r="I296" s="32">
        <v>14</v>
      </c>
      <c r="J296" s="32">
        <v>83.5</v>
      </c>
      <c r="K296" s="45" t="s">
        <v>743</v>
      </c>
      <c r="M296" s="33" t="str">
        <f t="shared" si="4"/>
        <v>Recompra</v>
      </c>
      <c r="N296" s="34" t="str">
        <f>IFERROR(IF(Tabela1[[#This Row],[Nome fantasia]]="","",_xlfn.XLOOKUP($C296,Log!D:D,Log!B:B,,,-1)),"")</f>
        <v/>
      </c>
      <c r="O296" s="35" t="str">
        <f>IFERROR(_xlfn.XLOOKUP($C296,Log!D:D,Log!W:W,,,-1),"")</f>
        <v/>
      </c>
      <c r="P296" s="35" t="str">
        <f>IFERROR(_xlfn.XLOOKUP($C296,Log!D:D,Log!Y:Y,,,-1),"")</f>
        <v/>
      </c>
      <c r="R296" s="26" t="str">
        <f>IFERROR(IF(Tabela1[[#This Row],[Nome fantasia]]="","",_xlfn.XLOOKUP($C296,Log!D:D,Log!X:X,,,-1)),"")</f>
        <v/>
      </c>
    </row>
    <row r="297" spans="3:18" hidden="1" x14ac:dyDescent="0.2">
      <c r="C297" s="30" t="s">
        <v>320</v>
      </c>
      <c r="D297" s="110" t="s">
        <v>321</v>
      </c>
      <c r="E297" s="33" t="s">
        <v>11</v>
      </c>
      <c r="F297" s="38" t="s">
        <v>12</v>
      </c>
      <c r="G297" s="38" t="s">
        <v>315</v>
      </c>
      <c r="H297" s="31">
        <v>2062.63</v>
      </c>
      <c r="I297" s="32">
        <v>70</v>
      </c>
      <c r="J297" s="32">
        <v>0</v>
      </c>
      <c r="K297" s="44" t="s">
        <v>741</v>
      </c>
      <c r="M297" s="33" t="str">
        <f t="shared" si="4"/>
        <v/>
      </c>
      <c r="N297" s="34" t="str">
        <f>IFERROR(IF(Tabela1[[#This Row],[Nome fantasia]]="","",_xlfn.XLOOKUP($C297,Log!D:D,Log!B:B,,,-1)),"")</f>
        <v/>
      </c>
      <c r="O297" s="35" t="str">
        <f>IFERROR(_xlfn.XLOOKUP($C297,Log!D:D,Log!W:W,,,-1),"")</f>
        <v/>
      </c>
      <c r="P297" s="35" t="str">
        <f>IFERROR(_xlfn.XLOOKUP($C297,Log!D:D,Log!Y:Y,,,-1),"")</f>
        <v/>
      </c>
      <c r="R297" s="26" t="str">
        <f>IFERROR(IF(Tabela1[[#This Row],[Nome fantasia]]="","",_xlfn.XLOOKUP($C297,Log!D:D,Log!X:X,,,-1)),"")</f>
        <v/>
      </c>
    </row>
    <row r="298" spans="3:18" hidden="1" x14ac:dyDescent="0.2">
      <c r="C298" s="30" t="s">
        <v>537</v>
      </c>
      <c r="D298" s="110" t="s">
        <v>538</v>
      </c>
      <c r="E298" s="33" t="s">
        <v>41</v>
      </c>
      <c r="F298" s="38" t="s">
        <v>53</v>
      </c>
      <c r="G298" s="38" t="s">
        <v>1143</v>
      </c>
      <c r="H298" s="31">
        <v>2013.98</v>
      </c>
      <c r="I298" s="32">
        <v>12</v>
      </c>
      <c r="J298" s="32">
        <v>94</v>
      </c>
      <c r="K298" s="45" t="s">
        <v>743</v>
      </c>
      <c r="M298" s="33" t="str">
        <f t="shared" si="4"/>
        <v>Recompra</v>
      </c>
      <c r="N298" s="34" t="str">
        <f>IFERROR(IF(Tabela1[[#This Row],[Nome fantasia]]="","",_xlfn.XLOOKUP($C298,Log!D:D,Log!B:B,,,-1)),"")</f>
        <v/>
      </c>
      <c r="O298" s="35" t="str">
        <f>IFERROR(_xlfn.XLOOKUP($C298,Log!D:D,Log!W:W,,,-1),"")</f>
        <v/>
      </c>
      <c r="P298" s="35" t="str">
        <f>IFERROR(_xlfn.XLOOKUP($C298,Log!D:D,Log!Y:Y,,,-1),"")</f>
        <v/>
      </c>
      <c r="R298" s="26" t="str">
        <f>IFERROR(IF(Tabela1[[#This Row],[Nome fantasia]]="","",_xlfn.XLOOKUP($C298,Log!D:D,Log!X:X,,,-1)),"")</f>
        <v/>
      </c>
    </row>
    <row r="299" spans="3:18" hidden="1" x14ac:dyDescent="0.2">
      <c r="C299" s="30" t="s">
        <v>345</v>
      </c>
      <c r="D299" s="110" t="s">
        <v>346</v>
      </c>
      <c r="E299" s="33" t="s">
        <v>46</v>
      </c>
      <c r="F299" s="38" t="s">
        <v>12</v>
      </c>
      <c r="G299" s="38" t="s">
        <v>347</v>
      </c>
      <c r="H299" s="31">
        <v>6306.96</v>
      </c>
      <c r="I299" s="32">
        <v>75</v>
      </c>
      <c r="J299" s="32">
        <v>53.5</v>
      </c>
      <c r="K299" s="44" t="s">
        <v>741</v>
      </c>
      <c r="M299" s="33" t="str">
        <f t="shared" si="4"/>
        <v>Recompra</v>
      </c>
      <c r="N299" s="34">
        <f>IFERROR(IF(Tabela1[[#This Row],[Nome fantasia]]="","",_xlfn.XLOOKUP($C299,Log!D:D,Log!B:B,,,-1)),"")</f>
        <v>45933</v>
      </c>
      <c r="O299" s="35" t="str">
        <f>IFERROR(_xlfn.XLOOKUP($C299,Log!D:D,Log!W:W,,,-1),"")</f>
        <v>SUPORTE</v>
      </c>
      <c r="P299" s="35" t="str">
        <f>IFERROR(_xlfn.XLOOKUP($C299,Log!D:D,Log!Y:Y,,,-1),"")</f>
        <v>CLIENTES QUE FORAM PARA OUTRAS BASES</v>
      </c>
      <c r="R299" s="26" t="str">
        <f>IFERROR(IF(Tabela1[[#This Row],[Nome fantasia]]="","",_xlfn.XLOOKUP($C299,Log!D:D,Log!X:X,,,-1)),"")</f>
        <v/>
      </c>
    </row>
    <row r="300" spans="3:18" hidden="1" x14ac:dyDescent="0.2">
      <c r="C300" s="30" t="s">
        <v>544</v>
      </c>
      <c r="D300" s="110" t="s">
        <v>545</v>
      </c>
      <c r="E300" s="33" t="s">
        <v>11</v>
      </c>
      <c r="F300" s="38" t="s">
        <v>53</v>
      </c>
      <c r="G300" s="38" t="s">
        <v>541</v>
      </c>
      <c r="H300" s="31">
        <v>3510.38</v>
      </c>
      <c r="I300" s="32">
        <v>120</v>
      </c>
      <c r="J300" s="32">
        <v>0</v>
      </c>
      <c r="K300" s="45" t="s">
        <v>743</v>
      </c>
      <c r="M300" s="33" t="str">
        <f t="shared" si="4"/>
        <v/>
      </c>
      <c r="N300" s="34" t="str">
        <f>IFERROR(IF(Tabela1[[#This Row],[Nome fantasia]]="","",_xlfn.XLOOKUP($C300,Log!D:D,Log!B:B,,,-1)),"")</f>
        <v/>
      </c>
      <c r="O300" s="35" t="str">
        <f>IFERROR(_xlfn.XLOOKUP($C300,Log!D:D,Log!W:W,,,-1),"")</f>
        <v/>
      </c>
      <c r="P300" s="35" t="str">
        <f>IFERROR(_xlfn.XLOOKUP($C300,Log!D:D,Log!Y:Y,,,-1),"")</f>
        <v/>
      </c>
      <c r="R300" s="26" t="str">
        <f>IFERROR(IF(Tabela1[[#This Row],[Nome fantasia]]="","",_xlfn.XLOOKUP($C300,Log!D:D,Log!X:X,,,-1)),"")</f>
        <v/>
      </c>
    </row>
    <row r="301" spans="3:18" hidden="1" x14ac:dyDescent="0.2">
      <c r="C301" s="30" t="s">
        <v>355</v>
      </c>
      <c r="D301" s="110" t="s">
        <v>356</v>
      </c>
      <c r="E301" s="33" t="s">
        <v>22</v>
      </c>
      <c r="F301" s="38" t="s">
        <v>12</v>
      </c>
      <c r="G301" s="38" t="s">
        <v>354</v>
      </c>
      <c r="H301" s="31">
        <v>6491.55</v>
      </c>
      <c r="I301" s="32">
        <v>77</v>
      </c>
      <c r="J301" s="32">
        <v>62</v>
      </c>
      <c r="K301" s="44" t="s">
        <v>741</v>
      </c>
      <c r="M301" s="33" t="str">
        <f t="shared" si="4"/>
        <v>Recompra</v>
      </c>
      <c r="N301" s="34" t="str">
        <f>IFERROR(IF(Tabela1[[#This Row],[Nome fantasia]]="","",_xlfn.XLOOKUP($C301,Log!D:D,Log!B:B,,,-1)),"")</f>
        <v/>
      </c>
      <c r="O301" s="35" t="str">
        <f>IFERROR(_xlfn.XLOOKUP($C301,Log!D:D,Log!W:W,,,-1),"")</f>
        <v/>
      </c>
      <c r="P301" s="35" t="str">
        <f>IFERROR(_xlfn.XLOOKUP($C301,Log!D:D,Log!Y:Y,,,-1),"")</f>
        <v/>
      </c>
      <c r="R301" s="26" t="str">
        <f>IFERROR(IF(Tabela1[[#This Row],[Nome fantasia]]="","",_xlfn.XLOOKUP($C301,Log!D:D,Log!X:X,,,-1)),"")</f>
        <v/>
      </c>
    </row>
    <row r="302" spans="3:18" hidden="1" x14ac:dyDescent="0.2">
      <c r="C302" s="30" t="s">
        <v>364</v>
      </c>
      <c r="D302" s="110" t="s">
        <v>365</v>
      </c>
      <c r="E302" s="33" t="s">
        <v>46</v>
      </c>
      <c r="F302" s="38" t="s">
        <v>12</v>
      </c>
      <c r="G302" s="38" t="s">
        <v>363</v>
      </c>
      <c r="H302" s="31">
        <v>803.98</v>
      </c>
      <c r="I302" s="32">
        <v>78</v>
      </c>
      <c r="J302" s="32">
        <v>104</v>
      </c>
      <c r="K302" s="44" t="s">
        <v>741</v>
      </c>
      <c r="M302" s="33" t="str">
        <f t="shared" si="4"/>
        <v>Recompra</v>
      </c>
      <c r="N302" s="34">
        <f>IFERROR(IF(Tabela1[[#This Row],[Nome fantasia]]="","",_xlfn.XLOOKUP($C302,Log!D:D,Log!B:B,,,-1)),"")</f>
        <v>46006</v>
      </c>
      <c r="O302" s="35" t="str">
        <f>IFERROR(_xlfn.XLOOKUP($C302,Log!D:D,Log!W:W,,,-1),"")</f>
        <v>EM ATENDIMENTO</v>
      </c>
      <c r="P302" s="35" t="str">
        <f>IFERROR(_xlfn.XLOOKUP($C302,Log!D:D,Log!Y:Y,,,-1),"")</f>
        <v>FEITO CONTATO PARA POSSIVEL RECOMPRA</v>
      </c>
      <c r="R302" s="26">
        <f>IFERROR(IF(Tabela1[[#This Row],[Nome fantasia]]="","",_xlfn.XLOOKUP($C302,Log!D:D,Log!X:X,,,-1)),"")</f>
        <v>46008</v>
      </c>
    </row>
    <row r="303" spans="3:18" hidden="1" x14ac:dyDescent="0.2">
      <c r="C303" s="30" t="s">
        <v>552</v>
      </c>
      <c r="D303" s="110" t="s">
        <v>553</v>
      </c>
      <c r="E303" s="33" t="s">
        <v>140</v>
      </c>
      <c r="F303" s="38" t="s">
        <v>53</v>
      </c>
      <c r="G303" s="38" t="s">
        <v>551</v>
      </c>
      <c r="H303" s="31">
        <v>1130.72</v>
      </c>
      <c r="I303" s="32">
        <v>124</v>
      </c>
      <c r="J303" s="32">
        <v>0</v>
      </c>
      <c r="K303" s="45" t="s">
        <v>743</v>
      </c>
      <c r="M303" s="33" t="str">
        <f t="shared" si="4"/>
        <v/>
      </c>
      <c r="N303" s="34" t="str">
        <f>IFERROR(IF(Tabela1[[#This Row],[Nome fantasia]]="","",_xlfn.XLOOKUP($C303,Log!D:D,Log!B:B,,,-1)),"")</f>
        <v/>
      </c>
      <c r="O303" s="35" t="str">
        <f>IFERROR(_xlfn.XLOOKUP($C303,Log!D:D,Log!W:W,,,-1),"")</f>
        <v/>
      </c>
      <c r="P303" s="35" t="str">
        <f>IFERROR(_xlfn.XLOOKUP($C303,Log!D:D,Log!Y:Y,,,-1),"")</f>
        <v/>
      </c>
      <c r="R303" s="26" t="str">
        <f>IFERROR(IF(Tabela1[[#This Row],[Nome fantasia]]="","",_xlfn.XLOOKUP($C303,Log!D:D,Log!X:X,,,-1)),"")</f>
        <v/>
      </c>
    </row>
    <row r="304" spans="3:18" hidden="1" x14ac:dyDescent="0.2">
      <c r="C304" s="30" t="s">
        <v>383</v>
      </c>
      <c r="D304" s="110" t="s">
        <v>384</v>
      </c>
      <c r="E304" s="33" t="s">
        <v>17</v>
      </c>
      <c r="F304" s="38" t="s">
        <v>12</v>
      </c>
      <c r="G304" s="38" t="s">
        <v>382</v>
      </c>
      <c r="H304" s="31">
        <v>862.43</v>
      </c>
      <c r="I304" s="32">
        <v>83</v>
      </c>
      <c r="J304" s="32">
        <v>0</v>
      </c>
      <c r="K304" s="44" t="s">
        <v>741</v>
      </c>
      <c r="M304" s="33" t="str">
        <f t="shared" si="4"/>
        <v/>
      </c>
      <c r="N304" s="34">
        <f>IFERROR(IF(Tabela1[[#This Row],[Nome fantasia]]="","",_xlfn.XLOOKUP($C304,Log!D:D,Log!B:B,,,-1)),"")</f>
        <v>46001</v>
      </c>
      <c r="O304" s="35" t="str">
        <f>IFERROR(_xlfn.XLOOKUP($C304,Log!D:D,Log!W:W,,,-1),"")</f>
        <v>FOLLOW UP 15</v>
      </c>
      <c r="P304" s="35" t="str">
        <f>IFERROR(_xlfn.XLOOKUP($C304,Log!D:D,Log!Y:Y,,,-1),"")</f>
        <v>CLIENTE PEDIU PARA NÃO LIGAR NUNCA MAIS</v>
      </c>
      <c r="R304" s="26">
        <f>IFERROR(IF(Tabela1[[#This Row],[Nome fantasia]]="","",_xlfn.XLOOKUP($C304,Log!D:D,Log!X:X,,,-1)),"")</f>
        <v>46022</v>
      </c>
    </row>
    <row r="305" spans="3:18" hidden="1" x14ac:dyDescent="0.2">
      <c r="C305" s="30" t="s">
        <v>556</v>
      </c>
      <c r="D305" s="110" t="s">
        <v>557</v>
      </c>
      <c r="E305" s="33" t="s">
        <v>36</v>
      </c>
      <c r="F305" s="38" t="s">
        <v>53</v>
      </c>
      <c r="G305" s="38" t="s">
        <v>558</v>
      </c>
      <c r="H305" s="31">
        <v>848.4</v>
      </c>
      <c r="I305" s="32">
        <v>125</v>
      </c>
      <c r="J305" s="32">
        <v>0</v>
      </c>
      <c r="K305" s="45" t="s">
        <v>743</v>
      </c>
      <c r="M305" s="33" t="str">
        <f t="shared" si="4"/>
        <v/>
      </c>
      <c r="N305" s="34" t="str">
        <f>IFERROR(IF(Tabela1[[#This Row],[Nome fantasia]]="","",_xlfn.XLOOKUP($C305,Log!D:D,Log!B:B,,,-1)),"")</f>
        <v/>
      </c>
      <c r="O305" s="35" t="str">
        <f>IFERROR(_xlfn.XLOOKUP($C305,Log!D:D,Log!W:W,,,-1),"")</f>
        <v/>
      </c>
      <c r="P305" s="35" t="str">
        <f>IFERROR(_xlfn.XLOOKUP($C305,Log!D:D,Log!Y:Y,,,-1),"")</f>
        <v/>
      </c>
      <c r="R305" s="26" t="str">
        <f>IFERROR(IF(Tabela1[[#This Row],[Nome fantasia]]="","",_xlfn.XLOOKUP($C305,Log!D:D,Log!X:X,,,-1)),"")</f>
        <v/>
      </c>
    </row>
    <row r="306" spans="3:18" hidden="1" x14ac:dyDescent="0.2">
      <c r="C306" s="30" t="s">
        <v>559</v>
      </c>
      <c r="D306" s="110" t="s">
        <v>560</v>
      </c>
      <c r="E306" s="33" t="s">
        <v>36</v>
      </c>
      <c r="F306" s="38" t="s">
        <v>53</v>
      </c>
      <c r="G306" s="38" t="s">
        <v>558</v>
      </c>
      <c r="H306" s="31">
        <v>3300</v>
      </c>
      <c r="I306" s="32">
        <v>125</v>
      </c>
      <c r="J306" s="32">
        <v>0</v>
      </c>
      <c r="K306" s="45" t="s">
        <v>743</v>
      </c>
      <c r="M306" s="33" t="str">
        <f t="shared" si="4"/>
        <v/>
      </c>
      <c r="N306" s="34" t="str">
        <f>IFERROR(IF(Tabela1[[#This Row],[Nome fantasia]]="","",_xlfn.XLOOKUP($C306,Log!D:D,Log!B:B,,,-1)),"")</f>
        <v/>
      </c>
      <c r="O306" s="35" t="str">
        <f>IFERROR(_xlfn.XLOOKUP($C306,Log!D:D,Log!W:W,,,-1),"")</f>
        <v/>
      </c>
      <c r="P306" s="35" t="str">
        <f>IFERROR(_xlfn.XLOOKUP($C306,Log!D:D,Log!Y:Y,,,-1),"")</f>
        <v/>
      </c>
      <c r="R306" s="26" t="str">
        <f>IFERROR(IF(Tabela1[[#This Row],[Nome fantasia]]="","",_xlfn.XLOOKUP($C306,Log!D:D,Log!X:X,,,-1)),"")</f>
        <v/>
      </c>
    </row>
    <row r="307" spans="3:18" hidden="1" x14ac:dyDescent="0.2">
      <c r="C307" s="30" t="s">
        <v>561</v>
      </c>
      <c r="D307" s="110" t="s">
        <v>562</v>
      </c>
      <c r="E307" s="33" t="s">
        <v>26</v>
      </c>
      <c r="F307" s="38" t="s">
        <v>53</v>
      </c>
      <c r="G307" s="38" t="s">
        <v>1143</v>
      </c>
      <c r="H307" s="31">
        <v>5260.84</v>
      </c>
      <c r="I307" s="32">
        <v>12</v>
      </c>
      <c r="J307" s="32">
        <v>77</v>
      </c>
      <c r="K307" s="45" t="s">
        <v>743</v>
      </c>
      <c r="M307" s="33" t="str">
        <f t="shared" si="4"/>
        <v>Recompra</v>
      </c>
      <c r="N307" s="34">
        <f>IFERROR(IF(Tabela1[[#This Row],[Nome fantasia]]="","",_xlfn.XLOOKUP($C307,Log!D:D,Log!B:B,,,-1)),"")</f>
        <v>45924</v>
      </c>
      <c r="O307" s="35" t="str">
        <f>IFERROR(_xlfn.XLOOKUP($C307,Log!D:D,Log!W:W,,,-1),"")</f>
        <v>VENDA</v>
      </c>
      <c r="P307" s="35" t="str">
        <f>IFERROR(_xlfn.XLOOKUP($C307,Log!D:D,Log!Y:Y,,,-1),"")</f>
        <v>VENDA FINALIZADA E-COMMERCE</v>
      </c>
      <c r="R307" s="26">
        <f>IFERROR(IF(Tabela1[[#This Row],[Nome fantasia]]="","",_xlfn.XLOOKUP($C307,Log!D:D,Log!X:X,,,-1)),"")</f>
        <v>45987</v>
      </c>
    </row>
    <row r="308" spans="3:18" hidden="1" x14ac:dyDescent="0.2">
      <c r="C308" s="30" t="s">
        <v>563</v>
      </c>
      <c r="D308" s="110" t="s">
        <v>564</v>
      </c>
      <c r="E308" s="33" t="s">
        <v>22</v>
      </c>
      <c r="F308" s="38" t="s">
        <v>220</v>
      </c>
      <c r="G308" s="38" t="s">
        <v>565</v>
      </c>
      <c r="H308" s="31">
        <v>1498.5</v>
      </c>
      <c r="I308" s="32">
        <v>127</v>
      </c>
      <c r="J308" s="32">
        <v>0</v>
      </c>
      <c r="K308" s="45" t="s">
        <v>743</v>
      </c>
      <c r="M308" s="33" t="str">
        <f t="shared" si="4"/>
        <v/>
      </c>
      <c r="N308" s="34" t="str">
        <f>IFERROR(IF(Tabela1[[#This Row],[Nome fantasia]]="","",_xlfn.XLOOKUP($C308,Log!D:D,Log!B:B,,,-1)),"")</f>
        <v/>
      </c>
      <c r="O308" s="35" t="str">
        <f>IFERROR(_xlfn.XLOOKUP($C308,Log!D:D,Log!W:W,,,-1),"")</f>
        <v/>
      </c>
      <c r="P308" s="35" t="str">
        <f>IFERROR(_xlfn.XLOOKUP($C308,Log!D:D,Log!Y:Y,,,-1),"")</f>
        <v/>
      </c>
      <c r="R308" s="26" t="str">
        <f>IFERROR(IF(Tabela1[[#This Row],[Nome fantasia]]="","",_xlfn.XLOOKUP($C308,Log!D:D,Log!X:X,,,-1)),"")</f>
        <v/>
      </c>
    </row>
    <row r="309" spans="3:18" hidden="1" x14ac:dyDescent="0.2">
      <c r="C309" s="30" t="s">
        <v>566</v>
      </c>
      <c r="D309" s="110" t="s">
        <v>567</v>
      </c>
      <c r="E309" s="33" t="s">
        <v>11</v>
      </c>
      <c r="F309" s="38" t="s">
        <v>53</v>
      </c>
      <c r="G309" s="38" t="s">
        <v>568</v>
      </c>
      <c r="H309" s="31">
        <v>704.65</v>
      </c>
      <c r="I309" s="32">
        <v>130</v>
      </c>
      <c r="J309" s="32">
        <v>0</v>
      </c>
      <c r="K309" s="45" t="s">
        <v>743</v>
      </c>
      <c r="M309" s="33" t="str">
        <f t="shared" si="4"/>
        <v/>
      </c>
      <c r="N309" s="34" t="str">
        <f>IFERROR(IF(Tabela1[[#This Row],[Nome fantasia]]="","",_xlfn.XLOOKUP($C309,Log!D:D,Log!B:B,,,-1)),"")</f>
        <v/>
      </c>
      <c r="O309" s="35" t="str">
        <f>IFERROR(_xlfn.XLOOKUP($C309,Log!D:D,Log!W:W,,,-1),"")</f>
        <v/>
      </c>
      <c r="P309" s="35" t="str">
        <f>IFERROR(_xlfn.XLOOKUP($C309,Log!D:D,Log!Y:Y,,,-1),"")</f>
        <v/>
      </c>
      <c r="R309" s="26" t="str">
        <f>IFERROR(IF(Tabela1[[#This Row],[Nome fantasia]]="","",_xlfn.XLOOKUP($C309,Log!D:D,Log!X:X,,,-1)),"")</f>
        <v/>
      </c>
    </row>
    <row r="310" spans="3:18" hidden="1" x14ac:dyDescent="0.2">
      <c r="C310" s="30" t="s">
        <v>569</v>
      </c>
      <c r="D310" s="110" t="s">
        <v>570</v>
      </c>
      <c r="E310" s="33" t="s">
        <v>11</v>
      </c>
      <c r="F310" s="38" t="s">
        <v>53</v>
      </c>
      <c r="G310" s="38" t="s">
        <v>568</v>
      </c>
      <c r="H310" s="31">
        <v>576</v>
      </c>
      <c r="I310" s="32">
        <v>130</v>
      </c>
      <c r="J310" s="32">
        <v>0</v>
      </c>
      <c r="K310" s="45" t="s">
        <v>743</v>
      </c>
      <c r="M310" s="33" t="str">
        <f t="shared" si="4"/>
        <v/>
      </c>
      <c r="N310" s="34" t="str">
        <f>IFERROR(IF(Tabela1[[#This Row],[Nome fantasia]]="","",_xlfn.XLOOKUP($C310,Log!D:D,Log!B:B,,,-1)),"")</f>
        <v/>
      </c>
      <c r="O310" s="35" t="str">
        <f>IFERROR(_xlfn.XLOOKUP($C310,Log!D:D,Log!W:W,,,-1),"")</f>
        <v/>
      </c>
      <c r="P310" s="35" t="str">
        <f>IFERROR(_xlfn.XLOOKUP($C310,Log!D:D,Log!Y:Y,,,-1),"")</f>
        <v/>
      </c>
      <c r="R310" s="26" t="str">
        <f>IFERROR(IF(Tabela1[[#This Row],[Nome fantasia]]="","",_xlfn.XLOOKUP($C310,Log!D:D,Log!X:X,,,-1)),"")</f>
        <v/>
      </c>
    </row>
    <row r="311" spans="3:18" hidden="1" x14ac:dyDescent="0.2">
      <c r="C311" s="30" t="s">
        <v>571</v>
      </c>
      <c r="D311" s="110" t="s">
        <v>572</v>
      </c>
      <c r="E311" s="33" t="s">
        <v>67</v>
      </c>
      <c r="F311" s="38" t="s">
        <v>220</v>
      </c>
      <c r="G311" s="38" t="s">
        <v>568</v>
      </c>
      <c r="H311" s="31">
        <v>398.62</v>
      </c>
      <c r="I311" s="32">
        <v>130</v>
      </c>
      <c r="J311" s="32">
        <v>0</v>
      </c>
      <c r="K311" s="45" t="s">
        <v>743</v>
      </c>
      <c r="M311" s="33" t="str">
        <f t="shared" si="4"/>
        <v/>
      </c>
      <c r="N311" s="34" t="str">
        <f>IFERROR(IF(Tabela1[[#This Row],[Nome fantasia]]="","",_xlfn.XLOOKUP($C311,Log!D:D,Log!B:B,,,-1)),"")</f>
        <v/>
      </c>
      <c r="O311" s="35" t="str">
        <f>IFERROR(_xlfn.XLOOKUP($C311,Log!D:D,Log!W:W,,,-1),"")</f>
        <v/>
      </c>
      <c r="P311" s="35" t="str">
        <f>IFERROR(_xlfn.XLOOKUP($C311,Log!D:D,Log!Y:Y,,,-1),"")</f>
        <v/>
      </c>
      <c r="R311" s="26" t="str">
        <f>IFERROR(IF(Tabela1[[#This Row],[Nome fantasia]]="","",_xlfn.XLOOKUP($C311,Log!D:D,Log!X:X,,,-1)),"")</f>
        <v/>
      </c>
    </row>
    <row r="312" spans="3:18" hidden="1" x14ac:dyDescent="0.2">
      <c r="C312" s="30" t="s">
        <v>121</v>
      </c>
      <c r="D312" s="110" t="s">
        <v>573</v>
      </c>
      <c r="E312" s="33" t="s">
        <v>46</v>
      </c>
      <c r="F312" s="38" t="s">
        <v>32</v>
      </c>
      <c r="G312" s="38" t="s">
        <v>574</v>
      </c>
      <c r="H312" s="31">
        <v>880</v>
      </c>
      <c r="I312" s="32">
        <v>133</v>
      </c>
      <c r="J312" s="32">
        <v>0</v>
      </c>
      <c r="K312" s="45" t="s">
        <v>743</v>
      </c>
      <c r="M312" s="33" t="str">
        <f t="shared" si="4"/>
        <v/>
      </c>
      <c r="N312" s="34">
        <f>IFERROR(IF(Tabela1[[#This Row],[Nome fantasia]]="","",_xlfn.XLOOKUP($C312,Log!D:D,Log!B:B,,,-1)),"")</f>
        <v>45895</v>
      </c>
      <c r="O312" s="35" t="str">
        <f>IFERROR(_xlfn.XLOOKUP($C312,Log!D:D,Log!W:W,,,-1),"")</f>
        <v>VENDA</v>
      </c>
      <c r="P312" s="35" t="str">
        <f>IFERROR(_xlfn.XLOOKUP($C312,Log!D:D,Log!Y:Y,,,-1),"")</f>
        <v xml:space="preserve">RECOMPRA </v>
      </c>
      <c r="R312" s="26">
        <f>IFERROR(IF(Tabela1[[#This Row],[Nome fantasia]]="","",_xlfn.XLOOKUP($C312,Log!D:D,Log!X:X,,,-1)),"")</f>
        <v>45958</v>
      </c>
    </row>
    <row r="313" spans="3:18" hidden="1" x14ac:dyDescent="0.2">
      <c r="C313" s="30" t="s">
        <v>575</v>
      </c>
      <c r="D313" s="110" t="s">
        <v>576</v>
      </c>
      <c r="E313" s="33" t="s">
        <v>59</v>
      </c>
      <c r="F313" s="38" t="s">
        <v>53</v>
      </c>
      <c r="G313" s="38" t="s">
        <v>577</v>
      </c>
      <c r="H313" s="31">
        <v>1775.34</v>
      </c>
      <c r="I313" s="32">
        <v>134</v>
      </c>
      <c r="J313" s="32">
        <v>0</v>
      </c>
      <c r="K313" s="45" t="s">
        <v>743</v>
      </c>
      <c r="M313" s="33" t="str">
        <f t="shared" si="4"/>
        <v/>
      </c>
      <c r="N313" s="34" t="str">
        <f>IFERROR(IF(Tabela1[[#This Row],[Nome fantasia]]="","",_xlfn.XLOOKUP($C313,Log!D:D,Log!B:B,,,-1)),"")</f>
        <v/>
      </c>
      <c r="O313" s="35" t="str">
        <f>IFERROR(_xlfn.XLOOKUP($C313,Log!D:D,Log!W:W,,,-1),"")</f>
        <v/>
      </c>
      <c r="P313" s="35" t="str">
        <f>IFERROR(_xlfn.XLOOKUP($C313,Log!D:D,Log!Y:Y,,,-1),"")</f>
        <v/>
      </c>
      <c r="R313" s="26" t="str">
        <f>IFERROR(IF(Tabela1[[#This Row],[Nome fantasia]]="","",_xlfn.XLOOKUP($C313,Log!D:D,Log!X:X,,,-1)),"")</f>
        <v/>
      </c>
    </row>
    <row r="314" spans="3:18" hidden="1" x14ac:dyDescent="0.2">
      <c r="C314" s="30" t="s">
        <v>578</v>
      </c>
      <c r="D314" s="110" t="s">
        <v>579</v>
      </c>
      <c r="E314" s="33" t="s">
        <v>22</v>
      </c>
      <c r="F314" s="38" t="s">
        <v>580</v>
      </c>
      <c r="G314" s="38" t="s">
        <v>581</v>
      </c>
      <c r="H314" s="31">
        <v>1650.9</v>
      </c>
      <c r="I314" s="32">
        <v>137</v>
      </c>
      <c r="J314" s="32">
        <v>0</v>
      </c>
      <c r="K314" s="45" t="s">
        <v>743</v>
      </c>
      <c r="M314" s="33" t="str">
        <f t="shared" si="4"/>
        <v/>
      </c>
      <c r="N314" s="34" t="str">
        <f>IFERROR(IF(Tabela1[[#This Row],[Nome fantasia]]="","",_xlfn.XLOOKUP($C314,Log!D:D,Log!B:B,,,-1)),"")</f>
        <v/>
      </c>
      <c r="O314" s="35" t="str">
        <f>IFERROR(_xlfn.XLOOKUP($C314,Log!D:D,Log!W:W,,,-1),"")</f>
        <v/>
      </c>
      <c r="P314" s="35" t="str">
        <f>IFERROR(_xlfn.XLOOKUP($C314,Log!D:D,Log!Y:Y,,,-1),"")</f>
        <v/>
      </c>
      <c r="R314" s="26" t="str">
        <f>IFERROR(IF(Tabela1[[#This Row],[Nome fantasia]]="","",_xlfn.XLOOKUP($C314,Log!D:D,Log!X:X,,,-1)),"")</f>
        <v/>
      </c>
    </row>
    <row r="315" spans="3:18" hidden="1" x14ac:dyDescent="0.2">
      <c r="C315" s="30" t="s">
        <v>406</v>
      </c>
      <c r="D315" s="110" t="s">
        <v>407</v>
      </c>
      <c r="E315" s="33" t="s">
        <v>46</v>
      </c>
      <c r="F315" s="38" t="s">
        <v>12</v>
      </c>
      <c r="G315" s="38" t="s">
        <v>402</v>
      </c>
      <c r="H315" s="31">
        <v>761.48</v>
      </c>
      <c r="I315" s="32">
        <v>88</v>
      </c>
      <c r="J315" s="32">
        <v>0</v>
      </c>
      <c r="K315" s="46" t="s">
        <v>742</v>
      </c>
      <c r="M315" s="33" t="str">
        <f t="shared" si="4"/>
        <v/>
      </c>
      <c r="N315" s="34">
        <f>IFERROR(IF(Tabela1[[#This Row],[Nome fantasia]]="","",_xlfn.XLOOKUP($C315,Log!D:D,Log!B:B,,,-1)),"")</f>
        <v>45994</v>
      </c>
      <c r="O315" s="35" t="str">
        <f>IFERROR(_xlfn.XLOOKUP($C315,Log!D:D,Log!W:W,,,-1),"")</f>
        <v>EM ATENDIMENTO</v>
      </c>
      <c r="P315" s="35" t="str">
        <f>IFERROR(_xlfn.XLOOKUP($C315,Log!D:D,Log!Y:Y,,,-1),"")</f>
        <v>MENSAGEM PARA NOVO RELACIOMENTO</v>
      </c>
      <c r="R315" s="26">
        <f>IFERROR(IF(Tabela1[[#This Row],[Nome fantasia]]="","",_xlfn.XLOOKUP($C315,Log!D:D,Log!X:X,,,-1)),"")</f>
        <v>45996</v>
      </c>
    </row>
    <row r="316" spans="3:18" hidden="1" x14ac:dyDescent="0.2">
      <c r="C316" s="30" t="s">
        <v>590</v>
      </c>
      <c r="D316" s="110" t="s">
        <v>591</v>
      </c>
      <c r="E316" s="33" t="s">
        <v>22</v>
      </c>
      <c r="F316" s="38" t="s">
        <v>32</v>
      </c>
      <c r="G316" s="38" t="s">
        <v>592</v>
      </c>
      <c r="H316" s="31">
        <v>654.89</v>
      </c>
      <c r="I316" s="32">
        <v>140</v>
      </c>
      <c r="J316" s="32">
        <v>0</v>
      </c>
      <c r="K316" s="45" t="s">
        <v>743</v>
      </c>
      <c r="M316" s="33" t="str">
        <f t="shared" si="4"/>
        <v/>
      </c>
      <c r="N316" s="34" t="str">
        <f>IFERROR(IF(Tabela1[[#This Row],[Nome fantasia]]="","",_xlfn.XLOOKUP($C316,Log!D:D,Log!B:B,,,-1)),"")</f>
        <v/>
      </c>
      <c r="O316" s="35" t="str">
        <f>IFERROR(_xlfn.XLOOKUP($C316,Log!D:D,Log!W:W,,,-1),"")</f>
        <v/>
      </c>
      <c r="P316" s="35" t="str">
        <f>IFERROR(_xlfn.XLOOKUP($C316,Log!D:D,Log!Y:Y,,,-1),"")</f>
        <v/>
      </c>
      <c r="R316" s="26" t="str">
        <f>IFERROR(IF(Tabela1[[#This Row],[Nome fantasia]]="","",_xlfn.XLOOKUP($C316,Log!D:D,Log!X:X,,,-1)),"")</f>
        <v/>
      </c>
    </row>
    <row r="317" spans="3:18" hidden="1" x14ac:dyDescent="0.2">
      <c r="C317" s="30" t="s">
        <v>476</v>
      </c>
      <c r="D317" s="110" t="s">
        <v>593</v>
      </c>
      <c r="E317" s="33" t="s">
        <v>145</v>
      </c>
      <c r="F317" s="38" t="s">
        <v>53</v>
      </c>
      <c r="G317" s="38" t="s">
        <v>592</v>
      </c>
      <c r="H317" s="31">
        <v>3356.38</v>
      </c>
      <c r="I317" s="32">
        <v>140</v>
      </c>
      <c r="J317" s="32">
        <v>79</v>
      </c>
      <c r="K317" s="45" t="s">
        <v>743</v>
      </c>
      <c r="M317" s="33" t="str">
        <f t="shared" si="4"/>
        <v>Recompra</v>
      </c>
      <c r="N317" s="34" t="str">
        <f>IFERROR(IF(Tabela1[[#This Row],[Nome fantasia]]="","",_xlfn.XLOOKUP($C317,Log!D:D,Log!B:B,,,-1)),"")</f>
        <v/>
      </c>
      <c r="O317" s="35" t="str">
        <f>IFERROR(_xlfn.XLOOKUP($C317,Log!D:D,Log!W:W,,,-1),"")</f>
        <v/>
      </c>
      <c r="P317" s="35" t="str">
        <f>IFERROR(_xlfn.XLOOKUP($C317,Log!D:D,Log!Y:Y,,,-1),"")</f>
        <v/>
      </c>
      <c r="R317" s="26" t="str">
        <f>IFERROR(IF(Tabela1[[#This Row],[Nome fantasia]]="","",_xlfn.XLOOKUP($C317,Log!D:D,Log!X:X,,,-1)),"")</f>
        <v/>
      </c>
    </row>
    <row r="318" spans="3:18" hidden="1" x14ac:dyDescent="0.2">
      <c r="C318" s="30" t="s">
        <v>594</v>
      </c>
      <c r="D318" s="110" t="s">
        <v>595</v>
      </c>
      <c r="E318" s="33" t="s">
        <v>11</v>
      </c>
      <c r="F318" s="38" t="s">
        <v>53</v>
      </c>
      <c r="G318" s="38" t="s">
        <v>592</v>
      </c>
      <c r="H318" s="31">
        <v>1775.88</v>
      </c>
      <c r="I318" s="32">
        <v>140</v>
      </c>
      <c r="J318" s="32">
        <v>13</v>
      </c>
      <c r="K318" s="45" t="s">
        <v>743</v>
      </c>
      <c r="M318" s="33" t="str">
        <f t="shared" si="4"/>
        <v>Recompra</v>
      </c>
      <c r="N318" s="34" t="str">
        <f>IFERROR(IF(Tabela1[[#This Row],[Nome fantasia]]="","",_xlfn.XLOOKUP($C318,Log!D:D,Log!B:B,,,-1)),"")</f>
        <v/>
      </c>
      <c r="O318" s="35" t="str">
        <f>IFERROR(_xlfn.XLOOKUP($C318,Log!D:D,Log!W:W,,,-1),"")</f>
        <v/>
      </c>
      <c r="P318" s="35" t="str">
        <f>IFERROR(_xlfn.XLOOKUP($C318,Log!D:D,Log!Y:Y,,,-1),"")</f>
        <v/>
      </c>
      <c r="R318" s="26" t="str">
        <f>IFERROR(IF(Tabela1[[#This Row],[Nome fantasia]]="","",_xlfn.XLOOKUP($C318,Log!D:D,Log!X:X,,,-1)),"")</f>
        <v/>
      </c>
    </row>
    <row r="319" spans="3:18" hidden="1" x14ac:dyDescent="0.2">
      <c r="C319" s="30" t="s">
        <v>414</v>
      </c>
      <c r="D319" s="110" t="s">
        <v>415</v>
      </c>
      <c r="E319" s="33" t="s">
        <v>22</v>
      </c>
      <c r="F319" s="38" t="s">
        <v>12</v>
      </c>
      <c r="G319" s="38" t="s">
        <v>416</v>
      </c>
      <c r="H319" s="31">
        <v>1146.03</v>
      </c>
      <c r="I319" s="32">
        <v>95</v>
      </c>
      <c r="J319" s="32">
        <v>0</v>
      </c>
      <c r="K319" s="46" t="s">
        <v>742</v>
      </c>
      <c r="M319" s="33" t="str">
        <f t="shared" si="4"/>
        <v/>
      </c>
      <c r="N319" s="34">
        <f>IFERROR(IF(Tabela1[[#This Row],[Nome fantasia]]="","",_xlfn.XLOOKUP($C319,Log!D:D,Log!B:B,,,-1)),"")</f>
        <v>46001</v>
      </c>
      <c r="O319" s="35" t="str">
        <f>IFERROR(_xlfn.XLOOKUP($C319,Log!D:D,Log!W:W,,,-1),"")</f>
        <v>VENDA</v>
      </c>
      <c r="P319" s="35" t="str">
        <f>IFERROR(_xlfn.XLOOKUP($C319,Log!D:D,Log!Y:Y,,,-1),"")</f>
        <v>VENDA FINALIZADA</v>
      </c>
      <c r="R319" s="26">
        <f>IFERROR(IF(Tabela1[[#This Row],[Nome fantasia]]="","",_xlfn.XLOOKUP($C319,Log!D:D,Log!X:X,,,-1)),"")</f>
        <v>46064</v>
      </c>
    </row>
    <row r="320" spans="3:18" hidden="1" x14ac:dyDescent="0.2">
      <c r="C320" s="30" t="s">
        <v>599</v>
      </c>
      <c r="D320" s="110" t="s">
        <v>600</v>
      </c>
      <c r="E320" s="33" t="s">
        <v>22</v>
      </c>
      <c r="F320" s="38" t="s">
        <v>32</v>
      </c>
      <c r="G320" s="38" t="s">
        <v>598</v>
      </c>
      <c r="H320" s="31">
        <v>2693.25</v>
      </c>
      <c r="I320" s="32">
        <v>141</v>
      </c>
      <c r="J320" s="32">
        <v>20</v>
      </c>
      <c r="K320" s="45" t="s">
        <v>743</v>
      </c>
      <c r="M320" s="33" t="str">
        <f t="shared" si="4"/>
        <v>Recompra</v>
      </c>
      <c r="N320" s="34" t="str">
        <f>IFERROR(IF(Tabela1[[#This Row],[Nome fantasia]]="","",_xlfn.XLOOKUP($C320,Log!D:D,Log!B:B,,,-1)),"")</f>
        <v/>
      </c>
      <c r="O320" s="35" t="str">
        <f>IFERROR(_xlfn.XLOOKUP($C320,Log!D:D,Log!W:W,,,-1),"")</f>
        <v/>
      </c>
      <c r="P320" s="35" t="str">
        <f>IFERROR(_xlfn.XLOOKUP($C320,Log!D:D,Log!Y:Y,,,-1),"")</f>
        <v/>
      </c>
      <c r="R320" s="26" t="str">
        <f>IFERROR(IF(Tabela1[[#This Row],[Nome fantasia]]="","",_xlfn.XLOOKUP($C320,Log!D:D,Log!X:X,,,-1)),"")</f>
        <v/>
      </c>
    </row>
    <row r="321" spans="3:18" hidden="1" x14ac:dyDescent="0.2">
      <c r="C321" s="30" t="s">
        <v>423</v>
      </c>
      <c r="D321" s="110" t="s">
        <v>424</v>
      </c>
      <c r="E321" s="33" t="s">
        <v>46</v>
      </c>
      <c r="F321" s="38" t="s">
        <v>12</v>
      </c>
      <c r="G321" s="38" t="s">
        <v>425</v>
      </c>
      <c r="H321" s="31">
        <v>903.41</v>
      </c>
      <c r="I321" s="32">
        <v>99</v>
      </c>
      <c r="J321" s="32">
        <v>0</v>
      </c>
      <c r="K321" s="46" t="s">
        <v>742</v>
      </c>
      <c r="M321" s="33" t="str">
        <f t="shared" si="4"/>
        <v/>
      </c>
      <c r="N321" s="34" t="str">
        <f>IFERROR(IF(Tabela1[[#This Row],[Nome fantasia]]="","",_xlfn.XLOOKUP($C321,Log!D:D,Log!B:B,,,-1)),"")</f>
        <v/>
      </c>
      <c r="O321" s="35" t="str">
        <f>IFERROR(_xlfn.XLOOKUP($C321,Log!D:D,Log!W:W,,,-1),"")</f>
        <v/>
      </c>
      <c r="P321" s="35" t="str">
        <f>IFERROR(_xlfn.XLOOKUP($C321,Log!D:D,Log!Y:Y,,,-1),"")</f>
        <v/>
      </c>
      <c r="R321" s="26" t="str">
        <f>IFERROR(IF(Tabela1[[#This Row],[Nome fantasia]]="","",_xlfn.XLOOKUP($C321,Log!D:D,Log!X:X,,,-1)),"")</f>
        <v/>
      </c>
    </row>
    <row r="322" spans="3:18" hidden="1" x14ac:dyDescent="0.2">
      <c r="C322" s="30" t="s">
        <v>604</v>
      </c>
      <c r="D322" s="110" t="s">
        <v>605</v>
      </c>
      <c r="E322" s="33" t="s">
        <v>22</v>
      </c>
      <c r="F322" s="38" t="s">
        <v>32</v>
      </c>
      <c r="G322" s="38" t="s">
        <v>19</v>
      </c>
      <c r="H322" s="31">
        <v>691.39</v>
      </c>
      <c r="I322" s="32">
        <v>27</v>
      </c>
      <c r="J322" s="32">
        <v>117</v>
      </c>
      <c r="K322" s="45" t="s">
        <v>743</v>
      </c>
      <c r="M322" s="33" t="str">
        <f t="shared" si="4"/>
        <v>Recompra</v>
      </c>
      <c r="N322" s="34">
        <f>IFERROR(IF(Tabela1[[#This Row],[Nome fantasia]]="","",_xlfn.XLOOKUP($C322,Log!D:D,Log!B:B,,,-1)),"")</f>
        <v>45932</v>
      </c>
      <c r="O322" s="35" t="str">
        <f>IFERROR(_xlfn.XLOOKUP($C322,Log!D:D,Log!W:W,,,-1),"")</f>
        <v>SUPORTE</v>
      </c>
      <c r="P322" s="35" t="str">
        <f>IFERROR(_xlfn.XLOOKUP($C322,Log!D:D,Log!Y:Y,,,-1),"")</f>
        <v>EM INVENTARIO, PRECISAVA RAPIDO, NAO CONSEGUIMOS ATENDER DESSA VEZ</v>
      </c>
      <c r="R322" s="26" t="str">
        <f>IFERROR(IF(Tabela1[[#This Row],[Nome fantasia]]="","",_xlfn.XLOOKUP($C322,Log!D:D,Log!X:X,,,-1)),"")</f>
        <v/>
      </c>
    </row>
    <row r="323" spans="3:18" hidden="1" x14ac:dyDescent="0.2">
      <c r="C323" s="30" t="s">
        <v>606</v>
      </c>
      <c r="D323" s="110" t="s">
        <v>607</v>
      </c>
      <c r="E323" s="33" t="s">
        <v>22</v>
      </c>
      <c r="F323" s="38" t="s">
        <v>32</v>
      </c>
      <c r="G323" s="38" t="s">
        <v>1138</v>
      </c>
      <c r="H323" s="31">
        <v>1388.52</v>
      </c>
      <c r="I323" s="32">
        <v>11</v>
      </c>
      <c r="J323" s="32">
        <v>133</v>
      </c>
      <c r="K323" s="45" t="s">
        <v>743</v>
      </c>
      <c r="M323" s="33" t="str">
        <f t="shared" ref="M323:M386" si="5">IF(OR(J323&lt;=0,J323=""),"","Recompra")</f>
        <v>Recompra</v>
      </c>
      <c r="N323" s="34">
        <f>IFERROR(IF(Tabela1[[#This Row],[Nome fantasia]]="","",_xlfn.XLOOKUP($C323,Log!D:D,Log!B:B,,,-1)),"")</f>
        <v>46006</v>
      </c>
      <c r="O323" s="35" t="str">
        <f>IFERROR(_xlfn.XLOOKUP($C323,Log!D:D,Log!W:W,,,-1),"")</f>
        <v>FOLLOW UP 15</v>
      </c>
      <c r="P323" s="35" t="str">
        <f>IFERROR(_xlfn.XLOOKUP($C323,Log!D:D,Log!Y:Y,,,-1),"")</f>
        <v>SUBIR PEDIDO NO SALES NESSE DIA</v>
      </c>
      <c r="R323" s="26">
        <f>IFERROR(IF(Tabela1[[#This Row],[Nome fantasia]]="","",_xlfn.XLOOKUP($C323,Log!D:D,Log!X:X,,,-1)),"")</f>
        <v>46027</v>
      </c>
    </row>
    <row r="324" spans="3:18" hidden="1" x14ac:dyDescent="0.2">
      <c r="C324" s="30" t="s">
        <v>608</v>
      </c>
      <c r="D324" s="110" t="s">
        <v>609</v>
      </c>
      <c r="E324" s="33" t="s">
        <v>17</v>
      </c>
      <c r="F324" s="38" t="s">
        <v>32</v>
      </c>
      <c r="G324" s="38" t="s">
        <v>610</v>
      </c>
      <c r="H324" s="31">
        <v>652.67999999999995</v>
      </c>
      <c r="I324" s="32">
        <v>145</v>
      </c>
      <c r="J324" s="32">
        <v>0</v>
      </c>
      <c r="K324" s="45" t="s">
        <v>743</v>
      </c>
      <c r="M324" s="33" t="str">
        <f t="shared" si="5"/>
        <v/>
      </c>
      <c r="N324" s="34" t="str">
        <f>IFERROR(IF(Tabela1[[#This Row],[Nome fantasia]]="","",_xlfn.XLOOKUP($C324,Log!D:D,Log!B:B,,,-1)),"")</f>
        <v/>
      </c>
      <c r="O324" s="35" t="str">
        <f>IFERROR(_xlfn.XLOOKUP($C324,Log!D:D,Log!W:W,,,-1),"")</f>
        <v/>
      </c>
      <c r="P324" s="35" t="str">
        <f>IFERROR(_xlfn.XLOOKUP($C324,Log!D:D,Log!Y:Y,,,-1),"")</f>
        <v/>
      </c>
      <c r="R324" s="26" t="str">
        <f>IFERROR(IF(Tabela1[[#This Row],[Nome fantasia]]="","",_xlfn.XLOOKUP($C324,Log!D:D,Log!X:X,,,-1)),"")</f>
        <v/>
      </c>
    </row>
    <row r="325" spans="3:18" hidden="1" x14ac:dyDescent="0.2">
      <c r="C325" s="30" t="s">
        <v>432</v>
      </c>
      <c r="D325" s="110" t="s">
        <v>433</v>
      </c>
      <c r="E325" s="33" t="s">
        <v>46</v>
      </c>
      <c r="F325" s="38" t="s">
        <v>12</v>
      </c>
      <c r="G325" s="38" t="s">
        <v>425</v>
      </c>
      <c r="H325" s="31">
        <v>4509.1000000000004</v>
      </c>
      <c r="I325" s="32">
        <v>99</v>
      </c>
      <c r="J325" s="32">
        <v>11</v>
      </c>
      <c r="K325" s="46" t="s">
        <v>742</v>
      </c>
      <c r="M325" s="33" t="str">
        <f t="shared" si="5"/>
        <v>Recompra</v>
      </c>
      <c r="N325" s="34">
        <f>IFERROR(IF(Tabela1[[#This Row],[Nome fantasia]]="","",_xlfn.XLOOKUP($C325,Log!D:D,Log!B:B,,,-1)),"")</f>
        <v>45923</v>
      </c>
      <c r="O325" s="35" t="str">
        <f>IFERROR(_xlfn.XLOOKUP($C325,Log!D:D,Log!W:W,,,-1),"")</f>
        <v>PERDA / NÃO VENDA</v>
      </c>
      <c r="P325" s="35" t="str">
        <f>IFERROR(_xlfn.XLOOKUP($C325,Log!D:D,Log!Y:Y,,,-1),"")</f>
        <v>FEITO ULTIMA COBRANÇA DE VALORES EM HAVER</v>
      </c>
      <c r="R325" s="26" t="str">
        <f>IFERROR(IF(Tabela1[[#This Row],[Nome fantasia]]="","",_xlfn.XLOOKUP($C325,Log!D:D,Log!X:X,,,-1)),"")</f>
        <v/>
      </c>
    </row>
    <row r="326" spans="3:18" hidden="1" x14ac:dyDescent="0.2">
      <c r="C326" s="30" t="s">
        <v>614</v>
      </c>
      <c r="D326" s="110" t="s">
        <v>615</v>
      </c>
      <c r="E326" s="33" t="s">
        <v>11</v>
      </c>
      <c r="F326" s="38" t="s">
        <v>53</v>
      </c>
      <c r="G326" s="38" t="s">
        <v>613</v>
      </c>
      <c r="H326" s="31">
        <v>681.04</v>
      </c>
      <c r="I326" s="32">
        <v>147</v>
      </c>
      <c r="J326" s="32">
        <v>33.5</v>
      </c>
      <c r="K326" s="45" t="s">
        <v>743</v>
      </c>
      <c r="M326" s="33" t="str">
        <f t="shared" si="5"/>
        <v>Recompra</v>
      </c>
      <c r="N326" s="34" t="str">
        <f>IFERROR(IF(Tabela1[[#This Row],[Nome fantasia]]="","",_xlfn.XLOOKUP($C326,Log!D:D,Log!B:B,,,-1)),"")</f>
        <v/>
      </c>
      <c r="O326" s="35" t="str">
        <f>IFERROR(_xlfn.XLOOKUP($C326,Log!D:D,Log!W:W,,,-1),"")</f>
        <v/>
      </c>
      <c r="P326" s="35" t="str">
        <f>IFERROR(_xlfn.XLOOKUP($C326,Log!D:D,Log!Y:Y,,,-1),"")</f>
        <v/>
      </c>
      <c r="R326" s="26" t="str">
        <f>IFERROR(IF(Tabela1[[#This Row],[Nome fantasia]]="","",_xlfn.XLOOKUP($C326,Log!D:D,Log!X:X,,,-1)),"")</f>
        <v/>
      </c>
    </row>
    <row r="327" spans="3:18" hidden="1" x14ac:dyDescent="0.2">
      <c r="C327" s="30" t="s">
        <v>616</v>
      </c>
      <c r="D327" s="110" t="s">
        <v>617</v>
      </c>
      <c r="E327" s="33" t="s">
        <v>22</v>
      </c>
      <c r="F327" s="38" t="s">
        <v>618</v>
      </c>
      <c r="G327" s="38" t="s">
        <v>619</v>
      </c>
      <c r="H327" s="31">
        <v>4230.6899999999996</v>
      </c>
      <c r="I327" s="32">
        <v>148</v>
      </c>
      <c r="J327" s="32">
        <v>13</v>
      </c>
      <c r="K327" s="45" t="s">
        <v>743</v>
      </c>
      <c r="M327" s="33" t="str">
        <f t="shared" si="5"/>
        <v>Recompra</v>
      </c>
      <c r="N327" s="34" t="str">
        <f>IFERROR(IF(Tabela1[[#This Row],[Nome fantasia]]="","",_xlfn.XLOOKUP($C327,Log!D:D,Log!B:B,,,-1)),"")</f>
        <v/>
      </c>
      <c r="O327" s="35" t="str">
        <f>IFERROR(_xlfn.XLOOKUP($C327,Log!D:D,Log!W:W,,,-1),"")</f>
        <v/>
      </c>
      <c r="P327" s="35" t="str">
        <f>IFERROR(_xlfn.XLOOKUP($C327,Log!D:D,Log!Y:Y,,,-1),"")</f>
        <v/>
      </c>
      <c r="R327" s="26" t="str">
        <f>IFERROR(IF(Tabela1[[#This Row],[Nome fantasia]]="","",_xlfn.XLOOKUP($C327,Log!D:D,Log!X:X,,,-1)),"")</f>
        <v/>
      </c>
    </row>
    <row r="328" spans="3:18" hidden="1" x14ac:dyDescent="0.2">
      <c r="C328" s="30" t="s">
        <v>622</v>
      </c>
      <c r="D328" s="110" t="s">
        <v>623</v>
      </c>
      <c r="E328" s="33" t="s">
        <v>22</v>
      </c>
      <c r="F328" s="38" t="s">
        <v>618</v>
      </c>
      <c r="G328" s="38" t="s">
        <v>624</v>
      </c>
      <c r="H328" s="31">
        <v>2177.3000000000002</v>
      </c>
      <c r="I328" s="32">
        <v>150</v>
      </c>
      <c r="J328" s="32">
        <v>0</v>
      </c>
      <c r="K328" s="45" t="s">
        <v>743</v>
      </c>
      <c r="M328" s="33" t="str">
        <f t="shared" si="5"/>
        <v/>
      </c>
      <c r="N328" s="34" t="str">
        <f>IFERROR(IF(Tabela1[[#This Row],[Nome fantasia]]="","",_xlfn.XLOOKUP($C328,Log!D:D,Log!B:B,,,-1)),"")</f>
        <v/>
      </c>
      <c r="O328" s="35" t="str">
        <f>IFERROR(_xlfn.XLOOKUP($C328,Log!D:D,Log!W:W,,,-1),"")</f>
        <v/>
      </c>
      <c r="P328" s="35" t="str">
        <f>IFERROR(_xlfn.XLOOKUP($C328,Log!D:D,Log!Y:Y,,,-1),"")</f>
        <v/>
      </c>
      <c r="R328" s="26" t="str">
        <f>IFERROR(IF(Tabela1[[#This Row],[Nome fantasia]]="","",_xlfn.XLOOKUP($C328,Log!D:D,Log!X:X,,,-1)),"")</f>
        <v/>
      </c>
    </row>
    <row r="329" spans="3:18" hidden="1" x14ac:dyDescent="0.2">
      <c r="C329" s="30" t="s">
        <v>625</v>
      </c>
      <c r="D329" s="110" t="s">
        <v>626</v>
      </c>
      <c r="E329" s="33" t="s">
        <v>46</v>
      </c>
      <c r="F329" s="38" t="s">
        <v>32</v>
      </c>
      <c r="G329" s="38" t="s">
        <v>627</v>
      </c>
      <c r="H329" s="31">
        <v>687.56</v>
      </c>
      <c r="I329" s="32">
        <v>152</v>
      </c>
      <c r="J329" s="32">
        <v>0</v>
      </c>
      <c r="K329" s="45" t="s">
        <v>743</v>
      </c>
      <c r="M329" s="33" t="str">
        <f t="shared" si="5"/>
        <v/>
      </c>
      <c r="N329" s="34" t="str">
        <f>IFERROR(IF(Tabela1[[#This Row],[Nome fantasia]]="","",_xlfn.XLOOKUP($C329,Log!D:D,Log!B:B,,,-1)),"")</f>
        <v/>
      </c>
      <c r="O329" s="35" t="str">
        <f>IFERROR(_xlfn.XLOOKUP($C329,Log!D:D,Log!W:W,,,-1),"")</f>
        <v/>
      </c>
      <c r="P329" s="35" t="str">
        <f>IFERROR(_xlfn.XLOOKUP($C329,Log!D:D,Log!Y:Y,,,-1),"")</f>
        <v/>
      </c>
      <c r="R329" s="26" t="str">
        <f>IFERROR(IF(Tabela1[[#This Row],[Nome fantasia]]="","",_xlfn.XLOOKUP($C329,Log!D:D,Log!X:X,,,-1)),"")</f>
        <v/>
      </c>
    </row>
    <row r="330" spans="3:18" hidden="1" x14ac:dyDescent="0.2">
      <c r="C330" s="30" t="s">
        <v>628</v>
      </c>
      <c r="D330" s="110" t="s">
        <v>629</v>
      </c>
      <c r="E330" s="33" t="s">
        <v>26</v>
      </c>
      <c r="F330" s="38" t="s">
        <v>53</v>
      </c>
      <c r="G330" s="38" t="s">
        <v>627</v>
      </c>
      <c r="H330" s="31">
        <v>3539.41</v>
      </c>
      <c r="I330" s="32">
        <v>152</v>
      </c>
      <c r="J330" s="32">
        <v>0</v>
      </c>
      <c r="K330" s="45" t="s">
        <v>743</v>
      </c>
      <c r="M330" s="33" t="str">
        <f t="shared" si="5"/>
        <v/>
      </c>
      <c r="N330" s="34" t="str">
        <f>IFERROR(IF(Tabela1[[#This Row],[Nome fantasia]]="","",_xlfn.XLOOKUP($C330,Log!D:D,Log!B:B,,,-1)),"")</f>
        <v/>
      </c>
      <c r="O330" s="35" t="str">
        <f>IFERROR(_xlfn.XLOOKUP($C330,Log!D:D,Log!W:W,,,-1),"")</f>
        <v/>
      </c>
      <c r="P330" s="35" t="str">
        <f>IFERROR(_xlfn.XLOOKUP($C330,Log!D:D,Log!Y:Y,,,-1),"")</f>
        <v/>
      </c>
      <c r="R330" s="26" t="str">
        <f>IFERROR(IF(Tabela1[[#This Row],[Nome fantasia]]="","",_xlfn.XLOOKUP($C330,Log!D:D,Log!X:X,,,-1)),"")</f>
        <v/>
      </c>
    </row>
    <row r="331" spans="3:18" hidden="1" x14ac:dyDescent="0.2">
      <c r="C331" s="30" t="s">
        <v>630</v>
      </c>
      <c r="D331" s="110" t="s">
        <v>631</v>
      </c>
      <c r="E331" s="33" t="s">
        <v>41</v>
      </c>
      <c r="F331" s="38" t="s">
        <v>53</v>
      </c>
      <c r="G331" s="38" t="s">
        <v>627</v>
      </c>
      <c r="H331" s="31">
        <v>2355.61</v>
      </c>
      <c r="I331" s="32">
        <v>152</v>
      </c>
      <c r="J331" s="32">
        <v>0</v>
      </c>
      <c r="K331" s="45" t="s">
        <v>743</v>
      </c>
      <c r="M331" s="33" t="str">
        <f t="shared" si="5"/>
        <v/>
      </c>
      <c r="N331" s="34" t="str">
        <f>IFERROR(IF(Tabela1[[#This Row],[Nome fantasia]]="","",_xlfn.XLOOKUP($C331,Log!D:D,Log!B:B,,,-1)),"")</f>
        <v/>
      </c>
      <c r="O331" s="35" t="str">
        <f>IFERROR(_xlfn.XLOOKUP($C331,Log!D:D,Log!W:W,,,-1),"")</f>
        <v/>
      </c>
      <c r="P331" s="35" t="str">
        <f>IFERROR(_xlfn.XLOOKUP($C331,Log!D:D,Log!Y:Y,,,-1),"")</f>
        <v/>
      </c>
      <c r="R331" s="26" t="str">
        <f>IFERROR(IF(Tabela1[[#This Row],[Nome fantasia]]="","",_xlfn.XLOOKUP($C331,Log!D:D,Log!X:X,,,-1)),"")</f>
        <v/>
      </c>
    </row>
    <row r="332" spans="3:18" hidden="1" x14ac:dyDescent="0.2">
      <c r="C332" s="30"/>
      <c r="D332" s="110" t="s">
        <v>632</v>
      </c>
      <c r="E332" s="33" t="s">
        <v>36</v>
      </c>
      <c r="F332" s="38" t="s">
        <v>53</v>
      </c>
      <c r="G332" s="38" t="s">
        <v>633</v>
      </c>
      <c r="H332" s="31">
        <v>1574.78</v>
      </c>
      <c r="I332" s="32">
        <v>154</v>
      </c>
      <c r="J332" s="32">
        <v>0</v>
      </c>
      <c r="K332" s="45" t="s">
        <v>743</v>
      </c>
      <c r="M332" s="33" t="str">
        <f t="shared" si="5"/>
        <v/>
      </c>
      <c r="N332" s="34" t="str">
        <f>IFERROR(IF(Tabela1[[#This Row],[Nome fantasia]]="","",_xlfn.XLOOKUP($C332,Log!D:D,Log!B:B,,,-1)),"")</f>
        <v/>
      </c>
      <c r="O332" s="35" t="str">
        <f>IFERROR(_xlfn.XLOOKUP($C332,Log!D:D,Log!W:W,,,-1),"")</f>
        <v/>
      </c>
      <c r="P332" s="35">
        <f>IFERROR(_xlfn.XLOOKUP($C332,Log!D:D,Log!Y:Y,,,-1),"")</f>
        <v>0</v>
      </c>
      <c r="R332" s="26" t="str">
        <f>IFERROR(IF(Tabela1[[#This Row],[Nome fantasia]]="","",_xlfn.XLOOKUP($C332,Log!D:D,Log!X:X,,,-1)),"")</f>
        <v/>
      </c>
    </row>
    <row r="333" spans="3:18" hidden="1" x14ac:dyDescent="0.2">
      <c r="C333" s="30" t="s">
        <v>634</v>
      </c>
      <c r="D333" s="110" t="s">
        <v>635</v>
      </c>
      <c r="E333" s="33" t="s">
        <v>36</v>
      </c>
      <c r="F333" s="38" t="s">
        <v>53</v>
      </c>
      <c r="G333" s="38" t="s">
        <v>633</v>
      </c>
      <c r="H333" s="31">
        <v>1574.78</v>
      </c>
      <c r="I333" s="32">
        <v>154</v>
      </c>
      <c r="J333" s="32">
        <v>0</v>
      </c>
      <c r="K333" s="45" t="s">
        <v>743</v>
      </c>
      <c r="M333" s="33" t="str">
        <f t="shared" si="5"/>
        <v/>
      </c>
      <c r="N333" s="34" t="str">
        <f>IFERROR(IF(Tabela1[[#This Row],[Nome fantasia]]="","",_xlfn.XLOOKUP($C333,Log!D:D,Log!B:B,,,-1)),"")</f>
        <v/>
      </c>
      <c r="O333" s="35" t="str">
        <f>IFERROR(_xlfn.XLOOKUP($C333,Log!D:D,Log!W:W,,,-1),"")</f>
        <v/>
      </c>
      <c r="P333" s="35" t="str">
        <f>IFERROR(_xlfn.XLOOKUP($C333,Log!D:D,Log!Y:Y,,,-1),"")</f>
        <v/>
      </c>
      <c r="R333" s="26" t="str">
        <f>IFERROR(IF(Tabela1[[#This Row],[Nome fantasia]]="","",_xlfn.XLOOKUP($C333,Log!D:D,Log!X:X,,,-1)),"")</f>
        <v/>
      </c>
    </row>
    <row r="334" spans="3:18" hidden="1" x14ac:dyDescent="0.2">
      <c r="C334" s="30" t="s">
        <v>636</v>
      </c>
      <c r="D334" s="110" t="s">
        <v>637</v>
      </c>
      <c r="E334" s="33" t="s">
        <v>36</v>
      </c>
      <c r="F334" s="38" t="s">
        <v>53</v>
      </c>
      <c r="G334" s="38" t="s">
        <v>633</v>
      </c>
      <c r="H334" s="31">
        <v>1574.78</v>
      </c>
      <c r="I334" s="32">
        <v>154</v>
      </c>
      <c r="J334" s="32">
        <v>0</v>
      </c>
      <c r="K334" s="45" t="s">
        <v>743</v>
      </c>
      <c r="M334" s="33" t="str">
        <f t="shared" si="5"/>
        <v/>
      </c>
      <c r="N334" s="34" t="str">
        <f>IFERROR(IF(Tabela1[[#This Row],[Nome fantasia]]="","",_xlfn.XLOOKUP($C334,Log!D:D,Log!B:B,,,-1)),"")</f>
        <v/>
      </c>
      <c r="O334" s="35" t="str">
        <f>IFERROR(_xlfn.XLOOKUP($C334,Log!D:D,Log!W:W,,,-1),"")</f>
        <v/>
      </c>
      <c r="P334" s="35" t="str">
        <f>IFERROR(_xlfn.XLOOKUP($C334,Log!D:D,Log!Y:Y,,,-1),"")</f>
        <v/>
      </c>
      <c r="R334" s="26" t="str">
        <f>IFERROR(IF(Tabela1[[#This Row],[Nome fantasia]]="","",_xlfn.XLOOKUP($C334,Log!D:D,Log!X:X,,,-1)),"")</f>
        <v/>
      </c>
    </row>
    <row r="335" spans="3:18" hidden="1" x14ac:dyDescent="0.2">
      <c r="C335" s="30" t="s">
        <v>638</v>
      </c>
      <c r="D335" s="110" t="s">
        <v>639</v>
      </c>
      <c r="E335" s="33" t="s">
        <v>36</v>
      </c>
      <c r="F335" s="38" t="s">
        <v>53</v>
      </c>
      <c r="G335" s="38" t="s">
        <v>633</v>
      </c>
      <c r="H335" s="31">
        <v>1574.78</v>
      </c>
      <c r="I335" s="32">
        <v>154</v>
      </c>
      <c r="J335" s="32">
        <v>0</v>
      </c>
      <c r="K335" s="45" t="s">
        <v>743</v>
      </c>
      <c r="M335" s="33" t="str">
        <f t="shared" si="5"/>
        <v/>
      </c>
      <c r="N335" s="34" t="str">
        <f>IFERROR(IF(Tabela1[[#This Row],[Nome fantasia]]="","",_xlfn.XLOOKUP($C335,Log!D:D,Log!B:B,,,-1)),"")</f>
        <v/>
      </c>
      <c r="O335" s="35" t="str">
        <f>IFERROR(_xlfn.XLOOKUP($C335,Log!D:D,Log!W:W,,,-1),"")</f>
        <v/>
      </c>
      <c r="P335" s="35" t="str">
        <f>IFERROR(_xlfn.XLOOKUP($C335,Log!D:D,Log!Y:Y,,,-1),"")</f>
        <v/>
      </c>
      <c r="R335" s="26" t="str">
        <f>IFERROR(IF(Tabela1[[#This Row],[Nome fantasia]]="","",_xlfn.XLOOKUP($C335,Log!D:D,Log!X:X,,,-1)),"")</f>
        <v/>
      </c>
    </row>
    <row r="336" spans="3:18" hidden="1" x14ac:dyDescent="0.2">
      <c r="C336" s="30" t="s">
        <v>640</v>
      </c>
      <c r="D336" s="110" t="s">
        <v>641</v>
      </c>
      <c r="E336" s="33" t="s">
        <v>49</v>
      </c>
      <c r="F336" s="38" t="s">
        <v>53</v>
      </c>
      <c r="G336" s="38" t="s">
        <v>633</v>
      </c>
      <c r="H336" s="31">
        <v>670.83</v>
      </c>
      <c r="I336" s="32">
        <v>154</v>
      </c>
      <c r="J336" s="32">
        <v>0</v>
      </c>
      <c r="K336" s="45" t="s">
        <v>743</v>
      </c>
      <c r="M336" s="33" t="str">
        <f t="shared" si="5"/>
        <v/>
      </c>
      <c r="N336" s="34" t="str">
        <f>IFERROR(IF(Tabela1[[#This Row],[Nome fantasia]]="","",_xlfn.XLOOKUP($C336,Log!D:D,Log!B:B,,,-1)),"")</f>
        <v/>
      </c>
      <c r="O336" s="35" t="str">
        <f>IFERROR(_xlfn.XLOOKUP($C336,Log!D:D,Log!W:W,,,-1),"")</f>
        <v/>
      </c>
      <c r="P336" s="35" t="str">
        <f>IFERROR(_xlfn.XLOOKUP($C336,Log!D:D,Log!Y:Y,,,-1),"")</f>
        <v/>
      </c>
      <c r="R336" s="26" t="str">
        <f>IFERROR(IF(Tabela1[[#This Row],[Nome fantasia]]="","",_xlfn.XLOOKUP($C336,Log!D:D,Log!X:X,,,-1)),"")</f>
        <v/>
      </c>
    </row>
    <row r="337" spans="3:18" hidden="1" x14ac:dyDescent="0.2">
      <c r="C337" s="30" t="s">
        <v>642</v>
      </c>
      <c r="D337" s="110" t="s">
        <v>643</v>
      </c>
      <c r="E337" s="33" t="s">
        <v>22</v>
      </c>
      <c r="F337" s="38" t="s">
        <v>618</v>
      </c>
      <c r="G337" s="38" t="s">
        <v>644</v>
      </c>
      <c r="H337" s="31">
        <v>2180.46</v>
      </c>
      <c r="I337" s="32">
        <v>155</v>
      </c>
      <c r="J337" s="32">
        <v>0</v>
      </c>
      <c r="K337" s="45" t="s">
        <v>743</v>
      </c>
      <c r="M337" s="33" t="str">
        <f t="shared" si="5"/>
        <v/>
      </c>
      <c r="N337" s="34" t="str">
        <f>IFERROR(IF(Tabela1[[#This Row],[Nome fantasia]]="","",_xlfn.XLOOKUP($C337,Log!D:D,Log!B:B,,,-1)),"")</f>
        <v/>
      </c>
      <c r="O337" s="35" t="str">
        <f>IFERROR(_xlfn.XLOOKUP($C337,Log!D:D,Log!W:W,,,-1),"")</f>
        <v/>
      </c>
      <c r="P337" s="35" t="str">
        <f>IFERROR(_xlfn.XLOOKUP($C337,Log!D:D,Log!Y:Y,,,-1),"")</f>
        <v/>
      </c>
      <c r="R337" s="26" t="str">
        <f>IFERROR(IF(Tabela1[[#This Row],[Nome fantasia]]="","",_xlfn.XLOOKUP($C337,Log!D:D,Log!X:X,,,-1)),"")</f>
        <v/>
      </c>
    </row>
    <row r="338" spans="3:18" hidden="1" x14ac:dyDescent="0.2">
      <c r="C338" s="30" t="s">
        <v>645</v>
      </c>
      <c r="D338" s="110" t="s">
        <v>646</v>
      </c>
      <c r="E338" s="33" t="s">
        <v>22</v>
      </c>
      <c r="F338" s="38" t="s">
        <v>618</v>
      </c>
      <c r="G338" s="38" t="s">
        <v>644</v>
      </c>
      <c r="H338" s="31">
        <v>810.36</v>
      </c>
      <c r="I338" s="32">
        <v>155</v>
      </c>
      <c r="J338" s="32">
        <v>0</v>
      </c>
      <c r="K338" s="45" t="s">
        <v>743</v>
      </c>
      <c r="M338" s="33" t="str">
        <f t="shared" si="5"/>
        <v/>
      </c>
      <c r="N338" s="34" t="str">
        <f>IFERROR(IF(Tabela1[[#This Row],[Nome fantasia]]="","",_xlfn.XLOOKUP($C338,Log!D:D,Log!B:B,,,-1)),"")</f>
        <v/>
      </c>
      <c r="O338" s="35" t="str">
        <f>IFERROR(_xlfn.XLOOKUP($C338,Log!D:D,Log!W:W,,,-1),"")</f>
        <v/>
      </c>
      <c r="P338" s="35" t="str">
        <f>IFERROR(_xlfn.XLOOKUP($C338,Log!D:D,Log!Y:Y,,,-1),"")</f>
        <v/>
      </c>
      <c r="R338" s="26" t="str">
        <f>IFERROR(IF(Tabela1[[#This Row],[Nome fantasia]]="","",_xlfn.XLOOKUP($C338,Log!D:D,Log!X:X,,,-1)),"")</f>
        <v/>
      </c>
    </row>
    <row r="339" spans="3:18" hidden="1" x14ac:dyDescent="0.2">
      <c r="C339" s="30" t="s">
        <v>647</v>
      </c>
      <c r="D339" s="110" t="s">
        <v>648</v>
      </c>
      <c r="E339" s="33" t="s">
        <v>22</v>
      </c>
      <c r="F339" s="38" t="s">
        <v>618</v>
      </c>
      <c r="G339" s="38" t="s">
        <v>644</v>
      </c>
      <c r="H339" s="31">
        <v>810.36</v>
      </c>
      <c r="I339" s="32">
        <v>155</v>
      </c>
      <c r="J339" s="32">
        <v>0</v>
      </c>
      <c r="K339" s="45" t="s">
        <v>743</v>
      </c>
      <c r="M339" s="33" t="str">
        <f t="shared" si="5"/>
        <v/>
      </c>
      <c r="N339" s="34" t="str">
        <f>IFERROR(IF(Tabela1[[#This Row],[Nome fantasia]]="","",_xlfn.XLOOKUP($C339,Log!D:D,Log!B:B,,,-1)),"")</f>
        <v/>
      </c>
      <c r="O339" s="35" t="str">
        <f>IFERROR(_xlfn.XLOOKUP($C339,Log!D:D,Log!W:W,,,-1),"")</f>
        <v/>
      </c>
      <c r="P339" s="35" t="str">
        <f>IFERROR(_xlfn.XLOOKUP($C339,Log!D:D,Log!Y:Y,,,-1),"")</f>
        <v/>
      </c>
      <c r="R339" s="26" t="str">
        <f>IFERROR(IF(Tabela1[[#This Row],[Nome fantasia]]="","",_xlfn.XLOOKUP($C339,Log!D:D,Log!X:X,,,-1)),"")</f>
        <v/>
      </c>
    </row>
    <row r="340" spans="3:18" hidden="1" x14ac:dyDescent="0.2">
      <c r="C340" s="30" t="s">
        <v>649</v>
      </c>
      <c r="D340" s="110" t="s">
        <v>650</v>
      </c>
      <c r="E340" s="33" t="s">
        <v>22</v>
      </c>
      <c r="F340" s="38" t="s">
        <v>618</v>
      </c>
      <c r="G340" s="38" t="s">
        <v>644</v>
      </c>
      <c r="H340" s="31">
        <v>810.36</v>
      </c>
      <c r="I340" s="32">
        <v>155</v>
      </c>
      <c r="J340" s="32">
        <v>0</v>
      </c>
      <c r="K340" s="45" t="s">
        <v>743</v>
      </c>
      <c r="M340" s="33" t="str">
        <f t="shared" si="5"/>
        <v/>
      </c>
      <c r="N340" s="34" t="str">
        <f>IFERROR(IF(Tabela1[[#This Row],[Nome fantasia]]="","",_xlfn.XLOOKUP($C340,Log!D:D,Log!B:B,,,-1)),"")</f>
        <v/>
      </c>
      <c r="O340" s="35" t="str">
        <f>IFERROR(_xlfn.XLOOKUP($C340,Log!D:D,Log!W:W,,,-1),"")</f>
        <v/>
      </c>
      <c r="P340" s="35" t="str">
        <f>IFERROR(_xlfn.XLOOKUP($C340,Log!D:D,Log!Y:Y,,,-1),"")</f>
        <v/>
      </c>
      <c r="R340" s="26" t="str">
        <f>IFERROR(IF(Tabela1[[#This Row],[Nome fantasia]]="","",_xlfn.XLOOKUP($C340,Log!D:D,Log!X:X,,,-1)),"")</f>
        <v/>
      </c>
    </row>
    <row r="341" spans="3:18" hidden="1" x14ac:dyDescent="0.2">
      <c r="C341" s="30" t="s">
        <v>651</v>
      </c>
      <c r="D341" s="110" t="s">
        <v>652</v>
      </c>
      <c r="E341" s="33" t="s">
        <v>22</v>
      </c>
      <c r="F341" s="38" t="s">
        <v>618</v>
      </c>
      <c r="G341" s="38" t="s">
        <v>644</v>
      </c>
      <c r="H341" s="31">
        <v>810.36</v>
      </c>
      <c r="I341" s="32">
        <v>155</v>
      </c>
      <c r="J341" s="32">
        <v>0</v>
      </c>
      <c r="K341" s="45" t="s">
        <v>743</v>
      </c>
      <c r="M341" s="33" t="str">
        <f t="shared" si="5"/>
        <v/>
      </c>
      <c r="N341" s="34" t="str">
        <f>IFERROR(IF(Tabela1[[#This Row],[Nome fantasia]]="","",_xlfn.XLOOKUP($C341,Log!D:D,Log!B:B,,,-1)),"")</f>
        <v/>
      </c>
      <c r="O341" s="35" t="str">
        <f>IFERROR(_xlfn.XLOOKUP($C341,Log!D:D,Log!W:W,,,-1),"")</f>
        <v/>
      </c>
      <c r="P341" s="35" t="str">
        <f>IFERROR(_xlfn.XLOOKUP($C341,Log!D:D,Log!Y:Y,,,-1),"")</f>
        <v/>
      </c>
      <c r="R341" s="26" t="str">
        <f>IFERROR(IF(Tabela1[[#This Row],[Nome fantasia]]="","",_xlfn.XLOOKUP($C341,Log!D:D,Log!X:X,,,-1)),"")</f>
        <v/>
      </c>
    </row>
    <row r="342" spans="3:18" hidden="1" x14ac:dyDescent="0.2">
      <c r="C342" s="30" t="s">
        <v>438</v>
      </c>
      <c r="D342" s="110" t="s">
        <v>439</v>
      </c>
      <c r="E342" s="33" t="s">
        <v>17</v>
      </c>
      <c r="F342" s="38" t="s">
        <v>12</v>
      </c>
      <c r="G342" s="38" t="s">
        <v>425</v>
      </c>
      <c r="H342" s="31">
        <v>9404.7099999999991</v>
      </c>
      <c r="I342" s="32">
        <v>99</v>
      </c>
      <c r="J342" s="32">
        <v>0</v>
      </c>
      <c r="K342" s="46" t="s">
        <v>742</v>
      </c>
      <c r="M342" s="33" t="str">
        <f t="shared" si="5"/>
        <v/>
      </c>
      <c r="N342" s="34" t="str">
        <f>IFERROR(IF(Tabela1[[#This Row],[Nome fantasia]]="","",_xlfn.XLOOKUP($C342,Log!D:D,Log!B:B,,,-1)),"")</f>
        <v/>
      </c>
      <c r="O342" s="35" t="str">
        <f>IFERROR(_xlfn.XLOOKUP($C342,Log!D:D,Log!W:W,,,-1),"")</f>
        <v/>
      </c>
      <c r="P342" s="35" t="str">
        <f>IFERROR(_xlfn.XLOOKUP($C342,Log!D:D,Log!Y:Y,,,-1),"")</f>
        <v/>
      </c>
      <c r="R342" s="26" t="str">
        <f>IFERROR(IF(Tabela1[[#This Row],[Nome fantasia]]="","",_xlfn.XLOOKUP($C342,Log!D:D,Log!X:X,,,-1)),"")</f>
        <v/>
      </c>
    </row>
    <row r="343" spans="3:18" hidden="1" x14ac:dyDescent="0.2">
      <c r="C343" s="30" t="s">
        <v>656</v>
      </c>
      <c r="D343" s="110" t="s">
        <v>657</v>
      </c>
      <c r="E343" s="33" t="s">
        <v>22</v>
      </c>
      <c r="F343" s="38" t="s">
        <v>618</v>
      </c>
      <c r="G343" s="38" t="s">
        <v>655</v>
      </c>
      <c r="H343" s="31">
        <v>990.28</v>
      </c>
      <c r="I343" s="32">
        <v>158</v>
      </c>
      <c r="J343" s="32">
        <v>0</v>
      </c>
      <c r="K343" s="45" t="s">
        <v>743</v>
      </c>
      <c r="M343" s="33" t="str">
        <f t="shared" si="5"/>
        <v/>
      </c>
      <c r="N343" s="34" t="str">
        <f>IFERROR(IF(Tabela1[[#This Row],[Nome fantasia]]="","",_xlfn.XLOOKUP($C343,Log!D:D,Log!B:B,,,-1)),"")</f>
        <v/>
      </c>
      <c r="O343" s="35" t="str">
        <f>IFERROR(_xlfn.XLOOKUP($C343,Log!D:D,Log!W:W,,,-1),"")</f>
        <v/>
      </c>
      <c r="P343" s="35" t="str">
        <f>IFERROR(_xlfn.XLOOKUP($C343,Log!D:D,Log!Y:Y,,,-1),"")</f>
        <v/>
      </c>
      <c r="R343" s="26" t="str">
        <f>IFERROR(IF(Tabela1[[#This Row],[Nome fantasia]]="","",_xlfn.XLOOKUP($C343,Log!D:D,Log!X:X,,,-1)),"")</f>
        <v/>
      </c>
    </row>
    <row r="344" spans="3:18" hidden="1" x14ac:dyDescent="0.2">
      <c r="C344" s="30" t="s">
        <v>658</v>
      </c>
      <c r="D344" s="110" t="s">
        <v>659</v>
      </c>
      <c r="E344" s="33" t="s">
        <v>22</v>
      </c>
      <c r="F344" s="38" t="s">
        <v>618</v>
      </c>
      <c r="G344" s="38" t="s">
        <v>660</v>
      </c>
      <c r="H344" s="31">
        <v>658.35</v>
      </c>
      <c r="I344" s="32">
        <v>161</v>
      </c>
      <c r="J344" s="32">
        <v>0</v>
      </c>
      <c r="K344" s="45" t="s">
        <v>743</v>
      </c>
      <c r="M344" s="33" t="str">
        <f t="shared" si="5"/>
        <v/>
      </c>
      <c r="N344" s="34" t="str">
        <f>IFERROR(IF(Tabela1[[#This Row],[Nome fantasia]]="","",_xlfn.XLOOKUP($C344,Log!D:D,Log!B:B,,,-1)),"")</f>
        <v/>
      </c>
      <c r="O344" s="35" t="str">
        <f>IFERROR(_xlfn.XLOOKUP($C344,Log!D:D,Log!W:W,,,-1),"")</f>
        <v/>
      </c>
      <c r="P344" s="35" t="str">
        <f>IFERROR(_xlfn.XLOOKUP($C344,Log!D:D,Log!Y:Y,,,-1),"")</f>
        <v/>
      </c>
      <c r="R344" s="26" t="str">
        <f>IFERROR(IF(Tabela1[[#This Row],[Nome fantasia]]="","",_xlfn.XLOOKUP($C344,Log!D:D,Log!X:X,,,-1)),"")</f>
        <v/>
      </c>
    </row>
    <row r="345" spans="3:18" hidden="1" x14ac:dyDescent="0.2">
      <c r="C345" s="30" t="s">
        <v>661</v>
      </c>
      <c r="D345" s="110" t="s">
        <v>662</v>
      </c>
      <c r="E345" s="33" t="s">
        <v>22</v>
      </c>
      <c r="F345" s="38" t="s">
        <v>618</v>
      </c>
      <c r="G345" s="38" t="s">
        <v>660</v>
      </c>
      <c r="H345" s="31">
        <v>658.35</v>
      </c>
      <c r="I345" s="32">
        <v>161</v>
      </c>
      <c r="J345" s="32">
        <v>0</v>
      </c>
      <c r="K345" s="45" t="s">
        <v>743</v>
      </c>
      <c r="M345" s="33" t="str">
        <f t="shared" si="5"/>
        <v/>
      </c>
      <c r="N345" s="34" t="str">
        <f>IFERROR(IF(Tabela1[[#This Row],[Nome fantasia]]="","",_xlfn.XLOOKUP($C345,Log!D:D,Log!B:B,,,-1)),"")</f>
        <v/>
      </c>
      <c r="O345" s="35" t="str">
        <f>IFERROR(_xlfn.XLOOKUP($C345,Log!D:D,Log!W:W,,,-1),"")</f>
        <v/>
      </c>
      <c r="P345" s="35" t="str">
        <f>IFERROR(_xlfn.XLOOKUP($C345,Log!D:D,Log!Y:Y,,,-1),"")</f>
        <v/>
      </c>
      <c r="R345" s="26" t="str">
        <f>IFERROR(IF(Tabela1[[#This Row],[Nome fantasia]]="","",_xlfn.XLOOKUP($C345,Log!D:D,Log!X:X,,,-1)),"")</f>
        <v/>
      </c>
    </row>
    <row r="346" spans="3:18" hidden="1" x14ac:dyDescent="0.2">
      <c r="C346" s="30" t="s">
        <v>663</v>
      </c>
      <c r="D346" s="110" t="s">
        <v>664</v>
      </c>
      <c r="E346" s="33" t="s">
        <v>22</v>
      </c>
      <c r="F346" s="38" t="s">
        <v>618</v>
      </c>
      <c r="G346" s="38" t="s">
        <v>660</v>
      </c>
      <c r="H346" s="31">
        <v>658.35</v>
      </c>
      <c r="I346" s="32">
        <v>161</v>
      </c>
      <c r="J346" s="32">
        <v>0</v>
      </c>
      <c r="K346" s="45" t="s">
        <v>743</v>
      </c>
      <c r="M346" s="33" t="str">
        <f t="shared" si="5"/>
        <v/>
      </c>
      <c r="N346" s="34" t="str">
        <f>IFERROR(IF(Tabela1[[#This Row],[Nome fantasia]]="","",_xlfn.XLOOKUP($C346,Log!D:D,Log!B:B,,,-1)),"")</f>
        <v/>
      </c>
      <c r="O346" s="35" t="str">
        <f>IFERROR(_xlfn.XLOOKUP($C346,Log!D:D,Log!W:W,,,-1),"")</f>
        <v/>
      </c>
      <c r="P346" s="35" t="str">
        <f>IFERROR(_xlfn.XLOOKUP($C346,Log!D:D,Log!Y:Y,,,-1),"")</f>
        <v/>
      </c>
      <c r="R346" s="26" t="str">
        <f>IFERROR(IF(Tabela1[[#This Row],[Nome fantasia]]="","",_xlfn.XLOOKUP($C346,Log!D:D,Log!X:X,,,-1)),"")</f>
        <v/>
      </c>
    </row>
    <row r="347" spans="3:18" hidden="1" x14ac:dyDescent="0.2">
      <c r="C347" s="30" t="s">
        <v>665</v>
      </c>
      <c r="D347" s="110" t="s">
        <v>666</v>
      </c>
      <c r="E347" s="33" t="s">
        <v>22</v>
      </c>
      <c r="F347" s="38" t="s">
        <v>618</v>
      </c>
      <c r="G347" s="38" t="s">
        <v>660</v>
      </c>
      <c r="H347" s="31">
        <v>658.35</v>
      </c>
      <c r="I347" s="32">
        <v>161</v>
      </c>
      <c r="J347" s="32">
        <v>0</v>
      </c>
      <c r="K347" s="45" t="s">
        <v>743</v>
      </c>
      <c r="M347" s="33" t="str">
        <f t="shared" si="5"/>
        <v/>
      </c>
      <c r="N347" s="34" t="str">
        <f>IFERROR(IF(Tabela1[[#This Row],[Nome fantasia]]="","",_xlfn.XLOOKUP($C347,Log!D:D,Log!B:B,,,-1)),"")</f>
        <v/>
      </c>
      <c r="O347" s="35" t="str">
        <f>IFERROR(_xlfn.XLOOKUP($C347,Log!D:D,Log!W:W,,,-1),"")</f>
        <v/>
      </c>
      <c r="P347" s="35" t="str">
        <f>IFERROR(_xlfn.XLOOKUP($C347,Log!D:D,Log!Y:Y,,,-1),"")</f>
        <v/>
      </c>
      <c r="R347" s="26" t="str">
        <f>IFERROR(IF(Tabela1[[#This Row],[Nome fantasia]]="","",_xlfn.XLOOKUP($C347,Log!D:D,Log!X:X,,,-1)),"")</f>
        <v/>
      </c>
    </row>
    <row r="348" spans="3:18" hidden="1" x14ac:dyDescent="0.2">
      <c r="C348" s="30" t="s">
        <v>667</v>
      </c>
      <c r="D348" s="110" t="s">
        <v>668</v>
      </c>
      <c r="E348" s="33" t="s">
        <v>17</v>
      </c>
      <c r="F348" s="38" t="s">
        <v>618</v>
      </c>
      <c r="G348" s="38" t="s">
        <v>660</v>
      </c>
      <c r="H348" s="31">
        <v>657.9</v>
      </c>
      <c r="I348" s="32">
        <v>161</v>
      </c>
      <c r="J348" s="32">
        <v>0</v>
      </c>
      <c r="K348" s="45" t="s">
        <v>743</v>
      </c>
      <c r="M348" s="33" t="str">
        <f t="shared" si="5"/>
        <v/>
      </c>
      <c r="N348" s="34" t="str">
        <f>IFERROR(IF(Tabela1[[#This Row],[Nome fantasia]]="","",_xlfn.XLOOKUP($C348,Log!D:D,Log!B:B,,,-1)),"")</f>
        <v/>
      </c>
      <c r="O348" s="35" t="str">
        <f>IFERROR(_xlfn.XLOOKUP($C348,Log!D:D,Log!W:W,,,-1),"")</f>
        <v/>
      </c>
      <c r="P348" s="35" t="str">
        <f>IFERROR(_xlfn.XLOOKUP($C348,Log!D:D,Log!Y:Y,,,-1),"")</f>
        <v/>
      </c>
      <c r="R348" s="26" t="str">
        <f>IFERROR(IF(Tabela1[[#This Row],[Nome fantasia]]="","",_xlfn.XLOOKUP($C348,Log!D:D,Log!X:X,,,-1)),"")</f>
        <v/>
      </c>
    </row>
    <row r="349" spans="3:18" hidden="1" x14ac:dyDescent="0.2">
      <c r="C349" s="30" t="s">
        <v>669</v>
      </c>
      <c r="D349" s="110" t="s">
        <v>670</v>
      </c>
      <c r="E349" s="33" t="s">
        <v>17</v>
      </c>
      <c r="F349" s="38" t="s">
        <v>618</v>
      </c>
      <c r="G349" s="38" t="s">
        <v>660</v>
      </c>
      <c r="H349" s="31">
        <v>657.9</v>
      </c>
      <c r="I349" s="32">
        <v>161</v>
      </c>
      <c r="J349" s="32">
        <v>0</v>
      </c>
      <c r="K349" s="45" t="s">
        <v>743</v>
      </c>
      <c r="M349" s="33" t="str">
        <f t="shared" si="5"/>
        <v/>
      </c>
      <c r="N349" s="34" t="str">
        <f>IFERROR(IF(Tabela1[[#This Row],[Nome fantasia]]="","",_xlfn.XLOOKUP($C349,Log!D:D,Log!B:B,,,-1)),"")</f>
        <v/>
      </c>
      <c r="O349" s="35" t="str">
        <f>IFERROR(_xlfn.XLOOKUP($C349,Log!D:D,Log!W:W,,,-1),"")</f>
        <v/>
      </c>
      <c r="P349" s="35" t="str">
        <f>IFERROR(_xlfn.XLOOKUP($C349,Log!D:D,Log!Y:Y,,,-1),"")</f>
        <v/>
      </c>
      <c r="R349" s="26" t="str">
        <f>IFERROR(IF(Tabela1[[#This Row],[Nome fantasia]]="","",_xlfn.XLOOKUP($C349,Log!D:D,Log!X:X,,,-1)),"")</f>
        <v/>
      </c>
    </row>
    <row r="350" spans="3:18" hidden="1" x14ac:dyDescent="0.2">
      <c r="C350" s="30" t="s">
        <v>671</v>
      </c>
      <c r="D350" s="110" t="s">
        <v>672</v>
      </c>
      <c r="E350" s="33" t="s">
        <v>22</v>
      </c>
      <c r="F350" s="38" t="s">
        <v>618</v>
      </c>
      <c r="G350" s="38" t="s">
        <v>660</v>
      </c>
      <c r="H350" s="31">
        <v>6881.12</v>
      </c>
      <c r="I350" s="32">
        <v>161</v>
      </c>
      <c r="J350" s="32">
        <v>0</v>
      </c>
      <c r="K350" s="45" t="s">
        <v>743</v>
      </c>
      <c r="M350" s="33" t="str">
        <f t="shared" si="5"/>
        <v/>
      </c>
      <c r="N350" s="34" t="str">
        <f>IFERROR(IF(Tabela1[[#This Row],[Nome fantasia]]="","",_xlfn.XLOOKUP($C350,Log!D:D,Log!B:B,,,-1)),"")</f>
        <v/>
      </c>
      <c r="O350" s="35" t="str">
        <f>IFERROR(_xlfn.XLOOKUP($C350,Log!D:D,Log!W:W,,,-1),"")</f>
        <v/>
      </c>
      <c r="P350" s="35" t="str">
        <f>IFERROR(_xlfn.XLOOKUP($C350,Log!D:D,Log!Y:Y,,,-1),"")</f>
        <v/>
      </c>
      <c r="R350" s="26" t="str">
        <f>IFERROR(IF(Tabela1[[#This Row],[Nome fantasia]]="","",_xlfn.XLOOKUP($C350,Log!D:D,Log!X:X,,,-1)),"")</f>
        <v/>
      </c>
    </row>
    <row r="351" spans="3:18" hidden="1" x14ac:dyDescent="0.2">
      <c r="C351" s="30" t="s">
        <v>673</v>
      </c>
      <c r="D351" s="110" t="s">
        <v>674</v>
      </c>
      <c r="E351" s="33" t="s">
        <v>22</v>
      </c>
      <c r="F351" s="38" t="s">
        <v>618</v>
      </c>
      <c r="G351" s="38" t="s">
        <v>660</v>
      </c>
      <c r="H351" s="31">
        <v>10306.879999999999</v>
      </c>
      <c r="I351" s="32">
        <v>161</v>
      </c>
      <c r="J351" s="32">
        <v>0</v>
      </c>
      <c r="K351" s="45" t="s">
        <v>743</v>
      </c>
      <c r="M351" s="33" t="str">
        <f t="shared" si="5"/>
        <v/>
      </c>
      <c r="N351" s="34" t="str">
        <f>IFERROR(IF(Tabela1[[#This Row],[Nome fantasia]]="","",_xlfn.XLOOKUP($C351,Log!D:D,Log!B:B,,,-1)),"")</f>
        <v/>
      </c>
      <c r="O351" s="35" t="str">
        <f>IFERROR(_xlfn.XLOOKUP($C351,Log!D:D,Log!W:W,,,-1),"")</f>
        <v/>
      </c>
      <c r="P351" s="35" t="str">
        <f>IFERROR(_xlfn.XLOOKUP($C351,Log!D:D,Log!Y:Y,,,-1),"")</f>
        <v/>
      </c>
      <c r="R351" s="26" t="str">
        <f>IFERROR(IF(Tabela1[[#This Row],[Nome fantasia]]="","",_xlfn.XLOOKUP($C351,Log!D:D,Log!X:X,,,-1)),"")</f>
        <v/>
      </c>
    </row>
    <row r="352" spans="3:18" hidden="1" x14ac:dyDescent="0.2">
      <c r="C352" s="30" t="s">
        <v>459</v>
      </c>
      <c r="D352" s="110" t="s">
        <v>460</v>
      </c>
      <c r="E352" s="33" t="s">
        <v>22</v>
      </c>
      <c r="F352" s="38" t="s">
        <v>12</v>
      </c>
      <c r="G352" s="38" t="s">
        <v>452</v>
      </c>
      <c r="H352" s="31">
        <v>678.53</v>
      </c>
      <c r="I352" s="32">
        <v>103</v>
      </c>
      <c r="J352" s="32">
        <v>0</v>
      </c>
      <c r="K352" s="46" t="s">
        <v>742</v>
      </c>
      <c r="M352" s="33" t="str">
        <f t="shared" si="5"/>
        <v/>
      </c>
      <c r="N352" s="34" t="str">
        <f>IFERROR(IF(Tabela1[[#This Row],[Nome fantasia]]="","",_xlfn.XLOOKUP($C352,Log!D:D,Log!B:B,,,-1)),"")</f>
        <v/>
      </c>
      <c r="O352" s="35" t="str">
        <f>IFERROR(_xlfn.XLOOKUP($C352,Log!D:D,Log!W:W,,,-1),"")</f>
        <v/>
      </c>
      <c r="P352" s="35" t="str">
        <f>IFERROR(_xlfn.XLOOKUP($C352,Log!D:D,Log!Y:Y,,,-1),"")</f>
        <v/>
      </c>
      <c r="R352" s="26" t="str">
        <f>IFERROR(IF(Tabela1[[#This Row],[Nome fantasia]]="","",_xlfn.XLOOKUP($C352,Log!D:D,Log!X:X,,,-1)),"")</f>
        <v/>
      </c>
    </row>
    <row r="353" spans="3:18" hidden="1" x14ac:dyDescent="0.2">
      <c r="C353" s="30" t="s">
        <v>681</v>
      </c>
      <c r="D353" s="110" t="s">
        <v>682</v>
      </c>
      <c r="E353" s="33" t="s">
        <v>59</v>
      </c>
      <c r="F353" s="38" t="s">
        <v>53</v>
      </c>
      <c r="G353" s="38" t="s">
        <v>680</v>
      </c>
      <c r="H353" s="31">
        <v>1439.93</v>
      </c>
      <c r="I353" s="32">
        <v>165</v>
      </c>
      <c r="J353" s="32">
        <v>0</v>
      </c>
      <c r="K353" s="45" t="s">
        <v>743</v>
      </c>
      <c r="M353" s="33" t="str">
        <f t="shared" si="5"/>
        <v/>
      </c>
      <c r="N353" s="34" t="str">
        <f>IFERROR(IF(Tabela1[[#This Row],[Nome fantasia]]="","",_xlfn.XLOOKUP($C353,Log!D:D,Log!B:B,,,-1)),"")</f>
        <v/>
      </c>
      <c r="O353" s="35" t="str">
        <f>IFERROR(_xlfn.XLOOKUP($C353,Log!D:D,Log!W:W,,,-1),"")</f>
        <v/>
      </c>
      <c r="P353" s="35" t="str">
        <f>IFERROR(_xlfn.XLOOKUP($C353,Log!D:D,Log!Y:Y,,,-1),"")</f>
        <v/>
      </c>
      <c r="R353" s="26" t="str">
        <f>IFERROR(IF(Tabela1[[#This Row],[Nome fantasia]]="","",_xlfn.XLOOKUP($C353,Log!D:D,Log!X:X,,,-1)),"")</f>
        <v/>
      </c>
    </row>
    <row r="354" spans="3:18" hidden="1" x14ac:dyDescent="0.2">
      <c r="C354" s="30" t="s">
        <v>473</v>
      </c>
      <c r="D354" s="110" t="s">
        <v>474</v>
      </c>
      <c r="E354" s="33" t="s">
        <v>46</v>
      </c>
      <c r="F354" s="38" t="s">
        <v>12</v>
      </c>
      <c r="G354" s="38" t="s">
        <v>471</v>
      </c>
      <c r="H354" s="31">
        <v>753.19</v>
      </c>
      <c r="I354" s="32">
        <v>104</v>
      </c>
      <c r="J354" s="32">
        <v>0</v>
      </c>
      <c r="K354" s="46" t="s">
        <v>742</v>
      </c>
      <c r="M354" s="33" t="str">
        <f t="shared" si="5"/>
        <v/>
      </c>
      <c r="N354" s="34">
        <f>IFERROR(IF(Tabela1[[#This Row],[Nome fantasia]]="","",_xlfn.XLOOKUP($C354,Log!D:D,Log!B:B,,,-1)),"")</f>
        <v>45999</v>
      </c>
      <c r="O354" s="35" t="str">
        <f>IFERROR(_xlfn.XLOOKUP($C354,Log!D:D,Log!W:W,,,-1),"")</f>
        <v>EM ATENDIMENTO</v>
      </c>
      <c r="P354" s="35" t="str">
        <f>IFERROR(_xlfn.XLOOKUP($C354,Log!D:D,Log!Y:Y,,,-1),"")</f>
        <v>NÃO GOSTA DE LIGAÇÕES, ENVIEI WHATSAPP</v>
      </c>
      <c r="R354" s="26">
        <f>IFERROR(IF(Tabela1[[#This Row],[Nome fantasia]]="","",_xlfn.XLOOKUP($C354,Log!D:D,Log!X:X,,,-1)),"")</f>
        <v>46001</v>
      </c>
    </row>
    <row r="355" spans="3:18" hidden="1" x14ac:dyDescent="0.2">
      <c r="C355" s="30" t="s">
        <v>686</v>
      </c>
      <c r="D355" s="110" t="s">
        <v>687</v>
      </c>
      <c r="E355" s="33" t="s">
        <v>31</v>
      </c>
      <c r="F355" s="38" t="s">
        <v>53</v>
      </c>
      <c r="G355" s="38" t="s">
        <v>688</v>
      </c>
      <c r="H355" s="31">
        <v>1469.11</v>
      </c>
      <c r="I355" s="32">
        <v>168</v>
      </c>
      <c r="J355" s="32">
        <v>5</v>
      </c>
      <c r="K355" s="45" t="s">
        <v>743</v>
      </c>
      <c r="M355" s="33" t="str">
        <f t="shared" si="5"/>
        <v>Recompra</v>
      </c>
      <c r="N355" s="34" t="str">
        <f>IFERROR(IF(Tabela1[[#This Row],[Nome fantasia]]="","",_xlfn.XLOOKUP($C355,Log!D:D,Log!B:B,,,-1)),"")</f>
        <v/>
      </c>
      <c r="O355" s="35" t="str">
        <f>IFERROR(_xlfn.XLOOKUP($C355,Log!D:D,Log!W:W,,,-1),"")</f>
        <v/>
      </c>
      <c r="P355" s="35" t="str">
        <f>IFERROR(_xlfn.XLOOKUP($C355,Log!D:D,Log!Y:Y,,,-1),"")</f>
        <v/>
      </c>
      <c r="R355" s="26" t="str">
        <f>IFERROR(IF(Tabela1[[#This Row],[Nome fantasia]]="","",_xlfn.XLOOKUP($C355,Log!D:D,Log!X:X,,,-1)),"")</f>
        <v/>
      </c>
    </row>
    <row r="356" spans="3:18" hidden="1" x14ac:dyDescent="0.2">
      <c r="C356" s="30" t="s">
        <v>492</v>
      </c>
      <c r="D356" s="110" t="s">
        <v>493</v>
      </c>
      <c r="E356" s="33" t="s">
        <v>17</v>
      </c>
      <c r="F356" s="38" t="s">
        <v>12</v>
      </c>
      <c r="G356" s="38" t="s">
        <v>489</v>
      </c>
      <c r="H356" s="31">
        <v>702.86</v>
      </c>
      <c r="I356" s="32">
        <v>109</v>
      </c>
      <c r="J356" s="32">
        <v>0</v>
      </c>
      <c r="K356" s="45" t="s">
        <v>743</v>
      </c>
      <c r="M356" s="33" t="str">
        <f t="shared" si="5"/>
        <v/>
      </c>
      <c r="N356" s="34">
        <f>IFERROR(IF(Tabela1[[#This Row],[Nome fantasia]]="","",_xlfn.XLOOKUP($C356,Log!D:D,Log!B:B,,,-1)),"")</f>
        <v>45999</v>
      </c>
      <c r="O356" s="35" t="str">
        <f>IFERROR(_xlfn.XLOOKUP($C356,Log!D:D,Log!W:W,,,-1),"")</f>
        <v>EM ATENDIMENTO</v>
      </c>
      <c r="P356" s="35" t="str">
        <f>IFERROR(_xlfn.XLOOKUP($C356,Log!D:D,Log!Y:Y,,,-1),"")</f>
        <v>ENVIADO AUDIO, JÁ QUE NÃO ATENDEU</v>
      </c>
      <c r="R356" s="26">
        <f>IFERROR(IF(Tabela1[[#This Row],[Nome fantasia]]="","",_xlfn.XLOOKUP($C356,Log!D:D,Log!X:X,,,-1)),"")</f>
        <v>46001</v>
      </c>
    </row>
    <row r="357" spans="3:18" hidden="1" x14ac:dyDescent="0.2">
      <c r="C357" s="30" t="s">
        <v>494</v>
      </c>
      <c r="D357" s="110" t="s">
        <v>495</v>
      </c>
      <c r="E357" s="33" t="s">
        <v>22</v>
      </c>
      <c r="F357" s="38" t="s">
        <v>12</v>
      </c>
      <c r="G357" s="38" t="s">
        <v>489</v>
      </c>
      <c r="H357" s="31">
        <v>27788.43</v>
      </c>
      <c r="I357" s="32">
        <v>109</v>
      </c>
      <c r="J357" s="32">
        <v>0</v>
      </c>
      <c r="K357" s="45" t="s">
        <v>743</v>
      </c>
      <c r="M357" s="33" t="str">
        <f t="shared" si="5"/>
        <v/>
      </c>
      <c r="N357" s="34" t="str">
        <f>IFERROR(IF(Tabela1[[#This Row],[Nome fantasia]]="","",_xlfn.XLOOKUP($C357,Log!D:D,Log!B:B,,,-1)),"")</f>
        <v/>
      </c>
      <c r="O357" s="35" t="str">
        <f>IFERROR(_xlfn.XLOOKUP($C357,Log!D:D,Log!W:W,,,-1),"")</f>
        <v/>
      </c>
      <c r="P357" s="35" t="str">
        <f>IFERROR(_xlfn.XLOOKUP($C357,Log!D:D,Log!Y:Y,,,-1),"")</f>
        <v/>
      </c>
      <c r="R357" s="26" t="str">
        <f>IFERROR(IF(Tabela1[[#This Row],[Nome fantasia]]="","",_xlfn.XLOOKUP($C357,Log!D:D,Log!X:X,,,-1)),"")</f>
        <v/>
      </c>
    </row>
    <row r="358" spans="3:18" hidden="1" x14ac:dyDescent="0.2">
      <c r="C358" s="30" t="s">
        <v>697</v>
      </c>
      <c r="D358" s="110" t="s">
        <v>698</v>
      </c>
      <c r="E358" s="33" t="s">
        <v>11</v>
      </c>
      <c r="F358" s="38" t="s">
        <v>18</v>
      </c>
      <c r="G358" s="38" t="s">
        <v>699</v>
      </c>
      <c r="H358" s="31">
        <v>677.7</v>
      </c>
      <c r="I358" s="32">
        <v>187</v>
      </c>
      <c r="J358" s="32">
        <v>0</v>
      </c>
      <c r="K358" s="45" t="s">
        <v>743</v>
      </c>
      <c r="M358" s="33" t="str">
        <f t="shared" si="5"/>
        <v/>
      </c>
      <c r="N358" s="34" t="str">
        <f>IFERROR(IF(Tabela1[[#This Row],[Nome fantasia]]="","",_xlfn.XLOOKUP($C358,Log!D:D,Log!B:B,,,-1)),"")</f>
        <v/>
      </c>
      <c r="O358" s="35" t="str">
        <f>IFERROR(_xlfn.XLOOKUP($C358,Log!D:D,Log!W:W,,,-1),"")</f>
        <v/>
      </c>
      <c r="P358" s="35" t="str">
        <f>IFERROR(_xlfn.XLOOKUP($C358,Log!D:D,Log!Y:Y,,,-1),"")</f>
        <v/>
      </c>
      <c r="R358" s="26" t="str">
        <f>IFERROR(IF(Tabela1[[#This Row],[Nome fantasia]]="","",_xlfn.XLOOKUP($C358,Log!D:D,Log!X:X,,,-1)),"")</f>
        <v/>
      </c>
    </row>
    <row r="359" spans="3:18" hidden="1" x14ac:dyDescent="0.2">
      <c r="C359" s="30" t="s">
        <v>700</v>
      </c>
      <c r="D359" s="110" t="s">
        <v>701</v>
      </c>
      <c r="E359" s="33" t="s">
        <v>52</v>
      </c>
      <c r="F359" s="38" t="s">
        <v>32</v>
      </c>
      <c r="G359" s="38" t="s">
        <v>1168</v>
      </c>
      <c r="H359" s="31">
        <v>1206.1199999999999</v>
      </c>
      <c r="I359" s="32">
        <v>21</v>
      </c>
      <c r="J359" s="32">
        <v>166</v>
      </c>
      <c r="K359" s="45" t="s">
        <v>743</v>
      </c>
      <c r="M359" s="33" t="str">
        <f t="shared" si="5"/>
        <v>Recompra</v>
      </c>
      <c r="N359" s="34" t="str">
        <f>IFERROR(IF(Tabela1[[#This Row],[Nome fantasia]]="","",_xlfn.XLOOKUP($C359,Log!D:D,Log!B:B,,,-1)),"")</f>
        <v/>
      </c>
      <c r="O359" s="35" t="str">
        <f>IFERROR(_xlfn.XLOOKUP($C359,Log!D:D,Log!W:W,,,-1),"")</f>
        <v/>
      </c>
      <c r="P359" s="35" t="str">
        <f>IFERROR(_xlfn.XLOOKUP($C359,Log!D:D,Log!Y:Y,,,-1),"")</f>
        <v/>
      </c>
      <c r="R359" s="26" t="str">
        <f>IFERROR(IF(Tabela1[[#This Row],[Nome fantasia]]="","",_xlfn.XLOOKUP($C359,Log!D:D,Log!X:X,,,-1)),"")</f>
        <v/>
      </c>
    </row>
    <row r="360" spans="3:18" hidden="1" x14ac:dyDescent="0.2">
      <c r="C360" s="30" t="s">
        <v>702</v>
      </c>
      <c r="D360" s="110" t="s">
        <v>703</v>
      </c>
      <c r="E360" s="33" t="s">
        <v>31</v>
      </c>
      <c r="F360" s="38" t="s">
        <v>32</v>
      </c>
      <c r="G360" s="38" t="s">
        <v>699</v>
      </c>
      <c r="H360" s="31">
        <v>2713.86</v>
      </c>
      <c r="I360" s="32">
        <v>187</v>
      </c>
      <c r="J360" s="32">
        <v>0</v>
      </c>
      <c r="K360" s="45" t="s">
        <v>743</v>
      </c>
      <c r="M360" s="33" t="str">
        <f t="shared" si="5"/>
        <v/>
      </c>
      <c r="N360" s="34" t="str">
        <f>IFERROR(IF(Tabela1[[#This Row],[Nome fantasia]]="","",_xlfn.XLOOKUP($C360,Log!D:D,Log!B:B,,,-1)),"")</f>
        <v/>
      </c>
      <c r="O360" s="35" t="str">
        <f>IFERROR(_xlfn.XLOOKUP($C360,Log!D:D,Log!W:W,,,-1),"")</f>
        <v/>
      </c>
      <c r="P360" s="35" t="str">
        <f>IFERROR(_xlfn.XLOOKUP($C360,Log!D:D,Log!Y:Y,,,-1),"")</f>
        <v/>
      </c>
      <c r="R360" s="26" t="str">
        <f>IFERROR(IF(Tabela1[[#This Row],[Nome fantasia]]="","",_xlfn.XLOOKUP($C360,Log!D:D,Log!X:X,,,-1)),"")</f>
        <v/>
      </c>
    </row>
    <row r="361" spans="3:18" hidden="1" x14ac:dyDescent="0.2">
      <c r="C361" s="30" t="s">
        <v>704</v>
      </c>
      <c r="D361" s="110" t="s">
        <v>705</v>
      </c>
      <c r="E361" s="33" t="s">
        <v>46</v>
      </c>
      <c r="F361" s="38" t="s">
        <v>32</v>
      </c>
      <c r="G361" s="38" t="s">
        <v>706</v>
      </c>
      <c r="H361" s="31">
        <v>696.5</v>
      </c>
      <c r="I361" s="32">
        <v>189</v>
      </c>
      <c r="J361" s="32">
        <v>0</v>
      </c>
      <c r="K361" s="45" t="s">
        <v>743</v>
      </c>
      <c r="M361" s="33" t="str">
        <f t="shared" si="5"/>
        <v/>
      </c>
      <c r="N361" s="34" t="str">
        <f>IFERROR(IF(Tabela1[[#This Row],[Nome fantasia]]="","",_xlfn.XLOOKUP($C361,Log!D:D,Log!B:B,,,-1)),"")</f>
        <v/>
      </c>
      <c r="O361" s="35" t="str">
        <f>IFERROR(_xlfn.XLOOKUP($C361,Log!D:D,Log!W:W,,,-1),"")</f>
        <v/>
      </c>
      <c r="P361" s="35" t="str">
        <f>IFERROR(_xlfn.XLOOKUP($C361,Log!D:D,Log!Y:Y,,,-1),"")</f>
        <v/>
      </c>
      <c r="R361" s="26" t="str">
        <f>IFERROR(IF(Tabela1[[#This Row],[Nome fantasia]]="","",_xlfn.XLOOKUP($C361,Log!D:D,Log!X:X,,,-1)),"")</f>
        <v/>
      </c>
    </row>
    <row r="362" spans="3:18" hidden="1" x14ac:dyDescent="0.2">
      <c r="C362" s="30" t="s">
        <v>500</v>
      </c>
      <c r="D362" s="110" t="s">
        <v>501</v>
      </c>
      <c r="E362" s="33" t="s">
        <v>17</v>
      </c>
      <c r="F362" s="38" t="s">
        <v>12</v>
      </c>
      <c r="G362" s="38" t="s">
        <v>502</v>
      </c>
      <c r="H362" s="31">
        <v>681.32</v>
      </c>
      <c r="I362" s="32">
        <v>111</v>
      </c>
      <c r="J362" s="32">
        <v>0</v>
      </c>
      <c r="K362" s="45" t="s">
        <v>743</v>
      </c>
      <c r="M362" s="33" t="str">
        <f t="shared" si="5"/>
        <v/>
      </c>
      <c r="N362" s="34">
        <f>IFERROR(IF(Tabela1[[#This Row],[Nome fantasia]]="","",_xlfn.XLOOKUP($C362,Log!D:D,Log!B:B,,,-1)),"")</f>
        <v>45999</v>
      </c>
      <c r="O362" s="35" t="str">
        <f>IFERROR(_xlfn.XLOOKUP($C362,Log!D:D,Log!W:W,,,-1),"")</f>
        <v>EM ATENDIMENTO</v>
      </c>
      <c r="P362" s="35" t="str">
        <f>IFERROR(_xlfn.XLOOKUP($C362,Log!D:D,Log!Y:Y,,,-1),"")</f>
        <v>NÃO ATENDE, MANDEI MENSAGEM PARA TENTAR PUXAR VENDA</v>
      </c>
      <c r="R362" s="26">
        <f>IFERROR(IF(Tabela1[[#This Row],[Nome fantasia]]="","",_xlfn.XLOOKUP($C362,Log!D:D,Log!X:X,,,-1)),"")</f>
        <v>46001</v>
      </c>
    </row>
    <row r="363" spans="3:18" hidden="1" x14ac:dyDescent="0.2">
      <c r="C363" s="30" t="s">
        <v>709</v>
      </c>
      <c r="D363" s="110" t="s">
        <v>710</v>
      </c>
      <c r="E363" s="33" t="s">
        <v>59</v>
      </c>
      <c r="F363" s="38" t="s">
        <v>18</v>
      </c>
      <c r="G363" s="38" t="s">
        <v>711</v>
      </c>
      <c r="H363" s="31">
        <v>1783.27</v>
      </c>
      <c r="I363" s="32">
        <v>190</v>
      </c>
      <c r="J363" s="32">
        <v>0</v>
      </c>
      <c r="K363" s="45" t="s">
        <v>743</v>
      </c>
      <c r="M363" s="33" t="str">
        <f t="shared" si="5"/>
        <v/>
      </c>
      <c r="N363" s="34" t="str">
        <f>IFERROR(IF(Tabela1[[#This Row],[Nome fantasia]]="","",_xlfn.XLOOKUP($C363,Log!D:D,Log!B:B,,,-1)),"")</f>
        <v/>
      </c>
      <c r="O363" s="35" t="str">
        <f>IFERROR(_xlfn.XLOOKUP($C363,Log!D:D,Log!W:W,,,-1),"")</f>
        <v/>
      </c>
      <c r="P363" s="35" t="str">
        <f>IFERROR(_xlfn.XLOOKUP($C363,Log!D:D,Log!Y:Y,,,-1),"")</f>
        <v/>
      </c>
      <c r="R363" s="26" t="str">
        <f>IFERROR(IF(Tabela1[[#This Row],[Nome fantasia]]="","",_xlfn.XLOOKUP($C363,Log!D:D,Log!X:X,,,-1)),"")</f>
        <v/>
      </c>
    </row>
    <row r="364" spans="3:18" hidden="1" x14ac:dyDescent="0.2">
      <c r="C364" s="30" t="s">
        <v>712</v>
      </c>
      <c r="D364" s="110" t="s">
        <v>713</v>
      </c>
      <c r="E364" s="33" t="s">
        <v>11</v>
      </c>
      <c r="F364" s="38" t="s">
        <v>32</v>
      </c>
      <c r="G364" s="38" t="s">
        <v>711</v>
      </c>
      <c r="H364" s="31">
        <v>1754.42</v>
      </c>
      <c r="I364" s="32">
        <v>190</v>
      </c>
      <c r="J364" s="32">
        <v>0</v>
      </c>
      <c r="K364" s="45" t="s">
        <v>743</v>
      </c>
      <c r="M364" s="33" t="str">
        <f t="shared" si="5"/>
        <v/>
      </c>
      <c r="N364" s="34" t="str">
        <f>IFERROR(IF(Tabela1[[#This Row],[Nome fantasia]]="","",_xlfn.XLOOKUP($C364,Log!D:D,Log!B:B,,,-1)),"")</f>
        <v/>
      </c>
      <c r="O364" s="35" t="str">
        <f>IFERROR(_xlfn.XLOOKUP($C364,Log!D:D,Log!W:W,,,-1),"")</f>
        <v/>
      </c>
      <c r="P364" s="35" t="str">
        <f>IFERROR(_xlfn.XLOOKUP($C364,Log!D:D,Log!Y:Y,,,-1),"")</f>
        <v/>
      </c>
      <c r="R364" s="26" t="str">
        <f>IFERROR(IF(Tabela1[[#This Row],[Nome fantasia]]="","",_xlfn.XLOOKUP($C364,Log!D:D,Log!X:X,,,-1)),"")</f>
        <v/>
      </c>
    </row>
    <row r="365" spans="3:18" hidden="1" x14ac:dyDescent="0.2">
      <c r="C365" s="30" t="s">
        <v>714</v>
      </c>
      <c r="D365" s="110" t="s">
        <v>715</v>
      </c>
      <c r="E365" s="33" t="s">
        <v>31</v>
      </c>
      <c r="F365" s="38" t="s">
        <v>32</v>
      </c>
      <c r="G365" s="38" t="s">
        <v>716</v>
      </c>
      <c r="H365" s="31">
        <v>1108.25</v>
      </c>
      <c r="I365" s="32">
        <v>195</v>
      </c>
      <c r="J365" s="32">
        <v>0</v>
      </c>
      <c r="K365" s="45" t="s">
        <v>743</v>
      </c>
      <c r="M365" s="33" t="str">
        <f t="shared" si="5"/>
        <v/>
      </c>
      <c r="N365" s="34" t="str">
        <f>IFERROR(IF(Tabela1[[#This Row],[Nome fantasia]]="","",_xlfn.XLOOKUP($C365,Log!D:D,Log!B:B,,,-1)),"")</f>
        <v/>
      </c>
      <c r="O365" s="35" t="str">
        <f>IFERROR(_xlfn.XLOOKUP($C365,Log!D:D,Log!W:W,,,-1),"")</f>
        <v/>
      </c>
      <c r="P365" s="35" t="str">
        <f>IFERROR(_xlfn.XLOOKUP($C365,Log!D:D,Log!Y:Y,,,-1),"")</f>
        <v/>
      </c>
      <c r="R365" s="26" t="str">
        <f>IFERROR(IF(Tabela1[[#This Row],[Nome fantasia]]="","",_xlfn.XLOOKUP($C365,Log!D:D,Log!X:X,,,-1)),"")</f>
        <v/>
      </c>
    </row>
    <row r="366" spans="3:18" hidden="1" x14ac:dyDescent="0.2">
      <c r="C366" s="30" t="s">
        <v>717</v>
      </c>
      <c r="D366" s="110" t="s">
        <v>718</v>
      </c>
      <c r="E366" s="33" t="s">
        <v>120</v>
      </c>
      <c r="F366" s="38" t="s">
        <v>32</v>
      </c>
      <c r="G366" s="38" t="s">
        <v>719</v>
      </c>
      <c r="H366" s="31">
        <v>1377.03</v>
      </c>
      <c r="I366" s="32">
        <v>197</v>
      </c>
      <c r="J366" s="32">
        <v>0</v>
      </c>
      <c r="K366" s="45" t="s">
        <v>743</v>
      </c>
      <c r="M366" s="33" t="str">
        <f t="shared" si="5"/>
        <v/>
      </c>
      <c r="N366" s="34" t="str">
        <f>IFERROR(IF(Tabela1[[#This Row],[Nome fantasia]]="","",_xlfn.XLOOKUP($C366,Log!D:D,Log!B:B,,,-1)),"")</f>
        <v/>
      </c>
      <c r="O366" s="35" t="str">
        <f>IFERROR(_xlfn.XLOOKUP($C366,Log!D:D,Log!W:W,,,-1),"")</f>
        <v/>
      </c>
      <c r="P366" s="35" t="str">
        <f>IFERROR(_xlfn.XLOOKUP($C366,Log!D:D,Log!Y:Y,,,-1),"")</f>
        <v/>
      </c>
      <c r="R366" s="26" t="str">
        <f>IFERROR(IF(Tabela1[[#This Row],[Nome fantasia]]="","",_xlfn.XLOOKUP($C366,Log!D:D,Log!X:X,,,-1)),"")</f>
        <v/>
      </c>
    </row>
    <row r="367" spans="3:18" hidden="1" x14ac:dyDescent="0.2">
      <c r="C367" s="30" t="s">
        <v>720</v>
      </c>
      <c r="D367" s="110" t="s">
        <v>721</v>
      </c>
      <c r="E367" s="33" t="s">
        <v>722</v>
      </c>
      <c r="F367" s="38" t="s">
        <v>32</v>
      </c>
      <c r="G367" s="38" t="s">
        <v>723</v>
      </c>
      <c r="H367" s="31">
        <v>1662.66</v>
      </c>
      <c r="I367" s="32">
        <v>201</v>
      </c>
      <c r="J367" s="32">
        <v>0</v>
      </c>
      <c r="K367" s="45" t="s">
        <v>743</v>
      </c>
      <c r="M367" s="33" t="str">
        <f t="shared" si="5"/>
        <v/>
      </c>
      <c r="N367" s="34" t="str">
        <f>IFERROR(IF(Tabela1[[#This Row],[Nome fantasia]]="","",_xlfn.XLOOKUP($C367,Log!D:D,Log!B:B,,,-1)),"")</f>
        <v/>
      </c>
      <c r="O367" s="35" t="str">
        <f>IFERROR(_xlfn.XLOOKUP($C367,Log!D:D,Log!W:W,,,-1),"")</f>
        <v/>
      </c>
      <c r="P367" s="35" t="str">
        <f>IFERROR(_xlfn.XLOOKUP($C367,Log!D:D,Log!Y:Y,,,-1),"")</f>
        <v/>
      </c>
      <c r="R367" s="26" t="str">
        <f>IFERROR(IF(Tabela1[[#This Row],[Nome fantasia]]="","",_xlfn.XLOOKUP($C367,Log!D:D,Log!X:X,,,-1)),"")</f>
        <v/>
      </c>
    </row>
    <row r="368" spans="3:18" hidden="1" x14ac:dyDescent="0.2">
      <c r="C368" s="30" t="s">
        <v>516</v>
      </c>
      <c r="D368" s="110" t="s">
        <v>517</v>
      </c>
      <c r="E368" s="33" t="s">
        <v>46</v>
      </c>
      <c r="F368" s="38" t="s">
        <v>12</v>
      </c>
      <c r="G368" s="38" t="s">
        <v>508</v>
      </c>
      <c r="H368" s="31">
        <v>683.54</v>
      </c>
      <c r="I368" s="32">
        <v>113</v>
      </c>
      <c r="J368" s="32">
        <v>0</v>
      </c>
      <c r="K368" s="45" t="s">
        <v>743</v>
      </c>
      <c r="M368" s="33" t="str">
        <f t="shared" si="5"/>
        <v/>
      </c>
      <c r="N368" s="34">
        <f>IFERROR(IF(Tabela1[[#This Row],[Nome fantasia]]="","",_xlfn.XLOOKUP($C368,Log!D:D,Log!B:B,,,-1)),"")</f>
        <v>46001</v>
      </c>
      <c r="O368" s="35" t="str">
        <f>IFERROR(_xlfn.XLOOKUP($C368,Log!D:D,Log!W:W,,,-1),"")</f>
        <v>FOLLOW UP 15</v>
      </c>
      <c r="P368" s="35" t="str">
        <f>IFERROR(_xlfn.XLOOKUP($C368,Log!D:D,Log!Y:Y,,,-1),"")</f>
        <v>MANDEI WHATSAPP INFORMANDO SOBRE O RECESSO</v>
      </c>
      <c r="R368" s="26">
        <f>IFERROR(IF(Tabela1[[#This Row],[Nome fantasia]]="","",_xlfn.XLOOKUP($C368,Log!D:D,Log!X:X,,,-1)),"")</f>
        <v>46022</v>
      </c>
    </row>
    <row r="369" spans="3:18" hidden="1" x14ac:dyDescent="0.2">
      <c r="C369" s="30" t="s">
        <v>727</v>
      </c>
      <c r="D369" s="110" t="s">
        <v>728</v>
      </c>
      <c r="E369" s="33" t="s">
        <v>59</v>
      </c>
      <c r="F369" s="38" t="s">
        <v>729</v>
      </c>
      <c r="G369" s="38" t="s">
        <v>730</v>
      </c>
      <c r="H369" s="31">
        <v>1391.63</v>
      </c>
      <c r="I369" s="32">
        <v>204</v>
      </c>
      <c r="J369" s="32">
        <v>0</v>
      </c>
      <c r="K369" s="45" t="s">
        <v>743</v>
      </c>
      <c r="M369" s="33" t="str">
        <f t="shared" si="5"/>
        <v/>
      </c>
      <c r="N369" s="34" t="str">
        <f>IFERROR(IF(Tabela1[[#This Row],[Nome fantasia]]="","",_xlfn.XLOOKUP($C369,Log!D:D,Log!B:B,,,-1)),"")</f>
        <v/>
      </c>
      <c r="O369" s="35" t="str">
        <f>IFERROR(_xlfn.XLOOKUP($C369,Log!D:D,Log!W:W,,,-1),"")</f>
        <v/>
      </c>
      <c r="P369" s="35" t="str">
        <f>IFERROR(_xlfn.XLOOKUP($C369,Log!D:D,Log!Y:Y,,,-1),"")</f>
        <v/>
      </c>
      <c r="R369" s="26" t="str">
        <f>IFERROR(IF(Tabela1[[#This Row],[Nome fantasia]]="","",_xlfn.XLOOKUP($C369,Log!D:D,Log!X:X,,,-1)),"")</f>
        <v/>
      </c>
    </row>
    <row r="370" spans="3:18" hidden="1" x14ac:dyDescent="0.2">
      <c r="C370" s="30" t="s">
        <v>731</v>
      </c>
      <c r="D370" s="110" t="s">
        <v>732</v>
      </c>
      <c r="E370" s="33" t="s">
        <v>31</v>
      </c>
      <c r="F370" s="38" t="s">
        <v>32</v>
      </c>
      <c r="G370" s="38" t="s">
        <v>733</v>
      </c>
      <c r="H370" s="31">
        <v>907.56</v>
      </c>
      <c r="I370" s="32">
        <v>208</v>
      </c>
      <c r="J370" s="32">
        <v>0</v>
      </c>
      <c r="K370" s="45" t="s">
        <v>743</v>
      </c>
      <c r="M370" s="33" t="str">
        <f t="shared" si="5"/>
        <v/>
      </c>
      <c r="N370" s="34" t="str">
        <f>IFERROR(IF(Tabela1[[#This Row],[Nome fantasia]]="","",_xlfn.XLOOKUP($C370,Log!D:D,Log!B:B,,,-1)),"")</f>
        <v/>
      </c>
      <c r="O370" s="35" t="str">
        <f>IFERROR(_xlfn.XLOOKUP($C370,Log!D:D,Log!W:W,,,-1),"")</f>
        <v/>
      </c>
      <c r="P370" s="35" t="str">
        <f>IFERROR(_xlfn.XLOOKUP($C370,Log!D:D,Log!Y:Y,,,-1),"")</f>
        <v/>
      </c>
      <c r="R370" s="26" t="str">
        <f>IFERROR(IF(Tabela1[[#This Row],[Nome fantasia]]="","",_xlfn.XLOOKUP($C370,Log!D:D,Log!X:X,,,-1)),"")</f>
        <v/>
      </c>
    </row>
    <row r="371" spans="3:18" hidden="1" x14ac:dyDescent="0.2">
      <c r="C371" s="30" t="s">
        <v>1342</v>
      </c>
      <c r="D371" s="110" t="s">
        <v>1343</v>
      </c>
      <c r="E371" s="33" t="s">
        <v>46</v>
      </c>
      <c r="F371" s="38"/>
      <c r="G371" s="38"/>
      <c r="H371" s="31"/>
      <c r="I371" s="32"/>
      <c r="J371" s="32"/>
      <c r="K371" s="45" t="s">
        <v>888</v>
      </c>
      <c r="M371" s="33" t="str">
        <f t="shared" si="5"/>
        <v/>
      </c>
      <c r="N371" s="34" t="str">
        <f>IFERROR(IF(Tabela1[[#This Row],[Nome fantasia]]="","",_xlfn.XLOOKUP($C371,Log!D:D,Log!B:B,,,-1)),"")</f>
        <v/>
      </c>
      <c r="O371" s="35" t="str">
        <f>IFERROR(_xlfn.XLOOKUP($C371,Log!D:D,Log!W:W,,,-1),"")</f>
        <v/>
      </c>
      <c r="P371" s="35" t="str">
        <f>IFERROR(_xlfn.XLOOKUP($C371,Log!D:D,Log!Y:Y,,,-1),"")</f>
        <v/>
      </c>
      <c r="R371" s="26" t="str">
        <f>IFERROR(IF(Tabela1[[#This Row],[Nome fantasia]]="","",_xlfn.XLOOKUP($C371,Log!D:D,Log!X:X,,,-1)),"")</f>
        <v/>
      </c>
    </row>
    <row r="372" spans="3:18" hidden="1" x14ac:dyDescent="0.2">
      <c r="C372" s="30" t="s">
        <v>1345</v>
      </c>
      <c r="D372" s="110" t="s">
        <v>1320</v>
      </c>
      <c r="E372" s="33" t="s">
        <v>22</v>
      </c>
      <c r="F372" s="38"/>
      <c r="G372" s="38"/>
      <c r="H372" s="31"/>
      <c r="I372" s="32"/>
      <c r="J372" s="32"/>
      <c r="K372" s="45" t="s">
        <v>888</v>
      </c>
      <c r="M372" s="33" t="str">
        <f t="shared" si="5"/>
        <v/>
      </c>
      <c r="N372" s="34" t="str">
        <f>IFERROR(IF(Tabela1[[#This Row],[Nome fantasia]]="","",_xlfn.XLOOKUP($C372,Log!D:D,Log!B:B,,,-1)),"")</f>
        <v/>
      </c>
      <c r="O372" s="35" t="str">
        <f>IFERROR(_xlfn.XLOOKUP($C372,Log!D:D,Log!W:W,,,-1),"")</f>
        <v/>
      </c>
      <c r="P372" s="35" t="str">
        <f>IFERROR(_xlfn.XLOOKUP($C372,Log!D:D,Log!Y:Y,,,-1),"")</f>
        <v/>
      </c>
      <c r="R372" s="26" t="str">
        <f>IFERROR(IF(Tabela1[[#This Row],[Nome fantasia]]="","",_xlfn.XLOOKUP($C372,Log!D:D,Log!X:X,,,-1)),"")</f>
        <v/>
      </c>
    </row>
    <row r="373" spans="3:18" hidden="1" x14ac:dyDescent="0.2">
      <c r="C373" s="30" t="s">
        <v>1346</v>
      </c>
      <c r="D373" s="110" t="s">
        <v>1347</v>
      </c>
      <c r="E373" s="33" t="s">
        <v>46</v>
      </c>
      <c r="F373" s="38"/>
      <c r="G373" s="38"/>
      <c r="H373" s="31"/>
      <c r="I373" s="32"/>
      <c r="J373" s="32"/>
      <c r="K373" s="45" t="s">
        <v>888</v>
      </c>
      <c r="M373" s="33" t="str">
        <f t="shared" si="5"/>
        <v/>
      </c>
      <c r="N373" s="34" t="str">
        <f>IFERROR(IF(Tabela1[[#This Row],[Nome fantasia]]="","",_xlfn.XLOOKUP($C373,Log!D:D,Log!B:B,,,-1)),"")</f>
        <v/>
      </c>
      <c r="O373" s="35" t="str">
        <f>IFERROR(_xlfn.XLOOKUP($C373,Log!D:D,Log!W:W,,,-1),"")</f>
        <v/>
      </c>
      <c r="P373" s="35" t="str">
        <f>IFERROR(_xlfn.XLOOKUP($C373,Log!D:D,Log!Y:Y,,,-1),"")</f>
        <v/>
      </c>
      <c r="R373" s="26" t="str">
        <f>IFERROR(IF(Tabela1[[#This Row],[Nome fantasia]]="","",_xlfn.XLOOKUP($C373,Log!D:D,Log!X:X,,,-1)),"")</f>
        <v/>
      </c>
    </row>
    <row r="374" spans="3:18" hidden="1" x14ac:dyDescent="0.2">
      <c r="C374" s="30" t="s">
        <v>1348</v>
      </c>
      <c r="D374" s="110" t="s">
        <v>1349</v>
      </c>
      <c r="E374" s="33" t="s">
        <v>46</v>
      </c>
      <c r="F374" s="38"/>
      <c r="G374" s="38"/>
      <c r="H374" s="31"/>
      <c r="I374" s="32"/>
      <c r="J374" s="32"/>
      <c r="K374" s="45" t="s">
        <v>888</v>
      </c>
      <c r="M374" s="33" t="str">
        <f t="shared" si="5"/>
        <v/>
      </c>
      <c r="N374" s="34" t="str">
        <f>IFERROR(IF(Tabela1[[#This Row],[Nome fantasia]]="","",_xlfn.XLOOKUP($C374,Log!D:D,Log!B:B,,,-1)),"")</f>
        <v/>
      </c>
      <c r="O374" s="35" t="str">
        <f>IFERROR(_xlfn.XLOOKUP($C374,Log!D:D,Log!W:W,,,-1),"")</f>
        <v/>
      </c>
      <c r="P374" s="35" t="str">
        <f>IFERROR(_xlfn.XLOOKUP($C374,Log!D:D,Log!Y:Y,,,-1),"")</f>
        <v/>
      </c>
      <c r="R374" s="26" t="str">
        <f>IFERROR(IF(Tabela1[[#This Row],[Nome fantasia]]="","",_xlfn.XLOOKUP($C374,Log!D:D,Log!X:X,,,-1)),"")</f>
        <v/>
      </c>
    </row>
    <row r="375" spans="3:18" hidden="1" x14ac:dyDescent="0.2">
      <c r="C375" s="30" t="s">
        <v>1350</v>
      </c>
      <c r="D375" s="110" t="s">
        <v>1351</v>
      </c>
      <c r="E375" s="33" t="s">
        <v>17</v>
      </c>
      <c r="F375" s="38"/>
      <c r="G375" s="38"/>
      <c r="H375" s="31"/>
      <c r="I375" s="32"/>
      <c r="J375" s="32"/>
      <c r="K375" s="45" t="s">
        <v>888</v>
      </c>
      <c r="M375" s="33" t="str">
        <f t="shared" si="5"/>
        <v/>
      </c>
      <c r="N375" s="34" t="str">
        <f>IFERROR(IF(Tabela1[[#This Row],[Nome fantasia]]="","",_xlfn.XLOOKUP($C375,Log!D:D,Log!B:B,,,-1)),"")</f>
        <v/>
      </c>
      <c r="O375" s="35" t="str">
        <f>IFERROR(_xlfn.XLOOKUP($C375,Log!D:D,Log!W:W,,,-1),"")</f>
        <v/>
      </c>
      <c r="P375" s="35" t="str">
        <f>IFERROR(_xlfn.XLOOKUP($C375,Log!D:D,Log!Y:Y,,,-1),"")</f>
        <v/>
      </c>
      <c r="R375" s="26" t="str">
        <f>IFERROR(IF(Tabela1[[#This Row],[Nome fantasia]]="","",_xlfn.XLOOKUP($C375,Log!D:D,Log!X:X,,,-1)),"")</f>
        <v/>
      </c>
    </row>
    <row r="376" spans="3:18" hidden="1" x14ac:dyDescent="0.2">
      <c r="C376" s="30" t="s">
        <v>1352</v>
      </c>
      <c r="D376" s="110" t="s">
        <v>1353</v>
      </c>
      <c r="E376" s="33" t="s">
        <v>22</v>
      </c>
      <c r="F376" s="38"/>
      <c r="G376" s="38"/>
      <c r="H376" s="31"/>
      <c r="I376" s="32"/>
      <c r="J376" s="32"/>
      <c r="K376" s="45" t="s">
        <v>888</v>
      </c>
      <c r="M376" s="33" t="str">
        <f t="shared" si="5"/>
        <v/>
      </c>
      <c r="N376" s="34" t="str">
        <f>IFERROR(IF(Tabela1[[#This Row],[Nome fantasia]]="","",_xlfn.XLOOKUP($C376,Log!D:D,Log!B:B,,,-1)),"")</f>
        <v/>
      </c>
      <c r="O376" s="35" t="str">
        <f>IFERROR(_xlfn.XLOOKUP($C376,Log!D:D,Log!W:W,,,-1),"")</f>
        <v/>
      </c>
      <c r="P376" s="35" t="str">
        <f>IFERROR(_xlfn.XLOOKUP($C376,Log!D:D,Log!Y:Y,,,-1),"")</f>
        <v/>
      </c>
      <c r="R376" s="26" t="str">
        <f>IFERROR(IF(Tabela1[[#This Row],[Nome fantasia]]="","",_xlfn.XLOOKUP($C376,Log!D:D,Log!X:X,,,-1)),"")</f>
        <v/>
      </c>
    </row>
    <row r="377" spans="3:18" hidden="1" x14ac:dyDescent="0.2">
      <c r="C377" s="30" t="s">
        <v>1354</v>
      </c>
      <c r="D377" s="110" t="s">
        <v>1355</v>
      </c>
      <c r="E377" s="33" t="s">
        <v>46</v>
      </c>
      <c r="F377" s="38"/>
      <c r="G377" s="38"/>
      <c r="H377" s="31"/>
      <c r="I377" s="32"/>
      <c r="J377" s="32"/>
      <c r="K377" s="45" t="s">
        <v>888</v>
      </c>
      <c r="M377" s="33" t="str">
        <f t="shared" si="5"/>
        <v/>
      </c>
      <c r="N377" s="34" t="str">
        <f>IFERROR(IF(Tabela1[[#This Row],[Nome fantasia]]="","",_xlfn.XLOOKUP($C377,Log!D:D,Log!B:B,,,-1)),"")</f>
        <v/>
      </c>
      <c r="O377" s="35" t="str">
        <f>IFERROR(_xlfn.XLOOKUP($C377,Log!D:D,Log!W:W,,,-1),"")</f>
        <v/>
      </c>
      <c r="P377" s="35" t="str">
        <f>IFERROR(_xlfn.XLOOKUP($C377,Log!D:D,Log!Y:Y,,,-1),"")</f>
        <v/>
      </c>
      <c r="R377" s="26" t="str">
        <f>IFERROR(IF(Tabela1[[#This Row],[Nome fantasia]]="","",_xlfn.XLOOKUP($C377,Log!D:D,Log!X:X,,,-1)),"")</f>
        <v/>
      </c>
    </row>
    <row r="378" spans="3:18" hidden="1" x14ac:dyDescent="0.2">
      <c r="C378" s="30"/>
      <c r="D378" s="110" t="s">
        <v>1356</v>
      </c>
      <c r="E378" s="33" t="s">
        <v>46</v>
      </c>
      <c r="F378" s="38"/>
      <c r="G378" s="38"/>
      <c r="H378" s="31"/>
      <c r="I378" s="32"/>
      <c r="J378" s="32"/>
      <c r="K378" s="45" t="s">
        <v>888</v>
      </c>
      <c r="M378" s="33" t="str">
        <f t="shared" si="5"/>
        <v/>
      </c>
      <c r="N378" s="34" t="str">
        <f>IFERROR(IF(Tabela1[[#This Row],[Nome fantasia]]="","",_xlfn.XLOOKUP($C378,Log!D:D,Log!B:B,,,-1)),"")</f>
        <v/>
      </c>
      <c r="O378" s="35" t="str">
        <f>IFERROR(_xlfn.XLOOKUP($C378,Log!D:D,Log!W:W,,,-1),"")</f>
        <v/>
      </c>
      <c r="P378" s="35" t="str">
        <f>IFERROR(_xlfn.XLOOKUP($C378,Log!D:D,Log!Y:Y,,,-1),"")</f>
        <v/>
      </c>
      <c r="R378" s="26" t="str">
        <f>IFERROR(IF(Tabela1[[#This Row],[Nome fantasia]]="","",_xlfn.XLOOKUP($C378,Log!D:D,Log!X:X,,,-1)),"")</f>
        <v/>
      </c>
    </row>
    <row r="379" spans="3:18" hidden="1" x14ac:dyDescent="0.2">
      <c r="C379" s="30" t="s">
        <v>1357</v>
      </c>
      <c r="D379" s="110" t="s">
        <v>1358</v>
      </c>
      <c r="E379" s="33" t="s">
        <v>46</v>
      </c>
      <c r="F379" s="38"/>
      <c r="G379" s="38"/>
      <c r="H379" s="31"/>
      <c r="I379" s="32"/>
      <c r="J379" s="32"/>
      <c r="K379" s="45" t="s">
        <v>888</v>
      </c>
      <c r="M379" s="33" t="str">
        <f t="shared" si="5"/>
        <v/>
      </c>
      <c r="N379" s="34" t="str">
        <f>IFERROR(IF(Tabela1[[#This Row],[Nome fantasia]]="","",_xlfn.XLOOKUP($C379,Log!D:D,Log!B:B,,,-1)),"")</f>
        <v/>
      </c>
      <c r="O379" s="35" t="str">
        <f>IFERROR(_xlfn.XLOOKUP($C379,Log!D:D,Log!W:W,,,-1),"")</f>
        <v/>
      </c>
      <c r="P379" s="35" t="str">
        <f>IFERROR(_xlfn.XLOOKUP($C379,Log!D:D,Log!Y:Y,,,-1),"")</f>
        <v/>
      </c>
      <c r="R379" s="26" t="str">
        <f>IFERROR(IF(Tabela1[[#This Row],[Nome fantasia]]="","",_xlfn.XLOOKUP($C379,Log!D:D,Log!X:X,,,-1)),"")</f>
        <v/>
      </c>
    </row>
    <row r="380" spans="3:18" hidden="1" x14ac:dyDescent="0.2">
      <c r="C380" s="30" t="s">
        <v>1359</v>
      </c>
      <c r="D380" s="110" t="s">
        <v>1360</v>
      </c>
      <c r="E380" s="33" t="s">
        <v>22</v>
      </c>
      <c r="F380" s="38"/>
      <c r="G380" s="38"/>
      <c r="H380" s="31"/>
      <c r="I380" s="32"/>
      <c r="J380" s="32"/>
      <c r="K380" s="45" t="s">
        <v>888</v>
      </c>
      <c r="M380" s="33" t="str">
        <f t="shared" si="5"/>
        <v/>
      </c>
      <c r="N380" s="34" t="str">
        <f>IFERROR(IF(Tabela1[[#This Row],[Nome fantasia]]="","",_xlfn.XLOOKUP($C380,Log!D:D,Log!B:B,,,-1)),"")</f>
        <v/>
      </c>
      <c r="O380" s="35" t="str">
        <f>IFERROR(_xlfn.XLOOKUP($C380,Log!D:D,Log!W:W,,,-1),"")</f>
        <v/>
      </c>
      <c r="P380" s="35" t="str">
        <f>IFERROR(_xlfn.XLOOKUP($C380,Log!D:D,Log!Y:Y,,,-1),"")</f>
        <v/>
      </c>
      <c r="R380" s="26" t="str">
        <f>IFERROR(IF(Tabela1[[#This Row],[Nome fantasia]]="","",_xlfn.XLOOKUP($C380,Log!D:D,Log!X:X,,,-1)),"")</f>
        <v/>
      </c>
    </row>
    <row r="381" spans="3:18" hidden="1" x14ac:dyDescent="0.2">
      <c r="C381" s="30" t="s">
        <v>1361</v>
      </c>
      <c r="D381" s="110" t="s">
        <v>1362</v>
      </c>
      <c r="E381" s="33" t="s">
        <v>46</v>
      </c>
      <c r="F381" s="38"/>
      <c r="G381" s="38"/>
      <c r="H381" s="31"/>
      <c r="I381" s="32"/>
      <c r="J381" s="32"/>
      <c r="K381" s="45" t="s">
        <v>888</v>
      </c>
      <c r="M381" s="33" t="str">
        <f t="shared" si="5"/>
        <v/>
      </c>
      <c r="N381" s="34" t="str">
        <f>IFERROR(IF(Tabela1[[#This Row],[Nome fantasia]]="","",_xlfn.XLOOKUP($C381,Log!D:D,Log!B:B,,,-1)),"")</f>
        <v/>
      </c>
      <c r="O381" s="35" t="str">
        <f>IFERROR(_xlfn.XLOOKUP($C381,Log!D:D,Log!W:W,,,-1),"")</f>
        <v/>
      </c>
      <c r="P381" s="35" t="str">
        <f>IFERROR(_xlfn.XLOOKUP($C381,Log!D:D,Log!Y:Y,,,-1),"")</f>
        <v/>
      </c>
      <c r="R381" s="26" t="str">
        <f>IFERROR(IF(Tabela1[[#This Row],[Nome fantasia]]="","",_xlfn.XLOOKUP($C381,Log!D:D,Log!X:X,,,-1)),"")</f>
        <v/>
      </c>
    </row>
    <row r="382" spans="3:18" hidden="1" x14ac:dyDescent="0.2">
      <c r="C382" s="30" t="s">
        <v>1363</v>
      </c>
      <c r="D382" s="110" t="s">
        <v>1364</v>
      </c>
      <c r="E382" s="33" t="s">
        <v>46</v>
      </c>
      <c r="F382" s="38"/>
      <c r="G382" s="38"/>
      <c r="H382" s="31"/>
      <c r="I382" s="32"/>
      <c r="J382" s="32"/>
      <c r="K382" s="45" t="s">
        <v>888</v>
      </c>
      <c r="M382" s="33" t="str">
        <f t="shared" si="5"/>
        <v/>
      </c>
      <c r="N382" s="34" t="str">
        <f>IFERROR(IF(Tabela1[[#This Row],[Nome fantasia]]="","",_xlfn.XLOOKUP($C382,Log!D:D,Log!B:B,,,-1)),"")</f>
        <v/>
      </c>
      <c r="O382" s="35" t="str">
        <f>IFERROR(_xlfn.XLOOKUP($C382,Log!D:D,Log!W:W,,,-1),"")</f>
        <v/>
      </c>
      <c r="P382" s="35" t="str">
        <f>IFERROR(_xlfn.XLOOKUP($C382,Log!D:D,Log!Y:Y,,,-1),"")</f>
        <v/>
      </c>
      <c r="R382" s="26" t="str">
        <f>IFERROR(IF(Tabela1[[#This Row],[Nome fantasia]]="","",_xlfn.XLOOKUP($C382,Log!D:D,Log!X:X,,,-1)),"")</f>
        <v/>
      </c>
    </row>
    <row r="383" spans="3:18" hidden="1" x14ac:dyDescent="0.2">
      <c r="C383" s="30" t="s">
        <v>1365</v>
      </c>
      <c r="D383" s="110" t="s">
        <v>1366</v>
      </c>
      <c r="E383" s="33" t="s">
        <v>46</v>
      </c>
      <c r="F383" s="38"/>
      <c r="G383" s="38"/>
      <c r="H383" s="31"/>
      <c r="I383" s="32"/>
      <c r="J383" s="32"/>
      <c r="K383" s="45" t="s">
        <v>888</v>
      </c>
      <c r="M383" s="33" t="str">
        <f t="shared" si="5"/>
        <v/>
      </c>
      <c r="N383" s="34" t="str">
        <f>IFERROR(IF(Tabela1[[#This Row],[Nome fantasia]]="","",_xlfn.XLOOKUP($C383,Log!D:D,Log!B:B,,,-1)),"")</f>
        <v/>
      </c>
      <c r="O383" s="35" t="str">
        <f>IFERROR(_xlfn.XLOOKUP($C383,Log!D:D,Log!W:W,,,-1),"")</f>
        <v/>
      </c>
      <c r="P383" s="35" t="str">
        <f>IFERROR(_xlfn.XLOOKUP($C383,Log!D:D,Log!Y:Y,,,-1),"")</f>
        <v/>
      </c>
      <c r="R383" s="26" t="str">
        <f>IFERROR(IF(Tabela1[[#This Row],[Nome fantasia]]="","",_xlfn.XLOOKUP($C383,Log!D:D,Log!X:X,,,-1)),"")</f>
        <v/>
      </c>
    </row>
    <row r="384" spans="3:18" hidden="1" x14ac:dyDescent="0.2">
      <c r="C384" s="30" t="s">
        <v>1367</v>
      </c>
      <c r="D384" s="110" t="s">
        <v>1368</v>
      </c>
      <c r="E384" s="33" t="s">
        <v>46</v>
      </c>
      <c r="F384" s="38"/>
      <c r="G384" s="38"/>
      <c r="H384" s="31"/>
      <c r="I384" s="32"/>
      <c r="J384" s="32"/>
      <c r="K384" s="45" t="s">
        <v>888</v>
      </c>
      <c r="M384" s="33" t="str">
        <f t="shared" si="5"/>
        <v/>
      </c>
      <c r="N384" s="34" t="str">
        <f>IFERROR(IF(Tabela1[[#This Row],[Nome fantasia]]="","",_xlfn.XLOOKUP($C384,Log!D:D,Log!B:B,,,-1)),"")</f>
        <v/>
      </c>
      <c r="O384" s="35" t="str">
        <f>IFERROR(_xlfn.XLOOKUP($C384,Log!D:D,Log!W:W,,,-1),"")</f>
        <v/>
      </c>
      <c r="P384" s="35" t="str">
        <f>IFERROR(_xlfn.XLOOKUP($C384,Log!D:D,Log!Y:Y,,,-1),"")</f>
        <v/>
      </c>
      <c r="R384" s="26" t="str">
        <f>IFERROR(IF(Tabela1[[#This Row],[Nome fantasia]]="","",_xlfn.XLOOKUP($C384,Log!D:D,Log!X:X,,,-1)),"")</f>
        <v/>
      </c>
    </row>
    <row r="385" spans="3:18" hidden="1" x14ac:dyDescent="0.2">
      <c r="C385" s="30" t="s">
        <v>1369</v>
      </c>
      <c r="D385" s="110" t="s">
        <v>1370</v>
      </c>
      <c r="E385" s="33" t="s">
        <v>46</v>
      </c>
      <c r="F385" s="38"/>
      <c r="G385" s="38"/>
      <c r="H385" s="31"/>
      <c r="I385" s="32"/>
      <c r="J385" s="32"/>
      <c r="K385" s="45" t="s">
        <v>888</v>
      </c>
      <c r="M385" s="33" t="str">
        <f t="shared" si="5"/>
        <v/>
      </c>
      <c r="N385" s="34" t="str">
        <f>IFERROR(IF(Tabela1[[#This Row],[Nome fantasia]]="","",_xlfn.XLOOKUP($C385,Log!D:D,Log!B:B,,,-1)),"")</f>
        <v/>
      </c>
      <c r="O385" s="35" t="str">
        <f>IFERROR(_xlfn.XLOOKUP($C385,Log!D:D,Log!W:W,,,-1),"")</f>
        <v/>
      </c>
      <c r="P385" s="35" t="str">
        <f>IFERROR(_xlfn.XLOOKUP($C385,Log!D:D,Log!Y:Y,,,-1),"")</f>
        <v/>
      </c>
      <c r="R385" s="26" t="str">
        <f>IFERROR(IF(Tabela1[[#This Row],[Nome fantasia]]="","",_xlfn.XLOOKUP($C385,Log!D:D,Log!X:X,,,-1)),"")</f>
        <v/>
      </c>
    </row>
    <row r="386" spans="3:18" hidden="1" x14ac:dyDescent="0.2">
      <c r="C386" s="30" t="s">
        <v>1371</v>
      </c>
      <c r="D386" s="110" t="s">
        <v>1372</v>
      </c>
      <c r="E386" s="33" t="s">
        <v>46</v>
      </c>
      <c r="F386" s="38"/>
      <c r="G386" s="38"/>
      <c r="H386" s="31"/>
      <c r="I386" s="32"/>
      <c r="J386" s="32"/>
      <c r="K386" s="45" t="s">
        <v>888</v>
      </c>
      <c r="M386" s="33" t="str">
        <f t="shared" si="5"/>
        <v/>
      </c>
      <c r="N386" s="34" t="str">
        <f>IFERROR(IF(Tabela1[[#This Row],[Nome fantasia]]="","",_xlfn.XLOOKUP($C386,Log!D:D,Log!B:B,,,-1)),"")</f>
        <v/>
      </c>
      <c r="O386" s="35" t="str">
        <f>IFERROR(_xlfn.XLOOKUP($C386,Log!D:D,Log!W:W,,,-1),"")</f>
        <v/>
      </c>
      <c r="P386" s="35" t="str">
        <f>IFERROR(_xlfn.XLOOKUP($C386,Log!D:D,Log!Y:Y,,,-1),"")</f>
        <v/>
      </c>
      <c r="R386" s="26" t="str">
        <f>IFERROR(IF(Tabela1[[#This Row],[Nome fantasia]]="","",_xlfn.XLOOKUP($C386,Log!D:D,Log!X:X,,,-1)),"")</f>
        <v/>
      </c>
    </row>
    <row r="387" spans="3:18" hidden="1" x14ac:dyDescent="0.2">
      <c r="C387" s="30" t="s">
        <v>1373</v>
      </c>
      <c r="D387" s="110" t="s">
        <v>1374</v>
      </c>
      <c r="E387" s="33" t="s">
        <v>22</v>
      </c>
      <c r="F387" s="38"/>
      <c r="G387" s="38"/>
      <c r="H387" s="31"/>
      <c r="I387" s="32"/>
      <c r="J387" s="32"/>
      <c r="K387" s="45" t="s">
        <v>888</v>
      </c>
      <c r="M387" s="33" t="str">
        <f t="shared" ref="M387:M450" si="6">IF(OR(J387&lt;=0,J387=""),"","Recompra")</f>
        <v/>
      </c>
      <c r="N387" s="34" t="str">
        <f>IFERROR(IF(Tabela1[[#This Row],[Nome fantasia]]="","",_xlfn.XLOOKUP($C387,Log!D:D,Log!B:B,,,-1)),"")</f>
        <v/>
      </c>
      <c r="O387" s="35" t="str">
        <f>IFERROR(_xlfn.XLOOKUP($C387,Log!D:D,Log!W:W,,,-1),"")</f>
        <v/>
      </c>
      <c r="P387" s="35" t="str">
        <f>IFERROR(_xlfn.XLOOKUP($C387,Log!D:D,Log!Y:Y,,,-1),"")</f>
        <v/>
      </c>
      <c r="R387" s="26" t="str">
        <f>IFERROR(IF(Tabela1[[#This Row],[Nome fantasia]]="","",_xlfn.XLOOKUP($C387,Log!D:D,Log!X:X,,,-1)),"")</f>
        <v/>
      </c>
    </row>
    <row r="388" spans="3:18" hidden="1" x14ac:dyDescent="0.2">
      <c r="C388" s="30" t="s">
        <v>1373</v>
      </c>
      <c r="D388" s="110" t="s">
        <v>1375</v>
      </c>
      <c r="E388" s="33" t="s">
        <v>22</v>
      </c>
      <c r="F388" s="38"/>
      <c r="G388" s="38"/>
      <c r="H388" s="31"/>
      <c r="I388" s="32"/>
      <c r="J388" s="32"/>
      <c r="K388" s="45" t="s">
        <v>888</v>
      </c>
      <c r="M388" s="33" t="str">
        <f t="shared" si="6"/>
        <v/>
      </c>
      <c r="N388" s="34" t="str">
        <f>IFERROR(IF(Tabela1[[#This Row],[Nome fantasia]]="","",_xlfn.XLOOKUP($C388,Log!D:D,Log!B:B,,,-1)),"")</f>
        <v/>
      </c>
      <c r="O388" s="35" t="str">
        <f>IFERROR(_xlfn.XLOOKUP($C388,Log!D:D,Log!W:W,,,-1),"")</f>
        <v/>
      </c>
      <c r="P388" s="35" t="str">
        <f>IFERROR(_xlfn.XLOOKUP($C388,Log!D:D,Log!Y:Y,,,-1),"")</f>
        <v/>
      </c>
      <c r="R388" s="26" t="str">
        <f>IFERROR(IF(Tabela1[[#This Row],[Nome fantasia]]="","",_xlfn.XLOOKUP($C388,Log!D:D,Log!X:X,,,-1)),"")</f>
        <v/>
      </c>
    </row>
    <row r="389" spans="3:18" hidden="1" x14ac:dyDescent="0.2">
      <c r="C389" s="30" t="s">
        <v>1376</v>
      </c>
      <c r="D389" s="110" t="s">
        <v>1377</v>
      </c>
      <c r="E389" s="33" t="s">
        <v>46</v>
      </c>
      <c r="F389" s="38"/>
      <c r="G389" s="38"/>
      <c r="H389" s="31"/>
      <c r="I389" s="32"/>
      <c r="J389" s="32"/>
      <c r="K389" s="45" t="s">
        <v>888</v>
      </c>
      <c r="M389" s="33" t="str">
        <f t="shared" si="6"/>
        <v/>
      </c>
      <c r="N389" s="34" t="str">
        <f>IFERROR(IF(Tabela1[[#This Row],[Nome fantasia]]="","",_xlfn.XLOOKUP($C389,Log!D:D,Log!B:B,,,-1)),"")</f>
        <v/>
      </c>
      <c r="O389" s="35" t="str">
        <f>IFERROR(_xlfn.XLOOKUP($C389,Log!D:D,Log!W:W,,,-1),"")</f>
        <v/>
      </c>
      <c r="P389" s="35" t="str">
        <f>IFERROR(_xlfn.XLOOKUP($C389,Log!D:D,Log!Y:Y,,,-1),"")</f>
        <v/>
      </c>
      <c r="R389" s="26" t="str">
        <f>IFERROR(IF(Tabela1[[#This Row],[Nome fantasia]]="","",_xlfn.XLOOKUP($C389,Log!D:D,Log!X:X,,,-1)),"")</f>
        <v/>
      </c>
    </row>
    <row r="390" spans="3:18" hidden="1" x14ac:dyDescent="0.2">
      <c r="C390" s="30" t="s">
        <v>1378</v>
      </c>
      <c r="D390" s="110" t="s">
        <v>1379</v>
      </c>
      <c r="E390" s="33" t="s">
        <v>46</v>
      </c>
      <c r="F390" s="38"/>
      <c r="G390" s="38"/>
      <c r="H390" s="31"/>
      <c r="I390" s="32"/>
      <c r="J390" s="32"/>
      <c r="K390" s="45" t="s">
        <v>888</v>
      </c>
      <c r="M390" s="33" t="str">
        <f t="shared" si="6"/>
        <v/>
      </c>
      <c r="N390" s="34" t="str">
        <f>IFERROR(IF(Tabela1[[#This Row],[Nome fantasia]]="","",_xlfn.XLOOKUP($C390,Log!D:D,Log!B:B,,,-1)),"")</f>
        <v/>
      </c>
      <c r="O390" s="35" t="str">
        <f>IFERROR(_xlfn.XLOOKUP($C390,Log!D:D,Log!W:W,,,-1),"")</f>
        <v/>
      </c>
      <c r="P390" s="35" t="str">
        <f>IFERROR(_xlfn.XLOOKUP($C390,Log!D:D,Log!Y:Y,,,-1),"")</f>
        <v/>
      </c>
      <c r="R390" s="26" t="str">
        <f>IFERROR(IF(Tabela1[[#This Row],[Nome fantasia]]="","",_xlfn.XLOOKUP($C390,Log!D:D,Log!X:X,,,-1)),"")</f>
        <v/>
      </c>
    </row>
    <row r="391" spans="3:18" hidden="1" x14ac:dyDescent="0.2">
      <c r="C391" s="30" t="s">
        <v>1365</v>
      </c>
      <c r="D391" s="110" t="s">
        <v>1380</v>
      </c>
      <c r="E391" s="33" t="s">
        <v>46</v>
      </c>
      <c r="F391" s="38"/>
      <c r="G391" s="38"/>
      <c r="H391" s="31"/>
      <c r="I391" s="32"/>
      <c r="J391" s="32"/>
      <c r="K391" s="45" t="s">
        <v>888</v>
      </c>
      <c r="M391" s="33" t="str">
        <f t="shared" si="6"/>
        <v/>
      </c>
      <c r="N391" s="34" t="str">
        <f>IFERROR(IF(Tabela1[[#This Row],[Nome fantasia]]="","",_xlfn.XLOOKUP($C391,Log!D:D,Log!B:B,,,-1)),"")</f>
        <v/>
      </c>
      <c r="O391" s="35" t="str">
        <f>IFERROR(_xlfn.XLOOKUP($C391,Log!D:D,Log!W:W,,,-1),"")</f>
        <v/>
      </c>
      <c r="P391" s="35" t="str">
        <f>IFERROR(_xlfn.XLOOKUP($C391,Log!D:D,Log!Y:Y,,,-1),"")</f>
        <v/>
      </c>
      <c r="R391" s="26" t="str">
        <f>IFERROR(IF(Tabela1[[#This Row],[Nome fantasia]]="","",_xlfn.XLOOKUP($C391,Log!D:D,Log!X:X,,,-1)),"")</f>
        <v/>
      </c>
    </row>
    <row r="392" spans="3:18" hidden="1" x14ac:dyDescent="0.2">
      <c r="C392" s="30" t="s">
        <v>1381</v>
      </c>
      <c r="D392" s="110" t="s">
        <v>1382</v>
      </c>
      <c r="E392" s="33" t="s">
        <v>46</v>
      </c>
      <c r="F392" s="38"/>
      <c r="G392" s="38"/>
      <c r="H392" s="31"/>
      <c r="I392" s="32"/>
      <c r="J392" s="32"/>
      <c r="K392" s="45" t="s">
        <v>888</v>
      </c>
      <c r="M392" s="33" t="str">
        <f t="shared" si="6"/>
        <v/>
      </c>
      <c r="N392" s="34" t="str">
        <f>IFERROR(IF(Tabela1[[#This Row],[Nome fantasia]]="","",_xlfn.XLOOKUP($C392,Log!D:D,Log!B:B,,,-1)),"")</f>
        <v/>
      </c>
      <c r="O392" s="35" t="str">
        <f>IFERROR(_xlfn.XLOOKUP($C392,Log!D:D,Log!W:W,,,-1),"")</f>
        <v/>
      </c>
      <c r="P392" s="35" t="str">
        <f>IFERROR(_xlfn.XLOOKUP($C392,Log!D:D,Log!Y:Y,,,-1),"")</f>
        <v/>
      </c>
      <c r="R392" s="26" t="str">
        <f>IFERROR(IF(Tabela1[[#This Row],[Nome fantasia]]="","",_xlfn.XLOOKUP($C392,Log!D:D,Log!X:X,,,-1)),"")</f>
        <v/>
      </c>
    </row>
    <row r="393" spans="3:18" hidden="1" x14ac:dyDescent="0.2">
      <c r="C393" s="30" t="s">
        <v>1365</v>
      </c>
      <c r="D393" s="110" t="s">
        <v>1383</v>
      </c>
      <c r="E393" s="33" t="s">
        <v>46</v>
      </c>
      <c r="F393" s="38"/>
      <c r="G393" s="38"/>
      <c r="H393" s="31"/>
      <c r="I393" s="32"/>
      <c r="J393" s="32"/>
      <c r="K393" s="45" t="s">
        <v>888</v>
      </c>
      <c r="M393" s="33" t="str">
        <f t="shared" si="6"/>
        <v/>
      </c>
      <c r="N393" s="34" t="str">
        <f>IFERROR(IF(Tabela1[[#This Row],[Nome fantasia]]="","",_xlfn.XLOOKUP($C393,Log!D:D,Log!B:B,,,-1)),"")</f>
        <v/>
      </c>
      <c r="O393" s="35" t="str">
        <f>IFERROR(_xlfn.XLOOKUP($C393,Log!D:D,Log!W:W,,,-1),"")</f>
        <v/>
      </c>
      <c r="P393" s="35" t="str">
        <f>IFERROR(_xlfn.XLOOKUP($C393,Log!D:D,Log!Y:Y,,,-1),"")</f>
        <v/>
      </c>
      <c r="R393" s="26" t="str">
        <f>IFERROR(IF(Tabela1[[#This Row],[Nome fantasia]]="","",_xlfn.XLOOKUP($C393,Log!D:D,Log!X:X,,,-1)),"")</f>
        <v/>
      </c>
    </row>
    <row r="394" spans="3:18" hidden="1" x14ac:dyDescent="0.2">
      <c r="C394" s="30" t="s">
        <v>1384</v>
      </c>
      <c r="D394" s="110" t="s">
        <v>1385</v>
      </c>
      <c r="E394" s="33" t="s">
        <v>46</v>
      </c>
      <c r="F394" s="38"/>
      <c r="G394" s="38"/>
      <c r="H394" s="31"/>
      <c r="I394" s="32"/>
      <c r="J394" s="32"/>
      <c r="K394" s="45" t="s">
        <v>888</v>
      </c>
      <c r="M394" s="33" t="str">
        <f t="shared" si="6"/>
        <v/>
      </c>
      <c r="N394" s="34" t="str">
        <f>IFERROR(IF(Tabela1[[#This Row],[Nome fantasia]]="","",_xlfn.XLOOKUP($C394,Log!D:D,Log!B:B,,,-1)),"")</f>
        <v/>
      </c>
      <c r="O394" s="35" t="str">
        <f>IFERROR(_xlfn.XLOOKUP($C394,Log!D:D,Log!W:W,,,-1),"")</f>
        <v/>
      </c>
      <c r="P394" s="35" t="str">
        <f>IFERROR(_xlfn.XLOOKUP($C394,Log!D:D,Log!Y:Y,,,-1),"")</f>
        <v/>
      </c>
      <c r="R394" s="26" t="str">
        <f>IFERROR(IF(Tabela1[[#This Row],[Nome fantasia]]="","",_xlfn.XLOOKUP($C394,Log!D:D,Log!X:X,,,-1)),"")</f>
        <v/>
      </c>
    </row>
    <row r="395" spans="3:18" hidden="1" x14ac:dyDescent="0.2">
      <c r="C395" s="30" t="s">
        <v>1373</v>
      </c>
      <c r="D395" s="110" t="s">
        <v>1386</v>
      </c>
      <c r="E395" s="33" t="s">
        <v>46</v>
      </c>
      <c r="F395" s="38"/>
      <c r="G395" s="38"/>
      <c r="H395" s="31"/>
      <c r="I395" s="32"/>
      <c r="J395" s="32"/>
      <c r="K395" s="45" t="s">
        <v>888</v>
      </c>
      <c r="M395" s="33" t="str">
        <f t="shared" si="6"/>
        <v/>
      </c>
      <c r="N395" s="34" t="str">
        <f>IFERROR(IF(Tabela1[[#This Row],[Nome fantasia]]="","",_xlfn.XLOOKUP($C395,Log!D:D,Log!B:B,,,-1)),"")</f>
        <v/>
      </c>
      <c r="O395" s="35" t="str">
        <f>IFERROR(_xlfn.XLOOKUP($C395,Log!D:D,Log!W:W,,,-1),"")</f>
        <v/>
      </c>
      <c r="P395" s="35" t="str">
        <f>IFERROR(_xlfn.XLOOKUP($C395,Log!D:D,Log!Y:Y,,,-1),"")</f>
        <v/>
      </c>
      <c r="R395" s="26" t="str">
        <f>IFERROR(IF(Tabela1[[#This Row],[Nome fantasia]]="","",_xlfn.XLOOKUP($C395,Log!D:D,Log!X:X,,,-1)),"")</f>
        <v/>
      </c>
    </row>
    <row r="396" spans="3:18" hidden="1" x14ac:dyDescent="0.2">
      <c r="C396" s="30" t="s">
        <v>1387</v>
      </c>
      <c r="D396" s="110" t="s">
        <v>1388</v>
      </c>
      <c r="E396" s="33" t="s">
        <v>46</v>
      </c>
      <c r="F396" s="38"/>
      <c r="G396" s="38"/>
      <c r="H396" s="31"/>
      <c r="I396" s="32"/>
      <c r="J396" s="32"/>
      <c r="K396" s="45" t="s">
        <v>888</v>
      </c>
      <c r="M396" s="33" t="str">
        <f t="shared" si="6"/>
        <v/>
      </c>
      <c r="N396" s="34" t="str">
        <f>IFERROR(IF(Tabela1[[#This Row],[Nome fantasia]]="","",_xlfn.XLOOKUP($C396,Log!D:D,Log!B:B,,,-1)),"")</f>
        <v/>
      </c>
      <c r="O396" s="35" t="str">
        <f>IFERROR(_xlfn.XLOOKUP($C396,Log!D:D,Log!W:W,,,-1),"")</f>
        <v/>
      </c>
      <c r="P396" s="35" t="str">
        <f>IFERROR(_xlfn.XLOOKUP($C396,Log!D:D,Log!Y:Y,,,-1),"")</f>
        <v/>
      </c>
      <c r="R396" s="26" t="str">
        <f>IFERROR(IF(Tabela1[[#This Row],[Nome fantasia]]="","",_xlfn.XLOOKUP($C396,Log!D:D,Log!X:X,,,-1)),"")</f>
        <v/>
      </c>
    </row>
    <row r="397" spans="3:18" hidden="1" x14ac:dyDescent="0.2">
      <c r="C397" s="30" t="s">
        <v>1389</v>
      </c>
      <c r="D397" s="110" t="s">
        <v>1390</v>
      </c>
      <c r="E397" s="33" t="s">
        <v>17</v>
      </c>
      <c r="F397" s="38"/>
      <c r="G397" s="38"/>
      <c r="H397" s="31"/>
      <c r="I397" s="32"/>
      <c r="J397" s="32"/>
      <c r="K397" s="45" t="s">
        <v>888</v>
      </c>
      <c r="M397" s="33" t="str">
        <f t="shared" si="6"/>
        <v/>
      </c>
      <c r="N397" s="34" t="str">
        <f>IFERROR(IF(Tabela1[[#This Row],[Nome fantasia]]="","",_xlfn.XLOOKUP($C397,Log!D:D,Log!B:B,,,-1)),"")</f>
        <v/>
      </c>
      <c r="O397" s="35" t="str">
        <f>IFERROR(_xlfn.XLOOKUP($C397,Log!D:D,Log!W:W,,,-1),"")</f>
        <v/>
      </c>
      <c r="P397" s="35" t="str">
        <f>IFERROR(_xlfn.XLOOKUP($C397,Log!D:D,Log!Y:Y,,,-1),"")</f>
        <v/>
      </c>
      <c r="R397" s="26" t="str">
        <f>IFERROR(IF(Tabela1[[#This Row],[Nome fantasia]]="","",_xlfn.XLOOKUP($C397,Log!D:D,Log!X:X,,,-1)),"")</f>
        <v/>
      </c>
    </row>
    <row r="398" spans="3:18" hidden="1" x14ac:dyDescent="0.2">
      <c r="C398" s="30"/>
      <c r="D398" s="110" t="s">
        <v>1391</v>
      </c>
      <c r="E398" s="33" t="s">
        <v>22</v>
      </c>
      <c r="F398" s="38"/>
      <c r="G398" s="38"/>
      <c r="H398" s="31"/>
      <c r="I398" s="32"/>
      <c r="J398" s="32"/>
      <c r="K398" s="45" t="s">
        <v>888</v>
      </c>
      <c r="M398" s="33" t="str">
        <f t="shared" si="6"/>
        <v/>
      </c>
      <c r="N398" s="34" t="str">
        <f>IFERROR(IF(Tabela1[[#This Row],[Nome fantasia]]="","",_xlfn.XLOOKUP($C398,Log!D:D,Log!B:B,,,-1)),"")</f>
        <v/>
      </c>
      <c r="O398" s="35" t="str">
        <f>IFERROR(_xlfn.XLOOKUP($C398,Log!D:D,Log!W:W,,,-1),"")</f>
        <v/>
      </c>
      <c r="P398" s="35" t="str">
        <f>IFERROR(_xlfn.XLOOKUP($C398,Log!D:D,Log!Y:Y,,,-1),"")</f>
        <v/>
      </c>
      <c r="R398" s="26" t="str">
        <f>IFERROR(IF(Tabela1[[#This Row],[Nome fantasia]]="","",_xlfn.XLOOKUP($C398,Log!D:D,Log!X:X,,,-1)),"")</f>
        <v/>
      </c>
    </row>
    <row r="399" spans="3:18" hidden="1" x14ac:dyDescent="0.2">
      <c r="C399" s="30"/>
      <c r="D399" s="110" t="s">
        <v>1392</v>
      </c>
      <c r="E399" s="33" t="s">
        <v>46</v>
      </c>
      <c r="F399" s="38"/>
      <c r="G399" s="38"/>
      <c r="H399" s="31"/>
      <c r="I399" s="32"/>
      <c r="J399" s="32"/>
      <c r="K399" s="45" t="s">
        <v>888</v>
      </c>
      <c r="M399" s="33" t="str">
        <f t="shared" si="6"/>
        <v/>
      </c>
      <c r="N399" s="34" t="str">
        <f>IFERROR(IF(Tabela1[[#This Row],[Nome fantasia]]="","",_xlfn.XLOOKUP($C399,Log!D:D,Log!B:B,,,-1)),"")</f>
        <v/>
      </c>
      <c r="O399" s="35" t="str">
        <f>IFERROR(_xlfn.XLOOKUP($C399,Log!D:D,Log!W:W,,,-1),"")</f>
        <v/>
      </c>
      <c r="P399" s="35" t="str">
        <f>IFERROR(_xlfn.XLOOKUP($C399,Log!D:D,Log!Y:Y,,,-1),"")</f>
        <v/>
      </c>
      <c r="R399" s="26" t="str">
        <f>IFERROR(IF(Tabela1[[#This Row],[Nome fantasia]]="","",_xlfn.XLOOKUP($C399,Log!D:D,Log!X:X,,,-1)),"")</f>
        <v/>
      </c>
    </row>
    <row r="400" spans="3:18" hidden="1" x14ac:dyDescent="0.2">
      <c r="C400" s="30" t="s">
        <v>1393</v>
      </c>
      <c r="D400" s="110" t="s">
        <v>1394</v>
      </c>
      <c r="E400" s="33" t="s">
        <v>46</v>
      </c>
      <c r="F400" s="38"/>
      <c r="G400" s="38"/>
      <c r="H400" s="31"/>
      <c r="I400" s="32"/>
      <c r="J400" s="32"/>
      <c r="K400" s="45" t="s">
        <v>888</v>
      </c>
      <c r="M400" s="33" t="str">
        <f t="shared" si="6"/>
        <v/>
      </c>
      <c r="N400" s="34" t="str">
        <f>IFERROR(IF(Tabela1[[#This Row],[Nome fantasia]]="","",_xlfn.XLOOKUP($C400,Log!D:D,Log!B:B,,,-1)),"")</f>
        <v/>
      </c>
      <c r="O400" s="35" t="str">
        <f>IFERROR(_xlfn.XLOOKUP($C400,Log!D:D,Log!W:W,,,-1),"")</f>
        <v/>
      </c>
      <c r="P400" s="35" t="str">
        <f>IFERROR(_xlfn.XLOOKUP($C400,Log!D:D,Log!Y:Y,,,-1),"")</f>
        <v/>
      </c>
      <c r="R400" s="26" t="str">
        <f>IFERROR(IF(Tabela1[[#This Row],[Nome fantasia]]="","",_xlfn.XLOOKUP($C400,Log!D:D,Log!X:X,,,-1)),"")</f>
        <v/>
      </c>
    </row>
    <row r="401" spans="3:18" hidden="1" x14ac:dyDescent="0.2">
      <c r="C401" s="30" t="s">
        <v>1395</v>
      </c>
      <c r="D401" s="110" t="s">
        <v>1396</v>
      </c>
      <c r="E401" s="33" t="s">
        <v>46</v>
      </c>
      <c r="F401" s="38"/>
      <c r="G401" s="38"/>
      <c r="H401" s="31"/>
      <c r="I401" s="32"/>
      <c r="J401" s="32"/>
      <c r="K401" s="45" t="s">
        <v>888</v>
      </c>
      <c r="M401" s="33" t="str">
        <f t="shared" si="6"/>
        <v/>
      </c>
      <c r="N401" s="34" t="str">
        <f>IFERROR(IF(Tabela1[[#This Row],[Nome fantasia]]="","",_xlfn.XLOOKUP($C401,Log!D:D,Log!B:B,,,-1)),"")</f>
        <v/>
      </c>
      <c r="O401" s="35" t="str">
        <f>IFERROR(_xlfn.XLOOKUP($C401,Log!D:D,Log!W:W,,,-1),"")</f>
        <v/>
      </c>
      <c r="P401" s="35" t="str">
        <f>IFERROR(_xlfn.XLOOKUP($C401,Log!D:D,Log!Y:Y,,,-1),"")</f>
        <v/>
      </c>
      <c r="R401" s="131" t="str">
        <f>IFERROR(IF(Tabela1[[#This Row],[Nome fantasia]]="","",_xlfn.XLOOKUP($C401,Log!D:D,Log!X:X,,,-1)),"")</f>
        <v/>
      </c>
    </row>
    <row r="402" spans="3:18" hidden="1" x14ac:dyDescent="0.2">
      <c r="C402" s="30" t="s">
        <v>1397</v>
      </c>
      <c r="D402" s="110" t="s">
        <v>1398</v>
      </c>
      <c r="E402" s="33" t="s">
        <v>46</v>
      </c>
      <c r="F402" s="38"/>
      <c r="G402" s="38"/>
      <c r="H402" s="31"/>
      <c r="I402" s="32"/>
      <c r="J402" s="32"/>
      <c r="K402" s="45" t="s">
        <v>888</v>
      </c>
      <c r="M402" s="33" t="str">
        <f t="shared" si="6"/>
        <v/>
      </c>
      <c r="N402" s="34" t="str">
        <f>IFERROR(IF(Tabela1[[#This Row],[Nome fantasia]]="","",_xlfn.XLOOKUP($C402,Log!D:D,Log!B:B,,,-1)),"")</f>
        <v/>
      </c>
      <c r="O402" s="35" t="str">
        <f>IFERROR(_xlfn.XLOOKUP($C402,Log!D:D,Log!W:W,,,-1),"")</f>
        <v/>
      </c>
      <c r="P402" s="35" t="str">
        <f>IFERROR(_xlfn.XLOOKUP($C402,Log!D:D,Log!Y:Y,,,-1),"")</f>
        <v/>
      </c>
      <c r="R402" s="131" t="str">
        <f>IFERROR(IF(Tabela1[[#This Row],[Nome fantasia]]="","",_xlfn.XLOOKUP($C402,Log!D:D,Log!X:X,,,-1)),"")</f>
        <v/>
      </c>
    </row>
    <row r="403" spans="3:18" hidden="1" x14ac:dyDescent="0.2">
      <c r="C403" s="30" t="s">
        <v>1399</v>
      </c>
      <c r="D403" s="110" t="s">
        <v>1400</v>
      </c>
      <c r="E403" s="33" t="s">
        <v>46</v>
      </c>
      <c r="F403" s="38"/>
      <c r="G403" s="38"/>
      <c r="H403" s="31"/>
      <c r="I403" s="32"/>
      <c r="J403" s="32"/>
      <c r="K403" s="45" t="s">
        <v>888</v>
      </c>
      <c r="M403" s="33" t="str">
        <f t="shared" si="6"/>
        <v/>
      </c>
      <c r="N403" s="34" t="str">
        <f>IFERROR(IF(Tabela1[[#This Row],[Nome fantasia]]="","",_xlfn.XLOOKUP($C403,Log!D:D,Log!B:B,,,-1)),"")</f>
        <v/>
      </c>
      <c r="O403" s="35" t="str">
        <f>IFERROR(_xlfn.XLOOKUP($C403,Log!D:D,Log!W:W,,,-1),"")</f>
        <v/>
      </c>
      <c r="P403" s="35" t="str">
        <f>IFERROR(_xlfn.XLOOKUP($C403,Log!D:D,Log!Y:Y,,,-1),"")</f>
        <v/>
      </c>
      <c r="R403" s="131" t="str">
        <f>IFERROR(IF(Tabela1[[#This Row],[Nome fantasia]]="","",_xlfn.XLOOKUP($C403,Log!D:D,Log!X:X,,,-1)),"")</f>
        <v/>
      </c>
    </row>
    <row r="404" spans="3:18" hidden="1" x14ac:dyDescent="0.2">
      <c r="C404" s="30" t="s">
        <v>1401</v>
      </c>
      <c r="D404" s="110" t="s">
        <v>1402</v>
      </c>
      <c r="E404" s="33" t="s">
        <v>22</v>
      </c>
      <c r="F404" s="38"/>
      <c r="G404" s="38"/>
      <c r="H404" s="31"/>
      <c r="I404" s="32"/>
      <c r="J404" s="32"/>
      <c r="K404" s="45" t="s">
        <v>888</v>
      </c>
      <c r="M404" s="33" t="str">
        <f t="shared" si="6"/>
        <v/>
      </c>
      <c r="N404" s="34" t="str">
        <f>IFERROR(IF(Tabela1[[#This Row],[Nome fantasia]]="","",_xlfn.XLOOKUP($C404,Log!D:D,Log!B:B,,,-1)),"")</f>
        <v/>
      </c>
      <c r="O404" s="35" t="str">
        <f>IFERROR(_xlfn.XLOOKUP($C404,Log!D:D,Log!W:W,,,-1),"")</f>
        <v/>
      </c>
      <c r="P404" s="35" t="str">
        <f>IFERROR(_xlfn.XLOOKUP($C404,Log!D:D,Log!Y:Y,,,-1),"")</f>
        <v/>
      </c>
      <c r="R404" s="131" t="str">
        <f>IFERROR(IF(Tabela1[[#This Row],[Nome fantasia]]="","",_xlfn.XLOOKUP($C404,Log!D:D,Log!X:X,,,-1)),"")</f>
        <v/>
      </c>
    </row>
    <row r="405" spans="3:18" hidden="1" x14ac:dyDescent="0.2">
      <c r="C405" s="30" t="s">
        <v>1365</v>
      </c>
      <c r="D405" s="110" t="s">
        <v>1403</v>
      </c>
      <c r="E405" s="33" t="s">
        <v>46</v>
      </c>
      <c r="F405" s="38"/>
      <c r="G405" s="38"/>
      <c r="H405" s="31"/>
      <c r="I405" s="32"/>
      <c r="J405" s="32"/>
      <c r="K405" s="45" t="s">
        <v>888</v>
      </c>
      <c r="M405" s="33" t="str">
        <f t="shared" si="6"/>
        <v/>
      </c>
      <c r="N405" s="34" t="str">
        <f>IFERROR(IF(Tabela1[[#This Row],[Nome fantasia]]="","",_xlfn.XLOOKUP($C405,Log!D:D,Log!B:B,,,-1)),"")</f>
        <v/>
      </c>
      <c r="O405" s="35" t="str">
        <f>IFERROR(_xlfn.XLOOKUP($C405,Log!D:D,Log!W:W,,,-1),"")</f>
        <v/>
      </c>
      <c r="P405" s="35" t="str">
        <f>IFERROR(_xlfn.XLOOKUP($C405,Log!D:D,Log!Y:Y,,,-1),"")</f>
        <v/>
      </c>
      <c r="R405" s="131" t="str">
        <f>IFERROR(IF(Tabela1[[#This Row],[Nome fantasia]]="","",_xlfn.XLOOKUP($C405,Log!D:D,Log!X:X,,,-1)),"")</f>
        <v/>
      </c>
    </row>
    <row r="406" spans="3:18" hidden="1" x14ac:dyDescent="0.2">
      <c r="C406" s="30" t="s">
        <v>1404</v>
      </c>
      <c r="D406" s="110" t="s">
        <v>1405</v>
      </c>
      <c r="E406" s="33" t="s">
        <v>46</v>
      </c>
      <c r="F406" s="38"/>
      <c r="G406" s="38"/>
      <c r="H406" s="31"/>
      <c r="I406" s="32"/>
      <c r="J406" s="32"/>
      <c r="K406" s="45" t="s">
        <v>888</v>
      </c>
      <c r="M406" s="33" t="str">
        <f t="shared" si="6"/>
        <v/>
      </c>
      <c r="N406" s="34" t="str">
        <f>IFERROR(IF(Tabela1[[#This Row],[Nome fantasia]]="","",_xlfn.XLOOKUP($C406,Log!D:D,Log!B:B,,,-1)),"")</f>
        <v/>
      </c>
      <c r="O406" s="35" t="str">
        <f>IFERROR(_xlfn.XLOOKUP($C406,Log!D:D,Log!W:W,,,-1),"")</f>
        <v/>
      </c>
      <c r="P406" s="35" t="str">
        <f>IFERROR(_xlfn.XLOOKUP($C406,Log!D:D,Log!Y:Y,,,-1),"")</f>
        <v/>
      </c>
      <c r="R406" s="131" t="str">
        <f>IFERROR(IF(Tabela1[[#This Row],[Nome fantasia]]="","",_xlfn.XLOOKUP($C406,Log!D:D,Log!X:X,,,-1)),"")</f>
        <v/>
      </c>
    </row>
    <row r="407" spans="3:18" hidden="1" x14ac:dyDescent="0.2">
      <c r="C407" s="30" t="s">
        <v>1406</v>
      </c>
      <c r="D407" s="110" t="s">
        <v>1407</v>
      </c>
      <c r="E407" s="33" t="s">
        <v>46</v>
      </c>
      <c r="F407" s="38"/>
      <c r="G407" s="38"/>
      <c r="H407" s="31"/>
      <c r="I407" s="32"/>
      <c r="J407" s="32"/>
      <c r="K407" s="45" t="s">
        <v>888</v>
      </c>
      <c r="M407" s="33" t="str">
        <f t="shared" si="6"/>
        <v/>
      </c>
      <c r="N407" s="34" t="str">
        <f>IFERROR(IF(Tabela1[[#This Row],[Nome fantasia]]="","",_xlfn.XLOOKUP($C407,Log!D:D,Log!B:B,,,-1)),"")</f>
        <v/>
      </c>
      <c r="O407" s="35" t="str">
        <f>IFERROR(_xlfn.XLOOKUP($C407,Log!D:D,Log!W:W,,,-1),"")</f>
        <v/>
      </c>
      <c r="P407" s="35" t="str">
        <f>IFERROR(_xlfn.XLOOKUP($C407,Log!D:D,Log!Y:Y,,,-1),"")</f>
        <v/>
      </c>
      <c r="R407" s="131" t="str">
        <f>IFERROR(IF(Tabela1[[#This Row],[Nome fantasia]]="","",_xlfn.XLOOKUP($C407,Log!D:D,Log!X:X,,,-1)),"")</f>
        <v/>
      </c>
    </row>
    <row r="408" spans="3:18" hidden="1" x14ac:dyDescent="0.2">
      <c r="C408" s="30" t="s">
        <v>1408</v>
      </c>
      <c r="D408" s="110" t="s">
        <v>1409</v>
      </c>
      <c r="E408" s="33" t="s">
        <v>46</v>
      </c>
      <c r="F408" s="38"/>
      <c r="G408" s="38"/>
      <c r="H408" s="31"/>
      <c r="I408" s="32"/>
      <c r="J408" s="32"/>
      <c r="K408" s="45" t="s">
        <v>888</v>
      </c>
      <c r="M408" s="33" t="str">
        <f t="shared" si="6"/>
        <v/>
      </c>
      <c r="N408" s="34" t="str">
        <f>IFERROR(IF(Tabela1[[#This Row],[Nome fantasia]]="","",_xlfn.XLOOKUP($C408,Log!D:D,Log!B:B,,,-1)),"")</f>
        <v/>
      </c>
      <c r="O408" s="35" t="str">
        <f>IFERROR(_xlfn.XLOOKUP($C408,Log!D:D,Log!W:W,,,-1),"")</f>
        <v/>
      </c>
      <c r="P408" s="35" t="str">
        <f>IFERROR(_xlfn.XLOOKUP($C408,Log!D:D,Log!Y:Y,,,-1),"")</f>
        <v/>
      </c>
      <c r="R408" s="131" t="str">
        <f>IFERROR(IF(Tabela1[[#This Row],[Nome fantasia]]="","",_xlfn.XLOOKUP($C408,Log!D:D,Log!X:X,,,-1)),"")</f>
        <v/>
      </c>
    </row>
    <row r="409" spans="3:18" hidden="1" x14ac:dyDescent="0.2">
      <c r="C409" s="30" t="s">
        <v>1410</v>
      </c>
      <c r="D409" s="110" t="s">
        <v>1411</v>
      </c>
      <c r="E409" s="33" t="s">
        <v>46</v>
      </c>
      <c r="F409" s="38"/>
      <c r="G409" s="38"/>
      <c r="H409" s="31"/>
      <c r="I409" s="32"/>
      <c r="J409" s="32"/>
      <c r="K409" s="45" t="s">
        <v>888</v>
      </c>
      <c r="M409" s="33" t="str">
        <f t="shared" si="6"/>
        <v/>
      </c>
      <c r="N409" s="34" t="str">
        <f>IFERROR(IF(Tabela1[[#This Row],[Nome fantasia]]="","",_xlfn.XLOOKUP($C409,Log!D:D,Log!B:B,,,-1)),"")</f>
        <v/>
      </c>
      <c r="O409" s="35" t="str">
        <f>IFERROR(_xlfn.XLOOKUP($C409,Log!D:D,Log!W:W,,,-1),"")</f>
        <v/>
      </c>
      <c r="P409" s="35" t="str">
        <f>IFERROR(_xlfn.XLOOKUP($C409,Log!D:D,Log!Y:Y,,,-1),"")</f>
        <v/>
      </c>
      <c r="R409" s="131" t="str">
        <f>IFERROR(IF(Tabela1[[#This Row],[Nome fantasia]]="","",_xlfn.XLOOKUP($C409,Log!D:D,Log!X:X,,,-1)),"")</f>
        <v/>
      </c>
    </row>
    <row r="410" spans="3:18" hidden="1" x14ac:dyDescent="0.2">
      <c r="C410" s="30" t="s">
        <v>1412</v>
      </c>
      <c r="D410" s="110" t="s">
        <v>816</v>
      </c>
      <c r="E410" s="33" t="s">
        <v>22</v>
      </c>
      <c r="F410" s="38"/>
      <c r="G410" s="38"/>
      <c r="H410" s="31"/>
      <c r="I410" s="32"/>
      <c r="J410" s="32"/>
      <c r="K410" s="45" t="s">
        <v>888</v>
      </c>
      <c r="M410" s="33" t="str">
        <f t="shared" si="6"/>
        <v/>
      </c>
      <c r="N410" s="34" t="str">
        <f>IFERROR(IF(Tabela1[[#This Row],[Nome fantasia]]="","",_xlfn.XLOOKUP($C410,Log!D:D,Log!B:B,,,-1)),"")</f>
        <v/>
      </c>
      <c r="O410" s="35" t="str">
        <f>IFERROR(_xlfn.XLOOKUP($C410,Log!D:D,Log!W:W,,,-1),"")</f>
        <v/>
      </c>
      <c r="P410" s="35" t="str">
        <f>IFERROR(_xlfn.XLOOKUP($C410,Log!D:D,Log!Y:Y,,,-1),"")</f>
        <v/>
      </c>
      <c r="R410" s="131" t="str">
        <f>IFERROR(IF(Tabela1[[#This Row],[Nome fantasia]]="","",_xlfn.XLOOKUP($C410,Log!D:D,Log!X:X,,,-1)),"")</f>
        <v/>
      </c>
    </row>
    <row r="411" spans="3:18" hidden="1" x14ac:dyDescent="0.2">
      <c r="C411" s="30" t="s">
        <v>1413</v>
      </c>
      <c r="D411" s="110" t="s">
        <v>1414</v>
      </c>
      <c r="E411" s="33" t="s">
        <v>22</v>
      </c>
      <c r="F411" s="38"/>
      <c r="G411" s="38"/>
      <c r="H411" s="31"/>
      <c r="I411" s="32"/>
      <c r="J411" s="32"/>
      <c r="K411" s="45" t="s">
        <v>888</v>
      </c>
      <c r="M411" s="33" t="str">
        <f t="shared" si="6"/>
        <v/>
      </c>
      <c r="N411" s="34" t="str">
        <f>IFERROR(IF(Tabela1[[#This Row],[Nome fantasia]]="","",_xlfn.XLOOKUP($C411,Log!D:D,Log!B:B,,,-1)),"")</f>
        <v/>
      </c>
      <c r="O411" s="35" t="str">
        <f>IFERROR(_xlfn.XLOOKUP($C411,Log!D:D,Log!W:W,,,-1),"")</f>
        <v/>
      </c>
      <c r="P411" s="35" t="str">
        <f>IFERROR(_xlfn.XLOOKUP($C411,Log!D:D,Log!Y:Y,,,-1),"")</f>
        <v/>
      </c>
      <c r="R411" s="131" t="str">
        <f>IFERROR(IF(Tabela1[[#This Row],[Nome fantasia]]="","",_xlfn.XLOOKUP($C411,Log!D:D,Log!X:X,,,-1)),"")</f>
        <v/>
      </c>
    </row>
    <row r="412" spans="3:18" hidden="1" x14ac:dyDescent="0.2">
      <c r="C412" s="30" t="s">
        <v>1415</v>
      </c>
      <c r="D412" s="110" t="s">
        <v>1416</v>
      </c>
      <c r="E412" s="33" t="s">
        <v>17</v>
      </c>
      <c r="F412" s="38"/>
      <c r="G412" s="38"/>
      <c r="H412" s="31"/>
      <c r="I412" s="32"/>
      <c r="J412" s="32"/>
      <c r="K412" s="45" t="s">
        <v>888</v>
      </c>
      <c r="M412" s="33" t="str">
        <f t="shared" si="6"/>
        <v/>
      </c>
      <c r="N412" s="34" t="str">
        <f>IFERROR(IF(Tabela1[[#This Row],[Nome fantasia]]="","",_xlfn.XLOOKUP($C412,Log!D:D,Log!B:B,,,-1)),"")</f>
        <v/>
      </c>
      <c r="O412" s="35" t="str">
        <f>IFERROR(_xlfn.XLOOKUP($C412,Log!D:D,Log!W:W,,,-1),"")</f>
        <v/>
      </c>
      <c r="P412" s="35" t="str">
        <f>IFERROR(_xlfn.XLOOKUP($C412,Log!D:D,Log!Y:Y,,,-1),"")</f>
        <v/>
      </c>
      <c r="R412" s="131" t="str">
        <f>IFERROR(IF(Tabela1[[#This Row],[Nome fantasia]]="","",_xlfn.XLOOKUP($C412,Log!D:D,Log!X:X,,,-1)),"")</f>
        <v/>
      </c>
    </row>
    <row r="413" spans="3:18" hidden="1" x14ac:dyDescent="0.2">
      <c r="C413" s="30" t="s">
        <v>1417</v>
      </c>
      <c r="D413" s="110" t="s">
        <v>1418</v>
      </c>
      <c r="E413" s="33" t="s">
        <v>46</v>
      </c>
      <c r="F413" s="38"/>
      <c r="G413" s="38"/>
      <c r="H413" s="31"/>
      <c r="I413" s="32"/>
      <c r="J413" s="32"/>
      <c r="K413" s="45" t="s">
        <v>888</v>
      </c>
      <c r="M413" s="33" t="str">
        <f t="shared" si="6"/>
        <v/>
      </c>
      <c r="N413" s="34" t="str">
        <f>IFERROR(IF(Tabela1[[#This Row],[Nome fantasia]]="","",_xlfn.XLOOKUP($C413,Log!D:D,Log!B:B,,,-1)),"")</f>
        <v/>
      </c>
      <c r="O413" s="35" t="str">
        <f>IFERROR(_xlfn.XLOOKUP($C413,Log!D:D,Log!W:W,,,-1),"")</f>
        <v/>
      </c>
      <c r="P413" s="35" t="str">
        <f>IFERROR(_xlfn.XLOOKUP($C413,Log!D:D,Log!Y:Y,,,-1),"")</f>
        <v/>
      </c>
      <c r="R413" s="131" t="str">
        <f>IFERROR(IF(Tabela1[[#This Row],[Nome fantasia]]="","",_xlfn.XLOOKUP($C413,Log!D:D,Log!X:X,,,-1)),"")</f>
        <v/>
      </c>
    </row>
    <row r="414" spans="3:18" hidden="1" x14ac:dyDescent="0.2">
      <c r="C414" s="30" t="s">
        <v>1419</v>
      </c>
      <c r="D414" s="110" t="s">
        <v>1420</v>
      </c>
      <c r="E414" s="33" t="s">
        <v>46</v>
      </c>
      <c r="F414" s="38"/>
      <c r="G414" s="38"/>
      <c r="H414" s="31"/>
      <c r="I414" s="32"/>
      <c r="J414" s="32"/>
      <c r="K414" s="45" t="s">
        <v>888</v>
      </c>
      <c r="M414" s="33" t="str">
        <f t="shared" si="6"/>
        <v/>
      </c>
      <c r="N414" s="34" t="str">
        <f>IFERROR(IF(Tabela1[[#This Row],[Nome fantasia]]="","",_xlfn.XLOOKUP($C414,Log!D:D,Log!B:B,,,-1)),"")</f>
        <v/>
      </c>
      <c r="O414" s="35" t="str">
        <f>IFERROR(_xlfn.XLOOKUP($C414,Log!D:D,Log!W:W,,,-1),"")</f>
        <v/>
      </c>
      <c r="P414" s="35" t="str">
        <f>IFERROR(_xlfn.XLOOKUP($C414,Log!D:D,Log!Y:Y,,,-1),"")</f>
        <v/>
      </c>
      <c r="R414" s="131" t="str">
        <f>IFERROR(IF(Tabela1[[#This Row],[Nome fantasia]]="","",_xlfn.XLOOKUP($C414,Log!D:D,Log!X:X,,,-1)),"")</f>
        <v/>
      </c>
    </row>
    <row r="415" spans="3:18" hidden="1" x14ac:dyDescent="0.2">
      <c r="C415" s="30" t="s">
        <v>1421</v>
      </c>
      <c r="D415" s="110" t="s">
        <v>1422</v>
      </c>
      <c r="E415" s="33" t="s">
        <v>17</v>
      </c>
      <c r="F415" s="38"/>
      <c r="G415" s="38"/>
      <c r="H415" s="31"/>
      <c r="I415" s="32"/>
      <c r="J415" s="32"/>
      <c r="K415" s="45" t="s">
        <v>888</v>
      </c>
      <c r="M415" s="33" t="str">
        <f t="shared" si="6"/>
        <v/>
      </c>
      <c r="N415" s="34" t="str">
        <f>IFERROR(IF(Tabela1[[#This Row],[Nome fantasia]]="","",_xlfn.XLOOKUP($C415,Log!D:D,Log!B:B,,,-1)),"")</f>
        <v/>
      </c>
      <c r="O415" s="35" t="str">
        <f>IFERROR(_xlfn.XLOOKUP($C415,Log!D:D,Log!W:W,,,-1),"")</f>
        <v/>
      </c>
      <c r="P415" s="35" t="str">
        <f>IFERROR(_xlfn.XLOOKUP($C415,Log!D:D,Log!Y:Y,,,-1),"")</f>
        <v/>
      </c>
      <c r="R415" s="131" t="str">
        <f>IFERROR(IF(Tabela1[[#This Row],[Nome fantasia]]="","",_xlfn.XLOOKUP($C415,Log!D:D,Log!X:X,,,-1)),"")</f>
        <v/>
      </c>
    </row>
    <row r="416" spans="3:18" hidden="1" x14ac:dyDescent="0.2">
      <c r="C416" s="30" t="s">
        <v>1423</v>
      </c>
      <c r="D416" s="110" t="s">
        <v>1424</v>
      </c>
      <c r="E416" s="33" t="s">
        <v>46</v>
      </c>
      <c r="F416" s="38"/>
      <c r="G416" s="38"/>
      <c r="H416" s="31"/>
      <c r="I416" s="32"/>
      <c r="J416" s="32"/>
      <c r="K416" s="45" t="s">
        <v>888</v>
      </c>
      <c r="M416" s="33" t="str">
        <f t="shared" si="6"/>
        <v/>
      </c>
      <c r="N416" s="34" t="str">
        <f>IFERROR(IF(Tabela1[[#This Row],[Nome fantasia]]="","",_xlfn.XLOOKUP($C416,Log!D:D,Log!B:B,,,-1)),"")</f>
        <v/>
      </c>
      <c r="O416" s="35" t="str">
        <f>IFERROR(_xlfn.XLOOKUP($C416,Log!D:D,Log!W:W,,,-1),"")</f>
        <v/>
      </c>
      <c r="P416" s="35" t="str">
        <f>IFERROR(_xlfn.XLOOKUP($C416,Log!D:D,Log!Y:Y,,,-1),"")</f>
        <v/>
      </c>
      <c r="R416" s="131" t="str">
        <f>IFERROR(IF(Tabela1[[#This Row],[Nome fantasia]]="","",_xlfn.XLOOKUP($C416,Log!D:D,Log!X:X,,,-1)),"")</f>
        <v/>
      </c>
    </row>
    <row r="417" spans="3:18" hidden="1" x14ac:dyDescent="0.2">
      <c r="C417" s="30" t="s">
        <v>1425</v>
      </c>
      <c r="D417" s="110" t="s">
        <v>1426</v>
      </c>
      <c r="E417" s="33" t="s">
        <v>46</v>
      </c>
      <c r="F417" s="38"/>
      <c r="G417" s="38"/>
      <c r="H417" s="31"/>
      <c r="I417" s="32"/>
      <c r="J417" s="32"/>
      <c r="K417" s="45" t="s">
        <v>888</v>
      </c>
      <c r="M417" s="33" t="str">
        <f t="shared" si="6"/>
        <v/>
      </c>
      <c r="N417" s="34" t="str">
        <f>IFERROR(IF(Tabela1[[#This Row],[Nome fantasia]]="","",_xlfn.XLOOKUP($C417,Log!D:D,Log!B:B,,,-1)),"")</f>
        <v/>
      </c>
      <c r="O417" s="35" t="str">
        <f>IFERROR(_xlfn.XLOOKUP($C417,Log!D:D,Log!W:W,,,-1),"")</f>
        <v/>
      </c>
      <c r="P417" s="35" t="str">
        <f>IFERROR(_xlfn.XLOOKUP($C417,Log!D:D,Log!Y:Y,,,-1),"")</f>
        <v/>
      </c>
      <c r="R417" s="131" t="str">
        <f>IFERROR(IF(Tabela1[[#This Row],[Nome fantasia]]="","",_xlfn.XLOOKUP($C417,Log!D:D,Log!X:X,,,-1)),"")</f>
        <v/>
      </c>
    </row>
    <row r="418" spans="3:18" hidden="1" x14ac:dyDescent="0.2">
      <c r="C418" s="30" t="s">
        <v>1427</v>
      </c>
      <c r="D418" s="110" t="s">
        <v>1428</v>
      </c>
      <c r="E418" s="33" t="s">
        <v>17</v>
      </c>
      <c r="F418" s="38"/>
      <c r="G418" s="38"/>
      <c r="H418" s="31"/>
      <c r="I418" s="32"/>
      <c r="J418" s="32"/>
      <c r="K418" s="45" t="s">
        <v>888</v>
      </c>
      <c r="M418" s="33" t="str">
        <f t="shared" si="6"/>
        <v/>
      </c>
      <c r="N418" s="34" t="str">
        <f>IFERROR(IF(Tabela1[[#This Row],[Nome fantasia]]="","",_xlfn.XLOOKUP($C418,Log!D:D,Log!B:B,,,-1)),"")</f>
        <v/>
      </c>
      <c r="O418" s="35" t="str">
        <f>IFERROR(_xlfn.XLOOKUP($C418,Log!D:D,Log!W:W,,,-1),"")</f>
        <v/>
      </c>
      <c r="P418" s="35" t="str">
        <f>IFERROR(_xlfn.XLOOKUP($C418,Log!D:D,Log!Y:Y,,,-1),"")</f>
        <v/>
      </c>
      <c r="R418" s="131" t="str">
        <f>IFERROR(IF(Tabela1[[#This Row],[Nome fantasia]]="","",_xlfn.XLOOKUP($C418,Log!D:D,Log!X:X,,,-1)),"")</f>
        <v/>
      </c>
    </row>
    <row r="419" spans="3:18" hidden="1" x14ac:dyDescent="0.2">
      <c r="C419" s="30" t="s">
        <v>1429</v>
      </c>
      <c r="D419" s="110" t="s">
        <v>1430</v>
      </c>
      <c r="E419" s="33" t="s">
        <v>22</v>
      </c>
      <c r="F419" s="38"/>
      <c r="G419" s="38"/>
      <c r="H419" s="31"/>
      <c r="I419" s="32"/>
      <c r="J419" s="32"/>
      <c r="K419" s="45" t="s">
        <v>888</v>
      </c>
      <c r="M419" s="33" t="str">
        <f t="shared" si="6"/>
        <v/>
      </c>
      <c r="N419" s="34" t="str">
        <f>IFERROR(IF(Tabela1[[#This Row],[Nome fantasia]]="","",_xlfn.XLOOKUP($C419,Log!D:D,Log!B:B,,,-1)),"")</f>
        <v/>
      </c>
      <c r="O419" s="35" t="str">
        <f>IFERROR(_xlfn.XLOOKUP($C419,Log!D:D,Log!W:W,,,-1),"")</f>
        <v/>
      </c>
      <c r="P419" s="35" t="str">
        <f>IFERROR(_xlfn.XLOOKUP($C419,Log!D:D,Log!Y:Y,,,-1),"")</f>
        <v/>
      </c>
      <c r="R419" s="131" t="str">
        <f>IFERROR(IF(Tabela1[[#This Row],[Nome fantasia]]="","",_xlfn.XLOOKUP($C419,Log!D:D,Log!X:X,,,-1)),"")</f>
        <v/>
      </c>
    </row>
    <row r="420" spans="3:18" hidden="1" x14ac:dyDescent="0.2">
      <c r="C420" s="30" t="s">
        <v>1431</v>
      </c>
      <c r="D420" s="110" t="s">
        <v>1432</v>
      </c>
      <c r="E420" s="33" t="s">
        <v>22</v>
      </c>
      <c r="F420" s="38"/>
      <c r="G420" s="38"/>
      <c r="H420" s="31"/>
      <c r="I420" s="32"/>
      <c r="J420" s="32"/>
      <c r="K420" s="45" t="s">
        <v>888</v>
      </c>
      <c r="M420" s="33" t="str">
        <f t="shared" si="6"/>
        <v/>
      </c>
      <c r="N420" s="34" t="str">
        <f>IFERROR(IF(Tabela1[[#This Row],[Nome fantasia]]="","",_xlfn.XLOOKUP($C420,Log!D:D,Log!B:B,,,-1)),"")</f>
        <v/>
      </c>
      <c r="O420" s="35" t="str">
        <f>IFERROR(_xlfn.XLOOKUP($C420,Log!D:D,Log!W:W,,,-1),"")</f>
        <v/>
      </c>
      <c r="P420" s="35" t="str">
        <f>IFERROR(_xlfn.XLOOKUP($C420,Log!D:D,Log!Y:Y,,,-1),"")</f>
        <v/>
      </c>
      <c r="R420" s="131" t="str">
        <f>IFERROR(IF(Tabela1[[#This Row],[Nome fantasia]]="","",_xlfn.XLOOKUP($C420,Log!D:D,Log!X:X,,,-1)),"")</f>
        <v/>
      </c>
    </row>
    <row r="421" spans="3:18" hidden="1" x14ac:dyDescent="0.2">
      <c r="C421" s="30" t="s">
        <v>1433</v>
      </c>
      <c r="D421" s="110" t="s">
        <v>1434</v>
      </c>
      <c r="E421" s="33" t="s">
        <v>22</v>
      </c>
      <c r="F421" s="38"/>
      <c r="G421" s="38"/>
      <c r="H421" s="31"/>
      <c r="I421" s="32"/>
      <c r="J421" s="32"/>
      <c r="K421" s="45" t="s">
        <v>888</v>
      </c>
      <c r="M421" s="33" t="str">
        <f t="shared" si="6"/>
        <v/>
      </c>
      <c r="N421" s="34" t="str">
        <f>IFERROR(IF(Tabela1[[#This Row],[Nome fantasia]]="","",_xlfn.XLOOKUP($C421,Log!D:D,Log!B:B,,,-1)),"")</f>
        <v/>
      </c>
      <c r="O421" s="35" t="str">
        <f>IFERROR(_xlfn.XLOOKUP($C421,Log!D:D,Log!W:W,,,-1),"")</f>
        <v/>
      </c>
      <c r="P421" s="35" t="str">
        <f>IFERROR(_xlfn.XLOOKUP($C421,Log!D:D,Log!Y:Y,,,-1),"")</f>
        <v/>
      </c>
      <c r="R421" s="131" t="str">
        <f>IFERROR(IF(Tabela1[[#This Row],[Nome fantasia]]="","",_xlfn.XLOOKUP($C421,Log!D:D,Log!X:X,,,-1)),"")</f>
        <v/>
      </c>
    </row>
    <row r="422" spans="3:18" hidden="1" x14ac:dyDescent="0.2">
      <c r="C422" s="30" t="s">
        <v>1435</v>
      </c>
      <c r="D422" s="110" t="s">
        <v>1436</v>
      </c>
      <c r="E422" s="33" t="s">
        <v>46</v>
      </c>
      <c r="F422" s="38"/>
      <c r="G422" s="38"/>
      <c r="H422" s="31"/>
      <c r="I422" s="32"/>
      <c r="J422" s="32"/>
      <c r="K422" s="45" t="s">
        <v>888</v>
      </c>
      <c r="M422" s="33" t="str">
        <f t="shared" si="6"/>
        <v/>
      </c>
      <c r="N422" s="34" t="str">
        <f>IFERROR(IF(Tabela1[[#This Row],[Nome fantasia]]="","",_xlfn.XLOOKUP($C422,Log!D:D,Log!B:B,,,-1)),"")</f>
        <v/>
      </c>
      <c r="O422" s="35" t="str">
        <f>IFERROR(_xlfn.XLOOKUP($C422,Log!D:D,Log!W:W,,,-1),"")</f>
        <v/>
      </c>
      <c r="P422" s="35" t="str">
        <f>IFERROR(_xlfn.XLOOKUP($C422,Log!D:D,Log!Y:Y,,,-1),"")</f>
        <v/>
      </c>
      <c r="R422" s="131" t="str">
        <f>IFERROR(IF(Tabela1[[#This Row],[Nome fantasia]]="","",_xlfn.XLOOKUP($C422,Log!D:D,Log!X:X,,,-1)),"")</f>
        <v/>
      </c>
    </row>
    <row r="423" spans="3:18" hidden="1" x14ac:dyDescent="0.2">
      <c r="C423" s="30" t="s">
        <v>1437</v>
      </c>
      <c r="D423" s="110" t="s">
        <v>1438</v>
      </c>
      <c r="E423" s="33" t="s">
        <v>46</v>
      </c>
      <c r="F423" s="38"/>
      <c r="G423" s="38"/>
      <c r="H423" s="31"/>
      <c r="I423" s="32"/>
      <c r="J423" s="32"/>
      <c r="K423" s="45" t="s">
        <v>888</v>
      </c>
      <c r="M423" s="33" t="str">
        <f t="shared" si="6"/>
        <v/>
      </c>
      <c r="N423" s="34">
        <f>IFERROR(IF(Tabela1[[#This Row],[Nome fantasia]]="","",_xlfn.XLOOKUP($C423,Log!D:D,Log!B:B,,,-1)),"")</f>
        <v>45994</v>
      </c>
      <c r="O423" s="35" t="str">
        <f>IFERROR(_xlfn.XLOOKUP($C423,Log!D:D,Log!W:W,,,-1),"")</f>
        <v>EM ATENDIMENTO</v>
      </c>
      <c r="P423" s="35" t="str">
        <f>IFERROR(_xlfn.XLOOKUP($C423,Log!D:D,Log!Y:Y,,,-1),"")</f>
        <v>NÃO ATENDEM EM NENHUM CONTATO</v>
      </c>
      <c r="R423" s="131">
        <f>IFERROR(IF(Tabela1[[#This Row],[Nome fantasia]]="","",_xlfn.XLOOKUP($C423,Log!D:D,Log!X:X,,,-1)),"")</f>
        <v>45996</v>
      </c>
    </row>
    <row r="424" spans="3:18" hidden="1" x14ac:dyDescent="0.2">
      <c r="C424" s="30" t="s">
        <v>1439</v>
      </c>
      <c r="D424" s="110" t="s">
        <v>1440</v>
      </c>
      <c r="E424" s="33" t="s">
        <v>46</v>
      </c>
      <c r="F424" s="38"/>
      <c r="G424" s="38"/>
      <c r="H424" s="31"/>
      <c r="I424" s="32"/>
      <c r="J424" s="32"/>
      <c r="K424" s="45" t="s">
        <v>888</v>
      </c>
      <c r="M424" s="33" t="str">
        <f t="shared" si="6"/>
        <v/>
      </c>
      <c r="N424" s="34" t="str">
        <f>IFERROR(IF(Tabela1[[#This Row],[Nome fantasia]]="","",_xlfn.XLOOKUP($C424,Log!D:D,Log!B:B,,,-1)),"")</f>
        <v/>
      </c>
      <c r="O424" s="35" t="str">
        <f>IFERROR(_xlfn.XLOOKUP($C424,Log!D:D,Log!W:W,,,-1),"")</f>
        <v/>
      </c>
      <c r="P424" s="35" t="str">
        <f>IFERROR(_xlfn.XLOOKUP($C424,Log!D:D,Log!Y:Y,,,-1),"")</f>
        <v/>
      </c>
      <c r="R424" s="131" t="str">
        <f>IFERROR(IF(Tabela1[[#This Row],[Nome fantasia]]="","",_xlfn.XLOOKUP($C424,Log!D:D,Log!X:X,,,-1)),"")</f>
        <v/>
      </c>
    </row>
    <row r="425" spans="3:18" hidden="1" x14ac:dyDescent="0.2">
      <c r="C425" s="30" t="s">
        <v>1441</v>
      </c>
      <c r="D425" s="110" t="s">
        <v>1442</v>
      </c>
      <c r="E425" s="33" t="s">
        <v>46</v>
      </c>
      <c r="F425" s="38"/>
      <c r="G425" s="38"/>
      <c r="H425" s="31"/>
      <c r="I425" s="32"/>
      <c r="J425" s="32"/>
      <c r="K425" s="45" t="s">
        <v>888</v>
      </c>
      <c r="M425" s="33" t="str">
        <f t="shared" si="6"/>
        <v/>
      </c>
      <c r="N425" s="34">
        <f>IFERROR(IF(Tabela1[[#This Row],[Nome fantasia]]="","",_xlfn.XLOOKUP($C425,Log!D:D,Log!B:B,,,-1)),"")</f>
        <v>45999</v>
      </c>
      <c r="O425" s="35" t="str">
        <f>IFERROR(_xlfn.XLOOKUP($C425,Log!D:D,Log!W:W,,,-1),"")</f>
        <v>EM ATENDIMENTO</v>
      </c>
      <c r="P425" s="35" t="str">
        <f>IFERROR(_xlfn.XLOOKUP($C425,Log!D:D,Log!Y:Y,,,-1),"")</f>
        <v>CLIENTE POSSIVELMENTE FECHOU, LIGUEI 2X, NAO ATENDEU</v>
      </c>
      <c r="R425" s="131">
        <f>IFERROR(IF(Tabela1[[#This Row],[Nome fantasia]]="","",_xlfn.XLOOKUP($C425,Log!D:D,Log!X:X,,,-1)),"")</f>
        <v>46001</v>
      </c>
    </row>
    <row r="426" spans="3:18" hidden="1" x14ac:dyDescent="0.2">
      <c r="C426" s="30" t="s">
        <v>1443</v>
      </c>
      <c r="D426" s="110" t="s">
        <v>1444</v>
      </c>
      <c r="E426" s="33" t="s">
        <v>22</v>
      </c>
      <c r="F426" s="38"/>
      <c r="G426" s="38"/>
      <c r="H426" s="31"/>
      <c r="I426" s="32"/>
      <c r="J426" s="32"/>
      <c r="K426" s="45" t="s">
        <v>888</v>
      </c>
      <c r="M426" s="33" t="str">
        <f t="shared" si="6"/>
        <v/>
      </c>
      <c r="N426" s="34" t="str">
        <f>IFERROR(IF(Tabela1[[#This Row],[Nome fantasia]]="","",_xlfn.XLOOKUP($C426,Log!D:D,Log!B:B,,,-1)),"")</f>
        <v/>
      </c>
      <c r="O426" s="35" t="str">
        <f>IFERROR(_xlfn.XLOOKUP($C426,Log!D:D,Log!W:W,,,-1),"")</f>
        <v/>
      </c>
      <c r="P426" s="35" t="str">
        <f>IFERROR(_xlfn.XLOOKUP($C426,Log!D:D,Log!Y:Y,,,-1),"")</f>
        <v/>
      </c>
      <c r="R426" s="131" t="str">
        <f>IFERROR(IF(Tabela1[[#This Row],[Nome fantasia]]="","",_xlfn.XLOOKUP($C426,Log!D:D,Log!X:X,,,-1)),"")</f>
        <v/>
      </c>
    </row>
    <row r="427" spans="3:18" hidden="1" x14ac:dyDescent="0.2">
      <c r="C427" s="30" t="s">
        <v>1445</v>
      </c>
      <c r="D427" s="110" t="s">
        <v>1285</v>
      </c>
      <c r="E427" s="33" t="s">
        <v>22</v>
      </c>
      <c r="F427" s="38"/>
      <c r="G427" s="38"/>
      <c r="H427" s="31"/>
      <c r="I427" s="32"/>
      <c r="J427" s="32"/>
      <c r="K427" s="45" t="s">
        <v>888</v>
      </c>
      <c r="M427" s="33" t="str">
        <f t="shared" si="6"/>
        <v/>
      </c>
      <c r="N427" s="34" t="str">
        <f>IFERROR(IF(Tabela1[[#This Row],[Nome fantasia]]="","",_xlfn.XLOOKUP($C427,Log!D:D,Log!B:B,,,-1)),"")</f>
        <v/>
      </c>
      <c r="O427" s="35" t="str">
        <f>IFERROR(_xlfn.XLOOKUP($C427,Log!D:D,Log!W:W,,,-1),"")</f>
        <v/>
      </c>
      <c r="P427" s="35" t="str">
        <f>IFERROR(_xlfn.XLOOKUP($C427,Log!D:D,Log!Y:Y,,,-1),"")</f>
        <v/>
      </c>
      <c r="R427" s="131" t="str">
        <f>IFERROR(IF(Tabela1[[#This Row],[Nome fantasia]]="","",_xlfn.XLOOKUP($C427,Log!D:D,Log!X:X,,,-1)),"")</f>
        <v/>
      </c>
    </row>
    <row r="428" spans="3:18" hidden="1" x14ac:dyDescent="0.2">
      <c r="C428" s="30" t="s">
        <v>1446</v>
      </c>
      <c r="D428" s="110" t="s">
        <v>1447</v>
      </c>
      <c r="E428" s="33" t="s">
        <v>46</v>
      </c>
      <c r="F428" s="38"/>
      <c r="G428" s="38"/>
      <c r="H428" s="31"/>
      <c r="I428" s="32"/>
      <c r="J428" s="32"/>
      <c r="K428" s="45" t="s">
        <v>888</v>
      </c>
      <c r="M428" s="33" t="str">
        <f t="shared" si="6"/>
        <v/>
      </c>
      <c r="N428" s="34" t="str">
        <f>IFERROR(IF(Tabela1[[#This Row],[Nome fantasia]]="","",_xlfn.XLOOKUP($C428,Log!D:D,Log!B:B,,,-1)),"")</f>
        <v/>
      </c>
      <c r="O428" s="35" t="str">
        <f>IFERROR(_xlfn.XLOOKUP($C428,Log!D:D,Log!W:W,,,-1),"")</f>
        <v/>
      </c>
      <c r="P428" s="35" t="str">
        <f>IFERROR(_xlfn.XLOOKUP($C428,Log!D:D,Log!Y:Y,,,-1),"")</f>
        <v/>
      </c>
      <c r="R428" s="131" t="str">
        <f>IFERROR(IF(Tabela1[[#This Row],[Nome fantasia]]="","",_xlfn.XLOOKUP($C428,Log!D:D,Log!X:X,,,-1)),"")</f>
        <v/>
      </c>
    </row>
    <row r="429" spans="3:18" hidden="1" x14ac:dyDescent="0.2">
      <c r="C429" s="30" t="s">
        <v>1448</v>
      </c>
      <c r="D429" s="110" t="s">
        <v>1243</v>
      </c>
      <c r="E429" s="33" t="s">
        <v>22</v>
      </c>
      <c r="F429" s="38"/>
      <c r="G429" s="38"/>
      <c r="H429" s="31"/>
      <c r="I429" s="32"/>
      <c r="J429" s="32"/>
      <c r="K429" s="45" t="s">
        <v>888</v>
      </c>
      <c r="M429" s="33" t="str">
        <f t="shared" si="6"/>
        <v/>
      </c>
      <c r="N429" s="34" t="str">
        <f>IFERROR(IF(Tabela1[[#This Row],[Nome fantasia]]="","",_xlfn.XLOOKUP($C429,Log!D:D,Log!B:B,,,-1)),"")</f>
        <v/>
      </c>
      <c r="O429" s="35" t="str">
        <f>IFERROR(_xlfn.XLOOKUP($C429,Log!D:D,Log!W:W,,,-1),"")</f>
        <v/>
      </c>
      <c r="P429" s="35" t="str">
        <f>IFERROR(_xlfn.XLOOKUP($C429,Log!D:D,Log!Y:Y,,,-1),"")</f>
        <v/>
      </c>
      <c r="R429" s="131" t="str">
        <f>IFERROR(IF(Tabela1[[#This Row],[Nome fantasia]]="","",_xlfn.XLOOKUP($C429,Log!D:D,Log!X:X,,,-1)),"")</f>
        <v/>
      </c>
    </row>
    <row r="430" spans="3:18" hidden="1" x14ac:dyDescent="0.2">
      <c r="C430" s="30" t="s">
        <v>1449</v>
      </c>
      <c r="D430" s="110" t="s">
        <v>1450</v>
      </c>
      <c r="E430" s="33" t="s">
        <v>17</v>
      </c>
      <c r="F430" s="38"/>
      <c r="G430" s="38"/>
      <c r="H430" s="31"/>
      <c r="I430" s="32"/>
      <c r="J430" s="32"/>
      <c r="K430" s="45" t="s">
        <v>888</v>
      </c>
      <c r="M430" s="33" t="str">
        <f t="shared" si="6"/>
        <v/>
      </c>
      <c r="N430" s="34" t="str">
        <f>IFERROR(IF(Tabela1[[#This Row],[Nome fantasia]]="","",_xlfn.XLOOKUP($C430,Log!D:D,Log!B:B,,,-1)),"")</f>
        <v/>
      </c>
      <c r="O430" s="35" t="str">
        <f>IFERROR(_xlfn.XLOOKUP($C430,Log!D:D,Log!W:W,,,-1),"")</f>
        <v/>
      </c>
      <c r="P430" s="35" t="str">
        <f>IFERROR(_xlfn.XLOOKUP($C430,Log!D:D,Log!Y:Y,,,-1),"")</f>
        <v/>
      </c>
      <c r="R430" s="131" t="str">
        <f>IFERROR(IF(Tabela1[[#This Row],[Nome fantasia]]="","",_xlfn.XLOOKUP($C430,Log!D:D,Log!X:X,,,-1)),"")</f>
        <v/>
      </c>
    </row>
    <row r="431" spans="3:18" hidden="1" x14ac:dyDescent="0.2">
      <c r="C431" s="30" t="s">
        <v>1451</v>
      </c>
      <c r="D431" s="110" t="s">
        <v>1452</v>
      </c>
      <c r="E431" s="33" t="s">
        <v>17</v>
      </c>
      <c r="F431" s="38"/>
      <c r="G431" s="38"/>
      <c r="H431" s="31"/>
      <c r="I431" s="32"/>
      <c r="J431" s="32"/>
      <c r="K431" s="45" t="s">
        <v>888</v>
      </c>
      <c r="M431" s="33" t="str">
        <f t="shared" si="6"/>
        <v/>
      </c>
      <c r="N431" s="34" t="str">
        <f>IFERROR(IF(Tabela1[[#This Row],[Nome fantasia]]="","",_xlfn.XLOOKUP($C431,Log!D:D,Log!B:B,,,-1)),"")</f>
        <v/>
      </c>
      <c r="O431" s="35" t="str">
        <f>IFERROR(_xlfn.XLOOKUP($C431,Log!D:D,Log!W:W,,,-1),"")</f>
        <v/>
      </c>
      <c r="P431" s="35" t="str">
        <f>IFERROR(_xlfn.XLOOKUP($C431,Log!D:D,Log!Y:Y,,,-1),"")</f>
        <v/>
      </c>
      <c r="R431" s="131" t="str">
        <f>IFERROR(IF(Tabela1[[#This Row],[Nome fantasia]]="","",_xlfn.XLOOKUP($C431,Log!D:D,Log!X:X,,,-1)),"")</f>
        <v/>
      </c>
    </row>
    <row r="432" spans="3:18" hidden="1" x14ac:dyDescent="0.2">
      <c r="C432" s="30" t="s">
        <v>1453</v>
      </c>
      <c r="D432" s="110" t="s">
        <v>1454</v>
      </c>
      <c r="E432" s="33" t="s">
        <v>46</v>
      </c>
      <c r="F432" s="38"/>
      <c r="G432" s="38"/>
      <c r="H432" s="31"/>
      <c r="I432" s="32"/>
      <c r="J432" s="32"/>
      <c r="K432" s="45" t="s">
        <v>888</v>
      </c>
      <c r="M432" s="33" t="str">
        <f t="shared" si="6"/>
        <v/>
      </c>
      <c r="N432" s="34" t="str">
        <f>IFERROR(IF(Tabela1[[#This Row],[Nome fantasia]]="","",_xlfn.XLOOKUP($C432,Log!D:D,Log!B:B,,,-1)),"")</f>
        <v/>
      </c>
      <c r="O432" s="35" t="str">
        <f>IFERROR(_xlfn.XLOOKUP($C432,Log!D:D,Log!W:W,,,-1),"")</f>
        <v/>
      </c>
      <c r="P432" s="35" t="str">
        <f>IFERROR(_xlfn.XLOOKUP($C432,Log!D:D,Log!Y:Y,,,-1),"")</f>
        <v/>
      </c>
      <c r="R432" s="131" t="str">
        <f>IFERROR(IF(Tabela1[[#This Row],[Nome fantasia]]="","",_xlfn.XLOOKUP($C432,Log!D:D,Log!X:X,,,-1)),"")</f>
        <v/>
      </c>
    </row>
    <row r="433" spans="3:18" hidden="1" x14ac:dyDescent="0.2">
      <c r="C433" s="30" t="s">
        <v>1455</v>
      </c>
      <c r="D433" s="110" t="s">
        <v>1456</v>
      </c>
      <c r="E433" s="33" t="s">
        <v>46</v>
      </c>
      <c r="F433" s="38"/>
      <c r="G433" s="38"/>
      <c r="H433" s="31"/>
      <c r="I433" s="32"/>
      <c r="J433" s="32"/>
      <c r="K433" s="45" t="s">
        <v>888</v>
      </c>
      <c r="M433" s="33" t="str">
        <f t="shared" si="6"/>
        <v/>
      </c>
      <c r="N433" s="34" t="str">
        <f>IFERROR(IF(Tabela1[[#This Row],[Nome fantasia]]="","",_xlfn.XLOOKUP($C433,Log!D:D,Log!B:B,,,-1)),"")</f>
        <v/>
      </c>
      <c r="O433" s="35" t="str">
        <f>IFERROR(_xlfn.XLOOKUP($C433,Log!D:D,Log!W:W,,,-1),"")</f>
        <v/>
      </c>
      <c r="P433" s="35" t="str">
        <f>IFERROR(_xlfn.XLOOKUP($C433,Log!D:D,Log!Y:Y,,,-1),"")</f>
        <v/>
      </c>
      <c r="R433" s="131" t="str">
        <f>IFERROR(IF(Tabela1[[#This Row],[Nome fantasia]]="","",_xlfn.XLOOKUP($C433,Log!D:D,Log!X:X,,,-1)),"")</f>
        <v/>
      </c>
    </row>
    <row r="434" spans="3:18" hidden="1" x14ac:dyDescent="0.2">
      <c r="C434" s="30" t="s">
        <v>1457</v>
      </c>
      <c r="D434" s="110"/>
      <c r="E434" s="33" t="s">
        <v>22</v>
      </c>
      <c r="F434" s="38"/>
      <c r="G434" s="38"/>
      <c r="H434" s="31"/>
      <c r="I434" s="32"/>
      <c r="J434" s="32"/>
      <c r="K434" s="45" t="s">
        <v>888</v>
      </c>
      <c r="M434" s="33" t="str">
        <f t="shared" si="6"/>
        <v/>
      </c>
      <c r="N434" s="34" t="str">
        <f>IFERROR(IF(Tabela1[[#This Row],[Nome fantasia]]="","",_xlfn.XLOOKUP($C434,Log!D:D,Log!B:B,,,-1)),"")</f>
        <v/>
      </c>
      <c r="O434" s="35" t="str">
        <f>IFERROR(_xlfn.XLOOKUP($C434,Log!D:D,Log!W:W,,,-1),"")</f>
        <v/>
      </c>
      <c r="P434" s="35" t="str">
        <f>IFERROR(_xlfn.XLOOKUP($C434,Log!D:D,Log!Y:Y,,,-1),"")</f>
        <v/>
      </c>
      <c r="R434" s="131" t="str">
        <f>IFERROR(IF(Tabela1[[#This Row],[Nome fantasia]]="","",_xlfn.XLOOKUP($C434,Log!D:D,Log!X:X,,,-1)),"")</f>
        <v/>
      </c>
    </row>
    <row r="435" spans="3:18" hidden="1" x14ac:dyDescent="0.2">
      <c r="C435" s="30" t="s">
        <v>1458</v>
      </c>
      <c r="D435" s="110" t="s">
        <v>1459</v>
      </c>
      <c r="E435" s="33" t="s">
        <v>46</v>
      </c>
      <c r="F435" s="38"/>
      <c r="G435" s="38"/>
      <c r="H435" s="31"/>
      <c r="I435" s="32"/>
      <c r="J435" s="32"/>
      <c r="K435" s="45" t="s">
        <v>888</v>
      </c>
      <c r="M435" s="33" t="str">
        <f t="shared" si="6"/>
        <v/>
      </c>
      <c r="N435" s="34" t="str">
        <f>IFERROR(IF(Tabela1[[#This Row],[Nome fantasia]]="","",_xlfn.XLOOKUP($C435,Log!D:D,Log!B:B,,,-1)),"")</f>
        <v/>
      </c>
      <c r="O435" s="35" t="str">
        <f>IFERROR(_xlfn.XLOOKUP($C435,Log!D:D,Log!W:W,,,-1),"")</f>
        <v/>
      </c>
      <c r="P435" s="35" t="str">
        <f>IFERROR(_xlfn.XLOOKUP($C435,Log!D:D,Log!Y:Y,,,-1),"")</f>
        <v/>
      </c>
      <c r="R435" s="131" t="str">
        <f>IFERROR(IF(Tabela1[[#This Row],[Nome fantasia]]="","",_xlfn.XLOOKUP($C435,Log!D:D,Log!X:X,,,-1)),"")</f>
        <v/>
      </c>
    </row>
    <row r="436" spans="3:18" hidden="1" x14ac:dyDescent="0.2">
      <c r="C436" s="30" t="s">
        <v>1460</v>
      </c>
      <c r="D436" s="110" t="s">
        <v>1461</v>
      </c>
      <c r="E436" s="33" t="s">
        <v>46</v>
      </c>
      <c r="F436" s="38"/>
      <c r="G436" s="38"/>
      <c r="H436" s="31"/>
      <c r="I436" s="32"/>
      <c r="J436" s="32"/>
      <c r="K436" s="45" t="s">
        <v>888</v>
      </c>
      <c r="M436" s="33" t="str">
        <f t="shared" si="6"/>
        <v/>
      </c>
      <c r="N436" s="34" t="str">
        <f>IFERROR(IF(Tabela1[[#This Row],[Nome fantasia]]="","",_xlfn.XLOOKUP($C436,Log!D:D,Log!B:B,,,-1)),"")</f>
        <v/>
      </c>
      <c r="O436" s="35" t="str">
        <f>IFERROR(_xlfn.XLOOKUP($C436,Log!D:D,Log!W:W,,,-1),"")</f>
        <v/>
      </c>
      <c r="P436" s="35" t="str">
        <f>IFERROR(_xlfn.XLOOKUP($C436,Log!D:D,Log!Y:Y,,,-1),"")</f>
        <v/>
      </c>
      <c r="R436" s="131" t="str">
        <f>IFERROR(IF(Tabela1[[#This Row],[Nome fantasia]]="","",_xlfn.XLOOKUP($C436,Log!D:D,Log!X:X,,,-1)),"")</f>
        <v/>
      </c>
    </row>
    <row r="437" spans="3:18" hidden="1" x14ac:dyDescent="0.2">
      <c r="C437" s="30" t="s">
        <v>1462</v>
      </c>
      <c r="D437" s="110" t="s">
        <v>1463</v>
      </c>
      <c r="E437" s="33" t="s">
        <v>46</v>
      </c>
      <c r="F437" s="38"/>
      <c r="G437" s="38"/>
      <c r="H437" s="31"/>
      <c r="I437" s="32"/>
      <c r="J437" s="32"/>
      <c r="K437" s="45" t="s">
        <v>888</v>
      </c>
      <c r="M437" s="33" t="str">
        <f t="shared" si="6"/>
        <v/>
      </c>
      <c r="N437" s="34" t="str">
        <f>IFERROR(IF(Tabela1[[#This Row],[Nome fantasia]]="","",_xlfn.XLOOKUP($C437,Log!D:D,Log!B:B,,,-1)),"")</f>
        <v/>
      </c>
      <c r="O437" s="35" t="str">
        <f>IFERROR(_xlfn.XLOOKUP($C437,Log!D:D,Log!W:W,,,-1),"")</f>
        <v/>
      </c>
      <c r="P437" s="35" t="str">
        <f>IFERROR(_xlfn.XLOOKUP($C437,Log!D:D,Log!Y:Y,,,-1),"")</f>
        <v/>
      </c>
      <c r="R437" s="131" t="str">
        <f>IFERROR(IF(Tabela1[[#This Row],[Nome fantasia]]="","",_xlfn.XLOOKUP($C437,Log!D:D,Log!X:X,,,-1)),"")</f>
        <v/>
      </c>
    </row>
    <row r="438" spans="3:18" hidden="1" x14ac:dyDescent="0.2">
      <c r="C438" s="30" t="s">
        <v>1464</v>
      </c>
      <c r="D438" s="110" t="s">
        <v>1465</v>
      </c>
      <c r="E438" s="33" t="s">
        <v>22</v>
      </c>
      <c r="F438" s="38"/>
      <c r="G438" s="38"/>
      <c r="H438" s="31"/>
      <c r="I438" s="32"/>
      <c r="J438" s="32"/>
      <c r="K438" s="45" t="s">
        <v>888</v>
      </c>
      <c r="M438" s="33" t="str">
        <f t="shared" si="6"/>
        <v/>
      </c>
      <c r="N438" s="34" t="str">
        <f>IFERROR(IF(Tabela1[[#This Row],[Nome fantasia]]="","",_xlfn.XLOOKUP($C438,Log!D:D,Log!B:B,,,-1)),"")</f>
        <v/>
      </c>
      <c r="O438" s="35" t="str">
        <f>IFERROR(_xlfn.XLOOKUP($C438,Log!D:D,Log!W:W,,,-1),"")</f>
        <v/>
      </c>
      <c r="P438" s="35" t="str">
        <f>IFERROR(_xlfn.XLOOKUP($C438,Log!D:D,Log!Y:Y,,,-1),"")</f>
        <v/>
      </c>
      <c r="R438" s="131" t="str">
        <f>IFERROR(IF(Tabela1[[#This Row],[Nome fantasia]]="","",_xlfn.XLOOKUP($C438,Log!D:D,Log!X:X,,,-1)),"")</f>
        <v/>
      </c>
    </row>
    <row r="439" spans="3:18" hidden="1" x14ac:dyDescent="0.2">
      <c r="C439" s="30" t="s">
        <v>1466</v>
      </c>
      <c r="D439" s="110" t="s">
        <v>1467</v>
      </c>
      <c r="E439" s="33" t="s">
        <v>46</v>
      </c>
      <c r="F439" s="38"/>
      <c r="G439" s="38"/>
      <c r="H439" s="31"/>
      <c r="I439" s="32"/>
      <c r="J439" s="32"/>
      <c r="K439" s="45" t="s">
        <v>888</v>
      </c>
      <c r="M439" s="33" t="str">
        <f t="shared" si="6"/>
        <v/>
      </c>
      <c r="N439" s="34" t="str">
        <f>IFERROR(IF(Tabela1[[#This Row],[Nome fantasia]]="","",_xlfn.XLOOKUP($C439,Log!D:D,Log!B:B,,,-1)),"")</f>
        <v/>
      </c>
      <c r="O439" s="35" t="str">
        <f>IFERROR(_xlfn.XLOOKUP($C439,Log!D:D,Log!W:W,,,-1),"")</f>
        <v/>
      </c>
      <c r="P439" s="35" t="str">
        <f>IFERROR(_xlfn.XLOOKUP($C439,Log!D:D,Log!Y:Y,,,-1),"")</f>
        <v/>
      </c>
      <c r="R439" s="131" t="str">
        <f>IFERROR(IF(Tabela1[[#This Row],[Nome fantasia]]="","",_xlfn.XLOOKUP($C439,Log!D:D,Log!X:X,,,-1)),"")</f>
        <v/>
      </c>
    </row>
    <row r="440" spans="3:18" hidden="1" x14ac:dyDescent="0.2">
      <c r="C440" s="30" t="s">
        <v>1468</v>
      </c>
      <c r="D440" s="110" t="s">
        <v>1469</v>
      </c>
      <c r="E440" s="33" t="s">
        <v>46</v>
      </c>
      <c r="F440" s="38"/>
      <c r="G440" s="38"/>
      <c r="H440" s="31"/>
      <c r="I440" s="32"/>
      <c r="J440" s="32"/>
      <c r="K440" s="45" t="s">
        <v>888</v>
      </c>
      <c r="M440" s="33" t="str">
        <f t="shared" si="6"/>
        <v/>
      </c>
      <c r="N440" s="34" t="str">
        <f>IFERROR(IF(Tabela1[[#This Row],[Nome fantasia]]="","",_xlfn.XLOOKUP($C440,Log!D:D,Log!B:B,,,-1)),"")</f>
        <v/>
      </c>
      <c r="O440" s="35" t="str">
        <f>IFERROR(_xlfn.XLOOKUP($C440,Log!D:D,Log!W:W,,,-1),"")</f>
        <v/>
      </c>
      <c r="P440" s="35" t="str">
        <f>IFERROR(_xlfn.XLOOKUP($C440,Log!D:D,Log!Y:Y,,,-1),"")</f>
        <v/>
      </c>
      <c r="R440" s="131" t="str">
        <f>IFERROR(IF(Tabela1[[#This Row],[Nome fantasia]]="","",_xlfn.XLOOKUP($C440,Log!D:D,Log!X:X,,,-1)),"")</f>
        <v/>
      </c>
    </row>
    <row r="441" spans="3:18" hidden="1" x14ac:dyDescent="0.2">
      <c r="C441" s="30" t="s">
        <v>1470</v>
      </c>
      <c r="D441" s="110" t="s">
        <v>1471</v>
      </c>
      <c r="E441" s="33" t="s">
        <v>46</v>
      </c>
      <c r="F441" s="38"/>
      <c r="G441" s="38"/>
      <c r="H441" s="31"/>
      <c r="I441" s="32"/>
      <c r="J441" s="32"/>
      <c r="K441" s="45" t="s">
        <v>888</v>
      </c>
      <c r="M441" s="33" t="str">
        <f t="shared" si="6"/>
        <v/>
      </c>
      <c r="N441" s="34" t="str">
        <f>IFERROR(IF(Tabela1[[#This Row],[Nome fantasia]]="","",_xlfn.XLOOKUP($C441,Log!D:D,Log!B:B,,,-1)),"")</f>
        <v/>
      </c>
      <c r="O441" s="35" t="str">
        <f>IFERROR(_xlfn.XLOOKUP($C441,Log!D:D,Log!W:W,,,-1),"")</f>
        <v/>
      </c>
      <c r="P441" s="35" t="str">
        <f>IFERROR(_xlfn.XLOOKUP($C441,Log!D:D,Log!Y:Y,,,-1),"")</f>
        <v/>
      </c>
      <c r="R441" s="131" t="str">
        <f>IFERROR(IF(Tabela1[[#This Row],[Nome fantasia]]="","",_xlfn.XLOOKUP($C441,Log!D:D,Log!X:X,,,-1)),"")</f>
        <v/>
      </c>
    </row>
    <row r="442" spans="3:18" hidden="1" x14ac:dyDescent="0.2">
      <c r="C442" s="30" t="s">
        <v>1472</v>
      </c>
      <c r="D442" s="110" t="s">
        <v>1473</v>
      </c>
      <c r="E442" s="33" t="s">
        <v>46</v>
      </c>
      <c r="F442" s="38"/>
      <c r="G442" s="38"/>
      <c r="H442" s="31"/>
      <c r="I442" s="32"/>
      <c r="J442" s="32"/>
      <c r="K442" s="45" t="s">
        <v>888</v>
      </c>
      <c r="M442" s="33" t="str">
        <f t="shared" si="6"/>
        <v/>
      </c>
      <c r="N442" s="34" t="str">
        <f>IFERROR(IF(Tabela1[[#This Row],[Nome fantasia]]="","",_xlfn.XLOOKUP($C442,Log!D:D,Log!B:B,,,-1)),"")</f>
        <v/>
      </c>
      <c r="O442" s="35" t="str">
        <f>IFERROR(_xlfn.XLOOKUP($C442,Log!D:D,Log!W:W,,,-1),"")</f>
        <v/>
      </c>
      <c r="P442" s="35" t="str">
        <f>IFERROR(_xlfn.XLOOKUP($C442,Log!D:D,Log!Y:Y,,,-1),"")</f>
        <v/>
      </c>
      <c r="R442" s="131" t="str">
        <f>IFERROR(IF(Tabela1[[#This Row],[Nome fantasia]]="","",_xlfn.XLOOKUP($C442,Log!D:D,Log!X:X,,,-1)),"")</f>
        <v/>
      </c>
    </row>
    <row r="443" spans="3:18" hidden="1" x14ac:dyDescent="0.2">
      <c r="C443" s="30" t="s">
        <v>1474</v>
      </c>
      <c r="D443" s="110" t="s">
        <v>1475</v>
      </c>
      <c r="E443" s="33" t="s">
        <v>46</v>
      </c>
      <c r="F443" s="38"/>
      <c r="G443" s="38"/>
      <c r="H443" s="31"/>
      <c r="I443" s="32"/>
      <c r="J443" s="32"/>
      <c r="K443" s="45" t="s">
        <v>888</v>
      </c>
      <c r="M443" s="33" t="str">
        <f t="shared" si="6"/>
        <v/>
      </c>
      <c r="N443" s="34" t="str">
        <f>IFERROR(IF(Tabela1[[#This Row],[Nome fantasia]]="","",_xlfn.XLOOKUP($C443,Log!D:D,Log!B:B,,,-1)),"")</f>
        <v/>
      </c>
      <c r="O443" s="35" t="str">
        <f>IFERROR(_xlfn.XLOOKUP($C443,Log!D:D,Log!W:W,,,-1),"")</f>
        <v/>
      </c>
      <c r="P443" s="35" t="str">
        <f>IFERROR(_xlfn.XLOOKUP($C443,Log!D:D,Log!Y:Y,,,-1),"")</f>
        <v/>
      </c>
      <c r="R443" s="131" t="str">
        <f>IFERROR(IF(Tabela1[[#This Row],[Nome fantasia]]="","",_xlfn.XLOOKUP($C443,Log!D:D,Log!X:X,,,-1)),"")</f>
        <v/>
      </c>
    </row>
    <row r="444" spans="3:18" hidden="1" x14ac:dyDescent="0.2">
      <c r="C444" s="30" t="s">
        <v>1476</v>
      </c>
      <c r="D444" s="110" t="s">
        <v>1477</v>
      </c>
      <c r="E444" s="33" t="s">
        <v>46</v>
      </c>
      <c r="F444" s="38"/>
      <c r="G444" s="38"/>
      <c r="H444" s="31"/>
      <c r="I444" s="32"/>
      <c r="J444" s="32"/>
      <c r="K444" s="45" t="s">
        <v>888</v>
      </c>
      <c r="M444" s="33" t="str">
        <f t="shared" si="6"/>
        <v/>
      </c>
      <c r="N444" s="34" t="str">
        <f>IFERROR(IF(Tabela1[[#This Row],[Nome fantasia]]="","",_xlfn.XLOOKUP($C444,Log!D:D,Log!B:B,,,-1)),"")</f>
        <v/>
      </c>
      <c r="O444" s="35" t="str">
        <f>IFERROR(_xlfn.XLOOKUP($C444,Log!D:D,Log!W:W,,,-1),"")</f>
        <v/>
      </c>
      <c r="P444" s="35" t="str">
        <f>IFERROR(_xlfn.XLOOKUP($C444,Log!D:D,Log!Y:Y,,,-1),"")</f>
        <v/>
      </c>
      <c r="R444" s="131" t="str">
        <f>IFERROR(IF(Tabela1[[#This Row],[Nome fantasia]]="","",_xlfn.XLOOKUP($C444,Log!D:D,Log!X:X,,,-1)),"")</f>
        <v/>
      </c>
    </row>
    <row r="445" spans="3:18" hidden="1" x14ac:dyDescent="0.2">
      <c r="C445" s="30" t="s">
        <v>1478</v>
      </c>
      <c r="D445" s="110" t="s">
        <v>1479</v>
      </c>
      <c r="E445" s="33" t="s">
        <v>46</v>
      </c>
      <c r="F445" s="38"/>
      <c r="G445" s="38"/>
      <c r="H445" s="31"/>
      <c r="I445" s="32"/>
      <c r="J445" s="32"/>
      <c r="K445" s="45" t="s">
        <v>888</v>
      </c>
      <c r="M445" s="33" t="str">
        <f t="shared" si="6"/>
        <v/>
      </c>
      <c r="N445" s="34" t="str">
        <f>IFERROR(IF(Tabela1[[#This Row],[Nome fantasia]]="","",_xlfn.XLOOKUP($C445,Log!D:D,Log!B:B,,,-1)),"")</f>
        <v/>
      </c>
      <c r="O445" s="35" t="str">
        <f>IFERROR(_xlfn.XLOOKUP($C445,Log!D:D,Log!W:W,,,-1),"")</f>
        <v/>
      </c>
      <c r="P445" s="35" t="str">
        <f>IFERROR(_xlfn.XLOOKUP($C445,Log!D:D,Log!Y:Y,,,-1),"")</f>
        <v/>
      </c>
      <c r="R445" s="131" t="str">
        <f>IFERROR(IF(Tabela1[[#This Row],[Nome fantasia]]="","",_xlfn.XLOOKUP($C445,Log!D:D,Log!X:X,,,-1)),"")</f>
        <v/>
      </c>
    </row>
    <row r="446" spans="3:18" hidden="1" x14ac:dyDescent="0.2">
      <c r="C446" s="30" t="s">
        <v>1480</v>
      </c>
      <c r="D446" s="110" t="s">
        <v>1481</v>
      </c>
      <c r="E446" s="33" t="s">
        <v>46</v>
      </c>
      <c r="F446" s="38"/>
      <c r="G446" s="38"/>
      <c r="H446" s="31"/>
      <c r="I446" s="32"/>
      <c r="J446" s="32"/>
      <c r="K446" s="45" t="s">
        <v>888</v>
      </c>
      <c r="M446" s="33" t="str">
        <f t="shared" si="6"/>
        <v/>
      </c>
      <c r="N446" s="34" t="str">
        <f>IFERROR(IF(Tabela1[[#This Row],[Nome fantasia]]="","",_xlfn.XLOOKUP($C446,Log!D:D,Log!B:B,,,-1)),"")</f>
        <v/>
      </c>
      <c r="O446" s="35" t="str">
        <f>IFERROR(_xlfn.XLOOKUP($C446,Log!D:D,Log!W:W,,,-1),"")</f>
        <v/>
      </c>
      <c r="P446" s="35" t="str">
        <f>IFERROR(_xlfn.XLOOKUP($C446,Log!D:D,Log!Y:Y,,,-1),"")</f>
        <v/>
      </c>
      <c r="R446" s="131" t="str">
        <f>IFERROR(IF(Tabela1[[#This Row],[Nome fantasia]]="","",_xlfn.XLOOKUP($C446,Log!D:D,Log!X:X,,,-1)),"")</f>
        <v/>
      </c>
    </row>
    <row r="447" spans="3:18" hidden="1" x14ac:dyDescent="0.2">
      <c r="C447" s="30" t="s">
        <v>1482</v>
      </c>
      <c r="D447" s="110" t="s">
        <v>1483</v>
      </c>
      <c r="E447" s="33" t="s">
        <v>22</v>
      </c>
      <c r="F447" s="38"/>
      <c r="G447" s="38"/>
      <c r="H447" s="31"/>
      <c r="I447" s="32"/>
      <c r="J447" s="32"/>
      <c r="K447" s="45" t="s">
        <v>888</v>
      </c>
      <c r="M447" s="33" t="str">
        <f t="shared" si="6"/>
        <v/>
      </c>
      <c r="N447" s="34" t="str">
        <f>IFERROR(IF(Tabela1[[#This Row],[Nome fantasia]]="","",_xlfn.XLOOKUP($C447,Log!D:D,Log!B:B,,,-1)),"")</f>
        <v/>
      </c>
      <c r="O447" s="35" t="str">
        <f>IFERROR(_xlfn.XLOOKUP($C447,Log!D:D,Log!W:W,,,-1),"")</f>
        <v/>
      </c>
      <c r="P447" s="35" t="str">
        <f>IFERROR(_xlfn.XLOOKUP($C447,Log!D:D,Log!Y:Y,,,-1),"")</f>
        <v/>
      </c>
      <c r="R447" s="131" t="str">
        <f>IFERROR(IF(Tabela1[[#This Row],[Nome fantasia]]="","",_xlfn.XLOOKUP($C447,Log!D:D,Log!X:X,,,-1)),"")</f>
        <v/>
      </c>
    </row>
    <row r="448" spans="3:18" hidden="1" x14ac:dyDescent="0.2">
      <c r="C448" s="30" t="s">
        <v>1484</v>
      </c>
      <c r="D448" s="110" t="s">
        <v>1485</v>
      </c>
      <c r="E448" s="33" t="s">
        <v>46</v>
      </c>
      <c r="F448" s="38"/>
      <c r="G448" s="38"/>
      <c r="H448" s="31"/>
      <c r="I448" s="32"/>
      <c r="J448" s="32"/>
      <c r="K448" s="45" t="s">
        <v>888</v>
      </c>
      <c r="M448" s="33" t="str">
        <f t="shared" si="6"/>
        <v/>
      </c>
      <c r="N448" s="34" t="str">
        <f>IFERROR(IF(Tabela1[[#This Row],[Nome fantasia]]="","",_xlfn.XLOOKUP($C448,Log!D:D,Log!B:B,,,-1)),"")</f>
        <v/>
      </c>
      <c r="O448" s="35" t="str">
        <f>IFERROR(_xlfn.XLOOKUP($C448,Log!D:D,Log!W:W,,,-1),"")</f>
        <v/>
      </c>
      <c r="P448" s="35" t="str">
        <f>IFERROR(_xlfn.XLOOKUP($C448,Log!D:D,Log!Y:Y,,,-1),"")</f>
        <v/>
      </c>
      <c r="R448" s="131" t="str">
        <f>IFERROR(IF(Tabela1[[#This Row],[Nome fantasia]]="","",_xlfn.XLOOKUP($C448,Log!D:D,Log!X:X,,,-1)),"")</f>
        <v/>
      </c>
    </row>
    <row r="449" spans="3:18" hidden="1" x14ac:dyDescent="0.2">
      <c r="C449" s="30" t="s">
        <v>1486</v>
      </c>
      <c r="D449" s="110" t="s">
        <v>1487</v>
      </c>
      <c r="E449" s="33" t="s">
        <v>22</v>
      </c>
      <c r="F449" s="38"/>
      <c r="G449" s="38"/>
      <c r="H449" s="31"/>
      <c r="I449" s="32"/>
      <c r="J449" s="32"/>
      <c r="K449" s="45" t="s">
        <v>888</v>
      </c>
      <c r="M449" s="33" t="str">
        <f t="shared" si="6"/>
        <v/>
      </c>
      <c r="N449" s="34" t="str">
        <f>IFERROR(IF(Tabela1[[#This Row],[Nome fantasia]]="","",_xlfn.XLOOKUP($C449,Log!D:D,Log!B:B,,,-1)),"")</f>
        <v/>
      </c>
      <c r="O449" s="35" t="str">
        <f>IFERROR(_xlfn.XLOOKUP($C449,Log!D:D,Log!W:W,,,-1),"")</f>
        <v/>
      </c>
      <c r="P449" s="35" t="str">
        <f>IFERROR(_xlfn.XLOOKUP($C449,Log!D:D,Log!Y:Y,,,-1),"")</f>
        <v/>
      </c>
      <c r="R449" s="131" t="str">
        <f>IFERROR(IF(Tabela1[[#This Row],[Nome fantasia]]="","",_xlfn.XLOOKUP($C449,Log!D:D,Log!X:X,,,-1)),"")</f>
        <v/>
      </c>
    </row>
    <row r="450" spans="3:18" hidden="1" x14ac:dyDescent="0.2">
      <c r="C450" s="30" t="s">
        <v>1488</v>
      </c>
      <c r="D450" s="110" t="s">
        <v>1489</v>
      </c>
      <c r="E450" s="33" t="s">
        <v>46</v>
      </c>
      <c r="F450" s="38"/>
      <c r="G450" s="38"/>
      <c r="H450" s="31"/>
      <c r="I450" s="32"/>
      <c r="J450" s="32"/>
      <c r="K450" s="45" t="s">
        <v>888</v>
      </c>
      <c r="M450" s="33" t="str">
        <f t="shared" si="6"/>
        <v/>
      </c>
      <c r="N450" s="34" t="str">
        <f>IFERROR(IF(Tabela1[[#This Row],[Nome fantasia]]="","",_xlfn.XLOOKUP($C450,Log!D:D,Log!B:B,,,-1)),"")</f>
        <v/>
      </c>
      <c r="O450" s="35" t="str">
        <f>IFERROR(_xlfn.XLOOKUP($C450,Log!D:D,Log!W:W,,,-1),"")</f>
        <v/>
      </c>
      <c r="P450" s="35" t="str">
        <f>IFERROR(_xlfn.XLOOKUP($C450,Log!D:D,Log!Y:Y,,,-1),"")</f>
        <v/>
      </c>
      <c r="R450" s="131" t="str">
        <f>IFERROR(IF(Tabela1[[#This Row],[Nome fantasia]]="","",_xlfn.XLOOKUP($C450,Log!D:D,Log!X:X,,,-1)),"")</f>
        <v/>
      </c>
    </row>
    <row r="451" spans="3:18" hidden="1" x14ac:dyDescent="0.2">
      <c r="C451" s="30" t="s">
        <v>1490</v>
      </c>
      <c r="D451" s="110" t="s">
        <v>1491</v>
      </c>
      <c r="E451" s="33" t="s">
        <v>46</v>
      </c>
      <c r="F451" s="38"/>
      <c r="G451" s="38"/>
      <c r="H451" s="31"/>
      <c r="I451" s="32"/>
      <c r="J451" s="32"/>
      <c r="K451" s="45" t="s">
        <v>888</v>
      </c>
      <c r="M451" s="33" t="str">
        <f t="shared" ref="M451:M514" si="7">IF(OR(J451&lt;=0,J451=""),"","Recompra")</f>
        <v/>
      </c>
      <c r="N451" s="34" t="str">
        <f>IFERROR(IF(Tabela1[[#This Row],[Nome fantasia]]="","",_xlfn.XLOOKUP($C451,Log!D:D,Log!B:B,,,-1)),"")</f>
        <v/>
      </c>
      <c r="O451" s="35" t="str">
        <f>IFERROR(_xlfn.XLOOKUP($C451,Log!D:D,Log!W:W,,,-1),"")</f>
        <v/>
      </c>
      <c r="P451" s="35" t="str">
        <f>IFERROR(_xlfn.XLOOKUP($C451,Log!D:D,Log!Y:Y,,,-1),"")</f>
        <v/>
      </c>
      <c r="R451" s="131" t="str">
        <f>IFERROR(IF(Tabela1[[#This Row],[Nome fantasia]]="","",_xlfn.XLOOKUP($C451,Log!D:D,Log!X:X,,,-1)),"")</f>
        <v/>
      </c>
    </row>
    <row r="452" spans="3:18" hidden="1" x14ac:dyDescent="0.2">
      <c r="C452" s="30" t="s">
        <v>1492</v>
      </c>
      <c r="D452" s="110" t="s">
        <v>1493</v>
      </c>
      <c r="E452" s="33" t="s">
        <v>46</v>
      </c>
      <c r="F452" s="38"/>
      <c r="G452" s="38"/>
      <c r="H452" s="31"/>
      <c r="I452" s="32"/>
      <c r="J452" s="32"/>
      <c r="K452" s="45" t="s">
        <v>888</v>
      </c>
      <c r="M452" s="33" t="str">
        <f t="shared" si="7"/>
        <v/>
      </c>
      <c r="N452" s="34" t="str">
        <f>IFERROR(IF(Tabela1[[#This Row],[Nome fantasia]]="","",_xlfn.XLOOKUP($C452,Log!D:D,Log!B:B,,,-1)),"")</f>
        <v/>
      </c>
      <c r="O452" s="35" t="str">
        <f>IFERROR(_xlfn.XLOOKUP($C452,Log!D:D,Log!W:W,,,-1),"")</f>
        <v/>
      </c>
      <c r="P452" s="35" t="str">
        <f>IFERROR(_xlfn.XLOOKUP($C452,Log!D:D,Log!Y:Y,,,-1),"")</f>
        <v/>
      </c>
      <c r="R452" s="131" t="str">
        <f>IFERROR(IF(Tabela1[[#This Row],[Nome fantasia]]="","",_xlfn.XLOOKUP($C452,Log!D:D,Log!X:X,,,-1)),"")</f>
        <v/>
      </c>
    </row>
    <row r="453" spans="3:18" hidden="1" x14ac:dyDescent="0.2">
      <c r="C453" s="30" t="s">
        <v>1494</v>
      </c>
      <c r="D453" s="110" t="s">
        <v>1495</v>
      </c>
      <c r="E453" s="33" t="s">
        <v>46</v>
      </c>
      <c r="F453" s="38"/>
      <c r="G453" s="38"/>
      <c r="H453" s="31"/>
      <c r="I453" s="32"/>
      <c r="J453" s="32"/>
      <c r="K453" s="45" t="s">
        <v>888</v>
      </c>
      <c r="M453" s="33" t="str">
        <f t="shared" si="7"/>
        <v/>
      </c>
      <c r="N453" s="34" t="str">
        <f>IFERROR(IF(Tabela1[[#This Row],[Nome fantasia]]="","",_xlfn.XLOOKUP($C453,Log!D:D,Log!B:B,,,-1)),"")</f>
        <v/>
      </c>
      <c r="O453" s="35" t="str">
        <f>IFERROR(_xlfn.XLOOKUP($C453,Log!D:D,Log!W:W,,,-1),"")</f>
        <v/>
      </c>
      <c r="P453" s="35" t="str">
        <f>IFERROR(_xlfn.XLOOKUP($C453,Log!D:D,Log!Y:Y,,,-1),"")</f>
        <v/>
      </c>
      <c r="R453" s="131" t="str">
        <f>IFERROR(IF(Tabela1[[#This Row],[Nome fantasia]]="","",_xlfn.XLOOKUP($C453,Log!D:D,Log!X:X,,,-1)),"")</f>
        <v/>
      </c>
    </row>
    <row r="454" spans="3:18" hidden="1" x14ac:dyDescent="0.2">
      <c r="C454" s="30" t="s">
        <v>1496</v>
      </c>
      <c r="D454" s="110" t="s">
        <v>1497</v>
      </c>
      <c r="E454" s="33" t="s">
        <v>17</v>
      </c>
      <c r="F454" s="38"/>
      <c r="G454" s="38"/>
      <c r="H454" s="31"/>
      <c r="I454" s="32"/>
      <c r="J454" s="32"/>
      <c r="K454" s="45" t="s">
        <v>888</v>
      </c>
      <c r="M454" s="33" t="str">
        <f t="shared" si="7"/>
        <v/>
      </c>
      <c r="N454" s="34" t="str">
        <f>IFERROR(IF(Tabela1[[#This Row],[Nome fantasia]]="","",_xlfn.XLOOKUP($C454,Log!D:D,Log!B:B,,,-1)),"")</f>
        <v/>
      </c>
      <c r="O454" s="35" t="str">
        <f>IFERROR(_xlfn.XLOOKUP($C454,Log!D:D,Log!W:W,,,-1),"")</f>
        <v/>
      </c>
      <c r="P454" s="35" t="str">
        <f>IFERROR(_xlfn.XLOOKUP($C454,Log!D:D,Log!Y:Y,,,-1),"")</f>
        <v/>
      </c>
      <c r="R454" s="131" t="str">
        <f>IFERROR(IF(Tabela1[[#This Row],[Nome fantasia]]="","",_xlfn.XLOOKUP($C454,Log!D:D,Log!X:X,,,-1)),"")</f>
        <v/>
      </c>
    </row>
    <row r="455" spans="3:18" hidden="1" x14ac:dyDescent="0.2">
      <c r="C455" s="30" t="s">
        <v>1498</v>
      </c>
      <c r="D455" s="110" t="s">
        <v>1499</v>
      </c>
      <c r="E455" s="33" t="s">
        <v>46</v>
      </c>
      <c r="F455" s="38"/>
      <c r="G455" s="38"/>
      <c r="H455" s="31"/>
      <c r="I455" s="32"/>
      <c r="J455" s="32"/>
      <c r="K455" s="45" t="s">
        <v>888</v>
      </c>
      <c r="M455" s="33" t="str">
        <f t="shared" si="7"/>
        <v/>
      </c>
      <c r="N455" s="34" t="str">
        <f>IFERROR(IF(Tabela1[[#This Row],[Nome fantasia]]="","",_xlfn.XLOOKUP($C455,Log!D:D,Log!B:B,,,-1)),"")</f>
        <v/>
      </c>
      <c r="O455" s="35" t="str">
        <f>IFERROR(_xlfn.XLOOKUP($C455,Log!D:D,Log!W:W,,,-1),"")</f>
        <v/>
      </c>
      <c r="P455" s="35" t="str">
        <f>IFERROR(_xlfn.XLOOKUP($C455,Log!D:D,Log!Y:Y,,,-1),"")</f>
        <v/>
      </c>
      <c r="R455" s="131" t="str">
        <f>IFERROR(IF(Tabela1[[#This Row],[Nome fantasia]]="","",_xlfn.XLOOKUP($C455,Log!D:D,Log!X:X,,,-1)),"")</f>
        <v/>
      </c>
    </row>
    <row r="456" spans="3:18" hidden="1" x14ac:dyDescent="0.2">
      <c r="C456" s="30" t="s">
        <v>1500</v>
      </c>
      <c r="D456" s="110" t="s">
        <v>1501</v>
      </c>
      <c r="E456" s="33" t="s">
        <v>46</v>
      </c>
      <c r="F456" s="38"/>
      <c r="G456" s="38"/>
      <c r="H456" s="31"/>
      <c r="I456" s="32"/>
      <c r="J456" s="32"/>
      <c r="K456" s="45" t="s">
        <v>888</v>
      </c>
      <c r="M456" s="33" t="str">
        <f t="shared" si="7"/>
        <v/>
      </c>
      <c r="N456" s="34" t="str">
        <f>IFERROR(IF(Tabela1[[#This Row],[Nome fantasia]]="","",_xlfn.XLOOKUP($C456,Log!D:D,Log!B:B,,,-1)),"")</f>
        <v/>
      </c>
      <c r="O456" s="35" t="str">
        <f>IFERROR(_xlfn.XLOOKUP($C456,Log!D:D,Log!W:W,,,-1),"")</f>
        <v/>
      </c>
      <c r="P456" s="35" t="str">
        <f>IFERROR(_xlfn.XLOOKUP($C456,Log!D:D,Log!Y:Y,,,-1),"")</f>
        <v/>
      </c>
      <c r="R456" s="131" t="str">
        <f>IFERROR(IF(Tabela1[[#This Row],[Nome fantasia]]="","",_xlfn.XLOOKUP($C456,Log!D:D,Log!X:X,,,-1)),"")</f>
        <v/>
      </c>
    </row>
    <row r="457" spans="3:18" hidden="1" x14ac:dyDescent="0.2">
      <c r="C457" s="30" t="s">
        <v>1502</v>
      </c>
      <c r="D457" s="110" t="s">
        <v>1503</v>
      </c>
      <c r="E457" s="33" t="s">
        <v>17</v>
      </c>
      <c r="F457" s="38"/>
      <c r="G457" s="38"/>
      <c r="H457" s="31"/>
      <c r="I457" s="32"/>
      <c r="J457" s="32"/>
      <c r="K457" s="45" t="s">
        <v>888</v>
      </c>
      <c r="M457" s="33" t="str">
        <f t="shared" si="7"/>
        <v/>
      </c>
      <c r="N457" s="34" t="str">
        <f>IFERROR(IF(Tabela1[[#This Row],[Nome fantasia]]="","",_xlfn.XLOOKUP($C457,Log!D:D,Log!B:B,,,-1)),"")</f>
        <v/>
      </c>
      <c r="O457" s="35" t="str">
        <f>IFERROR(_xlfn.XLOOKUP($C457,Log!D:D,Log!W:W,,,-1),"")</f>
        <v/>
      </c>
      <c r="P457" s="35" t="str">
        <f>IFERROR(_xlfn.XLOOKUP($C457,Log!D:D,Log!Y:Y,,,-1),"")</f>
        <v/>
      </c>
      <c r="R457" s="131" t="str">
        <f>IFERROR(IF(Tabela1[[#This Row],[Nome fantasia]]="","",_xlfn.XLOOKUP($C457,Log!D:D,Log!X:X,,,-1)),"")</f>
        <v/>
      </c>
    </row>
    <row r="458" spans="3:18" hidden="1" x14ac:dyDescent="0.2">
      <c r="C458" s="30" t="s">
        <v>709</v>
      </c>
      <c r="D458" s="110" t="s">
        <v>1504</v>
      </c>
      <c r="E458" s="33" t="s">
        <v>17</v>
      </c>
      <c r="F458" s="38"/>
      <c r="G458" s="38"/>
      <c r="H458" s="31"/>
      <c r="I458" s="32"/>
      <c r="J458" s="32"/>
      <c r="K458" s="45" t="s">
        <v>888</v>
      </c>
      <c r="M458" s="33" t="str">
        <f t="shared" si="7"/>
        <v/>
      </c>
      <c r="N458" s="34" t="str">
        <f>IFERROR(IF(Tabela1[[#This Row],[Nome fantasia]]="","",_xlfn.XLOOKUP($C458,Log!D:D,Log!B:B,,,-1)),"")</f>
        <v/>
      </c>
      <c r="O458" s="35" t="str">
        <f>IFERROR(_xlfn.XLOOKUP($C458,Log!D:D,Log!W:W,,,-1),"")</f>
        <v/>
      </c>
      <c r="P458" s="35" t="str">
        <f>IFERROR(_xlfn.XLOOKUP($C458,Log!D:D,Log!Y:Y,,,-1),"")</f>
        <v/>
      </c>
      <c r="R458" s="131" t="str">
        <f>IFERROR(IF(Tabela1[[#This Row],[Nome fantasia]]="","",_xlfn.XLOOKUP($C458,Log!D:D,Log!X:X,,,-1)),"")</f>
        <v/>
      </c>
    </row>
    <row r="459" spans="3:18" hidden="1" x14ac:dyDescent="0.2">
      <c r="C459" s="30" t="s">
        <v>1505</v>
      </c>
      <c r="D459" s="110" t="s">
        <v>1506</v>
      </c>
      <c r="E459" s="33" t="s">
        <v>46</v>
      </c>
      <c r="F459" s="38"/>
      <c r="G459" s="38"/>
      <c r="H459" s="31"/>
      <c r="I459" s="32"/>
      <c r="J459" s="32"/>
      <c r="K459" s="45" t="s">
        <v>888</v>
      </c>
      <c r="M459" s="33" t="str">
        <f t="shared" si="7"/>
        <v/>
      </c>
      <c r="N459" s="34">
        <f>IFERROR(IF(Tabela1[[#This Row],[Nome fantasia]]="","",_xlfn.XLOOKUP($C459,Log!D:D,Log!B:B,,,-1)),"")</f>
        <v>45999</v>
      </c>
      <c r="O459" s="35" t="str">
        <f>IFERROR(_xlfn.XLOOKUP($C459,Log!D:D,Log!W:W,,,-1),"")</f>
        <v>EM ATENDIMENTO</v>
      </c>
      <c r="P459" s="35" t="str">
        <f>IFERROR(_xlfn.XLOOKUP($C459,Log!D:D,Log!Y:Y,,,-1),"")</f>
        <v>CHAMA ATÉ CAIR NA CAIXA POSTAL</v>
      </c>
      <c r="R459" s="131">
        <f>IFERROR(IF(Tabela1[[#This Row],[Nome fantasia]]="","",_xlfn.XLOOKUP($C459,Log!D:D,Log!X:X,,,-1)),"")</f>
        <v>46001</v>
      </c>
    </row>
    <row r="460" spans="3:18" hidden="1" x14ac:dyDescent="0.2">
      <c r="C460" s="30" t="s">
        <v>1507</v>
      </c>
      <c r="D460" s="110" t="s">
        <v>1508</v>
      </c>
      <c r="E460" s="33" t="s">
        <v>17</v>
      </c>
      <c r="F460" s="38"/>
      <c r="G460" s="38"/>
      <c r="H460" s="31"/>
      <c r="I460" s="32"/>
      <c r="J460" s="32"/>
      <c r="K460" s="45" t="s">
        <v>888</v>
      </c>
      <c r="M460" s="33" t="str">
        <f t="shared" si="7"/>
        <v/>
      </c>
      <c r="N460" s="34" t="str">
        <f>IFERROR(IF(Tabela1[[#This Row],[Nome fantasia]]="","",_xlfn.XLOOKUP($C460,Log!D:D,Log!B:B,,,-1)),"")</f>
        <v/>
      </c>
      <c r="O460" s="35" t="str">
        <f>IFERROR(_xlfn.XLOOKUP($C460,Log!D:D,Log!W:W,,,-1),"")</f>
        <v/>
      </c>
      <c r="P460" s="35" t="str">
        <f>IFERROR(_xlfn.XLOOKUP($C460,Log!D:D,Log!Y:Y,,,-1),"")</f>
        <v/>
      </c>
      <c r="R460" s="131" t="str">
        <f>IFERROR(IF(Tabela1[[#This Row],[Nome fantasia]]="","",_xlfn.XLOOKUP($C460,Log!D:D,Log!X:X,,,-1)),"")</f>
        <v/>
      </c>
    </row>
    <row r="461" spans="3:18" hidden="1" x14ac:dyDescent="0.2">
      <c r="C461" s="30" t="s">
        <v>1509</v>
      </c>
      <c r="D461" s="110" t="s">
        <v>1510</v>
      </c>
      <c r="E461" s="33" t="s">
        <v>17</v>
      </c>
      <c r="F461" s="38"/>
      <c r="G461" s="38"/>
      <c r="H461" s="31"/>
      <c r="I461" s="32"/>
      <c r="J461" s="32"/>
      <c r="K461" s="45" t="s">
        <v>888</v>
      </c>
      <c r="M461" s="33" t="str">
        <f t="shared" si="7"/>
        <v/>
      </c>
      <c r="N461" s="34" t="str">
        <f>IFERROR(IF(Tabela1[[#This Row],[Nome fantasia]]="","",_xlfn.XLOOKUP($C461,Log!D:D,Log!B:B,,,-1)),"")</f>
        <v/>
      </c>
      <c r="O461" s="35" t="str">
        <f>IFERROR(_xlfn.XLOOKUP($C461,Log!D:D,Log!W:W,,,-1),"")</f>
        <v/>
      </c>
      <c r="P461" s="35" t="str">
        <f>IFERROR(_xlfn.XLOOKUP($C461,Log!D:D,Log!Y:Y,,,-1),"")</f>
        <v/>
      </c>
      <c r="R461" s="131" t="str">
        <f>IFERROR(IF(Tabela1[[#This Row],[Nome fantasia]]="","",_xlfn.XLOOKUP($C461,Log!D:D,Log!X:X,,,-1)),"")</f>
        <v/>
      </c>
    </row>
    <row r="462" spans="3:18" hidden="1" x14ac:dyDescent="0.2">
      <c r="C462" s="30" t="s">
        <v>1511</v>
      </c>
      <c r="D462" s="110" t="s">
        <v>1512</v>
      </c>
      <c r="E462" s="33" t="s">
        <v>17</v>
      </c>
      <c r="F462" s="38"/>
      <c r="G462" s="38"/>
      <c r="H462" s="31"/>
      <c r="I462" s="32"/>
      <c r="J462" s="32"/>
      <c r="K462" s="45" t="s">
        <v>888</v>
      </c>
      <c r="M462" s="33" t="str">
        <f t="shared" si="7"/>
        <v/>
      </c>
      <c r="N462" s="34" t="str">
        <f>IFERROR(IF(Tabela1[[#This Row],[Nome fantasia]]="","",_xlfn.XLOOKUP($C462,Log!D:D,Log!B:B,,,-1)),"")</f>
        <v/>
      </c>
      <c r="O462" s="35" t="str">
        <f>IFERROR(_xlfn.XLOOKUP($C462,Log!D:D,Log!W:W,,,-1),"")</f>
        <v/>
      </c>
      <c r="P462" s="35" t="str">
        <f>IFERROR(_xlfn.XLOOKUP($C462,Log!D:D,Log!Y:Y,,,-1),"")</f>
        <v/>
      </c>
      <c r="R462" s="131" t="str">
        <f>IFERROR(IF(Tabela1[[#This Row],[Nome fantasia]]="","",_xlfn.XLOOKUP($C462,Log!D:D,Log!X:X,,,-1)),"")</f>
        <v/>
      </c>
    </row>
    <row r="463" spans="3:18" hidden="1" x14ac:dyDescent="0.2">
      <c r="C463" s="30" t="s">
        <v>1513</v>
      </c>
      <c r="D463" s="110" t="s">
        <v>1514</v>
      </c>
      <c r="E463" s="33" t="s">
        <v>46</v>
      </c>
      <c r="F463" s="38"/>
      <c r="G463" s="38"/>
      <c r="H463" s="31"/>
      <c r="I463" s="32"/>
      <c r="J463" s="32"/>
      <c r="K463" s="45" t="s">
        <v>888</v>
      </c>
      <c r="M463" s="33" t="str">
        <f t="shared" si="7"/>
        <v/>
      </c>
      <c r="N463" s="34" t="str">
        <f>IFERROR(IF(Tabela1[[#This Row],[Nome fantasia]]="","",_xlfn.XLOOKUP($C463,Log!D:D,Log!B:B,,,-1)),"")</f>
        <v/>
      </c>
      <c r="O463" s="35" t="str">
        <f>IFERROR(_xlfn.XLOOKUP($C463,Log!D:D,Log!W:W,,,-1),"")</f>
        <v/>
      </c>
      <c r="P463" s="35" t="str">
        <f>IFERROR(_xlfn.XLOOKUP($C463,Log!D:D,Log!Y:Y,,,-1),"")</f>
        <v/>
      </c>
      <c r="R463" s="131" t="str">
        <f>IFERROR(IF(Tabela1[[#This Row],[Nome fantasia]]="","",_xlfn.XLOOKUP($C463,Log!D:D,Log!X:X,,,-1)),"")</f>
        <v/>
      </c>
    </row>
    <row r="464" spans="3:18" hidden="1" x14ac:dyDescent="0.2">
      <c r="C464" s="30" t="s">
        <v>1516</v>
      </c>
      <c r="D464" s="110" t="s">
        <v>1517</v>
      </c>
      <c r="E464" s="33" t="s">
        <v>46</v>
      </c>
      <c r="F464" s="38"/>
      <c r="G464" s="38"/>
      <c r="H464" s="31"/>
      <c r="I464" s="32"/>
      <c r="J464" s="32"/>
      <c r="K464" s="45" t="s">
        <v>888</v>
      </c>
      <c r="L464" s="129"/>
      <c r="M464" s="33" t="str">
        <f t="shared" si="7"/>
        <v/>
      </c>
      <c r="N464" s="34" t="str">
        <f>IFERROR(IF(Tabela1[[#This Row],[Nome fantasia]]="","",_xlfn.XLOOKUP($C464,Log!D:D,Log!B:B,,,-1)),"")</f>
        <v/>
      </c>
      <c r="O464" s="35" t="str">
        <f>IFERROR(_xlfn.XLOOKUP($C464,Log!D:D,Log!W:W,,,-1),"")</f>
        <v/>
      </c>
      <c r="P464" s="35" t="str">
        <f>IFERROR(_xlfn.XLOOKUP($C464,Log!D:D,Log!Y:Y,,,-1),"")</f>
        <v/>
      </c>
      <c r="Q464" s="130"/>
      <c r="R464" s="131" t="str">
        <f>IFERROR(IF(Tabela1[[#This Row],[Nome fantasia]]="","",_xlfn.XLOOKUP($C464,Log!D:D,Log!X:X,,,-1)),"")</f>
        <v/>
      </c>
    </row>
    <row r="465" spans="3:18" hidden="1" x14ac:dyDescent="0.2">
      <c r="C465" s="30" t="s">
        <v>1518</v>
      </c>
      <c r="D465" s="110" t="s">
        <v>1519</v>
      </c>
      <c r="E465" s="33" t="s">
        <v>17</v>
      </c>
      <c r="F465" s="38"/>
      <c r="G465" s="38"/>
      <c r="H465" s="31"/>
      <c r="I465" s="32"/>
      <c r="J465" s="32"/>
      <c r="K465" s="45" t="s">
        <v>888</v>
      </c>
      <c r="L465" s="129"/>
      <c r="M465" s="33" t="str">
        <f t="shared" si="7"/>
        <v/>
      </c>
      <c r="N465" s="34" t="str">
        <f>IFERROR(IF(Tabela1[[#This Row],[Nome fantasia]]="","",_xlfn.XLOOKUP($C465,Log!D:D,Log!B:B,,,-1)),"")</f>
        <v/>
      </c>
      <c r="O465" s="35" t="str">
        <f>IFERROR(_xlfn.XLOOKUP($C465,Log!D:D,Log!W:W,,,-1),"")</f>
        <v/>
      </c>
      <c r="P465" s="35" t="str">
        <f>IFERROR(_xlfn.XLOOKUP($C465,Log!D:D,Log!Y:Y,,,-1),"")</f>
        <v/>
      </c>
      <c r="Q465" s="130"/>
      <c r="R465" s="131" t="str">
        <f>IFERROR(IF(Tabela1[[#This Row],[Nome fantasia]]="","",_xlfn.XLOOKUP($C465,Log!D:D,Log!X:X,,,-1)),"")</f>
        <v/>
      </c>
    </row>
    <row r="466" spans="3:18" hidden="1" x14ac:dyDescent="0.2">
      <c r="C466" s="30" t="s">
        <v>1520</v>
      </c>
      <c r="D466" s="110" t="s">
        <v>1521</v>
      </c>
      <c r="E466" s="33" t="s">
        <v>17</v>
      </c>
      <c r="F466" s="38"/>
      <c r="G466" s="38"/>
      <c r="H466" s="31"/>
      <c r="I466" s="32"/>
      <c r="J466" s="32"/>
      <c r="K466" s="45" t="s">
        <v>888</v>
      </c>
      <c r="L466" s="129"/>
      <c r="M466" s="33" t="str">
        <f t="shared" si="7"/>
        <v/>
      </c>
      <c r="N466" s="34" t="str">
        <f>IFERROR(IF(Tabela1[[#This Row],[Nome fantasia]]="","",_xlfn.XLOOKUP($C466,Log!D:D,Log!B:B,,,-1)),"")</f>
        <v/>
      </c>
      <c r="O466" s="35" t="str">
        <f>IFERROR(_xlfn.XLOOKUP($C466,Log!D:D,Log!W:W,,,-1),"")</f>
        <v/>
      </c>
      <c r="P466" s="35" t="str">
        <f>IFERROR(_xlfn.XLOOKUP($C466,Log!D:D,Log!Y:Y,,,-1),"")</f>
        <v/>
      </c>
      <c r="Q466" s="130"/>
      <c r="R466" s="131" t="str">
        <f>IFERROR(IF(Tabela1[[#This Row],[Nome fantasia]]="","",_xlfn.XLOOKUP($C466,Log!D:D,Log!X:X,,,-1)),"")</f>
        <v/>
      </c>
    </row>
    <row r="467" spans="3:18" hidden="1" x14ac:dyDescent="0.2">
      <c r="C467" s="30" t="s">
        <v>1520</v>
      </c>
      <c r="D467" s="110" t="s">
        <v>1522</v>
      </c>
      <c r="E467" s="33" t="s">
        <v>17</v>
      </c>
      <c r="F467" s="38"/>
      <c r="G467" s="38"/>
      <c r="H467" s="31"/>
      <c r="I467" s="32"/>
      <c r="J467" s="32"/>
      <c r="K467" s="45" t="s">
        <v>888</v>
      </c>
      <c r="L467" s="129"/>
      <c r="M467" s="33" t="str">
        <f t="shared" si="7"/>
        <v/>
      </c>
      <c r="N467" s="34" t="str">
        <f>IFERROR(IF(Tabela1[[#This Row],[Nome fantasia]]="","",_xlfn.XLOOKUP($C467,Log!D:D,Log!B:B,,,-1)),"")</f>
        <v/>
      </c>
      <c r="O467" s="35" t="str">
        <f>IFERROR(_xlfn.XLOOKUP($C467,Log!D:D,Log!W:W,,,-1),"")</f>
        <v/>
      </c>
      <c r="P467" s="35" t="str">
        <f>IFERROR(_xlfn.XLOOKUP($C467,Log!D:D,Log!Y:Y,,,-1),"")</f>
        <v/>
      </c>
      <c r="Q467" s="130"/>
      <c r="R467" s="131" t="str">
        <f>IFERROR(IF(Tabela1[[#This Row],[Nome fantasia]]="","",_xlfn.XLOOKUP($C467,Log!D:D,Log!X:X,,,-1)),"")</f>
        <v/>
      </c>
    </row>
    <row r="468" spans="3:18" hidden="1" x14ac:dyDescent="0.2">
      <c r="C468" s="30" t="s">
        <v>1523</v>
      </c>
      <c r="D468" s="110" t="s">
        <v>1524</v>
      </c>
      <c r="E468" s="33" t="s">
        <v>17</v>
      </c>
      <c r="F468" s="38"/>
      <c r="G468" s="38"/>
      <c r="H468" s="31"/>
      <c r="I468" s="32"/>
      <c r="J468" s="32"/>
      <c r="K468" s="45" t="s">
        <v>888</v>
      </c>
      <c r="L468" s="129"/>
      <c r="M468" s="33" t="str">
        <f t="shared" si="7"/>
        <v/>
      </c>
      <c r="N468" s="34" t="str">
        <f>IFERROR(IF(Tabela1[[#This Row],[Nome fantasia]]="","",_xlfn.XLOOKUP($C468,Log!D:D,Log!B:B,,,-1)),"")</f>
        <v/>
      </c>
      <c r="O468" s="35" t="str">
        <f>IFERROR(_xlfn.XLOOKUP($C468,Log!D:D,Log!W:W,,,-1),"")</f>
        <v/>
      </c>
      <c r="P468" s="35" t="str">
        <f>IFERROR(_xlfn.XLOOKUP($C468,Log!D:D,Log!Y:Y,,,-1),"")</f>
        <v/>
      </c>
      <c r="Q468" s="130"/>
      <c r="R468" s="131" t="str">
        <f>IFERROR(IF(Tabela1[[#This Row],[Nome fantasia]]="","",_xlfn.XLOOKUP($C468,Log!D:D,Log!X:X,,,-1)),"")</f>
        <v/>
      </c>
    </row>
    <row r="469" spans="3:18" hidden="1" x14ac:dyDescent="0.2">
      <c r="C469" s="30" t="s">
        <v>1525</v>
      </c>
      <c r="D469" s="110" t="s">
        <v>1526</v>
      </c>
      <c r="E469" s="33" t="s">
        <v>17</v>
      </c>
      <c r="F469" s="38"/>
      <c r="G469" s="38"/>
      <c r="H469" s="31"/>
      <c r="I469" s="32"/>
      <c r="J469" s="32"/>
      <c r="K469" s="45" t="s">
        <v>888</v>
      </c>
      <c r="L469" s="129"/>
      <c r="M469" s="33" t="str">
        <f t="shared" si="7"/>
        <v/>
      </c>
      <c r="N469" s="34" t="str">
        <f>IFERROR(IF(Tabela1[[#This Row],[Nome fantasia]]="","",_xlfn.XLOOKUP($C469,Log!D:D,Log!B:B,,,-1)),"")</f>
        <v/>
      </c>
      <c r="O469" s="35" t="str">
        <f>IFERROR(_xlfn.XLOOKUP($C469,Log!D:D,Log!W:W,,,-1),"")</f>
        <v/>
      </c>
      <c r="P469" s="35" t="str">
        <f>IFERROR(_xlfn.XLOOKUP($C469,Log!D:D,Log!Y:Y,,,-1),"")</f>
        <v/>
      </c>
      <c r="Q469" s="130"/>
      <c r="R469" s="131" t="str">
        <f>IFERROR(IF(Tabela1[[#This Row],[Nome fantasia]]="","",_xlfn.XLOOKUP($C469,Log!D:D,Log!X:X,,,-1)),"")</f>
        <v/>
      </c>
    </row>
    <row r="470" spans="3:18" hidden="1" x14ac:dyDescent="0.2">
      <c r="C470" s="30" t="s">
        <v>1527</v>
      </c>
      <c r="D470" s="110" t="s">
        <v>1528</v>
      </c>
      <c r="E470" s="33" t="s">
        <v>17</v>
      </c>
      <c r="F470" s="38"/>
      <c r="G470" s="38"/>
      <c r="H470" s="31"/>
      <c r="I470" s="32"/>
      <c r="J470" s="32"/>
      <c r="K470" s="45" t="s">
        <v>888</v>
      </c>
      <c r="L470" s="129"/>
      <c r="M470" s="33" t="str">
        <f t="shared" si="7"/>
        <v/>
      </c>
      <c r="N470" s="34" t="str">
        <f>IFERROR(IF(Tabela1[[#This Row],[Nome fantasia]]="","",_xlfn.XLOOKUP($C470,Log!D:D,Log!B:B,,,-1)),"")</f>
        <v/>
      </c>
      <c r="O470" s="35" t="str">
        <f>IFERROR(_xlfn.XLOOKUP($C470,Log!D:D,Log!W:W,,,-1),"")</f>
        <v/>
      </c>
      <c r="P470" s="35" t="str">
        <f>IFERROR(_xlfn.XLOOKUP($C470,Log!D:D,Log!Y:Y,,,-1),"")</f>
        <v/>
      </c>
      <c r="Q470" s="130"/>
      <c r="R470" s="131" t="str">
        <f>IFERROR(IF(Tabela1[[#This Row],[Nome fantasia]]="","",_xlfn.XLOOKUP($C470,Log!D:D,Log!X:X,,,-1)),"")</f>
        <v/>
      </c>
    </row>
    <row r="471" spans="3:18" hidden="1" x14ac:dyDescent="0.2">
      <c r="C471" s="30" t="s">
        <v>1529</v>
      </c>
      <c r="D471" s="110" t="s">
        <v>1530</v>
      </c>
      <c r="E471" s="33" t="s">
        <v>17</v>
      </c>
      <c r="F471" s="38"/>
      <c r="G471" s="38"/>
      <c r="H471" s="31"/>
      <c r="I471" s="32"/>
      <c r="J471" s="32"/>
      <c r="K471" s="45" t="s">
        <v>888</v>
      </c>
      <c r="L471" s="129"/>
      <c r="M471" s="33" t="str">
        <f t="shared" si="7"/>
        <v/>
      </c>
      <c r="N471" s="34" t="str">
        <f>IFERROR(IF(Tabela1[[#This Row],[Nome fantasia]]="","",_xlfn.XLOOKUP($C471,Log!D:D,Log!B:B,,,-1)),"")</f>
        <v/>
      </c>
      <c r="O471" s="35" t="str">
        <f>IFERROR(_xlfn.XLOOKUP($C471,Log!D:D,Log!W:W,,,-1),"")</f>
        <v/>
      </c>
      <c r="P471" s="35" t="str">
        <f>IFERROR(_xlfn.XLOOKUP($C471,Log!D:D,Log!Y:Y,,,-1),"")</f>
        <v/>
      </c>
      <c r="Q471" s="130"/>
      <c r="R471" s="131" t="str">
        <f>IFERROR(IF(Tabela1[[#This Row],[Nome fantasia]]="","",_xlfn.XLOOKUP($C471,Log!D:D,Log!X:X,,,-1)),"")</f>
        <v/>
      </c>
    </row>
    <row r="472" spans="3:18" hidden="1" x14ac:dyDescent="0.2">
      <c r="C472" s="30" t="s">
        <v>1531</v>
      </c>
      <c r="D472" s="110" t="s">
        <v>1532</v>
      </c>
      <c r="E472" s="33" t="s">
        <v>17</v>
      </c>
      <c r="F472" s="38"/>
      <c r="G472" s="38"/>
      <c r="H472" s="31"/>
      <c r="I472" s="32"/>
      <c r="J472" s="32"/>
      <c r="K472" s="45" t="s">
        <v>888</v>
      </c>
      <c r="L472" s="129"/>
      <c r="M472" s="33" t="str">
        <f t="shared" si="7"/>
        <v/>
      </c>
      <c r="N472" s="34" t="str">
        <f>IFERROR(IF(Tabela1[[#This Row],[Nome fantasia]]="","",_xlfn.XLOOKUP($C472,Log!D:D,Log!B:B,,,-1)),"")</f>
        <v/>
      </c>
      <c r="O472" s="35" t="str">
        <f>IFERROR(_xlfn.XLOOKUP($C472,Log!D:D,Log!W:W,,,-1),"")</f>
        <v/>
      </c>
      <c r="P472" s="35" t="str">
        <f>IFERROR(_xlfn.XLOOKUP($C472,Log!D:D,Log!Y:Y,,,-1),"")</f>
        <v/>
      </c>
      <c r="Q472" s="130"/>
      <c r="R472" s="131" t="str">
        <f>IFERROR(IF(Tabela1[[#This Row],[Nome fantasia]]="","",_xlfn.XLOOKUP($C472,Log!D:D,Log!X:X,,,-1)),"")</f>
        <v/>
      </c>
    </row>
    <row r="473" spans="3:18" hidden="1" x14ac:dyDescent="0.2">
      <c r="C473" s="30" t="s">
        <v>1533</v>
      </c>
      <c r="D473" s="110" t="s">
        <v>1534</v>
      </c>
      <c r="E473" s="33" t="s">
        <v>46</v>
      </c>
      <c r="F473" s="38"/>
      <c r="G473" s="38"/>
      <c r="H473" s="31"/>
      <c r="I473" s="32"/>
      <c r="J473" s="32"/>
      <c r="K473" s="45" t="s">
        <v>888</v>
      </c>
      <c r="L473" s="129"/>
      <c r="M473" s="33" t="str">
        <f t="shared" si="7"/>
        <v/>
      </c>
      <c r="N473" s="34">
        <f>IFERROR(IF(Tabela1[[#This Row],[Nome fantasia]]="","",_xlfn.XLOOKUP($C473,Log!D:D,Log!B:B,,,-1)),"")</f>
        <v>45999</v>
      </c>
      <c r="O473" s="35" t="str">
        <f>IFERROR(_xlfn.XLOOKUP($C473,Log!D:D,Log!W:W,,,-1),"")</f>
        <v>EM ATENDIMENTO</v>
      </c>
      <c r="P473" s="35" t="str">
        <f>IFERROR(_xlfn.XLOOKUP($C473,Log!D:D,Log!Y:Y,,,-1),"")</f>
        <v>SOMENTE CHAMA</v>
      </c>
      <c r="Q473" s="130"/>
      <c r="R473" s="131">
        <f>IFERROR(IF(Tabela1[[#This Row],[Nome fantasia]]="","",_xlfn.XLOOKUP($C473,Log!D:D,Log!X:X,,,-1)),"")</f>
        <v>46001</v>
      </c>
    </row>
    <row r="474" spans="3:18" hidden="1" x14ac:dyDescent="0.2">
      <c r="C474" s="30" t="s">
        <v>1535</v>
      </c>
      <c r="D474" s="110" t="s">
        <v>1536</v>
      </c>
      <c r="E474" s="33" t="s">
        <v>46</v>
      </c>
      <c r="F474" s="38"/>
      <c r="G474" s="38"/>
      <c r="H474" s="31"/>
      <c r="I474" s="32"/>
      <c r="J474" s="32"/>
      <c r="K474" s="45" t="s">
        <v>888</v>
      </c>
      <c r="L474" s="129"/>
      <c r="M474" s="33" t="str">
        <f t="shared" si="7"/>
        <v/>
      </c>
      <c r="N474" s="34" t="str">
        <f>IFERROR(IF(Tabela1[[#This Row],[Nome fantasia]]="","",_xlfn.XLOOKUP($C474,Log!D:D,Log!B:B,,,-1)),"")</f>
        <v/>
      </c>
      <c r="O474" s="35" t="str">
        <f>IFERROR(_xlfn.XLOOKUP($C474,Log!D:D,Log!W:W,,,-1),"")</f>
        <v/>
      </c>
      <c r="P474" s="35" t="str">
        <f>IFERROR(_xlfn.XLOOKUP($C474,Log!D:D,Log!Y:Y,,,-1),"")</f>
        <v/>
      </c>
      <c r="Q474" s="130"/>
      <c r="R474" s="131" t="str">
        <f>IFERROR(IF(Tabela1[[#This Row],[Nome fantasia]]="","",_xlfn.XLOOKUP($C474,Log!D:D,Log!X:X,,,-1)),"")</f>
        <v/>
      </c>
    </row>
    <row r="475" spans="3:18" hidden="1" x14ac:dyDescent="0.2">
      <c r="C475" s="30" t="s">
        <v>1537</v>
      </c>
      <c r="D475" s="110" t="s">
        <v>1538</v>
      </c>
      <c r="E475" s="33" t="s">
        <v>22</v>
      </c>
      <c r="F475" s="38"/>
      <c r="G475" s="38"/>
      <c r="H475" s="31"/>
      <c r="I475" s="32"/>
      <c r="J475" s="32"/>
      <c r="K475" s="45" t="s">
        <v>888</v>
      </c>
      <c r="L475" s="129"/>
      <c r="M475" s="33" t="str">
        <f t="shared" si="7"/>
        <v/>
      </c>
      <c r="N475" s="34" t="str">
        <f>IFERROR(IF(Tabela1[[#This Row],[Nome fantasia]]="","",_xlfn.XLOOKUP($C475,Log!D:D,Log!B:B,,,-1)),"")</f>
        <v/>
      </c>
      <c r="O475" s="35" t="str">
        <f>IFERROR(_xlfn.XLOOKUP($C475,Log!D:D,Log!W:W,,,-1),"")</f>
        <v/>
      </c>
      <c r="P475" s="35" t="str">
        <f>IFERROR(_xlfn.XLOOKUP($C475,Log!D:D,Log!Y:Y,,,-1),"")</f>
        <v/>
      </c>
      <c r="Q475" s="130"/>
      <c r="R475" s="131" t="str">
        <f>IFERROR(IF(Tabela1[[#This Row],[Nome fantasia]]="","",_xlfn.XLOOKUP($C475,Log!D:D,Log!X:X,,,-1)),"")</f>
        <v/>
      </c>
    </row>
    <row r="476" spans="3:18" hidden="1" x14ac:dyDescent="0.2">
      <c r="C476" s="30" t="s">
        <v>1539</v>
      </c>
      <c r="D476" s="110" t="s">
        <v>1540</v>
      </c>
      <c r="E476" s="33" t="s">
        <v>46</v>
      </c>
      <c r="F476" s="38"/>
      <c r="G476" s="38"/>
      <c r="H476" s="31"/>
      <c r="I476" s="32"/>
      <c r="J476" s="32"/>
      <c r="K476" s="45" t="s">
        <v>888</v>
      </c>
      <c r="L476" s="129"/>
      <c r="M476" s="33" t="str">
        <f t="shared" si="7"/>
        <v/>
      </c>
      <c r="N476" s="34" t="str">
        <f>IFERROR(IF(Tabela1[[#This Row],[Nome fantasia]]="","",_xlfn.XLOOKUP($C476,Log!D:D,Log!B:B,,,-1)),"")</f>
        <v/>
      </c>
      <c r="O476" s="35" t="str">
        <f>IFERROR(_xlfn.XLOOKUP($C476,Log!D:D,Log!W:W,,,-1),"")</f>
        <v/>
      </c>
      <c r="P476" s="35" t="str">
        <f>IFERROR(_xlfn.XLOOKUP($C476,Log!D:D,Log!Y:Y,,,-1),"")</f>
        <v/>
      </c>
      <c r="Q476" s="130"/>
      <c r="R476" s="131" t="str">
        <f>IFERROR(IF(Tabela1[[#This Row],[Nome fantasia]]="","",_xlfn.XLOOKUP($C476,Log!D:D,Log!X:X,,,-1)),"")</f>
        <v/>
      </c>
    </row>
    <row r="477" spans="3:18" hidden="1" x14ac:dyDescent="0.2">
      <c r="C477" s="30" t="s">
        <v>1541</v>
      </c>
      <c r="D477" s="110" t="s">
        <v>1542</v>
      </c>
      <c r="E477" s="33" t="s">
        <v>17</v>
      </c>
      <c r="F477" s="38"/>
      <c r="G477" s="38"/>
      <c r="H477" s="31"/>
      <c r="I477" s="32"/>
      <c r="J477" s="32"/>
      <c r="K477" s="45" t="s">
        <v>888</v>
      </c>
      <c r="L477" s="129"/>
      <c r="M477" s="33" t="str">
        <f t="shared" si="7"/>
        <v/>
      </c>
      <c r="N477" s="34" t="str">
        <f>IFERROR(IF(Tabela1[[#This Row],[Nome fantasia]]="","",_xlfn.XLOOKUP($C477,Log!D:D,Log!B:B,,,-1)),"")</f>
        <v/>
      </c>
      <c r="O477" s="35" t="str">
        <f>IFERROR(_xlfn.XLOOKUP($C477,Log!D:D,Log!W:W,,,-1),"")</f>
        <v/>
      </c>
      <c r="P477" s="35" t="str">
        <f>IFERROR(_xlfn.XLOOKUP($C477,Log!D:D,Log!Y:Y,,,-1),"")</f>
        <v/>
      </c>
      <c r="Q477" s="130"/>
      <c r="R477" s="131" t="str">
        <f>IFERROR(IF(Tabela1[[#This Row],[Nome fantasia]]="","",_xlfn.XLOOKUP($C477,Log!D:D,Log!X:X,,,-1)),"")</f>
        <v/>
      </c>
    </row>
    <row r="478" spans="3:18" hidden="1" x14ac:dyDescent="0.2">
      <c r="C478" s="30" t="s">
        <v>1543</v>
      </c>
      <c r="D478" s="110" t="s">
        <v>1544</v>
      </c>
      <c r="E478" s="33" t="s">
        <v>46</v>
      </c>
      <c r="F478" s="38"/>
      <c r="G478" s="38"/>
      <c r="H478" s="31"/>
      <c r="I478" s="32"/>
      <c r="J478" s="32"/>
      <c r="K478" s="45" t="s">
        <v>888</v>
      </c>
      <c r="L478" s="129"/>
      <c r="M478" s="33" t="str">
        <f t="shared" si="7"/>
        <v/>
      </c>
      <c r="N478" s="34" t="str">
        <f>IFERROR(IF(Tabela1[[#This Row],[Nome fantasia]]="","",_xlfn.XLOOKUP($C478,Log!D:D,Log!B:B,,,-1)),"")</f>
        <v/>
      </c>
      <c r="O478" s="35" t="str">
        <f>IFERROR(_xlfn.XLOOKUP($C478,Log!D:D,Log!W:W,,,-1),"")</f>
        <v/>
      </c>
      <c r="P478" s="35" t="str">
        <f>IFERROR(_xlfn.XLOOKUP($C478,Log!D:D,Log!Y:Y,,,-1),"")</f>
        <v/>
      </c>
      <c r="Q478" s="130"/>
      <c r="R478" s="131" t="str">
        <f>IFERROR(IF(Tabela1[[#This Row],[Nome fantasia]]="","",_xlfn.XLOOKUP($C478,Log!D:D,Log!X:X,,,-1)),"")</f>
        <v/>
      </c>
    </row>
    <row r="479" spans="3:18" hidden="1" x14ac:dyDescent="0.2">
      <c r="C479" s="30" t="s">
        <v>1545</v>
      </c>
      <c r="D479" s="110" t="s">
        <v>1546</v>
      </c>
      <c r="E479" s="33" t="s">
        <v>46</v>
      </c>
      <c r="F479" s="38"/>
      <c r="G479" s="38"/>
      <c r="H479" s="31"/>
      <c r="I479" s="32"/>
      <c r="J479" s="32"/>
      <c r="K479" s="45" t="s">
        <v>888</v>
      </c>
      <c r="L479" s="129"/>
      <c r="M479" s="33" t="str">
        <f t="shared" si="7"/>
        <v/>
      </c>
      <c r="N479" s="34" t="str">
        <f>IFERROR(IF(Tabela1[[#This Row],[Nome fantasia]]="","",_xlfn.XLOOKUP($C479,Log!D:D,Log!B:B,,,-1)),"")</f>
        <v/>
      </c>
      <c r="O479" s="35" t="str">
        <f>IFERROR(_xlfn.XLOOKUP($C479,Log!D:D,Log!W:W,,,-1),"")</f>
        <v/>
      </c>
      <c r="P479" s="35" t="str">
        <f>IFERROR(_xlfn.XLOOKUP($C479,Log!D:D,Log!Y:Y,,,-1),"")</f>
        <v/>
      </c>
      <c r="Q479" s="130"/>
      <c r="R479" s="131" t="str">
        <f>IFERROR(IF(Tabela1[[#This Row],[Nome fantasia]]="","",_xlfn.XLOOKUP($C479,Log!D:D,Log!X:X,,,-1)),"")</f>
        <v/>
      </c>
    </row>
    <row r="480" spans="3:18" hidden="1" x14ac:dyDescent="0.2">
      <c r="C480" s="30"/>
      <c r="D480" s="110" t="s">
        <v>1547</v>
      </c>
      <c r="E480" s="33" t="s">
        <v>22</v>
      </c>
      <c r="F480" s="38"/>
      <c r="G480" s="38"/>
      <c r="H480" s="31"/>
      <c r="I480" s="32"/>
      <c r="J480" s="32"/>
      <c r="K480" s="45" t="s">
        <v>888</v>
      </c>
      <c r="L480" s="129"/>
      <c r="M480" s="33" t="str">
        <f t="shared" si="7"/>
        <v/>
      </c>
      <c r="N480" s="34" t="str">
        <f>IFERROR(IF(Tabela1[[#This Row],[Nome fantasia]]="","",_xlfn.XLOOKUP($C480,Log!D:D,Log!B:B,,,-1)),"")</f>
        <v/>
      </c>
      <c r="O480" s="35">
        <f>IFERROR(_xlfn.XLOOKUP($C480,Log!D:D,Log!W:W,,,-1),"")</f>
        <v>0</v>
      </c>
      <c r="P480" s="35">
        <f>IFERROR(_xlfn.XLOOKUP($C480,Log!D:D,Log!Y:Y,,,-1),"")</f>
        <v>0</v>
      </c>
      <c r="Q480" s="130"/>
      <c r="R480" s="131" t="str">
        <f>IFERROR(IF(Tabela1[[#This Row],[Nome fantasia]]="","",_xlfn.XLOOKUP($C480,Log!D:D,Log!X:X,,,-1)),"")</f>
        <v/>
      </c>
    </row>
    <row r="481" spans="3:18" hidden="1" x14ac:dyDescent="0.2">
      <c r="C481" s="30" t="s">
        <v>1548</v>
      </c>
      <c r="D481" s="110" t="s">
        <v>1549</v>
      </c>
      <c r="E481" s="33" t="s">
        <v>46</v>
      </c>
      <c r="F481" s="38"/>
      <c r="G481" s="38"/>
      <c r="H481" s="31"/>
      <c r="I481" s="32"/>
      <c r="J481" s="32"/>
      <c r="K481" s="45" t="s">
        <v>888</v>
      </c>
      <c r="L481" s="129"/>
      <c r="M481" s="33" t="str">
        <f t="shared" si="7"/>
        <v/>
      </c>
      <c r="N481" s="34" t="str">
        <f>IFERROR(IF(Tabela1[[#This Row],[Nome fantasia]]="","",_xlfn.XLOOKUP($C481,Log!D:D,Log!B:B,,,-1)),"")</f>
        <v/>
      </c>
      <c r="O481" s="35" t="str">
        <f>IFERROR(_xlfn.XLOOKUP($C481,Log!D:D,Log!W:W,,,-1),"")</f>
        <v/>
      </c>
      <c r="P481" s="35" t="str">
        <f>IFERROR(_xlfn.XLOOKUP($C481,Log!D:D,Log!Y:Y,,,-1),"")</f>
        <v/>
      </c>
      <c r="Q481" s="130"/>
      <c r="R481" s="131" t="str">
        <f>IFERROR(IF(Tabela1[[#This Row],[Nome fantasia]]="","",_xlfn.XLOOKUP($C481,Log!D:D,Log!X:X,,,-1)),"")</f>
        <v/>
      </c>
    </row>
    <row r="482" spans="3:18" hidden="1" x14ac:dyDescent="0.2">
      <c r="C482" s="30" t="s">
        <v>1550</v>
      </c>
      <c r="D482" s="110" t="s">
        <v>1551</v>
      </c>
      <c r="E482" s="33" t="s">
        <v>46</v>
      </c>
      <c r="F482" s="38"/>
      <c r="G482" s="38"/>
      <c r="H482" s="31"/>
      <c r="I482" s="32"/>
      <c r="J482" s="32"/>
      <c r="K482" s="45" t="s">
        <v>888</v>
      </c>
      <c r="L482" s="129"/>
      <c r="M482" s="33" t="str">
        <f t="shared" si="7"/>
        <v/>
      </c>
      <c r="N482" s="34" t="str">
        <f>IFERROR(IF(Tabela1[[#This Row],[Nome fantasia]]="","",_xlfn.XLOOKUP($C482,Log!D:D,Log!B:B,,,-1)),"")</f>
        <v/>
      </c>
      <c r="O482" s="35" t="str">
        <f>IFERROR(_xlfn.XLOOKUP($C482,Log!D:D,Log!W:W,,,-1),"")</f>
        <v/>
      </c>
      <c r="P482" s="35" t="str">
        <f>IFERROR(_xlfn.XLOOKUP($C482,Log!D:D,Log!Y:Y,,,-1),"")</f>
        <v/>
      </c>
      <c r="Q482" s="130"/>
      <c r="R482" s="131" t="str">
        <f>IFERROR(IF(Tabela1[[#This Row],[Nome fantasia]]="","",_xlfn.XLOOKUP($C482,Log!D:D,Log!X:X,,,-1)),"")</f>
        <v/>
      </c>
    </row>
    <row r="483" spans="3:18" hidden="1" x14ac:dyDescent="0.2">
      <c r="C483" s="30" t="s">
        <v>1552</v>
      </c>
      <c r="D483" s="110" t="s">
        <v>1553</v>
      </c>
      <c r="E483" s="33" t="s">
        <v>22</v>
      </c>
      <c r="F483" s="38"/>
      <c r="G483" s="38"/>
      <c r="H483" s="31"/>
      <c r="I483" s="32"/>
      <c r="J483" s="32"/>
      <c r="K483" s="45" t="s">
        <v>888</v>
      </c>
      <c r="L483" s="129"/>
      <c r="M483" s="33" t="str">
        <f t="shared" si="7"/>
        <v/>
      </c>
      <c r="N483" s="34" t="str">
        <f>IFERROR(IF(Tabela1[[#This Row],[Nome fantasia]]="","",_xlfn.XLOOKUP($C483,Log!D:D,Log!B:B,,,-1)),"")</f>
        <v/>
      </c>
      <c r="O483" s="35" t="str">
        <f>IFERROR(_xlfn.XLOOKUP($C483,Log!D:D,Log!W:W,,,-1),"")</f>
        <v/>
      </c>
      <c r="P483" s="35" t="str">
        <f>IFERROR(_xlfn.XLOOKUP($C483,Log!D:D,Log!Y:Y,,,-1),"")</f>
        <v/>
      </c>
      <c r="Q483" s="130"/>
      <c r="R483" s="131" t="str">
        <f>IFERROR(IF(Tabela1[[#This Row],[Nome fantasia]]="","",_xlfn.XLOOKUP($C483,Log!D:D,Log!X:X,,,-1)),"")</f>
        <v/>
      </c>
    </row>
    <row r="484" spans="3:18" hidden="1" x14ac:dyDescent="0.2">
      <c r="C484" s="30" t="s">
        <v>1554</v>
      </c>
      <c r="D484" s="110" t="s">
        <v>1555</v>
      </c>
      <c r="E484" s="33" t="s">
        <v>17</v>
      </c>
      <c r="F484" s="38"/>
      <c r="G484" s="38"/>
      <c r="H484" s="31"/>
      <c r="I484" s="32"/>
      <c r="J484" s="32"/>
      <c r="K484" s="45" t="s">
        <v>888</v>
      </c>
      <c r="L484" s="129"/>
      <c r="M484" s="33" t="str">
        <f t="shared" si="7"/>
        <v/>
      </c>
      <c r="N484" s="34" t="str">
        <f>IFERROR(IF(Tabela1[[#This Row],[Nome fantasia]]="","",_xlfn.XLOOKUP($C484,Log!D:D,Log!B:B,,,-1)),"")</f>
        <v/>
      </c>
      <c r="O484" s="35" t="str">
        <f>IFERROR(_xlfn.XLOOKUP($C484,Log!D:D,Log!W:W,,,-1),"")</f>
        <v/>
      </c>
      <c r="P484" s="35" t="str">
        <f>IFERROR(_xlfn.XLOOKUP($C484,Log!D:D,Log!Y:Y,,,-1),"")</f>
        <v/>
      </c>
      <c r="Q484" s="130"/>
      <c r="R484" s="131" t="str">
        <f>IFERROR(IF(Tabela1[[#This Row],[Nome fantasia]]="","",_xlfn.XLOOKUP($C484,Log!D:D,Log!X:X,,,-1)),"")</f>
        <v/>
      </c>
    </row>
    <row r="485" spans="3:18" hidden="1" x14ac:dyDescent="0.2">
      <c r="C485" s="30" t="s">
        <v>1556</v>
      </c>
      <c r="D485" s="110" t="s">
        <v>1557</v>
      </c>
      <c r="E485" s="33" t="s">
        <v>17</v>
      </c>
      <c r="F485" s="38"/>
      <c r="G485" s="38"/>
      <c r="H485" s="31"/>
      <c r="I485" s="32"/>
      <c r="J485" s="32"/>
      <c r="K485" s="45" t="s">
        <v>888</v>
      </c>
      <c r="L485" s="129"/>
      <c r="M485" s="33" t="str">
        <f t="shared" si="7"/>
        <v/>
      </c>
      <c r="N485" s="34" t="str">
        <f>IFERROR(IF(Tabela1[[#This Row],[Nome fantasia]]="","",_xlfn.XLOOKUP($C485,Log!D:D,Log!B:B,,,-1)),"")</f>
        <v/>
      </c>
      <c r="O485" s="35" t="str">
        <f>IFERROR(_xlfn.XLOOKUP($C485,Log!D:D,Log!W:W,,,-1),"")</f>
        <v/>
      </c>
      <c r="P485" s="35" t="str">
        <f>IFERROR(_xlfn.XLOOKUP($C485,Log!D:D,Log!Y:Y,,,-1),"")</f>
        <v/>
      </c>
      <c r="Q485" s="130"/>
      <c r="R485" s="131" t="str">
        <f>IFERROR(IF(Tabela1[[#This Row],[Nome fantasia]]="","",_xlfn.XLOOKUP($C485,Log!D:D,Log!X:X,,,-1)),"")</f>
        <v/>
      </c>
    </row>
    <row r="486" spans="3:18" hidden="1" x14ac:dyDescent="0.2">
      <c r="C486" s="30" t="s">
        <v>1558</v>
      </c>
      <c r="D486" s="110" t="s">
        <v>1559</v>
      </c>
      <c r="E486" s="33" t="s">
        <v>46</v>
      </c>
      <c r="F486" s="38"/>
      <c r="G486" s="38"/>
      <c r="H486" s="31"/>
      <c r="I486" s="32"/>
      <c r="J486" s="32"/>
      <c r="K486" s="45" t="s">
        <v>888</v>
      </c>
      <c r="L486" s="129"/>
      <c r="M486" s="33" t="str">
        <f t="shared" si="7"/>
        <v/>
      </c>
      <c r="N486" s="34" t="str">
        <f>IFERROR(IF(Tabela1[[#This Row],[Nome fantasia]]="","",_xlfn.XLOOKUP($C486,Log!D:D,Log!B:B,,,-1)),"")</f>
        <v/>
      </c>
      <c r="O486" s="35" t="str">
        <f>IFERROR(_xlfn.XLOOKUP($C486,Log!D:D,Log!W:W,,,-1),"")</f>
        <v/>
      </c>
      <c r="P486" s="35" t="str">
        <f>IFERROR(_xlfn.XLOOKUP($C486,Log!D:D,Log!Y:Y,,,-1),"")</f>
        <v/>
      </c>
      <c r="Q486" s="130"/>
      <c r="R486" s="131" t="str">
        <f>IFERROR(IF(Tabela1[[#This Row],[Nome fantasia]]="","",_xlfn.XLOOKUP($C486,Log!D:D,Log!X:X,,,-1)),"")</f>
        <v/>
      </c>
    </row>
    <row r="487" spans="3:18" hidden="1" x14ac:dyDescent="0.2">
      <c r="C487" s="30" t="s">
        <v>1560</v>
      </c>
      <c r="D487" s="110" t="s">
        <v>1561</v>
      </c>
      <c r="E487" s="33" t="s">
        <v>17</v>
      </c>
      <c r="F487" s="38"/>
      <c r="G487" s="38"/>
      <c r="H487" s="31"/>
      <c r="I487" s="32"/>
      <c r="J487" s="32"/>
      <c r="K487" s="45" t="s">
        <v>888</v>
      </c>
      <c r="L487" s="129"/>
      <c r="M487" s="33" t="str">
        <f t="shared" si="7"/>
        <v/>
      </c>
      <c r="N487" s="34" t="str">
        <f>IFERROR(IF(Tabela1[[#This Row],[Nome fantasia]]="","",_xlfn.XLOOKUP($C487,Log!D:D,Log!B:B,,,-1)),"")</f>
        <v/>
      </c>
      <c r="O487" s="35" t="str">
        <f>IFERROR(_xlfn.XLOOKUP($C487,Log!D:D,Log!W:W,,,-1),"")</f>
        <v/>
      </c>
      <c r="P487" s="35" t="str">
        <f>IFERROR(_xlfn.XLOOKUP($C487,Log!D:D,Log!Y:Y,,,-1),"")</f>
        <v/>
      </c>
      <c r="Q487" s="130"/>
      <c r="R487" s="131" t="str">
        <f>IFERROR(IF(Tabela1[[#This Row],[Nome fantasia]]="","",_xlfn.XLOOKUP($C487,Log!D:D,Log!X:X,,,-1)),"")</f>
        <v/>
      </c>
    </row>
    <row r="488" spans="3:18" hidden="1" x14ac:dyDescent="0.2">
      <c r="C488" s="30" t="s">
        <v>1562</v>
      </c>
      <c r="D488" s="110" t="s">
        <v>1563</v>
      </c>
      <c r="E488" s="33" t="s">
        <v>46</v>
      </c>
      <c r="F488" s="38"/>
      <c r="G488" s="38"/>
      <c r="H488" s="31"/>
      <c r="I488" s="32"/>
      <c r="J488" s="32"/>
      <c r="K488" s="45" t="s">
        <v>888</v>
      </c>
      <c r="L488" s="129"/>
      <c r="M488" s="33" t="str">
        <f t="shared" si="7"/>
        <v/>
      </c>
      <c r="N488" s="34" t="str">
        <f>IFERROR(IF(Tabela1[[#This Row],[Nome fantasia]]="","",_xlfn.XLOOKUP($C488,Log!D:D,Log!B:B,,,-1)),"")</f>
        <v/>
      </c>
      <c r="O488" s="35" t="str">
        <f>IFERROR(_xlfn.XLOOKUP($C488,Log!D:D,Log!W:W,,,-1),"")</f>
        <v/>
      </c>
      <c r="P488" s="35" t="str">
        <f>IFERROR(_xlfn.XLOOKUP($C488,Log!D:D,Log!Y:Y,,,-1),"")</f>
        <v/>
      </c>
      <c r="Q488" s="130"/>
      <c r="R488" s="131" t="str">
        <f>IFERROR(IF(Tabela1[[#This Row],[Nome fantasia]]="","",_xlfn.XLOOKUP($C488,Log!D:D,Log!X:X,,,-1)),"")</f>
        <v/>
      </c>
    </row>
    <row r="489" spans="3:18" hidden="1" x14ac:dyDescent="0.2">
      <c r="C489" s="30" t="s">
        <v>1564</v>
      </c>
      <c r="D489" s="110" t="s">
        <v>1565</v>
      </c>
      <c r="E489" s="33" t="s">
        <v>17</v>
      </c>
      <c r="F489" s="38"/>
      <c r="G489" s="38"/>
      <c r="H489" s="31"/>
      <c r="I489" s="32"/>
      <c r="J489" s="32"/>
      <c r="K489" s="45" t="s">
        <v>888</v>
      </c>
      <c r="L489" s="129"/>
      <c r="M489" s="33" t="str">
        <f t="shared" si="7"/>
        <v/>
      </c>
      <c r="N489" s="34" t="str">
        <f>IFERROR(IF(Tabela1[[#This Row],[Nome fantasia]]="","",_xlfn.XLOOKUP($C489,Log!D:D,Log!B:B,,,-1)),"")</f>
        <v/>
      </c>
      <c r="O489" s="35" t="str">
        <f>IFERROR(_xlfn.XLOOKUP($C489,Log!D:D,Log!W:W,,,-1),"")</f>
        <v/>
      </c>
      <c r="P489" s="35" t="str">
        <f>IFERROR(_xlfn.XLOOKUP($C489,Log!D:D,Log!Y:Y,,,-1),"")</f>
        <v/>
      </c>
      <c r="Q489" s="130"/>
      <c r="R489" s="131" t="str">
        <f>IFERROR(IF(Tabela1[[#This Row],[Nome fantasia]]="","",_xlfn.XLOOKUP($C489,Log!D:D,Log!X:X,,,-1)),"")</f>
        <v/>
      </c>
    </row>
    <row r="490" spans="3:18" hidden="1" x14ac:dyDescent="0.2">
      <c r="C490" s="30" t="s">
        <v>1566</v>
      </c>
      <c r="D490" s="110" t="s">
        <v>1567</v>
      </c>
      <c r="E490" s="33" t="s">
        <v>17</v>
      </c>
      <c r="F490" s="38"/>
      <c r="G490" s="38"/>
      <c r="H490" s="31"/>
      <c r="I490" s="32"/>
      <c r="J490" s="32"/>
      <c r="K490" s="45" t="s">
        <v>888</v>
      </c>
      <c r="L490" s="129"/>
      <c r="M490" s="33" t="str">
        <f t="shared" si="7"/>
        <v/>
      </c>
      <c r="N490" s="34" t="str">
        <f>IFERROR(IF(Tabela1[[#This Row],[Nome fantasia]]="","",_xlfn.XLOOKUP($C490,Log!D:D,Log!B:B,,,-1)),"")</f>
        <v/>
      </c>
      <c r="O490" s="35" t="str">
        <f>IFERROR(_xlfn.XLOOKUP($C490,Log!D:D,Log!W:W,,,-1),"")</f>
        <v/>
      </c>
      <c r="P490" s="35" t="str">
        <f>IFERROR(_xlfn.XLOOKUP($C490,Log!D:D,Log!Y:Y,,,-1),"")</f>
        <v/>
      </c>
      <c r="Q490" s="130"/>
      <c r="R490" s="131" t="str">
        <f>IFERROR(IF(Tabela1[[#This Row],[Nome fantasia]]="","",_xlfn.XLOOKUP($C490,Log!D:D,Log!X:X,,,-1)),"")</f>
        <v/>
      </c>
    </row>
    <row r="491" spans="3:18" hidden="1" x14ac:dyDescent="0.2">
      <c r="C491" s="30"/>
      <c r="D491" s="110" t="s">
        <v>1568</v>
      </c>
      <c r="E491" s="33" t="s">
        <v>22</v>
      </c>
      <c r="F491" s="38"/>
      <c r="G491" s="38"/>
      <c r="H491" s="31"/>
      <c r="I491" s="32"/>
      <c r="J491" s="32"/>
      <c r="K491" s="45" t="s">
        <v>888</v>
      </c>
      <c r="L491" s="129"/>
      <c r="M491" s="33" t="str">
        <f t="shared" si="7"/>
        <v/>
      </c>
      <c r="N491" s="34" t="str">
        <f>IFERROR(IF(Tabela1[[#This Row],[Nome fantasia]]="","",_xlfn.XLOOKUP($C491,Log!D:D,Log!B:B,,,-1)),"")</f>
        <v/>
      </c>
      <c r="O491" s="35">
        <f>IFERROR(_xlfn.XLOOKUP($C491,Log!D:D,Log!W:W,,,-1),"")</f>
        <v>0</v>
      </c>
      <c r="P491" s="35" t="str">
        <f>IFERROR(_xlfn.XLOOKUP($C491,Log!D:D,Log!Y:Y,,,-1),"")</f>
        <v/>
      </c>
      <c r="Q491" s="130"/>
      <c r="R491" s="131" t="str">
        <f>IFERROR(IF(Tabela1[[#This Row],[Nome fantasia]]="","",_xlfn.XLOOKUP($C491,Log!D:D,Log!X:X,,,-1)),"")</f>
        <v/>
      </c>
    </row>
    <row r="492" spans="3:18" hidden="1" x14ac:dyDescent="0.2">
      <c r="C492" s="30" t="s">
        <v>1569</v>
      </c>
      <c r="D492" s="110" t="s">
        <v>1570</v>
      </c>
      <c r="E492" s="33" t="s">
        <v>46</v>
      </c>
      <c r="F492" s="38"/>
      <c r="G492" s="38"/>
      <c r="H492" s="31"/>
      <c r="I492" s="32"/>
      <c r="J492" s="32"/>
      <c r="K492" s="45" t="s">
        <v>888</v>
      </c>
      <c r="L492" s="129"/>
      <c r="M492" s="33" t="str">
        <f t="shared" si="7"/>
        <v/>
      </c>
      <c r="N492" s="34" t="str">
        <f>IFERROR(IF(Tabela1[[#This Row],[Nome fantasia]]="","",_xlfn.XLOOKUP($C492,Log!D:D,Log!B:B,,,-1)),"")</f>
        <v/>
      </c>
      <c r="O492" s="35" t="str">
        <f>IFERROR(_xlfn.XLOOKUP($C492,Log!D:D,Log!W:W,,,-1),"")</f>
        <v/>
      </c>
      <c r="P492" s="35" t="str">
        <f>IFERROR(_xlfn.XLOOKUP($C492,Log!D:D,Log!Y:Y,,,-1),"")</f>
        <v/>
      </c>
      <c r="Q492" s="130"/>
      <c r="R492" s="131" t="str">
        <f>IFERROR(IF(Tabela1[[#This Row],[Nome fantasia]]="","",_xlfn.XLOOKUP($C492,Log!D:D,Log!X:X,,,-1)),"")</f>
        <v/>
      </c>
    </row>
    <row r="493" spans="3:18" hidden="1" x14ac:dyDescent="0.2">
      <c r="C493" s="30" t="s">
        <v>1571</v>
      </c>
      <c r="D493" s="110" t="s">
        <v>1572</v>
      </c>
      <c r="E493" s="33" t="s">
        <v>17</v>
      </c>
      <c r="F493" s="38"/>
      <c r="G493" s="38"/>
      <c r="H493" s="31"/>
      <c r="I493" s="32"/>
      <c r="J493" s="32"/>
      <c r="K493" s="45" t="s">
        <v>888</v>
      </c>
      <c r="L493" s="129"/>
      <c r="M493" s="33" t="str">
        <f t="shared" si="7"/>
        <v/>
      </c>
      <c r="N493" s="34" t="str">
        <f>IFERROR(IF(Tabela1[[#This Row],[Nome fantasia]]="","",_xlfn.XLOOKUP($C493,Log!D:D,Log!B:B,,,-1)),"")</f>
        <v/>
      </c>
      <c r="O493" s="35" t="str">
        <f>IFERROR(_xlfn.XLOOKUP($C493,Log!D:D,Log!W:W,,,-1),"")</f>
        <v/>
      </c>
      <c r="P493" s="35" t="str">
        <f>IFERROR(_xlfn.XLOOKUP($C493,Log!D:D,Log!Y:Y,,,-1),"")</f>
        <v/>
      </c>
      <c r="Q493" s="130"/>
      <c r="R493" s="131" t="str">
        <f>IFERROR(IF(Tabela1[[#This Row],[Nome fantasia]]="","",_xlfn.XLOOKUP($C493,Log!D:D,Log!X:X,,,-1)),"")</f>
        <v/>
      </c>
    </row>
    <row r="494" spans="3:18" hidden="1" x14ac:dyDescent="0.2">
      <c r="C494" s="30" t="s">
        <v>1573</v>
      </c>
      <c r="D494" s="110" t="s">
        <v>1574</v>
      </c>
      <c r="E494" s="33" t="s">
        <v>17</v>
      </c>
      <c r="F494" s="38"/>
      <c r="G494" s="38"/>
      <c r="H494" s="31"/>
      <c r="I494" s="32"/>
      <c r="J494" s="32"/>
      <c r="K494" s="45" t="s">
        <v>888</v>
      </c>
      <c r="L494" s="129"/>
      <c r="M494" s="33" t="str">
        <f t="shared" si="7"/>
        <v/>
      </c>
      <c r="N494" s="34" t="str">
        <f>IFERROR(IF(Tabela1[[#This Row],[Nome fantasia]]="","",_xlfn.XLOOKUP($C494,Log!D:D,Log!B:B,,,-1)),"")</f>
        <v/>
      </c>
      <c r="O494" s="35" t="str">
        <f>IFERROR(_xlfn.XLOOKUP($C494,Log!D:D,Log!W:W,,,-1),"")</f>
        <v/>
      </c>
      <c r="P494" s="35" t="str">
        <f>IFERROR(_xlfn.XLOOKUP($C494,Log!D:D,Log!Y:Y,,,-1),"")</f>
        <v/>
      </c>
      <c r="Q494" s="130"/>
      <c r="R494" s="131" t="str">
        <f>IFERROR(IF(Tabela1[[#This Row],[Nome fantasia]]="","",_xlfn.XLOOKUP($C494,Log!D:D,Log!X:X,,,-1)),"")</f>
        <v/>
      </c>
    </row>
    <row r="495" spans="3:18" hidden="1" x14ac:dyDescent="0.2">
      <c r="C495" s="30" t="s">
        <v>1575</v>
      </c>
      <c r="D495" s="110" t="s">
        <v>1576</v>
      </c>
      <c r="E495" s="33" t="s">
        <v>46</v>
      </c>
      <c r="F495" s="38"/>
      <c r="G495" s="38"/>
      <c r="H495" s="31"/>
      <c r="I495" s="32"/>
      <c r="J495" s="32"/>
      <c r="K495" s="45" t="s">
        <v>888</v>
      </c>
      <c r="L495" s="129"/>
      <c r="M495" s="33" t="str">
        <f t="shared" si="7"/>
        <v/>
      </c>
      <c r="N495" s="34" t="str">
        <f>IFERROR(IF(Tabela1[[#This Row],[Nome fantasia]]="","",_xlfn.XLOOKUP($C495,Log!D:D,Log!B:B,,,-1)),"")</f>
        <v/>
      </c>
      <c r="O495" s="35" t="str">
        <f>IFERROR(_xlfn.XLOOKUP($C495,Log!D:D,Log!W:W,,,-1),"")</f>
        <v/>
      </c>
      <c r="P495" s="35" t="str">
        <f>IFERROR(_xlfn.XLOOKUP($C495,Log!D:D,Log!Y:Y,,,-1),"")</f>
        <v/>
      </c>
      <c r="Q495" s="130"/>
      <c r="R495" s="131" t="str">
        <f>IFERROR(IF(Tabela1[[#This Row],[Nome fantasia]]="","",_xlfn.XLOOKUP($C495,Log!D:D,Log!X:X,,,-1)),"")</f>
        <v/>
      </c>
    </row>
    <row r="496" spans="3:18" hidden="1" x14ac:dyDescent="0.2">
      <c r="C496" s="30" t="s">
        <v>1577</v>
      </c>
      <c r="D496" s="110" t="s">
        <v>1578</v>
      </c>
      <c r="E496" s="33" t="s">
        <v>17</v>
      </c>
      <c r="F496" s="38"/>
      <c r="G496" s="38"/>
      <c r="H496" s="31"/>
      <c r="I496" s="32"/>
      <c r="J496" s="32"/>
      <c r="K496" s="45" t="s">
        <v>888</v>
      </c>
      <c r="L496" s="129"/>
      <c r="M496" s="33" t="str">
        <f t="shared" si="7"/>
        <v/>
      </c>
      <c r="N496" s="34" t="str">
        <f>IFERROR(IF(Tabela1[[#This Row],[Nome fantasia]]="","",_xlfn.XLOOKUP($C496,Log!D:D,Log!B:B,,,-1)),"")</f>
        <v/>
      </c>
      <c r="O496" s="35" t="str">
        <f>IFERROR(_xlfn.XLOOKUP($C496,Log!D:D,Log!W:W,,,-1),"")</f>
        <v/>
      </c>
      <c r="P496" s="35" t="str">
        <f>IFERROR(_xlfn.XLOOKUP($C496,Log!D:D,Log!Y:Y,,,-1),"")</f>
        <v/>
      </c>
      <c r="Q496" s="130"/>
      <c r="R496" s="131" t="str">
        <f>IFERROR(IF(Tabela1[[#This Row],[Nome fantasia]]="","",_xlfn.XLOOKUP($C496,Log!D:D,Log!X:X,,,-1)),"")</f>
        <v/>
      </c>
    </row>
    <row r="497" spans="3:18" hidden="1" x14ac:dyDescent="0.2">
      <c r="C497" s="30" t="s">
        <v>1579</v>
      </c>
      <c r="D497" s="110" t="s">
        <v>1580</v>
      </c>
      <c r="E497" s="33" t="s">
        <v>17</v>
      </c>
      <c r="F497" s="38"/>
      <c r="G497" s="38"/>
      <c r="H497" s="31"/>
      <c r="I497" s="32"/>
      <c r="J497" s="32"/>
      <c r="K497" s="45" t="s">
        <v>888</v>
      </c>
      <c r="L497" s="129"/>
      <c r="M497" s="33" t="str">
        <f t="shared" si="7"/>
        <v/>
      </c>
      <c r="N497" s="34" t="str">
        <f>IFERROR(IF(Tabela1[[#This Row],[Nome fantasia]]="","",_xlfn.XLOOKUP($C497,Log!D:D,Log!B:B,,,-1)),"")</f>
        <v/>
      </c>
      <c r="O497" s="35" t="str">
        <f>IFERROR(_xlfn.XLOOKUP($C497,Log!D:D,Log!W:W,,,-1),"")</f>
        <v/>
      </c>
      <c r="P497" s="35" t="str">
        <f>IFERROR(_xlfn.XLOOKUP($C497,Log!D:D,Log!Y:Y,,,-1),"")</f>
        <v/>
      </c>
      <c r="Q497" s="130"/>
      <c r="R497" s="131" t="str">
        <f>IFERROR(IF(Tabela1[[#This Row],[Nome fantasia]]="","",_xlfn.XLOOKUP($C497,Log!D:D,Log!X:X,,,-1)),"")</f>
        <v/>
      </c>
    </row>
    <row r="498" spans="3:18" hidden="1" x14ac:dyDescent="0.2">
      <c r="C498" s="30" t="s">
        <v>1581</v>
      </c>
      <c r="D498" s="110" t="s">
        <v>1582</v>
      </c>
      <c r="E498" s="33" t="s">
        <v>46</v>
      </c>
      <c r="F498" s="38"/>
      <c r="G498" s="38"/>
      <c r="H498" s="31"/>
      <c r="I498" s="32"/>
      <c r="J498" s="32"/>
      <c r="K498" s="45" t="s">
        <v>888</v>
      </c>
      <c r="L498" s="129"/>
      <c r="M498" s="33" t="str">
        <f t="shared" si="7"/>
        <v/>
      </c>
      <c r="N498" s="34" t="str">
        <f>IFERROR(IF(Tabela1[[#This Row],[Nome fantasia]]="","",_xlfn.XLOOKUP($C498,Log!D:D,Log!B:B,,,-1)),"")</f>
        <v/>
      </c>
      <c r="O498" s="35" t="str">
        <f>IFERROR(_xlfn.XLOOKUP($C498,Log!D:D,Log!W:W,,,-1),"")</f>
        <v/>
      </c>
      <c r="P498" s="35" t="str">
        <f>IFERROR(_xlfn.XLOOKUP($C498,Log!D:D,Log!Y:Y,,,-1),"")</f>
        <v/>
      </c>
      <c r="Q498" s="130"/>
      <c r="R498" s="131" t="str">
        <f>IFERROR(IF(Tabela1[[#This Row],[Nome fantasia]]="","",_xlfn.XLOOKUP($C498,Log!D:D,Log!X:X,,,-1)),"")</f>
        <v/>
      </c>
    </row>
    <row r="499" spans="3:18" hidden="1" x14ac:dyDescent="0.2">
      <c r="C499" s="30" t="s">
        <v>1583</v>
      </c>
      <c r="D499" s="110" t="s">
        <v>1584</v>
      </c>
      <c r="E499" s="33" t="s">
        <v>46</v>
      </c>
      <c r="F499" s="38"/>
      <c r="G499" s="38"/>
      <c r="H499" s="31"/>
      <c r="I499" s="32"/>
      <c r="J499" s="32"/>
      <c r="K499" s="45" t="s">
        <v>888</v>
      </c>
      <c r="L499" s="129"/>
      <c r="M499" s="33" t="str">
        <f t="shared" si="7"/>
        <v/>
      </c>
      <c r="N499" s="34" t="str">
        <f>IFERROR(IF(Tabela1[[#This Row],[Nome fantasia]]="","",_xlfn.XLOOKUP($C499,Log!D:D,Log!B:B,,,-1)),"")</f>
        <v/>
      </c>
      <c r="O499" s="35" t="str">
        <f>IFERROR(_xlfn.XLOOKUP($C499,Log!D:D,Log!W:W,,,-1),"")</f>
        <v/>
      </c>
      <c r="P499" s="35" t="str">
        <f>IFERROR(_xlfn.XLOOKUP($C499,Log!D:D,Log!Y:Y,,,-1),"")</f>
        <v/>
      </c>
      <c r="Q499" s="130"/>
      <c r="R499" s="131" t="str">
        <f>IFERROR(IF(Tabela1[[#This Row],[Nome fantasia]]="","",_xlfn.XLOOKUP($C499,Log!D:D,Log!X:X,,,-1)),"")</f>
        <v/>
      </c>
    </row>
    <row r="500" spans="3:18" hidden="1" x14ac:dyDescent="0.2">
      <c r="C500" s="30" t="s">
        <v>1585</v>
      </c>
      <c r="D500" s="110" t="s">
        <v>1586</v>
      </c>
      <c r="E500" s="33" t="s">
        <v>46</v>
      </c>
      <c r="F500" s="38"/>
      <c r="G500" s="38"/>
      <c r="H500" s="31"/>
      <c r="I500" s="32"/>
      <c r="J500" s="32"/>
      <c r="K500" s="45" t="s">
        <v>888</v>
      </c>
      <c r="L500" s="129"/>
      <c r="M500" s="33" t="str">
        <f t="shared" si="7"/>
        <v/>
      </c>
      <c r="N500" s="34" t="str">
        <f>IFERROR(IF(Tabela1[[#This Row],[Nome fantasia]]="","",_xlfn.XLOOKUP($C500,Log!D:D,Log!B:B,,,-1)),"")</f>
        <v/>
      </c>
      <c r="O500" s="35" t="str">
        <f>IFERROR(_xlfn.XLOOKUP($C500,Log!D:D,Log!W:W,,,-1),"")</f>
        <v/>
      </c>
      <c r="P500" s="35" t="str">
        <f>IFERROR(_xlfn.XLOOKUP($C500,Log!D:D,Log!Y:Y,,,-1),"")</f>
        <v/>
      </c>
      <c r="Q500" s="130"/>
      <c r="R500" s="131" t="str">
        <f>IFERROR(IF(Tabela1[[#This Row],[Nome fantasia]]="","",_xlfn.XLOOKUP($C500,Log!D:D,Log!X:X,,,-1)),"")</f>
        <v/>
      </c>
    </row>
    <row r="501" spans="3:18" hidden="1" x14ac:dyDescent="0.2">
      <c r="C501" s="30" t="s">
        <v>1587</v>
      </c>
      <c r="D501" s="110" t="s">
        <v>1588</v>
      </c>
      <c r="E501" s="33" t="s">
        <v>22</v>
      </c>
      <c r="F501" s="38"/>
      <c r="G501" s="38"/>
      <c r="H501" s="31"/>
      <c r="I501" s="32"/>
      <c r="J501" s="32"/>
      <c r="K501" s="45" t="s">
        <v>888</v>
      </c>
      <c r="L501" s="129"/>
      <c r="M501" s="33" t="str">
        <f t="shared" si="7"/>
        <v/>
      </c>
      <c r="N501" s="34" t="str">
        <f>IFERROR(IF(Tabela1[[#This Row],[Nome fantasia]]="","",_xlfn.XLOOKUP($C501,Log!D:D,Log!B:B,,,-1)),"")</f>
        <v/>
      </c>
      <c r="O501" s="35" t="str">
        <f>IFERROR(_xlfn.XLOOKUP($C501,Log!D:D,Log!W:W,,,-1),"")</f>
        <v/>
      </c>
      <c r="P501" s="35" t="str">
        <f>IFERROR(_xlfn.XLOOKUP($C501,Log!D:D,Log!Y:Y,,,-1),"")</f>
        <v/>
      </c>
      <c r="Q501" s="130"/>
      <c r="R501" s="131" t="str">
        <f>IFERROR(IF(Tabela1[[#This Row],[Nome fantasia]]="","",_xlfn.XLOOKUP($C501,Log!D:D,Log!X:X,,,-1)),"")</f>
        <v/>
      </c>
    </row>
    <row r="502" spans="3:18" hidden="1" x14ac:dyDescent="0.2">
      <c r="C502" s="30" t="s">
        <v>1589</v>
      </c>
      <c r="D502" s="110" t="s">
        <v>1590</v>
      </c>
      <c r="E502" s="33" t="s">
        <v>17</v>
      </c>
      <c r="F502" s="38"/>
      <c r="G502" s="38"/>
      <c r="H502" s="31"/>
      <c r="I502" s="32"/>
      <c r="J502" s="32"/>
      <c r="K502" s="45" t="s">
        <v>888</v>
      </c>
      <c r="L502" s="129"/>
      <c r="M502" s="33" t="str">
        <f t="shared" si="7"/>
        <v/>
      </c>
      <c r="N502" s="34" t="str">
        <f>IFERROR(IF(Tabela1[[#This Row],[Nome fantasia]]="","",_xlfn.XLOOKUP($C502,Log!D:D,Log!B:B,,,-1)),"")</f>
        <v/>
      </c>
      <c r="O502" s="35" t="str">
        <f>IFERROR(_xlfn.XLOOKUP($C502,Log!D:D,Log!W:W,,,-1),"")</f>
        <v/>
      </c>
      <c r="P502" s="35" t="str">
        <f>IFERROR(_xlfn.XLOOKUP($C502,Log!D:D,Log!Y:Y,,,-1),"")</f>
        <v/>
      </c>
      <c r="Q502" s="130"/>
      <c r="R502" s="131" t="str">
        <f>IFERROR(IF(Tabela1[[#This Row],[Nome fantasia]]="","",_xlfn.XLOOKUP($C502,Log!D:D,Log!X:X,,,-1)),"")</f>
        <v/>
      </c>
    </row>
    <row r="503" spans="3:18" hidden="1" x14ac:dyDescent="0.2">
      <c r="C503" s="30" t="s">
        <v>1591</v>
      </c>
      <c r="D503" s="110" t="s">
        <v>1592</v>
      </c>
      <c r="E503" s="33" t="s">
        <v>46</v>
      </c>
      <c r="F503" s="38"/>
      <c r="G503" s="38"/>
      <c r="H503" s="31"/>
      <c r="I503" s="32"/>
      <c r="J503" s="32"/>
      <c r="K503" s="45" t="s">
        <v>888</v>
      </c>
      <c r="L503" s="129"/>
      <c r="M503" s="33" t="str">
        <f t="shared" si="7"/>
        <v/>
      </c>
      <c r="N503" s="34" t="str">
        <f>IFERROR(IF(Tabela1[[#This Row],[Nome fantasia]]="","",_xlfn.XLOOKUP($C503,Log!D:D,Log!B:B,,,-1)),"")</f>
        <v/>
      </c>
      <c r="O503" s="35" t="str">
        <f>IFERROR(_xlfn.XLOOKUP($C503,Log!D:D,Log!W:W,,,-1),"")</f>
        <v/>
      </c>
      <c r="P503" s="35" t="str">
        <f>IFERROR(_xlfn.XLOOKUP($C503,Log!D:D,Log!Y:Y,,,-1),"")</f>
        <v/>
      </c>
      <c r="Q503" s="130"/>
      <c r="R503" s="131" t="str">
        <f>IFERROR(IF(Tabela1[[#This Row],[Nome fantasia]]="","",_xlfn.XLOOKUP($C503,Log!D:D,Log!X:X,,,-1)),"")</f>
        <v/>
      </c>
    </row>
    <row r="504" spans="3:18" hidden="1" x14ac:dyDescent="0.2">
      <c r="C504" s="30"/>
      <c r="D504" s="110" t="s">
        <v>1593</v>
      </c>
      <c r="E504" s="33" t="s">
        <v>46</v>
      </c>
      <c r="F504" s="38"/>
      <c r="G504" s="38"/>
      <c r="H504" s="31"/>
      <c r="I504" s="32"/>
      <c r="J504" s="32"/>
      <c r="K504" s="45" t="s">
        <v>888</v>
      </c>
      <c r="L504" s="129"/>
      <c r="M504" s="33" t="str">
        <f t="shared" si="7"/>
        <v/>
      </c>
      <c r="N504" s="34" t="str">
        <f>IFERROR(IF(Tabela1[[#This Row],[Nome fantasia]]="","",_xlfn.XLOOKUP($C504,Log!D:D,Log!B:B,,,-1)),"")</f>
        <v/>
      </c>
      <c r="O504" s="35">
        <f>IFERROR(_xlfn.XLOOKUP($C504,Log!D:D,Log!W:W,,,-1),"")</f>
        <v>0</v>
      </c>
      <c r="P504" s="35">
        <f>IFERROR(_xlfn.XLOOKUP($C504,Log!D:D,Log!Y:Y,,,-1),"")</f>
        <v>0</v>
      </c>
      <c r="Q504" s="130"/>
      <c r="R504" s="131" t="str">
        <f>IFERROR(IF(Tabela1[[#This Row],[Nome fantasia]]="","",_xlfn.XLOOKUP($C504,Log!D:D,Log!X:X,,,-1)),"")</f>
        <v/>
      </c>
    </row>
    <row r="505" spans="3:18" hidden="1" x14ac:dyDescent="0.2">
      <c r="C505" s="30" t="s">
        <v>1478</v>
      </c>
      <c r="D505" s="110" t="s">
        <v>1594</v>
      </c>
      <c r="E505" s="33" t="s">
        <v>46</v>
      </c>
      <c r="F505" s="38"/>
      <c r="G505" s="38"/>
      <c r="H505" s="31"/>
      <c r="I505" s="32"/>
      <c r="J505" s="32"/>
      <c r="K505" s="45" t="s">
        <v>888</v>
      </c>
      <c r="L505" s="129"/>
      <c r="M505" s="33" t="str">
        <f t="shared" si="7"/>
        <v/>
      </c>
      <c r="N505" s="34" t="str">
        <f>IFERROR(IF(Tabela1[[#This Row],[Nome fantasia]]="","",_xlfn.XLOOKUP($C505,Log!D:D,Log!B:B,,,-1)),"")</f>
        <v/>
      </c>
      <c r="O505" s="35" t="str">
        <f>IFERROR(_xlfn.XLOOKUP($C505,Log!D:D,Log!W:W,,,-1),"")</f>
        <v/>
      </c>
      <c r="P505" s="35" t="str">
        <f>IFERROR(_xlfn.XLOOKUP($C505,Log!D:D,Log!Y:Y,,,-1),"")</f>
        <v/>
      </c>
      <c r="Q505" s="130"/>
      <c r="R505" s="131" t="str">
        <f>IFERROR(IF(Tabela1[[#This Row],[Nome fantasia]]="","",_xlfn.XLOOKUP($C505,Log!D:D,Log!X:X,,,-1)),"")</f>
        <v/>
      </c>
    </row>
    <row r="506" spans="3:18" hidden="1" x14ac:dyDescent="0.2">
      <c r="C506" s="30" t="s">
        <v>1492</v>
      </c>
      <c r="D506" s="110" t="s">
        <v>1595</v>
      </c>
      <c r="E506" s="33" t="s">
        <v>46</v>
      </c>
      <c r="F506" s="38"/>
      <c r="G506" s="38"/>
      <c r="H506" s="31"/>
      <c r="I506" s="32"/>
      <c r="J506" s="32"/>
      <c r="K506" s="45" t="s">
        <v>888</v>
      </c>
      <c r="L506" s="129"/>
      <c r="M506" s="33" t="str">
        <f t="shared" si="7"/>
        <v/>
      </c>
      <c r="N506" s="34" t="str">
        <f>IFERROR(IF(Tabela1[[#This Row],[Nome fantasia]]="","",_xlfn.XLOOKUP($C506,Log!D:D,Log!B:B,,,-1)),"")</f>
        <v/>
      </c>
      <c r="O506" s="35" t="str">
        <f>IFERROR(_xlfn.XLOOKUP($C506,Log!D:D,Log!W:W,,,-1),"")</f>
        <v/>
      </c>
      <c r="P506" s="35" t="str">
        <f>IFERROR(_xlfn.XLOOKUP($C506,Log!D:D,Log!Y:Y,,,-1),"")</f>
        <v/>
      </c>
      <c r="Q506" s="130"/>
      <c r="R506" s="131" t="str">
        <f>IFERROR(IF(Tabela1[[#This Row],[Nome fantasia]]="","",_xlfn.XLOOKUP($C506,Log!D:D,Log!X:X,,,-1)),"")</f>
        <v/>
      </c>
    </row>
    <row r="507" spans="3:18" hidden="1" x14ac:dyDescent="0.2">
      <c r="C507" s="30" t="s">
        <v>1596</v>
      </c>
      <c r="D507" s="110" t="s">
        <v>1597</v>
      </c>
      <c r="E507" s="33" t="s">
        <v>46</v>
      </c>
      <c r="F507" s="38"/>
      <c r="G507" s="38"/>
      <c r="H507" s="31"/>
      <c r="I507" s="32"/>
      <c r="J507" s="32"/>
      <c r="K507" s="45" t="s">
        <v>888</v>
      </c>
      <c r="L507" s="129"/>
      <c r="M507" s="33" t="str">
        <f t="shared" si="7"/>
        <v/>
      </c>
      <c r="N507" s="34" t="str">
        <f>IFERROR(IF(Tabela1[[#This Row],[Nome fantasia]]="","",_xlfn.XLOOKUP($C507,Log!D:D,Log!B:B,,,-1)),"")</f>
        <v/>
      </c>
      <c r="O507" s="35" t="str">
        <f>IFERROR(_xlfn.XLOOKUP($C507,Log!D:D,Log!W:W,,,-1),"")</f>
        <v/>
      </c>
      <c r="P507" s="35" t="str">
        <f>IFERROR(_xlfn.XLOOKUP($C507,Log!D:D,Log!Y:Y,,,-1),"")</f>
        <v/>
      </c>
      <c r="Q507" s="130"/>
      <c r="R507" s="131" t="str">
        <f>IFERROR(IF(Tabela1[[#This Row],[Nome fantasia]]="","",_xlfn.XLOOKUP($C507,Log!D:D,Log!X:X,,,-1)),"")</f>
        <v/>
      </c>
    </row>
    <row r="508" spans="3:18" hidden="1" x14ac:dyDescent="0.2">
      <c r="C508" s="30" t="s">
        <v>1598</v>
      </c>
      <c r="D508" s="110" t="s">
        <v>1599</v>
      </c>
      <c r="E508" s="33" t="s">
        <v>22</v>
      </c>
      <c r="F508" s="38"/>
      <c r="G508" s="38"/>
      <c r="H508" s="31"/>
      <c r="I508" s="32"/>
      <c r="J508" s="32"/>
      <c r="K508" s="45" t="s">
        <v>888</v>
      </c>
      <c r="L508" s="129"/>
      <c r="M508" s="33" t="str">
        <f t="shared" si="7"/>
        <v/>
      </c>
      <c r="N508" s="34" t="str">
        <f>IFERROR(IF(Tabela1[[#This Row],[Nome fantasia]]="","",_xlfn.XLOOKUP($C508,Log!D:D,Log!B:B,,,-1)),"")</f>
        <v/>
      </c>
      <c r="O508" s="35" t="str">
        <f>IFERROR(_xlfn.XLOOKUP($C508,Log!D:D,Log!W:W,,,-1),"")</f>
        <v/>
      </c>
      <c r="P508" s="35" t="str">
        <f>IFERROR(_xlfn.XLOOKUP($C508,Log!D:D,Log!Y:Y,,,-1),"")</f>
        <v/>
      </c>
      <c r="Q508" s="130"/>
      <c r="R508" s="131" t="str">
        <f>IFERROR(IF(Tabela1[[#This Row],[Nome fantasia]]="","",_xlfn.XLOOKUP($C508,Log!D:D,Log!X:X,,,-1)),"")</f>
        <v/>
      </c>
    </row>
    <row r="509" spans="3:18" hidden="1" x14ac:dyDescent="0.2">
      <c r="C509" s="30" t="s">
        <v>1600</v>
      </c>
      <c r="D509" s="110" t="s">
        <v>1601</v>
      </c>
      <c r="E509" s="33" t="s">
        <v>46</v>
      </c>
      <c r="F509" s="38"/>
      <c r="G509" s="38"/>
      <c r="H509" s="31"/>
      <c r="I509" s="32"/>
      <c r="J509" s="32"/>
      <c r="K509" s="45" t="s">
        <v>888</v>
      </c>
      <c r="L509" s="129"/>
      <c r="M509" s="33" t="str">
        <f t="shared" si="7"/>
        <v/>
      </c>
      <c r="N509" s="34" t="str">
        <f>IFERROR(IF(Tabela1[[#This Row],[Nome fantasia]]="","",_xlfn.XLOOKUP($C509,Log!D:D,Log!B:B,,,-1)),"")</f>
        <v/>
      </c>
      <c r="O509" s="35" t="str">
        <f>IFERROR(_xlfn.XLOOKUP($C509,Log!D:D,Log!W:W,,,-1),"")</f>
        <v/>
      </c>
      <c r="P509" s="35" t="str">
        <f>IFERROR(_xlfn.XLOOKUP($C509,Log!D:D,Log!Y:Y,,,-1),"")</f>
        <v/>
      </c>
      <c r="Q509" s="130"/>
      <c r="R509" s="131" t="str">
        <f>IFERROR(IF(Tabela1[[#This Row],[Nome fantasia]]="","",_xlfn.XLOOKUP($C509,Log!D:D,Log!X:X,,,-1)),"")</f>
        <v/>
      </c>
    </row>
    <row r="510" spans="3:18" hidden="1" x14ac:dyDescent="0.2">
      <c r="C510" s="30" t="s">
        <v>1602</v>
      </c>
      <c r="D510" s="110" t="s">
        <v>1603</v>
      </c>
      <c r="E510" s="33" t="s">
        <v>46</v>
      </c>
      <c r="F510" s="38"/>
      <c r="G510" s="38"/>
      <c r="H510" s="31"/>
      <c r="I510" s="32"/>
      <c r="J510" s="32"/>
      <c r="K510" s="45" t="s">
        <v>888</v>
      </c>
      <c r="L510" s="129"/>
      <c r="M510" s="33" t="str">
        <f t="shared" si="7"/>
        <v/>
      </c>
      <c r="N510" s="34" t="str">
        <f>IFERROR(IF(Tabela1[[#This Row],[Nome fantasia]]="","",_xlfn.XLOOKUP($C510,Log!D:D,Log!B:B,,,-1)),"")</f>
        <v/>
      </c>
      <c r="O510" s="35" t="str">
        <f>IFERROR(_xlfn.XLOOKUP($C510,Log!D:D,Log!W:W,,,-1),"")</f>
        <v/>
      </c>
      <c r="P510" s="35" t="str">
        <f>IFERROR(_xlfn.XLOOKUP($C510,Log!D:D,Log!Y:Y,,,-1),"")</f>
        <v/>
      </c>
      <c r="Q510" s="130"/>
      <c r="R510" s="131" t="str">
        <f>IFERROR(IF(Tabela1[[#This Row],[Nome fantasia]]="","",_xlfn.XLOOKUP($C510,Log!D:D,Log!X:X,,,-1)),"")</f>
        <v/>
      </c>
    </row>
    <row r="511" spans="3:18" hidden="1" x14ac:dyDescent="0.2">
      <c r="C511" s="30" t="s">
        <v>1604</v>
      </c>
      <c r="D511" s="110" t="s">
        <v>1605</v>
      </c>
      <c r="E511" s="33" t="s">
        <v>46</v>
      </c>
      <c r="F511" s="38"/>
      <c r="G511" s="38"/>
      <c r="H511" s="31"/>
      <c r="I511" s="32"/>
      <c r="J511" s="32"/>
      <c r="K511" s="45" t="s">
        <v>888</v>
      </c>
      <c r="L511" s="129"/>
      <c r="M511" s="33" t="str">
        <f t="shared" si="7"/>
        <v/>
      </c>
      <c r="N511" s="34" t="str">
        <f>IFERROR(IF(Tabela1[[#This Row],[Nome fantasia]]="","",_xlfn.XLOOKUP($C511,Log!D:D,Log!B:B,,,-1)),"")</f>
        <v/>
      </c>
      <c r="O511" s="35" t="str">
        <f>IFERROR(_xlfn.XLOOKUP($C511,Log!D:D,Log!W:W,,,-1),"")</f>
        <v/>
      </c>
      <c r="P511" s="35" t="str">
        <f>IFERROR(_xlfn.XLOOKUP($C511,Log!D:D,Log!Y:Y,,,-1),"")</f>
        <v/>
      </c>
      <c r="Q511" s="130"/>
      <c r="R511" s="131" t="str">
        <f>IFERROR(IF(Tabela1[[#This Row],[Nome fantasia]]="","",_xlfn.XLOOKUP($C511,Log!D:D,Log!X:X,,,-1)),"")</f>
        <v/>
      </c>
    </row>
    <row r="512" spans="3:18" hidden="1" x14ac:dyDescent="0.2">
      <c r="C512" s="30" t="s">
        <v>1606</v>
      </c>
      <c r="D512" s="110" t="s">
        <v>1607</v>
      </c>
      <c r="E512" s="33" t="s">
        <v>17</v>
      </c>
      <c r="F512" s="38"/>
      <c r="G512" s="38"/>
      <c r="H512" s="31"/>
      <c r="I512" s="32"/>
      <c r="J512" s="32"/>
      <c r="K512" s="45" t="s">
        <v>888</v>
      </c>
      <c r="L512" s="129"/>
      <c r="M512" s="33" t="str">
        <f t="shared" si="7"/>
        <v/>
      </c>
      <c r="N512" s="34" t="str">
        <f>IFERROR(IF(Tabela1[[#This Row],[Nome fantasia]]="","",_xlfn.XLOOKUP($C512,Log!D:D,Log!B:B,,,-1)),"")</f>
        <v/>
      </c>
      <c r="O512" s="35" t="str">
        <f>IFERROR(_xlfn.XLOOKUP($C512,Log!D:D,Log!W:W,,,-1),"")</f>
        <v/>
      </c>
      <c r="P512" s="35" t="str">
        <f>IFERROR(_xlfn.XLOOKUP($C512,Log!D:D,Log!Y:Y,,,-1),"")</f>
        <v/>
      </c>
      <c r="Q512" s="130"/>
      <c r="R512" s="131" t="str">
        <f>IFERROR(IF(Tabela1[[#This Row],[Nome fantasia]]="","",_xlfn.XLOOKUP($C512,Log!D:D,Log!X:X,,,-1)),"")</f>
        <v/>
      </c>
    </row>
    <row r="513" spans="3:18" hidden="1" x14ac:dyDescent="0.2">
      <c r="C513" s="30" t="s">
        <v>1608</v>
      </c>
      <c r="D513" s="110" t="s">
        <v>1609</v>
      </c>
      <c r="E513" s="33" t="s">
        <v>22</v>
      </c>
      <c r="F513" s="38"/>
      <c r="G513" s="38"/>
      <c r="H513" s="31"/>
      <c r="I513" s="32"/>
      <c r="J513" s="32"/>
      <c r="K513" s="45" t="s">
        <v>888</v>
      </c>
      <c r="L513" s="129"/>
      <c r="M513" s="33" t="str">
        <f t="shared" si="7"/>
        <v/>
      </c>
      <c r="N513" s="34" t="str">
        <f>IFERROR(IF(Tabela1[[#This Row],[Nome fantasia]]="","",_xlfn.XLOOKUP($C513,Log!D:D,Log!B:B,,,-1)),"")</f>
        <v/>
      </c>
      <c r="O513" s="35" t="str">
        <f>IFERROR(_xlfn.XLOOKUP($C513,Log!D:D,Log!W:W,,,-1),"")</f>
        <v/>
      </c>
      <c r="P513" s="35" t="str">
        <f>IFERROR(_xlfn.XLOOKUP($C513,Log!D:D,Log!Y:Y,,,-1),"")</f>
        <v/>
      </c>
      <c r="Q513" s="130"/>
      <c r="R513" s="131" t="str">
        <f>IFERROR(IF(Tabela1[[#This Row],[Nome fantasia]]="","",_xlfn.XLOOKUP($C513,Log!D:D,Log!X:X,,,-1)),"")</f>
        <v/>
      </c>
    </row>
    <row r="514" spans="3:18" hidden="1" x14ac:dyDescent="0.2">
      <c r="C514" s="30" t="s">
        <v>1610</v>
      </c>
      <c r="D514" s="110" t="s">
        <v>1611</v>
      </c>
      <c r="E514" s="33" t="s">
        <v>22</v>
      </c>
      <c r="F514" s="38"/>
      <c r="G514" s="38"/>
      <c r="H514" s="31"/>
      <c r="I514" s="32"/>
      <c r="J514" s="32"/>
      <c r="K514" s="45" t="s">
        <v>888</v>
      </c>
      <c r="L514" s="129"/>
      <c r="M514" s="33" t="str">
        <f t="shared" si="7"/>
        <v/>
      </c>
      <c r="N514" s="34" t="str">
        <f>IFERROR(IF(Tabela1[[#This Row],[Nome fantasia]]="","",_xlfn.XLOOKUP($C514,Log!D:D,Log!B:B,,,-1)),"")</f>
        <v/>
      </c>
      <c r="O514" s="35" t="str">
        <f>IFERROR(_xlfn.XLOOKUP($C514,Log!D:D,Log!W:W,,,-1),"")</f>
        <v/>
      </c>
      <c r="P514" s="35" t="str">
        <f>IFERROR(_xlfn.XLOOKUP($C514,Log!D:D,Log!Y:Y,,,-1),"")</f>
        <v/>
      </c>
      <c r="Q514" s="130"/>
      <c r="R514" s="131" t="str">
        <f>IFERROR(IF(Tabela1[[#This Row],[Nome fantasia]]="","",_xlfn.XLOOKUP($C514,Log!D:D,Log!X:X,,,-1)),"")</f>
        <v/>
      </c>
    </row>
    <row r="515" spans="3:18" hidden="1" x14ac:dyDescent="0.2">
      <c r="C515" s="30" t="s">
        <v>1612</v>
      </c>
      <c r="D515" s="110" t="s">
        <v>1613</v>
      </c>
      <c r="E515" s="33" t="s">
        <v>46</v>
      </c>
      <c r="F515" s="38"/>
      <c r="G515" s="38"/>
      <c r="H515" s="31"/>
      <c r="I515" s="32"/>
      <c r="J515" s="32"/>
      <c r="K515" s="45" t="s">
        <v>888</v>
      </c>
      <c r="L515" s="129"/>
      <c r="M515" s="33" t="str">
        <f t="shared" ref="M515:M578" si="8">IF(OR(J515&lt;=0,J515=""),"","Recompra")</f>
        <v/>
      </c>
      <c r="N515" s="34" t="str">
        <f>IFERROR(IF(Tabela1[[#This Row],[Nome fantasia]]="","",_xlfn.XLOOKUP($C515,Log!D:D,Log!B:B,,,-1)),"")</f>
        <v/>
      </c>
      <c r="O515" s="35" t="str">
        <f>IFERROR(_xlfn.XLOOKUP($C515,Log!D:D,Log!W:W,,,-1),"")</f>
        <v/>
      </c>
      <c r="P515" s="35" t="str">
        <f>IFERROR(_xlfn.XLOOKUP($C515,Log!D:D,Log!Y:Y,,,-1),"")</f>
        <v/>
      </c>
      <c r="Q515" s="130"/>
      <c r="R515" s="131" t="str">
        <f>IFERROR(IF(Tabela1[[#This Row],[Nome fantasia]]="","",_xlfn.XLOOKUP($C515,Log!D:D,Log!X:X,,,-1)),"")</f>
        <v/>
      </c>
    </row>
    <row r="516" spans="3:18" hidden="1" x14ac:dyDescent="0.2">
      <c r="C516" s="30" t="s">
        <v>1614</v>
      </c>
      <c r="D516" s="110" t="s">
        <v>1615</v>
      </c>
      <c r="E516" s="33" t="s">
        <v>46</v>
      </c>
      <c r="F516" s="38"/>
      <c r="G516" s="38"/>
      <c r="H516" s="31"/>
      <c r="I516" s="32"/>
      <c r="J516" s="32"/>
      <c r="K516" s="45" t="s">
        <v>888</v>
      </c>
      <c r="L516" s="129"/>
      <c r="M516" s="33" t="str">
        <f t="shared" si="8"/>
        <v/>
      </c>
      <c r="N516" s="34" t="str">
        <f>IFERROR(IF(Tabela1[[#This Row],[Nome fantasia]]="","",_xlfn.XLOOKUP($C516,Log!D:D,Log!B:B,,,-1)),"")</f>
        <v/>
      </c>
      <c r="O516" s="35" t="str">
        <f>IFERROR(_xlfn.XLOOKUP($C516,Log!D:D,Log!W:W,,,-1),"")</f>
        <v/>
      </c>
      <c r="P516" s="35" t="str">
        <f>IFERROR(_xlfn.XLOOKUP($C516,Log!D:D,Log!Y:Y,,,-1),"")</f>
        <v/>
      </c>
      <c r="Q516" s="130"/>
      <c r="R516" s="131" t="str">
        <f>IFERROR(IF(Tabela1[[#This Row],[Nome fantasia]]="","",_xlfn.XLOOKUP($C516,Log!D:D,Log!X:X,,,-1)),"")</f>
        <v/>
      </c>
    </row>
    <row r="517" spans="3:18" hidden="1" x14ac:dyDescent="0.2">
      <c r="C517" s="30" t="s">
        <v>1616</v>
      </c>
      <c r="D517" s="110" t="s">
        <v>1617</v>
      </c>
      <c r="E517" s="33" t="s">
        <v>46</v>
      </c>
      <c r="F517" s="38"/>
      <c r="G517" s="38"/>
      <c r="H517" s="31"/>
      <c r="I517" s="32"/>
      <c r="J517" s="32"/>
      <c r="K517" s="45" t="s">
        <v>888</v>
      </c>
      <c r="L517" s="129"/>
      <c r="M517" s="33" t="str">
        <f t="shared" si="8"/>
        <v/>
      </c>
      <c r="N517" s="34" t="str">
        <f>IFERROR(IF(Tabela1[[#This Row],[Nome fantasia]]="","",_xlfn.XLOOKUP($C517,Log!D:D,Log!B:B,,,-1)),"")</f>
        <v/>
      </c>
      <c r="O517" s="35" t="str">
        <f>IFERROR(_xlfn.XLOOKUP($C517,Log!D:D,Log!W:W,,,-1),"")</f>
        <v/>
      </c>
      <c r="P517" s="35" t="str">
        <f>IFERROR(_xlfn.XLOOKUP($C517,Log!D:D,Log!Y:Y,,,-1),"")</f>
        <v/>
      </c>
      <c r="Q517" s="130"/>
      <c r="R517" s="131" t="str">
        <f>IFERROR(IF(Tabela1[[#This Row],[Nome fantasia]]="","",_xlfn.XLOOKUP($C517,Log!D:D,Log!X:X,,,-1)),"")</f>
        <v/>
      </c>
    </row>
    <row r="518" spans="3:18" hidden="1" x14ac:dyDescent="0.2">
      <c r="C518" s="30" t="s">
        <v>1618</v>
      </c>
      <c r="D518" s="110" t="s">
        <v>1619</v>
      </c>
      <c r="E518" s="33" t="s">
        <v>22</v>
      </c>
      <c r="F518" s="38"/>
      <c r="G518" s="38"/>
      <c r="H518" s="31"/>
      <c r="I518" s="32"/>
      <c r="J518" s="32"/>
      <c r="K518" s="45" t="s">
        <v>888</v>
      </c>
      <c r="L518" s="129"/>
      <c r="M518" s="33" t="str">
        <f t="shared" si="8"/>
        <v/>
      </c>
      <c r="N518" s="34" t="str">
        <f>IFERROR(IF(Tabela1[[#This Row],[Nome fantasia]]="","",_xlfn.XLOOKUP($C518,Log!D:D,Log!B:B,,,-1)),"")</f>
        <v/>
      </c>
      <c r="O518" s="35" t="str">
        <f>IFERROR(_xlfn.XLOOKUP($C518,Log!D:D,Log!W:W,,,-1),"")</f>
        <v/>
      </c>
      <c r="P518" s="35" t="str">
        <f>IFERROR(_xlfn.XLOOKUP($C518,Log!D:D,Log!Y:Y,,,-1),"")</f>
        <v/>
      </c>
      <c r="Q518" s="130"/>
      <c r="R518" s="131" t="str">
        <f>IFERROR(IF(Tabela1[[#This Row],[Nome fantasia]]="","",_xlfn.XLOOKUP($C518,Log!D:D,Log!X:X,,,-1)),"")</f>
        <v/>
      </c>
    </row>
    <row r="519" spans="3:18" hidden="1" x14ac:dyDescent="0.2">
      <c r="C519" s="30" t="s">
        <v>1620</v>
      </c>
      <c r="D519" s="110" t="s">
        <v>1621</v>
      </c>
      <c r="E519" s="33" t="s">
        <v>46</v>
      </c>
      <c r="F519" s="38"/>
      <c r="G519" s="38"/>
      <c r="H519" s="31"/>
      <c r="I519" s="32"/>
      <c r="J519" s="32"/>
      <c r="K519" s="45" t="s">
        <v>888</v>
      </c>
      <c r="L519" s="129"/>
      <c r="M519" s="33" t="str">
        <f t="shared" si="8"/>
        <v/>
      </c>
      <c r="N519" s="34" t="str">
        <f>IFERROR(IF(Tabela1[[#This Row],[Nome fantasia]]="","",_xlfn.XLOOKUP($C519,Log!D:D,Log!B:B,,,-1)),"")</f>
        <v/>
      </c>
      <c r="O519" s="35" t="str">
        <f>IFERROR(_xlfn.XLOOKUP($C519,Log!D:D,Log!W:W,,,-1),"")</f>
        <v/>
      </c>
      <c r="P519" s="35" t="str">
        <f>IFERROR(_xlfn.XLOOKUP($C519,Log!D:D,Log!Y:Y,,,-1),"")</f>
        <v/>
      </c>
      <c r="Q519" s="130"/>
      <c r="R519" s="131" t="str">
        <f>IFERROR(IF(Tabela1[[#This Row],[Nome fantasia]]="","",_xlfn.XLOOKUP($C519,Log!D:D,Log!X:X,,,-1)),"")</f>
        <v/>
      </c>
    </row>
    <row r="520" spans="3:18" hidden="1" x14ac:dyDescent="0.2">
      <c r="C520" s="30" t="s">
        <v>1604</v>
      </c>
      <c r="D520" s="110" t="s">
        <v>1622</v>
      </c>
      <c r="E520" s="33" t="s">
        <v>46</v>
      </c>
      <c r="F520" s="38"/>
      <c r="G520" s="38"/>
      <c r="H520" s="31"/>
      <c r="I520" s="32"/>
      <c r="J520" s="32"/>
      <c r="K520" s="45" t="s">
        <v>888</v>
      </c>
      <c r="L520" s="129"/>
      <c r="M520" s="33" t="str">
        <f t="shared" si="8"/>
        <v/>
      </c>
      <c r="N520" s="34" t="str">
        <f>IFERROR(IF(Tabela1[[#This Row],[Nome fantasia]]="","",_xlfn.XLOOKUP($C520,Log!D:D,Log!B:B,,,-1)),"")</f>
        <v/>
      </c>
      <c r="O520" s="35" t="str">
        <f>IFERROR(_xlfn.XLOOKUP($C520,Log!D:D,Log!W:W,,,-1),"")</f>
        <v/>
      </c>
      <c r="P520" s="35" t="str">
        <f>IFERROR(_xlfn.XLOOKUP($C520,Log!D:D,Log!Y:Y,,,-1),"")</f>
        <v/>
      </c>
      <c r="Q520" s="130"/>
      <c r="R520" s="131" t="str">
        <f>IFERROR(IF(Tabela1[[#This Row],[Nome fantasia]]="","",_xlfn.XLOOKUP($C520,Log!D:D,Log!X:X,,,-1)),"")</f>
        <v/>
      </c>
    </row>
    <row r="521" spans="3:18" hidden="1" x14ac:dyDescent="0.2">
      <c r="C521" s="30" t="s">
        <v>1623</v>
      </c>
      <c r="D521" s="110" t="s">
        <v>1624</v>
      </c>
      <c r="E521" s="33" t="s">
        <v>17</v>
      </c>
      <c r="F521" s="38"/>
      <c r="G521" s="38"/>
      <c r="H521" s="31"/>
      <c r="I521" s="32"/>
      <c r="J521" s="32"/>
      <c r="K521" s="45" t="s">
        <v>888</v>
      </c>
      <c r="L521" s="129"/>
      <c r="M521" s="33" t="str">
        <f t="shared" si="8"/>
        <v/>
      </c>
      <c r="N521" s="34" t="str">
        <f>IFERROR(IF(Tabela1[[#This Row],[Nome fantasia]]="","",_xlfn.XLOOKUP($C521,Log!D:D,Log!B:B,,,-1)),"")</f>
        <v/>
      </c>
      <c r="O521" s="35" t="str">
        <f>IFERROR(_xlfn.XLOOKUP($C521,Log!D:D,Log!W:W,,,-1),"")</f>
        <v/>
      </c>
      <c r="P521" s="35" t="str">
        <f>IFERROR(_xlfn.XLOOKUP($C521,Log!D:D,Log!Y:Y,,,-1),"")</f>
        <v/>
      </c>
      <c r="Q521" s="130"/>
      <c r="R521" s="131" t="str">
        <f>IFERROR(IF(Tabela1[[#This Row],[Nome fantasia]]="","",_xlfn.XLOOKUP($C521,Log!D:D,Log!X:X,,,-1)),"")</f>
        <v/>
      </c>
    </row>
    <row r="522" spans="3:18" hidden="1" x14ac:dyDescent="0.2">
      <c r="C522" s="30" t="s">
        <v>1625</v>
      </c>
      <c r="D522" s="110" t="s">
        <v>1626</v>
      </c>
      <c r="E522" s="33" t="s">
        <v>46</v>
      </c>
      <c r="F522" s="38"/>
      <c r="G522" s="38"/>
      <c r="H522" s="31"/>
      <c r="I522" s="32"/>
      <c r="J522" s="32"/>
      <c r="K522" s="45" t="s">
        <v>888</v>
      </c>
      <c r="L522" s="129"/>
      <c r="M522" s="33" t="str">
        <f t="shared" si="8"/>
        <v/>
      </c>
      <c r="N522" s="34" t="str">
        <f>IFERROR(IF(Tabela1[[#This Row],[Nome fantasia]]="","",_xlfn.XLOOKUP($C522,Log!D:D,Log!B:B,,,-1)),"")</f>
        <v/>
      </c>
      <c r="O522" s="35" t="str">
        <f>IFERROR(_xlfn.XLOOKUP($C522,Log!D:D,Log!W:W,,,-1),"")</f>
        <v/>
      </c>
      <c r="P522" s="35" t="str">
        <f>IFERROR(_xlfn.XLOOKUP($C522,Log!D:D,Log!Y:Y,,,-1),"")</f>
        <v/>
      </c>
      <c r="Q522" s="130"/>
      <c r="R522" s="131" t="str">
        <f>IFERROR(IF(Tabela1[[#This Row],[Nome fantasia]]="","",_xlfn.XLOOKUP($C522,Log!D:D,Log!X:X,,,-1)),"")</f>
        <v/>
      </c>
    </row>
    <row r="523" spans="3:18" hidden="1" x14ac:dyDescent="0.2">
      <c r="C523" s="30" t="s">
        <v>1627</v>
      </c>
      <c r="D523" s="110" t="s">
        <v>1628</v>
      </c>
      <c r="E523" s="33" t="s">
        <v>46</v>
      </c>
      <c r="F523" s="38"/>
      <c r="G523" s="38"/>
      <c r="H523" s="31"/>
      <c r="I523" s="32"/>
      <c r="J523" s="32"/>
      <c r="K523" s="45" t="s">
        <v>888</v>
      </c>
      <c r="L523" s="129"/>
      <c r="M523" s="33" t="str">
        <f t="shared" si="8"/>
        <v/>
      </c>
      <c r="N523" s="34" t="str">
        <f>IFERROR(IF(Tabela1[[#This Row],[Nome fantasia]]="","",_xlfn.XLOOKUP($C523,Log!D:D,Log!B:B,,,-1)),"")</f>
        <v/>
      </c>
      <c r="O523" s="35" t="str">
        <f>IFERROR(_xlfn.XLOOKUP($C523,Log!D:D,Log!W:W,,,-1),"")</f>
        <v/>
      </c>
      <c r="P523" s="35" t="str">
        <f>IFERROR(_xlfn.XLOOKUP($C523,Log!D:D,Log!Y:Y,,,-1),"")</f>
        <v/>
      </c>
      <c r="Q523" s="130"/>
      <c r="R523" s="131" t="str">
        <f>IFERROR(IF(Tabela1[[#This Row],[Nome fantasia]]="","",_xlfn.XLOOKUP($C523,Log!D:D,Log!X:X,,,-1)),"")</f>
        <v/>
      </c>
    </row>
    <row r="524" spans="3:18" hidden="1" x14ac:dyDescent="0.2">
      <c r="C524" s="30" t="s">
        <v>1629</v>
      </c>
      <c r="D524" s="110" t="s">
        <v>1630</v>
      </c>
      <c r="E524" s="33" t="s">
        <v>46</v>
      </c>
      <c r="F524" s="38"/>
      <c r="G524" s="38"/>
      <c r="H524" s="31"/>
      <c r="I524" s="32"/>
      <c r="J524" s="32"/>
      <c r="K524" s="45" t="s">
        <v>888</v>
      </c>
      <c r="L524" s="129"/>
      <c r="M524" s="33" t="str">
        <f t="shared" si="8"/>
        <v/>
      </c>
      <c r="N524" s="34" t="str">
        <f>IFERROR(IF(Tabela1[[#This Row],[Nome fantasia]]="","",_xlfn.XLOOKUP($C524,Log!D:D,Log!B:B,,,-1)),"")</f>
        <v/>
      </c>
      <c r="O524" s="35" t="str">
        <f>IFERROR(_xlfn.XLOOKUP($C524,Log!D:D,Log!W:W,,,-1),"")</f>
        <v/>
      </c>
      <c r="P524" s="35" t="str">
        <f>IFERROR(_xlfn.XLOOKUP($C524,Log!D:D,Log!Y:Y,,,-1),"")</f>
        <v/>
      </c>
      <c r="Q524" s="130"/>
      <c r="R524" s="131" t="str">
        <f>IFERROR(IF(Tabela1[[#This Row],[Nome fantasia]]="","",_xlfn.XLOOKUP($C524,Log!D:D,Log!X:X,,,-1)),"")</f>
        <v/>
      </c>
    </row>
    <row r="525" spans="3:18" hidden="1" x14ac:dyDescent="0.2">
      <c r="C525" s="30" t="s">
        <v>1631</v>
      </c>
      <c r="D525" s="110" t="s">
        <v>1632</v>
      </c>
      <c r="E525" s="33" t="s">
        <v>46</v>
      </c>
      <c r="F525" s="38"/>
      <c r="G525" s="38"/>
      <c r="H525" s="31"/>
      <c r="I525" s="32"/>
      <c r="J525" s="32"/>
      <c r="K525" s="45" t="s">
        <v>888</v>
      </c>
      <c r="L525" s="129"/>
      <c r="M525" s="33" t="str">
        <f t="shared" si="8"/>
        <v/>
      </c>
      <c r="N525" s="34" t="str">
        <f>IFERROR(IF(Tabela1[[#This Row],[Nome fantasia]]="","",_xlfn.XLOOKUP($C525,Log!D:D,Log!B:B,,,-1)),"")</f>
        <v/>
      </c>
      <c r="O525" s="35" t="str">
        <f>IFERROR(_xlfn.XLOOKUP($C525,Log!D:D,Log!W:W,,,-1),"")</f>
        <v/>
      </c>
      <c r="P525" s="35" t="str">
        <f>IFERROR(_xlfn.XLOOKUP($C525,Log!D:D,Log!Y:Y,,,-1),"")</f>
        <v/>
      </c>
      <c r="Q525" s="130"/>
      <c r="R525" s="131" t="str">
        <f>IFERROR(IF(Tabela1[[#This Row],[Nome fantasia]]="","",_xlfn.XLOOKUP($C525,Log!D:D,Log!X:X,,,-1)),"")</f>
        <v/>
      </c>
    </row>
    <row r="526" spans="3:18" hidden="1" x14ac:dyDescent="0.2">
      <c r="C526" s="30" t="s">
        <v>1633</v>
      </c>
      <c r="D526" s="110" t="s">
        <v>1634</v>
      </c>
      <c r="E526" s="33" t="s">
        <v>46</v>
      </c>
      <c r="F526" s="38"/>
      <c r="G526" s="38"/>
      <c r="H526" s="31"/>
      <c r="I526" s="32"/>
      <c r="J526" s="32"/>
      <c r="K526" s="45" t="s">
        <v>888</v>
      </c>
      <c r="L526" s="129"/>
      <c r="M526" s="33" t="str">
        <f t="shared" si="8"/>
        <v/>
      </c>
      <c r="N526" s="34" t="str">
        <f>IFERROR(IF(Tabela1[[#This Row],[Nome fantasia]]="","",_xlfn.XLOOKUP($C526,Log!D:D,Log!B:B,,,-1)),"")</f>
        <v/>
      </c>
      <c r="O526" s="35" t="str">
        <f>IFERROR(_xlfn.XLOOKUP($C526,Log!D:D,Log!W:W,,,-1),"")</f>
        <v/>
      </c>
      <c r="P526" s="35" t="str">
        <f>IFERROR(_xlfn.XLOOKUP($C526,Log!D:D,Log!Y:Y,,,-1),"")</f>
        <v/>
      </c>
      <c r="Q526" s="130"/>
      <c r="R526" s="131" t="str">
        <f>IFERROR(IF(Tabela1[[#This Row],[Nome fantasia]]="","",_xlfn.XLOOKUP($C526,Log!D:D,Log!X:X,,,-1)),"")</f>
        <v/>
      </c>
    </row>
    <row r="527" spans="3:18" hidden="1" x14ac:dyDescent="0.2">
      <c r="C527" s="30" t="s">
        <v>1635</v>
      </c>
      <c r="D527" s="110" t="s">
        <v>1636</v>
      </c>
      <c r="E527" s="33" t="s">
        <v>22</v>
      </c>
      <c r="F527" s="38"/>
      <c r="G527" s="38"/>
      <c r="H527" s="31"/>
      <c r="I527" s="32"/>
      <c r="J527" s="32"/>
      <c r="K527" s="45" t="s">
        <v>888</v>
      </c>
      <c r="L527" s="129"/>
      <c r="M527" s="33" t="str">
        <f t="shared" si="8"/>
        <v/>
      </c>
      <c r="N527" s="34" t="str">
        <f>IFERROR(IF(Tabela1[[#This Row],[Nome fantasia]]="","",_xlfn.XLOOKUP($C527,Log!D:D,Log!B:B,,,-1)),"")</f>
        <v/>
      </c>
      <c r="O527" s="35" t="str">
        <f>IFERROR(_xlfn.XLOOKUP($C527,Log!D:D,Log!W:W,,,-1),"")</f>
        <v/>
      </c>
      <c r="P527" s="35" t="str">
        <f>IFERROR(_xlfn.XLOOKUP($C527,Log!D:D,Log!Y:Y,,,-1),"")</f>
        <v/>
      </c>
      <c r="Q527" s="130"/>
      <c r="R527" s="131" t="str">
        <f>IFERROR(IF(Tabela1[[#This Row],[Nome fantasia]]="","",_xlfn.XLOOKUP($C527,Log!D:D,Log!X:X,,,-1)),"")</f>
        <v/>
      </c>
    </row>
    <row r="528" spans="3:18" hidden="1" x14ac:dyDescent="0.2">
      <c r="C528" s="30" t="s">
        <v>1637</v>
      </c>
      <c r="D528" s="110" t="s">
        <v>1638</v>
      </c>
      <c r="E528" s="33" t="s">
        <v>46</v>
      </c>
      <c r="F528" s="38"/>
      <c r="G528" s="38"/>
      <c r="H528" s="31"/>
      <c r="I528" s="32"/>
      <c r="J528" s="32"/>
      <c r="K528" s="45" t="s">
        <v>888</v>
      </c>
      <c r="L528" s="129"/>
      <c r="M528" s="33" t="str">
        <f t="shared" si="8"/>
        <v/>
      </c>
      <c r="N528" s="34" t="str">
        <f>IFERROR(IF(Tabela1[[#This Row],[Nome fantasia]]="","",_xlfn.XLOOKUP($C528,Log!D:D,Log!B:B,,,-1)),"")</f>
        <v/>
      </c>
      <c r="O528" s="35" t="str">
        <f>IFERROR(_xlfn.XLOOKUP($C528,Log!D:D,Log!W:W,,,-1),"")</f>
        <v/>
      </c>
      <c r="P528" s="35" t="str">
        <f>IFERROR(_xlfn.XLOOKUP($C528,Log!D:D,Log!Y:Y,,,-1),"")</f>
        <v/>
      </c>
      <c r="Q528" s="130"/>
      <c r="R528" s="131" t="str">
        <f>IFERROR(IF(Tabela1[[#This Row],[Nome fantasia]]="","",_xlfn.XLOOKUP($C528,Log!D:D,Log!X:X,,,-1)),"")</f>
        <v/>
      </c>
    </row>
    <row r="529" spans="3:18" hidden="1" x14ac:dyDescent="0.2">
      <c r="C529" s="30" t="s">
        <v>1639</v>
      </c>
      <c r="D529" s="110" t="s">
        <v>1640</v>
      </c>
      <c r="E529" s="33" t="s">
        <v>22</v>
      </c>
      <c r="F529" s="38"/>
      <c r="G529" s="38"/>
      <c r="H529" s="31"/>
      <c r="I529" s="32"/>
      <c r="J529" s="32"/>
      <c r="K529" s="45" t="s">
        <v>888</v>
      </c>
      <c r="L529" s="129"/>
      <c r="M529" s="33" t="str">
        <f t="shared" si="8"/>
        <v/>
      </c>
      <c r="N529" s="34" t="str">
        <f>IFERROR(IF(Tabela1[[#This Row],[Nome fantasia]]="","",_xlfn.XLOOKUP($C529,Log!D:D,Log!B:B,,,-1)),"")</f>
        <v/>
      </c>
      <c r="O529" s="35" t="str">
        <f>IFERROR(_xlfn.XLOOKUP($C529,Log!D:D,Log!W:W,,,-1),"")</f>
        <v/>
      </c>
      <c r="P529" s="35" t="str">
        <f>IFERROR(_xlfn.XLOOKUP($C529,Log!D:D,Log!Y:Y,,,-1),"")</f>
        <v/>
      </c>
      <c r="Q529" s="130"/>
      <c r="R529" s="131" t="str">
        <f>IFERROR(IF(Tabela1[[#This Row],[Nome fantasia]]="","",_xlfn.XLOOKUP($C529,Log!D:D,Log!X:X,,,-1)),"")</f>
        <v/>
      </c>
    </row>
    <row r="530" spans="3:18" hidden="1" x14ac:dyDescent="0.2">
      <c r="C530" s="30" t="s">
        <v>1641</v>
      </c>
      <c r="D530" s="110" t="s">
        <v>1642</v>
      </c>
      <c r="E530" s="33" t="s">
        <v>46</v>
      </c>
      <c r="F530" s="38"/>
      <c r="G530" s="38"/>
      <c r="H530" s="31"/>
      <c r="I530" s="32"/>
      <c r="J530" s="32"/>
      <c r="K530" s="45" t="s">
        <v>888</v>
      </c>
      <c r="L530" s="129"/>
      <c r="M530" s="33" t="str">
        <f t="shared" si="8"/>
        <v/>
      </c>
      <c r="N530" s="34" t="str">
        <f>IFERROR(IF(Tabela1[[#This Row],[Nome fantasia]]="","",_xlfn.XLOOKUP($C530,Log!D:D,Log!B:B,,,-1)),"")</f>
        <v/>
      </c>
      <c r="O530" s="35" t="str">
        <f>IFERROR(_xlfn.XLOOKUP($C530,Log!D:D,Log!W:W,,,-1),"")</f>
        <v/>
      </c>
      <c r="P530" s="35" t="str">
        <f>IFERROR(_xlfn.XLOOKUP($C530,Log!D:D,Log!Y:Y,,,-1),"")</f>
        <v/>
      </c>
      <c r="Q530" s="130"/>
      <c r="R530" s="131" t="str">
        <f>IFERROR(IF(Tabela1[[#This Row],[Nome fantasia]]="","",_xlfn.XLOOKUP($C530,Log!D:D,Log!X:X,,,-1)),"")</f>
        <v/>
      </c>
    </row>
    <row r="531" spans="3:18" hidden="1" x14ac:dyDescent="0.2">
      <c r="C531" s="30" t="s">
        <v>1643</v>
      </c>
      <c r="D531" s="110" t="s">
        <v>1644</v>
      </c>
      <c r="E531" s="33" t="s">
        <v>46</v>
      </c>
      <c r="F531" s="38"/>
      <c r="G531" s="38"/>
      <c r="H531" s="31"/>
      <c r="I531" s="32"/>
      <c r="J531" s="32"/>
      <c r="K531" s="45" t="s">
        <v>888</v>
      </c>
      <c r="L531" s="129"/>
      <c r="M531" s="33" t="str">
        <f t="shared" si="8"/>
        <v/>
      </c>
      <c r="N531" s="34" t="str">
        <f>IFERROR(IF(Tabela1[[#This Row],[Nome fantasia]]="","",_xlfn.XLOOKUP($C531,Log!D:D,Log!B:B,,,-1)),"")</f>
        <v/>
      </c>
      <c r="O531" s="35" t="str">
        <f>IFERROR(_xlfn.XLOOKUP($C531,Log!D:D,Log!W:W,,,-1),"")</f>
        <v/>
      </c>
      <c r="P531" s="35" t="str">
        <f>IFERROR(_xlfn.XLOOKUP($C531,Log!D:D,Log!Y:Y,,,-1),"")</f>
        <v/>
      </c>
      <c r="Q531" s="130"/>
      <c r="R531" s="131" t="str">
        <f>IFERROR(IF(Tabela1[[#This Row],[Nome fantasia]]="","",_xlfn.XLOOKUP($C531,Log!D:D,Log!X:X,,,-1)),"")</f>
        <v/>
      </c>
    </row>
    <row r="532" spans="3:18" hidden="1" x14ac:dyDescent="0.2">
      <c r="C532" s="30" t="s">
        <v>1645</v>
      </c>
      <c r="D532" s="110" t="s">
        <v>1646</v>
      </c>
      <c r="E532" s="33" t="s">
        <v>17</v>
      </c>
      <c r="F532" s="38"/>
      <c r="G532" s="38"/>
      <c r="H532" s="31"/>
      <c r="I532" s="32"/>
      <c r="J532" s="32"/>
      <c r="K532" s="45" t="s">
        <v>888</v>
      </c>
      <c r="L532" s="129"/>
      <c r="M532" s="33" t="str">
        <f t="shared" si="8"/>
        <v/>
      </c>
      <c r="N532" s="34" t="str">
        <f>IFERROR(IF(Tabela1[[#This Row],[Nome fantasia]]="","",_xlfn.XLOOKUP($C532,Log!D:D,Log!B:B,,,-1)),"")</f>
        <v/>
      </c>
      <c r="O532" s="35" t="str">
        <f>IFERROR(_xlfn.XLOOKUP($C532,Log!D:D,Log!W:W,,,-1),"")</f>
        <v/>
      </c>
      <c r="P532" s="35" t="str">
        <f>IFERROR(_xlfn.XLOOKUP($C532,Log!D:D,Log!Y:Y,,,-1),"")</f>
        <v/>
      </c>
      <c r="Q532" s="130"/>
      <c r="R532" s="131" t="str">
        <f>IFERROR(IF(Tabela1[[#This Row],[Nome fantasia]]="","",_xlfn.XLOOKUP($C532,Log!D:D,Log!X:X,,,-1)),"")</f>
        <v/>
      </c>
    </row>
    <row r="533" spans="3:18" hidden="1" x14ac:dyDescent="0.2">
      <c r="C533" s="30" t="s">
        <v>1647</v>
      </c>
      <c r="D533" s="110" t="s">
        <v>1648</v>
      </c>
      <c r="E533" s="33" t="s">
        <v>46</v>
      </c>
      <c r="F533" s="38"/>
      <c r="G533" s="38"/>
      <c r="H533" s="31"/>
      <c r="I533" s="32"/>
      <c r="J533" s="32"/>
      <c r="K533" s="45" t="s">
        <v>888</v>
      </c>
      <c r="L533" s="129"/>
      <c r="M533" s="33" t="str">
        <f t="shared" si="8"/>
        <v/>
      </c>
      <c r="N533" s="34" t="str">
        <f>IFERROR(IF(Tabela1[[#This Row],[Nome fantasia]]="","",_xlfn.XLOOKUP($C533,Log!D:D,Log!B:B,,,-1)),"")</f>
        <v/>
      </c>
      <c r="O533" s="35" t="str">
        <f>IFERROR(_xlfn.XLOOKUP($C533,Log!D:D,Log!W:W,,,-1),"")</f>
        <v/>
      </c>
      <c r="P533" s="35" t="str">
        <f>IFERROR(_xlfn.XLOOKUP($C533,Log!D:D,Log!Y:Y,,,-1),"")</f>
        <v/>
      </c>
      <c r="Q533" s="130"/>
      <c r="R533" s="131" t="str">
        <f>IFERROR(IF(Tabela1[[#This Row],[Nome fantasia]]="","",_xlfn.XLOOKUP($C533,Log!D:D,Log!X:X,,,-1)),"")</f>
        <v/>
      </c>
    </row>
    <row r="534" spans="3:18" hidden="1" x14ac:dyDescent="0.2">
      <c r="C534" s="30" t="s">
        <v>1649</v>
      </c>
      <c r="D534" s="110" t="s">
        <v>1650</v>
      </c>
      <c r="E534" s="33" t="s">
        <v>46</v>
      </c>
      <c r="F534" s="38"/>
      <c r="G534" s="38"/>
      <c r="H534" s="31"/>
      <c r="I534" s="32"/>
      <c r="J534" s="32"/>
      <c r="K534" s="45" t="s">
        <v>888</v>
      </c>
      <c r="L534" s="129"/>
      <c r="M534" s="33" t="str">
        <f t="shared" si="8"/>
        <v/>
      </c>
      <c r="N534" s="34" t="str">
        <f>IFERROR(IF(Tabela1[[#This Row],[Nome fantasia]]="","",_xlfn.XLOOKUP($C534,Log!D:D,Log!B:B,,,-1)),"")</f>
        <v/>
      </c>
      <c r="O534" s="35" t="str">
        <f>IFERROR(_xlfn.XLOOKUP($C534,Log!D:D,Log!W:W,,,-1),"")</f>
        <v/>
      </c>
      <c r="P534" s="35" t="str">
        <f>IFERROR(_xlfn.XLOOKUP($C534,Log!D:D,Log!Y:Y,,,-1),"")</f>
        <v/>
      </c>
      <c r="Q534" s="130"/>
      <c r="R534" s="131" t="str">
        <f>IFERROR(IF(Tabela1[[#This Row],[Nome fantasia]]="","",_xlfn.XLOOKUP($C534,Log!D:D,Log!X:X,,,-1)),"")</f>
        <v/>
      </c>
    </row>
    <row r="535" spans="3:18" hidden="1" x14ac:dyDescent="0.2">
      <c r="C535" s="30" t="s">
        <v>1453</v>
      </c>
      <c r="D535" s="110" t="s">
        <v>1651</v>
      </c>
      <c r="E535" s="33" t="s">
        <v>46</v>
      </c>
      <c r="F535" s="38"/>
      <c r="G535" s="38"/>
      <c r="H535" s="31"/>
      <c r="I535" s="32"/>
      <c r="J535" s="32"/>
      <c r="K535" s="45" t="s">
        <v>888</v>
      </c>
      <c r="L535" s="129"/>
      <c r="M535" s="33" t="str">
        <f t="shared" si="8"/>
        <v/>
      </c>
      <c r="N535" s="34" t="str">
        <f>IFERROR(IF(Tabela1[[#This Row],[Nome fantasia]]="","",_xlfn.XLOOKUP($C535,Log!D:D,Log!B:B,,,-1)),"")</f>
        <v/>
      </c>
      <c r="O535" s="35" t="str">
        <f>IFERROR(_xlfn.XLOOKUP($C535,Log!D:D,Log!W:W,,,-1),"")</f>
        <v/>
      </c>
      <c r="P535" s="35" t="str">
        <f>IFERROR(_xlfn.XLOOKUP($C535,Log!D:D,Log!Y:Y,,,-1),"")</f>
        <v/>
      </c>
      <c r="Q535" s="130"/>
      <c r="R535" s="131" t="str">
        <f>IFERROR(IF(Tabela1[[#This Row],[Nome fantasia]]="","",_xlfn.XLOOKUP($C535,Log!D:D,Log!X:X,,,-1)),"")</f>
        <v/>
      </c>
    </row>
    <row r="536" spans="3:18" hidden="1" x14ac:dyDescent="0.2">
      <c r="C536" s="30" t="s">
        <v>1652</v>
      </c>
      <c r="D536" s="110" t="s">
        <v>1653</v>
      </c>
      <c r="E536" s="33" t="s">
        <v>46</v>
      </c>
      <c r="F536" s="38"/>
      <c r="G536" s="38"/>
      <c r="H536" s="31"/>
      <c r="I536" s="32"/>
      <c r="J536" s="32"/>
      <c r="K536" s="45" t="s">
        <v>888</v>
      </c>
      <c r="L536" s="129"/>
      <c r="M536" s="33" t="str">
        <f t="shared" si="8"/>
        <v/>
      </c>
      <c r="N536" s="34">
        <f>IFERROR(IF(Tabela1[[#This Row],[Nome fantasia]]="","",_xlfn.XLOOKUP($C536,Log!D:D,Log!B:B,,,-1)),"")</f>
        <v>45996</v>
      </c>
      <c r="O536" s="35" t="str">
        <f>IFERROR(_xlfn.XLOOKUP($C536,Log!D:D,Log!W:W,,,-1),"")</f>
        <v>EM ATENDIMENTO</v>
      </c>
      <c r="P536" s="35" t="str">
        <f>IFERROR(_xlfn.XLOOKUP($C536,Log!D:D,Log!Y:Y,,,-1),"")</f>
        <v>LIGAÇÃO SEM SUCESSO</v>
      </c>
      <c r="Q536" s="130"/>
      <c r="R536" s="131">
        <f>IFERROR(IF(Tabela1[[#This Row],[Nome fantasia]]="","",_xlfn.XLOOKUP($C536,Log!D:D,Log!X:X,,,-1)),"")</f>
        <v>46000</v>
      </c>
    </row>
    <row r="537" spans="3:18" hidden="1" x14ac:dyDescent="0.2">
      <c r="C537" s="30" t="s">
        <v>1654</v>
      </c>
      <c r="D537" s="110" t="s">
        <v>1655</v>
      </c>
      <c r="E537" s="33" t="s">
        <v>46</v>
      </c>
      <c r="F537" s="38"/>
      <c r="G537" s="38"/>
      <c r="H537" s="31"/>
      <c r="I537" s="32"/>
      <c r="J537" s="32"/>
      <c r="K537" s="45" t="s">
        <v>888</v>
      </c>
      <c r="L537" s="129"/>
      <c r="M537" s="33" t="str">
        <f t="shared" si="8"/>
        <v/>
      </c>
      <c r="N537" s="34" t="str">
        <f>IFERROR(IF(Tabela1[[#This Row],[Nome fantasia]]="","",_xlfn.XLOOKUP($C537,Log!D:D,Log!B:B,,,-1)),"")</f>
        <v/>
      </c>
      <c r="O537" s="35" t="str">
        <f>IFERROR(_xlfn.XLOOKUP($C537,Log!D:D,Log!W:W,,,-1),"")</f>
        <v/>
      </c>
      <c r="P537" s="35" t="str">
        <f>IFERROR(_xlfn.XLOOKUP($C537,Log!D:D,Log!Y:Y,,,-1),"")</f>
        <v/>
      </c>
      <c r="Q537" s="130"/>
      <c r="R537" s="131" t="str">
        <f>IFERROR(IF(Tabela1[[#This Row],[Nome fantasia]]="","",_xlfn.XLOOKUP($C537,Log!D:D,Log!X:X,,,-1)),"")</f>
        <v/>
      </c>
    </row>
    <row r="538" spans="3:18" hidden="1" x14ac:dyDescent="0.2">
      <c r="C538" s="30" t="s">
        <v>1656</v>
      </c>
      <c r="D538" s="110" t="s">
        <v>1657</v>
      </c>
      <c r="E538" s="33" t="s">
        <v>46</v>
      </c>
      <c r="F538" s="38"/>
      <c r="G538" s="38"/>
      <c r="H538" s="31"/>
      <c r="I538" s="32"/>
      <c r="J538" s="32"/>
      <c r="K538" s="45" t="s">
        <v>888</v>
      </c>
      <c r="L538" s="129"/>
      <c r="M538" s="33" t="str">
        <f t="shared" si="8"/>
        <v/>
      </c>
      <c r="N538" s="34" t="str">
        <f>IFERROR(IF(Tabela1[[#This Row],[Nome fantasia]]="","",_xlfn.XLOOKUP($C538,Log!D:D,Log!B:B,,,-1)),"")</f>
        <v/>
      </c>
      <c r="O538" s="35" t="str">
        <f>IFERROR(_xlfn.XLOOKUP($C538,Log!D:D,Log!W:W,,,-1),"")</f>
        <v/>
      </c>
      <c r="P538" s="35" t="str">
        <f>IFERROR(_xlfn.XLOOKUP($C538,Log!D:D,Log!Y:Y,,,-1),"")</f>
        <v/>
      </c>
      <c r="Q538" s="130"/>
      <c r="R538" s="131" t="str">
        <f>IFERROR(IF(Tabela1[[#This Row],[Nome fantasia]]="","",_xlfn.XLOOKUP($C538,Log!D:D,Log!X:X,,,-1)),"")</f>
        <v/>
      </c>
    </row>
    <row r="539" spans="3:18" hidden="1" x14ac:dyDescent="0.2">
      <c r="C539" s="30" t="s">
        <v>1658</v>
      </c>
      <c r="D539" s="110" t="s">
        <v>1659</v>
      </c>
      <c r="E539" s="33" t="s">
        <v>22</v>
      </c>
      <c r="F539" s="38"/>
      <c r="G539" s="38"/>
      <c r="H539" s="31"/>
      <c r="I539" s="32"/>
      <c r="J539" s="32"/>
      <c r="K539" s="45" t="s">
        <v>888</v>
      </c>
      <c r="L539" s="129"/>
      <c r="M539" s="33" t="str">
        <f t="shared" si="8"/>
        <v/>
      </c>
      <c r="N539" s="34" t="str">
        <f>IFERROR(IF(Tabela1[[#This Row],[Nome fantasia]]="","",_xlfn.XLOOKUP($C539,Log!D:D,Log!B:B,,,-1)),"")</f>
        <v/>
      </c>
      <c r="O539" s="35" t="str">
        <f>IFERROR(_xlfn.XLOOKUP($C539,Log!D:D,Log!W:W,,,-1),"")</f>
        <v/>
      </c>
      <c r="P539" s="35" t="str">
        <f>IFERROR(_xlfn.XLOOKUP($C539,Log!D:D,Log!Y:Y,,,-1),"")</f>
        <v/>
      </c>
      <c r="Q539" s="130"/>
      <c r="R539" s="131" t="str">
        <f>IFERROR(IF(Tabela1[[#This Row],[Nome fantasia]]="","",_xlfn.XLOOKUP($C539,Log!D:D,Log!X:X,,,-1)),"")</f>
        <v/>
      </c>
    </row>
    <row r="540" spans="3:18" hidden="1" x14ac:dyDescent="0.2">
      <c r="C540" s="30" t="s">
        <v>1660</v>
      </c>
      <c r="D540" s="110" t="s">
        <v>1661</v>
      </c>
      <c r="E540" s="33" t="s">
        <v>22</v>
      </c>
      <c r="F540" s="38"/>
      <c r="G540" s="38"/>
      <c r="H540" s="31"/>
      <c r="I540" s="32"/>
      <c r="J540" s="32"/>
      <c r="K540" s="45" t="s">
        <v>888</v>
      </c>
      <c r="L540" s="129"/>
      <c r="M540" s="33" t="str">
        <f t="shared" si="8"/>
        <v/>
      </c>
      <c r="N540" s="34" t="str">
        <f>IFERROR(IF(Tabela1[[#This Row],[Nome fantasia]]="","",_xlfn.XLOOKUP($C540,Log!D:D,Log!B:B,,,-1)),"")</f>
        <v/>
      </c>
      <c r="O540" s="35" t="str">
        <f>IFERROR(_xlfn.XLOOKUP($C540,Log!D:D,Log!W:W,,,-1),"")</f>
        <v/>
      </c>
      <c r="P540" s="35" t="str">
        <f>IFERROR(_xlfn.XLOOKUP($C540,Log!D:D,Log!Y:Y,,,-1),"")</f>
        <v/>
      </c>
      <c r="Q540" s="130"/>
      <c r="R540" s="131" t="str">
        <f>IFERROR(IF(Tabela1[[#This Row],[Nome fantasia]]="","",_xlfn.XLOOKUP($C540,Log!D:D,Log!X:X,,,-1)),"")</f>
        <v/>
      </c>
    </row>
    <row r="541" spans="3:18" hidden="1" x14ac:dyDescent="0.2">
      <c r="C541" s="30" t="s">
        <v>1583</v>
      </c>
      <c r="D541" s="110" t="s">
        <v>1024</v>
      </c>
      <c r="E541" s="33" t="s">
        <v>46</v>
      </c>
      <c r="F541" s="38"/>
      <c r="G541" s="38"/>
      <c r="H541" s="31"/>
      <c r="I541" s="32"/>
      <c r="J541" s="32"/>
      <c r="K541" s="45" t="s">
        <v>888</v>
      </c>
      <c r="L541" s="129"/>
      <c r="M541" s="33" t="str">
        <f t="shared" si="8"/>
        <v/>
      </c>
      <c r="N541" s="34" t="str">
        <f>IFERROR(IF(Tabela1[[#This Row],[Nome fantasia]]="","",_xlfn.XLOOKUP($C541,Log!D:D,Log!B:B,,,-1)),"")</f>
        <v/>
      </c>
      <c r="O541" s="35" t="str">
        <f>IFERROR(_xlfn.XLOOKUP($C541,Log!D:D,Log!W:W,,,-1),"")</f>
        <v/>
      </c>
      <c r="P541" s="35" t="str">
        <f>IFERROR(_xlfn.XLOOKUP($C541,Log!D:D,Log!Y:Y,,,-1),"")</f>
        <v/>
      </c>
      <c r="Q541" s="130"/>
      <c r="R541" s="131" t="str">
        <f>IFERROR(IF(Tabela1[[#This Row],[Nome fantasia]]="","",_xlfn.XLOOKUP($C541,Log!D:D,Log!X:X,,,-1)),"")</f>
        <v/>
      </c>
    </row>
    <row r="542" spans="3:18" hidden="1" x14ac:dyDescent="0.2">
      <c r="C542" s="30" t="s">
        <v>1662</v>
      </c>
      <c r="D542" s="110" t="s">
        <v>1663</v>
      </c>
      <c r="E542" s="33" t="s">
        <v>22</v>
      </c>
      <c r="F542" s="38"/>
      <c r="G542" s="38"/>
      <c r="H542" s="31"/>
      <c r="I542" s="32"/>
      <c r="J542" s="32"/>
      <c r="K542" s="45" t="s">
        <v>888</v>
      </c>
      <c r="L542" s="129"/>
      <c r="M542" s="33" t="str">
        <f t="shared" si="8"/>
        <v/>
      </c>
      <c r="N542" s="34" t="str">
        <f>IFERROR(IF(Tabela1[[#This Row],[Nome fantasia]]="","",_xlfn.XLOOKUP($C542,Log!D:D,Log!B:B,,,-1)),"")</f>
        <v/>
      </c>
      <c r="O542" s="35" t="str">
        <f>IFERROR(_xlfn.XLOOKUP($C542,Log!D:D,Log!W:W,,,-1),"")</f>
        <v/>
      </c>
      <c r="P542" s="35" t="str">
        <f>IFERROR(_xlfn.XLOOKUP($C542,Log!D:D,Log!Y:Y,,,-1),"")</f>
        <v/>
      </c>
      <c r="Q542" s="130"/>
      <c r="R542" s="131" t="str">
        <f>IFERROR(IF(Tabela1[[#This Row],[Nome fantasia]]="","",_xlfn.XLOOKUP($C542,Log!D:D,Log!X:X,,,-1)),"")</f>
        <v/>
      </c>
    </row>
    <row r="543" spans="3:18" hidden="1" x14ac:dyDescent="0.2">
      <c r="C543" s="30" t="s">
        <v>1664</v>
      </c>
      <c r="D543" s="110" t="s">
        <v>1665</v>
      </c>
      <c r="E543" s="33" t="s">
        <v>46</v>
      </c>
      <c r="F543" s="38"/>
      <c r="G543" s="38"/>
      <c r="H543" s="31"/>
      <c r="I543" s="32"/>
      <c r="J543" s="32"/>
      <c r="K543" s="45" t="s">
        <v>888</v>
      </c>
      <c r="L543" s="129"/>
      <c r="M543" s="33" t="str">
        <f t="shared" si="8"/>
        <v/>
      </c>
      <c r="N543" s="34" t="str">
        <f>IFERROR(IF(Tabela1[[#This Row],[Nome fantasia]]="","",_xlfn.XLOOKUP($C543,Log!D:D,Log!B:B,,,-1)),"")</f>
        <v/>
      </c>
      <c r="O543" s="35" t="str">
        <f>IFERROR(_xlfn.XLOOKUP($C543,Log!D:D,Log!W:W,,,-1),"")</f>
        <v/>
      </c>
      <c r="P543" s="35" t="str">
        <f>IFERROR(_xlfn.XLOOKUP($C543,Log!D:D,Log!Y:Y,,,-1),"")</f>
        <v/>
      </c>
      <c r="Q543" s="130"/>
      <c r="R543" s="131" t="str">
        <f>IFERROR(IF(Tabela1[[#This Row],[Nome fantasia]]="","",_xlfn.XLOOKUP($C543,Log!D:D,Log!X:X,,,-1)),"")</f>
        <v/>
      </c>
    </row>
    <row r="544" spans="3:18" hidden="1" x14ac:dyDescent="0.2">
      <c r="C544" s="30" t="s">
        <v>1666</v>
      </c>
      <c r="D544" s="110" t="s">
        <v>1667</v>
      </c>
      <c r="E544" s="33" t="s">
        <v>46</v>
      </c>
      <c r="F544" s="38"/>
      <c r="G544" s="38"/>
      <c r="H544" s="31"/>
      <c r="I544" s="32"/>
      <c r="J544" s="32"/>
      <c r="K544" s="45" t="s">
        <v>888</v>
      </c>
      <c r="L544" s="129"/>
      <c r="M544" s="33" t="str">
        <f t="shared" si="8"/>
        <v/>
      </c>
      <c r="N544" s="34" t="str">
        <f>IFERROR(IF(Tabela1[[#This Row],[Nome fantasia]]="","",_xlfn.XLOOKUP($C544,Log!D:D,Log!B:B,,,-1)),"")</f>
        <v/>
      </c>
      <c r="O544" s="35" t="str">
        <f>IFERROR(_xlfn.XLOOKUP($C544,Log!D:D,Log!W:W,,,-1),"")</f>
        <v/>
      </c>
      <c r="P544" s="35" t="str">
        <f>IFERROR(_xlfn.XLOOKUP($C544,Log!D:D,Log!Y:Y,,,-1),"")</f>
        <v/>
      </c>
      <c r="Q544" s="130"/>
      <c r="R544" s="131" t="str">
        <f>IFERROR(IF(Tabela1[[#This Row],[Nome fantasia]]="","",_xlfn.XLOOKUP($C544,Log!D:D,Log!X:X,,,-1)),"")</f>
        <v/>
      </c>
    </row>
    <row r="545" spans="3:18" hidden="1" x14ac:dyDescent="0.2">
      <c r="C545" s="30" t="s">
        <v>1668</v>
      </c>
      <c r="D545" s="110" t="s">
        <v>1669</v>
      </c>
      <c r="E545" s="33" t="s">
        <v>22</v>
      </c>
      <c r="F545" s="38"/>
      <c r="G545" s="38"/>
      <c r="H545" s="31"/>
      <c r="I545" s="32"/>
      <c r="J545" s="32"/>
      <c r="K545" s="45" t="s">
        <v>888</v>
      </c>
      <c r="L545" s="129"/>
      <c r="M545" s="33" t="str">
        <f t="shared" si="8"/>
        <v/>
      </c>
      <c r="N545" s="34" t="str">
        <f>IFERROR(IF(Tabela1[[#This Row],[Nome fantasia]]="","",_xlfn.XLOOKUP($C545,Log!D:D,Log!B:B,,,-1)),"")</f>
        <v/>
      </c>
      <c r="O545" s="35" t="str">
        <f>IFERROR(_xlfn.XLOOKUP($C545,Log!D:D,Log!W:W,,,-1),"")</f>
        <v/>
      </c>
      <c r="P545" s="35" t="str">
        <f>IFERROR(_xlfn.XLOOKUP($C545,Log!D:D,Log!Y:Y,,,-1),"")</f>
        <v/>
      </c>
      <c r="Q545" s="130"/>
      <c r="R545" s="131" t="str">
        <f>IFERROR(IF(Tabela1[[#This Row],[Nome fantasia]]="","",_xlfn.XLOOKUP($C545,Log!D:D,Log!X:X,,,-1)),"")</f>
        <v/>
      </c>
    </row>
    <row r="546" spans="3:18" hidden="1" x14ac:dyDescent="0.2">
      <c r="C546" s="30" t="s">
        <v>1670</v>
      </c>
      <c r="D546" s="110" t="s">
        <v>1671</v>
      </c>
      <c r="E546" s="33" t="s">
        <v>22</v>
      </c>
      <c r="F546" s="38"/>
      <c r="G546" s="38"/>
      <c r="H546" s="31"/>
      <c r="I546" s="32"/>
      <c r="J546" s="32"/>
      <c r="K546" s="45" t="s">
        <v>888</v>
      </c>
      <c r="L546" s="129"/>
      <c r="M546" s="33" t="str">
        <f t="shared" si="8"/>
        <v/>
      </c>
      <c r="N546" s="34" t="str">
        <f>IFERROR(IF(Tabela1[[#This Row],[Nome fantasia]]="","",_xlfn.XLOOKUP($C546,Log!D:D,Log!B:B,,,-1)),"")</f>
        <v/>
      </c>
      <c r="O546" s="35" t="str">
        <f>IFERROR(_xlfn.XLOOKUP($C546,Log!D:D,Log!W:W,,,-1),"")</f>
        <v/>
      </c>
      <c r="P546" s="35" t="str">
        <f>IFERROR(_xlfn.XLOOKUP($C546,Log!D:D,Log!Y:Y,,,-1),"")</f>
        <v/>
      </c>
      <c r="Q546" s="130"/>
      <c r="R546" s="131" t="str">
        <f>IFERROR(IF(Tabela1[[#This Row],[Nome fantasia]]="","",_xlfn.XLOOKUP($C546,Log!D:D,Log!X:X,,,-1)),"")</f>
        <v/>
      </c>
    </row>
    <row r="547" spans="3:18" hidden="1" x14ac:dyDescent="0.2">
      <c r="C547" s="30" t="s">
        <v>1672</v>
      </c>
      <c r="D547" s="110" t="s">
        <v>1673</v>
      </c>
      <c r="E547" s="33" t="s">
        <v>22</v>
      </c>
      <c r="F547" s="38"/>
      <c r="G547" s="38"/>
      <c r="H547" s="31"/>
      <c r="I547" s="32"/>
      <c r="J547" s="32"/>
      <c r="K547" s="45" t="s">
        <v>888</v>
      </c>
      <c r="L547" s="129"/>
      <c r="M547" s="33" t="str">
        <f t="shared" si="8"/>
        <v/>
      </c>
      <c r="N547" s="34" t="str">
        <f>IFERROR(IF(Tabela1[[#This Row],[Nome fantasia]]="","",_xlfn.XLOOKUP($C547,Log!D:D,Log!B:B,,,-1)),"")</f>
        <v/>
      </c>
      <c r="O547" s="35" t="str">
        <f>IFERROR(_xlfn.XLOOKUP($C547,Log!D:D,Log!W:W,,,-1),"")</f>
        <v/>
      </c>
      <c r="P547" s="35" t="str">
        <f>IFERROR(_xlfn.XLOOKUP($C547,Log!D:D,Log!Y:Y,,,-1),"")</f>
        <v/>
      </c>
      <c r="Q547" s="130"/>
      <c r="R547" s="131" t="str">
        <f>IFERROR(IF(Tabela1[[#This Row],[Nome fantasia]]="","",_xlfn.XLOOKUP($C547,Log!D:D,Log!X:X,,,-1)),"")</f>
        <v/>
      </c>
    </row>
    <row r="548" spans="3:18" hidden="1" x14ac:dyDescent="0.2">
      <c r="C548" s="30" t="s">
        <v>1674</v>
      </c>
      <c r="D548" s="110" t="s">
        <v>1675</v>
      </c>
      <c r="E548" s="33" t="s">
        <v>46</v>
      </c>
      <c r="F548" s="38"/>
      <c r="G548" s="38"/>
      <c r="H548" s="31"/>
      <c r="I548" s="32"/>
      <c r="J548" s="32"/>
      <c r="K548" s="45" t="s">
        <v>888</v>
      </c>
      <c r="L548" s="129"/>
      <c r="M548" s="33" t="str">
        <f t="shared" si="8"/>
        <v/>
      </c>
      <c r="N548" s="34" t="str">
        <f>IFERROR(IF(Tabela1[[#This Row],[Nome fantasia]]="","",_xlfn.XLOOKUP($C548,Log!D:D,Log!B:B,,,-1)),"")</f>
        <v/>
      </c>
      <c r="O548" s="35" t="str">
        <f>IFERROR(_xlfn.XLOOKUP($C548,Log!D:D,Log!W:W,,,-1),"")</f>
        <v/>
      </c>
      <c r="P548" s="35" t="str">
        <f>IFERROR(_xlfn.XLOOKUP($C548,Log!D:D,Log!Y:Y,,,-1),"")</f>
        <v/>
      </c>
      <c r="Q548" s="130"/>
      <c r="R548" s="131" t="str">
        <f>IFERROR(IF(Tabela1[[#This Row],[Nome fantasia]]="","",_xlfn.XLOOKUP($C548,Log!D:D,Log!X:X,,,-1)),"")</f>
        <v/>
      </c>
    </row>
    <row r="549" spans="3:18" hidden="1" x14ac:dyDescent="0.2">
      <c r="C549" s="30" t="s">
        <v>1676</v>
      </c>
      <c r="D549" s="110" t="s">
        <v>1677</v>
      </c>
      <c r="E549" s="33" t="s">
        <v>46</v>
      </c>
      <c r="F549" s="38"/>
      <c r="G549" s="38"/>
      <c r="H549" s="31"/>
      <c r="I549" s="32"/>
      <c r="J549" s="32"/>
      <c r="K549" s="45" t="s">
        <v>888</v>
      </c>
      <c r="L549" s="129"/>
      <c r="M549" s="33" t="str">
        <f t="shared" si="8"/>
        <v/>
      </c>
      <c r="N549" s="34" t="str">
        <f>IFERROR(IF(Tabela1[[#This Row],[Nome fantasia]]="","",_xlfn.XLOOKUP($C549,Log!D:D,Log!B:B,,,-1)),"")</f>
        <v/>
      </c>
      <c r="O549" s="35" t="str">
        <f>IFERROR(_xlfn.XLOOKUP($C549,Log!D:D,Log!W:W,,,-1),"")</f>
        <v/>
      </c>
      <c r="P549" s="35" t="str">
        <f>IFERROR(_xlfn.XLOOKUP($C549,Log!D:D,Log!Y:Y,,,-1),"")</f>
        <v/>
      </c>
      <c r="Q549" s="130"/>
      <c r="R549" s="131" t="str">
        <f>IFERROR(IF(Tabela1[[#This Row],[Nome fantasia]]="","",_xlfn.XLOOKUP($C549,Log!D:D,Log!X:X,,,-1)),"")</f>
        <v/>
      </c>
    </row>
    <row r="550" spans="3:18" hidden="1" x14ac:dyDescent="0.2">
      <c r="C550" s="30" t="s">
        <v>1678</v>
      </c>
      <c r="D550" s="110" t="s">
        <v>1679</v>
      </c>
      <c r="E550" s="33" t="s">
        <v>46</v>
      </c>
      <c r="F550" s="38"/>
      <c r="G550" s="38"/>
      <c r="H550" s="31"/>
      <c r="I550" s="32"/>
      <c r="J550" s="32"/>
      <c r="K550" s="45" t="s">
        <v>888</v>
      </c>
      <c r="L550" s="129"/>
      <c r="M550" s="33" t="str">
        <f t="shared" si="8"/>
        <v/>
      </c>
      <c r="N550" s="34">
        <f>IFERROR(IF(Tabela1[[#This Row],[Nome fantasia]]="","",_xlfn.XLOOKUP($C550,Log!D:D,Log!B:B,,,-1)),"")</f>
        <v>45992</v>
      </c>
      <c r="O550" s="35" t="str">
        <f>IFERROR(_xlfn.XLOOKUP($C550,Log!D:D,Log!W:W,,,-1),"")</f>
        <v>PERDA / NÃO VENDA</v>
      </c>
      <c r="P550" s="35" t="str">
        <f>IFERROR(_xlfn.XLOOKUP($C550,Log!D:D,Log!Y:Y,,,-1),"")</f>
        <v>FECHOU</v>
      </c>
      <c r="Q550" s="130"/>
      <c r="R550" s="131" t="str">
        <f>IFERROR(IF(Tabela1[[#This Row],[Nome fantasia]]="","",_xlfn.XLOOKUP($C550,Log!D:D,Log!X:X,,,-1)),"")</f>
        <v/>
      </c>
    </row>
    <row r="551" spans="3:18" hidden="1" x14ac:dyDescent="0.2">
      <c r="C551" s="30" t="s">
        <v>1680</v>
      </c>
      <c r="D551" s="110" t="s">
        <v>1681</v>
      </c>
      <c r="E551" s="33" t="s">
        <v>46</v>
      </c>
      <c r="F551" s="38"/>
      <c r="G551" s="38"/>
      <c r="H551" s="31"/>
      <c r="I551" s="32"/>
      <c r="J551" s="32"/>
      <c r="K551" s="45" t="s">
        <v>888</v>
      </c>
      <c r="L551" s="129"/>
      <c r="M551" s="33" t="str">
        <f t="shared" si="8"/>
        <v/>
      </c>
      <c r="N551" s="34" t="str">
        <f>IFERROR(IF(Tabela1[[#This Row],[Nome fantasia]]="","",_xlfn.XLOOKUP($C551,Log!D:D,Log!B:B,,,-1)),"")</f>
        <v/>
      </c>
      <c r="O551" s="35" t="str">
        <f>IFERROR(_xlfn.XLOOKUP($C551,Log!D:D,Log!W:W,,,-1),"")</f>
        <v/>
      </c>
      <c r="P551" s="35" t="str">
        <f>IFERROR(_xlfn.XLOOKUP($C551,Log!D:D,Log!Y:Y,,,-1),"")</f>
        <v/>
      </c>
      <c r="Q551" s="130"/>
      <c r="R551" s="131" t="str">
        <f>IFERROR(IF(Tabela1[[#This Row],[Nome fantasia]]="","",_xlfn.XLOOKUP($C551,Log!D:D,Log!X:X,,,-1)),"")</f>
        <v/>
      </c>
    </row>
    <row r="552" spans="3:18" hidden="1" x14ac:dyDescent="0.2">
      <c r="C552" s="30" t="s">
        <v>1682</v>
      </c>
      <c r="D552" s="110" t="s">
        <v>1683</v>
      </c>
      <c r="E552" s="33" t="s">
        <v>46</v>
      </c>
      <c r="F552" s="38"/>
      <c r="G552" s="38"/>
      <c r="H552" s="31"/>
      <c r="I552" s="32"/>
      <c r="J552" s="32"/>
      <c r="K552" s="45" t="s">
        <v>888</v>
      </c>
      <c r="L552" s="129"/>
      <c r="M552" s="33" t="str">
        <f t="shared" si="8"/>
        <v/>
      </c>
      <c r="N552" s="34" t="str">
        <f>IFERROR(IF(Tabela1[[#This Row],[Nome fantasia]]="","",_xlfn.XLOOKUP($C552,Log!D:D,Log!B:B,,,-1)),"")</f>
        <v/>
      </c>
      <c r="O552" s="35" t="str">
        <f>IFERROR(_xlfn.XLOOKUP($C552,Log!D:D,Log!W:W,,,-1),"")</f>
        <v/>
      </c>
      <c r="P552" s="35" t="str">
        <f>IFERROR(_xlfn.XLOOKUP($C552,Log!D:D,Log!Y:Y,,,-1),"")</f>
        <v/>
      </c>
      <c r="Q552" s="130"/>
      <c r="R552" s="131" t="str">
        <f>IFERROR(IF(Tabela1[[#This Row],[Nome fantasia]]="","",_xlfn.XLOOKUP($C552,Log!D:D,Log!X:X,,,-1)),"")</f>
        <v/>
      </c>
    </row>
    <row r="553" spans="3:18" hidden="1" x14ac:dyDescent="0.2">
      <c r="C553" s="30" t="s">
        <v>1684</v>
      </c>
      <c r="D553" s="110" t="s">
        <v>1685</v>
      </c>
      <c r="E553" s="33" t="s">
        <v>22</v>
      </c>
      <c r="F553" s="38"/>
      <c r="G553" s="38"/>
      <c r="H553" s="31"/>
      <c r="I553" s="32"/>
      <c r="J553" s="32"/>
      <c r="K553" s="45" t="s">
        <v>888</v>
      </c>
      <c r="L553" s="129"/>
      <c r="M553" s="33" t="str">
        <f t="shared" si="8"/>
        <v/>
      </c>
      <c r="N553" s="34" t="str">
        <f>IFERROR(IF(Tabela1[[#This Row],[Nome fantasia]]="","",_xlfn.XLOOKUP($C553,Log!D:D,Log!B:B,,,-1)),"")</f>
        <v/>
      </c>
      <c r="O553" s="35" t="str">
        <f>IFERROR(_xlfn.XLOOKUP($C553,Log!D:D,Log!W:W,,,-1),"")</f>
        <v/>
      </c>
      <c r="P553" s="35" t="str">
        <f>IFERROR(_xlfn.XLOOKUP($C553,Log!D:D,Log!Y:Y,,,-1),"")</f>
        <v/>
      </c>
      <c r="Q553" s="130"/>
      <c r="R553" s="131" t="str">
        <f>IFERROR(IF(Tabela1[[#This Row],[Nome fantasia]]="","",_xlfn.XLOOKUP($C553,Log!D:D,Log!X:X,,,-1)),"")</f>
        <v/>
      </c>
    </row>
    <row r="554" spans="3:18" hidden="1" x14ac:dyDescent="0.2">
      <c r="C554" s="30" t="s">
        <v>1686</v>
      </c>
      <c r="D554" s="110" t="s">
        <v>1687</v>
      </c>
      <c r="E554" s="33" t="s">
        <v>46</v>
      </c>
      <c r="F554" s="38"/>
      <c r="G554" s="38"/>
      <c r="H554" s="31"/>
      <c r="I554" s="32"/>
      <c r="J554" s="32"/>
      <c r="K554" s="45" t="s">
        <v>888</v>
      </c>
      <c r="L554" s="129"/>
      <c r="M554" s="33" t="str">
        <f t="shared" si="8"/>
        <v/>
      </c>
      <c r="N554" s="34" t="str">
        <f>IFERROR(IF(Tabela1[[#This Row],[Nome fantasia]]="","",_xlfn.XLOOKUP($C554,Log!D:D,Log!B:B,,,-1)),"")</f>
        <v/>
      </c>
      <c r="O554" s="35" t="str">
        <f>IFERROR(_xlfn.XLOOKUP($C554,Log!D:D,Log!W:W,,,-1),"")</f>
        <v/>
      </c>
      <c r="P554" s="35" t="str">
        <f>IFERROR(_xlfn.XLOOKUP($C554,Log!D:D,Log!Y:Y,,,-1),"")</f>
        <v/>
      </c>
      <c r="Q554" s="130"/>
      <c r="R554" s="131" t="str">
        <f>IFERROR(IF(Tabela1[[#This Row],[Nome fantasia]]="","",_xlfn.XLOOKUP($C554,Log!D:D,Log!X:X,,,-1)),"")</f>
        <v/>
      </c>
    </row>
    <row r="555" spans="3:18" hidden="1" x14ac:dyDescent="0.2">
      <c r="C555" s="30" t="s">
        <v>1688</v>
      </c>
      <c r="D555" s="110" t="s">
        <v>1689</v>
      </c>
      <c r="E555" s="33" t="s">
        <v>46</v>
      </c>
      <c r="F555" s="38"/>
      <c r="G555" s="38"/>
      <c r="H555" s="31"/>
      <c r="I555" s="32"/>
      <c r="J555" s="32"/>
      <c r="K555" s="45" t="s">
        <v>888</v>
      </c>
      <c r="L555" s="129"/>
      <c r="M555" s="33" t="str">
        <f t="shared" si="8"/>
        <v/>
      </c>
      <c r="N555" s="34" t="str">
        <f>IFERROR(IF(Tabela1[[#This Row],[Nome fantasia]]="","",_xlfn.XLOOKUP($C555,Log!D:D,Log!B:B,,,-1)),"")</f>
        <v/>
      </c>
      <c r="O555" s="35" t="str">
        <f>IFERROR(_xlfn.XLOOKUP($C555,Log!D:D,Log!W:W,,,-1),"")</f>
        <v/>
      </c>
      <c r="P555" s="35" t="str">
        <f>IFERROR(_xlfn.XLOOKUP($C555,Log!D:D,Log!Y:Y,,,-1),"")</f>
        <v/>
      </c>
      <c r="Q555" s="130"/>
      <c r="R555" s="131" t="str">
        <f>IFERROR(IF(Tabela1[[#This Row],[Nome fantasia]]="","",_xlfn.XLOOKUP($C555,Log!D:D,Log!X:X,,,-1)),"")</f>
        <v/>
      </c>
    </row>
    <row r="556" spans="3:18" hidden="1" x14ac:dyDescent="0.2">
      <c r="C556" s="30"/>
      <c r="D556" s="110" t="s">
        <v>1690</v>
      </c>
      <c r="E556" s="33" t="s">
        <v>46</v>
      </c>
      <c r="F556" s="38"/>
      <c r="G556" s="38"/>
      <c r="H556" s="31"/>
      <c r="I556" s="32"/>
      <c r="J556" s="32"/>
      <c r="K556" s="45" t="s">
        <v>888</v>
      </c>
      <c r="L556" s="129"/>
      <c r="M556" s="33" t="str">
        <f t="shared" si="8"/>
        <v/>
      </c>
      <c r="N556" s="34" t="str">
        <f>IFERROR(IF(Tabela1[[#This Row],[Nome fantasia]]="","",_xlfn.XLOOKUP($C556,Log!D:D,Log!B:B,,,-1)),"")</f>
        <v/>
      </c>
      <c r="O556" s="35">
        <f>IFERROR(_xlfn.XLOOKUP($C556,Log!D:D,Log!W:W,,,-1),"")</f>
        <v>0</v>
      </c>
      <c r="P556" s="35" t="str">
        <f>IFERROR(_xlfn.XLOOKUP($C556,Log!D:D,Log!Y:Y,,,-1),"")</f>
        <v/>
      </c>
      <c r="Q556" s="130"/>
      <c r="R556" s="131" t="str">
        <f>IFERROR(IF(Tabela1[[#This Row],[Nome fantasia]]="","",_xlfn.XLOOKUP($C556,Log!D:D,Log!X:X,,,-1)),"")</f>
        <v/>
      </c>
    </row>
    <row r="557" spans="3:18" hidden="1" x14ac:dyDescent="0.2">
      <c r="C557" s="30"/>
      <c r="D557" s="110" t="s">
        <v>1691</v>
      </c>
      <c r="E557" s="33" t="s">
        <v>22</v>
      </c>
      <c r="F557" s="38"/>
      <c r="G557" s="38"/>
      <c r="H557" s="31"/>
      <c r="I557" s="32"/>
      <c r="J557" s="32"/>
      <c r="K557" s="45" t="s">
        <v>888</v>
      </c>
      <c r="L557" s="129"/>
      <c r="M557" s="33" t="str">
        <f t="shared" si="8"/>
        <v/>
      </c>
      <c r="N557" s="34" t="str">
        <f>IFERROR(IF(Tabela1[[#This Row],[Nome fantasia]]="","",_xlfn.XLOOKUP($C557,Log!D:D,Log!B:B,,,-1)),"")</f>
        <v/>
      </c>
      <c r="O557" s="35" t="str">
        <f>IFERROR(_xlfn.XLOOKUP($C557,Log!D:D,Log!W:W,,,-1),"")</f>
        <v/>
      </c>
      <c r="P557" s="35">
        <f>IFERROR(_xlfn.XLOOKUP($C557,Log!D:D,Log!Y:Y,,,-1),"")</f>
        <v>0</v>
      </c>
      <c r="Q557" s="130"/>
      <c r="R557" s="131" t="str">
        <f>IFERROR(IF(Tabela1[[#This Row],[Nome fantasia]]="","",_xlfn.XLOOKUP($C557,Log!D:D,Log!X:X,,,-1)),"")</f>
        <v/>
      </c>
    </row>
    <row r="558" spans="3:18" hidden="1" x14ac:dyDescent="0.2">
      <c r="C558" s="30" t="s">
        <v>1692</v>
      </c>
      <c r="D558" s="110" t="s">
        <v>1693</v>
      </c>
      <c r="E558" s="33" t="s">
        <v>46</v>
      </c>
      <c r="F558" s="38"/>
      <c r="G558" s="38"/>
      <c r="H558" s="31"/>
      <c r="I558" s="32"/>
      <c r="J558" s="32"/>
      <c r="K558" s="45" t="s">
        <v>888</v>
      </c>
      <c r="L558" s="129"/>
      <c r="M558" s="33" t="str">
        <f t="shared" si="8"/>
        <v/>
      </c>
      <c r="N558" s="34" t="str">
        <f>IFERROR(IF(Tabela1[[#This Row],[Nome fantasia]]="","",_xlfn.XLOOKUP($C558,Log!D:D,Log!B:B,,,-1)),"")</f>
        <v/>
      </c>
      <c r="O558" s="35" t="str">
        <f>IFERROR(_xlfn.XLOOKUP($C558,Log!D:D,Log!W:W,,,-1),"")</f>
        <v/>
      </c>
      <c r="P558" s="35" t="str">
        <f>IFERROR(_xlfn.XLOOKUP($C558,Log!D:D,Log!Y:Y,,,-1),"")</f>
        <v/>
      </c>
      <c r="Q558" s="130"/>
      <c r="R558" s="131" t="str">
        <f>IFERROR(IF(Tabela1[[#This Row],[Nome fantasia]]="","",_xlfn.XLOOKUP($C558,Log!D:D,Log!X:X,,,-1)),"")</f>
        <v/>
      </c>
    </row>
    <row r="559" spans="3:18" hidden="1" x14ac:dyDescent="0.2">
      <c r="C559" s="30" t="s">
        <v>1694</v>
      </c>
      <c r="D559" s="110" t="s">
        <v>1695</v>
      </c>
      <c r="E559" s="33" t="s">
        <v>46</v>
      </c>
      <c r="F559" s="38"/>
      <c r="G559" s="38"/>
      <c r="H559" s="31"/>
      <c r="I559" s="32"/>
      <c r="J559" s="32"/>
      <c r="K559" s="45" t="s">
        <v>888</v>
      </c>
      <c r="L559" s="129"/>
      <c r="M559" s="33" t="str">
        <f t="shared" si="8"/>
        <v/>
      </c>
      <c r="N559" s="34">
        <f>IFERROR(IF(Tabela1[[#This Row],[Nome fantasia]]="","",_xlfn.XLOOKUP($C559,Log!D:D,Log!B:B,,,-1)),"")</f>
        <v>45994</v>
      </c>
      <c r="O559" s="35" t="str">
        <f>IFERROR(_xlfn.XLOOKUP($C559,Log!D:D,Log!W:W,,,-1),"")</f>
        <v>EM ATENDIMENTO</v>
      </c>
      <c r="P559" s="35" t="str">
        <f>IFERROR(_xlfn.XLOOKUP($C559,Log!D:D,Log!Y:Y,,,-1),"")</f>
        <v>NÃO ATENDEU, SO CHAMA</v>
      </c>
      <c r="Q559" s="130"/>
      <c r="R559" s="131">
        <f>IFERROR(IF(Tabela1[[#This Row],[Nome fantasia]]="","",_xlfn.XLOOKUP($C559,Log!D:D,Log!X:X,,,-1)),"")</f>
        <v>45996</v>
      </c>
    </row>
    <row r="560" spans="3:18" hidden="1" x14ac:dyDescent="0.2">
      <c r="C560" s="30" t="s">
        <v>1696</v>
      </c>
      <c r="D560" s="110" t="s">
        <v>1697</v>
      </c>
      <c r="E560" s="33" t="s">
        <v>46</v>
      </c>
      <c r="F560" s="38"/>
      <c r="G560" s="38"/>
      <c r="H560" s="31"/>
      <c r="I560" s="32"/>
      <c r="J560" s="32"/>
      <c r="K560" s="45" t="s">
        <v>888</v>
      </c>
      <c r="L560" s="129"/>
      <c r="M560" s="33" t="str">
        <f t="shared" si="8"/>
        <v/>
      </c>
      <c r="N560" s="34" t="str">
        <f>IFERROR(IF(Tabela1[[#This Row],[Nome fantasia]]="","",_xlfn.XLOOKUP($C560,Log!D:D,Log!B:B,,,-1)),"")</f>
        <v/>
      </c>
      <c r="O560" s="35" t="str">
        <f>IFERROR(_xlfn.XLOOKUP($C560,Log!D:D,Log!W:W,,,-1),"")</f>
        <v/>
      </c>
      <c r="P560" s="35" t="str">
        <f>IFERROR(_xlfn.XLOOKUP($C560,Log!D:D,Log!Y:Y,,,-1),"")</f>
        <v/>
      </c>
      <c r="Q560" s="130"/>
      <c r="R560" s="131" t="str">
        <f>IFERROR(IF(Tabela1[[#This Row],[Nome fantasia]]="","",_xlfn.XLOOKUP($C560,Log!D:D,Log!X:X,,,-1)),"")</f>
        <v/>
      </c>
    </row>
    <row r="561" spans="3:18" hidden="1" x14ac:dyDescent="0.2">
      <c r="C561" s="30"/>
      <c r="D561" s="110" t="s">
        <v>1698</v>
      </c>
      <c r="E561" s="33" t="s">
        <v>22</v>
      </c>
      <c r="F561" s="38"/>
      <c r="G561" s="38"/>
      <c r="H561" s="31"/>
      <c r="I561" s="32"/>
      <c r="J561" s="32"/>
      <c r="K561" s="45" t="s">
        <v>888</v>
      </c>
      <c r="L561" s="129"/>
      <c r="M561" s="33" t="str">
        <f t="shared" si="8"/>
        <v/>
      </c>
      <c r="N561" s="34" t="str">
        <f>IFERROR(IF(Tabela1[[#This Row],[Nome fantasia]]="","",_xlfn.XLOOKUP($C561,Log!D:D,Log!B:B,,,-1)),"")</f>
        <v/>
      </c>
      <c r="O561" s="35">
        <f>IFERROR(_xlfn.XLOOKUP($C561,Log!D:D,Log!W:W,,,-1),"")</f>
        <v>0</v>
      </c>
      <c r="P561" s="35">
        <f>IFERROR(_xlfn.XLOOKUP($C561,Log!D:D,Log!Y:Y,,,-1),"")</f>
        <v>0</v>
      </c>
      <c r="Q561" s="130"/>
      <c r="R561" s="131" t="str">
        <f>IFERROR(IF(Tabela1[[#This Row],[Nome fantasia]]="","",_xlfn.XLOOKUP($C561,Log!D:D,Log!X:X,,,-1)),"")</f>
        <v/>
      </c>
    </row>
    <row r="562" spans="3:18" hidden="1" x14ac:dyDescent="0.2">
      <c r="C562" s="30" t="s">
        <v>1699</v>
      </c>
      <c r="D562" s="110" t="s">
        <v>1700</v>
      </c>
      <c r="E562" s="33" t="s">
        <v>46</v>
      </c>
      <c r="F562" s="38"/>
      <c r="G562" s="38"/>
      <c r="H562" s="31"/>
      <c r="I562" s="32"/>
      <c r="J562" s="32"/>
      <c r="K562" s="45" t="s">
        <v>888</v>
      </c>
      <c r="L562" s="129"/>
      <c r="M562" s="33" t="str">
        <f t="shared" si="8"/>
        <v/>
      </c>
      <c r="N562" s="34">
        <f>IFERROR(IF(Tabela1[[#This Row],[Nome fantasia]]="","",_xlfn.XLOOKUP($C562,Log!D:D,Log!B:B,,,-1)),"")</f>
        <v>45994</v>
      </c>
      <c r="O562" s="35" t="str">
        <f>IFERROR(_xlfn.XLOOKUP($C562,Log!D:D,Log!W:W,,,-1),"")</f>
        <v>EM ATENDIMENTO</v>
      </c>
      <c r="P562" s="35" t="str">
        <f>IFERROR(_xlfn.XLOOKUP($C562,Log!D:D,Log!Y:Y,,,-1),"")</f>
        <v>PEDIU PARA MANDAR POR EMAIL</v>
      </c>
      <c r="Q562" s="130"/>
      <c r="R562" s="131">
        <f>IFERROR(IF(Tabela1[[#This Row],[Nome fantasia]]="","",_xlfn.XLOOKUP($C562,Log!D:D,Log!X:X,,,-1)),"")</f>
        <v>45996</v>
      </c>
    </row>
    <row r="563" spans="3:18" hidden="1" x14ac:dyDescent="0.2">
      <c r="C563" s="30" t="s">
        <v>1701</v>
      </c>
      <c r="D563" s="110" t="s">
        <v>1702</v>
      </c>
      <c r="E563" s="33" t="s">
        <v>17</v>
      </c>
      <c r="F563" s="38"/>
      <c r="G563" s="38"/>
      <c r="H563" s="31"/>
      <c r="I563" s="32"/>
      <c r="J563" s="32"/>
      <c r="K563" s="45" t="s">
        <v>888</v>
      </c>
      <c r="L563" s="129"/>
      <c r="M563" s="33" t="str">
        <f t="shared" si="8"/>
        <v/>
      </c>
      <c r="N563" s="34" t="str">
        <f>IFERROR(IF(Tabela1[[#This Row],[Nome fantasia]]="","",_xlfn.XLOOKUP($C563,Log!D:D,Log!B:B,,,-1)),"")</f>
        <v/>
      </c>
      <c r="O563" s="35" t="str">
        <f>IFERROR(_xlfn.XLOOKUP($C563,Log!D:D,Log!W:W,,,-1),"")</f>
        <v/>
      </c>
      <c r="P563" s="35" t="str">
        <f>IFERROR(_xlfn.XLOOKUP($C563,Log!D:D,Log!Y:Y,,,-1),"")</f>
        <v/>
      </c>
      <c r="Q563" s="130"/>
      <c r="R563" s="131" t="str">
        <f>IFERROR(IF(Tabela1[[#This Row],[Nome fantasia]]="","",_xlfn.XLOOKUP($C563,Log!D:D,Log!X:X,,,-1)),"")</f>
        <v/>
      </c>
    </row>
    <row r="564" spans="3:18" hidden="1" x14ac:dyDescent="0.2">
      <c r="C564" s="30" t="s">
        <v>1703</v>
      </c>
      <c r="D564" s="110" t="s">
        <v>1704</v>
      </c>
      <c r="E564" s="33" t="s">
        <v>22</v>
      </c>
      <c r="F564" s="38"/>
      <c r="G564" s="38"/>
      <c r="H564" s="31"/>
      <c r="I564" s="32"/>
      <c r="J564" s="32"/>
      <c r="K564" s="45" t="s">
        <v>888</v>
      </c>
      <c r="L564" s="129"/>
      <c r="M564" s="33" t="str">
        <f t="shared" si="8"/>
        <v/>
      </c>
      <c r="N564" s="34" t="str">
        <f>IFERROR(IF(Tabela1[[#This Row],[Nome fantasia]]="","",_xlfn.XLOOKUP($C564,Log!D:D,Log!B:B,,,-1)),"")</f>
        <v/>
      </c>
      <c r="O564" s="35" t="str">
        <f>IFERROR(_xlfn.XLOOKUP($C564,Log!D:D,Log!W:W,,,-1),"")</f>
        <v/>
      </c>
      <c r="P564" s="35" t="str">
        <f>IFERROR(_xlfn.XLOOKUP($C564,Log!D:D,Log!Y:Y,,,-1),"")</f>
        <v/>
      </c>
      <c r="Q564" s="130"/>
      <c r="R564" s="131" t="str">
        <f>IFERROR(IF(Tabela1[[#This Row],[Nome fantasia]]="","",_xlfn.XLOOKUP($C564,Log!D:D,Log!X:X,,,-1)),"")</f>
        <v/>
      </c>
    </row>
    <row r="565" spans="3:18" hidden="1" x14ac:dyDescent="0.2">
      <c r="C565" s="30" t="s">
        <v>1705</v>
      </c>
      <c r="D565" s="110" t="s">
        <v>1706</v>
      </c>
      <c r="E565" s="33" t="s">
        <v>22</v>
      </c>
      <c r="F565" s="38"/>
      <c r="G565" s="38"/>
      <c r="H565" s="31"/>
      <c r="I565" s="32"/>
      <c r="J565" s="32"/>
      <c r="K565" s="45" t="s">
        <v>888</v>
      </c>
      <c r="L565" s="129"/>
      <c r="M565" s="33" t="str">
        <f t="shared" si="8"/>
        <v/>
      </c>
      <c r="N565" s="34" t="str">
        <f>IFERROR(IF(Tabela1[[#This Row],[Nome fantasia]]="","",_xlfn.XLOOKUP($C565,Log!D:D,Log!B:B,,,-1)),"")</f>
        <v/>
      </c>
      <c r="O565" s="35" t="str">
        <f>IFERROR(_xlfn.XLOOKUP($C565,Log!D:D,Log!W:W,,,-1),"")</f>
        <v/>
      </c>
      <c r="P565" s="35" t="str">
        <f>IFERROR(_xlfn.XLOOKUP($C565,Log!D:D,Log!Y:Y,,,-1),"")</f>
        <v/>
      </c>
      <c r="Q565" s="130"/>
      <c r="R565" s="131" t="str">
        <f>IFERROR(IF(Tabela1[[#This Row],[Nome fantasia]]="","",_xlfn.XLOOKUP($C565,Log!D:D,Log!X:X,,,-1)),"")</f>
        <v/>
      </c>
    </row>
    <row r="566" spans="3:18" hidden="1" x14ac:dyDescent="0.2">
      <c r="C566" s="30" t="s">
        <v>1707</v>
      </c>
      <c r="D566" s="110" t="s">
        <v>1708</v>
      </c>
      <c r="E566" s="33" t="s">
        <v>22</v>
      </c>
      <c r="F566" s="38"/>
      <c r="G566" s="38"/>
      <c r="H566" s="31"/>
      <c r="I566" s="32"/>
      <c r="J566" s="32"/>
      <c r="K566" s="45" t="s">
        <v>888</v>
      </c>
      <c r="L566" s="129"/>
      <c r="M566" s="33" t="str">
        <f t="shared" si="8"/>
        <v/>
      </c>
      <c r="N566" s="34" t="str">
        <f>IFERROR(IF(Tabela1[[#This Row],[Nome fantasia]]="","",_xlfn.XLOOKUP($C566,Log!D:D,Log!B:B,,,-1)),"")</f>
        <v/>
      </c>
      <c r="O566" s="35" t="str">
        <f>IFERROR(_xlfn.XLOOKUP($C566,Log!D:D,Log!W:W,,,-1),"")</f>
        <v/>
      </c>
      <c r="P566" s="35" t="str">
        <f>IFERROR(_xlfn.XLOOKUP($C566,Log!D:D,Log!Y:Y,,,-1),"")</f>
        <v/>
      </c>
      <c r="Q566" s="130"/>
      <c r="R566" s="131" t="str">
        <f>IFERROR(IF(Tabela1[[#This Row],[Nome fantasia]]="","",_xlfn.XLOOKUP($C566,Log!D:D,Log!X:X,,,-1)),"")</f>
        <v/>
      </c>
    </row>
    <row r="567" spans="3:18" hidden="1" x14ac:dyDescent="0.2">
      <c r="C567" s="30" t="s">
        <v>1709</v>
      </c>
      <c r="D567" s="110" t="s">
        <v>1710</v>
      </c>
      <c r="E567" s="33" t="s">
        <v>22</v>
      </c>
      <c r="F567" s="38"/>
      <c r="G567" s="38"/>
      <c r="H567" s="31"/>
      <c r="I567" s="32"/>
      <c r="J567" s="32"/>
      <c r="K567" s="45" t="s">
        <v>888</v>
      </c>
      <c r="L567" s="129"/>
      <c r="M567" s="33" t="str">
        <f t="shared" si="8"/>
        <v/>
      </c>
      <c r="N567" s="34" t="str">
        <f>IFERROR(IF(Tabela1[[#This Row],[Nome fantasia]]="","",_xlfn.XLOOKUP($C567,Log!D:D,Log!B:B,,,-1)),"")</f>
        <v/>
      </c>
      <c r="O567" s="35" t="str">
        <f>IFERROR(_xlfn.XLOOKUP($C567,Log!D:D,Log!W:W,,,-1),"")</f>
        <v/>
      </c>
      <c r="P567" s="35" t="str">
        <f>IFERROR(_xlfn.XLOOKUP($C567,Log!D:D,Log!Y:Y,,,-1),"")</f>
        <v/>
      </c>
      <c r="Q567" s="130"/>
      <c r="R567" s="131" t="str">
        <f>IFERROR(IF(Tabela1[[#This Row],[Nome fantasia]]="","",_xlfn.XLOOKUP($C567,Log!D:D,Log!X:X,,,-1)),"")</f>
        <v/>
      </c>
    </row>
    <row r="568" spans="3:18" hidden="1" x14ac:dyDescent="0.2">
      <c r="C568" s="30" t="s">
        <v>1711</v>
      </c>
      <c r="D568" s="110" t="s">
        <v>1712</v>
      </c>
      <c r="E568" s="33" t="s">
        <v>22</v>
      </c>
      <c r="F568" s="38"/>
      <c r="G568" s="38"/>
      <c r="H568" s="31"/>
      <c r="I568" s="32"/>
      <c r="J568" s="32"/>
      <c r="K568" s="45" t="s">
        <v>888</v>
      </c>
      <c r="L568" s="129"/>
      <c r="M568" s="33" t="str">
        <f t="shared" si="8"/>
        <v/>
      </c>
      <c r="N568" s="34" t="str">
        <f>IFERROR(IF(Tabela1[[#This Row],[Nome fantasia]]="","",_xlfn.XLOOKUP($C568,Log!D:D,Log!B:B,,,-1)),"")</f>
        <v/>
      </c>
      <c r="O568" s="35" t="str">
        <f>IFERROR(_xlfn.XLOOKUP($C568,Log!D:D,Log!W:W,,,-1),"")</f>
        <v/>
      </c>
      <c r="P568" s="35" t="str">
        <f>IFERROR(_xlfn.XLOOKUP($C568,Log!D:D,Log!Y:Y,,,-1),"")</f>
        <v/>
      </c>
      <c r="Q568" s="130"/>
      <c r="R568" s="131" t="str">
        <f>IFERROR(IF(Tabela1[[#This Row],[Nome fantasia]]="","",_xlfn.XLOOKUP($C568,Log!D:D,Log!X:X,,,-1)),"")</f>
        <v/>
      </c>
    </row>
    <row r="569" spans="3:18" hidden="1" x14ac:dyDescent="0.2">
      <c r="C569" s="30" t="s">
        <v>1713</v>
      </c>
      <c r="D569" s="110" t="s">
        <v>1714</v>
      </c>
      <c r="E569" s="33" t="s">
        <v>46</v>
      </c>
      <c r="F569" s="38"/>
      <c r="G569" s="38"/>
      <c r="H569" s="31"/>
      <c r="I569" s="32"/>
      <c r="J569" s="32"/>
      <c r="K569" s="45" t="s">
        <v>888</v>
      </c>
      <c r="L569" s="129"/>
      <c r="M569" s="33" t="str">
        <f t="shared" si="8"/>
        <v/>
      </c>
      <c r="N569" s="34" t="str">
        <f>IFERROR(IF(Tabela1[[#This Row],[Nome fantasia]]="","",_xlfn.XLOOKUP($C569,Log!D:D,Log!B:B,,,-1)),"")</f>
        <v/>
      </c>
      <c r="O569" s="35" t="str">
        <f>IFERROR(_xlfn.XLOOKUP($C569,Log!D:D,Log!W:W,,,-1),"")</f>
        <v/>
      </c>
      <c r="P569" s="35" t="str">
        <f>IFERROR(_xlfn.XLOOKUP($C569,Log!D:D,Log!Y:Y,,,-1),"")</f>
        <v/>
      </c>
      <c r="Q569" s="130"/>
      <c r="R569" s="131" t="str">
        <f>IFERROR(IF(Tabela1[[#This Row],[Nome fantasia]]="","",_xlfn.XLOOKUP($C569,Log!D:D,Log!X:X,,,-1)),"")</f>
        <v/>
      </c>
    </row>
    <row r="570" spans="3:18" hidden="1" x14ac:dyDescent="0.2">
      <c r="C570" s="30" t="s">
        <v>1715</v>
      </c>
      <c r="D570" s="110" t="s">
        <v>1716</v>
      </c>
      <c r="E570" s="33" t="s">
        <v>17</v>
      </c>
      <c r="F570" s="38"/>
      <c r="G570" s="38"/>
      <c r="H570" s="31"/>
      <c r="I570" s="32"/>
      <c r="J570" s="32"/>
      <c r="K570" s="45" t="s">
        <v>888</v>
      </c>
      <c r="L570" s="129"/>
      <c r="M570" s="33" t="str">
        <f t="shared" si="8"/>
        <v/>
      </c>
      <c r="N570" s="34" t="str">
        <f>IFERROR(IF(Tabela1[[#This Row],[Nome fantasia]]="","",_xlfn.XLOOKUP($C570,Log!D:D,Log!B:B,,,-1)),"")</f>
        <v/>
      </c>
      <c r="O570" s="35" t="str">
        <f>IFERROR(_xlfn.XLOOKUP($C570,Log!D:D,Log!W:W,,,-1),"")</f>
        <v/>
      </c>
      <c r="P570" s="35" t="str">
        <f>IFERROR(_xlfn.XLOOKUP($C570,Log!D:D,Log!Y:Y,,,-1),"")</f>
        <v/>
      </c>
      <c r="Q570" s="130"/>
      <c r="R570" s="131" t="str">
        <f>IFERROR(IF(Tabela1[[#This Row],[Nome fantasia]]="","",_xlfn.XLOOKUP($C570,Log!D:D,Log!X:X,,,-1)),"")</f>
        <v/>
      </c>
    </row>
    <row r="571" spans="3:18" hidden="1" x14ac:dyDescent="0.2">
      <c r="C571" s="30" t="s">
        <v>1717</v>
      </c>
      <c r="D571" s="110" t="s">
        <v>1718</v>
      </c>
      <c r="E571" s="33" t="s">
        <v>46</v>
      </c>
      <c r="F571" s="38"/>
      <c r="G571" s="38"/>
      <c r="H571" s="31"/>
      <c r="I571" s="32"/>
      <c r="J571" s="32"/>
      <c r="K571" s="45" t="s">
        <v>888</v>
      </c>
      <c r="L571" s="129"/>
      <c r="M571" s="33" t="str">
        <f t="shared" si="8"/>
        <v/>
      </c>
      <c r="N571" s="34" t="str">
        <f>IFERROR(IF(Tabela1[[#This Row],[Nome fantasia]]="","",_xlfn.XLOOKUP($C571,Log!D:D,Log!B:B,,,-1)),"")</f>
        <v/>
      </c>
      <c r="O571" s="35" t="str">
        <f>IFERROR(_xlfn.XLOOKUP($C571,Log!D:D,Log!W:W,,,-1),"")</f>
        <v/>
      </c>
      <c r="P571" s="35" t="str">
        <f>IFERROR(_xlfn.XLOOKUP($C571,Log!D:D,Log!Y:Y,,,-1),"")</f>
        <v/>
      </c>
      <c r="Q571" s="130"/>
      <c r="R571" s="131" t="str">
        <f>IFERROR(IF(Tabela1[[#This Row],[Nome fantasia]]="","",_xlfn.XLOOKUP($C571,Log!D:D,Log!X:X,,,-1)),"")</f>
        <v/>
      </c>
    </row>
    <row r="572" spans="3:18" hidden="1" x14ac:dyDescent="0.2">
      <c r="C572" s="30" t="s">
        <v>1719</v>
      </c>
      <c r="D572" s="110" t="s">
        <v>1720</v>
      </c>
      <c r="E572" s="33" t="s">
        <v>46</v>
      </c>
      <c r="F572" s="38"/>
      <c r="G572" s="38"/>
      <c r="H572" s="31"/>
      <c r="I572" s="32"/>
      <c r="J572" s="32"/>
      <c r="K572" s="45" t="s">
        <v>888</v>
      </c>
      <c r="L572" s="129"/>
      <c r="M572" s="33" t="str">
        <f t="shared" si="8"/>
        <v/>
      </c>
      <c r="N572" s="34" t="str">
        <f>IFERROR(IF(Tabela1[[#This Row],[Nome fantasia]]="","",_xlfn.XLOOKUP($C572,Log!D:D,Log!B:B,,,-1)),"")</f>
        <v/>
      </c>
      <c r="O572" s="35" t="str">
        <f>IFERROR(_xlfn.XLOOKUP($C572,Log!D:D,Log!W:W,,,-1),"")</f>
        <v/>
      </c>
      <c r="P572" s="35" t="str">
        <f>IFERROR(_xlfn.XLOOKUP($C572,Log!D:D,Log!Y:Y,,,-1),"")</f>
        <v/>
      </c>
      <c r="Q572" s="130"/>
      <c r="R572" s="131" t="str">
        <f>IFERROR(IF(Tabela1[[#This Row],[Nome fantasia]]="","",_xlfn.XLOOKUP($C572,Log!D:D,Log!X:X,,,-1)),"")</f>
        <v/>
      </c>
    </row>
    <row r="573" spans="3:18" hidden="1" x14ac:dyDescent="0.2">
      <c r="C573" s="30" t="s">
        <v>1721</v>
      </c>
      <c r="D573" s="110" t="s">
        <v>1722</v>
      </c>
      <c r="E573" s="33" t="s">
        <v>22</v>
      </c>
      <c r="F573" s="38"/>
      <c r="G573" s="38"/>
      <c r="H573" s="31"/>
      <c r="I573" s="32"/>
      <c r="J573" s="32"/>
      <c r="K573" s="45" t="s">
        <v>888</v>
      </c>
      <c r="L573" s="129"/>
      <c r="M573" s="33" t="str">
        <f t="shared" si="8"/>
        <v/>
      </c>
      <c r="N573" s="34" t="str">
        <f>IFERROR(IF(Tabela1[[#This Row],[Nome fantasia]]="","",_xlfn.XLOOKUP($C573,Log!D:D,Log!B:B,,,-1)),"")</f>
        <v/>
      </c>
      <c r="O573" s="35" t="str">
        <f>IFERROR(_xlfn.XLOOKUP($C573,Log!D:D,Log!W:W,,,-1),"")</f>
        <v/>
      </c>
      <c r="P573" s="35" t="str">
        <f>IFERROR(_xlfn.XLOOKUP($C573,Log!D:D,Log!Y:Y,,,-1),"")</f>
        <v/>
      </c>
      <c r="Q573" s="130"/>
      <c r="R573" s="131" t="str">
        <f>IFERROR(IF(Tabela1[[#This Row],[Nome fantasia]]="","",_xlfn.XLOOKUP($C573,Log!D:D,Log!X:X,,,-1)),"")</f>
        <v/>
      </c>
    </row>
    <row r="574" spans="3:18" hidden="1" x14ac:dyDescent="0.2">
      <c r="C574" s="30" t="s">
        <v>1723</v>
      </c>
      <c r="D574" s="110" t="s">
        <v>1724</v>
      </c>
      <c r="E574" s="33" t="s">
        <v>46</v>
      </c>
      <c r="F574" s="38"/>
      <c r="G574" s="38"/>
      <c r="H574" s="31"/>
      <c r="I574" s="32"/>
      <c r="J574" s="32"/>
      <c r="K574" s="45" t="s">
        <v>888</v>
      </c>
      <c r="L574" s="129"/>
      <c r="M574" s="33" t="str">
        <f t="shared" si="8"/>
        <v/>
      </c>
      <c r="N574" s="34" t="str">
        <f>IFERROR(IF(Tabela1[[#This Row],[Nome fantasia]]="","",_xlfn.XLOOKUP($C574,Log!D:D,Log!B:B,,,-1)),"")</f>
        <v/>
      </c>
      <c r="O574" s="35" t="str">
        <f>IFERROR(_xlfn.XLOOKUP($C574,Log!D:D,Log!W:W,,,-1),"")</f>
        <v/>
      </c>
      <c r="P574" s="35" t="str">
        <f>IFERROR(_xlfn.XLOOKUP($C574,Log!D:D,Log!Y:Y,,,-1),"")</f>
        <v/>
      </c>
      <c r="Q574" s="130"/>
      <c r="R574" s="131" t="str">
        <f>IFERROR(IF(Tabela1[[#This Row],[Nome fantasia]]="","",_xlfn.XLOOKUP($C574,Log!D:D,Log!X:X,,,-1)),"")</f>
        <v/>
      </c>
    </row>
    <row r="575" spans="3:18" hidden="1" x14ac:dyDescent="0.2">
      <c r="C575" s="30" t="s">
        <v>1725</v>
      </c>
      <c r="D575" s="110" t="s">
        <v>1726</v>
      </c>
      <c r="E575" s="33" t="s">
        <v>22</v>
      </c>
      <c r="F575" s="38"/>
      <c r="G575" s="38"/>
      <c r="H575" s="31"/>
      <c r="I575" s="32"/>
      <c r="J575" s="32"/>
      <c r="K575" s="45" t="s">
        <v>888</v>
      </c>
      <c r="L575" s="129"/>
      <c r="M575" s="33" t="str">
        <f t="shared" si="8"/>
        <v/>
      </c>
      <c r="N575" s="34" t="str">
        <f>IFERROR(IF(Tabela1[[#This Row],[Nome fantasia]]="","",_xlfn.XLOOKUP($C575,Log!D:D,Log!B:B,,,-1)),"")</f>
        <v/>
      </c>
      <c r="O575" s="35" t="str">
        <f>IFERROR(_xlfn.XLOOKUP($C575,Log!D:D,Log!W:W,,,-1),"")</f>
        <v/>
      </c>
      <c r="P575" s="35" t="str">
        <f>IFERROR(_xlfn.XLOOKUP($C575,Log!D:D,Log!Y:Y,,,-1),"")</f>
        <v/>
      </c>
      <c r="Q575" s="130"/>
      <c r="R575" s="131" t="str">
        <f>IFERROR(IF(Tabela1[[#This Row],[Nome fantasia]]="","",_xlfn.XLOOKUP($C575,Log!D:D,Log!X:X,,,-1)),"")</f>
        <v/>
      </c>
    </row>
    <row r="576" spans="3:18" hidden="1" x14ac:dyDescent="0.2">
      <c r="C576" s="30" t="s">
        <v>1727</v>
      </c>
      <c r="D576" s="110" t="s">
        <v>1728</v>
      </c>
      <c r="E576" s="33" t="s">
        <v>46</v>
      </c>
      <c r="F576" s="38"/>
      <c r="G576" s="38"/>
      <c r="H576" s="31"/>
      <c r="I576" s="32"/>
      <c r="J576" s="32"/>
      <c r="K576" s="45" t="s">
        <v>888</v>
      </c>
      <c r="L576" s="129"/>
      <c r="M576" s="33" t="str">
        <f t="shared" si="8"/>
        <v/>
      </c>
      <c r="N576" s="34" t="str">
        <f>IFERROR(IF(Tabela1[[#This Row],[Nome fantasia]]="","",_xlfn.XLOOKUP($C576,Log!D:D,Log!B:B,,,-1)),"")</f>
        <v/>
      </c>
      <c r="O576" s="35" t="str">
        <f>IFERROR(_xlfn.XLOOKUP($C576,Log!D:D,Log!W:W,,,-1),"")</f>
        <v/>
      </c>
      <c r="P576" s="35" t="str">
        <f>IFERROR(_xlfn.XLOOKUP($C576,Log!D:D,Log!Y:Y,,,-1),"")</f>
        <v/>
      </c>
      <c r="Q576" s="130"/>
      <c r="R576" s="131" t="str">
        <f>IFERROR(IF(Tabela1[[#This Row],[Nome fantasia]]="","",_xlfn.XLOOKUP($C576,Log!D:D,Log!X:X,,,-1)),"")</f>
        <v/>
      </c>
    </row>
    <row r="577" spans="3:18" hidden="1" x14ac:dyDescent="0.2">
      <c r="C577" s="30" t="s">
        <v>1729</v>
      </c>
      <c r="D577" s="110" t="s">
        <v>1730</v>
      </c>
      <c r="E577" s="33" t="s">
        <v>17</v>
      </c>
      <c r="F577" s="38"/>
      <c r="G577" s="38"/>
      <c r="H577" s="31"/>
      <c r="I577" s="32"/>
      <c r="J577" s="32"/>
      <c r="K577" s="45" t="s">
        <v>888</v>
      </c>
      <c r="L577" s="129"/>
      <c r="M577" s="33" t="str">
        <f t="shared" si="8"/>
        <v/>
      </c>
      <c r="N577" s="34" t="str">
        <f>IFERROR(IF(Tabela1[[#This Row],[Nome fantasia]]="","",_xlfn.XLOOKUP($C577,Log!D:D,Log!B:B,,,-1)),"")</f>
        <v/>
      </c>
      <c r="O577" s="35" t="str">
        <f>IFERROR(_xlfn.XLOOKUP($C577,Log!D:D,Log!W:W,,,-1),"")</f>
        <v/>
      </c>
      <c r="P577" s="35" t="str">
        <f>IFERROR(_xlfn.XLOOKUP($C577,Log!D:D,Log!Y:Y,,,-1),"")</f>
        <v/>
      </c>
      <c r="Q577" s="130"/>
      <c r="R577" s="131" t="str">
        <f>IFERROR(IF(Tabela1[[#This Row],[Nome fantasia]]="","",_xlfn.XLOOKUP($C577,Log!D:D,Log!X:X,,,-1)),"")</f>
        <v/>
      </c>
    </row>
    <row r="578" spans="3:18" hidden="1" x14ac:dyDescent="0.2">
      <c r="C578" s="30" t="s">
        <v>1731</v>
      </c>
      <c r="D578" s="110" t="s">
        <v>1732</v>
      </c>
      <c r="E578" s="33" t="s">
        <v>17</v>
      </c>
      <c r="F578" s="38"/>
      <c r="G578" s="38"/>
      <c r="H578" s="31"/>
      <c r="I578" s="32"/>
      <c r="J578" s="32"/>
      <c r="K578" s="45" t="s">
        <v>888</v>
      </c>
      <c r="L578" s="129"/>
      <c r="M578" s="33" t="str">
        <f t="shared" si="8"/>
        <v/>
      </c>
      <c r="N578" s="34" t="str">
        <f>IFERROR(IF(Tabela1[[#This Row],[Nome fantasia]]="","",_xlfn.XLOOKUP($C578,Log!D:D,Log!B:B,,,-1)),"")</f>
        <v/>
      </c>
      <c r="O578" s="35" t="str">
        <f>IFERROR(_xlfn.XLOOKUP($C578,Log!D:D,Log!W:W,,,-1),"")</f>
        <v/>
      </c>
      <c r="P578" s="35" t="str">
        <f>IFERROR(_xlfn.XLOOKUP($C578,Log!D:D,Log!Y:Y,,,-1),"")</f>
        <v/>
      </c>
      <c r="Q578" s="130"/>
      <c r="R578" s="131" t="str">
        <f>IFERROR(IF(Tabela1[[#This Row],[Nome fantasia]]="","",_xlfn.XLOOKUP($C578,Log!D:D,Log!X:X,,,-1)),"")</f>
        <v/>
      </c>
    </row>
    <row r="579" spans="3:18" hidden="1" x14ac:dyDescent="0.2">
      <c r="C579" s="30" t="s">
        <v>1733</v>
      </c>
      <c r="D579" s="110" t="s">
        <v>1734</v>
      </c>
      <c r="E579" s="33" t="s">
        <v>46</v>
      </c>
      <c r="F579" s="38"/>
      <c r="G579" s="38"/>
      <c r="H579" s="31"/>
      <c r="I579" s="32"/>
      <c r="J579" s="32"/>
      <c r="K579" s="45" t="s">
        <v>888</v>
      </c>
      <c r="L579" s="129"/>
      <c r="M579" s="33" t="str">
        <f t="shared" ref="M579:M642" si="9">IF(OR(J579&lt;=0,J579=""),"","Recompra")</f>
        <v/>
      </c>
      <c r="N579" s="34" t="str">
        <f>IFERROR(IF(Tabela1[[#This Row],[Nome fantasia]]="","",_xlfn.XLOOKUP($C579,Log!D:D,Log!B:B,,,-1)),"")</f>
        <v/>
      </c>
      <c r="O579" s="35" t="str">
        <f>IFERROR(_xlfn.XLOOKUP($C579,Log!D:D,Log!W:W,,,-1),"")</f>
        <v/>
      </c>
      <c r="P579" s="35" t="str">
        <f>IFERROR(_xlfn.XLOOKUP($C579,Log!D:D,Log!Y:Y,,,-1),"")</f>
        <v/>
      </c>
      <c r="Q579" s="130"/>
      <c r="R579" s="131" t="str">
        <f>IFERROR(IF(Tabela1[[#This Row],[Nome fantasia]]="","",_xlfn.XLOOKUP($C579,Log!D:D,Log!X:X,,,-1)),"")</f>
        <v/>
      </c>
    </row>
    <row r="580" spans="3:18" hidden="1" x14ac:dyDescent="0.2">
      <c r="C580" s="30" t="s">
        <v>707</v>
      </c>
      <c r="D580" s="110" t="s">
        <v>1735</v>
      </c>
      <c r="E580" s="33" t="s">
        <v>46</v>
      </c>
      <c r="F580" s="38"/>
      <c r="G580" s="38"/>
      <c r="H580" s="31"/>
      <c r="I580" s="32"/>
      <c r="J580" s="32"/>
      <c r="K580" s="45" t="s">
        <v>888</v>
      </c>
      <c r="L580" s="129"/>
      <c r="M580" s="33" t="str">
        <f t="shared" si="9"/>
        <v/>
      </c>
      <c r="N580" s="34">
        <f>IFERROR(IF(Tabela1[[#This Row],[Nome fantasia]]="","",_xlfn.XLOOKUP($C580,Log!D:D,Log!B:B,,,-1)),"")</f>
        <v>46006</v>
      </c>
      <c r="O580" s="35" t="str">
        <f>IFERROR(_xlfn.XLOOKUP($C580,Log!D:D,Log!W:W,,,-1),"")</f>
        <v>EM ATENDIMENTO</v>
      </c>
      <c r="P580" s="35" t="str">
        <f>IFERROR(_xlfn.XLOOKUP($C580,Log!D:D,Log!Y:Y,,,-1),"")</f>
        <v>FEITO CONTATO PARA POSSIVEL RECOMPRA</v>
      </c>
      <c r="Q580" s="130"/>
      <c r="R580" s="131">
        <f>IFERROR(IF(Tabela1[[#This Row],[Nome fantasia]]="","",_xlfn.XLOOKUP($C580,Log!D:D,Log!X:X,,,-1)),"")</f>
        <v>46008</v>
      </c>
    </row>
    <row r="581" spans="3:18" hidden="1" x14ac:dyDescent="0.2">
      <c r="C581" s="30" t="s">
        <v>1736</v>
      </c>
      <c r="D581" s="110" t="s">
        <v>1737</v>
      </c>
      <c r="E581" s="33" t="s">
        <v>46</v>
      </c>
      <c r="F581" s="38"/>
      <c r="G581" s="38"/>
      <c r="H581" s="31"/>
      <c r="I581" s="32"/>
      <c r="J581" s="32"/>
      <c r="K581" s="45" t="s">
        <v>888</v>
      </c>
      <c r="L581" s="129"/>
      <c r="M581" s="33" t="str">
        <f t="shared" si="9"/>
        <v/>
      </c>
      <c r="N581" s="34" t="str">
        <f>IFERROR(IF(Tabela1[[#This Row],[Nome fantasia]]="","",_xlfn.XLOOKUP($C581,Log!D:D,Log!B:B,,,-1)),"")</f>
        <v/>
      </c>
      <c r="O581" s="35" t="str">
        <f>IFERROR(_xlfn.XLOOKUP($C581,Log!D:D,Log!W:W,,,-1),"")</f>
        <v/>
      </c>
      <c r="P581" s="35" t="str">
        <f>IFERROR(_xlfn.XLOOKUP($C581,Log!D:D,Log!Y:Y,,,-1),"")</f>
        <v/>
      </c>
      <c r="Q581" s="130"/>
      <c r="R581" s="131" t="str">
        <f>IFERROR(IF(Tabela1[[#This Row],[Nome fantasia]]="","",_xlfn.XLOOKUP($C581,Log!D:D,Log!X:X,,,-1)),"")</f>
        <v/>
      </c>
    </row>
    <row r="582" spans="3:18" hidden="1" x14ac:dyDescent="0.2">
      <c r="C582" s="30" t="s">
        <v>154</v>
      </c>
      <c r="D582" s="110" t="s">
        <v>1738</v>
      </c>
      <c r="E582" s="33" t="s">
        <v>22</v>
      </c>
      <c r="F582" s="38"/>
      <c r="G582" s="38"/>
      <c r="H582" s="31"/>
      <c r="I582" s="32"/>
      <c r="J582" s="32"/>
      <c r="K582" s="45" t="s">
        <v>888</v>
      </c>
      <c r="L582" s="129"/>
      <c r="M582" s="33" t="str">
        <f t="shared" si="9"/>
        <v/>
      </c>
      <c r="N582" s="34">
        <f>IFERROR(IF(Tabela1[[#This Row],[Nome fantasia]]="","",_xlfn.XLOOKUP($C582,Log!D:D,Log!B:B,,,-1)),"")</f>
        <v>45891</v>
      </c>
      <c r="O582" s="35" t="str">
        <f>IFERROR(_xlfn.XLOOKUP($C582,Log!D:D,Log!W:W,,,-1),"")</f>
        <v>VENDA</v>
      </c>
      <c r="P582" s="35" t="str">
        <f>IFERROR(_xlfn.XLOOKUP($C582,Log!D:D,Log!Y:Y,,,-1),"")</f>
        <v xml:space="preserve">RECOMPRA </v>
      </c>
      <c r="Q582" s="130"/>
      <c r="R582" s="131">
        <f>IFERROR(IF(Tabela1[[#This Row],[Nome fantasia]]="","",_xlfn.XLOOKUP($C582,Log!D:D,Log!X:X,,,-1)),"")</f>
        <v>45954</v>
      </c>
    </row>
    <row r="583" spans="3:18" hidden="1" x14ac:dyDescent="0.2">
      <c r="C583" s="30" t="s">
        <v>1739</v>
      </c>
      <c r="D583" s="110" t="s">
        <v>1740</v>
      </c>
      <c r="E583" s="33" t="s">
        <v>46</v>
      </c>
      <c r="F583" s="38"/>
      <c r="G583" s="38"/>
      <c r="H583" s="31"/>
      <c r="I583" s="32"/>
      <c r="J583" s="32"/>
      <c r="K583" s="45" t="s">
        <v>888</v>
      </c>
      <c r="L583" s="129"/>
      <c r="M583" s="33" t="str">
        <f t="shared" si="9"/>
        <v/>
      </c>
      <c r="N583" s="34" t="str">
        <f>IFERROR(IF(Tabela1[[#This Row],[Nome fantasia]]="","",_xlfn.XLOOKUP($C583,Log!D:D,Log!B:B,,,-1)),"")</f>
        <v/>
      </c>
      <c r="O583" s="35" t="str">
        <f>IFERROR(_xlfn.XLOOKUP($C583,Log!D:D,Log!W:W,,,-1),"")</f>
        <v/>
      </c>
      <c r="P583" s="35" t="str">
        <f>IFERROR(_xlfn.XLOOKUP($C583,Log!D:D,Log!Y:Y,,,-1),"")</f>
        <v/>
      </c>
      <c r="Q583" s="130"/>
      <c r="R583" s="131" t="str">
        <f>IFERROR(IF(Tabela1[[#This Row],[Nome fantasia]]="","",_xlfn.XLOOKUP($C583,Log!D:D,Log!X:X,,,-1)),"")</f>
        <v/>
      </c>
    </row>
    <row r="584" spans="3:18" hidden="1" x14ac:dyDescent="0.2">
      <c r="C584" s="30" t="s">
        <v>1741</v>
      </c>
      <c r="D584" s="110" t="s">
        <v>1742</v>
      </c>
      <c r="E584" s="33" t="s">
        <v>22</v>
      </c>
      <c r="F584" s="38"/>
      <c r="G584" s="38"/>
      <c r="H584" s="31"/>
      <c r="I584" s="32"/>
      <c r="J584" s="32"/>
      <c r="K584" s="45" t="s">
        <v>888</v>
      </c>
      <c r="L584" s="129"/>
      <c r="M584" s="33" t="str">
        <f t="shared" si="9"/>
        <v/>
      </c>
      <c r="N584" s="34" t="str">
        <f>IFERROR(IF(Tabela1[[#This Row],[Nome fantasia]]="","",_xlfn.XLOOKUP($C584,Log!D:D,Log!B:B,,,-1)),"")</f>
        <v/>
      </c>
      <c r="O584" s="35" t="str">
        <f>IFERROR(_xlfn.XLOOKUP($C584,Log!D:D,Log!W:W,,,-1),"")</f>
        <v/>
      </c>
      <c r="P584" s="35" t="str">
        <f>IFERROR(_xlfn.XLOOKUP($C584,Log!D:D,Log!Y:Y,,,-1),"")</f>
        <v/>
      </c>
      <c r="Q584" s="130"/>
      <c r="R584" s="131" t="str">
        <f>IFERROR(IF(Tabela1[[#This Row],[Nome fantasia]]="","",_xlfn.XLOOKUP($C584,Log!D:D,Log!X:X,,,-1)),"")</f>
        <v/>
      </c>
    </row>
    <row r="585" spans="3:18" hidden="1" x14ac:dyDescent="0.2">
      <c r="C585" s="30"/>
      <c r="D585" s="110" t="s">
        <v>1743</v>
      </c>
      <c r="E585" s="33" t="s">
        <v>17</v>
      </c>
      <c r="F585" s="38"/>
      <c r="G585" s="38"/>
      <c r="H585" s="31"/>
      <c r="I585" s="32"/>
      <c r="J585" s="32"/>
      <c r="K585" s="45" t="s">
        <v>888</v>
      </c>
      <c r="L585" s="129"/>
      <c r="M585" s="33" t="str">
        <f t="shared" si="9"/>
        <v/>
      </c>
      <c r="N585" s="34" t="str">
        <f>IFERROR(IF(Tabela1[[#This Row],[Nome fantasia]]="","",_xlfn.XLOOKUP($C585,Log!D:D,Log!B:B,,,-1)),"")</f>
        <v/>
      </c>
      <c r="O585" s="35" t="str">
        <f>IFERROR(_xlfn.XLOOKUP($C585,Log!D:D,Log!W:W,,,-1),"")</f>
        <v/>
      </c>
      <c r="P585" s="35">
        <f>IFERROR(_xlfn.XLOOKUP($C585,Log!D:D,Log!Y:Y,,,-1),"")</f>
        <v>0</v>
      </c>
      <c r="Q585" s="130"/>
      <c r="R585" s="131" t="str">
        <f>IFERROR(IF(Tabela1[[#This Row],[Nome fantasia]]="","",_xlfn.XLOOKUP($C585,Log!D:D,Log!X:X,,,-1)),"")</f>
        <v/>
      </c>
    </row>
    <row r="586" spans="3:18" hidden="1" x14ac:dyDescent="0.2">
      <c r="C586" s="30" t="s">
        <v>1744</v>
      </c>
      <c r="D586" s="110" t="s">
        <v>1745</v>
      </c>
      <c r="E586" s="33" t="s">
        <v>46</v>
      </c>
      <c r="F586" s="38"/>
      <c r="G586" s="38"/>
      <c r="H586" s="31"/>
      <c r="I586" s="32"/>
      <c r="J586" s="32"/>
      <c r="K586" s="45" t="s">
        <v>888</v>
      </c>
      <c r="L586" s="129"/>
      <c r="M586" s="33" t="str">
        <f t="shared" si="9"/>
        <v/>
      </c>
      <c r="N586" s="34" t="str">
        <f>IFERROR(IF(Tabela1[[#This Row],[Nome fantasia]]="","",_xlfn.XLOOKUP($C586,Log!D:D,Log!B:B,,,-1)),"")</f>
        <v/>
      </c>
      <c r="O586" s="35" t="str">
        <f>IFERROR(_xlfn.XLOOKUP($C586,Log!D:D,Log!W:W,,,-1),"")</f>
        <v/>
      </c>
      <c r="P586" s="35" t="str">
        <f>IFERROR(_xlfn.XLOOKUP($C586,Log!D:D,Log!Y:Y,,,-1),"")</f>
        <v/>
      </c>
      <c r="Q586" s="130"/>
      <c r="R586" s="131" t="str">
        <f>IFERROR(IF(Tabela1[[#This Row],[Nome fantasia]]="","",_xlfn.XLOOKUP($C586,Log!D:D,Log!X:X,,,-1)),"")</f>
        <v/>
      </c>
    </row>
    <row r="587" spans="3:18" hidden="1" x14ac:dyDescent="0.2">
      <c r="C587" s="30" t="s">
        <v>1746</v>
      </c>
      <c r="D587" s="110" t="s">
        <v>1747</v>
      </c>
      <c r="E587" s="33" t="s">
        <v>46</v>
      </c>
      <c r="F587" s="38"/>
      <c r="G587" s="38"/>
      <c r="H587" s="31"/>
      <c r="I587" s="32"/>
      <c r="J587" s="32"/>
      <c r="K587" s="45" t="s">
        <v>888</v>
      </c>
      <c r="L587" s="129"/>
      <c r="M587" s="33" t="str">
        <f t="shared" si="9"/>
        <v/>
      </c>
      <c r="N587" s="34" t="str">
        <f>IFERROR(IF(Tabela1[[#This Row],[Nome fantasia]]="","",_xlfn.XLOOKUP($C587,Log!D:D,Log!B:B,,,-1)),"")</f>
        <v/>
      </c>
      <c r="O587" s="35" t="str">
        <f>IFERROR(_xlfn.XLOOKUP($C587,Log!D:D,Log!W:W,,,-1),"")</f>
        <v/>
      </c>
      <c r="P587" s="35" t="str">
        <f>IFERROR(_xlfn.XLOOKUP($C587,Log!D:D,Log!Y:Y,,,-1),"")</f>
        <v/>
      </c>
      <c r="Q587" s="130"/>
      <c r="R587" s="131" t="str">
        <f>IFERROR(IF(Tabela1[[#This Row],[Nome fantasia]]="","",_xlfn.XLOOKUP($C587,Log!D:D,Log!X:X,,,-1)),"")</f>
        <v/>
      </c>
    </row>
    <row r="588" spans="3:18" hidden="1" x14ac:dyDescent="0.2">
      <c r="C588" s="30" t="s">
        <v>1748</v>
      </c>
      <c r="D588" s="110" t="s">
        <v>1749</v>
      </c>
      <c r="E588" s="33" t="s">
        <v>22</v>
      </c>
      <c r="F588" s="38"/>
      <c r="G588" s="38"/>
      <c r="H588" s="31"/>
      <c r="I588" s="32"/>
      <c r="J588" s="32"/>
      <c r="K588" s="45" t="s">
        <v>888</v>
      </c>
      <c r="L588" s="129"/>
      <c r="M588" s="33" t="str">
        <f t="shared" si="9"/>
        <v/>
      </c>
      <c r="N588" s="34" t="str">
        <f>IFERROR(IF(Tabela1[[#This Row],[Nome fantasia]]="","",_xlfn.XLOOKUP($C588,Log!D:D,Log!B:B,,,-1)),"")</f>
        <v/>
      </c>
      <c r="O588" s="35" t="str">
        <f>IFERROR(_xlfn.XLOOKUP($C588,Log!D:D,Log!W:W,,,-1),"")</f>
        <v/>
      </c>
      <c r="P588" s="35" t="str">
        <f>IFERROR(_xlfn.XLOOKUP($C588,Log!D:D,Log!Y:Y,,,-1),"")</f>
        <v/>
      </c>
      <c r="Q588" s="130"/>
      <c r="R588" s="131" t="str">
        <f>IFERROR(IF(Tabela1[[#This Row],[Nome fantasia]]="","",_xlfn.XLOOKUP($C588,Log!D:D,Log!X:X,,,-1)),"")</f>
        <v/>
      </c>
    </row>
    <row r="589" spans="3:18" hidden="1" x14ac:dyDescent="0.2">
      <c r="C589" s="30" t="s">
        <v>1750</v>
      </c>
      <c r="D589" s="110" t="s">
        <v>1751</v>
      </c>
      <c r="E589" s="33" t="s">
        <v>46</v>
      </c>
      <c r="F589" s="38"/>
      <c r="G589" s="38"/>
      <c r="H589" s="31"/>
      <c r="I589" s="32"/>
      <c r="J589" s="32"/>
      <c r="K589" s="45" t="s">
        <v>888</v>
      </c>
      <c r="L589" s="129"/>
      <c r="M589" s="33" t="str">
        <f t="shared" si="9"/>
        <v/>
      </c>
      <c r="N589" s="34" t="str">
        <f>IFERROR(IF(Tabela1[[#This Row],[Nome fantasia]]="","",_xlfn.XLOOKUP($C589,Log!D:D,Log!B:B,,,-1)),"")</f>
        <v/>
      </c>
      <c r="O589" s="35" t="str">
        <f>IFERROR(_xlfn.XLOOKUP($C589,Log!D:D,Log!W:W,,,-1),"")</f>
        <v/>
      </c>
      <c r="P589" s="35" t="str">
        <f>IFERROR(_xlfn.XLOOKUP($C589,Log!D:D,Log!Y:Y,,,-1),"")</f>
        <v/>
      </c>
      <c r="Q589" s="130"/>
      <c r="R589" s="131" t="str">
        <f>IFERROR(IF(Tabela1[[#This Row],[Nome fantasia]]="","",_xlfn.XLOOKUP($C589,Log!D:D,Log!X:X,,,-1)),"")</f>
        <v/>
      </c>
    </row>
    <row r="590" spans="3:18" hidden="1" x14ac:dyDescent="0.2">
      <c r="C590" s="30" t="s">
        <v>1752</v>
      </c>
      <c r="D590" s="110" t="s">
        <v>1753</v>
      </c>
      <c r="E590" s="33" t="s">
        <v>46</v>
      </c>
      <c r="F590" s="38"/>
      <c r="G590" s="38"/>
      <c r="H590" s="31"/>
      <c r="I590" s="32"/>
      <c r="J590" s="32"/>
      <c r="K590" s="45" t="s">
        <v>888</v>
      </c>
      <c r="L590" s="129"/>
      <c r="M590" s="33" t="str">
        <f t="shared" si="9"/>
        <v/>
      </c>
      <c r="N590" s="34" t="str">
        <f>IFERROR(IF(Tabela1[[#This Row],[Nome fantasia]]="","",_xlfn.XLOOKUP($C590,Log!D:D,Log!B:B,,,-1)),"")</f>
        <v/>
      </c>
      <c r="O590" s="35" t="str">
        <f>IFERROR(_xlfn.XLOOKUP($C590,Log!D:D,Log!W:W,,,-1),"")</f>
        <v/>
      </c>
      <c r="P590" s="35" t="str">
        <f>IFERROR(_xlfn.XLOOKUP($C590,Log!D:D,Log!Y:Y,,,-1),"")</f>
        <v/>
      </c>
      <c r="Q590" s="130"/>
      <c r="R590" s="131" t="str">
        <f>IFERROR(IF(Tabela1[[#This Row],[Nome fantasia]]="","",_xlfn.XLOOKUP($C590,Log!D:D,Log!X:X,,,-1)),"")</f>
        <v/>
      </c>
    </row>
    <row r="591" spans="3:18" hidden="1" x14ac:dyDescent="0.2">
      <c r="C591" s="30"/>
      <c r="D591" s="110" t="s">
        <v>1754</v>
      </c>
      <c r="E591" s="33" t="s">
        <v>22</v>
      </c>
      <c r="F591" s="38"/>
      <c r="G591" s="38"/>
      <c r="H591" s="31"/>
      <c r="I591" s="32"/>
      <c r="J591" s="32"/>
      <c r="K591" s="45" t="s">
        <v>888</v>
      </c>
      <c r="L591" s="129"/>
      <c r="M591" s="33" t="str">
        <f t="shared" si="9"/>
        <v/>
      </c>
      <c r="N591" s="34" t="str">
        <f>IFERROR(IF(Tabela1[[#This Row],[Nome fantasia]]="","",_xlfn.XLOOKUP($C591,Log!D:D,Log!B:B,,,-1)),"")</f>
        <v/>
      </c>
      <c r="O591" s="35" t="str">
        <f>IFERROR(_xlfn.XLOOKUP($C591,Log!D:D,Log!W:W,,,-1),"")</f>
        <v/>
      </c>
      <c r="P591" s="35" t="str">
        <f>IFERROR(_xlfn.XLOOKUP($C591,Log!D:D,Log!Y:Y,,,-1),"")</f>
        <v/>
      </c>
      <c r="Q591" s="130"/>
      <c r="R591" s="131" t="str">
        <f>IFERROR(IF(Tabela1[[#This Row],[Nome fantasia]]="","",_xlfn.XLOOKUP($C591,Log!D:D,Log!X:X,,,-1)),"")</f>
        <v/>
      </c>
    </row>
    <row r="592" spans="3:18" hidden="1" x14ac:dyDescent="0.2">
      <c r="C592" s="30" t="s">
        <v>1755</v>
      </c>
      <c r="D592" s="110" t="s">
        <v>1756</v>
      </c>
      <c r="E592" s="33" t="s">
        <v>22</v>
      </c>
      <c r="F592" s="38"/>
      <c r="G592" s="38"/>
      <c r="H592" s="31"/>
      <c r="I592" s="32"/>
      <c r="J592" s="32"/>
      <c r="K592" s="45" t="s">
        <v>888</v>
      </c>
      <c r="L592" s="129"/>
      <c r="M592" s="33" t="str">
        <f t="shared" si="9"/>
        <v/>
      </c>
      <c r="N592" s="34" t="str">
        <f>IFERROR(IF(Tabela1[[#This Row],[Nome fantasia]]="","",_xlfn.XLOOKUP($C592,Log!D:D,Log!B:B,,,-1)),"")</f>
        <v/>
      </c>
      <c r="O592" s="35" t="str">
        <f>IFERROR(_xlfn.XLOOKUP($C592,Log!D:D,Log!W:W,,,-1),"")</f>
        <v/>
      </c>
      <c r="P592" s="35" t="str">
        <f>IFERROR(_xlfn.XLOOKUP($C592,Log!D:D,Log!Y:Y,,,-1),"")</f>
        <v/>
      </c>
      <c r="Q592" s="130"/>
      <c r="R592" s="131" t="str">
        <f>IFERROR(IF(Tabela1[[#This Row],[Nome fantasia]]="","",_xlfn.XLOOKUP($C592,Log!D:D,Log!X:X,,,-1)),"")</f>
        <v/>
      </c>
    </row>
    <row r="593" spans="3:18" hidden="1" x14ac:dyDescent="0.2">
      <c r="C593" s="30" t="s">
        <v>1757</v>
      </c>
      <c r="D593" s="110" t="s">
        <v>1758</v>
      </c>
      <c r="E593" s="33" t="s">
        <v>46</v>
      </c>
      <c r="F593" s="38"/>
      <c r="G593" s="38"/>
      <c r="H593" s="31"/>
      <c r="I593" s="32"/>
      <c r="J593" s="32"/>
      <c r="K593" s="45" t="s">
        <v>888</v>
      </c>
      <c r="L593" s="129"/>
      <c r="M593" s="33" t="str">
        <f t="shared" si="9"/>
        <v/>
      </c>
      <c r="N593" s="34" t="str">
        <f>IFERROR(IF(Tabela1[[#This Row],[Nome fantasia]]="","",_xlfn.XLOOKUP($C593,Log!D:D,Log!B:B,,,-1)),"")</f>
        <v/>
      </c>
      <c r="O593" s="35" t="str">
        <f>IFERROR(_xlfn.XLOOKUP($C593,Log!D:D,Log!W:W,,,-1),"")</f>
        <v/>
      </c>
      <c r="P593" s="35" t="str">
        <f>IFERROR(_xlfn.XLOOKUP($C593,Log!D:D,Log!Y:Y,,,-1),"")</f>
        <v/>
      </c>
      <c r="Q593" s="130"/>
      <c r="R593" s="131" t="str">
        <f>IFERROR(IF(Tabela1[[#This Row],[Nome fantasia]]="","",_xlfn.XLOOKUP($C593,Log!D:D,Log!X:X,,,-1)),"")</f>
        <v/>
      </c>
    </row>
    <row r="594" spans="3:18" hidden="1" x14ac:dyDescent="0.2">
      <c r="C594" s="30" t="s">
        <v>1759</v>
      </c>
      <c r="D594" s="110" t="s">
        <v>1760</v>
      </c>
      <c r="E594" s="33" t="s">
        <v>17</v>
      </c>
      <c r="F594" s="38"/>
      <c r="G594" s="38"/>
      <c r="H594" s="31"/>
      <c r="I594" s="32"/>
      <c r="J594" s="32"/>
      <c r="K594" s="45" t="s">
        <v>888</v>
      </c>
      <c r="L594" s="129"/>
      <c r="M594" s="33" t="str">
        <f t="shared" si="9"/>
        <v/>
      </c>
      <c r="N594" s="34" t="str">
        <f>IFERROR(IF(Tabela1[[#This Row],[Nome fantasia]]="","",_xlfn.XLOOKUP($C594,Log!D:D,Log!B:B,,,-1)),"")</f>
        <v/>
      </c>
      <c r="O594" s="35" t="str">
        <f>IFERROR(_xlfn.XLOOKUP($C594,Log!D:D,Log!W:W,,,-1),"")</f>
        <v/>
      </c>
      <c r="P594" s="35" t="str">
        <f>IFERROR(_xlfn.XLOOKUP($C594,Log!D:D,Log!Y:Y,,,-1),"")</f>
        <v/>
      </c>
      <c r="Q594" s="130"/>
      <c r="R594" s="131" t="str">
        <f>IFERROR(IF(Tabela1[[#This Row],[Nome fantasia]]="","",_xlfn.XLOOKUP($C594,Log!D:D,Log!X:X,,,-1)),"")</f>
        <v/>
      </c>
    </row>
    <row r="595" spans="3:18" hidden="1" x14ac:dyDescent="0.2">
      <c r="C595" s="30" t="s">
        <v>1761</v>
      </c>
      <c r="D595" s="110" t="s">
        <v>1762</v>
      </c>
      <c r="E595" s="33" t="s">
        <v>22</v>
      </c>
      <c r="F595" s="38"/>
      <c r="G595" s="38"/>
      <c r="H595" s="31"/>
      <c r="I595" s="32"/>
      <c r="J595" s="32"/>
      <c r="K595" s="45" t="s">
        <v>888</v>
      </c>
      <c r="L595" s="129"/>
      <c r="M595" s="33" t="str">
        <f t="shared" si="9"/>
        <v/>
      </c>
      <c r="N595" s="34" t="str">
        <f>IFERROR(IF(Tabela1[[#This Row],[Nome fantasia]]="","",_xlfn.XLOOKUP($C595,Log!D:D,Log!B:B,,,-1)),"")</f>
        <v/>
      </c>
      <c r="O595" s="35" t="str">
        <f>IFERROR(_xlfn.XLOOKUP($C595,Log!D:D,Log!W:W,,,-1),"")</f>
        <v/>
      </c>
      <c r="P595" s="35" t="str">
        <f>IFERROR(_xlfn.XLOOKUP($C595,Log!D:D,Log!Y:Y,,,-1),"")</f>
        <v/>
      </c>
      <c r="Q595" s="130"/>
      <c r="R595" s="131" t="str">
        <f>IFERROR(IF(Tabela1[[#This Row],[Nome fantasia]]="","",_xlfn.XLOOKUP($C595,Log!D:D,Log!X:X,,,-1)),"")</f>
        <v/>
      </c>
    </row>
    <row r="596" spans="3:18" hidden="1" x14ac:dyDescent="0.2">
      <c r="C596" s="30" t="s">
        <v>1763</v>
      </c>
      <c r="D596" s="110" t="s">
        <v>1764</v>
      </c>
      <c r="E596" s="33" t="s">
        <v>46</v>
      </c>
      <c r="F596" s="38"/>
      <c r="G596" s="38"/>
      <c r="H596" s="31"/>
      <c r="I596" s="32"/>
      <c r="J596" s="32"/>
      <c r="K596" s="45" t="s">
        <v>888</v>
      </c>
      <c r="L596" s="129"/>
      <c r="M596" s="33" t="str">
        <f t="shared" si="9"/>
        <v/>
      </c>
      <c r="N596" s="34" t="str">
        <f>IFERROR(IF(Tabela1[[#This Row],[Nome fantasia]]="","",_xlfn.XLOOKUP($C596,Log!D:D,Log!B:B,,,-1)),"")</f>
        <v/>
      </c>
      <c r="O596" s="35" t="str">
        <f>IFERROR(_xlfn.XLOOKUP($C596,Log!D:D,Log!W:W,,,-1),"")</f>
        <v/>
      </c>
      <c r="P596" s="35" t="str">
        <f>IFERROR(_xlfn.XLOOKUP($C596,Log!D:D,Log!Y:Y,,,-1),"")</f>
        <v/>
      </c>
      <c r="Q596" s="130"/>
      <c r="R596" s="131" t="str">
        <f>IFERROR(IF(Tabela1[[#This Row],[Nome fantasia]]="","",_xlfn.XLOOKUP($C596,Log!D:D,Log!X:X,,,-1)),"")</f>
        <v/>
      </c>
    </row>
    <row r="597" spans="3:18" hidden="1" x14ac:dyDescent="0.2">
      <c r="C597" s="30"/>
      <c r="D597" s="110" t="s">
        <v>1765</v>
      </c>
      <c r="E597" s="33" t="s">
        <v>22</v>
      </c>
      <c r="F597" s="38"/>
      <c r="G597" s="38"/>
      <c r="H597" s="31"/>
      <c r="I597" s="32"/>
      <c r="J597" s="32"/>
      <c r="K597" s="45" t="s">
        <v>888</v>
      </c>
      <c r="L597" s="129"/>
      <c r="M597" s="33" t="str">
        <f t="shared" si="9"/>
        <v/>
      </c>
      <c r="N597" s="34" t="str">
        <f>IFERROR(IF(Tabela1[[#This Row],[Nome fantasia]]="","",_xlfn.XLOOKUP($C597,Log!D:D,Log!B:B,,,-1)),"")</f>
        <v/>
      </c>
      <c r="O597" s="35" t="str">
        <f>IFERROR(_xlfn.XLOOKUP($C597,Log!D:D,Log!W:W,,,-1),"")</f>
        <v/>
      </c>
      <c r="P597" s="35">
        <f>IFERROR(_xlfn.XLOOKUP($C597,Log!D:D,Log!Y:Y,,,-1),"")</f>
        <v>0</v>
      </c>
      <c r="Q597" s="130"/>
      <c r="R597" s="131" t="str">
        <f>IFERROR(IF(Tabela1[[#This Row],[Nome fantasia]]="","",_xlfn.XLOOKUP($C597,Log!D:D,Log!X:X,,,-1)),"")</f>
        <v/>
      </c>
    </row>
    <row r="598" spans="3:18" hidden="1" x14ac:dyDescent="0.2">
      <c r="C598" s="30" t="s">
        <v>1766</v>
      </c>
      <c r="D598" s="110" t="s">
        <v>1767</v>
      </c>
      <c r="E598" s="33" t="s">
        <v>22</v>
      </c>
      <c r="F598" s="38"/>
      <c r="G598" s="38"/>
      <c r="H598" s="31"/>
      <c r="I598" s="32"/>
      <c r="J598" s="32"/>
      <c r="K598" s="45" t="s">
        <v>888</v>
      </c>
      <c r="L598" s="129"/>
      <c r="M598" s="33" t="str">
        <f t="shared" si="9"/>
        <v/>
      </c>
      <c r="N598" s="34" t="str">
        <f>IFERROR(IF(Tabela1[[#This Row],[Nome fantasia]]="","",_xlfn.XLOOKUP($C598,Log!D:D,Log!B:B,,,-1)),"")</f>
        <v/>
      </c>
      <c r="O598" s="35" t="str">
        <f>IFERROR(_xlfn.XLOOKUP($C598,Log!D:D,Log!W:W,,,-1),"")</f>
        <v/>
      </c>
      <c r="P598" s="35" t="str">
        <f>IFERROR(_xlfn.XLOOKUP($C598,Log!D:D,Log!Y:Y,,,-1),"")</f>
        <v/>
      </c>
      <c r="Q598" s="130"/>
      <c r="R598" s="131" t="str">
        <f>IFERROR(IF(Tabela1[[#This Row],[Nome fantasia]]="","",_xlfn.XLOOKUP($C598,Log!D:D,Log!X:X,,,-1)),"")</f>
        <v/>
      </c>
    </row>
    <row r="599" spans="3:18" hidden="1" x14ac:dyDescent="0.2">
      <c r="C599" s="30" t="s">
        <v>1768</v>
      </c>
      <c r="D599" s="110" t="s">
        <v>1769</v>
      </c>
      <c r="E599" s="33" t="s">
        <v>22</v>
      </c>
      <c r="F599" s="38"/>
      <c r="G599" s="38"/>
      <c r="H599" s="31"/>
      <c r="I599" s="32"/>
      <c r="J599" s="32"/>
      <c r="K599" s="45" t="s">
        <v>888</v>
      </c>
      <c r="L599" s="129"/>
      <c r="M599" s="33" t="str">
        <f t="shared" si="9"/>
        <v/>
      </c>
      <c r="N599" s="34" t="str">
        <f>IFERROR(IF(Tabela1[[#This Row],[Nome fantasia]]="","",_xlfn.XLOOKUP($C599,Log!D:D,Log!B:B,,,-1)),"")</f>
        <v/>
      </c>
      <c r="O599" s="35" t="str">
        <f>IFERROR(_xlfn.XLOOKUP($C599,Log!D:D,Log!W:W,,,-1),"")</f>
        <v/>
      </c>
      <c r="P599" s="35" t="str">
        <f>IFERROR(_xlfn.XLOOKUP($C599,Log!D:D,Log!Y:Y,,,-1),"")</f>
        <v/>
      </c>
      <c r="Q599" s="130"/>
      <c r="R599" s="131" t="str">
        <f>IFERROR(IF(Tabela1[[#This Row],[Nome fantasia]]="","",_xlfn.XLOOKUP($C599,Log!D:D,Log!X:X,,,-1)),"")</f>
        <v/>
      </c>
    </row>
    <row r="600" spans="3:18" hidden="1" x14ac:dyDescent="0.2">
      <c r="C600" s="30" t="s">
        <v>1770</v>
      </c>
      <c r="D600" s="110" t="s">
        <v>1771</v>
      </c>
      <c r="E600" s="33" t="s">
        <v>46</v>
      </c>
      <c r="F600" s="38"/>
      <c r="G600" s="38"/>
      <c r="H600" s="31"/>
      <c r="I600" s="32"/>
      <c r="J600" s="32"/>
      <c r="K600" s="45" t="s">
        <v>888</v>
      </c>
      <c r="L600" s="129"/>
      <c r="M600" s="33" t="str">
        <f t="shared" si="9"/>
        <v/>
      </c>
      <c r="N600" s="34" t="str">
        <f>IFERROR(IF(Tabela1[[#This Row],[Nome fantasia]]="","",_xlfn.XLOOKUP($C600,Log!D:D,Log!B:B,,,-1)),"")</f>
        <v/>
      </c>
      <c r="O600" s="35" t="str">
        <f>IFERROR(_xlfn.XLOOKUP($C600,Log!D:D,Log!W:W,,,-1),"")</f>
        <v/>
      </c>
      <c r="P600" s="35" t="str">
        <f>IFERROR(_xlfn.XLOOKUP($C600,Log!D:D,Log!Y:Y,,,-1),"")</f>
        <v/>
      </c>
      <c r="Q600" s="130"/>
      <c r="R600" s="131" t="str">
        <f>IFERROR(IF(Tabela1[[#This Row],[Nome fantasia]]="","",_xlfn.XLOOKUP($C600,Log!D:D,Log!X:X,,,-1)),"")</f>
        <v/>
      </c>
    </row>
    <row r="601" spans="3:18" hidden="1" x14ac:dyDescent="0.2">
      <c r="C601" s="30" t="s">
        <v>1772</v>
      </c>
      <c r="D601" s="110" t="s">
        <v>1773</v>
      </c>
      <c r="E601" s="33" t="s">
        <v>22</v>
      </c>
      <c r="F601" s="38"/>
      <c r="G601" s="38"/>
      <c r="H601" s="31"/>
      <c r="I601" s="32"/>
      <c r="J601" s="32"/>
      <c r="K601" s="45" t="s">
        <v>888</v>
      </c>
      <c r="L601" s="129"/>
      <c r="M601" s="33" t="str">
        <f t="shared" si="9"/>
        <v/>
      </c>
      <c r="N601" s="34" t="str">
        <f>IFERROR(IF(Tabela1[[#This Row],[Nome fantasia]]="","",_xlfn.XLOOKUP($C601,Log!D:D,Log!B:B,,,-1)),"")</f>
        <v/>
      </c>
      <c r="O601" s="35" t="str">
        <f>IFERROR(_xlfn.XLOOKUP($C601,Log!D:D,Log!W:W,,,-1),"")</f>
        <v/>
      </c>
      <c r="P601" s="35" t="str">
        <f>IFERROR(_xlfn.XLOOKUP($C601,Log!D:D,Log!Y:Y,,,-1),"")</f>
        <v/>
      </c>
      <c r="Q601" s="130"/>
      <c r="R601" s="131" t="str">
        <f>IFERROR(IF(Tabela1[[#This Row],[Nome fantasia]]="","",_xlfn.XLOOKUP($C601,Log!D:D,Log!X:X,,,-1)),"")</f>
        <v/>
      </c>
    </row>
    <row r="602" spans="3:18" hidden="1" x14ac:dyDescent="0.2">
      <c r="C602" s="30" t="s">
        <v>1774</v>
      </c>
      <c r="D602" s="110" t="s">
        <v>1775</v>
      </c>
      <c r="E602" s="33" t="s">
        <v>22</v>
      </c>
      <c r="F602" s="38"/>
      <c r="G602" s="38"/>
      <c r="H602" s="31"/>
      <c r="I602" s="32"/>
      <c r="J602" s="32"/>
      <c r="K602" s="45" t="s">
        <v>888</v>
      </c>
      <c r="L602" s="129"/>
      <c r="M602" s="33" t="str">
        <f t="shared" si="9"/>
        <v/>
      </c>
      <c r="N602" s="34" t="str">
        <f>IFERROR(IF(Tabela1[[#This Row],[Nome fantasia]]="","",_xlfn.XLOOKUP($C602,Log!D:D,Log!B:B,,,-1)),"")</f>
        <v/>
      </c>
      <c r="O602" s="35" t="str">
        <f>IFERROR(_xlfn.XLOOKUP($C602,Log!D:D,Log!W:W,,,-1),"")</f>
        <v/>
      </c>
      <c r="P602" s="35" t="str">
        <f>IFERROR(_xlfn.XLOOKUP($C602,Log!D:D,Log!Y:Y,,,-1),"")</f>
        <v/>
      </c>
      <c r="Q602" s="130"/>
      <c r="R602" s="131" t="str">
        <f>IFERROR(IF(Tabela1[[#This Row],[Nome fantasia]]="","",_xlfn.XLOOKUP($C602,Log!D:D,Log!X:X,,,-1)),"")</f>
        <v/>
      </c>
    </row>
    <row r="603" spans="3:18" hidden="1" x14ac:dyDescent="0.2">
      <c r="C603" s="30" t="s">
        <v>1776</v>
      </c>
      <c r="D603" s="110" t="s">
        <v>1777</v>
      </c>
      <c r="E603" s="33" t="s">
        <v>22</v>
      </c>
      <c r="F603" s="38"/>
      <c r="G603" s="38"/>
      <c r="H603" s="31"/>
      <c r="I603" s="32"/>
      <c r="J603" s="32"/>
      <c r="K603" s="45" t="s">
        <v>888</v>
      </c>
      <c r="L603" s="129"/>
      <c r="M603" s="33" t="str">
        <f t="shared" si="9"/>
        <v/>
      </c>
      <c r="N603" s="34" t="str">
        <f>IFERROR(IF(Tabela1[[#This Row],[Nome fantasia]]="","",_xlfn.XLOOKUP($C603,Log!D:D,Log!B:B,,,-1)),"")</f>
        <v/>
      </c>
      <c r="O603" s="35" t="str">
        <f>IFERROR(_xlfn.XLOOKUP($C603,Log!D:D,Log!W:W,,,-1),"")</f>
        <v/>
      </c>
      <c r="P603" s="35" t="str">
        <f>IFERROR(_xlfn.XLOOKUP($C603,Log!D:D,Log!Y:Y,,,-1),"")</f>
        <v/>
      </c>
      <c r="Q603" s="130"/>
      <c r="R603" s="131" t="str">
        <f>IFERROR(IF(Tabela1[[#This Row],[Nome fantasia]]="","",_xlfn.XLOOKUP($C603,Log!D:D,Log!X:X,,,-1)),"")</f>
        <v/>
      </c>
    </row>
    <row r="604" spans="3:18" hidden="1" x14ac:dyDescent="0.2">
      <c r="C604" s="30" t="s">
        <v>1778</v>
      </c>
      <c r="D604" s="110" t="s">
        <v>1779</v>
      </c>
      <c r="E604" s="33" t="s">
        <v>22</v>
      </c>
      <c r="F604" s="38"/>
      <c r="G604" s="38"/>
      <c r="H604" s="31"/>
      <c r="I604" s="32"/>
      <c r="J604" s="32"/>
      <c r="K604" s="45" t="s">
        <v>888</v>
      </c>
      <c r="L604" s="129"/>
      <c r="M604" s="33" t="str">
        <f t="shared" si="9"/>
        <v/>
      </c>
      <c r="N604" s="34" t="str">
        <f>IFERROR(IF(Tabela1[[#This Row],[Nome fantasia]]="","",_xlfn.XLOOKUP($C604,Log!D:D,Log!B:B,,,-1)),"")</f>
        <v/>
      </c>
      <c r="O604" s="35" t="str">
        <f>IFERROR(_xlfn.XLOOKUP($C604,Log!D:D,Log!W:W,,,-1),"")</f>
        <v/>
      </c>
      <c r="P604" s="35" t="str">
        <f>IFERROR(_xlfn.XLOOKUP($C604,Log!D:D,Log!Y:Y,,,-1),"")</f>
        <v/>
      </c>
      <c r="Q604" s="130"/>
      <c r="R604" s="131" t="str">
        <f>IFERROR(IF(Tabela1[[#This Row],[Nome fantasia]]="","",_xlfn.XLOOKUP($C604,Log!D:D,Log!X:X,,,-1)),"")</f>
        <v/>
      </c>
    </row>
    <row r="605" spans="3:18" hidden="1" x14ac:dyDescent="0.2">
      <c r="C605" s="30" t="s">
        <v>1780</v>
      </c>
      <c r="D605" s="110" t="s">
        <v>1781</v>
      </c>
      <c r="E605" s="33" t="s">
        <v>46</v>
      </c>
      <c r="F605" s="38"/>
      <c r="G605" s="38"/>
      <c r="H605" s="31"/>
      <c r="I605" s="32"/>
      <c r="J605" s="32"/>
      <c r="K605" s="45" t="s">
        <v>888</v>
      </c>
      <c r="L605" s="129"/>
      <c r="M605" s="33" t="str">
        <f t="shared" si="9"/>
        <v/>
      </c>
      <c r="N605" s="34" t="str">
        <f>IFERROR(IF(Tabela1[[#This Row],[Nome fantasia]]="","",_xlfn.XLOOKUP($C605,Log!D:D,Log!B:B,,,-1)),"")</f>
        <v/>
      </c>
      <c r="O605" s="35" t="str">
        <f>IFERROR(_xlfn.XLOOKUP($C605,Log!D:D,Log!W:W,,,-1),"")</f>
        <v/>
      </c>
      <c r="P605" s="35" t="str">
        <f>IFERROR(_xlfn.XLOOKUP($C605,Log!D:D,Log!Y:Y,,,-1),"")</f>
        <v/>
      </c>
      <c r="Q605" s="130"/>
      <c r="R605" s="131" t="str">
        <f>IFERROR(IF(Tabela1[[#This Row],[Nome fantasia]]="","",_xlfn.XLOOKUP($C605,Log!D:D,Log!X:X,,,-1)),"")</f>
        <v/>
      </c>
    </row>
    <row r="606" spans="3:18" hidden="1" x14ac:dyDescent="0.2">
      <c r="C606" s="30" t="s">
        <v>1782</v>
      </c>
      <c r="D606" s="110" t="s">
        <v>1783</v>
      </c>
      <c r="E606" s="33" t="s">
        <v>46</v>
      </c>
      <c r="F606" s="38"/>
      <c r="G606" s="38"/>
      <c r="H606" s="31"/>
      <c r="I606" s="32"/>
      <c r="J606" s="32"/>
      <c r="K606" s="45" t="s">
        <v>888</v>
      </c>
      <c r="L606" s="129"/>
      <c r="M606" s="33" t="str">
        <f t="shared" si="9"/>
        <v/>
      </c>
      <c r="N606" s="34" t="str">
        <f>IFERROR(IF(Tabela1[[#This Row],[Nome fantasia]]="","",_xlfn.XLOOKUP($C606,Log!D:D,Log!B:B,,,-1)),"")</f>
        <v/>
      </c>
      <c r="O606" s="35" t="str">
        <f>IFERROR(_xlfn.XLOOKUP($C606,Log!D:D,Log!W:W,,,-1),"")</f>
        <v/>
      </c>
      <c r="P606" s="35" t="str">
        <f>IFERROR(_xlfn.XLOOKUP($C606,Log!D:D,Log!Y:Y,,,-1),"")</f>
        <v/>
      </c>
      <c r="Q606" s="130"/>
      <c r="R606" s="131" t="str">
        <f>IFERROR(IF(Tabela1[[#This Row],[Nome fantasia]]="","",_xlfn.XLOOKUP($C606,Log!D:D,Log!X:X,,,-1)),"")</f>
        <v/>
      </c>
    </row>
    <row r="607" spans="3:18" hidden="1" x14ac:dyDescent="0.2">
      <c r="C607" s="30" t="s">
        <v>1784</v>
      </c>
      <c r="D607" s="110" t="s">
        <v>1785</v>
      </c>
      <c r="E607" s="33" t="s">
        <v>17</v>
      </c>
      <c r="F607" s="38"/>
      <c r="G607" s="38"/>
      <c r="H607" s="31"/>
      <c r="I607" s="32"/>
      <c r="J607" s="32"/>
      <c r="K607" s="45" t="s">
        <v>888</v>
      </c>
      <c r="L607" s="129"/>
      <c r="M607" s="33" t="str">
        <f t="shared" si="9"/>
        <v/>
      </c>
      <c r="N607" s="34" t="str">
        <f>IFERROR(IF(Tabela1[[#This Row],[Nome fantasia]]="","",_xlfn.XLOOKUP($C607,Log!D:D,Log!B:B,,,-1)),"")</f>
        <v/>
      </c>
      <c r="O607" s="35" t="str">
        <f>IFERROR(_xlfn.XLOOKUP($C607,Log!D:D,Log!W:W,,,-1),"")</f>
        <v/>
      </c>
      <c r="P607" s="35" t="str">
        <f>IFERROR(_xlfn.XLOOKUP($C607,Log!D:D,Log!Y:Y,,,-1),"")</f>
        <v/>
      </c>
      <c r="Q607" s="130"/>
      <c r="R607" s="131" t="str">
        <f>IFERROR(IF(Tabela1[[#This Row],[Nome fantasia]]="","",_xlfn.XLOOKUP($C607,Log!D:D,Log!X:X,,,-1)),"")</f>
        <v/>
      </c>
    </row>
    <row r="608" spans="3:18" hidden="1" x14ac:dyDescent="0.2">
      <c r="C608" s="30"/>
      <c r="D608" s="110" t="s">
        <v>1786</v>
      </c>
      <c r="E608" s="33" t="s">
        <v>22</v>
      </c>
      <c r="F608" s="38"/>
      <c r="G608" s="38"/>
      <c r="H608" s="31"/>
      <c r="I608" s="32"/>
      <c r="J608" s="32"/>
      <c r="K608" s="45" t="s">
        <v>888</v>
      </c>
      <c r="L608" s="129"/>
      <c r="M608" s="33" t="str">
        <f t="shared" si="9"/>
        <v/>
      </c>
      <c r="N608" s="34" t="str">
        <f>IFERROR(IF(Tabela1[[#This Row],[Nome fantasia]]="","",_xlfn.XLOOKUP($C608,Log!D:D,Log!B:B,,,-1)),"")</f>
        <v/>
      </c>
      <c r="O608" s="35" t="str">
        <f>IFERROR(_xlfn.XLOOKUP($C608,Log!D:D,Log!W:W,,,-1),"")</f>
        <v/>
      </c>
      <c r="P608" s="35" t="str">
        <f>IFERROR(_xlfn.XLOOKUP($C608,Log!D:D,Log!Y:Y,,,-1),"")</f>
        <v/>
      </c>
      <c r="Q608" s="130"/>
      <c r="R608" s="131" t="str">
        <f>IFERROR(IF(Tabela1[[#This Row],[Nome fantasia]]="","",_xlfn.XLOOKUP($C608,Log!D:D,Log!X:X,,,-1)),"")</f>
        <v/>
      </c>
    </row>
    <row r="609" spans="3:18" hidden="1" x14ac:dyDescent="0.2">
      <c r="C609" s="30" t="s">
        <v>1787</v>
      </c>
      <c r="D609" s="110" t="s">
        <v>1788</v>
      </c>
      <c r="E609" s="33" t="s">
        <v>46</v>
      </c>
      <c r="F609" s="38"/>
      <c r="G609" s="38"/>
      <c r="H609" s="31"/>
      <c r="I609" s="32"/>
      <c r="J609" s="32"/>
      <c r="K609" s="45" t="s">
        <v>888</v>
      </c>
      <c r="L609" s="129"/>
      <c r="M609" s="33" t="str">
        <f t="shared" si="9"/>
        <v/>
      </c>
      <c r="N609" s="34" t="str">
        <f>IFERROR(IF(Tabela1[[#This Row],[Nome fantasia]]="","",_xlfn.XLOOKUP($C609,Log!D:D,Log!B:B,,,-1)),"")</f>
        <v/>
      </c>
      <c r="O609" s="35" t="str">
        <f>IFERROR(_xlfn.XLOOKUP($C609,Log!D:D,Log!W:W,,,-1),"")</f>
        <v/>
      </c>
      <c r="P609" s="35" t="str">
        <f>IFERROR(_xlfn.XLOOKUP($C609,Log!D:D,Log!Y:Y,,,-1),"")</f>
        <v/>
      </c>
      <c r="Q609" s="130"/>
      <c r="R609" s="131" t="str">
        <f>IFERROR(IF(Tabela1[[#This Row],[Nome fantasia]]="","",_xlfn.XLOOKUP($C609,Log!D:D,Log!X:X,,,-1)),"")</f>
        <v/>
      </c>
    </row>
    <row r="610" spans="3:18" hidden="1" x14ac:dyDescent="0.2">
      <c r="C610" s="30"/>
      <c r="D610" s="110" t="s">
        <v>1789</v>
      </c>
      <c r="E610" s="33" t="s">
        <v>46</v>
      </c>
      <c r="F610" s="38"/>
      <c r="G610" s="38"/>
      <c r="H610" s="31"/>
      <c r="I610" s="32"/>
      <c r="J610" s="32"/>
      <c r="K610" s="45" t="s">
        <v>888</v>
      </c>
      <c r="L610" s="129"/>
      <c r="M610" s="33" t="str">
        <f t="shared" si="9"/>
        <v/>
      </c>
      <c r="N610" s="34" t="str">
        <f>IFERROR(IF(Tabela1[[#This Row],[Nome fantasia]]="","",_xlfn.XLOOKUP($C610,Log!D:D,Log!B:B,,,-1)),"")</f>
        <v/>
      </c>
      <c r="O610" s="35" t="str">
        <f>IFERROR(_xlfn.XLOOKUP($C610,Log!D:D,Log!W:W,,,-1),"")</f>
        <v/>
      </c>
      <c r="P610" s="35" t="str">
        <f>IFERROR(_xlfn.XLOOKUP($C610,Log!D:D,Log!Y:Y,,,-1),"")</f>
        <v/>
      </c>
      <c r="Q610" s="130"/>
      <c r="R610" s="131" t="str">
        <f>IFERROR(IF(Tabela1[[#This Row],[Nome fantasia]]="","",_xlfn.XLOOKUP($C610,Log!D:D,Log!X:X,,,-1)),"")</f>
        <v/>
      </c>
    </row>
    <row r="611" spans="3:18" hidden="1" x14ac:dyDescent="0.2">
      <c r="C611" s="30" t="s">
        <v>1790</v>
      </c>
      <c r="D611" s="110" t="s">
        <v>1791</v>
      </c>
      <c r="E611" s="33" t="s">
        <v>22</v>
      </c>
      <c r="F611" s="38"/>
      <c r="G611" s="38"/>
      <c r="H611" s="31"/>
      <c r="I611" s="32"/>
      <c r="J611" s="32"/>
      <c r="K611" s="45" t="s">
        <v>888</v>
      </c>
      <c r="L611" s="129"/>
      <c r="M611" s="33" t="str">
        <f t="shared" si="9"/>
        <v/>
      </c>
      <c r="N611" s="34" t="str">
        <f>IFERROR(IF(Tabela1[[#This Row],[Nome fantasia]]="","",_xlfn.XLOOKUP($C611,Log!D:D,Log!B:B,,,-1)),"")</f>
        <v/>
      </c>
      <c r="O611" s="35" t="str">
        <f>IFERROR(_xlfn.XLOOKUP($C611,Log!D:D,Log!W:W,,,-1),"")</f>
        <v/>
      </c>
      <c r="P611" s="35" t="str">
        <f>IFERROR(_xlfn.XLOOKUP($C611,Log!D:D,Log!Y:Y,,,-1),"")</f>
        <v/>
      </c>
      <c r="Q611" s="130"/>
      <c r="R611" s="131" t="str">
        <f>IFERROR(IF(Tabela1[[#This Row],[Nome fantasia]]="","",_xlfn.XLOOKUP($C611,Log!D:D,Log!X:X,,,-1)),"")</f>
        <v/>
      </c>
    </row>
    <row r="612" spans="3:18" hidden="1" x14ac:dyDescent="0.2">
      <c r="C612" s="30" t="s">
        <v>1792</v>
      </c>
      <c r="D612" s="110" t="s">
        <v>1793</v>
      </c>
      <c r="E612" s="33" t="s">
        <v>46</v>
      </c>
      <c r="F612" s="38"/>
      <c r="G612" s="38"/>
      <c r="H612" s="31"/>
      <c r="I612" s="32"/>
      <c r="J612" s="32"/>
      <c r="K612" s="45" t="s">
        <v>888</v>
      </c>
      <c r="L612" s="129"/>
      <c r="M612" s="33" t="str">
        <f t="shared" si="9"/>
        <v/>
      </c>
      <c r="N612" s="34" t="str">
        <f>IFERROR(IF(Tabela1[[#This Row],[Nome fantasia]]="","",_xlfn.XLOOKUP($C612,Log!D:D,Log!B:B,,,-1)),"")</f>
        <v/>
      </c>
      <c r="O612" s="35" t="str">
        <f>IFERROR(_xlfn.XLOOKUP($C612,Log!D:D,Log!W:W,,,-1),"")</f>
        <v/>
      </c>
      <c r="P612" s="35" t="str">
        <f>IFERROR(_xlfn.XLOOKUP($C612,Log!D:D,Log!Y:Y,,,-1),"")</f>
        <v/>
      </c>
      <c r="Q612" s="130"/>
      <c r="R612" s="131" t="str">
        <f>IFERROR(IF(Tabela1[[#This Row],[Nome fantasia]]="","",_xlfn.XLOOKUP($C612,Log!D:D,Log!X:X,,,-1)),"")</f>
        <v/>
      </c>
    </row>
    <row r="613" spans="3:18" hidden="1" x14ac:dyDescent="0.2">
      <c r="C613" s="30" t="s">
        <v>1794</v>
      </c>
      <c r="D613" s="110" t="s">
        <v>1795</v>
      </c>
      <c r="E613" s="33" t="s">
        <v>46</v>
      </c>
      <c r="F613" s="38"/>
      <c r="G613" s="38"/>
      <c r="H613" s="31"/>
      <c r="I613" s="32"/>
      <c r="J613" s="32"/>
      <c r="K613" s="45" t="s">
        <v>888</v>
      </c>
      <c r="L613" s="129"/>
      <c r="M613" s="33" t="str">
        <f t="shared" si="9"/>
        <v/>
      </c>
      <c r="N613" s="34" t="str">
        <f>IFERROR(IF(Tabela1[[#This Row],[Nome fantasia]]="","",_xlfn.XLOOKUP($C613,Log!D:D,Log!B:B,,,-1)),"")</f>
        <v/>
      </c>
      <c r="O613" s="35" t="str">
        <f>IFERROR(_xlfn.XLOOKUP($C613,Log!D:D,Log!W:W,,,-1),"")</f>
        <v/>
      </c>
      <c r="P613" s="35" t="str">
        <f>IFERROR(_xlfn.XLOOKUP($C613,Log!D:D,Log!Y:Y,,,-1),"")</f>
        <v/>
      </c>
      <c r="Q613" s="130"/>
      <c r="R613" s="131" t="str">
        <f>IFERROR(IF(Tabela1[[#This Row],[Nome fantasia]]="","",_xlfn.XLOOKUP($C613,Log!D:D,Log!X:X,,,-1)),"")</f>
        <v/>
      </c>
    </row>
    <row r="614" spans="3:18" hidden="1" x14ac:dyDescent="0.2">
      <c r="C614" s="30" t="s">
        <v>1796</v>
      </c>
      <c r="D614" s="110" t="s">
        <v>1797</v>
      </c>
      <c r="E614" s="33" t="s">
        <v>46</v>
      </c>
      <c r="F614" s="38"/>
      <c r="G614" s="38"/>
      <c r="H614" s="31"/>
      <c r="I614" s="32"/>
      <c r="J614" s="32"/>
      <c r="K614" s="45" t="s">
        <v>888</v>
      </c>
      <c r="L614" s="129"/>
      <c r="M614" s="33" t="str">
        <f t="shared" si="9"/>
        <v/>
      </c>
      <c r="N614" s="34" t="str">
        <f>IFERROR(IF(Tabela1[[#This Row],[Nome fantasia]]="","",_xlfn.XLOOKUP($C614,Log!D:D,Log!B:B,,,-1)),"")</f>
        <v/>
      </c>
      <c r="O614" s="35" t="str">
        <f>IFERROR(_xlfn.XLOOKUP($C614,Log!D:D,Log!W:W,,,-1),"")</f>
        <v/>
      </c>
      <c r="P614" s="35" t="str">
        <f>IFERROR(_xlfn.XLOOKUP($C614,Log!D:D,Log!Y:Y,,,-1),"")</f>
        <v/>
      </c>
      <c r="Q614" s="130"/>
      <c r="R614" s="131" t="str">
        <f>IFERROR(IF(Tabela1[[#This Row],[Nome fantasia]]="","",_xlfn.XLOOKUP($C614,Log!D:D,Log!X:X,,,-1)),"")</f>
        <v/>
      </c>
    </row>
    <row r="615" spans="3:18" hidden="1" x14ac:dyDescent="0.2">
      <c r="C615" s="30" t="s">
        <v>1798</v>
      </c>
      <c r="D615" s="110" t="s">
        <v>1799</v>
      </c>
      <c r="E615" s="33" t="s">
        <v>17</v>
      </c>
      <c r="F615" s="38"/>
      <c r="G615" s="38"/>
      <c r="H615" s="31"/>
      <c r="I615" s="32"/>
      <c r="J615" s="32"/>
      <c r="K615" s="45" t="s">
        <v>888</v>
      </c>
      <c r="L615" s="129"/>
      <c r="M615" s="33" t="str">
        <f t="shared" si="9"/>
        <v/>
      </c>
      <c r="N615" s="34" t="str">
        <f>IFERROR(IF(Tabela1[[#This Row],[Nome fantasia]]="","",_xlfn.XLOOKUP($C615,Log!D:D,Log!B:B,,,-1)),"")</f>
        <v/>
      </c>
      <c r="O615" s="35" t="str">
        <f>IFERROR(_xlfn.XLOOKUP($C615,Log!D:D,Log!W:W,,,-1),"")</f>
        <v/>
      </c>
      <c r="P615" s="35" t="str">
        <f>IFERROR(_xlfn.XLOOKUP($C615,Log!D:D,Log!Y:Y,,,-1),"")</f>
        <v/>
      </c>
      <c r="Q615" s="130"/>
      <c r="R615" s="131" t="str">
        <f>IFERROR(IF(Tabela1[[#This Row],[Nome fantasia]]="","",_xlfn.XLOOKUP($C615,Log!D:D,Log!X:X,,,-1)),"")</f>
        <v/>
      </c>
    </row>
    <row r="616" spans="3:18" hidden="1" x14ac:dyDescent="0.2">
      <c r="C616" s="30" t="s">
        <v>1800</v>
      </c>
      <c r="D616" s="110" t="s">
        <v>1801</v>
      </c>
      <c r="E616" s="33" t="s">
        <v>22</v>
      </c>
      <c r="F616" s="38"/>
      <c r="G616" s="38"/>
      <c r="H616" s="31"/>
      <c r="I616" s="32"/>
      <c r="J616" s="32"/>
      <c r="K616" s="45" t="s">
        <v>888</v>
      </c>
      <c r="L616" s="129"/>
      <c r="M616" s="33" t="str">
        <f t="shared" si="9"/>
        <v/>
      </c>
      <c r="N616" s="34" t="str">
        <f>IFERROR(IF(Tabela1[[#This Row],[Nome fantasia]]="","",_xlfn.XLOOKUP($C616,Log!D:D,Log!B:B,,,-1)),"")</f>
        <v/>
      </c>
      <c r="O616" s="35" t="str">
        <f>IFERROR(_xlfn.XLOOKUP($C616,Log!D:D,Log!W:W,,,-1),"")</f>
        <v/>
      </c>
      <c r="P616" s="35" t="str">
        <f>IFERROR(_xlfn.XLOOKUP($C616,Log!D:D,Log!Y:Y,,,-1),"")</f>
        <v/>
      </c>
      <c r="Q616" s="130"/>
      <c r="R616" s="131" t="str">
        <f>IFERROR(IF(Tabela1[[#This Row],[Nome fantasia]]="","",_xlfn.XLOOKUP($C616,Log!D:D,Log!X:X,,,-1)),"")</f>
        <v/>
      </c>
    </row>
    <row r="617" spans="3:18" hidden="1" x14ac:dyDescent="0.2">
      <c r="C617" s="30" t="s">
        <v>1802</v>
      </c>
      <c r="D617" s="110" t="s">
        <v>1803</v>
      </c>
      <c r="E617" s="33" t="s">
        <v>46</v>
      </c>
      <c r="F617" s="38"/>
      <c r="G617" s="38"/>
      <c r="H617" s="31"/>
      <c r="I617" s="32"/>
      <c r="J617" s="32"/>
      <c r="K617" s="45" t="s">
        <v>888</v>
      </c>
      <c r="L617" s="129"/>
      <c r="M617" s="33" t="str">
        <f t="shared" si="9"/>
        <v/>
      </c>
      <c r="N617" s="34" t="str">
        <f>IFERROR(IF(Tabela1[[#This Row],[Nome fantasia]]="","",_xlfn.XLOOKUP($C617,Log!D:D,Log!B:B,,,-1)),"")</f>
        <v/>
      </c>
      <c r="O617" s="35" t="str">
        <f>IFERROR(_xlfn.XLOOKUP($C617,Log!D:D,Log!W:W,,,-1),"")</f>
        <v/>
      </c>
      <c r="P617" s="35" t="str">
        <f>IFERROR(_xlfn.XLOOKUP($C617,Log!D:D,Log!Y:Y,,,-1),"")</f>
        <v/>
      </c>
      <c r="Q617" s="130"/>
      <c r="R617" s="131" t="str">
        <f>IFERROR(IF(Tabela1[[#This Row],[Nome fantasia]]="","",_xlfn.XLOOKUP($C617,Log!D:D,Log!X:X,,,-1)),"")</f>
        <v/>
      </c>
    </row>
    <row r="618" spans="3:18" hidden="1" x14ac:dyDescent="0.2">
      <c r="C618" s="30" t="s">
        <v>1804</v>
      </c>
      <c r="D618" s="110" t="s">
        <v>1805</v>
      </c>
      <c r="E618" s="33" t="s">
        <v>22</v>
      </c>
      <c r="F618" s="38"/>
      <c r="G618" s="38"/>
      <c r="H618" s="31"/>
      <c r="I618" s="32"/>
      <c r="J618" s="32"/>
      <c r="K618" s="45" t="s">
        <v>888</v>
      </c>
      <c r="L618" s="129"/>
      <c r="M618" s="33" t="str">
        <f t="shared" si="9"/>
        <v/>
      </c>
      <c r="N618" s="34" t="str">
        <f>IFERROR(IF(Tabela1[[#This Row],[Nome fantasia]]="","",_xlfn.XLOOKUP($C618,Log!D:D,Log!B:B,,,-1)),"")</f>
        <v/>
      </c>
      <c r="O618" s="35" t="str">
        <f>IFERROR(_xlfn.XLOOKUP($C618,Log!D:D,Log!W:W,,,-1),"")</f>
        <v/>
      </c>
      <c r="P618" s="35" t="str">
        <f>IFERROR(_xlfn.XLOOKUP($C618,Log!D:D,Log!Y:Y,,,-1),"")</f>
        <v/>
      </c>
      <c r="Q618" s="130"/>
      <c r="R618" s="131" t="str">
        <f>IFERROR(IF(Tabela1[[#This Row],[Nome fantasia]]="","",_xlfn.XLOOKUP($C618,Log!D:D,Log!X:X,,,-1)),"")</f>
        <v/>
      </c>
    </row>
    <row r="619" spans="3:18" hidden="1" x14ac:dyDescent="0.2">
      <c r="C619" s="30" t="s">
        <v>1806</v>
      </c>
      <c r="D619" s="110" t="s">
        <v>1807</v>
      </c>
      <c r="E619" s="33" t="s">
        <v>22</v>
      </c>
      <c r="F619" s="38"/>
      <c r="G619" s="38"/>
      <c r="H619" s="31"/>
      <c r="I619" s="32"/>
      <c r="J619" s="32"/>
      <c r="K619" s="45" t="s">
        <v>888</v>
      </c>
      <c r="L619" s="129"/>
      <c r="M619" s="33" t="str">
        <f t="shared" si="9"/>
        <v/>
      </c>
      <c r="N619" s="34" t="str">
        <f>IFERROR(IF(Tabela1[[#This Row],[Nome fantasia]]="","",_xlfn.XLOOKUP($C619,Log!D:D,Log!B:B,,,-1)),"")</f>
        <v/>
      </c>
      <c r="O619" s="35" t="str">
        <f>IFERROR(_xlfn.XLOOKUP($C619,Log!D:D,Log!W:W,,,-1),"")</f>
        <v/>
      </c>
      <c r="P619" s="35" t="str">
        <f>IFERROR(_xlfn.XLOOKUP($C619,Log!D:D,Log!Y:Y,,,-1),"")</f>
        <v/>
      </c>
      <c r="Q619" s="130"/>
      <c r="R619" s="131" t="str">
        <f>IFERROR(IF(Tabela1[[#This Row],[Nome fantasia]]="","",_xlfn.XLOOKUP($C619,Log!D:D,Log!X:X,,,-1)),"")</f>
        <v/>
      </c>
    </row>
    <row r="620" spans="3:18" hidden="1" x14ac:dyDescent="0.2">
      <c r="C620" s="30" t="s">
        <v>1808</v>
      </c>
      <c r="D620" s="110" t="s">
        <v>1809</v>
      </c>
      <c r="E620" s="33" t="s">
        <v>22</v>
      </c>
      <c r="F620" s="38"/>
      <c r="G620" s="38"/>
      <c r="H620" s="31"/>
      <c r="I620" s="32"/>
      <c r="J620" s="32"/>
      <c r="K620" s="45" t="s">
        <v>888</v>
      </c>
      <c r="L620" s="129"/>
      <c r="M620" s="33" t="str">
        <f t="shared" si="9"/>
        <v/>
      </c>
      <c r="N620" s="34" t="str">
        <f>IFERROR(IF(Tabela1[[#This Row],[Nome fantasia]]="","",_xlfn.XLOOKUP($C620,Log!D:D,Log!B:B,,,-1)),"")</f>
        <v/>
      </c>
      <c r="O620" s="35" t="str">
        <f>IFERROR(_xlfn.XLOOKUP($C620,Log!D:D,Log!W:W,,,-1),"")</f>
        <v/>
      </c>
      <c r="P620" s="35" t="str">
        <f>IFERROR(_xlfn.XLOOKUP($C620,Log!D:D,Log!Y:Y,,,-1),"")</f>
        <v/>
      </c>
      <c r="Q620" s="130"/>
      <c r="R620" s="131" t="str">
        <f>IFERROR(IF(Tabela1[[#This Row],[Nome fantasia]]="","",_xlfn.XLOOKUP($C620,Log!D:D,Log!X:X,,,-1)),"")</f>
        <v/>
      </c>
    </row>
    <row r="621" spans="3:18" hidden="1" x14ac:dyDescent="0.2">
      <c r="C621" s="30" t="s">
        <v>1810</v>
      </c>
      <c r="D621" s="110" t="s">
        <v>1811</v>
      </c>
      <c r="E621" s="33" t="s">
        <v>46</v>
      </c>
      <c r="F621" s="38"/>
      <c r="G621" s="38"/>
      <c r="H621" s="31"/>
      <c r="I621" s="32"/>
      <c r="J621" s="32"/>
      <c r="K621" s="45" t="s">
        <v>888</v>
      </c>
      <c r="L621" s="129"/>
      <c r="M621" s="33" t="str">
        <f t="shared" si="9"/>
        <v/>
      </c>
      <c r="N621" s="34" t="str">
        <f>IFERROR(IF(Tabela1[[#This Row],[Nome fantasia]]="","",_xlfn.XLOOKUP($C621,Log!D:D,Log!B:B,,,-1)),"")</f>
        <v/>
      </c>
      <c r="O621" s="35" t="str">
        <f>IFERROR(_xlfn.XLOOKUP($C621,Log!D:D,Log!W:W,,,-1),"")</f>
        <v/>
      </c>
      <c r="P621" s="35" t="str">
        <f>IFERROR(_xlfn.XLOOKUP($C621,Log!D:D,Log!Y:Y,,,-1),"")</f>
        <v/>
      </c>
      <c r="Q621" s="130"/>
      <c r="R621" s="131" t="str">
        <f>IFERROR(IF(Tabela1[[#This Row],[Nome fantasia]]="","",_xlfn.XLOOKUP($C621,Log!D:D,Log!X:X,,,-1)),"")</f>
        <v/>
      </c>
    </row>
    <row r="622" spans="3:18" hidden="1" x14ac:dyDescent="0.2">
      <c r="C622" s="30" t="s">
        <v>1812</v>
      </c>
      <c r="D622" s="110" t="s">
        <v>1813</v>
      </c>
      <c r="E622" s="33" t="s">
        <v>22</v>
      </c>
      <c r="F622" s="38"/>
      <c r="G622" s="38"/>
      <c r="H622" s="31"/>
      <c r="I622" s="32"/>
      <c r="J622" s="32"/>
      <c r="K622" s="45" t="s">
        <v>888</v>
      </c>
      <c r="L622" s="129"/>
      <c r="M622" s="33" t="str">
        <f t="shared" si="9"/>
        <v/>
      </c>
      <c r="N622" s="34" t="str">
        <f>IFERROR(IF(Tabela1[[#This Row],[Nome fantasia]]="","",_xlfn.XLOOKUP($C622,Log!D:D,Log!B:B,,,-1)),"")</f>
        <v/>
      </c>
      <c r="O622" s="35" t="str">
        <f>IFERROR(_xlfn.XLOOKUP($C622,Log!D:D,Log!W:W,,,-1),"")</f>
        <v/>
      </c>
      <c r="P622" s="35" t="str">
        <f>IFERROR(_xlfn.XLOOKUP($C622,Log!D:D,Log!Y:Y,,,-1),"")</f>
        <v/>
      </c>
      <c r="Q622" s="130"/>
      <c r="R622" s="131" t="str">
        <f>IFERROR(IF(Tabela1[[#This Row],[Nome fantasia]]="","",_xlfn.XLOOKUP($C622,Log!D:D,Log!X:X,,,-1)),"")</f>
        <v/>
      </c>
    </row>
    <row r="623" spans="3:18" hidden="1" x14ac:dyDescent="0.2">
      <c r="C623" s="30" t="s">
        <v>1814</v>
      </c>
      <c r="D623" s="110" t="s">
        <v>1815</v>
      </c>
      <c r="E623" s="33" t="s">
        <v>46</v>
      </c>
      <c r="F623" s="38"/>
      <c r="G623" s="38"/>
      <c r="H623" s="31"/>
      <c r="I623" s="32"/>
      <c r="J623" s="32"/>
      <c r="K623" s="45" t="s">
        <v>888</v>
      </c>
      <c r="L623" s="129"/>
      <c r="M623" s="33" t="str">
        <f t="shared" si="9"/>
        <v/>
      </c>
      <c r="N623" s="34" t="str">
        <f>IFERROR(IF(Tabela1[[#This Row],[Nome fantasia]]="","",_xlfn.XLOOKUP($C623,Log!D:D,Log!B:B,,,-1)),"")</f>
        <v/>
      </c>
      <c r="O623" s="35" t="str">
        <f>IFERROR(_xlfn.XLOOKUP($C623,Log!D:D,Log!W:W,,,-1),"")</f>
        <v/>
      </c>
      <c r="P623" s="35" t="str">
        <f>IFERROR(_xlfn.XLOOKUP($C623,Log!D:D,Log!Y:Y,,,-1),"")</f>
        <v/>
      </c>
      <c r="Q623" s="130"/>
      <c r="R623" s="131" t="str">
        <f>IFERROR(IF(Tabela1[[#This Row],[Nome fantasia]]="","",_xlfn.XLOOKUP($C623,Log!D:D,Log!X:X,,,-1)),"")</f>
        <v/>
      </c>
    </row>
    <row r="624" spans="3:18" hidden="1" x14ac:dyDescent="0.2">
      <c r="C624" s="30" t="s">
        <v>1816</v>
      </c>
      <c r="D624" s="110" t="s">
        <v>1817</v>
      </c>
      <c r="E624" s="33" t="s">
        <v>46</v>
      </c>
      <c r="F624" s="38"/>
      <c r="G624" s="38"/>
      <c r="H624" s="31"/>
      <c r="I624" s="32"/>
      <c r="J624" s="32"/>
      <c r="K624" s="45" t="s">
        <v>888</v>
      </c>
      <c r="L624" s="129"/>
      <c r="M624" s="33" t="str">
        <f t="shared" si="9"/>
        <v/>
      </c>
      <c r="N624" s="34" t="str">
        <f>IFERROR(IF(Tabela1[[#This Row],[Nome fantasia]]="","",_xlfn.XLOOKUP($C624,Log!D:D,Log!B:B,,,-1)),"")</f>
        <v/>
      </c>
      <c r="O624" s="35" t="str">
        <f>IFERROR(_xlfn.XLOOKUP($C624,Log!D:D,Log!W:W,,,-1),"")</f>
        <v/>
      </c>
      <c r="P624" s="35" t="str">
        <f>IFERROR(_xlfn.XLOOKUP($C624,Log!D:D,Log!Y:Y,,,-1),"")</f>
        <v/>
      </c>
      <c r="Q624" s="130"/>
      <c r="R624" s="131" t="str">
        <f>IFERROR(IF(Tabela1[[#This Row],[Nome fantasia]]="","",_xlfn.XLOOKUP($C624,Log!D:D,Log!X:X,,,-1)),"")</f>
        <v/>
      </c>
    </row>
    <row r="625" spans="3:18" hidden="1" x14ac:dyDescent="0.2">
      <c r="C625" s="30" t="s">
        <v>154</v>
      </c>
      <c r="D625" s="110" t="s">
        <v>1818</v>
      </c>
      <c r="E625" s="33" t="s">
        <v>22</v>
      </c>
      <c r="F625" s="38"/>
      <c r="G625" s="38"/>
      <c r="H625" s="31"/>
      <c r="I625" s="32"/>
      <c r="J625" s="32"/>
      <c r="K625" s="45" t="s">
        <v>888</v>
      </c>
      <c r="L625" s="129"/>
      <c r="M625" s="33" t="str">
        <f t="shared" si="9"/>
        <v/>
      </c>
      <c r="N625" s="34">
        <f>IFERROR(IF(Tabela1[[#This Row],[Nome fantasia]]="","",_xlfn.XLOOKUP($C625,Log!D:D,Log!B:B,,,-1)),"")</f>
        <v>45891</v>
      </c>
      <c r="O625" s="35" t="str">
        <f>IFERROR(_xlfn.XLOOKUP($C625,Log!D:D,Log!W:W,,,-1),"")</f>
        <v>VENDA</v>
      </c>
      <c r="P625" s="35" t="str">
        <f>IFERROR(_xlfn.XLOOKUP($C625,Log!D:D,Log!Y:Y,,,-1),"")</f>
        <v xml:space="preserve">RECOMPRA </v>
      </c>
      <c r="Q625" s="130"/>
      <c r="R625" s="131">
        <f>IFERROR(IF(Tabela1[[#This Row],[Nome fantasia]]="","",_xlfn.XLOOKUP($C625,Log!D:D,Log!X:X,,,-1)),"")</f>
        <v>45954</v>
      </c>
    </row>
    <row r="626" spans="3:18" hidden="1" x14ac:dyDescent="0.2">
      <c r="C626" s="30"/>
      <c r="D626" s="110" t="s">
        <v>1819</v>
      </c>
      <c r="E626" s="33" t="s">
        <v>46</v>
      </c>
      <c r="F626" s="38"/>
      <c r="G626" s="38"/>
      <c r="H626" s="31"/>
      <c r="I626" s="32"/>
      <c r="J626" s="32"/>
      <c r="K626" s="45" t="s">
        <v>888</v>
      </c>
      <c r="L626" s="129"/>
      <c r="M626" s="33" t="str">
        <f t="shared" si="9"/>
        <v/>
      </c>
      <c r="N626" s="34" t="str">
        <f>IFERROR(IF(Tabela1[[#This Row],[Nome fantasia]]="","",_xlfn.XLOOKUP($C626,Log!D:D,Log!B:B,,,-1)),"")</f>
        <v/>
      </c>
      <c r="O626" s="35" t="str">
        <f>IFERROR(_xlfn.XLOOKUP($C626,Log!D:D,Log!W:W,,,-1),"")</f>
        <v/>
      </c>
      <c r="P626" s="35" t="str">
        <f>IFERROR(_xlfn.XLOOKUP($C626,Log!D:D,Log!Y:Y,,,-1),"")</f>
        <v/>
      </c>
      <c r="Q626" s="130"/>
      <c r="R626" s="131" t="str">
        <f>IFERROR(IF(Tabela1[[#This Row],[Nome fantasia]]="","",_xlfn.XLOOKUP($C626,Log!D:D,Log!X:X,,,-1)),"")</f>
        <v/>
      </c>
    </row>
    <row r="627" spans="3:18" hidden="1" x14ac:dyDescent="0.2">
      <c r="C627" s="30" t="s">
        <v>1820</v>
      </c>
      <c r="D627" s="110" t="s">
        <v>1821</v>
      </c>
      <c r="E627" s="33" t="s">
        <v>46</v>
      </c>
      <c r="F627" s="38"/>
      <c r="G627" s="38"/>
      <c r="H627" s="31"/>
      <c r="I627" s="32"/>
      <c r="J627" s="32"/>
      <c r="K627" s="45" t="s">
        <v>888</v>
      </c>
      <c r="L627" s="129"/>
      <c r="M627" s="33" t="str">
        <f t="shared" si="9"/>
        <v/>
      </c>
      <c r="N627" s="34" t="str">
        <f>IFERROR(IF(Tabela1[[#This Row],[Nome fantasia]]="","",_xlfn.XLOOKUP($C627,Log!D:D,Log!B:B,,,-1)),"")</f>
        <v/>
      </c>
      <c r="O627" s="35" t="str">
        <f>IFERROR(_xlfn.XLOOKUP($C627,Log!D:D,Log!W:W,,,-1),"")</f>
        <v/>
      </c>
      <c r="P627" s="35" t="str">
        <f>IFERROR(_xlfn.XLOOKUP($C627,Log!D:D,Log!Y:Y,,,-1),"")</f>
        <v/>
      </c>
      <c r="Q627" s="130"/>
      <c r="R627" s="131" t="str">
        <f>IFERROR(IF(Tabela1[[#This Row],[Nome fantasia]]="","",_xlfn.XLOOKUP($C627,Log!D:D,Log!X:X,,,-1)),"")</f>
        <v/>
      </c>
    </row>
    <row r="628" spans="3:18" hidden="1" x14ac:dyDescent="0.2">
      <c r="C628" s="30" t="s">
        <v>1822</v>
      </c>
      <c r="D628" s="110" t="s">
        <v>1823</v>
      </c>
      <c r="E628" s="33" t="s">
        <v>17</v>
      </c>
      <c r="F628" s="38"/>
      <c r="G628" s="38"/>
      <c r="H628" s="31"/>
      <c r="I628" s="32"/>
      <c r="J628" s="32"/>
      <c r="K628" s="45" t="s">
        <v>888</v>
      </c>
      <c r="L628" s="129"/>
      <c r="M628" s="33" t="str">
        <f t="shared" si="9"/>
        <v/>
      </c>
      <c r="N628" s="34" t="str">
        <f>IFERROR(IF(Tabela1[[#This Row],[Nome fantasia]]="","",_xlfn.XLOOKUP($C628,Log!D:D,Log!B:B,,,-1)),"")</f>
        <v/>
      </c>
      <c r="O628" s="35" t="str">
        <f>IFERROR(_xlfn.XLOOKUP($C628,Log!D:D,Log!W:W,,,-1),"")</f>
        <v/>
      </c>
      <c r="P628" s="35" t="str">
        <f>IFERROR(_xlfn.XLOOKUP($C628,Log!D:D,Log!Y:Y,,,-1),"")</f>
        <v/>
      </c>
      <c r="Q628" s="130"/>
      <c r="R628" s="131" t="str">
        <f>IFERROR(IF(Tabela1[[#This Row],[Nome fantasia]]="","",_xlfn.XLOOKUP($C628,Log!D:D,Log!X:X,,,-1)),"")</f>
        <v/>
      </c>
    </row>
    <row r="629" spans="3:18" hidden="1" x14ac:dyDescent="0.2">
      <c r="C629" s="30" t="s">
        <v>1824</v>
      </c>
      <c r="D629" s="110" t="s">
        <v>1825</v>
      </c>
      <c r="E629" s="33" t="s">
        <v>46</v>
      </c>
      <c r="F629" s="38"/>
      <c r="G629" s="38"/>
      <c r="H629" s="31"/>
      <c r="I629" s="32"/>
      <c r="J629" s="32"/>
      <c r="K629" s="45" t="s">
        <v>888</v>
      </c>
      <c r="L629" s="129"/>
      <c r="M629" s="33" t="str">
        <f t="shared" si="9"/>
        <v/>
      </c>
      <c r="N629" s="34" t="str">
        <f>IFERROR(IF(Tabela1[[#This Row],[Nome fantasia]]="","",_xlfn.XLOOKUP($C629,Log!D:D,Log!B:B,,,-1)),"")</f>
        <v/>
      </c>
      <c r="O629" s="35" t="str">
        <f>IFERROR(_xlfn.XLOOKUP($C629,Log!D:D,Log!W:W,,,-1),"")</f>
        <v/>
      </c>
      <c r="P629" s="35" t="str">
        <f>IFERROR(_xlfn.XLOOKUP($C629,Log!D:D,Log!Y:Y,,,-1),"")</f>
        <v/>
      </c>
      <c r="Q629" s="130"/>
      <c r="R629" s="131" t="str">
        <f>IFERROR(IF(Tabela1[[#This Row],[Nome fantasia]]="","",_xlfn.XLOOKUP($C629,Log!D:D,Log!X:X,,,-1)),"")</f>
        <v/>
      </c>
    </row>
    <row r="630" spans="3:18" hidden="1" x14ac:dyDescent="0.2">
      <c r="C630" s="30" t="s">
        <v>1826</v>
      </c>
      <c r="D630" s="110" t="s">
        <v>1827</v>
      </c>
      <c r="E630" s="33" t="s">
        <v>46</v>
      </c>
      <c r="F630" s="38"/>
      <c r="G630" s="38"/>
      <c r="H630" s="31"/>
      <c r="I630" s="32"/>
      <c r="J630" s="32"/>
      <c r="K630" s="45" t="s">
        <v>888</v>
      </c>
      <c r="L630" s="129"/>
      <c r="M630" s="33" t="str">
        <f t="shared" si="9"/>
        <v/>
      </c>
      <c r="N630" s="34" t="str">
        <f>IFERROR(IF(Tabela1[[#This Row],[Nome fantasia]]="","",_xlfn.XLOOKUP($C630,Log!D:D,Log!B:B,,,-1)),"")</f>
        <v/>
      </c>
      <c r="O630" s="35" t="str">
        <f>IFERROR(_xlfn.XLOOKUP($C630,Log!D:D,Log!W:W,,,-1),"")</f>
        <v/>
      </c>
      <c r="P630" s="35" t="str">
        <f>IFERROR(_xlfn.XLOOKUP($C630,Log!D:D,Log!Y:Y,,,-1),"")</f>
        <v/>
      </c>
      <c r="Q630" s="130"/>
      <c r="R630" s="131" t="str">
        <f>IFERROR(IF(Tabela1[[#This Row],[Nome fantasia]]="","",_xlfn.XLOOKUP($C630,Log!D:D,Log!X:X,,,-1)),"")</f>
        <v/>
      </c>
    </row>
    <row r="631" spans="3:18" hidden="1" x14ac:dyDescent="0.2">
      <c r="C631" s="30"/>
      <c r="D631" s="110" t="s">
        <v>1828</v>
      </c>
      <c r="E631" s="33" t="s">
        <v>22</v>
      </c>
      <c r="F631" s="38"/>
      <c r="G631" s="38"/>
      <c r="H631" s="31"/>
      <c r="I631" s="32"/>
      <c r="J631" s="32"/>
      <c r="K631" s="45" t="s">
        <v>888</v>
      </c>
      <c r="L631" s="129"/>
      <c r="M631" s="33" t="str">
        <f t="shared" si="9"/>
        <v/>
      </c>
      <c r="N631" s="34" t="str">
        <f>IFERROR(IF(Tabela1[[#This Row],[Nome fantasia]]="","",_xlfn.XLOOKUP($C631,Log!D:D,Log!B:B,,,-1)),"")</f>
        <v/>
      </c>
      <c r="O631" s="35" t="str">
        <f>IFERROR(_xlfn.XLOOKUP($C631,Log!D:D,Log!W:W,,,-1),"")</f>
        <v/>
      </c>
      <c r="P631" s="35" t="str">
        <f>IFERROR(_xlfn.XLOOKUP($C631,Log!D:D,Log!Y:Y,,,-1),"")</f>
        <v/>
      </c>
      <c r="Q631" s="130"/>
      <c r="R631" s="131" t="str">
        <f>IFERROR(IF(Tabela1[[#This Row],[Nome fantasia]]="","",_xlfn.XLOOKUP($C631,Log!D:D,Log!X:X,,,-1)),"")</f>
        <v/>
      </c>
    </row>
    <row r="632" spans="3:18" hidden="1" x14ac:dyDescent="0.2">
      <c r="C632" s="30" t="s">
        <v>1829</v>
      </c>
      <c r="D632" s="110" t="s">
        <v>1830</v>
      </c>
      <c r="E632" s="33" t="s">
        <v>46</v>
      </c>
      <c r="F632" s="38"/>
      <c r="G632" s="38"/>
      <c r="H632" s="31"/>
      <c r="I632" s="32"/>
      <c r="J632" s="32"/>
      <c r="K632" s="45" t="s">
        <v>888</v>
      </c>
      <c r="L632" s="129"/>
      <c r="M632" s="33" t="str">
        <f t="shared" si="9"/>
        <v/>
      </c>
      <c r="N632" s="34" t="str">
        <f>IFERROR(IF(Tabela1[[#This Row],[Nome fantasia]]="","",_xlfn.XLOOKUP($C632,Log!D:D,Log!B:B,,,-1)),"")</f>
        <v/>
      </c>
      <c r="O632" s="35" t="str">
        <f>IFERROR(_xlfn.XLOOKUP($C632,Log!D:D,Log!W:W,,,-1),"")</f>
        <v/>
      </c>
      <c r="P632" s="35" t="str">
        <f>IFERROR(_xlfn.XLOOKUP($C632,Log!D:D,Log!Y:Y,,,-1),"")</f>
        <v/>
      </c>
      <c r="Q632" s="130"/>
      <c r="R632" s="131" t="str">
        <f>IFERROR(IF(Tabela1[[#This Row],[Nome fantasia]]="","",_xlfn.XLOOKUP($C632,Log!D:D,Log!X:X,,,-1)),"")</f>
        <v/>
      </c>
    </row>
    <row r="633" spans="3:18" hidden="1" x14ac:dyDescent="0.2">
      <c r="C633" s="30" t="s">
        <v>1831</v>
      </c>
      <c r="D633" s="110" t="s">
        <v>1832</v>
      </c>
      <c r="E633" s="33" t="s">
        <v>46</v>
      </c>
      <c r="F633" s="38"/>
      <c r="G633" s="38"/>
      <c r="H633" s="31"/>
      <c r="I633" s="32"/>
      <c r="J633" s="32"/>
      <c r="K633" s="45" t="s">
        <v>888</v>
      </c>
      <c r="L633" s="129"/>
      <c r="M633" s="33" t="str">
        <f t="shared" si="9"/>
        <v/>
      </c>
      <c r="N633" s="34" t="str">
        <f>IFERROR(IF(Tabela1[[#This Row],[Nome fantasia]]="","",_xlfn.XLOOKUP($C633,Log!D:D,Log!B:B,,,-1)),"")</f>
        <v/>
      </c>
      <c r="O633" s="35" t="str">
        <f>IFERROR(_xlfn.XLOOKUP($C633,Log!D:D,Log!W:W,,,-1),"")</f>
        <v/>
      </c>
      <c r="P633" s="35" t="str">
        <f>IFERROR(_xlfn.XLOOKUP($C633,Log!D:D,Log!Y:Y,,,-1),"")</f>
        <v/>
      </c>
      <c r="Q633" s="130"/>
      <c r="R633" s="131" t="str">
        <f>IFERROR(IF(Tabela1[[#This Row],[Nome fantasia]]="","",_xlfn.XLOOKUP($C633,Log!D:D,Log!X:X,,,-1)),"")</f>
        <v/>
      </c>
    </row>
    <row r="634" spans="3:18" hidden="1" x14ac:dyDescent="0.2">
      <c r="C634" s="30" t="s">
        <v>1833</v>
      </c>
      <c r="D634" s="110" t="s">
        <v>1834</v>
      </c>
      <c r="E634" s="33" t="s">
        <v>46</v>
      </c>
      <c r="F634" s="38"/>
      <c r="G634" s="38"/>
      <c r="H634" s="31"/>
      <c r="I634" s="32"/>
      <c r="J634" s="32"/>
      <c r="K634" s="45" t="s">
        <v>888</v>
      </c>
      <c r="L634" s="129"/>
      <c r="M634" s="33" t="str">
        <f t="shared" si="9"/>
        <v/>
      </c>
      <c r="N634" s="34" t="str">
        <f>IFERROR(IF(Tabela1[[#This Row],[Nome fantasia]]="","",_xlfn.XLOOKUP($C634,Log!D:D,Log!B:B,,,-1)),"")</f>
        <v/>
      </c>
      <c r="O634" s="35" t="str">
        <f>IFERROR(_xlfn.XLOOKUP($C634,Log!D:D,Log!W:W,,,-1),"")</f>
        <v/>
      </c>
      <c r="P634" s="35" t="str">
        <f>IFERROR(_xlfn.XLOOKUP($C634,Log!D:D,Log!Y:Y,,,-1),"")</f>
        <v/>
      </c>
      <c r="Q634" s="130"/>
      <c r="R634" s="131" t="str">
        <f>IFERROR(IF(Tabela1[[#This Row],[Nome fantasia]]="","",_xlfn.XLOOKUP($C634,Log!D:D,Log!X:X,,,-1)),"")</f>
        <v/>
      </c>
    </row>
    <row r="635" spans="3:18" hidden="1" x14ac:dyDescent="0.2">
      <c r="C635" s="30" t="s">
        <v>1835</v>
      </c>
      <c r="D635" s="110" t="s">
        <v>1836</v>
      </c>
      <c r="E635" s="33" t="s">
        <v>17</v>
      </c>
      <c r="F635" s="38"/>
      <c r="G635" s="38"/>
      <c r="H635" s="31"/>
      <c r="I635" s="32"/>
      <c r="J635" s="32"/>
      <c r="K635" s="45" t="s">
        <v>888</v>
      </c>
      <c r="L635" s="129"/>
      <c r="M635" s="33" t="str">
        <f t="shared" si="9"/>
        <v/>
      </c>
      <c r="N635" s="34" t="str">
        <f>IFERROR(IF(Tabela1[[#This Row],[Nome fantasia]]="","",_xlfn.XLOOKUP($C635,Log!D:D,Log!B:B,,,-1)),"")</f>
        <v/>
      </c>
      <c r="O635" s="35" t="str">
        <f>IFERROR(_xlfn.XLOOKUP($C635,Log!D:D,Log!W:W,,,-1),"")</f>
        <v/>
      </c>
      <c r="P635" s="35" t="str">
        <f>IFERROR(_xlfn.XLOOKUP($C635,Log!D:D,Log!Y:Y,,,-1),"")</f>
        <v/>
      </c>
      <c r="Q635" s="130"/>
      <c r="R635" s="131" t="str">
        <f>IFERROR(IF(Tabela1[[#This Row],[Nome fantasia]]="","",_xlfn.XLOOKUP($C635,Log!D:D,Log!X:X,,,-1)),"")</f>
        <v/>
      </c>
    </row>
    <row r="636" spans="3:18" hidden="1" x14ac:dyDescent="0.2">
      <c r="C636" s="30" t="s">
        <v>1837</v>
      </c>
      <c r="D636" s="110" t="s">
        <v>1838</v>
      </c>
      <c r="E636" s="33" t="s">
        <v>17</v>
      </c>
      <c r="F636" s="38"/>
      <c r="G636" s="38"/>
      <c r="H636" s="31"/>
      <c r="I636" s="32"/>
      <c r="J636" s="32"/>
      <c r="K636" s="45" t="s">
        <v>888</v>
      </c>
      <c r="L636" s="129"/>
      <c r="M636" s="33" t="str">
        <f t="shared" si="9"/>
        <v/>
      </c>
      <c r="N636" s="34" t="str">
        <f>IFERROR(IF(Tabela1[[#This Row],[Nome fantasia]]="","",_xlfn.XLOOKUP($C636,Log!D:D,Log!B:B,,,-1)),"")</f>
        <v/>
      </c>
      <c r="O636" s="35" t="str">
        <f>IFERROR(_xlfn.XLOOKUP($C636,Log!D:D,Log!W:W,,,-1),"")</f>
        <v/>
      </c>
      <c r="P636" s="35" t="str">
        <f>IFERROR(_xlfn.XLOOKUP($C636,Log!D:D,Log!Y:Y,,,-1),"")</f>
        <v/>
      </c>
      <c r="Q636" s="130"/>
      <c r="R636" s="131" t="str">
        <f>IFERROR(IF(Tabela1[[#This Row],[Nome fantasia]]="","",_xlfn.XLOOKUP($C636,Log!D:D,Log!X:X,,,-1)),"")</f>
        <v/>
      </c>
    </row>
    <row r="637" spans="3:18" hidden="1" x14ac:dyDescent="0.2">
      <c r="C637" s="30" t="s">
        <v>1839</v>
      </c>
      <c r="D637" s="110" t="s">
        <v>1840</v>
      </c>
      <c r="E637" s="33" t="s">
        <v>46</v>
      </c>
      <c r="F637" s="38"/>
      <c r="G637" s="38"/>
      <c r="H637" s="31"/>
      <c r="I637" s="32"/>
      <c r="J637" s="32"/>
      <c r="K637" s="45" t="s">
        <v>888</v>
      </c>
      <c r="L637" s="129"/>
      <c r="M637" s="33" t="str">
        <f t="shared" si="9"/>
        <v/>
      </c>
      <c r="N637" s="34" t="str">
        <f>IFERROR(IF(Tabela1[[#This Row],[Nome fantasia]]="","",_xlfn.XLOOKUP($C637,Log!D:D,Log!B:B,,,-1)),"")</f>
        <v/>
      </c>
      <c r="O637" s="35" t="str">
        <f>IFERROR(_xlfn.XLOOKUP($C637,Log!D:D,Log!W:W,,,-1),"")</f>
        <v/>
      </c>
      <c r="P637" s="35" t="str">
        <f>IFERROR(_xlfn.XLOOKUP($C637,Log!D:D,Log!Y:Y,,,-1),"")</f>
        <v/>
      </c>
      <c r="Q637" s="130"/>
      <c r="R637" s="131" t="str">
        <f>IFERROR(IF(Tabela1[[#This Row],[Nome fantasia]]="","",_xlfn.XLOOKUP($C637,Log!D:D,Log!X:X,,,-1)),"")</f>
        <v/>
      </c>
    </row>
    <row r="638" spans="3:18" hidden="1" x14ac:dyDescent="0.2">
      <c r="C638" s="30" t="s">
        <v>1841</v>
      </c>
      <c r="D638" s="110" t="s">
        <v>1842</v>
      </c>
      <c r="E638" s="33" t="s">
        <v>46</v>
      </c>
      <c r="F638" s="38"/>
      <c r="G638" s="38"/>
      <c r="H638" s="31"/>
      <c r="I638" s="32"/>
      <c r="J638" s="32"/>
      <c r="K638" s="45" t="s">
        <v>888</v>
      </c>
      <c r="L638" s="129"/>
      <c r="M638" s="33" t="str">
        <f t="shared" si="9"/>
        <v/>
      </c>
      <c r="N638" s="34" t="str">
        <f>IFERROR(IF(Tabela1[[#This Row],[Nome fantasia]]="","",_xlfn.XLOOKUP($C638,Log!D:D,Log!B:B,,,-1)),"")</f>
        <v/>
      </c>
      <c r="O638" s="35" t="str">
        <f>IFERROR(_xlfn.XLOOKUP($C638,Log!D:D,Log!W:W,,,-1),"")</f>
        <v/>
      </c>
      <c r="P638" s="35" t="str">
        <f>IFERROR(_xlfn.XLOOKUP($C638,Log!D:D,Log!Y:Y,,,-1),"")</f>
        <v/>
      </c>
      <c r="Q638" s="130"/>
      <c r="R638" s="131" t="str">
        <f>IFERROR(IF(Tabela1[[#This Row],[Nome fantasia]]="","",_xlfn.XLOOKUP($C638,Log!D:D,Log!X:X,,,-1)),"")</f>
        <v/>
      </c>
    </row>
    <row r="639" spans="3:18" hidden="1" x14ac:dyDescent="0.2">
      <c r="C639" s="30" t="s">
        <v>1843</v>
      </c>
      <c r="D639" s="110" t="s">
        <v>1844</v>
      </c>
      <c r="E639" s="33" t="s">
        <v>46</v>
      </c>
      <c r="F639" s="38"/>
      <c r="G639" s="38"/>
      <c r="H639" s="31"/>
      <c r="I639" s="32"/>
      <c r="J639" s="32"/>
      <c r="K639" s="45" t="s">
        <v>888</v>
      </c>
      <c r="L639" s="129"/>
      <c r="M639" s="33" t="str">
        <f t="shared" si="9"/>
        <v/>
      </c>
      <c r="N639" s="34" t="str">
        <f>IFERROR(IF(Tabela1[[#This Row],[Nome fantasia]]="","",_xlfn.XLOOKUP($C639,Log!D:D,Log!B:B,,,-1)),"")</f>
        <v/>
      </c>
      <c r="O639" s="35" t="str">
        <f>IFERROR(_xlfn.XLOOKUP($C639,Log!D:D,Log!W:W,,,-1),"")</f>
        <v/>
      </c>
      <c r="P639" s="35" t="str">
        <f>IFERROR(_xlfn.XLOOKUP($C639,Log!D:D,Log!Y:Y,,,-1),"")</f>
        <v/>
      </c>
      <c r="Q639" s="130"/>
      <c r="R639" s="131" t="str">
        <f>IFERROR(IF(Tabela1[[#This Row],[Nome fantasia]]="","",_xlfn.XLOOKUP($C639,Log!D:D,Log!X:X,,,-1)),"")</f>
        <v/>
      </c>
    </row>
    <row r="640" spans="3:18" hidden="1" x14ac:dyDescent="0.2">
      <c r="C640" s="30" t="s">
        <v>1845</v>
      </c>
      <c r="D640" s="110" t="s">
        <v>1846</v>
      </c>
      <c r="E640" s="33" t="s">
        <v>22</v>
      </c>
      <c r="F640" s="38"/>
      <c r="G640" s="38"/>
      <c r="H640" s="31"/>
      <c r="I640" s="32"/>
      <c r="J640" s="32"/>
      <c r="K640" s="45" t="s">
        <v>888</v>
      </c>
      <c r="L640" s="129"/>
      <c r="M640" s="33" t="str">
        <f t="shared" si="9"/>
        <v/>
      </c>
      <c r="N640" s="34" t="str">
        <f>IFERROR(IF(Tabela1[[#This Row],[Nome fantasia]]="","",_xlfn.XLOOKUP($C640,Log!D:D,Log!B:B,,,-1)),"")</f>
        <v/>
      </c>
      <c r="O640" s="35" t="str">
        <f>IFERROR(_xlfn.XLOOKUP($C640,Log!D:D,Log!W:W,,,-1),"")</f>
        <v/>
      </c>
      <c r="P640" s="35" t="str">
        <f>IFERROR(_xlfn.XLOOKUP($C640,Log!D:D,Log!Y:Y,,,-1),"")</f>
        <v/>
      </c>
      <c r="Q640" s="130"/>
      <c r="R640" s="131" t="str">
        <f>IFERROR(IF(Tabela1[[#This Row],[Nome fantasia]]="","",_xlfn.XLOOKUP($C640,Log!D:D,Log!X:X,,,-1)),"")</f>
        <v/>
      </c>
    </row>
    <row r="641" spans="3:18" hidden="1" x14ac:dyDescent="0.2">
      <c r="C641" s="30" t="s">
        <v>1847</v>
      </c>
      <c r="D641" s="110" t="s">
        <v>1848</v>
      </c>
      <c r="E641" s="33" t="s">
        <v>46</v>
      </c>
      <c r="F641" s="38"/>
      <c r="G641" s="38"/>
      <c r="H641" s="31"/>
      <c r="I641" s="32"/>
      <c r="J641" s="32"/>
      <c r="K641" s="45" t="s">
        <v>888</v>
      </c>
      <c r="L641" s="129"/>
      <c r="M641" s="33" t="str">
        <f t="shared" si="9"/>
        <v/>
      </c>
      <c r="N641" s="34" t="str">
        <f>IFERROR(IF(Tabela1[[#This Row],[Nome fantasia]]="","",_xlfn.XLOOKUP($C641,Log!D:D,Log!B:B,,,-1)),"")</f>
        <v/>
      </c>
      <c r="O641" s="35" t="str">
        <f>IFERROR(_xlfn.XLOOKUP($C641,Log!D:D,Log!W:W,,,-1),"")</f>
        <v/>
      </c>
      <c r="P641" s="35" t="str">
        <f>IFERROR(_xlfn.XLOOKUP($C641,Log!D:D,Log!Y:Y,,,-1),"")</f>
        <v/>
      </c>
      <c r="Q641" s="130"/>
      <c r="R641" s="131" t="str">
        <f>IFERROR(IF(Tabela1[[#This Row],[Nome fantasia]]="","",_xlfn.XLOOKUP($C641,Log!D:D,Log!X:X,,,-1)),"")</f>
        <v/>
      </c>
    </row>
    <row r="642" spans="3:18" hidden="1" x14ac:dyDescent="0.2">
      <c r="C642" s="30" t="s">
        <v>1849</v>
      </c>
      <c r="D642" s="110" t="s">
        <v>1850</v>
      </c>
      <c r="E642" s="33" t="s">
        <v>46</v>
      </c>
      <c r="F642" s="38"/>
      <c r="G642" s="38"/>
      <c r="H642" s="31"/>
      <c r="I642" s="32"/>
      <c r="J642" s="32"/>
      <c r="K642" s="45" t="s">
        <v>888</v>
      </c>
      <c r="L642" s="129"/>
      <c r="M642" s="33" t="str">
        <f t="shared" si="9"/>
        <v/>
      </c>
      <c r="N642" s="34" t="str">
        <f>IFERROR(IF(Tabela1[[#This Row],[Nome fantasia]]="","",_xlfn.XLOOKUP($C642,Log!D:D,Log!B:B,,,-1)),"")</f>
        <v/>
      </c>
      <c r="O642" s="35" t="str">
        <f>IFERROR(_xlfn.XLOOKUP($C642,Log!D:D,Log!W:W,,,-1),"")</f>
        <v/>
      </c>
      <c r="P642" s="35" t="str">
        <f>IFERROR(_xlfn.XLOOKUP($C642,Log!D:D,Log!Y:Y,,,-1),"")</f>
        <v/>
      </c>
      <c r="Q642" s="130"/>
      <c r="R642" s="131" t="str">
        <f>IFERROR(IF(Tabela1[[#This Row],[Nome fantasia]]="","",_xlfn.XLOOKUP($C642,Log!D:D,Log!X:X,,,-1)),"")</f>
        <v/>
      </c>
    </row>
    <row r="643" spans="3:18" hidden="1" x14ac:dyDescent="0.2">
      <c r="C643" s="30" t="s">
        <v>1851</v>
      </c>
      <c r="D643" s="110" t="s">
        <v>1852</v>
      </c>
      <c r="E643" s="33" t="s">
        <v>22</v>
      </c>
      <c r="F643" s="38"/>
      <c r="G643" s="38"/>
      <c r="H643" s="31"/>
      <c r="I643" s="32"/>
      <c r="J643" s="32"/>
      <c r="K643" s="45" t="s">
        <v>888</v>
      </c>
      <c r="L643" s="129"/>
      <c r="M643" s="33" t="str">
        <f t="shared" ref="M643:M706" si="10">IF(OR(J643&lt;=0,J643=""),"","Recompra")</f>
        <v/>
      </c>
      <c r="N643" s="34" t="str">
        <f>IFERROR(IF(Tabela1[[#This Row],[Nome fantasia]]="","",_xlfn.XLOOKUP($C643,Log!D:D,Log!B:B,,,-1)),"")</f>
        <v/>
      </c>
      <c r="O643" s="35" t="str">
        <f>IFERROR(_xlfn.XLOOKUP($C643,Log!D:D,Log!W:W,,,-1),"")</f>
        <v/>
      </c>
      <c r="P643" s="35" t="str">
        <f>IFERROR(_xlfn.XLOOKUP($C643,Log!D:D,Log!Y:Y,,,-1),"")</f>
        <v/>
      </c>
      <c r="Q643" s="130"/>
      <c r="R643" s="131" t="str">
        <f>IFERROR(IF(Tabela1[[#This Row],[Nome fantasia]]="","",_xlfn.XLOOKUP($C643,Log!D:D,Log!X:X,,,-1)),"")</f>
        <v/>
      </c>
    </row>
    <row r="644" spans="3:18" hidden="1" x14ac:dyDescent="0.2">
      <c r="C644" s="30" t="s">
        <v>1853</v>
      </c>
      <c r="D644" s="110" t="s">
        <v>1854</v>
      </c>
      <c r="E644" s="33" t="s">
        <v>46</v>
      </c>
      <c r="F644" s="38"/>
      <c r="G644" s="38"/>
      <c r="H644" s="31"/>
      <c r="I644" s="32"/>
      <c r="J644" s="32"/>
      <c r="K644" s="45" t="s">
        <v>888</v>
      </c>
      <c r="L644" s="129"/>
      <c r="M644" s="33" t="str">
        <f t="shared" si="10"/>
        <v/>
      </c>
      <c r="N644" s="34" t="str">
        <f>IFERROR(IF(Tabela1[[#This Row],[Nome fantasia]]="","",_xlfn.XLOOKUP($C644,Log!D:D,Log!B:B,,,-1)),"")</f>
        <v/>
      </c>
      <c r="O644" s="35" t="str">
        <f>IFERROR(_xlfn.XLOOKUP($C644,Log!D:D,Log!W:W,,,-1),"")</f>
        <v/>
      </c>
      <c r="P644" s="35" t="str">
        <f>IFERROR(_xlfn.XLOOKUP($C644,Log!D:D,Log!Y:Y,,,-1),"")</f>
        <v/>
      </c>
      <c r="Q644" s="130"/>
      <c r="R644" s="131" t="str">
        <f>IFERROR(IF(Tabela1[[#This Row],[Nome fantasia]]="","",_xlfn.XLOOKUP($C644,Log!D:D,Log!X:X,,,-1)),"")</f>
        <v/>
      </c>
    </row>
    <row r="645" spans="3:18" hidden="1" x14ac:dyDescent="0.2">
      <c r="C645" s="30"/>
      <c r="D645" s="110" t="s">
        <v>1855</v>
      </c>
      <c r="E645" s="33" t="s">
        <v>22</v>
      </c>
      <c r="F645" s="38"/>
      <c r="G645" s="38"/>
      <c r="H645" s="31"/>
      <c r="I645" s="32"/>
      <c r="J645" s="32"/>
      <c r="K645" s="45" t="s">
        <v>888</v>
      </c>
      <c r="L645" s="129"/>
      <c r="M645" s="33" t="str">
        <f t="shared" si="10"/>
        <v/>
      </c>
      <c r="N645" s="34" t="str">
        <f>IFERROR(IF(Tabela1[[#This Row],[Nome fantasia]]="","",_xlfn.XLOOKUP($C645,Log!D:D,Log!B:B,,,-1)),"")</f>
        <v/>
      </c>
      <c r="O645" s="35" t="str">
        <f>IFERROR(_xlfn.XLOOKUP($C645,Log!D:D,Log!W:W,,,-1),"")</f>
        <v/>
      </c>
      <c r="P645" s="35" t="str">
        <f>IFERROR(_xlfn.XLOOKUP($C645,Log!D:D,Log!Y:Y,,,-1),"")</f>
        <v/>
      </c>
      <c r="Q645" s="130"/>
      <c r="R645" s="131" t="str">
        <f>IFERROR(IF(Tabela1[[#This Row],[Nome fantasia]]="","",_xlfn.XLOOKUP($C645,Log!D:D,Log!X:X,,,-1)),"")</f>
        <v/>
      </c>
    </row>
    <row r="646" spans="3:18" hidden="1" x14ac:dyDescent="0.2">
      <c r="C646" s="30"/>
      <c r="D646" s="110"/>
      <c r="E646" s="33" t="s">
        <v>46</v>
      </c>
      <c r="F646" s="38"/>
      <c r="G646" s="38"/>
      <c r="H646" s="31"/>
      <c r="I646" s="32"/>
      <c r="J646" s="32"/>
      <c r="K646" s="45" t="s">
        <v>888</v>
      </c>
      <c r="L646" s="129"/>
      <c r="M646" s="33" t="str">
        <f t="shared" si="10"/>
        <v/>
      </c>
      <c r="N646" s="34" t="str">
        <f>IFERROR(IF(Tabela1[[#This Row],[Nome fantasia]]="","",_xlfn.XLOOKUP($C646,Log!D:D,Log!B:B,,,-1)),"")</f>
        <v/>
      </c>
      <c r="O646" s="35" t="str">
        <f>IFERROR(_xlfn.XLOOKUP($C646,Log!D:D,Log!W:W,,,-1),"")</f>
        <v/>
      </c>
      <c r="P646" s="35" t="str">
        <f>IFERROR(_xlfn.XLOOKUP($C646,Log!D:D,Log!Y:Y,,,-1),"")</f>
        <v/>
      </c>
      <c r="Q646" s="130"/>
      <c r="R646" s="131" t="str">
        <f>IFERROR(IF(Tabela1[[#This Row],[Nome fantasia]]="","",_xlfn.XLOOKUP($C646,Log!D:D,Log!X:X,,,-1)),"")</f>
        <v/>
      </c>
    </row>
    <row r="647" spans="3:18" hidden="1" x14ac:dyDescent="0.2">
      <c r="C647" s="30" t="s">
        <v>1856</v>
      </c>
      <c r="D647" s="110" t="s">
        <v>1857</v>
      </c>
      <c r="E647" s="33" t="s">
        <v>46</v>
      </c>
      <c r="F647" s="38"/>
      <c r="G647" s="38"/>
      <c r="H647" s="31"/>
      <c r="I647" s="32"/>
      <c r="J647" s="32"/>
      <c r="K647" s="45" t="s">
        <v>888</v>
      </c>
      <c r="L647" s="129"/>
      <c r="M647" s="33" t="str">
        <f t="shared" si="10"/>
        <v/>
      </c>
      <c r="N647" s="34" t="str">
        <f>IFERROR(IF(Tabela1[[#This Row],[Nome fantasia]]="","",_xlfn.XLOOKUP($C647,Log!D:D,Log!B:B,,,-1)),"")</f>
        <v/>
      </c>
      <c r="O647" s="35" t="str">
        <f>IFERROR(_xlfn.XLOOKUP($C647,Log!D:D,Log!W:W,,,-1),"")</f>
        <v/>
      </c>
      <c r="P647" s="35" t="str">
        <f>IFERROR(_xlfn.XLOOKUP($C647,Log!D:D,Log!Y:Y,,,-1),"")</f>
        <v/>
      </c>
      <c r="Q647" s="130"/>
      <c r="R647" s="131" t="str">
        <f>IFERROR(IF(Tabela1[[#This Row],[Nome fantasia]]="","",_xlfn.XLOOKUP($C647,Log!D:D,Log!X:X,,,-1)),"")</f>
        <v/>
      </c>
    </row>
    <row r="648" spans="3:18" hidden="1" x14ac:dyDescent="0.2">
      <c r="C648" s="30" t="s">
        <v>1858</v>
      </c>
      <c r="D648" s="110" t="s">
        <v>1859</v>
      </c>
      <c r="E648" s="33" t="s">
        <v>46</v>
      </c>
      <c r="F648" s="38"/>
      <c r="G648" s="38"/>
      <c r="H648" s="31"/>
      <c r="I648" s="32"/>
      <c r="J648" s="32"/>
      <c r="K648" s="45" t="s">
        <v>888</v>
      </c>
      <c r="L648" s="129"/>
      <c r="M648" s="33" t="str">
        <f t="shared" si="10"/>
        <v/>
      </c>
      <c r="N648" s="34" t="str">
        <f>IFERROR(IF(Tabela1[[#This Row],[Nome fantasia]]="","",_xlfn.XLOOKUP($C648,Log!D:D,Log!B:B,,,-1)),"")</f>
        <v/>
      </c>
      <c r="O648" s="35" t="str">
        <f>IFERROR(_xlfn.XLOOKUP($C648,Log!D:D,Log!W:W,,,-1),"")</f>
        <v/>
      </c>
      <c r="P648" s="35" t="str">
        <f>IFERROR(_xlfn.XLOOKUP($C648,Log!D:D,Log!Y:Y,,,-1),"")</f>
        <v/>
      </c>
      <c r="Q648" s="130"/>
      <c r="R648" s="131" t="str">
        <f>IFERROR(IF(Tabela1[[#This Row],[Nome fantasia]]="","",_xlfn.XLOOKUP($C648,Log!D:D,Log!X:X,,,-1)),"")</f>
        <v/>
      </c>
    </row>
    <row r="649" spans="3:18" hidden="1" x14ac:dyDescent="0.2">
      <c r="C649" s="30" t="s">
        <v>1860</v>
      </c>
      <c r="D649" s="110" t="s">
        <v>1861</v>
      </c>
      <c r="E649" s="33" t="s">
        <v>17</v>
      </c>
      <c r="F649" s="38"/>
      <c r="G649" s="38"/>
      <c r="H649" s="31"/>
      <c r="I649" s="32"/>
      <c r="J649" s="32"/>
      <c r="K649" s="45" t="s">
        <v>888</v>
      </c>
      <c r="L649" s="129"/>
      <c r="M649" s="33" t="str">
        <f t="shared" si="10"/>
        <v/>
      </c>
      <c r="N649" s="34" t="str">
        <f>IFERROR(IF(Tabela1[[#This Row],[Nome fantasia]]="","",_xlfn.XLOOKUP($C649,Log!D:D,Log!B:B,,,-1)),"")</f>
        <v/>
      </c>
      <c r="O649" s="35" t="str">
        <f>IFERROR(_xlfn.XLOOKUP($C649,Log!D:D,Log!W:W,,,-1),"")</f>
        <v/>
      </c>
      <c r="P649" s="35" t="str">
        <f>IFERROR(_xlfn.XLOOKUP($C649,Log!D:D,Log!Y:Y,,,-1),"")</f>
        <v/>
      </c>
      <c r="Q649" s="130"/>
      <c r="R649" s="131" t="str">
        <f>IFERROR(IF(Tabela1[[#This Row],[Nome fantasia]]="","",_xlfn.XLOOKUP($C649,Log!D:D,Log!X:X,,,-1)),"")</f>
        <v/>
      </c>
    </row>
    <row r="650" spans="3:18" hidden="1" x14ac:dyDescent="0.2">
      <c r="C650" s="30" t="s">
        <v>1862</v>
      </c>
      <c r="D650" s="110" t="s">
        <v>1863</v>
      </c>
      <c r="E650" s="33" t="s">
        <v>22</v>
      </c>
      <c r="F650" s="38"/>
      <c r="G650" s="38"/>
      <c r="H650" s="31"/>
      <c r="I650" s="32"/>
      <c r="J650" s="32"/>
      <c r="K650" s="45" t="s">
        <v>888</v>
      </c>
      <c r="L650" s="129"/>
      <c r="M650" s="33" t="str">
        <f t="shared" si="10"/>
        <v/>
      </c>
      <c r="N650" s="34" t="str">
        <f>IFERROR(IF(Tabela1[[#This Row],[Nome fantasia]]="","",_xlfn.XLOOKUP($C650,Log!D:D,Log!B:B,,,-1)),"")</f>
        <v/>
      </c>
      <c r="O650" s="35" t="str">
        <f>IFERROR(_xlfn.XLOOKUP($C650,Log!D:D,Log!W:W,,,-1),"")</f>
        <v/>
      </c>
      <c r="P650" s="35" t="str">
        <f>IFERROR(_xlfn.XLOOKUP($C650,Log!D:D,Log!Y:Y,,,-1),"")</f>
        <v/>
      </c>
      <c r="Q650" s="130"/>
      <c r="R650" s="131" t="str">
        <f>IFERROR(IF(Tabela1[[#This Row],[Nome fantasia]]="","",_xlfn.XLOOKUP($C650,Log!D:D,Log!X:X,,,-1)),"")</f>
        <v/>
      </c>
    </row>
    <row r="651" spans="3:18" hidden="1" x14ac:dyDescent="0.2">
      <c r="C651" s="30" t="s">
        <v>1864</v>
      </c>
      <c r="D651" s="110" t="s">
        <v>1865</v>
      </c>
      <c r="E651" s="33" t="s">
        <v>46</v>
      </c>
      <c r="F651" s="38"/>
      <c r="G651" s="38"/>
      <c r="H651" s="31"/>
      <c r="I651" s="32"/>
      <c r="J651" s="32"/>
      <c r="K651" s="45" t="s">
        <v>888</v>
      </c>
      <c r="L651" s="129"/>
      <c r="M651" s="33" t="str">
        <f t="shared" si="10"/>
        <v/>
      </c>
      <c r="N651" s="34" t="str">
        <f>IFERROR(IF(Tabela1[[#This Row],[Nome fantasia]]="","",_xlfn.XLOOKUP($C651,Log!D:D,Log!B:B,,,-1)),"")</f>
        <v/>
      </c>
      <c r="O651" s="35" t="str">
        <f>IFERROR(_xlfn.XLOOKUP($C651,Log!D:D,Log!W:W,,,-1),"")</f>
        <v/>
      </c>
      <c r="P651" s="35" t="str">
        <f>IFERROR(_xlfn.XLOOKUP($C651,Log!D:D,Log!Y:Y,,,-1),"")</f>
        <v/>
      </c>
      <c r="Q651" s="130"/>
      <c r="R651" s="131" t="str">
        <f>IFERROR(IF(Tabela1[[#This Row],[Nome fantasia]]="","",_xlfn.XLOOKUP($C651,Log!D:D,Log!X:X,,,-1)),"")</f>
        <v/>
      </c>
    </row>
    <row r="652" spans="3:18" hidden="1" x14ac:dyDescent="0.2">
      <c r="C652" s="30" t="s">
        <v>1866</v>
      </c>
      <c r="D652" s="110" t="s">
        <v>1867</v>
      </c>
      <c r="E652" s="33" t="s">
        <v>46</v>
      </c>
      <c r="F652" s="38"/>
      <c r="G652" s="38"/>
      <c r="H652" s="31"/>
      <c r="I652" s="32"/>
      <c r="J652" s="32"/>
      <c r="K652" s="45" t="s">
        <v>888</v>
      </c>
      <c r="L652" s="129"/>
      <c r="M652" s="33" t="str">
        <f t="shared" si="10"/>
        <v/>
      </c>
      <c r="N652" s="34" t="str">
        <f>IFERROR(IF(Tabela1[[#This Row],[Nome fantasia]]="","",_xlfn.XLOOKUP($C652,Log!D:D,Log!B:B,,,-1)),"")</f>
        <v/>
      </c>
      <c r="O652" s="35" t="str">
        <f>IFERROR(_xlfn.XLOOKUP($C652,Log!D:D,Log!W:W,,,-1),"")</f>
        <v/>
      </c>
      <c r="P652" s="35" t="str">
        <f>IFERROR(_xlfn.XLOOKUP($C652,Log!D:D,Log!Y:Y,,,-1),"")</f>
        <v/>
      </c>
      <c r="Q652" s="130"/>
      <c r="R652" s="131" t="str">
        <f>IFERROR(IF(Tabela1[[#This Row],[Nome fantasia]]="","",_xlfn.XLOOKUP($C652,Log!D:D,Log!X:X,,,-1)),"")</f>
        <v/>
      </c>
    </row>
    <row r="653" spans="3:18" hidden="1" x14ac:dyDescent="0.2">
      <c r="C653" s="30" t="s">
        <v>1868</v>
      </c>
      <c r="D653" s="110" t="s">
        <v>1869</v>
      </c>
      <c r="E653" s="33" t="s">
        <v>22</v>
      </c>
      <c r="F653" s="38"/>
      <c r="G653" s="38"/>
      <c r="H653" s="31"/>
      <c r="I653" s="32"/>
      <c r="J653" s="32"/>
      <c r="K653" s="45" t="s">
        <v>888</v>
      </c>
      <c r="L653" s="129"/>
      <c r="M653" s="33" t="str">
        <f t="shared" si="10"/>
        <v/>
      </c>
      <c r="N653" s="34" t="str">
        <f>IFERROR(IF(Tabela1[[#This Row],[Nome fantasia]]="","",_xlfn.XLOOKUP($C653,Log!D:D,Log!B:B,,,-1)),"")</f>
        <v/>
      </c>
      <c r="O653" s="35" t="str">
        <f>IFERROR(_xlfn.XLOOKUP($C653,Log!D:D,Log!W:W,,,-1),"")</f>
        <v/>
      </c>
      <c r="P653" s="35" t="str">
        <f>IFERROR(_xlfn.XLOOKUP($C653,Log!D:D,Log!Y:Y,,,-1),"")</f>
        <v/>
      </c>
      <c r="Q653" s="130"/>
      <c r="R653" s="131" t="str">
        <f>IFERROR(IF(Tabela1[[#This Row],[Nome fantasia]]="","",_xlfn.XLOOKUP($C653,Log!D:D,Log!X:X,,,-1)),"")</f>
        <v/>
      </c>
    </row>
    <row r="654" spans="3:18" hidden="1" x14ac:dyDescent="0.2">
      <c r="C654" s="30" t="s">
        <v>611</v>
      </c>
      <c r="D654" s="110" t="s">
        <v>1870</v>
      </c>
      <c r="E654" s="33" t="s">
        <v>46</v>
      </c>
      <c r="F654" s="38"/>
      <c r="G654" s="38"/>
      <c r="H654" s="31"/>
      <c r="I654" s="32"/>
      <c r="J654" s="32"/>
      <c r="K654" s="45" t="s">
        <v>888</v>
      </c>
      <c r="L654" s="129"/>
      <c r="M654" s="33" t="str">
        <f t="shared" si="10"/>
        <v/>
      </c>
      <c r="N654" s="34" t="str">
        <f>IFERROR(IF(Tabela1[[#This Row],[Nome fantasia]]="","",_xlfn.XLOOKUP($C654,Log!D:D,Log!B:B,,,-1)),"")</f>
        <v/>
      </c>
      <c r="O654" s="35" t="str">
        <f>IFERROR(_xlfn.XLOOKUP($C654,Log!D:D,Log!W:W,,,-1),"")</f>
        <v/>
      </c>
      <c r="P654" s="35" t="str">
        <f>IFERROR(_xlfn.XLOOKUP($C654,Log!D:D,Log!Y:Y,,,-1),"")</f>
        <v/>
      </c>
      <c r="Q654" s="130"/>
      <c r="R654" s="131" t="str">
        <f>IFERROR(IF(Tabela1[[#This Row],[Nome fantasia]]="","",_xlfn.XLOOKUP($C654,Log!D:D,Log!X:X,,,-1)),"")</f>
        <v/>
      </c>
    </row>
    <row r="655" spans="3:18" hidden="1" x14ac:dyDescent="0.2">
      <c r="C655" s="30" t="s">
        <v>1871</v>
      </c>
      <c r="D655" s="110" t="s">
        <v>1872</v>
      </c>
      <c r="E655" s="33" t="s">
        <v>46</v>
      </c>
      <c r="F655" s="38"/>
      <c r="G655" s="38"/>
      <c r="H655" s="31"/>
      <c r="I655" s="32"/>
      <c r="J655" s="32"/>
      <c r="K655" s="45" t="s">
        <v>888</v>
      </c>
      <c r="L655" s="129"/>
      <c r="M655" s="33" t="str">
        <f t="shared" si="10"/>
        <v/>
      </c>
      <c r="N655" s="34" t="str">
        <f>IFERROR(IF(Tabela1[[#This Row],[Nome fantasia]]="","",_xlfn.XLOOKUP($C655,Log!D:D,Log!B:B,,,-1)),"")</f>
        <v/>
      </c>
      <c r="O655" s="35" t="str">
        <f>IFERROR(_xlfn.XLOOKUP($C655,Log!D:D,Log!W:W,,,-1),"")</f>
        <v/>
      </c>
      <c r="P655" s="35" t="str">
        <f>IFERROR(_xlfn.XLOOKUP($C655,Log!D:D,Log!Y:Y,,,-1),"")</f>
        <v/>
      </c>
      <c r="Q655" s="130"/>
      <c r="R655" s="131" t="str">
        <f>IFERROR(IF(Tabela1[[#This Row],[Nome fantasia]]="","",_xlfn.XLOOKUP($C655,Log!D:D,Log!X:X,,,-1)),"")</f>
        <v/>
      </c>
    </row>
    <row r="656" spans="3:18" hidden="1" x14ac:dyDescent="0.2">
      <c r="C656" s="30" t="s">
        <v>1873</v>
      </c>
      <c r="D656" s="110" t="s">
        <v>1874</v>
      </c>
      <c r="E656" s="33" t="s">
        <v>22</v>
      </c>
      <c r="F656" s="38"/>
      <c r="G656" s="38"/>
      <c r="H656" s="31"/>
      <c r="I656" s="32"/>
      <c r="J656" s="32"/>
      <c r="K656" s="45" t="s">
        <v>888</v>
      </c>
      <c r="L656" s="129"/>
      <c r="M656" s="33" t="str">
        <f t="shared" si="10"/>
        <v/>
      </c>
      <c r="N656" s="34" t="str">
        <f>IFERROR(IF(Tabela1[[#This Row],[Nome fantasia]]="","",_xlfn.XLOOKUP($C656,Log!D:D,Log!B:B,,,-1)),"")</f>
        <v/>
      </c>
      <c r="O656" s="35" t="str">
        <f>IFERROR(_xlfn.XLOOKUP($C656,Log!D:D,Log!W:W,,,-1),"")</f>
        <v/>
      </c>
      <c r="P656" s="35" t="str">
        <f>IFERROR(_xlfn.XLOOKUP($C656,Log!D:D,Log!Y:Y,,,-1),"")</f>
        <v/>
      </c>
      <c r="Q656" s="130"/>
      <c r="R656" s="131" t="str">
        <f>IFERROR(IF(Tabela1[[#This Row],[Nome fantasia]]="","",_xlfn.XLOOKUP($C656,Log!D:D,Log!X:X,,,-1)),"")</f>
        <v/>
      </c>
    </row>
    <row r="657" spans="3:18" hidden="1" x14ac:dyDescent="0.2">
      <c r="C657" s="30" t="s">
        <v>1875</v>
      </c>
      <c r="D657" s="110" t="s">
        <v>1876</v>
      </c>
      <c r="E657" s="33" t="s">
        <v>46</v>
      </c>
      <c r="F657" s="38"/>
      <c r="G657" s="38"/>
      <c r="H657" s="31"/>
      <c r="I657" s="32"/>
      <c r="J657" s="32"/>
      <c r="K657" s="45" t="s">
        <v>888</v>
      </c>
      <c r="L657" s="129"/>
      <c r="M657" s="33" t="str">
        <f t="shared" si="10"/>
        <v/>
      </c>
      <c r="N657" s="34" t="str">
        <f>IFERROR(IF(Tabela1[[#This Row],[Nome fantasia]]="","",_xlfn.XLOOKUP($C657,Log!D:D,Log!B:B,,,-1)),"")</f>
        <v/>
      </c>
      <c r="O657" s="35" t="str">
        <f>IFERROR(_xlfn.XLOOKUP($C657,Log!D:D,Log!W:W,,,-1),"")</f>
        <v/>
      </c>
      <c r="P657" s="35" t="str">
        <f>IFERROR(_xlfn.XLOOKUP($C657,Log!D:D,Log!Y:Y,,,-1),"")</f>
        <v/>
      </c>
      <c r="Q657" s="130"/>
      <c r="R657" s="131" t="str">
        <f>IFERROR(IF(Tabela1[[#This Row],[Nome fantasia]]="","",_xlfn.XLOOKUP($C657,Log!D:D,Log!X:X,,,-1)),"")</f>
        <v/>
      </c>
    </row>
    <row r="658" spans="3:18" hidden="1" x14ac:dyDescent="0.2">
      <c r="C658" s="30" t="s">
        <v>1877</v>
      </c>
      <c r="D658" s="110" t="s">
        <v>1878</v>
      </c>
      <c r="E658" s="33" t="s">
        <v>46</v>
      </c>
      <c r="F658" s="38"/>
      <c r="G658" s="38"/>
      <c r="H658" s="31"/>
      <c r="I658" s="32"/>
      <c r="J658" s="32"/>
      <c r="K658" s="45" t="s">
        <v>888</v>
      </c>
      <c r="L658" s="129"/>
      <c r="M658" s="33" t="str">
        <f t="shared" si="10"/>
        <v/>
      </c>
      <c r="N658" s="34" t="str">
        <f>IFERROR(IF(Tabela1[[#This Row],[Nome fantasia]]="","",_xlfn.XLOOKUP($C658,Log!D:D,Log!B:B,,,-1)),"")</f>
        <v/>
      </c>
      <c r="O658" s="35" t="str">
        <f>IFERROR(_xlfn.XLOOKUP($C658,Log!D:D,Log!W:W,,,-1),"")</f>
        <v/>
      </c>
      <c r="P658" s="35" t="str">
        <f>IFERROR(_xlfn.XLOOKUP($C658,Log!D:D,Log!Y:Y,,,-1),"")</f>
        <v/>
      </c>
      <c r="Q658" s="130"/>
      <c r="R658" s="131" t="str">
        <f>IFERROR(IF(Tabela1[[#This Row],[Nome fantasia]]="","",_xlfn.XLOOKUP($C658,Log!D:D,Log!X:X,,,-1)),"")</f>
        <v/>
      </c>
    </row>
    <row r="659" spans="3:18" hidden="1" x14ac:dyDescent="0.2">
      <c r="C659" s="30" t="s">
        <v>1879</v>
      </c>
      <c r="D659" s="110" t="s">
        <v>1880</v>
      </c>
      <c r="E659" s="33" t="s">
        <v>46</v>
      </c>
      <c r="F659" s="38"/>
      <c r="G659" s="38"/>
      <c r="H659" s="31"/>
      <c r="I659" s="32"/>
      <c r="J659" s="32"/>
      <c r="K659" s="45" t="s">
        <v>888</v>
      </c>
      <c r="L659" s="129"/>
      <c r="M659" s="33" t="str">
        <f t="shared" si="10"/>
        <v/>
      </c>
      <c r="N659" s="34" t="str">
        <f>IFERROR(IF(Tabela1[[#This Row],[Nome fantasia]]="","",_xlfn.XLOOKUP($C659,Log!D:D,Log!B:B,,,-1)),"")</f>
        <v/>
      </c>
      <c r="O659" s="35" t="str">
        <f>IFERROR(_xlfn.XLOOKUP($C659,Log!D:D,Log!W:W,,,-1),"")</f>
        <v/>
      </c>
      <c r="P659" s="35" t="str">
        <f>IFERROR(_xlfn.XLOOKUP($C659,Log!D:D,Log!Y:Y,,,-1),"")</f>
        <v/>
      </c>
      <c r="Q659" s="130"/>
      <c r="R659" s="131" t="str">
        <f>IFERROR(IF(Tabela1[[#This Row],[Nome fantasia]]="","",_xlfn.XLOOKUP($C659,Log!D:D,Log!X:X,,,-1)),"")</f>
        <v/>
      </c>
    </row>
    <row r="660" spans="3:18" hidden="1" x14ac:dyDescent="0.2">
      <c r="C660" s="30" t="s">
        <v>1881</v>
      </c>
      <c r="D660" s="110" t="s">
        <v>1882</v>
      </c>
      <c r="E660" s="33" t="s">
        <v>22</v>
      </c>
      <c r="F660" s="38"/>
      <c r="G660" s="38"/>
      <c r="H660" s="31"/>
      <c r="I660" s="32"/>
      <c r="J660" s="32"/>
      <c r="K660" s="45" t="s">
        <v>888</v>
      </c>
      <c r="L660" s="129"/>
      <c r="M660" s="33" t="str">
        <f t="shared" si="10"/>
        <v/>
      </c>
      <c r="N660" s="34" t="str">
        <f>IFERROR(IF(Tabela1[[#This Row],[Nome fantasia]]="","",_xlfn.XLOOKUP($C660,Log!D:D,Log!B:B,,,-1)),"")</f>
        <v/>
      </c>
      <c r="O660" s="35" t="str">
        <f>IFERROR(_xlfn.XLOOKUP($C660,Log!D:D,Log!W:W,,,-1),"")</f>
        <v/>
      </c>
      <c r="P660" s="35" t="str">
        <f>IFERROR(_xlfn.XLOOKUP($C660,Log!D:D,Log!Y:Y,,,-1),"")</f>
        <v/>
      </c>
      <c r="Q660" s="130"/>
      <c r="R660" s="131" t="str">
        <f>IFERROR(IF(Tabela1[[#This Row],[Nome fantasia]]="","",_xlfn.XLOOKUP($C660,Log!D:D,Log!X:X,,,-1)),"")</f>
        <v/>
      </c>
    </row>
    <row r="661" spans="3:18" hidden="1" x14ac:dyDescent="0.2">
      <c r="C661" s="30" t="s">
        <v>1883</v>
      </c>
      <c r="D661" s="110" t="s">
        <v>1884</v>
      </c>
      <c r="E661" s="33" t="s">
        <v>46</v>
      </c>
      <c r="F661" s="38"/>
      <c r="G661" s="38"/>
      <c r="H661" s="31"/>
      <c r="I661" s="32"/>
      <c r="J661" s="32"/>
      <c r="K661" s="45" t="s">
        <v>888</v>
      </c>
      <c r="L661" s="129"/>
      <c r="M661" s="33" t="str">
        <f t="shared" si="10"/>
        <v/>
      </c>
      <c r="N661" s="34" t="str">
        <f>IFERROR(IF(Tabela1[[#This Row],[Nome fantasia]]="","",_xlfn.XLOOKUP($C661,Log!D:D,Log!B:B,,,-1)),"")</f>
        <v/>
      </c>
      <c r="O661" s="35" t="str">
        <f>IFERROR(_xlfn.XLOOKUP($C661,Log!D:D,Log!W:W,,,-1),"")</f>
        <v/>
      </c>
      <c r="P661" s="35" t="str">
        <f>IFERROR(_xlfn.XLOOKUP($C661,Log!D:D,Log!Y:Y,,,-1),"")</f>
        <v/>
      </c>
      <c r="Q661" s="130"/>
      <c r="R661" s="131" t="str">
        <f>IFERROR(IF(Tabela1[[#This Row],[Nome fantasia]]="","",_xlfn.XLOOKUP($C661,Log!D:D,Log!X:X,,,-1)),"")</f>
        <v/>
      </c>
    </row>
    <row r="662" spans="3:18" hidden="1" x14ac:dyDescent="0.2">
      <c r="C662" s="30" t="s">
        <v>1885</v>
      </c>
      <c r="D662" s="110" t="s">
        <v>1886</v>
      </c>
      <c r="E662" s="33" t="s">
        <v>17</v>
      </c>
      <c r="F662" s="38"/>
      <c r="G662" s="38"/>
      <c r="H662" s="31"/>
      <c r="I662" s="32"/>
      <c r="J662" s="32"/>
      <c r="K662" s="45" t="s">
        <v>888</v>
      </c>
      <c r="L662" s="129"/>
      <c r="M662" s="33" t="str">
        <f t="shared" si="10"/>
        <v/>
      </c>
      <c r="N662" s="34" t="str">
        <f>IFERROR(IF(Tabela1[[#This Row],[Nome fantasia]]="","",_xlfn.XLOOKUP($C662,Log!D:D,Log!B:B,,,-1)),"")</f>
        <v/>
      </c>
      <c r="O662" s="35" t="str">
        <f>IFERROR(_xlfn.XLOOKUP($C662,Log!D:D,Log!W:W,,,-1),"")</f>
        <v/>
      </c>
      <c r="P662" s="35" t="str">
        <f>IFERROR(_xlfn.XLOOKUP($C662,Log!D:D,Log!Y:Y,,,-1),"")</f>
        <v/>
      </c>
      <c r="Q662" s="130"/>
      <c r="R662" s="131" t="str">
        <f>IFERROR(IF(Tabela1[[#This Row],[Nome fantasia]]="","",_xlfn.XLOOKUP($C662,Log!D:D,Log!X:X,,,-1)),"")</f>
        <v/>
      </c>
    </row>
    <row r="663" spans="3:18" hidden="1" x14ac:dyDescent="0.2">
      <c r="C663" s="30" t="s">
        <v>1887</v>
      </c>
      <c r="D663" s="110" t="s">
        <v>1888</v>
      </c>
      <c r="E663" s="33" t="s">
        <v>22</v>
      </c>
      <c r="F663" s="38"/>
      <c r="G663" s="38"/>
      <c r="H663" s="31"/>
      <c r="I663" s="32"/>
      <c r="J663" s="32"/>
      <c r="K663" s="45" t="s">
        <v>888</v>
      </c>
      <c r="L663" s="129"/>
      <c r="M663" s="33" t="str">
        <f t="shared" si="10"/>
        <v/>
      </c>
      <c r="N663" s="34" t="str">
        <f>IFERROR(IF(Tabela1[[#This Row],[Nome fantasia]]="","",_xlfn.XLOOKUP($C663,Log!D:D,Log!B:B,,,-1)),"")</f>
        <v/>
      </c>
      <c r="O663" s="35" t="str">
        <f>IFERROR(_xlfn.XLOOKUP($C663,Log!D:D,Log!W:W,,,-1),"")</f>
        <v/>
      </c>
      <c r="P663" s="35" t="str">
        <f>IFERROR(_xlfn.XLOOKUP($C663,Log!D:D,Log!Y:Y,,,-1),"")</f>
        <v/>
      </c>
      <c r="Q663" s="130"/>
      <c r="R663" s="131" t="str">
        <f>IFERROR(IF(Tabela1[[#This Row],[Nome fantasia]]="","",_xlfn.XLOOKUP($C663,Log!D:D,Log!X:X,,,-1)),"")</f>
        <v/>
      </c>
    </row>
    <row r="664" spans="3:18" hidden="1" x14ac:dyDescent="0.2">
      <c r="C664" s="30" t="s">
        <v>1889</v>
      </c>
      <c r="D664" s="110" t="s">
        <v>1890</v>
      </c>
      <c r="E664" s="33" t="s">
        <v>22</v>
      </c>
      <c r="F664" s="38"/>
      <c r="G664" s="38"/>
      <c r="H664" s="31"/>
      <c r="I664" s="32"/>
      <c r="J664" s="32"/>
      <c r="K664" s="45" t="s">
        <v>888</v>
      </c>
      <c r="L664" s="129"/>
      <c r="M664" s="33" t="str">
        <f t="shared" si="10"/>
        <v/>
      </c>
      <c r="N664" s="34" t="str">
        <f>IFERROR(IF(Tabela1[[#This Row],[Nome fantasia]]="","",_xlfn.XLOOKUP($C664,Log!D:D,Log!B:B,,,-1)),"")</f>
        <v/>
      </c>
      <c r="O664" s="35" t="str">
        <f>IFERROR(_xlfn.XLOOKUP($C664,Log!D:D,Log!W:W,,,-1),"")</f>
        <v/>
      </c>
      <c r="P664" s="35" t="str">
        <f>IFERROR(_xlfn.XLOOKUP($C664,Log!D:D,Log!Y:Y,,,-1),"")</f>
        <v/>
      </c>
      <c r="Q664" s="130"/>
      <c r="R664" s="131" t="str">
        <f>IFERROR(IF(Tabela1[[#This Row],[Nome fantasia]]="","",_xlfn.XLOOKUP($C664,Log!D:D,Log!X:X,,,-1)),"")</f>
        <v/>
      </c>
    </row>
    <row r="665" spans="3:18" hidden="1" x14ac:dyDescent="0.2">
      <c r="C665" s="30" t="s">
        <v>1891</v>
      </c>
      <c r="D665" s="110" t="s">
        <v>1892</v>
      </c>
      <c r="E665" s="33" t="s">
        <v>46</v>
      </c>
      <c r="F665" s="38"/>
      <c r="G665" s="38"/>
      <c r="H665" s="31"/>
      <c r="I665" s="32"/>
      <c r="J665" s="32"/>
      <c r="K665" s="45" t="s">
        <v>888</v>
      </c>
      <c r="L665" s="129"/>
      <c r="M665" s="33" t="str">
        <f t="shared" si="10"/>
        <v/>
      </c>
      <c r="N665" s="34" t="str">
        <f>IFERROR(IF(Tabela1[[#This Row],[Nome fantasia]]="","",_xlfn.XLOOKUP($C665,Log!D:D,Log!B:B,,,-1)),"")</f>
        <v/>
      </c>
      <c r="O665" s="35" t="str">
        <f>IFERROR(_xlfn.XLOOKUP($C665,Log!D:D,Log!W:W,,,-1),"")</f>
        <v/>
      </c>
      <c r="P665" s="35" t="str">
        <f>IFERROR(_xlfn.XLOOKUP($C665,Log!D:D,Log!Y:Y,,,-1),"")</f>
        <v/>
      </c>
      <c r="Q665" s="130"/>
      <c r="R665" s="131" t="str">
        <f>IFERROR(IF(Tabela1[[#This Row],[Nome fantasia]]="","",_xlfn.XLOOKUP($C665,Log!D:D,Log!X:X,,,-1)),"")</f>
        <v/>
      </c>
    </row>
    <row r="666" spans="3:18" hidden="1" x14ac:dyDescent="0.2">
      <c r="C666" s="30" t="s">
        <v>1893</v>
      </c>
      <c r="D666" s="110" t="s">
        <v>1894</v>
      </c>
      <c r="E666" s="33" t="s">
        <v>46</v>
      </c>
      <c r="F666" s="38"/>
      <c r="G666" s="38"/>
      <c r="H666" s="31"/>
      <c r="I666" s="32"/>
      <c r="J666" s="32"/>
      <c r="K666" s="45" t="s">
        <v>888</v>
      </c>
      <c r="L666" s="129"/>
      <c r="M666" s="33" t="str">
        <f t="shared" si="10"/>
        <v/>
      </c>
      <c r="N666" s="34" t="str">
        <f>IFERROR(IF(Tabela1[[#This Row],[Nome fantasia]]="","",_xlfn.XLOOKUP($C666,Log!D:D,Log!B:B,,,-1)),"")</f>
        <v/>
      </c>
      <c r="O666" s="35" t="str">
        <f>IFERROR(_xlfn.XLOOKUP($C666,Log!D:D,Log!W:W,,,-1),"")</f>
        <v/>
      </c>
      <c r="P666" s="35" t="str">
        <f>IFERROR(_xlfn.XLOOKUP($C666,Log!D:D,Log!Y:Y,,,-1),"")</f>
        <v/>
      </c>
      <c r="Q666" s="130"/>
      <c r="R666" s="131" t="str">
        <f>IFERROR(IF(Tabela1[[#This Row],[Nome fantasia]]="","",_xlfn.XLOOKUP($C666,Log!D:D,Log!X:X,,,-1)),"")</f>
        <v/>
      </c>
    </row>
    <row r="667" spans="3:18" hidden="1" x14ac:dyDescent="0.2">
      <c r="C667" s="30" t="s">
        <v>1895</v>
      </c>
      <c r="D667" s="110" t="s">
        <v>1896</v>
      </c>
      <c r="E667" s="33" t="s">
        <v>22</v>
      </c>
      <c r="F667" s="38"/>
      <c r="G667" s="38"/>
      <c r="H667" s="31"/>
      <c r="I667" s="32"/>
      <c r="J667" s="32"/>
      <c r="K667" s="45" t="s">
        <v>888</v>
      </c>
      <c r="L667" s="129"/>
      <c r="M667" s="33" t="str">
        <f t="shared" si="10"/>
        <v/>
      </c>
      <c r="N667" s="34" t="str">
        <f>IFERROR(IF(Tabela1[[#This Row],[Nome fantasia]]="","",_xlfn.XLOOKUP($C667,Log!D:D,Log!B:B,,,-1)),"")</f>
        <v/>
      </c>
      <c r="O667" s="35" t="str">
        <f>IFERROR(_xlfn.XLOOKUP($C667,Log!D:D,Log!W:W,,,-1),"")</f>
        <v/>
      </c>
      <c r="P667" s="35" t="str">
        <f>IFERROR(_xlfn.XLOOKUP($C667,Log!D:D,Log!Y:Y,,,-1),"")</f>
        <v/>
      </c>
      <c r="Q667" s="130"/>
      <c r="R667" s="131" t="str">
        <f>IFERROR(IF(Tabela1[[#This Row],[Nome fantasia]]="","",_xlfn.XLOOKUP($C667,Log!D:D,Log!X:X,,,-1)),"")</f>
        <v/>
      </c>
    </row>
    <row r="668" spans="3:18" hidden="1" x14ac:dyDescent="0.2">
      <c r="C668" s="30" t="s">
        <v>1897</v>
      </c>
      <c r="D668" s="110" t="s">
        <v>1898</v>
      </c>
      <c r="E668" s="33" t="s">
        <v>17</v>
      </c>
      <c r="F668" s="38"/>
      <c r="G668" s="38"/>
      <c r="H668" s="31"/>
      <c r="I668" s="32"/>
      <c r="J668" s="32"/>
      <c r="K668" s="45" t="s">
        <v>888</v>
      </c>
      <c r="L668" s="129"/>
      <c r="M668" s="33" t="str">
        <f t="shared" si="10"/>
        <v/>
      </c>
      <c r="N668" s="34" t="str">
        <f>IFERROR(IF(Tabela1[[#This Row],[Nome fantasia]]="","",_xlfn.XLOOKUP($C668,Log!D:D,Log!B:B,,,-1)),"")</f>
        <v/>
      </c>
      <c r="O668" s="35" t="str">
        <f>IFERROR(_xlfn.XLOOKUP($C668,Log!D:D,Log!W:W,,,-1),"")</f>
        <v/>
      </c>
      <c r="P668" s="35" t="str">
        <f>IFERROR(_xlfn.XLOOKUP($C668,Log!D:D,Log!Y:Y,,,-1),"")</f>
        <v/>
      </c>
      <c r="Q668" s="130"/>
      <c r="R668" s="131" t="str">
        <f>IFERROR(IF(Tabela1[[#This Row],[Nome fantasia]]="","",_xlfn.XLOOKUP($C668,Log!D:D,Log!X:X,,,-1)),"")</f>
        <v/>
      </c>
    </row>
    <row r="669" spans="3:18" hidden="1" x14ac:dyDescent="0.2">
      <c r="C669" s="30" t="s">
        <v>1899</v>
      </c>
      <c r="D669" s="110" t="s">
        <v>1900</v>
      </c>
      <c r="E669" s="33" t="s">
        <v>46</v>
      </c>
      <c r="F669" s="38"/>
      <c r="G669" s="38"/>
      <c r="H669" s="31"/>
      <c r="I669" s="32"/>
      <c r="J669" s="32"/>
      <c r="K669" s="45" t="s">
        <v>888</v>
      </c>
      <c r="L669" s="129"/>
      <c r="M669" s="33" t="str">
        <f t="shared" si="10"/>
        <v/>
      </c>
      <c r="N669" s="34" t="str">
        <f>IFERROR(IF(Tabela1[[#This Row],[Nome fantasia]]="","",_xlfn.XLOOKUP($C669,Log!D:D,Log!B:B,,,-1)),"")</f>
        <v/>
      </c>
      <c r="O669" s="35" t="str">
        <f>IFERROR(_xlfn.XLOOKUP($C669,Log!D:D,Log!W:W,,,-1),"")</f>
        <v/>
      </c>
      <c r="P669" s="35" t="str">
        <f>IFERROR(_xlfn.XLOOKUP($C669,Log!D:D,Log!Y:Y,,,-1),"")</f>
        <v/>
      </c>
      <c r="Q669" s="130"/>
      <c r="R669" s="131" t="str">
        <f>IFERROR(IF(Tabela1[[#This Row],[Nome fantasia]]="","",_xlfn.XLOOKUP($C669,Log!D:D,Log!X:X,,,-1)),"")</f>
        <v/>
      </c>
    </row>
    <row r="670" spans="3:18" hidden="1" x14ac:dyDescent="0.2">
      <c r="C670" s="30" t="s">
        <v>1901</v>
      </c>
      <c r="D670" s="110" t="s">
        <v>1902</v>
      </c>
      <c r="E670" s="33" t="s">
        <v>17</v>
      </c>
      <c r="F670" s="38"/>
      <c r="G670" s="38"/>
      <c r="H670" s="31"/>
      <c r="I670" s="32"/>
      <c r="J670" s="32"/>
      <c r="K670" s="45" t="s">
        <v>888</v>
      </c>
      <c r="L670" s="129"/>
      <c r="M670" s="33" t="str">
        <f t="shared" si="10"/>
        <v/>
      </c>
      <c r="N670" s="34" t="str">
        <f>IFERROR(IF(Tabela1[[#This Row],[Nome fantasia]]="","",_xlfn.XLOOKUP($C670,Log!D:D,Log!B:B,,,-1)),"")</f>
        <v/>
      </c>
      <c r="O670" s="35" t="str">
        <f>IFERROR(_xlfn.XLOOKUP($C670,Log!D:D,Log!W:W,,,-1),"")</f>
        <v/>
      </c>
      <c r="P670" s="35" t="str">
        <f>IFERROR(_xlfn.XLOOKUP($C670,Log!D:D,Log!Y:Y,,,-1),"")</f>
        <v/>
      </c>
      <c r="Q670" s="130"/>
      <c r="R670" s="131" t="str">
        <f>IFERROR(IF(Tabela1[[#This Row],[Nome fantasia]]="","",_xlfn.XLOOKUP($C670,Log!D:D,Log!X:X,,,-1)),"")</f>
        <v/>
      </c>
    </row>
    <row r="671" spans="3:18" hidden="1" x14ac:dyDescent="0.2">
      <c r="C671" s="30" t="s">
        <v>1903</v>
      </c>
      <c r="D671" s="110" t="s">
        <v>1904</v>
      </c>
      <c r="E671" s="33" t="s">
        <v>46</v>
      </c>
      <c r="F671" s="38"/>
      <c r="G671" s="38"/>
      <c r="H671" s="31"/>
      <c r="I671" s="32"/>
      <c r="J671" s="32"/>
      <c r="K671" s="45" t="s">
        <v>888</v>
      </c>
      <c r="L671" s="129"/>
      <c r="M671" s="33" t="str">
        <f t="shared" si="10"/>
        <v/>
      </c>
      <c r="N671" s="34" t="str">
        <f>IFERROR(IF(Tabela1[[#This Row],[Nome fantasia]]="","",_xlfn.XLOOKUP($C671,Log!D:D,Log!B:B,,,-1)),"")</f>
        <v/>
      </c>
      <c r="O671" s="35" t="str">
        <f>IFERROR(_xlfn.XLOOKUP($C671,Log!D:D,Log!W:W,,,-1),"")</f>
        <v/>
      </c>
      <c r="P671" s="35" t="str">
        <f>IFERROR(_xlfn.XLOOKUP($C671,Log!D:D,Log!Y:Y,,,-1),"")</f>
        <v/>
      </c>
      <c r="Q671" s="130"/>
      <c r="R671" s="131" t="str">
        <f>IFERROR(IF(Tabela1[[#This Row],[Nome fantasia]]="","",_xlfn.XLOOKUP($C671,Log!D:D,Log!X:X,,,-1)),"")</f>
        <v/>
      </c>
    </row>
    <row r="672" spans="3:18" hidden="1" x14ac:dyDescent="0.2">
      <c r="C672" s="30" t="s">
        <v>1905</v>
      </c>
      <c r="D672" s="110" t="s">
        <v>1906</v>
      </c>
      <c r="E672" s="33" t="s">
        <v>46</v>
      </c>
      <c r="F672" s="38"/>
      <c r="G672" s="38"/>
      <c r="H672" s="31"/>
      <c r="I672" s="32"/>
      <c r="J672" s="32"/>
      <c r="K672" s="45" t="s">
        <v>888</v>
      </c>
      <c r="L672" s="129"/>
      <c r="M672" s="33" t="str">
        <f t="shared" si="10"/>
        <v/>
      </c>
      <c r="N672" s="34" t="str">
        <f>IFERROR(IF(Tabela1[[#This Row],[Nome fantasia]]="","",_xlfn.XLOOKUP($C672,Log!D:D,Log!B:B,,,-1)),"")</f>
        <v/>
      </c>
      <c r="O672" s="35" t="str">
        <f>IFERROR(_xlfn.XLOOKUP($C672,Log!D:D,Log!W:W,,,-1),"")</f>
        <v/>
      </c>
      <c r="P672" s="35" t="str">
        <f>IFERROR(_xlfn.XLOOKUP($C672,Log!D:D,Log!Y:Y,,,-1),"")</f>
        <v/>
      </c>
      <c r="Q672" s="130"/>
      <c r="R672" s="131" t="str">
        <f>IFERROR(IF(Tabela1[[#This Row],[Nome fantasia]]="","",_xlfn.XLOOKUP($C672,Log!D:D,Log!X:X,,,-1)),"")</f>
        <v/>
      </c>
    </row>
    <row r="673" spans="3:18" hidden="1" x14ac:dyDescent="0.2">
      <c r="C673" s="30" t="s">
        <v>221</v>
      </c>
      <c r="D673" s="110" t="s">
        <v>1327</v>
      </c>
      <c r="E673" s="33" t="s">
        <v>22</v>
      </c>
      <c r="F673" s="38"/>
      <c r="G673" s="38"/>
      <c r="H673" s="31"/>
      <c r="I673" s="32"/>
      <c r="J673" s="32"/>
      <c r="K673" s="45" t="s">
        <v>888</v>
      </c>
      <c r="L673" s="129"/>
      <c r="M673" s="33" t="str">
        <f t="shared" si="10"/>
        <v/>
      </c>
      <c r="N673" s="34">
        <f>IFERROR(IF(Tabela1[[#This Row],[Nome fantasia]]="","",_xlfn.XLOOKUP($C673,Log!D:D,Log!B:B,,,-1)),"")</f>
        <v>45937</v>
      </c>
      <c r="O673" s="35">
        <f>IFERROR(_xlfn.XLOOKUP($C673,Log!D:D,Log!W:W,,,-1),"")</f>
        <v>0</v>
      </c>
      <c r="P673" s="35">
        <f>IFERROR(_xlfn.XLOOKUP($C673,Log!D:D,Log!Y:Y,,,-1),"")</f>
        <v>0</v>
      </c>
      <c r="Q673" s="130"/>
      <c r="R673" s="131" t="str">
        <f>IFERROR(IF(Tabela1[[#This Row],[Nome fantasia]]="","",_xlfn.XLOOKUP($C673,Log!D:D,Log!X:X,,,-1)),"")</f>
        <v/>
      </c>
    </row>
    <row r="674" spans="3:18" hidden="1" x14ac:dyDescent="0.2">
      <c r="C674" s="30" t="s">
        <v>1907</v>
      </c>
      <c r="D674" s="110" t="s">
        <v>1908</v>
      </c>
      <c r="E674" s="33" t="s">
        <v>17</v>
      </c>
      <c r="F674" s="38"/>
      <c r="G674" s="38"/>
      <c r="H674" s="31"/>
      <c r="I674" s="32"/>
      <c r="J674" s="32"/>
      <c r="K674" s="45" t="s">
        <v>888</v>
      </c>
      <c r="L674" s="129"/>
      <c r="M674" s="33" t="str">
        <f t="shared" si="10"/>
        <v/>
      </c>
      <c r="N674" s="34" t="str">
        <f>IFERROR(IF(Tabela1[[#This Row],[Nome fantasia]]="","",_xlfn.XLOOKUP($C674,Log!D:D,Log!B:B,,,-1)),"")</f>
        <v/>
      </c>
      <c r="O674" s="35" t="str">
        <f>IFERROR(_xlfn.XLOOKUP($C674,Log!D:D,Log!W:W,,,-1),"")</f>
        <v/>
      </c>
      <c r="P674" s="35" t="str">
        <f>IFERROR(_xlfn.XLOOKUP($C674,Log!D:D,Log!Y:Y,,,-1),"")</f>
        <v/>
      </c>
      <c r="Q674" s="130"/>
      <c r="R674" s="131" t="str">
        <f>IFERROR(IF(Tabela1[[#This Row],[Nome fantasia]]="","",_xlfn.XLOOKUP($C674,Log!D:D,Log!X:X,,,-1)),"")</f>
        <v/>
      </c>
    </row>
    <row r="675" spans="3:18" hidden="1" x14ac:dyDescent="0.2">
      <c r="C675" s="30" t="s">
        <v>1909</v>
      </c>
      <c r="D675" s="110" t="s">
        <v>1910</v>
      </c>
      <c r="E675" s="33" t="s">
        <v>17</v>
      </c>
      <c r="F675" s="38"/>
      <c r="G675" s="38"/>
      <c r="H675" s="31"/>
      <c r="I675" s="32"/>
      <c r="J675" s="32"/>
      <c r="K675" s="45" t="s">
        <v>888</v>
      </c>
      <c r="L675" s="129"/>
      <c r="M675" s="33" t="str">
        <f t="shared" si="10"/>
        <v/>
      </c>
      <c r="N675" s="34" t="str">
        <f>IFERROR(IF(Tabela1[[#This Row],[Nome fantasia]]="","",_xlfn.XLOOKUP($C675,Log!D:D,Log!B:B,,,-1)),"")</f>
        <v/>
      </c>
      <c r="O675" s="35" t="str">
        <f>IFERROR(_xlfn.XLOOKUP($C675,Log!D:D,Log!W:W,,,-1),"")</f>
        <v/>
      </c>
      <c r="P675" s="35" t="str">
        <f>IFERROR(_xlfn.XLOOKUP($C675,Log!D:D,Log!Y:Y,,,-1),"")</f>
        <v/>
      </c>
      <c r="Q675" s="130"/>
      <c r="R675" s="131" t="str">
        <f>IFERROR(IF(Tabela1[[#This Row],[Nome fantasia]]="","",_xlfn.XLOOKUP($C675,Log!D:D,Log!X:X,,,-1)),"")</f>
        <v/>
      </c>
    </row>
    <row r="676" spans="3:18" hidden="1" x14ac:dyDescent="0.2">
      <c r="C676" s="30" t="s">
        <v>1911</v>
      </c>
      <c r="D676" s="110" t="s">
        <v>1912</v>
      </c>
      <c r="E676" s="33" t="s">
        <v>17</v>
      </c>
      <c r="F676" s="38"/>
      <c r="G676" s="38"/>
      <c r="H676" s="31"/>
      <c r="I676" s="32"/>
      <c r="J676" s="32"/>
      <c r="K676" s="45" t="s">
        <v>888</v>
      </c>
      <c r="L676" s="129"/>
      <c r="M676" s="33" t="str">
        <f t="shared" si="10"/>
        <v/>
      </c>
      <c r="N676" s="34" t="str">
        <f>IFERROR(IF(Tabela1[[#This Row],[Nome fantasia]]="","",_xlfn.XLOOKUP($C676,Log!D:D,Log!B:B,,,-1)),"")</f>
        <v/>
      </c>
      <c r="O676" s="35" t="str">
        <f>IFERROR(_xlfn.XLOOKUP($C676,Log!D:D,Log!W:W,,,-1),"")</f>
        <v/>
      </c>
      <c r="P676" s="35" t="str">
        <f>IFERROR(_xlfn.XLOOKUP($C676,Log!D:D,Log!Y:Y,,,-1),"")</f>
        <v/>
      </c>
      <c r="Q676" s="130"/>
      <c r="R676" s="131" t="str">
        <f>IFERROR(IF(Tabela1[[#This Row],[Nome fantasia]]="","",_xlfn.XLOOKUP($C676,Log!D:D,Log!X:X,,,-1)),"")</f>
        <v/>
      </c>
    </row>
    <row r="677" spans="3:18" hidden="1" x14ac:dyDescent="0.2">
      <c r="C677" s="30" t="s">
        <v>1913</v>
      </c>
      <c r="D677" s="110" t="s">
        <v>1914</v>
      </c>
      <c r="E677" s="33" t="s">
        <v>17</v>
      </c>
      <c r="F677" s="38"/>
      <c r="G677" s="38"/>
      <c r="H677" s="31"/>
      <c r="I677" s="32"/>
      <c r="J677" s="32"/>
      <c r="K677" s="45" t="s">
        <v>888</v>
      </c>
      <c r="L677" s="129"/>
      <c r="M677" s="33" t="str">
        <f t="shared" si="10"/>
        <v/>
      </c>
      <c r="N677" s="34" t="str">
        <f>IFERROR(IF(Tabela1[[#This Row],[Nome fantasia]]="","",_xlfn.XLOOKUP($C677,Log!D:D,Log!B:B,,,-1)),"")</f>
        <v/>
      </c>
      <c r="O677" s="35" t="str">
        <f>IFERROR(_xlfn.XLOOKUP($C677,Log!D:D,Log!W:W,,,-1),"")</f>
        <v/>
      </c>
      <c r="P677" s="35" t="str">
        <f>IFERROR(_xlfn.XLOOKUP($C677,Log!D:D,Log!Y:Y,,,-1),"")</f>
        <v/>
      </c>
      <c r="Q677" s="130"/>
      <c r="R677" s="131" t="str">
        <f>IFERROR(IF(Tabela1[[#This Row],[Nome fantasia]]="","",_xlfn.XLOOKUP($C677,Log!D:D,Log!X:X,,,-1)),"")</f>
        <v/>
      </c>
    </row>
    <row r="678" spans="3:18" hidden="1" x14ac:dyDescent="0.2">
      <c r="C678" s="30" t="s">
        <v>1915</v>
      </c>
      <c r="D678" s="110" t="s">
        <v>1916</v>
      </c>
      <c r="E678" s="33" t="s">
        <v>17</v>
      </c>
      <c r="F678" s="38"/>
      <c r="G678" s="38"/>
      <c r="H678" s="31"/>
      <c r="I678" s="32"/>
      <c r="J678" s="32"/>
      <c r="K678" s="45" t="s">
        <v>888</v>
      </c>
      <c r="L678" s="129"/>
      <c r="M678" s="33" t="str">
        <f t="shared" si="10"/>
        <v/>
      </c>
      <c r="N678" s="34" t="str">
        <f>IFERROR(IF(Tabela1[[#This Row],[Nome fantasia]]="","",_xlfn.XLOOKUP($C678,Log!D:D,Log!B:B,,,-1)),"")</f>
        <v/>
      </c>
      <c r="O678" s="35" t="str">
        <f>IFERROR(_xlfn.XLOOKUP($C678,Log!D:D,Log!W:W,,,-1),"")</f>
        <v/>
      </c>
      <c r="P678" s="35" t="str">
        <f>IFERROR(_xlfn.XLOOKUP($C678,Log!D:D,Log!Y:Y,,,-1),"")</f>
        <v/>
      </c>
      <c r="Q678" s="130"/>
      <c r="R678" s="131" t="str">
        <f>IFERROR(IF(Tabela1[[#This Row],[Nome fantasia]]="","",_xlfn.XLOOKUP($C678,Log!D:D,Log!X:X,,,-1)),"")</f>
        <v/>
      </c>
    </row>
    <row r="679" spans="3:18" hidden="1" x14ac:dyDescent="0.2">
      <c r="C679" s="30" t="s">
        <v>1917</v>
      </c>
      <c r="D679" s="110" t="s">
        <v>1918</v>
      </c>
      <c r="E679" s="33" t="s">
        <v>46</v>
      </c>
      <c r="F679" s="38"/>
      <c r="G679" s="38"/>
      <c r="H679" s="31"/>
      <c r="I679" s="32"/>
      <c r="J679" s="32"/>
      <c r="K679" s="45" t="s">
        <v>888</v>
      </c>
      <c r="L679" s="129"/>
      <c r="M679" s="33" t="str">
        <f t="shared" si="10"/>
        <v/>
      </c>
      <c r="N679" s="34" t="str">
        <f>IFERROR(IF(Tabela1[[#This Row],[Nome fantasia]]="","",_xlfn.XLOOKUP($C679,Log!D:D,Log!B:B,,,-1)),"")</f>
        <v/>
      </c>
      <c r="O679" s="35" t="str">
        <f>IFERROR(_xlfn.XLOOKUP($C679,Log!D:D,Log!W:W,,,-1),"")</f>
        <v/>
      </c>
      <c r="P679" s="35" t="str">
        <f>IFERROR(_xlfn.XLOOKUP($C679,Log!D:D,Log!Y:Y,,,-1),"")</f>
        <v/>
      </c>
      <c r="Q679" s="130"/>
      <c r="R679" s="131" t="str">
        <f>IFERROR(IF(Tabela1[[#This Row],[Nome fantasia]]="","",_xlfn.XLOOKUP($C679,Log!D:D,Log!X:X,,,-1)),"")</f>
        <v/>
      </c>
    </row>
    <row r="680" spans="3:18" hidden="1" x14ac:dyDescent="0.2">
      <c r="C680" s="30" t="s">
        <v>1919</v>
      </c>
      <c r="D680" s="110" t="s">
        <v>1920</v>
      </c>
      <c r="E680" s="33" t="s">
        <v>17</v>
      </c>
      <c r="F680" s="38"/>
      <c r="G680" s="38"/>
      <c r="H680" s="31"/>
      <c r="I680" s="32"/>
      <c r="J680" s="32"/>
      <c r="K680" s="45" t="s">
        <v>888</v>
      </c>
      <c r="L680" s="129"/>
      <c r="M680" s="33" t="str">
        <f t="shared" si="10"/>
        <v/>
      </c>
      <c r="N680" s="34" t="str">
        <f>IFERROR(IF(Tabela1[[#This Row],[Nome fantasia]]="","",_xlfn.XLOOKUP($C680,Log!D:D,Log!B:B,,,-1)),"")</f>
        <v/>
      </c>
      <c r="O680" s="35" t="str">
        <f>IFERROR(_xlfn.XLOOKUP($C680,Log!D:D,Log!W:W,,,-1),"")</f>
        <v/>
      </c>
      <c r="P680" s="35" t="str">
        <f>IFERROR(_xlfn.XLOOKUP($C680,Log!D:D,Log!Y:Y,,,-1),"")</f>
        <v/>
      </c>
      <c r="Q680" s="130"/>
      <c r="R680" s="131" t="str">
        <f>IFERROR(IF(Tabela1[[#This Row],[Nome fantasia]]="","",_xlfn.XLOOKUP($C680,Log!D:D,Log!X:X,,,-1)),"")</f>
        <v/>
      </c>
    </row>
    <row r="681" spans="3:18" hidden="1" x14ac:dyDescent="0.2">
      <c r="C681" s="30" t="s">
        <v>1921</v>
      </c>
      <c r="D681" s="110" t="s">
        <v>1922</v>
      </c>
      <c r="E681" s="33" t="s">
        <v>22</v>
      </c>
      <c r="F681" s="38"/>
      <c r="G681" s="38"/>
      <c r="H681" s="31"/>
      <c r="I681" s="32"/>
      <c r="J681" s="32"/>
      <c r="K681" s="45" t="s">
        <v>888</v>
      </c>
      <c r="L681" s="129"/>
      <c r="M681" s="33" t="str">
        <f t="shared" si="10"/>
        <v/>
      </c>
      <c r="N681" s="34" t="str">
        <f>IFERROR(IF(Tabela1[[#This Row],[Nome fantasia]]="","",_xlfn.XLOOKUP($C681,Log!D:D,Log!B:B,,,-1)),"")</f>
        <v/>
      </c>
      <c r="O681" s="35" t="str">
        <f>IFERROR(_xlfn.XLOOKUP($C681,Log!D:D,Log!W:W,,,-1),"")</f>
        <v/>
      </c>
      <c r="P681" s="35" t="str">
        <f>IFERROR(_xlfn.XLOOKUP($C681,Log!D:D,Log!Y:Y,,,-1),"")</f>
        <v/>
      </c>
      <c r="Q681" s="130"/>
      <c r="R681" s="131" t="str">
        <f>IFERROR(IF(Tabela1[[#This Row],[Nome fantasia]]="","",_xlfn.XLOOKUP($C681,Log!D:D,Log!X:X,,,-1)),"")</f>
        <v/>
      </c>
    </row>
    <row r="682" spans="3:18" hidden="1" x14ac:dyDescent="0.2">
      <c r="C682" s="30" t="s">
        <v>709</v>
      </c>
      <c r="D682" s="110" t="s">
        <v>1923</v>
      </c>
      <c r="E682" s="33" t="s">
        <v>17</v>
      </c>
      <c r="F682" s="38"/>
      <c r="G682" s="38"/>
      <c r="H682" s="31"/>
      <c r="I682" s="32"/>
      <c r="J682" s="32"/>
      <c r="K682" s="45" t="s">
        <v>888</v>
      </c>
      <c r="L682" s="129"/>
      <c r="M682" s="33" t="str">
        <f t="shared" si="10"/>
        <v/>
      </c>
      <c r="N682" s="34" t="str">
        <f>IFERROR(IF(Tabela1[[#This Row],[Nome fantasia]]="","",_xlfn.XLOOKUP($C682,Log!D:D,Log!B:B,,,-1)),"")</f>
        <v/>
      </c>
      <c r="O682" s="35" t="str">
        <f>IFERROR(_xlfn.XLOOKUP($C682,Log!D:D,Log!W:W,,,-1),"")</f>
        <v/>
      </c>
      <c r="P682" s="35" t="str">
        <f>IFERROR(_xlfn.XLOOKUP($C682,Log!D:D,Log!Y:Y,,,-1),"")</f>
        <v/>
      </c>
      <c r="Q682" s="130"/>
      <c r="R682" s="131" t="str">
        <f>IFERROR(IF(Tabela1[[#This Row],[Nome fantasia]]="","",_xlfn.XLOOKUP($C682,Log!D:D,Log!X:X,,,-1)),"")</f>
        <v/>
      </c>
    </row>
    <row r="683" spans="3:18" hidden="1" x14ac:dyDescent="0.2">
      <c r="C683" s="30" t="s">
        <v>1924</v>
      </c>
      <c r="D683" s="110" t="s">
        <v>1925</v>
      </c>
      <c r="E683" s="33" t="s">
        <v>17</v>
      </c>
      <c r="F683" s="38"/>
      <c r="G683" s="38"/>
      <c r="H683" s="31"/>
      <c r="I683" s="32"/>
      <c r="J683" s="32"/>
      <c r="K683" s="45" t="s">
        <v>888</v>
      </c>
      <c r="L683" s="129"/>
      <c r="M683" s="33" t="str">
        <f t="shared" si="10"/>
        <v/>
      </c>
      <c r="N683" s="34" t="str">
        <f>IFERROR(IF(Tabela1[[#This Row],[Nome fantasia]]="","",_xlfn.XLOOKUP($C683,Log!D:D,Log!B:B,,,-1)),"")</f>
        <v/>
      </c>
      <c r="O683" s="35" t="str">
        <f>IFERROR(_xlfn.XLOOKUP($C683,Log!D:D,Log!W:W,,,-1),"")</f>
        <v/>
      </c>
      <c r="P683" s="35" t="str">
        <f>IFERROR(_xlfn.XLOOKUP($C683,Log!D:D,Log!Y:Y,,,-1),"")</f>
        <v/>
      </c>
      <c r="Q683" s="130"/>
      <c r="R683" s="131" t="str">
        <f>IFERROR(IF(Tabela1[[#This Row],[Nome fantasia]]="","",_xlfn.XLOOKUP($C683,Log!D:D,Log!X:X,,,-1)),"")</f>
        <v/>
      </c>
    </row>
    <row r="684" spans="3:18" hidden="1" x14ac:dyDescent="0.2">
      <c r="C684" s="30" t="s">
        <v>1909</v>
      </c>
      <c r="D684" s="110" t="s">
        <v>1927</v>
      </c>
      <c r="E684" s="33" t="s">
        <v>46</v>
      </c>
      <c r="F684" s="38"/>
      <c r="G684" s="38"/>
      <c r="H684" s="31"/>
      <c r="I684" s="32"/>
      <c r="J684" s="32"/>
      <c r="K684" s="45" t="s">
        <v>888</v>
      </c>
      <c r="L684" s="129"/>
      <c r="M684" s="33" t="str">
        <f t="shared" si="10"/>
        <v/>
      </c>
      <c r="N684" s="34" t="str">
        <f>IFERROR(IF(Tabela1[[#This Row],[Nome fantasia]]="","",_xlfn.XLOOKUP($C684,Log!D:D,Log!B:B,,,-1)),"")</f>
        <v/>
      </c>
      <c r="O684" s="35" t="str">
        <f>IFERROR(_xlfn.XLOOKUP($C684,Log!D:D,Log!W:W,,,-1),"")</f>
        <v/>
      </c>
      <c r="P684" s="35" t="str">
        <f>IFERROR(_xlfn.XLOOKUP($C684,Log!D:D,Log!Y:Y,,,-1),"")</f>
        <v/>
      </c>
      <c r="Q684" s="130"/>
      <c r="R684" s="131" t="str">
        <f>IFERROR(IF(Tabela1[[#This Row],[Nome fantasia]]="","",_xlfn.XLOOKUP($C684,Log!D:D,Log!X:X,,,-1)),"")</f>
        <v/>
      </c>
    </row>
    <row r="685" spans="3:18" hidden="1" x14ac:dyDescent="0.2">
      <c r="C685" s="30" t="s">
        <v>709</v>
      </c>
      <c r="D685" s="110" t="s">
        <v>1928</v>
      </c>
      <c r="E685" s="33" t="s">
        <v>46</v>
      </c>
      <c r="F685" s="38"/>
      <c r="G685" s="38"/>
      <c r="H685" s="31"/>
      <c r="I685" s="32"/>
      <c r="J685" s="32"/>
      <c r="K685" s="45" t="s">
        <v>888</v>
      </c>
      <c r="L685" s="129"/>
      <c r="M685" s="33" t="str">
        <f t="shared" si="10"/>
        <v/>
      </c>
      <c r="N685" s="34" t="str">
        <f>IFERROR(IF(Tabela1[[#This Row],[Nome fantasia]]="","",_xlfn.XLOOKUP($C685,Log!D:D,Log!B:B,,,-1)),"")</f>
        <v/>
      </c>
      <c r="O685" s="35" t="str">
        <f>IFERROR(_xlfn.XLOOKUP($C685,Log!D:D,Log!W:W,,,-1),"")</f>
        <v/>
      </c>
      <c r="P685" s="35" t="str">
        <f>IFERROR(_xlfn.XLOOKUP($C685,Log!D:D,Log!Y:Y,,,-1),"")</f>
        <v/>
      </c>
      <c r="Q685" s="130"/>
      <c r="R685" s="131" t="str">
        <f>IFERROR(IF(Tabela1[[#This Row],[Nome fantasia]]="","",_xlfn.XLOOKUP($C685,Log!D:D,Log!X:X,,,-1)),"")</f>
        <v/>
      </c>
    </row>
    <row r="686" spans="3:18" hidden="1" x14ac:dyDescent="0.2">
      <c r="C686" s="30"/>
      <c r="D686" s="110" t="s">
        <v>1929</v>
      </c>
      <c r="E686" s="33" t="s">
        <v>17</v>
      </c>
      <c r="F686" s="38"/>
      <c r="G686" s="38"/>
      <c r="H686" s="31"/>
      <c r="I686" s="32"/>
      <c r="J686" s="32"/>
      <c r="K686" s="45" t="s">
        <v>888</v>
      </c>
      <c r="L686" s="129"/>
      <c r="M686" s="33" t="str">
        <f t="shared" si="10"/>
        <v/>
      </c>
      <c r="N686" s="34" t="str">
        <f>IFERROR(IF(Tabela1[[#This Row],[Nome fantasia]]="","",_xlfn.XLOOKUP($C686,Log!D:D,Log!B:B,,,-1)),"")</f>
        <v/>
      </c>
      <c r="O686" s="35" t="str">
        <f>IFERROR(_xlfn.XLOOKUP($C686,Log!D:D,Log!W:W,,,-1),"")</f>
        <v/>
      </c>
      <c r="P686" s="35" t="str">
        <f>IFERROR(_xlfn.XLOOKUP($C686,Log!D:D,Log!Y:Y,,,-1),"")</f>
        <v/>
      </c>
      <c r="Q686" s="130"/>
      <c r="R686" s="131" t="str">
        <f>IFERROR(IF(Tabela1[[#This Row],[Nome fantasia]]="","",_xlfn.XLOOKUP($C686,Log!D:D,Log!X:X,,,-1)),"")</f>
        <v/>
      </c>
    </row>
    <row r="687" spans="3:18" hidden="1" x14ac:dyDescent="0.2">
      <c r="C687" s="30" t="s">
        <v>709</v>
      </c>
      <c r="D687" s="110" t="s">
        <v>1930</v>
      </c>
      <c r="E687" s="33" t="s">
        <v>17</v>
      </c>
      <c r="F687" s="38"/>
      <c r="G687" s="38"/>
      <c r="H687" s="31"/>
      <c r="I687" s="32"/>
      <c r="J687" s="32"/>
      <c r="K687" s="45" t="s">
        <v>888</v>
      </c>
      <c r="L687" s="129"/>
      <c r="M687" s="33" t="str">
        <f t="shared" si="10"/>
        <v/>
      </c>
      <c r="N687" s="34" t="str">
        <f>IFERROR(IF(Tabela1[[#This Row],[Nome fantasia]]="","",_xlfn.XLOOKUP($C687,Log!D:D,Log!B:B,,,-1)),"")</f>
        <v/>
      </c>
      <c r="O687" s="35" t="str">
        <f>IFERROR(_xlfn.XLOOKUP($C687,Log!D:D,Log!W:W,,,-1),"")</f>
        <v/>
      </c>
      <c r="P687" s="35" t="str">
        <f>IFERROR(_xlfn.XLOOKUP($C687,Log!D:D,Log!Y:Y,,,-1),"")</f>
        <v/>
      </c>
      <c r="Q687" s="130"/>
      <c r="R687" s="131" t="str">
        <f>IFERROR(IF(Tabela1[[#This Row],[Nome fantasia]]="","",_xlfn.XLOOKUP($C687,Log!D:D,Log!X:X,,,-1)),"")</f>
        <v/>
      </c>
    </row>
    <row r="688" spans="3:18" hidden="1" x14ac:dyDescent="0.2">
      <c r="C688" s="30" t="s">
        <v>1931</v>
      </c>
      <c r="D688" s="110" t="s">
        <v>1932</v>
      </c>
      <c r="E688" s="33" t="s">
        <v>17</v>
      </c>
      <c r="F688" s="38"/>
      <c r="G688" s="38"/>
      <c r="H688" s="31"/>
      <c r="I688" s="32"/>
      <c r="J688" s="32"/>
      <c r="K688" s="45" t="s">
        <v>888</v>
      </c>
      <c r="L688" s="129"/>
      <c r="M688" s="33" t="str">
        <f t="shared" si="10"/>
        <v/>
      </c>
      <c r="N688" s="34" t="str">
        <f>IFERROR(IF(Tabela1[[#This Row],[Nome fantasia]]="","",_xlfn.XLOOKUP($C688,Log!D:D,Log!B:B,,,-1)),"")</f>
        <v/>
      </c>
      <c r="O688" s="35" t="str">
        <f>IFERROR(_xlfn.XLOOKUP($C688,Log!D:D,Log!W:W,,,-1),"")</f>
        <v/>
      </c>
      <c r="P688" s="35" t="str">
        <f>IFERROR(_xlfn.XLOOKUP($C688,Log!D:D,Log!Y:Y,,,-1),"")</f>
        <v/>
      </c>
      <c r="Q688" s="130"/>
      <c r="R688" s="131" t="str">
        <f>IFERROR(IF(Tabela1[[#This Row],[Nome fantasia]]="","",_xlfn.XLOOKUP($C688,Log!D:D,Log!X:X,,,-1)),"")</f>
        <v/>
      </c>
    </row>
    <row r="689" spans="3:18" hidden="1" x14ac:dyDescent="0.2">
      <c r="C689" s="30" t="s">
        <v>1933</v>
      </c>
      <c r="D689" s="110" t="s">
        <v>1934</v>
      </c>
      <c r="E689" s="33" t="s">
        <v>17</v>
      </c>
      <c r="F689" s="38"/>
      <c r="G689" s="38"/>
      <c r="H689" s="31"/>
      <c r="I689" s="32"/>
      <c r="J689" s="32"/>
      <c r="K689" s="45" t="s">
        <v>888</v>
      </c>
      <c r="L689" s="129"/>
      <c r="M689" s="33" t="str">
        <f t="shared" si="10"/>
        <v/>
      </c>
      <c r="N689" s="34" t="str">
        <f>IFERROR(IF(Tabela1[[#This Row],[Nome fantasia]]="","",_xlfn.XLOOKUP($C689,Log!D:D,Log!B:B,,,-1)),"")</f>
        <v/>
      </c>
      <c r="O689" s="35" t="str">
        <f>IFERROR(_xlfn.XLOOKUP($C689,Log!D:D,Log!W:W,,,-1),"")</f>
        <v/>
      </c>
      <c r="P689" s="35" t="str">
        <f>IFERROR(_xlfn.XLOOKUP($C689,Log!D:D,Log!Y:Y,,,-1),"")</f>
        <v/>
      </c>
      <c r="Q689" s="130"/>
      <c r="R689" s="131" t="str">
        <f>IFERROR(IF(Tabela1[[#This Row],[Nome fantasia]]="","",_xlfn.XLOOKUP($C689,Log!D:D,Log!X:X,,,-1)),"")</f>
        <v/>
      </c>
    </row>
    <row r="690" spans="3:18" hidden="1" x14ac:dyDescent="0.2">
      <c r="C690" s="30" t="s">
        <v>1935</v>
      </c>
      <c r="D690" s="110" t="s">
        <v>1936</v>
      </c>
      <c r="E690" s="33" t="s">
        <v>17</v>
      </c>
      <c r="F690" s="38"/>
      <c r="G690" s="38"/>
      <c r="H690" s="31"/>
      <c r="I690" s="32"/>
      <c r="J690" s="32"/>
      <c r="K690" s="45" t="s">
        <v>888</v>
      </c>
      <c r="L690" s="129"/>
      <c r="M690" s="33" t="str">
        <f t="shared" si="10"/>
        <v/>
      </c>
      <c r="N690" s="34" t="str">
        <f>IFERROR(IF(Tabela1[[#This Row],[Nome fantasia]]="","",_xlfn.XLOOKUP($C690,Log!D:D,Log!B:B,,,-1)),"")</f>
        <v/>
      </c>
      <c r="O690" s="35" t="str">
        <f>IFERROR(_xlfn.XLOOKUP($C690,Log!D:D,Log!W:W,,,-1),"")</f>
        <v/>
      </c>
      <c r="P690" s="35" t="str">
        <f>IFERROR(_xlfn.XLOOKUP($C690,Log!D:D,Log!Y:Y,,,-1),"")</f>
        <v/>
      </c>
      <c r="Q690" s="130"/>
      <c r="R690" s="131" t="str">
        <f>IFERROR(IF(Tabela1[[#This Row],[Nome fantasia]]="","",_xlfn.XLOOKUP($C690,Log!D:D,Log!X:X,,,-1)),"")</f>
        <v/>
      </c>
    </row>
    <row r="691" spans="3:18" hidden="1" x14ac:dyDescent="0.2">
      <c r="C691" s="30" t="s">
        <v>1937</v>
      </c>
      <c r="D691" s="110" t="s">
        <v>1938</v>
      </c>
      <c r="E691" s="33" t="s">
        <v>17</v>
      </c>
      <c r="F691" s="38"/>
      <c r="G691" s="38"/>
      <c r="H691" s="31"/>
      <c r="I691" s="32"/>
      <c r="J691" s="32"/>
      <c r="K691" s="45" t="s">
        <v>888</v>
      </c>
      <c r="L691" s="129"/>
      <c r="M691" s="33" t="str">
        <f t="shared" si="10"/>
        <v/>
      </c>
      <c r="N691" s="34" t="str">
        <f>IFERROR(IF(Tabela1[[#This Row],[Nome fantasia]]="","",_xlfn.XLOOKUP($C691,Log!D:D,Log!B:B,,,-1)),"")</f>
        <v/>
      </c>
      <c r="O691" s="35" t="str">
        <f>IFERROR(_xlfn.XLOOKUP($C691,Log!D:D,Log!W:W,,,-1),"")</f>
        <v/>
      </c>
      <c r="P691" s="35" t="str">
        <f>IFERROR(_xlfn.XLOOKUP($C691,Log!D:D,Log!Y:Y,,,-1),"")</f>
        <v/>
      </c>
      <c r="Q691" s="130"/>
      <c r="R691" s="131" t="str">
        <f>IFERROR(IF(Tabela1[[#This Row],[Nome fantasia]]="","",_xlfn.XLOOKUP($C691,Log!D:D,Log!X:X,,,-1)),"")</f>
        <v/>
      </c>
    </row>
    <row r="692" spans="3:18" hidden="1" x14ac:dyDescent="0.2">
      <c r="C692" s="30" t="s">
        <v>476</v>
      </c>
      <c r="D692" s="110" t="s">
        <v>1939</v>
      </c>
      <c r="E692" s="33" t="s">
        <v>46</v>
      </c>
      <c r="F692" s="38"/>
      <c r="G692" s="38"/>
      <c r="H692" s="31"/>
      <c r="I692" s="32"/>
      <c r="J692" s="32"/>
      <c r="K692" s="45" t="s">
        <v>888</v>
      </c>
      <c r="L692" s="129"/>
      <c r="M692" s="33" t="str">
        <f t="shared" si="10"/>
        <v/>
      </c>
      <c r="N692" s="34" t="str">
        <f>IFERROR(IF(Tabela1[[#This Row],[Nome fantasia]]="","",_xlfn.XLOOKUP($C692,Log!D:D,Log!B:B,,,-1)),"")</f>
        <v/>
      </c>
      <c r="O692" s="35" t="str">
        <f>IFERROR(_xlfn.XLOOKUP($C692,Log!D:D,Log!W:W,,,-1),"")</f>
        <v/>
      </c>
      <c r="P692" s="35" t="str">
        <f>IFERROR(_xlfn.XLOOKUP($C692,Log!D:D,Log!Y:Y,,,-1),"")</f>
        <v/>
      </c>
      <c r="Q692" s="130"/>
      <c r="R692" s="131" t="str">
        <f>IFERROR(IF(Tabela1[[#This Row],[Nome fantasia]]="","",_xlfn.XLOOKUP($C692,Log!D:D,Log!X:X,,,-1)),"")</f>
        <v/>
      </c>
    </row>
    <row r="693" spans="3:18" hidden="1" x14ac:dyDescent="0.2">
      <c r="C693" s="30" t="s">
        <v>1940</v>
      </c>
      <c r="D693" s="110" t="s">
        <v>1941</v>
      </c>
      <c r="E693" s="33" t="s">
        <v>46</v>
      </c>
      <c r="F693" s="38"/>
      <c r="G693" s="38"/>
      <c r="H693" s="31"/>
      <c r="I693" s="32"/>
      <c r="J693" s="32"/>
      <c r="K693" s="45" t="s">
        <v>888</v>
      </c>
      <c r="L693" s="129"/>
      <c r="M693" s="33" t="str">
        <f t="shared" si="10"/>
        <v/>
      </c>
      <c r="N693" s="34" t="str">
        <f>IFERROR(IF(Tabela1[[#This Row],[Nome fantasia]]="","",_xlfn.XLOOKUP($C693,Log!D:D,Log!B:B,,,-1)),"")</f>
        <v/>
      </c>
      <c r="O693" s="35" t="str">
        <f>IFERROR(_xlfn.XLOOKUP($C693,Log!D:D,Log!W:W,,,-1),"")</f>
        <v/>
      </c>
      <c r="P693" s="35" t="str">
        <f>IFERROR(_xlfn.XLOOKUP($C693,Log!D:D,Log!Y:Y,,,-1),"")</f>
        <v/>
      </c>
      <c r="Q693" s="130"/>
      <c r="R693" s="131" t="str">
        <f>IFERROR(IF(Tabela1[[#This Row],[Nome fantasia]]="","",_xlfn.XLOOKUP($C693,Log!D:D,Log!X:X,,,-1)),"")</f>
        <v/>
      </c>
    </row>
    <row r="694" spans="3:18" hidden="1" x14ac:dyDescent="0.2">
      <c r="C694" s="30" t="s">
        <v>1942</v>
      </c>
      <c r="D694" s="110" t="s">
        <v>1943</v>
      </c>
      <c r="E694" s="33" t="s">
        <v>22</v>
      </c>
      <c r="F694" s="38"/>
      <c r="G694" s="38"/>
      <c r="H694" s="31"/>
      <c r="I694" s="32"/>
      <c r="J694" s="32"/>
      <c r="K694" s="45" t="s">
        <v>888</v>
      </c>
      <c r="L694" s="129"/>
      <c r="M694" s="33" t="str">
        <f t="shared" si="10"/>
        <v/>
      </c>
      <c r="N694" s="34" t="str">
        <f>IFERROR(IF(Tabela1[[#This Row],[Nome fantasia]]="","",_xlfn.XLOOKUP($C694,Log!D:D,Log!B:B,,,-1)),"")</f>
        <v/>
      </c>
      <c r="O694" s="35" t="str">
        <f>IFERROR(_xlfn.XLOOKUP($C694,Log!D:D,Log!W:W,,,-1),"")</f>
        <v/>
      </c>
      <c r="P694" s="35" t="str">
        <f>IFERROR(_xlfn.XLOOKUP($C694,Log!D:D,Log!Y:Y,,,-1),"")</f>
        <v/>
      </c>
      <c r="Q694" s="130"/>
      <c r="R694" s="131" t="str">
        <f>IFERROR(IF(Tabela1[[#This Row],[Nome fantasia]]="","",_xlfn.XLOOKUP($C694,Log!D:D,Log!X:X,,,-1)),"")</f>
        <v/>
      </c>
    </row>
    <row r="695" spans="3:18" hidden="1" x14ac:dyDescent="0.2">
      <c r="C695" s="30" t="s">
        <v>1944</v>
      </c>
      <c r="D695" s="110" t="s">
        <v>1945</v>
      </c>
      <c r="E695" s="33" t="s">
        <v>46</v>
      </c>
      <c r="F695" s="38"/>
      <c r="G695" s="38"/>
      <c r="H695" s="31"/>
      <c r="I695" s="32"/>
      <c r="J695" s="32"/>
      <c r="K695" s="45" t="s">
        <v>888</v>
      </c>
      <c r="L695" s="129"/>
      <c r="M695" s="33" t="str">
        <f t="shared" si="10"/>
        <v/>
      </c>
      <c r="N695" s="34" t="str">
        <f>IFERROR(IF(Tabela1[[#This Row],[Nome fantasia]]="","",_xlfn.XLOOKUP($C695,Log!D:D,Log!B:B,,,-1)),"")</f>
        <v/>
      </c>
      <c r="O695" s="35" t="str">
        <f>IFERROR(_xlfn.XLOOKUP($C695,Log!D:D,Log!W:W,,,-1),"")</f>
        <v/>
      </c>
      <c r="P695" s="35" t="str">
        <f>IFERROR(_xlfn.XLOOKUP($C695,Log!D:D,Log!Y:Y,,,-1),"")</f>
        <v/>
      </c>
      <c r="Q695" s="130"/>
      <c r="R695" s="131" t="str">
        <f>IFERROR(IF(Tabela1[[#This Row],[Nome fantasia]]="","",_xlfn.XLOOKUP($C695,Log!D:D,Log!X:X,,,-1)),"")</f>
        <v/>
      </c>
    </row>
    <row r="696" spans="3:18" hidden="1" x14ac:dyDescent="0.2">
      <c r="C696" s="30" t="s">
        <v>476</v>
      </c>
      <c r="D696" s="110" t="s">
        <v>1946</v>
      </c>
      <c r="E696" s="33" t="s">
        <v>22</v>
      </c>
      <c r="F696" s="38"/>
      <c r="G696" s="38"/>
      <c r="H696" s="31"/>
      <c r="I696" s="32"/>
      <c r="J696" s="32"/>
      <c r="K696" s="45" t="s">
        <v>888</v>
      </c>
      <c r="L696" s="129"/>
      <c r="M696" s="33" t="str">
        <f t="shared" si="10"/>
        <v/>
      </c>
      <c r="N696" s="34" t="str">
        <f>IFERROR(IF(Tabela1[[#This Row],[Nome fantasia]]="","",_xlfn.XLOOKUP($C696,Log!D:D,Log!B:B,,,-1)),"")</f>
        <v/>
      </c>
      <c r="O696" s="35" t="str">
        <f>IFERROR(_xlfn.XLOOKUP($C696,Log!D:D,Log!W:W,,,-1),"")</f>
        <v/>
      </c>
      <c r="P696" s="35" t="str">
        <f>IFERROR(_xlfn.XLOOKUP($C696,Log!D:D,Log!Y:Y,,,-1),"")</f>
        <v/>
      </c>
      <c r="Q696" s="130"/>
      <c r="R696" s="131" t="str">
        <f>IFERROR(IF(Tabela1[[#This Row],[Nome fantasia]]="","",_xlfn.XLOOKUP($C696,Log!D:D,Log!X:X,,,-1)),"")</f>
        <v/>
      </c>
    </row>
    <row r="697" spans="3:18" hidden="1" x14ac:dyDescent="0.2">
      <c r="C697" s="30" t="s">
        <v>1614</v>
      </c>
      <c r="D697" s="110" t="s">
        <v>1947</v>
      </c>
      <c r="E697" s="33" t="s">
        <v>46</v>
      </c>
      <c r="F697" s="38"/>
      <c r="G697" s="38"/>
      <c r="H697" s="31"/>
      <c r="I697" s="32"/>
      <c r="J697" s="32"/>
      <c r="K697" s="45" t="s">
        <v>888</v>
      </c>
      <c r="L697" s="129"/>
      <c r="M697" s="33" t="str">
        <f t="shared" si="10"/>
        <v/>
      </c>
      <c r="N697" s="34" t="str">
        <f>IFERROR(IF(Tabela1[[#This Row],[Nome fantasia]]="","",_xlfn.XLOOKUP($C697,Log!D:D,Log!B:B,,,-1)),"")</f>
        <v/>
      </c>
      <c r="O697" s="35" t="str">
        <f>IFERROR(_xlfn.XLOOKUP($C697,Log!D:D,Log!W:W,,,-1),"")</f>
        <v/>
      </c>
      <c r="P697" s="35" t="str">
        <f>IFERROR(_xlfn.XLOOKUP($C697,Log!D:D,Log!Y:Y,,,-1),"")</f>
        <v/>
      </c>
      <c r="Q697" s="130"/>
      <c r="R697" s="131" t="str">
        <f>IFERROR(IF(Tabela1[[#This Row],[Nome fantasia]]="","",_xlfn.XLOOKUP($C697,Log!D:D,Log!X:X,,,-1)),"")</f>
        <v/>
      </c>
    </row>
    <row r="698" spans="3:18" hidden="1" x14ac:dyDescent="0.2">
      <c r="C698" s="30" t="s">
        <v>1948</v>
      </c>
      <c r="D698" s="110" t="s">
        <v>1949</v>
      </c>
      <c r="E698" s="33" t="s">
        <v>17</v>
      </c>
      <c r="F698" s="38"/>
      <c r="G698" s="38"/>
      <c r="H698" s="31"/>
      <c r="I698" s="32"/>
      <c r="J698" s="32"/>
      <c r="K698" s="45" t="s">
        <v>888</v>
      </c>
      <c r="L698" s="129"/>
      <c r="M698" s="33" t="str">
        <f t="shared" si="10"/>
        <v/>
      </c>
      <c r="N698" s="34" t="str">
        <f>IFERROR(IF(Tabela1[[#This Row],[Nome fantasia]]="","",_xlfn.XLOOKUP($C698,Log!D:D,Log!B:B,,,-1)),"")</f>
        <v/>
      </c>
      <c r="O698" s="35" t="str">
        <f>IFERROR(_xlfn.XLOOKUP($C698,Log!D:D,Log!W:W,,,-1),"")</f>
        <v/>
      </c>
      <c r="P698" s="35" t="str">
        <f>IFERROR(_xlfn.XLOOKUP($C698,Log!D:D,Log!Y:Y,,,-1),"")</f>
        <v/>
      </c>
      <c r="Q698" s="130"/>
      <c r="R698" s="131" t="str">
        <f>IFERROR(IF(Tabela1[[#This Row],[Nome fantasia]]="","",_xlfn.XLOOKUP($C698,Log!D:D,Log!X:X,,,-1)),"")</f>
        <v/>
      </c>
    </row>
    <row r="699" spans="3:18" hidden="1" x14ac:dyDescent="0.2">
      <c r="C699" s="30" t="s">
        <v>1950</v>
      </c>
      <c r="D699" s="110" t="s">
        <v>1951</v>
      </c>
      <c r="E699" s="33" t="s">
        <v>46</v>
      </c>
      <c r="F699" s="38"/>
      <c r="G699" s="38"/>
      <c r="H699" s="31"/>
      <c r="I699" s="32"/>
      <c r="J699" s="32"/>
      <c r="K699" s="45" t="s">
        <v>888</v>
      </c>
      <c r="L699" s="129"/>
      <c r="M699" s="33" t="str">
        <f t="shared" si="10"/>
        <v/>
      </c>
      <c r="N699" s="34" t="str">
        <f>IFERROR(IF(Tabela1[[#This Row],[Nome fantasia]]="","",_xlfn.XLOOKUP($C699,Log!D:D,Log!B:B,,,-1)),"")</f>
        <v/>
      </c>
      <c r="O699" s="35" t="str">
        <f>IFERROR(_xlfn.XLOOKUP($C699,Log!D:D,Log!W:W,,,-1),"")</f>
        <v/>
      </c>
      <c r="P699" s="35" t="str">
        <f>IFERROR(_xlfn.XLOOKUP($C699,Log!D:D,Log!Y:Y,,,-1),"")</f>
        <v/>
      </c>
      <c r="Q699" s="130"/>
      <c r="R699" s="131" t="str">
        <f>IFERROR(IF(Tabela1[[#This Row],[Nome fantasia]]="","",_xlfn.XLOOKUP($C699,Log!D:D,Log!X:X,,,-1)),"")</f>
        <v/>
      </c>
    </row>
    <row r="700" spans="3:18" hidden="1" x14ac:dyDescent="0.2">
      <c r="C700" s="30" t="s">
        <v>1952</v>
      </c>
      <c r="D700" s="110" t="s">
        <v>1953</v>
      </c>
      <c r="E700" s="33" t="s">
        <v>22</v>
      </c>
      <c r="F700" s="38"/>
      <c r="G700" s="38"/>
      <c r="H700" s="31"/>
      <c r="I700" s="32"/>
      <c r="J700" s="32"/>
      <c r="K700" s="45" t="s">
        <v>888</v>
      </c>
      <c r="L700" s="129"/>
      <c r="M700" s="33" t="str">
        <f t="shared" si="10"/>
        <v/>
      </c>
      <c r="N700" s="34" t="str">
        <f>IFERROR(IF(Tabela1[[#This Row],[Nome fantasia]]="","",_xlfn.XLOOKUP($C700,Log!D:D,Log!B:B,,,-1)),"")</f>
        <v/>
      </c>
      <c r="O700" s="35" t="str">
        <f>IFERROR(_xlfn.XLOOKUP($C700,Log!D:D,Log!W:W,,,-1),"")</f>
        <v/>
      </c>
      <c r="P700" s="35" t="str">
        <f>IFERROR(_xlfn.XLOOKUP($C700,Log!D:D,Log!Y:Y,,,-1),"")</f>
        <v/>
      </c>
      <c r="Q700" s="130"/>
      <c r="R700" s="131" t="str">
        <f>IFERROR(IF(Tabela1[[#This Row],[Nome fantasia]]="","",_xlfn.XLOOKUP($C700,Log!D:D,Log!X:X,,,-1)),"")</f>
        <v/>
      </c>
    </row>
    <row r="701" spans="3:18" hidden="1" x14ac:dyDescent="0.2">
      <c r="C701" s="30" t="s">
        <v>1954</v>
      </c>
      <c r="D701" s="110" t="s">
        <v>1955</v>
      </c>
      <c r="E701" s="33" t="s">
        <v>46</v>
      </c>
      <c r="F701" s="38"/>
      <c r="G701" s="38"/>
      <c r="H701" s="31"/>
      <c r="I701" s="32"/>
      <c r="J701" s="32"/>
      <c r="K701" s="45" t="s">
        <v>888</v>
      </c>
      <c r="L701" s="129"/>
      <c r="M701" s="33" t="str">
        <f t="shared" si="10"/>
        <v/>
      </c>
      <c r="N701" s="34" t="str">
        <f>IFERROR(IF(Tabela1[[#This Row],[Nome fantasia]]="","",_xlfn.XLOOKUP($C701,Log!D:D,Log!B:B,,,-1)),"")</f>
        <v/>
      </c>
      <c r="O701" s="35" t="str">
        <f>IFERROR(_xlfn.XLOOKUP($C701,Log!D:D,Log!W:W,,,-1),"")</f>
        <v/>
      </c>
      <c r="P701" s="35" t="str">
        <f>IFERROR(_xlfn.XLOOKUP($C701,Log!D:D,Log!Y:Y,,,-1),"")</f>
        <v/>
      </c>
      <c r="Q701" s="130"/>
      <c r="R701" s="131" t="str">
        <f>IFERROR(IF(Tabela1[[#This Row],[Nome fantasia]]="","",_xlfn.XLOOKUP($C701,Log!D:D,Log!X:X,,,-1)),"")</f>
        <v/>
      </c>
    </row>
    <row r="702" spans="3:18" hidden="1" x14ac:dyDescent="0.2">
      <c r="C702" s="30" t="s">
        <v>1956</v>
      </c>
      <c r="D702" s="110" t="s">
        <v>1957</v>
      </c>
      <c r="E702" s="33" t="s">
        <v>17</v>
      </c>
      <c r="F702" s="38"/>
      <c r="G702" s="38"/>
      <c r="H702" s="31"/>
      <c r="I702" s="32"/>
      <c r="J702" s="32"/>
      <c r="K702" s="45" t="s">
        <v>888</v>
      </c>
      <c r="L702" s="129"/>
      <c r="M702" s="33" t="str">
        <f t="shared" si="10"/>
        <v/>
      </c>
      <c r="N702" s="34" t="str">
        <f>IFERROR(IF(Tabela1[[#This Row],[Nome fantasia]]="","",_xlfn.XLOOKUP($C702,Log!D:D,Log!B:B,,,-1)),"")</f>
        <v/>
      </c>
      <c r="O702" s="35" t="str">
        <f>IFERROR(_xlfn.XLOOKUP($C702,Log!D:D,Log!W:W,,,-1),"")</f>
        <v/>
      </c>
      <c r="P702" s="35" t="str">
        <f>IFERROR(_xlfn.XLOOKUP($C702,Log!D:D,Log!Y:Y,,,-1),"")</f>
        <v/>
      </c>
      <c r="Q702" s="130"/>
      <c r="R702" s="131" t="str">
        <f>IFERROR(IF(Tabela1[[#This Row],[Nome fantasia]]="","",_xlfn.XLOOKUP($C702,Log!D:D,Log!X:X,,,-1)),"")</f>
        <v/>
      </c>
    </row>
    <row r="703" spans="3:18" hidden="1" x14ac:dyDescent="0.2">
      <c r="C703" s="30" t="s">
        <v>1958</v>
      </c>
      <c r="D703" s="110" t="s">
        <v>1959</v>
      </c>
      <c r="E703" s="33" t="s">
        <v>17</v>
      </c>
      <c r="F703" s="38"/>
      <c r="G703" s="38"/>
      <c r="H703" s="31"/>
      <c r="I703" s="32"/>
      <c r="J703" s="32"/>
      <c r="K703" s="45" t="s">
        <v>888</v>
      </c>
      <c r="L703" s="129"/>
      <c r="M703" s="33" t="str">
        <f t="shared" si="10"/>
        <v/>
      </c>
      <c r="N703" s="34" t="str">
        <f>IFERROR(IF(Tabela1[[#This Row],[Nome fantasia]]="","",_xlfn.XLOOKUP($C703,Log!D:D,Log!B:B,,,-1)),"")</f>
        <v/>
      </c>
      <c r="O703" s="35" t="str">
        <f>IFERROR(_xlfn.XLOOKUP($C703,Log!D:D,Log!W:W,,,-1),"")</f>
        <v/>
      </c>
      <c r="P703" s="35" t="str">
        <f>IFERROR(_xlfn.XLOOKUP($C703,Log!D:D,Log!Y:Y,,,-1),"")</f>
        <v/>
      </c>
      <c r="Q703" s="130"/>
      <c r="R703" s="131" t="str">
        <f>IFERROR(IF(Tabela1[[#This Row],[Nome fantasia]]="","",_xlfn.XLOOKUP($C703,Log!D:D,Log!X:X,,,-1)),"")</f>
        <v/>
      </c>
    </row>
    <row r="704" spans="3:18" hidden="1" x14ac:dyDescent="0.2">
      <c r="C704" s="30" t="s">
        <v>1960</v>
      </c>
      <c r="D704" s="110" t="s">
        <v>1961</v>
      </c>
      <c r="E704" s="33" t="s">
        <v>46</v>
      </c>
      <c r="F704" s="38"/>
      <c r="G704" s="38"/>
      <c r="H704" s="31"/>
      <c r="I704" s="32"/>
      <c r="J704" s="32"/>
      <c r="K704" s="45" t="s">
        <v>888</v>
      </c>
      <c r="L704" s="129"/>
      <c r="M704" s="33" t="str">
        <f t="shared" si="10"/>
        <v/>
      </c>
      <c r="N704" s="34" t="str">
        <f>IFERROR(IF(Tabela1[[#This Row],[Nome fantasia]]="","",_xlfn.XLOOKUP($C704,Log!D:D,Log!B:B,,,-1)),"")</f>
        <v/>
      </c>
      <c r="O704" s="35" t="str">
        <f>IFERROR(_xlfn.XLOOKUP($C704,Log!D:D,Log!W:W,,,-1),"")</f>
        <v/>
      </c>
      <c r="P704" s="35" t="str">
        <f>IFERROR(_xlfn.XLOOKUP($C704,Log!D:D,Log!Y:Y,,,-1),"")</f>
        <v/>
      </c>
      <c r="Q704" s="130"/>
      <c r="R704" s="131" t="str">
        <f>IFERROR(IF(Tabela1[[#This Row],[Nome fantasia]]="","",_xlfn.XLOOKUP($C704,Log!D:D,Log!X:X,,,-1)),"")</f>
        <v/>
      </c>
    </row>
    <row r="705" spans="3:18" hidden="1" x14ac:dyDescent="0.2">
      <c r="C705" s="30" t="s">
        <v>1962</v>
      </c>
      <c r="D705" s="110" t="s">
        <v>1963</v>
      </c>
      <c r="E705" s="33" t="s">
        <v>46</v>
      </c>
      <c r="F705" s="38"/>
      <c r="G705" s="38"/>
      <c r="H705" s="31"/>
      <c r="I705" s="32"/>
      <c r="J705" s="32"/>
      <c r="K705" s="45" t="s">
        <v>888</v>
      </c>
      <c r="L705" s="129"/>
      <c r="M705" s="33" t="str">
        <f t="shared" si="10"/>
        <v/>
      </c>
      <c r="N705" s="34" t="str">
        <f>IFERROR(IF(Tabela1[[#This Row],[Nome fantasia]]="","",_xlfn.XLOOKUP($C705,Log!D:D,Log!B:B,,,-1)),"")</f>
        <v/>
      </c>
      <c r="O705" s="35" t="str">
        <f>IFERROR(_xlfn.XLOOKUP($C705,Log!D:D,Log!W:W,,,-1),"")</f>
        <v/>
      </c>
      <c r="P705" s="35" t="str">
        <f>IFERROR(_xlfn.XLOOKUP($C705,Log!D:D,Log!Y:Y,,,-1),"")</f>
        <v/>
      </c>
      <c r="Q705" s="130"/>
      <c r="R705" s="131" t="str">
        <f>IFERROR(IF(Tabela1[[#This Row],[Nome fantasia]]="","",_xlfn.XLOOKUP($C705,Log!D:D,Log!X:X,,,-1)),"")</f>
        <v/>
      </c>
    </row>
    <row r="706" spans="3:18" hidden="1" x14ac:dyDescent="0.2">
      <c r="C706" s="30" t="s">
        <v>1964</v>
      </c>
      <c r="D706" s="110" t="s">
        <v>1965</v>
      </c>
      <c r="E706" s="33" t="s">
        <v>17</v>
      </c>
      <c r="F706" s="38"/>
      <c r="G706" s="38"/>
      <c r="H706" s="31"/>
      <c r="I706" s="32"/>
      <c r="J706" s="32"/>
      <c r="K706" s="45" t="s">
        <v>888</v>
      </c>
      <c r="L706" s="129"/>
      <c r="M706" s="33" t="str">
        <f t="shared" si="10"/>
        <v/>
      </c>
      <c r="N706" s="34" t="str">
        <f>IFERROR(IF(Tabela1[[#This Row],[Nome fantasia]]="","",_xlfn.XLOOKUP($C706,Log!D:D,Log!B:B,,,-1)),"")</f>
        <v/>
      </c>
      <c r="O706" s="35" t="str">
        <f>IFERROR(_xlfn.XLOOKUP($C706,Log!D:D,Log!W:W,,,-1),"")</f>
        <v/>
      </c>
      <c r="P706" s="35" t="str">
        <f>IFERROR(_xlfn.XLOOKUP($C706,Log!D:D,Log!Y:Y,,,-1),"")</f>
        <v/>
      </c>
      <c r="Q706" s="130"/>
      <c r="R706" s="131" t="str">
        <f>IFERROR(IF(Tabela1[[#This Row],[Nome fantasia]]="","",_xlfn.XLOOKUP($C706,Log!D:D,Log!X:X,,,-1)),"")</f>
        <v/>
      </c>
    </row>
    <row r="707" spans="3:18" hidden="1" x14ac:dyDescent="0.2">
      <c r="C707" s="30" t="s">
        <v>1966</v>
      </c>
      <c r="D707" s="110" t="s">
        <v>1967</v>
      </c>
      <c r="E707" s="33" t="s">
        <v>46</v>
      </c>
      <c r="F707" s="38"/>
      <c r="G707" s="38"/>
      <c r="H707" s="31"/>
      <c r="I707" s="32"/>
      <c r="J707" s="32"/>
      <c r="K707" s="45" t="s">
        <v>888</v>
      </c>
      <c r="L707" s="129"/>
      <c r="M707" s="33" t="str">
        <f t="shared" ref="M707:M770" si="11">IF(OR(J707&lt;=0,J707=""),"","Recompra")</f>
        <v/>
      </c>
      <c r="N707" s="34" t="str">
        <f>IFERROR(IF(Tabela1[[#This Row],[Nome fantasia]]="","",_xlfn.XLOOKUP($C707,Log!D:D,Log!B:B,,,-1)),"")</f>
        <v/>
      </c>
      <c r="O707" s="35" t="str">
        <f>IFERROR(_xlfn.XLOOKUP($C707,Log!D:D,Log!W:W,,,-1),"")</f>
        <v/>
      </c>
      <c r="P707" s="35" t="str">
        <f>IFERROR(_xlfn.XLOOKUP($C707,Log!D:D,Log!Y:Y,,,-1),"")</f>
        <v/>
      </c>
      <c r="Q707" s="130"/>
      <c r="R707" s="131" t="str">
        <f>IFERROR(IF(Tabela1[[#This Row],[Nome fantasia]]="","",_xlfn.XLOOKUP($C707,Log!D:D,Log!X:X,,,-1)),"")</f>
        <v/>
      </c>
    </row>
    <row r="708" spans="3:18" hidden="1" x14ac:dyDescent="0.2">
      <c r="C708" s="30" t="s">
        <v>1968</v>
      </c>
      <c r="D708" s="110" t="s">
        <v>1969</v>
      </c>
      <c r="E708" s="33" t="s">
        <v>46</v>
      </c>
      <c r="F708" s="38"/>
      <c r="G708" s="38"/>
      <c r="H708" s="31"/>
      <c r="I708" s="32"/>
      <c r="J708" s="32"/>
      <c r="K708" s="45" t="s">
        <v>888</v>
      </c>
      <c r="L708" s="129"/>
      <c r="M708" s="33" t="str">
        <f t="shared" si="11"/>
        <v/>
      </c>
      <c r="N708" s="34" t="str">
        <f>IFERROR(IF(Tabela1[[#This Row],[Nome fantasia]]="","",_xlfn.XLOOKUP($C708,Log!D:D,Log!B:B,,,-1)),"")</f>
        <v/>
      </c>
      <c r="O708" s="35" t="str">
        <f>IFERROR(_xlfn.XLOOKUP($C708,Log!D:D,Log!W:W,,,-1),"")</f>
        <v/>
      </c>
      <c r="P708" s="35" t="str">
        <f>IFERROR(_xlfn.XLOOKUP($C708,Log!D:D,Log!Y:Y,,,-1),"")</f>
        <v/>
      </c>
      <c r="Q708" s="130"/>
      <c r="R708" s="131" t="str">
        <f>IFERROR(IF(Tabela1[[#This Row],[Nome fantasia]]="","",_xlfn.XLOOKUP($C708,Log!D:D,Log!X:X,,,-1)),"")</f>
        <v/>
      </c>
    </row>
    <row r="709" spans="3:18" hidden="1" x14ac:dyDescent="0.2">
      <c r="C709" s="30" t="s">
        <v>1970</v>
      </c>
      <c r="D709" s="110" t="s">
        <v>1971</v>
      </c>
      <c r="E709" s="33" t="s">
        <v>17</v>
      </c>
      <c r="F709" s="38"/>
      <c r="G709" s="38"/>
      <c r="H709" s="31"/>
      <c r="I709" s="32"/>
      <c r="J709" s="32"/>
      <c r="K709" s="45" t="s">
        <v>888</v>
      </c>
      <c r="L709" s="129"/>
      <c r="M709" s="33" t="str">
        <f t="shared" si="11"/>
        <v/>
      </c>
      <c r="N709" s="34" t="str">
        <f>IFERROR(IF(Tabela1[[#This Row],[Nome fantasia]]="","",_xlfn.XLOOKUP($C709,Log!D:D,Log!B:B,,,-1)),"")</f>
        <v/>
      </c>
      <c r="O709" s="35" t="str">
        <f>IFERROR(_xlfn.XLOOKUP($C709,Log!D:D,Log!W:W,,,-1),"")</f>
        <v/>
      </c>
      <c r="P709" s="35" t="str">
        <f>IFERROR(_xlfn.XLOOKUP($C709,Log!D:D,Log!Y:Y,,,-1),"")</f>
        <v/>
      </c>
      <c r="Q709" s="130"/>
      <c r="R709" s="131" t="str">
        <f>IFERROR(IF(Tabela1[[#This Row],[Nome fantasia]]="","",_xlfn.XLOOKUP($C709,Log!D:D,Log!X:X,,,-1)),"")</f>
        <v/>
      </c>
    </row>
    <row r="710" spans="3:18" hidden="1" x14ac:dyDescent="0.2">
      <c r="C710" s="30" t="s">
        <v>1972</v>
      </c>
      <c r="D710" s="110" t="s">
        <v>1973</v>
      </c>
      <c r="E710" s="33" t="s">
        <v>46</v>
      </c>
      <c r="F710" s="38"/>
      <c r="G710" s="38"/>
      <c r="H710" s="31"/>
      <c r="I710" s="32"/>
      <c r="J710" s="32"/>
      <c r="K710" s="45" t="s">
        <v>888</v>
      </c>
      <c r="L710" s="129"/>
      <c r="M710" s="33" t="str">
        <f t="shared" si="11"/>
        <v/>
      </c>
      <c r="N710" s="34" t="str">
        <f>IFERROR(IF(Tabela1[[#This Row],[Nome fantasia]]="","",_xlfn.XLOOKUP($C710,Log!D:D,Log!B:B,,,-1)),"")</f>
        <v/>
      </c>
      <c r="O710" s="35" t="str">
        <f>IFERROR(_xlfn.XLOOKUP($C710,Log!D:D,Log!W:W,,,-1),"")</f>
        <v/>
      </c>
      <c r="P710" s="35" t="str">
        <f>IFERROR(_xlfn.XLOOKUP($C710,Log!D:D,Log!Y:Y,,,-1),"")</f>
        <v/>
      </c>
      <c r="Q710" s="130"/>
      <c r="R710" s="131" t="str">
        <f>IFERROR(IF(Tabela1[[#This Row],[Nome fantasia]]="","",_xlfn.XLOOKUP($C710,Log!D:D,Log!X:X,,,-1)),"")</f>
        <v/>
      </c>
    </row>
    <row r="711" spans="3:18" hidden="1" x14ac:dyDescent="0.2">
      <c r="C711" s="30" t="s">
        <v>1974</v>
      </c>
      <c r="D711" s="110" t="s">
        <v>1975</v>
      </c>
      <c r="E711" s="33" t="s">
        <v>46</v>
      </c>
      <c r="F711" s="38"/>
      <c r="G711" s="38"/>
      <c r="H711" s="31"/>
      <c r="I711" s="32"/>
      <c r="J711" s="32"/>
      <c r="K711" s="45" t="s">
        <v>888</v>
      </c>
      <c r="L711" s="129"/>
      <c r="M711" s="33" t="str">
        <f t="shared" si="11"/>
        <v/>
      </c>
      <c r="N711" s="34" t="str">
        <f>IFERROR(IF(Tabela1[[#This Row],[Nome fantasia]]="","",_xlfn.XLOOKUP($C711,Log!D:D,Log!B:B,,,-1)),"")</f>
        <v/>
      </c>
      <c r="O711" s="35" t="str">
        <f>IFERROR(_xlfn.XLOOKUP($C711,Log!D:D,Log!W:W,,,-1),"")</f>
        <v/>
      </c>
      <c r="P711" s="35" t="str">
        <f>IFERROR(_xlfn.XLOOKUP($C711,Log!D:D,Log!Y:Y,,,-1),"")</f>
        <v/>
      </c>
      <c r="Q711" s="130"/>
      <c r="R711" s="131" t="str">
        <f>IFERROR(IF(Tabela1[[#This Row],[Nome fantasia]]="","",_xlfn.XLOOKUP($C711,Log!D:D,Log!X:X,,,-1)),"")</f>
        <v/>
      </c>
    </row>
    <row r="712" spans="3:18" hidden="1" x14ac:dyDescent="0.2">
      <c r="C712" s="30" t="s">
        <v>1976</v>
      </c>
      <c r="D712" s="110" t="s">
        <v>1321</v>
      </c>
      <c r="E712" s="33" t="s">
        <v>22</v>
      </c>
      <c r="F712" s="38"/>
      <c r="G712" s="38"/>
      <c r="H712" s="31"/>
      <c r="I712" s="32"/>
      <c r="J712" s="32"/>
      <c r="K712" s="45" t="s">
        <v>888</v>
      </c>
      <c r="L712" s="129"/>
      <c r="M712" s="33" t="str">
        <f t="shared" si="11"/>
        <v/>
      </c>
      <c r="N712" s="34" t="str">
        <f>IFERROR(IF(Tabela1[[#This Row],[Nome fantasia]]="","",_xlfn.XLOOKUP($C712,Log!D:D,Log!B:B,,,-1)),"")</f>
        <v/>
      </c>
      <c r="O712" s="35" t="str">
        <f>IFERROR(_xlfn.XLOOKUP($C712,Log!D:D,Log!W:W,,,-1),"")</f>
        <v/>
      </c>
      <c r="P712" s="35" t="str">
        <f>IFERROR(_xlfn.XLOOKUP($C712,Log!D:D,Log!Y:Y,,,-1),"")</f>
        <v/>
      </c>
      <c r="Q712" s="130"/>
      <c r="R712" s="131" t="str">
        <f>IFERROR(IF(Tabela1[[#This Row],[Nome fantasia]]="","",_xlfn.XLOOKUP($C712,Log!D:D,Log!X:X,,,-1)),"")</f>
        <v/>
      </c>
    </row>
    <row r="713" spans="3:18" hidden="1" x14ac:dyDescent="0.2">
      <c r="C713" s="30" t="s">
        <v>1977</v>
      </c>
      <c r="D713" s="110" t="s">
        <v>1978</v>
      </c>
      <c r="E713" s="33" t="s">
        <v>17</v>
      </c>
      <c r="F713" s="38"/>
      <c r="G713" s="38"/>
      <c r="H713" s="31"/>
      <c r="I713" s="32"/>
      <c r="J713" s="32"/>
      <c r="K713" s="45" t="s">
        <v>888</v>
      </c>
      <c r="L713" s="129"/>
      <c r="M713" s="33" t="str">
        <f t="shared" si="11"/>
        <v/>
      </c>
      <c r="N713" s="34" t="str">
        <f>IFERROR(IF(Tabela1[[#This Row],[Nome fantasia]]="","",_xlfn.XLOOKUP($C713,Log!D:D,Log!B:B,,,-1)),"")</f>
        <v/>
      </c>
      <c r="O713" s="35" t="str">
        <f>IFERROR(_xlfn.XLOOKUP($C713,Log!D:D,Log!W:W,,,-1),"")</f>
        <v/>
      </c>
      <c r="P713" s="35" t="str">
        <f>IFERROR(_xlfn.XLOOKUP($C713,Log!D:D,Log!Y:Y,,,-1),"")</f>
        <v/>
      </c>
      <c r="Q713" s="130"/>
      <c r="R713" s="131" t="str">
        <f>IFERROR(IF(Tabela1[[#This Row],[Nome fantasia]]="","",_xlfn.XLOOKUP($C713,Log!D:D,Log!X:X,,,-1)),"")</f>
        <v/>
      </c>
    </row>
    <row r="714" spans="3:18" hidden="1" x14ac:dyDescent="0.2">
      <c r="C714" s="30" t="s">
        <v>1979</v>
      </c>
      <c r="D714" s="110" t="s">
        <v>1980</v>
      </c>
      <c r="E714" s="33" t="s">
        <v>46</v>
      </c>
      <c r="F714" s="38"/>
      <c r="G714" s="38"/>
      <c r="H714" s="31"/>
      <c r="I714" s="32"/>
      <c r="J714" s="32"/>
      <c r="K714" s="45" t="s">
        <v>888</v>
      </c>
      <c r="L714" s="129"/>
      <c r="M714" s="33" t="str">
        <f t="shared" si="11"/>
        <v/>
      </c>
      <c r="N714" s="34">
        <f>IFERROR(IF(Tabela1[[#This Row],[Nome fantasia]]="","",_xlfn.XLOOKUP($C714,Log!D:D,Log!B:B,,,-1)),"")</f>
        <v>45994</v>
      </c>
      <c r="O714" s="35" t="str">
        <f>IFERROR(_xlfn.XLOOKUP($C714,Log!D:D,Log!W:W,,,-1),"")</f>
        <v>EM ATENDIMENTO</v>
      </c>
      <c r="P714" s="35" t="str">
        <f>IFERROR(_xlfn.XLOOKUP($C714,Log!D:D,Log!Y:Y,,,-1),"")</f>
        <v>NÃO ATENDEU, DESLIGA</v>
      </c>
      <c r="Q714" s="130"/>
      <c r="R714" s="131">
        <f>IFERROR(IF(Tabela1[[#This Row],[Nome fantasia]]="","",_xlfn.XLOOKUP($C714,Log!D:D,Log!X:X,,,-1)),"")</f>
        <v>45996</v>
      </c>
    </row>
    <row r="715" spans="3:18" hidden="1" x14ac:dyDescent="0.2">
      <c r="C715" s="30" t="s">
        <v>1981</v>
      </c>
      <c r="D715" s="110" t="s">
        <v>1982</v>
      </c>
      <c r="E715" s="33" t="s">
        <v>22</v>
      </c>
      <c r="F715" s="38"/>
      <c r="G715" s="38"/>
      <c r="H715" s="31"/>
      <c r="I715" s="32"/>
      <c r="J715" s="32"/>
      <c r="K715" s="45" t="s">
        <v>888</v>
      </c>
      <c r="L715" s="129"/>
      <c r="M715" s="33" t="str">
        <f t="shared" si="11"/>
        <v/>
      </c>
      <c r="N715" s="34" t="str">
        <f>IFERROR(IF(Tabela1[[#This Row],[Nome fantasia]]="","",_xlfn.XLOOKUP($C715,Log!D:D,Log!B:B,,,-1)),"")</f>
        <v/>
      </c>
      <c r="O715" s="35" t="str">
        <f>IFERROR(_xlfn.XLOOKUP($C715,Log!D:D,Log!W:W,,,-1),"")</f>
        <v/>
      </c>
      <c r="P715" s="35" t="str">
        <f>IFERROR(_xlfn.XLOOKUP($C715,Log!D:D,Log!Y:Y,,,-1),"")</f>
        <v/>
      </c>
      <c r="Q715" s="130"/>
      <c r="R715" s="131" t="str">
        <f>IFERROR(IF(Tabela1[[#This Row],[Nome fantasia]]="","",_xlfn.XLOOKUP($C715,Log!D:D,Log!X:X,,,-1)),"")</f>
        <v/>
      </c>
    </row>
    <row r="716" spans="3:18" hidden="1" x14ac:dyDescent="0.2">
      <c r="C716" s="30" t="s">
        <v>1983</v>
      </c>
      <c r="D716" s="110" t="s">
        <v>1984</v>
      </c>
      <c r="E716" s="33" t="s">
        <v>17</v>
      </c>
      <c r="F716" s="38"/>
      <c r="G716" s="38"/>
      <c r="H716" s="31"/>
      <c r="I716" s="32"/>
      <c r="J716" s="32"/>
      <c r="K716" s="45" t="s">
        <v>888</v>
      </c>
      <c r="L716" s="129"/>
      <c r="M716" s="33" t="str">
        <f t="shared" si="11"/>
        <v/>
      </c>
      <c r="N716" s="34" t="str">
        <f>IFERROR(IF(Tabela1[[#This Row],[Nome fantasia]]="","",_xlfn.XLOOKUP($C716,Log!D:D,Log!B:B,,,-1)),"")</f>
        <v/>
      </c>
      <c r="O716" s="35" t="str">
        <f>IFERROR(_xlfn.XLOOKUP($C716,Log!D:D,Log!W:W,,,-1),"")</f>
        <v/>
      </c>
      <c r="P716" s="35" t="str">
        <f>IFERROR(_xlfn.XLOOKUP($C716,Log!D:D,Log!Y:Y,,,-1),"")</f>
        <v/>
      </c>
      <c r="Q716" s="130"/>
      <c r="R716" s="131" t="str">
        <f>IFERROR(IF(Tabela1[[#This Row],[Nome fantasia]]="","",_xlfn.XLOOKUP($C716,Log!D:D,Log!X:X,,,-1)),"")</f>
        <v/>
      </c>
    </row>
    <row r="717" spans="3:18" hidden="1" x14ac:dyDescent="0.2">
      <c r="C717" s="30" t="s">
        <v>1985</v>
      </c>
      <c r="D717" s="110" t="s">
        <v>1986</v>
      </c>
      <c r="E717" s="33" t="s">
        <v>46</v>
      </c>
      <c r="F717" s="38"/>
      <c r="G717" s="38"/>
      <c r="H717" s="31"/>
      <c r="I717" s="32"/>
      <c r="J717" s="32"/>
      <c r="K717" s="45" t="s">
        <v>888</v>
      </c>
      <c r="L717" s="129"/>
      <c r="M717" s="33" t="str">
        <f t="shared" si="11"/>
        <v/>
      </c>
      <c r="N717" s="34" t="str">
        <f>IFERROR(IF(Tabela1[[#This Row],[Nome fantasia]]="","",_xlfn.XLOOKUP($C717,Log!D:D,Log!B:B,,,-1)),"")</f>
        <v/>
      </c>
      <c r="O717" s="35" t="str">
        <f>IFERROR(_xlfn.XLOOKUP($C717,Log!D:D,Log!W:W,,,-1),"")</f>
        <v/>
      </c>
      <c r="P717" s="35" t="str">
        <f>IFERROR(_xlfn.XLOOKUP($C717,Log!D:D,Log!Y:Y,,,-1),"")</f>
        <v/>
      </c>
      <c r="Q717" s="130"/>
      <c r="R717" s="131" t="str">
        <f>IFERROR(IF(Tabela1[[#This Row],[Nome fantasia]]="","",_xlfn.XLOOKUP($C717,Log!D:D,Log!X:X,,,-1)),"")</f>
        <v/>
      </c>
    </row>
    <row r="718" spans="3:18" hidden="1" x14ac:dyDescent="0.2">
      <c r="C718" s="30" t="s">
        <v>1987</v>
      </c>
      <c r="D718" s="110" t="s">
        <v>1988</v>
      </c>
      <c r="E718" s="33" t="s">
        <v>46</v>
      </c>
      <c r="F718" s="38"/>
      <c r="G718" s="38"/>
      <c r="H718" s="31"/>
      <c r="I718" s="32"/>
      <c r="J718" s="32"/>
      <c r="K718" s="45" t="s">
        <v>888</v>
      </c>
      <c r="L718" s="129"/>
      <c r="M718" s="33" t="str">
        <f t="shared" si="11"/>
        <v/>
      </c>
      <c r="N718" s="34" t="str">
        <f>IFERROR(IF(Tabela1[[#This Row],[Nome fantasia]]="","",_xlfn.XLOOKUP($C718,Log!D:D,Log!B:B,,,-1)),"")</f>
        <v/>
      </c>
      <c r="O718" s="35" t="str">
        <f>IFERROR(_xlfn.XLOOKUP($C718,Log!D:D,Log!W:W,,,-1),"")</f>
        <v/>
      </c>
      <c r="P718" s="35" t="str">
        <f>IFERROR(_xlfn.XLOOKUP($C718,Log!D:D,Log!Y:Y,,,-1),"")</f>
        <v/>
      </c>
      <c r="Q718" s="130"/>
      <c r="R718" s="131" t="str">
        <f>IFERROR(IF(Tabela1[[#This Row],[Nome fantasia]]="","",_xlfn.XLOOKUP($C718,Log!D:D,Log!X:X,,,-1)),"")</f>
        <v/>
      </c>
    </row>
    <row r="719" spans="3:18" hidden="1" x14ac:dyDescent="0.2">
      <c r="C719" s="30" t="s">
        <v>1989</v>
      </c>
      <c r="D719" s="110" t="s">
        <v>1990</v>
      </c>
      <c r="E719" s="33" t="s">
        <v>22</v>
      </c>
      <c r="F719" s="38"/>
      <c r="G719" s="38"/>
      <c r="H719" s="31"/>
      <c r="I719" s="32"/>
      <c r="J719" s="32"/>
      <c r="K719" s="45" t="s">
        <v>888</v>
      </c>
      <c r="L719" s="129"/>
      <c r="M719" s="33" t="str">
        <f t="shared" si="11"/>
        <v/>
      </c>
      <c r="N719" s="34" t="str">
        <f>IFERROR(IF(Tabela1[[#This Row],[Nome fantasia]]="","",_xlfn.XLOOKUP($C719,Log!D:D,Log!B:B,,,-1)),"")</f>
        <v/>
      </c>
      <c r="O719" s="35" t="str">
        <f>IFERROR(_xlfn.XLOOKUP($C719,Log!D:D,Log!W:W,,,-1),"")</f>
        <v/>
      </c>
      <c r="P719" s="35" t="str">
        <f>IFERROR(_xlfn.XLOOKUP($C719,Log!D:D,Log!Y:Y,,,-1),"")</f>
        <v/>
      </c>
      <c r="Q719" s="130"/>
      <c r="R719" s="131" t="str">
        <f>IFERROR(IF(Tabela1[[#This Row],[Nome fantasia]]="","",_xlfn.XLOOKUP($C719,Log!D:D,Log!X:X,,,-1)),"")</f>
        <v/>
      </c>
    </row>
    <row r="720" spans="3:18" hidden="1" x14ac:dyDescent="0.2">
      <c r="C720" s="30" t="s">
        <v>1991</v>
      </c>
      <c r="D720" s="110" t="s">
        <v>1992</v>
      </c>
      <c r="E720" s="33" t="s">
        <v>46</v>
      </c>
      <c r="F720" s="38"/>
      <c r="G720" s="38"/>
      <c r="H720" s="31"/>
      <c r="I720" s="32"/>
      <c r="J720" s="32"/>
      <c r="K720" s="45" t="s">
        <v>888</v>
      </c>
      <c r="L720" s="129"/>
      <c r="M720" s="33" t="str">
        <f t="shared" si="11"/>
        <v/>
      </c>
      <c r="N720" s="34" t="str">
        <f>IFERROR(IF(Tabela1[[#This Row],[Nome fantasia]]="","",_xlfn.XLOOKUP($C720,Log!D:D,Log!B:B,,,-1)),"")</f>
        <v/>
      </c>
      <c r="O720" s="35" t="str">
        <f>IFERROR(_xlfn.XLOOKUP($C720,Log!D:D,Log!W:W,,,-1),"")</f>
        <v/>
      </c>
      <c r="P720" s="35" t="str">
        <f>IFERROR(_xlfn.XLOOKUP($C720,Log!D:D,Log!Y:Y,,,-1),"")</f>
        <v/>
      </c>
      <c r="Q720" s="130"/>
      <c r="R720" s="131" t="str">
        <f>IFERROR(IF(Tabela1[[#This Row],[Nome fantasia]]="","",_xlfn.XLOOKUP($C720,Log!D:D,Log!X:X,,,-1)),"")</f>
        <v/>
      </c>
    </row>
    <row r="721" spans="3:18" hidden="1" x14ac:dyDescent="0.2">
      <c r="C721" s="30"/>
      <c r="D721" s="110" t="s">
        <v>1993</v>
      </c>
      <c r="E721" s="33" t="s">
        <v>22</v>
      </c>
      <c r="F721" s="38"/>
      <c r="G721" s="38"/>
      <c r="H721" s="31"/>
      <c r="I721" s="32"/>
      <c r="J721" s="32"/>
      <c r="K721" s="45" t="s">
        <v>888</v>
      </c>
      <c r="L721" s="129"/>
      <c r="M721" s="33" t="str">
        <f t="shared" si="11"/>
        <v/>
      </c>
      <c r="N721" s="34" t="str">
        <f>IFERROR(IF(Tabela1[[#This Row],[Nome fantasia]]="","",_xlfn.XLOOKUP($C721,Log!D:D,Log!B:B,,,-1)),"")</f>
        <v/>
      </c>
      <c r="O721" s="35" t="str">
        <f>IFERROR(_xlfn.XLOOKUP($C721,Log!D:D,Log!W:W,,,-1),"")</f>
        <v/>
      </c>
      <c r="P721" s="35" t="str">
        <f>IFERROR(_xlfn.XLOOKUP($C721,Log!D:D,Log!Y:Y,,,-1),"")</f>
        <v/>
      </c>
      <c r="Q721" s="130"/>
      <c r="R721" s="131" t="str">
        <f>IFERROR(IF(Tabela1[[#This Row],[Nome fantasia]]="","",_xlfn.XLOOKUP($C721,Log!D:D,Log!X:X,,,-1)),"")</f>
        <v/>
      </c>
    </row>
    <row r="722" spans="3:18" hidden="1" x14ac:dyDescent="0.2">
      <c r="C722" s="30" t="s">
        <v>1994</v>
      </c>
      <c r="D722" s="110" t="s">
        <v>1995</v>
      </c>
      <c r="E722" s="33" t="s">
        <v>46</v>
      </c>
      <c r="F722" s="38"/>
      <c r="G722" s="38"/>
      <c r="H722" s="31"/>
      <c r="I722" s="32"/>
      <c r="J722" s="32"/>
      <c r="K722" s="45" t="s">
        <v>888</v>
      </c>
      <c r="L722" s="129"/>
      <c r="M722" s="33" t="str">
        <f t="shared" si="11"/>
        <v/>
      </c>
      <c r="N722" s="34" t="str">
        <f>IFERROR(IF(Tabela1[[#This Row],[Nome fantasia]]="","",_xlfn.XLOOKUP($C722,Log!D:D,Log!B:B,,,-1)),"")</f>
        <v/>
      </c>
      <c r="O722" s="35" t="str">
        <f>IFERROR(_xlfn.XLOOKUP($C722,Log!D:D,Log!W:W,,,-1),"")</f>
        <v/>
      </c>
      <c r="P722" s="35" t="str">
        <f>IFERROR(_xlfn.XLOOKUP($C722,Log!D:D,Log!Y:Y,,,-1),"")</f>
        <v/>
      </c>
      <c r="Q722" s="130"/>
      <c r="R722" s="131" t="str">
        <f>IFERROR(IF(Tabela1[[#This Row],[Nome fantasia]]="","",_xlfn.XLOOKUP($C722,Log!D:D,Log!X:X,,,-1)),"")</f>
        <v/>
      </c>
    </row>
    <row r="723" spans="3:18" hidden="1" x14ac:dyDescent="0.2">
      <c r="C723" s="30" t="s">
        <v>1996</v>
      </c>
      <c r="D723" s="110" t="s">
        <v>1997</v>
      </c>
      <c r="E723" s="33" t="s">
        <v>46</v>
      </c>
      <c r="F723" s="38"/>
      <c r="G723" s="38"/>
      <c r="H723" s="31"/>
      <c r="I723" s="32"/>
      <c r="J723" s="32"/>
      <c r="K723" s="45" t="s">
        <v>888</v>
      </c>
      <c r="L723" s="129"/>
      <c r="M723" s="33" t="str">
        <f t="shared" si="11"/>
        <v/>
      </c>
      <c r="N723" s="34" t="str">
        <f>IFERROR(IF(Tabela1[[#This Row],[Nome fantasia]]="","",_xlfn.XLOOKUP($C723,Log!D:D,Log!B:B,,,-1)),"")</f>
        <v/>
      </c>
      <c r="O723" s="35" t="str">
        <f>IFERROR(_xlfn.XLOOKUP($C723,Log!D:D,Log!W:W,,,-1),"")</f>
        <v/>
      </c>
      <c r="P723" s="35" t="str">
        <f>IFERROR(_xlfn.XLOOKUP($C723,Log!D:D,Log!Y:Y,,,-1),"")</f>
        <v/>
      </c>
      <c r="Q723" s="130"/>
      <c r="R723" s="131" t="str">
        <f>IFERROR(IF(Tabela1[[#This Row],[Nome fantasia]]="","",_xlfn.XLOOKUP($C723,Log!D:D,Log!X:X,,,-1)),"")</f>
        <v/>
      </c>
    </row>
    <row r="724" spans="3:18" hidden="1" x14ac:dyDescent="0.2">
      <c r="C724" s="30" t="s">
        <v>1998</v>
      </c>
      <c r="D724" s="110" t="s">
        <v>1999</v>
      </c>
      <c r="E724" s="33" t="s">
        <v>17</v>
      </c>
      <c r="F724" s="38"/>
      <c r="G724" s="38"/>
      <c r="H724" s="31"/>
      <c r="I724" s="32"/>
      <c r="J724" s="32"/>
      <c r="K724" s="45" t="s">
        <v>888</v>
      </c>
      <c r="L724" s="129"/>
      <c r="M724" s="33" t="str">
        <f t="shared" si="11"/>
        <v/>
      </c>
      <c r="N724" s="34" t="str">
        <f>IFERROR(IF(Tabela1[[#This Row],[Nome fantasia]]="","",_xlfn.XLOOKUP($C724,Log!D:D,Log!B:B,,,-1)),"")</f>
        <v/>
      </c>
      <c r="O724" s="35" t="str">
        <f>IFERROR(_xlfn.XLOOKUP($C724,Log!D:D,Log!W:W,,,-1),"")</f>
        <v/>
      </c>
      <c r="P724" s="35" t="str">
        <f>IFERROR(_xlfn.XLOOKUP($C724,Log!D:D,Log!Y:Y,,,-1),"")</f>
        <v/>
      </c>
      <c r="Q724" s="130"/>
      <c r="R724" s="131" t="str">
        <f>IFERROR(IF(Tabela1[[#This Row],[Nome fantasia]]="","",_xlfn.XLOOKUP($C724,Log!D:D,Log!X:X,,,-1)),"")</f>
        <v/>
      </c>
    </row>
    <row r="725" spans="3:18" hidden="1" x14ac:dyDescent="0.2">
      <c r="C725" s="30" t="s">
        <v>2000</v>
      </c>
      <c r="D725" s="110" t="s">
        <v>2001</v>
      </c>
      <c r="E725" s="33" t="s">
        <v>46</v>
      </c>
      <c r="F725" s="38"/>
      <c r="G725" s="38"/>
      <c r="H725" s="31"/>
      <c r="I725" s="32"/>
      <c r="J725" s="32"/>
      <c r="K725" s="45" t="s">
        <v>888</v>
      </c>
      <c r="L725" s="129"/>
      <c r="M725" s="33" t="str">
        <f t="shared" si="11"/>
        <v/>
      </c>
      <c r="N725" s="34" t="str">
        <f>IFERROR(IF(Tabela1[[#This Row],[Nome fantasia]]="","",_xlfn.XLOOKUP($C725,Log!D:D,Log!B:B,,,-1)),"")</f>
        <v/>
      </c>
      <c r="O725" s="35" t="str">
        <f>IFERROR(_xlfn.XLOOKUP($C725,Log!D:D,Log!W:W,,,-1),"")</f>
        <v/>
      </c>
      <c r="P725" s="35" t="str">
        <f>IFERROR(_xlfn.XLOOKUP($C725,Log!D:D,Log!Y:Y,,,-1),"")</f>
        <v/>
      </c>
      <c r="Q725" s="130"/>
      <c r="R725" s="131" t="str">
        <f>IFERROR(IF(Tabela1[[#This Row],[Nome fantasia]]="","",_xlfn.XLOOKUP($C725,Log!D:D,Log!X:X,,,-1)),"")</f>
        <v/>
      </c>
    </row>
    <row r="726" spans="3:18" hidden="1" x14ac:dyDescent="0.2">
      <c r="C726" s="30" t="s">
        <v>2002</v>
      </c>
      <c r="D726" s="110" t="s">
        <v>2003</v>
      </c>
      <c r="E726" s="33" t="s">
        <v>46</v>
      </c>
      <c r="F726" s="38"/>
      <c r="G726" s="38"/>
      <c r="H726" s="31"/>
      <c r="I726" s="32"/>
      <c r="J726" s="32"/>
      <c r="K726" s="45" t="s">
        <v>888</v>
      </c>
      <c r="L726" s="129"/>
      <c r="M726" s="33" t="str">
        <f t="shared" si="11"/>
        <v/>
      </c>
      <c r="N726" s="34" t="str">
        <f>IFERROR(IF(Tabela1[[#This Row],[Nome fantasia]]="","",_xlfn.XLOOKUP($C726,Log!D:D,Log!B:B,,,-1)),"")</f>
        <v/>
      </c>
      <c r="O726" s="35" t="str">
        <f>IFERROR(_xlfn.XLOOKUP($C726,Log!D:D,Log!W:W,,,-1),"")</f>
        <v/>
      </c>
      <c r="P726" s="35" t="str">
        <f>IFERROR(_xlfn.XLOOKUP($C726,Log!D:D,Log!Y:Y,,,-1),"")</f>
        <v/>
      </c>
      <c r="Q726" s="130"/>
      <c r="R726" s="131" t="str">
        <f>IFERROR(IF(Tabela1[[#This Row],[Nome fantasia]]="","",_xlfn.XLOOKUP($C726,Log!D:D,Log!X:X,,,-1)),"")</f>
        <v/>
      </c>
    </row>
    <row r="727" spans="3:18" hidden="1" x14ac:dyDescent="0.2">
      <c r="C727" s="30" t="s">
        <v>2004</v>
      </c>
      <c r="D727" s="110" t="s">
        <v>2005</v>
      </c>
      <c r="E727" s="33" t="s">
        <v>22</v>
      </c>
      <c r="F727" s="38"/>
      <c r="G727" s="38"/>
      <c r="H727" s="31"/>
      <c r="I727" s="32"/>
      <c r="J727" s="32"/>
      <c r="K727" s="45" t="s">
        <v>888</v>
      </c>
      <c r="L727" s="129"/>
      <c r="M727" s="33" t="str">
        <f t="shared" si="11"/>
        <v/>
      </c>
      <c r="N727" s="34" t="str">
        <f>IFERROR(IF(Tabela1[[#This Row],[Nome fantasia]]="","",_xlfn.XLOOKUP($C727,Log!D:D,Log!B:B,,,-1)),"")</f>
        <v/>
      </c>
      <c r="O727" s="35" t="str">
        <f>IFERROR(_xlfn.XLOOKUP($C727,Log!D:D,Log!W:W,,,-1),"")</f>
        <v/>
      </c>
      <c r="P727" s="35" t="str">
        <f>IFERROR(_xlfn.XLOOKUP($C727,Log!D:D,Log!Y:Y,,,-1),"")</f>
        <v/>
      </c>
      <c r="Q727" s="130"/>
      <c r="R727" s="131" t="str">
        <f>IFERROR(IF(Tabela1[[#This Row],[Nome fantasia]]="","",_xlfn.XLOOKUP($C727,Log!D:D,Log!X:X,,,-1)),"")</f>
        <v/>
      </c>
    </row>
    <row r="728" spans="3:18" hidden="1" x14ac:dyDescent="0.2">
      <c r="C728" s="30" t="s">
        <v>2006</v>
      </c>
      <c r="D728" s="110" t="s">
        <v>2007</v>
      </c>
      <c r="E728" s="33" t="s">
        <v>22</v>
      </c>
      <c r="F728" s="38"/>
      <c r="G728" s="38"/>
      <c r="H728" s="31"/>
      <c r="I728" s="32"/>
      <c r="J728" s="32"/>
      <c r="K728" s="45" t="s">
        <v>888</v>
      </c>
      <c r="L728" s="129"/>
      <c r="M728" s="33" t="str">
        <f t="shared" si="11"/>
        <v/>
      </c>
      <c r="N728" s="34" t="str">
        <f>IFERROR(IF(Tabela1[[#This Row],[Nome fantasia]]="","",_xlfn.XLOOKUP($C728,Log!D:D,Log!B:B,,,-1)),"")</f>
        <v/>
      </c>
      <c r="O728" s="35" t="str">
        <f>IFERROR(_xlfn.XLOOKUP($C728,Log!D:D,Log!W:W,,,-1),"")</f>
        <v/>
      </c>
      <c r="P728" s="35" t="str">
        <f>IFERROR(_xlfn.XLOOKUP($C728,Log!D:D,Log!Y:Y,,,-1),"")</f>
        <v/>
      </c>
      <c r="Q728" s="130"/>
      <c r="R728" s="131" t="str">
        <f>IFERROR(IF(Tabela1[[#This Row],[Nome fantasia]]="","",_xlfn.XLOOKUP($C728,Log!D:D,Log!X:X,,,-1)),"")</f>
        <v/>
      </c>
    </row>
    <row r="729" spans="3:18" hidden="1" x14ac:dyDescent="0.2">
      <c r="C729" s="30" t="s">
        <v>2008</v>
      </c>
      <c r="D729" s="110" t="s">
        <v>2009</v>
      </c>
      <c r="E729" s="33" t="s">
        <v>17</v>
      </c>
      <c r="F729" s="38"/>
      <c r="G729" s="38"/>
      <c r="H729" s="31"/>
      <c r="I729" s="32"/>
      <c r="J729" s="32"/>
      <c r="K729" s="45" t="s">
        <v>888</v>
      </c>
      <c r="L729" s="129"/>
      <c r="M729" s="33" t="str">
        <f t="shared" si="11"/>
        <v/>
      </c>
      <c r="N729" s="34" t="str">
        <f>IFERROR(IF(Tabela1[[#This Row],[Nome fantasia]]="","",_xlfn.XLOOKUP($C729,Log!D:D,Log!B:B,,,-1)),"")</f>
        <v/>
      </c>
      <c r="O729" s="35" t="str">
        <f>IFERROR(_xlfn.XLOOKUP($C729,Log!D:D,Log!W:W,,,-1),"")</f>
        <v/>
      </c>
      <c r="P729" s="35" t="str">
        <f>IFERROR(_xlfn.XLOOKUP($C729,Log!D:D,Log!Y:Y,,,-1),"")</f>
        <v/>
      </c>
      <c r="Q729" s="130"/>
      <c r="R729" s="131" t="str">
        <f>IFERROR(IF(Tabela1[[#This Row],[Nome fantasia]]="","",_xlfn.XLOOKUP($C729,Log!D:D,Log!X:X,,,-1)),"")</f>
        <v/>
      </c>
    </row>
    <row r="730" spans="3:18" hidden="1" x14ac:dyDescent="0.2">
      <c r="C730" s="30" t="s">
        <v>2010</v>
      </c>
      <c r="D730" s="110" t="s">
        <v>2011</v>
      </c>
      <c r="E730" s="33" t="s">
        <v>17</v>
      </c>
      <c r="F730" s="38"/>
      <c r="G730" s="38"/>
      <c r="H730" s="31"/>
      <c r="I730" s="32"/>
      <c r="J730" s="32"/>
      <c r="K730" s="45" t="s">
        <v>888</v>
      </c>
      <c r="L730" s="129"/>
      <c r="M730" s="33" t="str">
        <f t="shared" si="11"/>
        <v/>
      </c>
      <c r="N730" s="34" t="str">
        <f>IFERROR(IF(Tabela1[[#This Row],[Nome fantasia]]="","",_xlfn.XLOOKUP($C730,Log!D:D,Log!B:B,,,-1)),"")</f>
        <v/>
      </c>
      <c r="O730" s="35" t="str">
        <f>IFERROR(_xlfn.XLOOKUP($C730,Log!D:D,Log!W:W,,,-1),"")</f>
        <v/>
      </c>
      <c r="P730" s="35" t="str">
        <f>IFERROR(_xlfn.XLOOKUP($C730,Log!D:D,Log!Y:Y,,,-1),"")</f>
        <v/>
      </c>
      <c r="Q730" s="130"/>
      <c r="R730" s="131" t="str">
        <f>IFERROR(IF(Tabela1[[#This Row],[Nome fantasia]]="","",_xlfn.XLOOKUP($C730,Log!D:D,Log!X:X,,,-1)),"")</f>
        <v/>
      </c>
    </row>
    <row r="731" spans="3:18" hidden="1" x14ac:dyDescent="0.2">
      <c r="C731" s="30" t="s">
        <v>2012</v>
      </c>
      <c r="D731" s="110" t="s">
        <v>2013</v>
      </c>
      <c r="E731" s="33" t="s">
        <v>46</v>
      </c>
      <c r="F731" s="38"/>
      <c r="G731" s="38"/>
      <c r="H731" s="31"/>
      <c r="I731" s="32"/>
      <c r="J731" s="32"/>
      <c r="K731" s="45" t="s">
        <v>888</v>
      </c>
      <c r="L731" s="129"/>
      <c r="M731" s="33" t="str">
        <f t="shared" si="11"/>
        <v/>
      </c>
      <c r="N731" s="34" t="str">
        <f>IFERROR(IF(Tabela1[[#This Row],[Nome fantasia]]="","",_xlfn.XLOOKUP($C731,Log!D:D,Log!B:B,,,-1)),"")</f>
        <v/>
      </c>
      <c r="O731" s="35" t="str">
        <f>IFERROR(_xlfn.XLOOKUP($C731,Log!D:D,Log!W:W,,,-1),"")</f>
        <v/>
      </c>
      <c r="P731" s="35" t="str">
        <f>IFERROR(_xlfn.XLOOKUP($C731,Log!D:D,Log!Y:Y,,,-1),"")</f>
        <v/>
      </c>
      <c r="Q731" s="130"/>
      <c r="R731" s="131" t="str">
        <f>IFERROR(IF(Tabela1[[#This Row],[Nome fantasia]]="","",_xlfn.XLOOKUP($C731,Log!D:D,Log!X:X,,,-1)),"")</f>
        <v/>
      </c>
    </row>
    <row r="732" spans="3:18" hidden="1" x14ac:dyDescent="0.2">
      <c r="C732" s="30"/>
      <c r="D732" s="110" t="s">
        <v>2014</v>
      </c>
      <c r="E732" s="33" t="s">
        <v>17</v>
      </c>
      <c r="F732" s="38"/>
      <c r="G732" s="38"/>
      <c r="H732" s="31"/>
      <c r="I732" s="32"/>
      <c r="J732" s="32"/>
      <c r="K732" s="45" t="s">
        <v>888</v>
      </c>
      <c r="L732" s="129"/>
      <c r="M732" s="33" t="str">
        <f t="shared" si="11"/>
        <v/>
      </c>
      <c r="N732" s="34" t="str">
        <f>IFERROR(IF(Tabela1[[#This Row],[Nome fantasia]]="","",_xlfn.XLOOKUP($C732,Log!D:D,Log!B:B,,,-1)),"")</f>
        <v/>
      </c>
      <c r="O732" s="35" t="str">
        <f>IFERROR(_xlfn.XLOOKUP($C732,Log!D:D,Log!W:W,,,-1),"")</f>
        <v/>
      </c>
      <c r="P732" s="35" t="str">
        <f>IFERROR(_xlfn.XLOOKUP($C732,Log!D:D,Log!Y:Y,,,-1),"")</f>
        <v/>
      </c>
      <c r="Q732" s="130"/>
      <c r="R732" s="131" t="str">
        <f>IFERROR(IF(Tabela1[[#This Row],[Nome fantasia]]="","",_xlfn.XLOOKUP($C732,Log!D:D,Log!X:X,,,-1)),"")</f>
        <v/>
      </c>
    </row>
    <row r="733" spans="3:18" hidden="1" x14ac:dyDescent="0.2">
      <c r="C733" s="30" t="s">
        <v>2015</v>
      </c>
      <c r="D733" s="110" t="s">
        <v>2016</v>
      </c>
      <c r="E733" s="33" t="s">
        <v>46</v>
      </c>
      <c r="F733" s="38"/>
      <c r="G733" s="38"/>
      <c r="H733" s="31"/>
      <c r="I733" s="32"/>
      <c r="J733" s="32"/>
      <c r="K733" s="45" t="s">
        <v>888</v>
      </c>
      <c r="L733" s="129"/>
      <c r="M733" s="33" t="str">
        <f t="shared" si="11"/>
        <v/>
      </c>
      <c r="N733" s="34" t="str">
        <f>IFERROR(IF(Tabela1[[#This Row],[Nome fantasia]]="","",_xlfn.XLOOKUP($C733,Log!D:D,Log!B:B,,,-1)),"")</f>
        <v/>
      </c>
      <c r="O733" s="35" t="str">
        <f>IFERROR(_xlfn.XLOOKUP($C733,Log!D:D,Log!W:W,,,-1),"")</f>
        <v/>
      </c>
      <c r="P733" s="35" t="str">
        <f>IFERROR(_xlfn.XLOOKUP($C733,Log!D:D,Log!Y:Y,,,-1),"")</f>
        <v/>
      </c>
      <c r="Q733" s="130"/>
      <c r="R733" s="131" t="str">
        <f>IFERROR(IF(Tabela1[[#This Row],[Nome fantasia]]="","",_xlfn.XLOOKUP($C733,Log!D:D,Log!X:X,,,-1)),"")</f>
        <v/>
      </c>
    </row>
    <row r="734" spans="3:18" hidden="1" x14ac:dyDescent="0.2">
      <c r="C734" s="30" t="s">
        <v>2017</v>
      </c>
      <c r="D734" s="110" t="s">
        <v>2018</v>
      </c>
      <c r="E734" s="33" t="s">
        <v>22</v>
      </c>
      <c r="F734" s="38"/>
      <c r="G734" s="38"/>
      <c r="H734" s="31"/>
      <c r="I734" s="32"/>
      <c r="J734" s="32"/>
      <c r="K734" s="45" t="s">
        <v>888</v>
      </c>
      <c r="L734" s="129"/>
      <c r="M734" s="33" t="str">
        <f t="shared" si="11"/>
        <v/>
      </c>
      <c r="N734" s="34" t="str">
        <f>IFERROR(IF(Tabela1[[#This Row],[Nome fantasia]]="","",_xlfn.XLOOKUP($C734,Log!D:D,Log!B:B,,,-1)),"")</f>
        <v/>
      </c>
      <c r="O734" s="35" t="str">
        <f>IFERROR(_xlfn.XLOOKUP($C734,Log!D:D,Log!W:W,,,-1),"")</f>
        <v/>
      </c>
      <c r="P734" s="35" t="str">
        <f>IFERROR(_xlfn.XLOOKUP($C734,Log!D:D,Log!Y:Y,,,-1),"")</f>
        <v/>
      </c>
      <c r="Q734" s="130"/>
      <c r="R734" s="131" t="str">
        <f>IFERROR(IF(Tabela1[[#This Row],[Nome fantasia]]="","",_xlfn.XLOOKUP($C734,Log!D:D,Log!X:X,,,-1)),"")</f>
        <v/>
      </c>
    </row>
    <row r="735" spans="3:18" hidden="1" x14ac:dyDescent="0.2">
      <c r="C735" s="30" t="s">
        <v>2019</v>
      </c>
      <c r="D735" s="110" t="s">
        <v>2020</v>
      </c>
      <c r="E735" s="33" t="s">
        <v>46</v>
      </c>
      <c r="F735" s="38"/>
      <c r="G735" s="38"/>
      <c r="H735" s="31"/>
      <c r="I735" s="32"/>
      <c r="J735" s="32"/>
      <c r="K735" s="45" t="s">
        <v>888</v>
      </c>
      <c r="L735" s="129"/>
      <c r="M735" s="33" t="str">
        <f t="shared" si="11"/>
        <v/>
      </c>
      <c r="N735" s="34" t="str">
        <f>IFERROR(IF(Tabela1[[#This Row],[Nome fantasia]]="","",_xlfn.XLOOKUP($C735,Log!D:D,Log!B:B,,,-1)),"")</f>
        <v/>
      </c>
      <c r="O735" s="35" t="str">
        <f>IFERROR(_xlfn.XLOOKUP($C735,Log!D:D,Log!W:W,,,-1),"")</f>
        <v/>
      </c>
      <c r="P735" s="35" t="str">
        <f>IFERROR(_xlfn.XLOOKUP($C735,Log!D:D,Log!Y:Y,,,-1),"")</f>
        <v/>
      </c>
      <c r="Q735" s="130"/>
      <c r="R735" s="131" t="str">
        <f>IFERROR(IF(Tabela1[[#This Row],[Nome fantasia]]="","",_xlfn.XLOOKUP($C735,Log!D:D,Log!X:X,,,-1)),"")</f>
        <v/>
      </c>
    </row>
    <row r="736" spans="3:18" hidden="1" x14ac:dyDescent="0.2">
      <c r="C736" s="30" t="s">
        <v>1703</v>
      </c>
      <c r="D736" s="110" t="s">
        <v>2021</v>
      </c>
      <c r="E736" s="33" t="s">
        <v>22</v>
      </c>
      <c r="F736" s="38"/>
      <c r="G736" s="38"/>
      <c r="H736" s="31"/>
      <c r="I736" s="32"/>
      <c r="J736" s="32"/>
      <c r="K736" s="45" t="s">
        <v>888</v>
      </c>
      <c r="L736" s="129"/>
      <c r="M736" s="33" t="str">
        <f t="shared" si="11"/>
        <v/>
      </c>
      <c r="N736" s="34" t="str">
        <f>IFERROR(IF(Tabela1[[#This Row],[Nome fantasia]]="","",_xlfn.XLOOKUP($C736,Log!D:D,Log!B:B,,,-1)),"")</f>
        <v/>
      </c>
      <c r="O736" s="35" t="str">
        <f>IFERROR(_xlfn.XLOOKUP($C736,Log!D:D,Log!W:W,,,-1),"")</f>
        <v/>
      </c>
      <c r="P736" s="35" t="str">
        <f>IFERROR(_xlfn.XLOOKUP($C736,Log!D:D,Log!Y:Y,,,-1),"")</f>
        <v/>
      </c>
      <c r="Q736" s="130"/>
      <c r="R736" s="131" t="str">
        <f>IFERROR(IF(Tabela1[[#This Row],[Nome fantasia]]="","",_xlfn.XLOOKUP($C736,Log!D:D,Log!X:X,,,-1)),"")</f>
        <v/>
      </c>
    </row>
    <row r="737" spans="3:18" hidden="1" x14ac:dyDescent="0.2">
      <c r="C737" s="30" t="s">
        <v>2022</v>
      </c>
      <c r="D737" s="110" t="s">
        <v>2023</v>
      </c>
      <c r="E737" s="33" t="s">
        <v>17</v>
      </c>
      <c r="F737" s="38"/>
      <c r="G737" s="38"/>
      <c r="H737" s="31"/>
      <c r="I737" s="32"/>
      <c r="J737" s="32"/>
      <c r="K737" s="45" t="s">
        <v>888</v>
      </c>
      <c r="L737" s="129"/>
      <c r="M737" s="33" t="str">
        <f t="shared" si="11"/>
        <v/>
      </c>
      <c r="N737" s="34" t="str">
        <f>IFERROR(IF(Tabela1[[#This Row],[Nome fantasia]]="","",_xlfn.XLOOKUP($C737,Log!D:D,Log!B:B,,,-1)),"")</f>
        <v/>
      </c>
      <c r="O737" s="35" t="str">
        <f>IFERROR(_xlfn.XLOOKUP($C737,Log!D:D,Log!W:W,,,-1),"")</f>
        <v/>
      </c>
      <c r="P737" s="35" t="str">
        <f>IFERROR(_xlfn.XLOOKUP($C737,Log!D:D,Log!Y:Y,,,-1),"")</f>
        <v/>
      </c>
      <c r="Q737" s="130"/>
      <c r="R737" s="131" t="str">
        <f>IFERROR(IF(Tabela1[[#This Row],[Nome fantasia]]="","",_xlfn.XLOOKUP($C737,Log!D:D,Log!X:X,,,-1)),"")</f>
        <v/>
      </c>
    </row>
    <row r="738" spans="3:18" hidden="1" x14ac:dyDescent="0.2">
      <c r="C738" s="30" t="s">
        <v>2024</v>
      </c>
      <c r="D738" s="110" t="s">
        <v>2025</v>
      </c>
      <c r="E738" s="33" t="s">
        <v>46</v>
      </c>
      <c r="F738" s="38"/>
      <c r="G738" s="38"/>
      <c r="H738" s="31"/>
      <c r="I738" s="32"/>
      <c r="J738" s="32"/>
      <c r="K738" s="45" t="s">
        <v>888</v>
      </c>
      <c r="L738" s="129"/>
      <c r="M738" s="33" t="str">
        <f t="shared" si="11"/>
        <v/>
      </c>
      <c r="N738" s="34" t="str">
        <f>IFERROR(IF(Tabela1[[#This Row],[Nome fantasia]]="","",_xlfn.XLOOKUP($C738,Log!D:D,Log!B:B,,,-1)),"")</f>
        <v/>
      </c>
      <c r="O738" s="35" t="str">
        <f>IFERROR(_xlfn.XLOOKUP($C738,Log!D:D,Log!W:W,,,-1),"")</f>
        <v/>
      </c>
      <c r="P738" s="35" t="str">
        <f>IFERROR(_xlfn.XLOOKUP($C738,Log!D:D,Log!Y:Y,,,-1),"")</f>
        <v/>
      </c>
      <c r="Q738" s="130"/>
      <c r="R738" s="131" t="str">
        <f>IFERROR(IF(Tabela1[[#This Row],[Nome fantasia]]="","",_xlfn.XLOOKUP($C738,Log!D:D,Log!X:X,,,-1)),"")</f>
        <v/>
      </c>
    </row>
    <row r="739" spans="3:18" hidden="1" x14ac:dyDescent="0.2">
      <c r="C739" s="30" t="s">
        <v>2026</v>
      </c>
      <c r="D739" s="110" t="s">
        <v>2027</v>
      </c>
      <c r="E739" s="33" t="s">
        <v>22</v>
      </c>
      <c r="F739" s="38"/>
      <c r="G739" s="38"/>
      <c r="H739" s="31"/>
      <c r="I739" s="32"/>
      <c r="J739" s="32"/>
      <c r="K739" s="45" t="s">
        <v>888</v>
      </c>
      <c r="L739" s="129"/>
      <c r="M739" s="33" t="str">
        <f t="shared" si="11"/>
        <v/>
      </c>
      <c r="N739" s="34" t="str">
        <f>IFERROR(IF(Tabela1[[#This Row],[Nome fantasia]]="","",_xlfn.XLOOKUP($C739,Log!D:D,Log!B:B,,,-1)),"")</f>
        <v/>
      </c>
      <c r="O739" s="35" t="str">
        <f>IFERROR(_xlfn.XLOOKUP($C739,Log!D:D,Log!W:W,,,-1),"")</f>
        <v/>
      </c>
      <c r="P739" s="35" t="str">
        <f>IFERROR(_xlfn.XLOOKUP($C739,Log!D:D,Log!Y:Y,,,-1),"")</f>
        <v/>
      </c>
      <c r="Q739" s="130"/>
      <c r="R739" s="131" t="str">
        <f>IFERROR(IF(Tabela1[[#This Row],[Nome fantasia]]="","",_xlfn.XLOOKUP($C739,Log!D:D,Log!X:X,,,-1)),"")</f>
        <v/>
      </c>
    </row>
    <row r="740" spans="3:18" hidden="1" x14ac:dyDescent="0.2">
      <c r="C740" s="30" t="s">
        <v>2028</v>
      </c>
      <c r="D740" s="110" t="s">
        <v>2029</v>
      </c>
      <c r="E740" s="33" t="s">
        <v>46</v>
      </c>
      <c r="F740" s="38"/>
      <c r="G740" s="38"/>
      <c r="H740" s="31"/>
      <c r="I740" s="32"/>
      <c r="J740" s="32"/>
      <c r="K740" s="45" t="s">
        <v>888</v>
      </c>
      <c r="L740" s="129"/>
      <c r="M740" s="33" t="str">
        <f t="shared" si="11"/>
        <v/>
      </c>
      <c r="N740" s="34" t="str">
        <f>IFERROR(IF(Tabela1[[#This Row],[Nome fantasia]]="","",_xlfn.XLOOKUP($C740,Log!D:D,Log!B:B,,,-1)),"")</f>
        <v/>
      </c>
      <c r="O740" s="35" t="str">
        <f>IFERROR(_xlfn.XLOOKUP($C740,Log!D:D,Log!W:W,,,-1),"")</f>
        <v/>
      </c>
      <c r="P740" s="35" t="str">
        <f>IFERROR(_xlfn.XLOOKUP($C740,Log!D:D,Log!Y:Y,,,-1),"")</f>
        <v/>
      </c>
      <c r="Q740" s="130"/>
      <c r="R740" s="131" t="str">
        <f>IFERROR(IF(Tabela1[[#This Row],[Nome fantasia]]="","",_xlfn.XLOOKUP($C740,Log!D:D,Log!X:X,,,-1)),"")</f>
        <v/>
      </c>
    </row>
    <row r="741" spans="3:18" hidden="1" x14ac:dyDescent="0.2">
      <c r="C741" s="30" t="s">
        <v>2030</v>
      </c>
      <c r="D741" s="110" t="s">
        <v>2031</v>
      </c>
      <c r="E741" s="33" t="s">
        <v>46</v>
      </c>
      <c r="F741" s="38"/>
      <c r="G741" s="38"/>
      <c r="H741" s="31"/>
      <c r="I741" s="32"/>
      <c r="J741" s="32"/>
      <c r="K741" s="45" t="s">
        <v>888</v>
      </c>
      <c r="L741" s="129"/>
      <c r="M741" s="33" t="str">
        <f t="shared" si="11"/>
        <v/>
      </c>
      <c r="N741" s="34" t="str">
        <f>IFERROR(IF(Tabela1[[#This Row],[Nome fantasia]]="","",_xlfn.XLOOKUP($C741,Log!D:D,Log!B:B,,,-1)),"")</f>
        <v/>
      </c>
      <c r="O741" s="35" t="str">
        <f>IFERROR(_xlfn.XLOOKUP($C741,Log!D:D,Log!W:W,,,-1),"")</f>
        <v/>
      </c>
      <c r="P741" s="35" t="str">
        <f>IFERROR(_xlfn.XLOOKUP($C741,Log!D:D,Log!Y:Y,,,-1),"")</f>
        <v/>
      </c>
      <c r="Q741" s="130"/>
      <c r="R741" s="131" t="str">
        <f>IFERROR(IF(Tabela1[[#This Row],[Nome fantasia]]="","",_xlfn.XLOOKUP($C741,Log!D:D,Log!X:X,,,-1)),"")</f>
        <v/>
      </c>
    </row>
    <row r="742" spans="3:18" hidden="1" x14ac:dyDescent="0.2">
      <c r="C742" s="30" t="s">
        <v>2032</v>
      </c>
      <c r="D742" s="110" t="s">
        <v>2033</v>
      </c>
      <c r="E742" s="33" t="s">
        <v>17</v>
      </c>
      <c r="F742" s="38"/>
      <c r="G742" s="38"/>
      <c r="H742" s="31"/>
      <c r="I742" s="32"/>
      <c r="J742" s="32"/>
      <c r="K742" s="45" t="s">
        <v>888</v>
      </c>
      <c r="L742" s="129"/>
      <c r="M742" s="33" t="str">
        <f t="shared" si="11"/>
        <v/>
      </c>
      <c r="N742" s="34" t="str">
        <f>IFERROR(IF(Tabela1[[#This Row],[Nome fantasia]]="","",_xlfn.XLOOKUP($C742,Log!D:D,Log!B:B,,,-1)),"")</f>
        <v/>
      </c>
      <c r="O742" s="35" t="str">
        <f>IFERROR(_xlfn.XLOOKUP($C742,Log!D:D,Log!W:W,,,-1),"")</f>
        <v/>
      </c>
      <c r="P742" s="35" t="str">
        <f>IFERROR(_xlfn.XLOOKUP($C742,Log!D:D,Log!Y:Y,,,-1),"")</f>
        <v/>
      </c>
      <c r="Q742" s="130"/>
      <c r="R742" s="131" t="str">
        <f>IFERROR(IF(Tabela1[[#This Row],[Nome fantasia]]="","",_xlfn.XLOOKUP($C742,Log!D:D,Log!X:X,,,-1)),"")</f>
        <v/>
      </c>
    </row>
    <row r="743" spans="3:18" hidden="1" x14ac:dyDescent="0.2">
      <c r="C743" s="30" t="s">
        <v>2035</v>
      </c>
      <c r="D743" s="110" t="s">
        <v>2036</v>
      </c>
      <c r="E743" s="33" t="s">
        <v>46</v>
      </c>
      <c r="F743" s="38"/>
      <c r="G743" s="38"/>
      <c r="H743" s="31"/>
      <c r="I743" s="32"/>
      <c r="J743" s="32"/>
      <c r="K743" s="45" t="s">
        <v>888</v>
      </c>
      <c r="L743" s="129"/>
      <c r="M743" s="33" t="str">
        <f t="shared" si="11"/>
        <v/>
      </c>
      <c r="N743" s="34" t="str">
        <f>IFERROR(IF(Tabela1[[#This Row],[Nome fantasia]]="","",_xlfn.XLOOKUP($C743,Log!D:D,Log!B:B,,,-1)),"")</f>
        <v/>
      </c>
      <c r="O743" s="35" t="str">
        <f>IFERROR(_xlfn.XLOOKUP($C743,Log!D:D,Log!W:W,,,-1),"")</f>
        <v/>
      </c>
      <c r="P743" s="35" t="str">
        <f>IFERROR(_xlfn.XLOOKUP($C743,Log!D:D,Log!Y:Y,,,-1),"")</f>
        <v/>
      </c>
      <c r="Q743" s="130"/>
      <c r="R743" s="131" t="str">
        <f>IFERROR(IF(Tabela1[[#This Row],[Nome fantasia]]="","",_xlfn.XLOOKUP($C743,Log!D:D,Log!X:X,,,-1)),"")</f>
        <v/>
      </c>
    </row>
    <row r="744" spans="3:18" hidden="1" x14ac:dyDescent="0.2">
      <c r="C744" s="30" t="s">
        <v>2037</v>
      </c>
      <c r="D744" s="110" t="s">
        <v>2038</v>
      </c>
      <c r="E744" s="33" t="s">
        <v>22</v>
      </c>
      <c r="F744" s="38"/>
      <c r="G744" s="38"/>
      <c r="H744" s="31"/>
      <c r="I744" s="32"/>
      <c r="J744" s="32"/>
      <c r="K744" s="45" t="s">
        <v>888</v>
      </c>
      <c r="L744" s="129"/>
      <c r="M744" s="33" t="str">
        <f t="shared" si="11"/>
        <v/>
      </c>
      <c r="N744" s="34" t="str">
        <f>IFERROR(IF(Tabela1[[#This Row],[Nome fantasia]]="","",_xlfn.XLOOKUP($C744,Log!D:D,Log!B:B,,,-1)),"")</f>
        <v/>
      </c>
      <c r="O744" s="35" t="str">
        <f>IFERROR(_xlfn.XLOOKUP($C744,Log!D:D,Log!W:W,,,-1),"")</f>
        <v/>
      </c>
      <c r="P744" s="35" t="str">
        <f>IFERROR(_xlfn.XLOOKUP($C744,Log!D:D,Log!Y:Y,,,-1),"")</f>
        <v/>
      </c>
      <c r="Q744" s="130"/>
      <c r="R744" s="131" t="str">
        <f>IFERROR(IF(Tabela1[[#This Row],[Nome fantasia]]="","",_xlfn.XLOOKUP($C744,Log!D:D,Log!X:X,,,-1)),"")</f>
        <v/>
      </c>
    </row>
    <row r="745" spans="3:18" hidden="1" x14ac:dyDescent="0.2">
      <c r="C745" s="30" t="s">
        <v>2039</v>
      </c>
      <c r="D745" s="110" t="s">
        <v>2040</v>
      </c>
      <c r="E745" s="33" t="s">
        <v>46</v>
      </c>
      <c r="F745" s="38"/>
      <c r="G745" s="38"/>
      <c r="H745" s="31"/>
      <c r="I745" s="32"/>
      <c r="J745" s="32"/>
      <c r="K745" s="45" t="s">
        <v>888</v>
      </c>
      <c r="L745" s="129"/>
      <c r="M745" s="33" t="str">
        <f t="shared" si="11"/>
        <v/>
      </c>
      <c r="N745" s="34" t="str">
        <f>IFERROR(IF(Tabela1[[#This Row],[Nome fantasia]]="","",_xlfn.XLOOKUP($C745,Log!D:D,Log!B:B,,,-1)),"")</f>
        <v/>
      </c>
      <c r="O745" s="35" t="str">
        <f>IFERROR(_xlfn.XLOOKUP($C745,Log!D:D,Log!W:W,,,-1),"")</f>
        <v/>
      </c>
      <c r="P745" s="35" t="str">
        <f>IFERROR(_xlfn.XLOOKUP($C745,Log!D:D,Log!Y:Y,,,-1),"")</f>
        <v/>
      </c>
      <c r="Q745" s="130"/>
      <c r="R745" s="131" t="str">
        <f>IFERROR(IF(Tabela1[[#This Row],[Nome fantasia]]="","",_xlfn.XLOOKUP($C745,Log!D:D,Log!X:X,,,-1)),"")</f>
        <v/>
      </c>
    </row>
    <row r="746" spans="3:18" hidden="1" x14ac:dyDescent="0.2">
      <c r="C746" s="30" t="s">
        <v>2041</v>
      </c>
      <c r="D746" s="110" t="s">
        <v>2042</v>
      </c>
      <c r="E746" s="33" t="s">
        <v>46</v>
      </c>
      <c r="F746" s="38"/>
      <c r="G746" s="38"/>
      <c r="H746" s="31"/>
      <c r="I746" s="32"/>
      <c r="J746" s="32"/>
      <c r="K746" s="45" t="s">
        <v>888</v>
      </c>
      <c r="L746" s="129"/>
      <c r="M746" s="33" t="str">
        <f t="shared" si="11"/>
        <v/>
      </c>
      <c r="N746" s="34" t="str">
        <f>IFERROR(IF(Tabela1[[#This Row],[Nome fantasia]]="","",_xlfn.XLOOKUP($C746,Log!D:D,Log!B:B,,,-1)),"")</f>
        <v/>
      </c>
      <c r="O746" s="35" t="str">
        <f>IFERROR(_xlfn.XLOOKUP($C746,Log!D:D,Log!W:W,,,-1),"")</f>
        <v/>
      </c>
      <c r="P746" s="35" t="str">
        <f>IFERROR(_xlfn.XLOOKUP($C746,Log!D:D,Log!Y:Y,,,-1),"")</f>
        <v/>
      </c>
      <c r="Q746" s="130"/>
      <c r="R746" s="131" t="str">
        <f>IFERROR(IF(Tabela1[[#This Row],[Nome fantasia]]="","",_xlfn.XLOOKUP($C746,Log!D:D,Log!X:X,,,-1)),"")</f>
        <v/>
      </c>
    </row>
    <row r="747" spans="3:18" hidden="1" x14ac:dyDescent="0.2">
      <c r="C747" s="30" t="s">
        <v>2043</v>
      </c>
      <c r="D747" s="110" t="s">
        <v>2044</v>
      </c>
      <c r="E747" s="33" t="s">
        <v>22</v>
      </c>
      <c r="F747" s="38"/>
      <c r="G747" s="38"/>
      <c r="H747" s="31"/>
      <c r="I747" s="32"/>
      <c r="J747" s="32"/>
      <c r="K747" s="45" t="s">
        <v>888</v>
      </c>
      <c r="L747" s="129"/>
      <c r="M747" s="33" t="str">
        <f t="shared" si="11"/>
        <v/>
      </c>
      <c r="N747" s="34" t="str">
        <f>IFERROR(IF(Tabela1[[#This Row],[Nome fantasia]]="","",_xlfn.XLOOKUP($C747,Log!D:D,Log!B:B,,,-1)),"")</f>
        <v/>
      </c>
      <c r="O747" s="35" t="str">
        <f>IFERROR(_xlfn.XLOOKUP($C747,Log!D:D,Log!W:W,,,-1),"")</f>
        <v/>
      </c>
      <c r="P747" s="35" t="str">
        <f>IFERROR(_xlfn.XLOOKUP($C747,Log!D:D,Log!Y:Y,,,-1),"")</f>
        <v/>
      </c>
      <c r="Q747" s="130"/>
      <c r="R747" s="131" t="str">
        <f>IFERROR(IF(Tabela1[[#This Row],[Nome fantasia]]="","",_xlfn.XLOOKUP($C747,Log!D:D,Log!X:X,,,-1)),"")</f>
        <v/>
      </c>
    </row>
    <row r="748" spans="3:18" hidden="1" x14ac:dyDescent="0.2">
      <c r="C748" s="30" t="s">
        <v>2045</v>
      </c>
      <c r="D748" s="110" t="s">
        <v>2046</v>
      </c>
      <c r="E748" s="33" t="s">
        <v>46</v>
      </c>
      <c r="F748" s="38"/>
      <c r="G748" s="38"/>
      <c r="H748" s="31"/>
      <c r="I748" s="32"/>
      <c r="J748" s="32"/>
      <c r="K748" s="45" t="s">
        <v>888</v>
      </c>
      <c r="L748" s="129"/>
      <c r="M748" s="33" t="str">
        <f t="shared" si="11"/>
        <v/>
      </c>
      <c r="N748" s="34" t="str">
        <f>IFERROR(IF(Tabela1[[#This Row],[Nome fantasia]]="","",_xlfn.XLOOKUP($C748,Log!D:D,Log!B:B,,,-1)),"")</f>
        <v/>
      </c>
      <c r="O748" s="35" t="str">
        <f>IFERROR(_xlfn.XLOOKUP($C748,Log!D:D,Log!W:W,,,-1),"")</f>
        <v/>
      </c>
      <c r="P748" s="35" t="str">
        <f>IFERROR(_xlfn.XLOOKUP($C748,Log!D:D,Log!Y:Y,,,-1),"")</f>
        <v/>
      </c>
      <c r="Q748" s="130"/>
      <c r="R748" s="131" t="str">
        <f>IFERROR(IF(Tabela1[[#This Row],[Nome fantasia]]="","",_xlfn.XLOOKUP($C748,Log!D:D,Log!X:X,,,-1)),"")</f>
        <v/>
      </c>
    </row>
    <row r="749" spans="3:18" hidden="1" x14ac:dyDescent="0.2">
      <c r="C749" s="30" t="s">
        <v>2047</v>
      </c>
      <c r="D749" s="110" t="s">
        <v>2048</v>
      </c>
      <c r="E749" s="33" t="s">
        <v>17</v>
      </c>
      <c r="F749" s="38"/>
      <c r="G749" s="38"/>
      <c r="H749" s="31"/>
      <c r="I749" s="32"/>
      <c r="J749" s="32"/>
      <c r="K749" s="45" t="s">
        <v>888</v>
      </c>
      <c r="L749" s="129"/>
      <c r="M749" s="33" t="str">
        <f t="shared" si="11"/>
        <v/>
      </c>
      <c r="N749" s="34" t="str">
        <f>IFERROR(IF(Tabela1[[#This Row],[Nome fantasia]]="","",_xlfn.XLOOKUP($C749,Log!D:D,Log!B:B,,,-1)),"")</f>
        <v/>
      </c>
      <c r="O749" s="35" t="str">
        <f>IFERROR(_xlfn.XLOOKUP($C749,Log!D:D,Log!W:W,,,-1),"")</f>
        <v/>
      </c>
      <c r="P749" s="35" t="str">
        <f>IFERROR(_xlfn.XLOOKUP($C749,Log!D:D,Log!Y:Y,,,-1),"")</f>
        <v/>
      </c>
      <c r="Q749" s="130"/>
      <c r="R749" s="131" t="str">
        <f>IFERROR(IF(Tabela1[[#This Row],[Nome fantasia]]="","",_xlfn.XLOOKUP($C749,Log!D:D,Log!X:X,,,-1)),"")</f>
        <v/>
      </c>
    </row>
    <row r="750" spans="3:18" hidden="1" x14ac:dyDescent="0.2">
      <c r="C750" s="30" t="s">
        <v>2049</v>
      </c>
      <c r="D750" s="110" t="s">
        <v>2050</v>
      </c>
      <c r="E750" s="33" t="s">
        <v>22</v>
      </c>
      <c r="F750" s="38"/>
      <c r="G750" s="38"/>
      <c r="H750" s="31"/>
      <c r="I750" s="32"/>
      <c r="J750" s="32"/>
      <c r="K750" s="45" t="s">
        <v>888</v>
      </c>
      <c r="L750" s="129"/>
      <c r="M750" s="33" t="str">
        <f t="shared" si="11"/>
        <v/>
      </c>
      <c r="N750" s="34" t="str">
        <f>IFERROR(IF(Tabela1[[#This Row],[Nome fantasia]]="","",_xlfn.XLOOKUP($C750,Log!D:D,Log!B:B,,,-1)),"")</f>
        <v/>
      </c>
      <c r="O750" s="35" t="str">
        <f>IFERROR(_xlfn.XLOOKUP($C750,Log!D:D,Log!W:W,,,-1),"")</f>
        <v/>
      </c>
      <c r="P750" s="35" t="str">
        <f>IFERROR(_xlfn.XLOOKUP($C750,Log!D:D,Log!Y:Y,,,-1),"")</f>
        <v/>
      </c>
      <c r="Q750" s="130"/>
      <c r="R750" s="131" t="str">
        <f>IFERROR(IF(Tabela1[[#This Row],[Nome fantasia]]="","",_xlfn.XLOOKUP($C750,Log!D:D,Log!X:X,,,-1)),"")</f>
        <v/>
      </c>
    </row>
    <row r="751" spans="3:18" hidden="1" x14ac:dyDescent="0.2">
      <c r="C751" s="30" t="s">
        <v>2051</v>
      </c>
      <c r="D751" s="110" t="s">
        <v>2052</v>
      </c>
      <c r="E751" s="33" t="s">
        <v>17</v>
      </c>
      <c r="F751" s="38"/>
      <c r="G751" s="38"/>
      <c r="H751" s="31"/>
      <c r="I751" s="32"/>
      <c r="J751" s="32"/>
      <c r="K751" s="45" t="s">
        <v>888</v>
      </c>
      <c r="L751" s="129"/>
      <c r="M751" s="33" t="str">
        <f t="shared" si="11"/>
        <v/>
      </c>
      <c r="N751" s="34" t="str">
        <f>IFERROR(IF(Tabela1[[#This Row],[Nome fantasia]]="","",_xlfn.XLOOKUP($C751,Log!D:D,Log!B:B,,,-1)),"")</f>
        <v/>
      </c>
      <c r="O751" s="35" t="str">
        <f>IFERROR(_xlfn.XLOOKUP($C751,Log!D:D,Log!W:W,,,-1),"")</f>
        <v/>
      </c>
      <c r="P751" s="35" t="str">
        <f>IFERROR(_xlfn.XLOOKUP($C751,Log!D:D,Log!Y:Y,,,-1),"")</f>
        <v/>
      </c>
      <c r="Q751" s="130"/>
      <c r="R751" s="131" t="str">
        <f>IFERROR(IF(Tabela1[[#This Row],[Nome fantasia]]="","",_xlfn.XLOOKUP($C751,Log!D:D,Log!X:X,,,-1)),"")</f>
        <v/>
      </c>
    </row>
    <row r="752" spans="3:18" hidden="1" x14ac:dyDescent="0.2">
      <c r="C752" s="30" t="s">
        <v>2053</v>
      </c>
      <c r="D752" s="110" t="s">
        <v>2054</v>
      </c>
      <c r="E752" s="33" t="s">
        <v>17</v>
      </c>
      <c r="F752" s="38"/>
      <c r="G752" s="38"/>
      <c r="H752" s="31"/>
      <c r="I752" s="32"/>
      <c r="J752" s="32"/>
      <c r="K752" s="45" t="s">
        <v>888</v>
      </c>
      <c r="L752" s="129"/>
      <c r="M752" s="33" t="str">
        <f t="shared" si="11"/>
        <v/>
      </c>
      <c r="N752" s="34" t="str">
        <f>IFERROR(IF(Tabela1[[#This Row],[Nome fantasia]]="","",_xlfn.XLOOKUP($C752,Log!D:D,Log!B:B,,,-1)),"")</f>
        <v/>
      </c>
      <c r="O752" s="35" t="str">
        <f>IFERROR(_xlfn.XLOOKUP($C752,Log!D:D,Log!W:W,,,-1),"")</f>
        <v/>
      </c>
      <c r="P752" s="35" t="str">
        <f>IFERROR(_xlfn.XLOOKUP($C752,Log!D:D,Log!Y:Y,,,-1),"")</f>
        <v/>
      </c>
      <c r="Q752" s="130"/>
      <c r="R752" s="131" t="str">
        <f>IFERROR(IF(Tabela1[[#This Row],[Nome fantasia]]="","",_xlfn.XLOOKUP($C752,Log!D:D,Log!X:X,,,-1)),"")</f>
        <v/>
      </c>
    </row>
    <row r="753" spans="3:18" hidden="1" x14ac:dyDescent="0.2">
      <c r="C753" s="30" t="s">
        <v>2055</v>
      </c>
      <c r="D753" s="110" t="s">
        <v>2056</v>
      </c>
      <c r="E753" s="33" t="s">
        <v>46</v>
      </c>
      <c r="F753" s="38"/>
      <c r="G753" s="38"/>
      <c r="H753" s="31"/>
      <c r="I753" s="32"/>
      <c r="J753" s="32"/>
      <c r="K753" s="45" t="s">
        <v>888</v>
      </c>
      <c r="L753" s="129"/>
      <c r="M753" s="33" t="str">
        <f t="shared" si="11"/>
        <v/>
      </c>
      <c r="N753" s="34" t="str">
        <f>IFERROR(IF(Tabela1[[#This Row],[Nome fantasia]]="","",_xlfn.XLOOKUP($C753,Log!D:D,Log!B:B,,,-1)),"")</f>
        <v/>
      </c>
      <c r="O753" s="35" t="str">
        <f>IFERROR(_xlfn.XLOOKUP($C753,Log!D:D,Log!W:W,,,-1),"")</f>
        <v/>
      </c>
      <c r="P753" s="35" t="str">
        <f>IFERROR(_xlfn.XLOOKUP($C753,Log!D:D,Log!Y:Y,,,-1),"")</f>
        <v/>
      </c>
      <c r="Q753" s="130"/>
      <c r="R753" s="131" t="str">
        <f>IFERROR(IF(Tabela1[[#This Row],[Nome fantasia]]="","",_xlfn.XLOOKUP($C753,Log!D:D,Log!X:X,,,-1)),"")</f>
        <v/>
      </c>
    </row>
    <row r="754" spans="3:18" hidden="1" x14ac:dyDescent="0.2">
      <c r="C754" s="30" t="s">
        <v>2057</v>
      </c>
      <c r="D754" s="110" t="s">
        <v>2058</v>
      </c>
      <c r="E754" s="33" t="s">
        <v>46</v>
      </c>
      <c r="F754" s="38"/>
      <c r="G754" s="38"/>
      <c r="H754" s="31"/>
      <c r="I754" s="32"/>
      <c r="J754" s="32"/>
      <c r="K754" s="45" t="s">
        <v>888</v>
      </c>
      <c r="L754" s="129"/>
      <c r="M754" s="33" t="str">
        <f t="shared" si="11"/>
        <v/>
      </c>
      <c r="N754" s="34" t="str">
        <f>IFERROR(IF(Tabela1[[#This Row],[Nome fantasia]]="","",_xlfn.XLOOKUP($C754,Log!D:D,Log!B:B,,,-1)),"")</f>
        <v/>
      </c>
      <c r="O754" s="35" t="str">
        <f>IFERROR(_xlfn.XLOOKUP($C754,Log!D:D,Log!W:W,,,-1),"")</f>
        <v/>
      </c>
      <c r="P754" s="35" t="str">
        <f>IFERROR(_xlfn.XLOOKUP($C754,Log!D:D,Log!Y:Y,,,-1),"")</f>
        <v/>
      </c>
      <c r="Q754" s="130"/>
      <c r="R754" s="131" t="str">
        <f>IFERROR(IF(Tabela1[[#This Row],[Nome fantasia]]="","",_xlfn.XLOOKUP($C754,Log!D:D,Log!X:X,,,-1)),"")</f>
        <v/>
      </c>
    </row>
    <row r="755" spans="3:18" hidden="1" x14ac:dyDescent="0.2">
      <c r="C755" s="30" t="s">
        <v>2059</v>
      </c>
      <c r="D755" s="110" t="s">
        <v>2060</v>
      </c>
      <c r="E755" s="33" t="s">
        <v>46</v>
      </c>
      <c r="F755" s="38"/>
      <c r="G755" s="38"/>
      <c r="H755" s="31"/>
      <c r="I755" s="32"/>
      <c r="J755" s="32"/>
      <c r="K755" s="45" t="s">
        <v>888</v>
      </c>
      <c r="L755" s="129"/>
      <c r="M755" s="33" t="str">
        <f t="shared" si="11"/>
        <v/>
      </c>
      <c r="N755" s="34" t="str">
        <f>IFERROR(IF(Tabela1[[#This Row],[Nome fantasia]]="","",_xlfn.XLOOKUP($C755,Log!D:D,Log!B:B,,,-1)),"")</f>
        <v/>
      </c>
      <c r="O755" s="35" t="str">
        <f>IFERROR(_xlfn.XLOOKUP($C755,Log!D:D,Log!W:W,,,-1),"")</f>
        <v/>
      </c>
      <c r="P755" s="35" t="str">
        <f>IFERROR(_xlfn.XLOOKUP($C755,Log!D:D,Log!Y:Y,,,-1),"")</f>
        <v/>
      </c>
      <c r="Q755" s="130"/>
      <c r="R755" s="131" t="str">
        <f>IFERROR(IF(Tabela1[[#This Row],[Nome fantasia]]="","",_xlfn.XLOOKUP($C755,Log!D:D,Log!X:X,,,-1)),"")</f>
        <v/>
      </c>
    </row>
    <row r="756" spans="3:18" hidden="1" x14ac:dyDescent="0.2">
      <c r="C756" s="30" t="s">
        <v>2061</v>
      </c>
      <c r="D756" s="110" t="s">
        <v>2062</v>
      </c>
      <c r="E756" s="33" t="s">
        <v>46</v>
      </c>
      <c r="F756" s="38"/>
      <c r="G756" s="38"/>
      <c r="H756" s="31"/>
      <c r="I756" s="32"/>
      <c r="J756" s="32"/>
      <c r="K756" s="45" t="s">
        <v>888</v>
      </c>
      <c r="L756" s="129"/>
      <c r="M756" s="33" t="str">
        <f t="shared" si="11"/>
        <v/>
      </c>
      <c r="N756" s="34" t="str">
        <f>IFERROR(IF(Tabela1[[#This Row],[Nome fantasia]]="","",_xlfn.XLOOKUP($C756,Log!D:D,Log!B:B,,,-1)),"")</f>
        <v/>
      </c>
      <c r="O756" s="35" t="str">
        <f>IFERROR(_xlfn.XLOOKUP($C756,Log!D:D,Log!W:W,,,-1),"")</f>
        <v/>
      </c>
      <c r="P756" s="35" t="str">
        <f>IFERROR(_xlfn.XLOOKUP($C756,Log!D:D,Log!Y:Y,,,-1),"")</f>
        <v/>
      </c>
      <c r="Q756" s="130"/>
      <c r="R756" s="131" t="str">
        <f>IFERROR(IF(Tabela1[[#This Row],[Nome fantasia]]="","",_xlfn.XLOOKUP($C756,Log!D:D,Log!X:X,,,-1)),"")</f>
        <v/>
      </c>
    </row>
    <row r="757" spans="3:18" hidden="1" x14ac:dyDescent="0.2">
      <c r="C757" s="30" t="s">
        <v>2063</v>
      </c>
      <c r="D757" s="110" t="s">
        <v>2064</v>
      </c>
      <c r="E757" s="33" t="s">
        <v>46</v>
      </c>
      <c r="F757" s="38"/>
      <c r="G757" s="38"/>
      <c r="H757" s="31"/>
      <c r="I757" s="32"/>
      <c r="J757" s="32"/>
      <c r="K757" s="45" t="s">
        <v>888</v>
      </c>
      <c r="L757" s="129"/>
      <c r="M757" s="33" t="str">
        <f t="shared" si="11"/>
        <v/>
      </c>
      <c r="N757" s="34" t="str">
        <f>IFERROR(IF(Tabela1[[#This Row],[Nome fantasia]]="","",_xlfn.XLOOKUP($C757,Log!D:D,Log!B:B,,,-1)),"")</f>
        <v/>
      </c>
      <c r="O757" s="35" t="str">
        <f>IFERROR(_xlfn.XLOOKUP($C757,Log!D:D,Log!W:W,,,-1),"")</f>
        <v/>
      </c>
      <c r="P757" s="35" t="str">
        <f>IFERROR(_xlfn.XLOOKUP($C757,Log!D:D,Log!Y:Y,,,-1),"")</f>
        <v/>
      </c>
      <c r="Q757" s="130"/>
      <c r="R757" s="131" t="str">
        <f>IFERROR(IF(Tabela1[[#This Row],[Nome fantasia]]="","",_xlfn.XLOOKUP($C757,Log!D:D,Log!X:X,,,-1)),"")</f>
        <v/>
      </c>
    </row>
    <row r="758" spans="3:18" hidden="1" x14ac:dyDescent="0.2">
      <c r="C758" s="30" t="s">
        <v>2065</v>
      </c>
      <c r="D758" s="110" t="s">
        <v>2066</v>
      </c>
      <c r="E758" s="33" t="s">
        <v>46</v>
      </c>
      <c r="F758" s="38"/>
      <c r="G758" s="38"/>
      <c r="H758" s="31"/>
      <c r="I758" s="32"/>
      <c r="J758" s="32"/>
      <c r="K758" s="45" t="s">
        <v>888</v>
      </c>
      <c r="L758" s="129"/>
      <c r="M758" s="33" t="str">
        <f t="shared" si="11"/>
        <v/>
      </c>
      <c r="N758" s="34" t="str">
        <f>IFERROR(IF(Tabela1[[#This Row],[Nome fantasia]]="","",_xlfn.XLOOKUP($C758,Log!D:D,Log!B:B,,,-1)),"")</f>
        <v/>
      </c>
      <c r="O758" s="35" t="str">
        <f>IFERROR(_xlfn.XLOOKUP($C758,Log!D:D,Log!W:W,,,-1),"")</f>
        <v/>
      </c>
      <c r="P758" s="35" t="str">
        <f>IFERROR(_xlfn.XLOOKUP($C758,Log!D:D,Log!Y:Y,,,-1),"")</f>
        <v/>
      </c>
      <c r="Q758" s="130"/>
      <c r="R758" s="131" t="str">
        <f>IFERROR(IF(Tabela1[[#This Row],[Nome fantasia]]="","",_xlfn.XLOOKUP($C758,Log!D:D,Log!X:X,,,-1)),"")</f>
        <v/>
      </c>
    </row>
    <row r="759" spans="3:18" hidden="1" x14ac:dyDescent="0.2">
      <c r="C759" s="30" t="s">
        <v>2067</v>
      </c>
      <c r="D759" s="110" t="s">
        <v>2068</v>
      </c>
      <c r="E759" s="33" t="s">
        <v>46</v>
      </c>
      <c r="F759" s="38"/>
      <c r="G759" s="38"/>
      <c r="H759" s="31"/>
      <c r="I759" s="32"/>
      <c r="J759" s="32"/>
      <c r="K759" s="45" t="s">
        <v>888</v>
      </c>
      <c r="L759" s="129"/>
      <c r="M759" s="33" t="str">
        <f t="shared" si="11"/>
        <v/>
      </c>
      <c r="N759" s="34" t="str">
        <f>IFERROR(IF(Tabela1[[#This Row],[Nome fantasia]]="","",_xlfn.XLOOKUP($C759,Log!D:D,Log!B:B,,,-1)),"")</f>
        <v/>
      </c>
      <c r="O759" s="35" t="str">
        <f>IFERROR(_xlfn.XLOOKUP($C759,Log!D:D,Log!W:W,,,-1),"")</f>
        <v/>
      </c>
      <c r="P759" s="35" t="str">
        <f>IFERROR(_xlfn.XLOOKUP($C759,Log!D:D,Log!Y:Y,,,-1),"")</f>
        <v/>
      </c>
      <c r="Q759" s="130"/>
      <c r="R759" s="131" t="str">
        <f>IFERROR(IF(Tabela1[[#This Row],[Nome fantasia]]="","",_xlfn.XLOOKUP($C759,Log!D:D,Log!X:X,,,-1)),"")</f>
        <v/>
      </c>
    </row>
    <row r="760" spans="3:18" hidden="1" x14ac:dyDescent="0.2">
      <c r="C760" s="30" t="s">
        <v>2069</v>
      </c>
      <c r="D760" s="110" t="s">
        <v>2070</v>
      </c>
      <c r="E760" s="33" t="s">
        <v>17</v>
      </c>
      <c r="F760" s="38"/>
      <c r="G760" s="38"/>
      <c r="H760" s="31"/>
      <c r="I760" s="32"/>
      <c r="J760" s="32"/>
      <c r="K760" s="45" t="s">
        <v>888</v>
      </c>
      <c r="L760" s="129"/>
      <c r="M760" s="33" t="str">
        <f t="shared" si="11"/>
        <v/>
      </c>
      <c r="N760" s="34" t="str">
        <f>IFERROR(IF(Tabela1[[#This Row],[Nome fantasia]]="","",_xlfn.XLOOKUP($C760,Log!D:D,Log!B:B,,,-1)),"")</f>
        <v/>
      </c>
      <c r="O760" s="35" t="str">
        <f>IFERROR(_xlfn.XLOOKUP($C760,Log!D:D,Log!W:W,,,-1),"")</f>
        <v/>
      </c>
      <c r="P760" s="35" t="str">
        <f>IFERROR(_xlfn.XLOOKUP($C760,Log!D:D,Log!Y:Y,,,-1),"")</f>
        <v/>
      </c>
      <c r="Q760" s="130"/>
      <c r="R760" s="131" t="str">
        <f>IFERROR(IF(Tabela1[[#This Row],[Nome fantasia]]="","",_xlfn.XLOOKUP($C760,Log!D:D,Log!X:X,,,-1)),"")</f>
        <v/>
      </c>
    </row>
    <row r="761" spans="3:18" hidden="1" x14ac:dyDescent="0.2">
      <c r="C761" s="30" t="s">
        <v>2071</v>
      </c>
      <c r="D761" s="110" t="s">
        <v>2072</v>
      </c>
      <c r="E761" s="33" t="s">
        <v>22</v>
      </c>
      <c r="F761" s="38"/>
      <c r="G761" s="38"/>
      <c r="H761" s="31"/>
      <c r="I761" s="32"/>
      <c r="J761" s="32"/>
      <c r="K761" s="45" t="s">
        <v>888</v>
      </c>
      <c r="L761" s="129"/>
      <c r="M761" s="33" t="str">
        <f t="shared" si="11"/>
        <v/>
      </c>
      <c r="N761" s="34" t="str">
        <f>IFERROR(IF(Tabela1[[#This Row],[Nome fantasia]]="","",_xlfn.XLOOKUP($C761,Log!D:D,Log!B:B,,,-1)),"")</f>
        <v/>
      </c>
      <c r="O761" s="35" t="str">
        <f>IFERROR(_xlfn.XLOOKUP($C761,Log!D:D,Log!W:W,,,-1),"")</f>
        <v/>
      </c>
      <c r="P761" s="35" t="str">
        <f>IFERROR(_xlfn.XLOOKUP($C761,Log!D:D,Log!Y:Y,,,-1),"")</f>
        <v/>
      </c>
      <c r="Q761" s="130"/>
      <c r="R761" s="131" t="str">
        <f>IFERROR(IF(Tabela1[[#This Row],[Nome fantasia]]="","",_xlfn.XLOOKUP($C761,Log!D:D,Log!X:X,,,-1)),"")</f>
        <v/>
      </c>
    </row>
    <row r="762" spans="3:18" hidden="1" x14ac:dyDescent="0.2">
      <c r="C762" s="30" t="s">
        <v>2073</v>
      </c>
      <c r="D762" s="110" t="s">
        <v>2074</v>
      </c>
      <c r="E762" s="33" t="s">
        <v>46</v>
      </c>
      <c r="F762" s="38"/>
      <c r="G762" s="38"/>
      <c r="H762" s="31"/>
      <c r="I762" s="32"/>
      <c r="J762" s="32"/>
      <c r="K762" s="45" t="s">
        <v>888</v>
      </c>
      <c r="L762" s="129"/>
      <c r="M762" s="33" t="str">
        <f t="shared" si="11"/>
        <v/>
      </c>
      <c r="N762" s="34" t="str">
        <f>IFERROR(IF(Tabela1[[#This Row],[Nome fantasia]]="","",_xlfn.XLOOKUP($C762,Log!D:D,Log!B:B,,,-1)),"")</f>
        <v/>
      </c>
      <c r="O762" s="35" t="str">
        <f>IFERROR(_xlfn.XLOOKUP($C762,Log!D:D,Log!W:W,,,-1),"")</f>
        <v/>
      </c>
      <c r="P762" s="35" t="str">
        <f>IFERROR(_xlfn.XLOOKUP($C762,Log!D:D,Log!Y:Y,,,-1),"")</f>
        <v/>
      </c>
      <c r="Q762" s="130"/>
      <c r="R762" s="131" t="str">
        <f>IFERROR(IF(Tabela1[[#This Row],[Nome fantasia]]="","",_xlfn.XLOOKUP($C762,Log!D:D,Log!X:X,,,-1)),"")</f>
        <v/>
      </c>
    </row>
    <row r="763" spans="3:18" hidden="1" x14ac:dyDescent="0.2">
      <c r="C763" s="30" t="s">
        <v>2075</v>
      </c>
      <c r="D763" s="110" t="s">
        <v>2076</v>
      </c>
      <c r="E763" s="33" t="s">
        <v>22</v>
      </c>
      <c r="F763" s="38"/>
      <c r="G763" s="38"/>
      <c r="H763" s="31"/>
      <c r="I763" s="32"/>
      <c r="J763" s="32"/>
      <c r="K763" s="45" t="s">
        <v>888</v>
      </c>
      <c r="L763" s="129"/>
      <c r="M763" s="33" t="str">
        <f t="shared" si="11"/>
        <v/>
      </c>
      <c r="N763" s="34" t="str">
        <f>IFERROR(IF(Tabela1[[#This Row],[Nome fantasia]]="","",_xlfn.XLOOKUP($C763,Log!D:D,Log!B:B,,,-1)),"")</f>
        <v/>
      </c>
      <c r="O763" s="35" t="str">
        <f>IFERROR(_xlfn.XLOOKUP($C763,Log!D:D,Log!W:W,,,-1),"")</f>
        <v/>
      </c>
      <c r="P763" s="35" t="str">
        <f>IFERROR(_xlfn.XLOOKUP($C763,Log!D:D,Log!Y:Y,,,-1),"")</f>
        <v/>
      </c>
      <c r="Q763" s="130"/>
      <c r="R763" s="131" t="str">
        <f>IFERROR(IF(Tabela1[[#This Row],[Nome fantasia]]="","",_xlfn.XLOOKUP($C763,Log!D:D,Log!X:X,,,-1)),"")</f>
        <v/>
      </c>
    </row>
    <row r="764" spans="3:18" hidden="1" x14ac:dyDescent="0.2">
      <c r="C764" s="30"/>
      <c r="D764" s="110"/>
      <c r="E764" s="33" t="s">
        <v>46</v>
      </c>
      <c r="F764" s="38"/>
      <c r="G764" s="38"/>
      <c r="H764" s="31"/>
      <c r="I764" s="32"/>
      <c r="J764" s="32"/>
      <c r="K764" s="45" t="s">
        <v>888</v>
      </c>
      <c r="L764" s="129"/>
      <c r="M764" s="33" t="str">
        <f t="shared" si="11"/>
        <v/>
      </c>
      <c r="N764" s="34" t="str">
        <f>IFERROR(IF(Tabela1[[#This Row],[Nome fantasia]]="","",_xlfn.XLOOKUP($C764,Log!D:D,Log!B:B,,,-1)),"")</f>
        <v/>
      </c>
      <c r="O764" s="35" t="str">
        <f>IFERROR(_xlfn.XLOOKUP($C764,Log!D:D,Log!W:W,,,-1),"")</f>
        <v/>
      </c>
      <c r="P764" s="35" t="str">
        <f>IFERROR(_xlfn.XLOOKUP($C764,Log!D:D,Log!Y:Y,,,-1),"")</f>
        <v/>
      </c>
      <c r="Q764" s="130"/>
      <c r="R764" s="131" t="str">
        <f>IFERROR(IF(Tabela1[[#This Row],[Nome fantasia]]="","",_xlfn.XLOOKUP($C764,Log!D:D,Log!X:X,,,-1)),"")</f>
        <v/>
      </c>
    </row>
    <row r="765" spans="3:18" hidden="1" x14ac:dyDescent="0.2">
      <c r="C765" s="30" t="s">
        <v>2077</v>
      </c>
      <c r="D765" s="110" t="s">
        <v>2078</v>
      </c>
      <c r="E765" s="33" t="s">
        <v>46</v>
      </c>
      <c r="F765" s="38"/>
      <c r="G765" s="38"/>
      <c r="H765" s="31"/>
      <c r="I765" s="32"/>
      <c r="J765" s="32"/>
      <c r="K765" s="45" t="s">
        <v>888</v>
      </c>
      <c r="L765" s="129"/>
      <c r="M765" s="33" t="str">
        <f t="shared" si="11"/>
        <v/>
      </c>
      <c r="N765" s="34" t="str">
        <f>IFERROR(IF(Tabela1[[#This Row],[Nome fantasia]]="","",_xlfn.XLOOKUP($C765,Log!D:D,Log!B:B,,,-1)),"")</f>
        <v/>
      </c>
      <c r="O765" s="35" t="str">
        <f>IFERROR(_xlfn.XLOOKUP($C765,Log!D:D,Log!W:W,,,-1),"")</f>
        <v/>
      </c>
      <c r="P765" s="35" t="str">
        <f>IFERROR(_xlfn.XLOOKUP($C765,Log!D:D,Log!Y:Y,,,-1),"")</f>
        <v/>
      </c>
      <c r="Q765" s="130"/>
      <c r="R765" s="131" t="str">
        <f>IFERROR(IF(Tabela1[[#This Row],[Nome fantasia]]="","",_xlfn.XLOOKUP($C765,Log!D:D,Log!X:X,,,-1)),"")</f>
        <v/>
      </c>
    </row>
    <row r="766" spans="3:18" hidden="1" x14ac:dyDescent="0.2">
      <c r="C766" s="30" t="s">
        <v>2079</v>
      </c>
      <c r="D766" s="110" t="s">
        <v>2080</v>
      </c>
      <c r="E766" s="33" t="s">
        <v>46</v>
      </c>
      <c r="F766" s="38"/>
      <c r="G766" s="38"/>
      <c r="H766" s="31"/>
      <c r="I766" s="32"/>
      <c r="J766" s="32"/>
      <c r="K766" s="45" t="s">
        <v>888</v>
      </c>
      <c r="L766" s="129"/>
      <c r="M766" s="33" t="str">
        <f t="shared" si="11"/>
        <v/>
      </c>
      <c r="N766" s="34" t="str">
        <f>IFERROR(IF(Tabela1[[#This Row],[Nome fantasia]]="","",_xlfn.XLOOKUP($C766,Log!D:D,Log!B:B,,,-1)),"")</f>
        <v/>
      </c>
      <c r="O766" s="35" t="str">
        <f>IFERROR(_xlfn.XLOOKUP($C766,Log!D:D,Log!W:W,,,-1),"")</f>
        <v/>
      </c>
      <c r="P766" s="35" t="str">
        <f>IFERROR(_xlfn.XLOOKUP($C766,Log!D:D,Log!Y:Y,,,-1),"")</f>
        <v/>
      </c>
      <c r="Q766" s="130"/>
      <c r="R766" s="131" t="str">
        <f>IFERROR(IF(Tabela1[[#This Row],[Nome fantasia]]="","",_xlfn.XLOOKUP($C766,Log!D:D,Log!X:X,,,-1)),"")</f>
        <v/>
      </c>
    </row>
    <row r="767" spans="3:18" hidden="1" x14ac:dyDescent="0.2">
      <c r="C767" s="30" t="s">
        <v>2081</v>
      </c>
      <c r="D767" s="110" t="s">
        <v>2082</v>
      </c>
      <c r="E767" s="33" t="s">
        <v>22</v>
      </c>
      <c r="F767" s="38"/>
      <c r="G767" s="38"/>
      <c r="H767" s="31"/>
      <c r="I767" s="32"/>
      <c r="J767" s="32"/>
      <c r="K767" s="45" t="s">
        <v>888</v>
      </c>
      <c r="L767" s="129"/>
      <c r="M767" s="33" t="str">
        <f t="shared" si="11"/>
        <v/>
      </c>
      <c r="N767" s="34" t="str">
        <f>IFERROR(IF(Tabela1[[#This Row],[Nome fantasia]]="","",_xlfn.XLOOKUP($C767,Log!D:D,Log!B:B,,,-1)),"")</f>
        <v/>
      </c>
      <c r="O767" s="35" t="str">
        <f>IFERROR(_xlfn.XLOOKUP($C767,Log!D:D,Log!W:W,,,-1),"")</f>
        <v/>
      </c>
      <c r="P767" s="35" t="str">
        <f>IFERROR(_xlfn.XLOOKUP($C767,Log!D:D,Log!Y:Y,,,-1),"")</f>
        <v/>
      </c>
      <c r="Q767" s="130"/>
      <c r="R767" s="131" t="str">
        <f>IFERROR(IF(Tabela1[[#This Row],[Nome fantasia]]="","",_xlfn.XLOOKUP($C767,Log!D:D,Log!X:X,,,-1)),"")</f>
        <v/>
      </c>
    </row>
    <row r="768" spans="3:18" hidden="1" x14ac:dyDescent="0.2">
      <c r="C768" s="30" t="s">
        <v>2083</v>
      </c>
      <c r="D768" s="110" t="s">
        <v>2084</v>
      </c>
      <c r="E768" s="33" t="s">
        <v>46</v>
      </c>
      <c r="F768" s="38"/>
      <c r="G768" s="38"/>
      <c r="H768" s="31"/>
      <c r="I768" s="32"/>
      <c r="J768" s="32"/>
      <c r="K768" s="45" t="s">
        <v>888</v>
      </c>
      <c r="L768" s="129"/>
      <c r="M768" s="33" t="str">
        <f t="shared" si="11"/>
        <v/>
      </c>
      <c r="N768" s="34" t="str">
        <f>IFERROR(IF(Tabela1[[#This Row],[Nome fantasia]]="","",_xlfn.XLOOKUP($C768,Log!D:D,Log!B:B,,,-1)),"")</f>
        <v/>
      </c>
      <c r="O768" s="35" t="str">
        <f>IFERROR(_xlfn.XLOOKUP($C768,Log!D:D,Log!W:W,,,-1),"")</f>
        <v/>
      </c>
      <c r="P768" s="35" t="str">
        <f>IFERROR(_xlfn.XLOOKUP($C768,Log!D:D,Log!Y:Y,,,-1),"")</f>
        <v/>
      </c>
      <c r="Q768" s="130"/>
      <c r="R768" s="131" t="str">
        <f>IFERROR(IF(Tabela1[[#This Row],[Nome fantasia]]="","",_xlfn.XLOOKUP($C768,Log!D:D,Log!X:X,,,-1)),"")</f>
        <v/>
      </c>
    </row>
    <row r="769" spans="3:18" hidden="1" x14ac:dyDescent="0.2">
      <c r="C769" s="30" t="s">
        <v>2085</v>
      </c>
      <c r="D769" s="110" t="s">
        <v>2086</v>
      </c>
      <c r="E769" s="33" t="s">
        <v>22</v>
      </c>
      <c r="F769" s="38"/>
      <c r="G769" s="38"/>
      <c r="H769" s="31"/>
      <c r="I769" s="32"/>
      <c r="J769" s="32"/>
      <c r="K769" s="45" t="s">
        <v>888</v>
      </c>
      <c r="L769" s="129"/>
      <c r="M769" s="33" t="str">
        <f t="shared" si="11"/>
        <v/>
      </c>
      <c r="N769" s="34" t="str">
        <f>IFERROR(IF(Tabela1[[#This Row],[Nome fantasia]]="","",_xlfn.XLOOKUP($C769,Log!D:D,Log!B:B,,,-1)),"")</f>
        <v/>
      </c>
      <c r="O769" s="35" t="str">
        <f>IFERROR(_xlfn.XLOOKUP($C769,Log!D:D,Log!W:W,,,-1),"")</f>
        <v/>
      </c>
      <c r="P769" s="35" t="str">
        <f>IFERROR(_xlfn.XLOOKUP($C769,Log!D:D,Log!Y:Y,,,-1),"")</f>
        <v/>
      </c>
      <c r="Q769" s="130"/>
      <c r="R769" s="131" t="str">
        <f>IFERROR(IF(Tabela1[[#This Row],[Nome fantasia]]="","",_xlfn.XLOOKUP($C769,Log!D:D,Log!X:X,,,-1)),"")</f>
        <v/>
      </c>
    </row>
    <row r="770" spans="3:18" hidden="1" x14ac:dyDescent="0.2">
      <c r="C770" s="30"/>
      <c r="D770" s="110" t="s">
        <v>2087</v>
      </c>
      <c r="E770" s="33" t="s">
        <v>22</v>
      </c>
      <c r="F770" s="38"/>
      <c r="G770" s="38"/>
      <c r="H770" s="31"/>
      <c r="I770" s="32"/>
      <c r="J770" s="32"/>
      <c r="K770" s="45" t="s">
        <v>888</v>
      </c>
      <c r="L770" s="129"/>
      <c r="M770" s="33" t="str">
        <f t="shared" si="11"/>
        <v/>
      </c>
      <c r="N770" s="34" t="str">
        <f>IFERROR(IF(Tabela1[[#This Row],[Nome fantasia]]="","",_xlfn.XLOOKUP($C770,Log!D:D,Log!B:B,,,-1)),"")</f>
        <v/>
      </c>
      <c r="O770" s="35" t="str">
        <f>IFERROR(_xlfn.XLOOKUP($C770,Log!D:D,Log!W:W,,,-1),"")</f>
        <v/>
      </c>
      <c r="P770" s="35" t="str">
        <f>IFERROR(_xlfn.XLOOKUP($C770,Log!D:D,Log!Y:Y,,,-1),"")</f>
        <v/>
      </c>
      <c r="Q770" s="130"/>
      <c r="R770" s="131" t="str">
        <f>IFERROR(IF(Tabela1[[#This Row],[Nome fantasia]]="","",_xlfn.XLOOKUP($C770,Log!D:D,Log!X:X,,,-1)),"")</f>
        <v/>
      </c>
    </row>
    <row r="771" spans="3:18" hidden="1" x14ac:dyDescent="0.2">
      <c r="C771" s="30" t="s">
        <v>2088</v>
      </c>
      <c r="D771" s="110" t="s">
        <v>2089</v>
      </c>
      <c r="E771" s="33" t="s">
        <v>22</v>
      </c>
      <c r="F771" s="38"/>
      <c r="G771" s="38"/>
      <c r="H771" s="31"/>
      <c r="I771" s="32"/>
      <c r="J771" s="32"/>
      <c r="K771" s="45" t="s">
        <v>888</v>
      </c>
      <c r="L771" s="129"/>
      <c r="M771" s="33" t="str">
        <f t="shared" ref="M771:M834" si="12">IF(OR(J771&lt;=0,J771=""),"","Recompra")</f>
        <v/>
      </c>
      <c r="N771" s="34" t="str">
        <f>IFERROR(IF(Tabela1[[#This Row],[Nome fantasia]]="","",_xlfn.XLOOKUP($C771,Log!D:D,Log!B:B,,,-1)),"")</f>
        <v/>
      </c>
      <c r="O771" s="35" t="str">
        <f>IFERROR(_xlfn.XLOOKUP($C771,Log!D:D,Log!W:W,,,-1),"")</f>
        <v/>
      </c>
      <c r="P771" s="35" t="str">
        <f>IFERROR(_xlfn.XLOOKUP($C771,Log!D:D,Log!Y:Y,,,-1),"")</f>
        <v/>
      </c>
      <c r="Q771" s="130"/>
      <c r="R771" s="131" t="str">
        <f>IFERROR(IF(Tabela1[[#This Row],[Nome fantasia]]="","",_xlfn.XLOOKUP($C771,Log!D:D,Log!X:X,,,-1)),"")</f>
        <v/>
      </c>
    </row>
    <row r="772" spans="3:18" hidden="1" x14ac:dyDescent="0.2">
      <c r="C772" s="30" t="s">
        <v>2090</v>
      </c>
      <c r="D772" s="110" t="s">
        <v>2091</v>
      </c>
      <c r="E772" s="33" t="s">
        <v>17</v>
      </c>
      <c r="F772" s="38"/>
      <c r="G772" s="38"/>
      <c r="H772" s="31"/>
      <c r="I772" s="32"/>
      <c r="J772" s="32"/>
      <c r="K772" s="45" t="s">
        <v>888</v>
      </c>
      <c r="L772" s="129"/>
      <c r="M772" s="33" t="str">
        <f t="shared" si="12"/>
        <v/>
      </c>
      <c r="N772" s="34" t="str">
        <f>IFERROR(IF(Tabela1[[#This Row],[Nome fantasia]]="","",_xlfn.XLOOKUP($C772,Log!D:D,Log!B:B,,,-1)),"")</f>
        <v/>
      </c>
      <c r="O772" s="35" t="str">
        <f>IFERROR(_xlfn.XLOOKUP($C772,Log!D:D,Log!W:W,,,-1),"")</f>
        <v/>
      </c>
      <c r="P772" s="35" t="str">
        <f>IFERROR(_xlfn.XLOOKUP($C772,Log!D:D,Log!Y:Y,,,-1),"")</f>
        <v/>
      </c>
      <c r="Q772" s="130"/>
      <c r="R772" s="131" t="str">
        <f>IFERROR(IF(Tabela1[[#This Row],[Nome fantasia]]="","",_xlfn.XLOOKUP($C772,Log!D:D,Log!X:X,,,-1)),"")</f>
        <v/>
      </c>
    </row>
    <row r="773" spans="3:18" hidden="1" x14ac:dyDescent="0.2">
      <c r="C773" s="30"/>
      <c r="D773" s="110" t="s">
        <v>2092</v>
      </c>
      <c r="E773" s="33" t="s">
        <v>22</v>
      </c>
      <c r="F773" s="38"/>
      <c r="G773" s="38"/>
      <c r="H773" s="31"/>
      <c r="I773" s="32"/>
      <c r="J773" s="32"/>
      <c r="K773" s="45" t="s">
        <v>888</v>
      </c>
      <c r="L773" s="129"/>
      <c r="M773" s="33" t="str">
        <f t="shared" si="12"/>
        <v/>
      </c>
      <c r="N773" s="34" t="str">
        <f>IFERROR(IF(Tabela1[[#This Row],[Nome fantasia]]="","",_xlfn.XLOOKUP($C773,Log!D:D,Log!B:B,,,-1)),"")</f>
        <v/>
      </c>
      <c r="O773" s="35" t="str">
        <f>IFERROR(_xlfn.XLOOKUP($C773,Log!D:D,Log!W:W,,,-1),"")</f>
        <v/>
      </c>
      <c r="P773" s="35" t="str">
        <f>IFERROR(_xlfn.XLOOKUP($C773,Log!D:D,Log!Y:Y,,,-1),"")</f>
        <v/>
      </c>
      <c r="Q773" s="130"/>
      <c r="R773" s="131" t="str">
        <f>IFERROR(IF(Tabela1[[#This Row],[Nome fantasia]]="","",_xlfn.XLOOKUP($C773,Log!D:D,Log!X:X,,,-1)),"")</f>
        <v/>
      </c>
    </row>
    <row r="774" spans="3:18" hidden="1" x14ac:dyDescent="0.2">
      <c r="C774" s="30" t="s">
        <v>2093</v>
      </c>
      <c r="D774" s="110" t="s">
        <v>2094</v>
      </c>
      <c r="E774" s="33" t="s">
        <v>22</v>
      </c>
      <c r="F774" s="38"/>
      <c r="G774" s="38"/>
      <c r="H774" s="31"/>
      <c r="I774" s="32"/>
      <c r="J774" s="32"/>
      <c r="K774" s="45" t="s">
        <v>888</v>
      </c>
      <c r="L774" s="129"/>
      <c r="M774" s="33" t="str">
        <f t="shared" si="12"/>
        <v/>
      </c>
      <c r="N774" s="34" t="str">
        <f>IFERROR(IF(Tabela1[[#This Row],[Nome fantasia]]="","",_xlfn.XLOOKUP($C774,Log!D:D,Log!B:B,,,-1)),"")</f>
        <v/>
      </c>
      <c r="O774" s="35" t="str">
        <f>IFERROR(_xlfn.XLOOKUP($C774,Log!D:D,Log!W:W,,,-1),"")</f>
        <v/>
      </c>
      <c r="P774" s="35" t="str">
        <f>IFERROR(_xlfn.XLOOKUP($C774,Log!D:D,Log!Y:Y,,,-1),"")</f>
        <v/>
      </c>
      <c r="Q774" s="130"/>
      <c r="R774" s="131" t="str">
        <f>IFERROR(IF(Tabela1[[#This Row],[Nome fantasia]]="","",_xlfn.XLOOKUP($C774,Log!D:D,Log!X:X,,,-1)),"")</f>
        <v/>
      </c>
    </row>
    <row r="775" spans="3:18" hidden="1" x14ac:dyDescent="0.2">
      <c r="C775" s="30" t="s">
        <v>2095</v>
      </c>
      <c r="D775" s="110" t="s">
        <v>2096</v>
      </c>
      <c r="E775" s="33" t="s">
        <v>46</v>
      </c>
      <c r="F775" s="38"/>
      <c r="G775" s="38"/>
      <c r="H775" s="31"/>
      <c r="I775" s="32"/>
      <c r="J775" s="32"/>
      <c r="K775" s="45" t="s">
        <v>888</v>
      </c>
      <c r="L775" s="129"/>
      <c r="M775" s="33" t="str">
        <f t="shared" si="12"/>
        <v/>
      </c>
      <c r="N775" s="34" t="str">
        <f>IFERROR(IF(Tabela1[[#This Row],[Nome fantasia]]="","",_xlfn.XLOOKUP($C775,Log!D:D,Log!B:B,,,-1)),"")</f>
        <v/>
      </c>
      <c r="O775" s="35" t="str">
        <f>IFERROR(_xlfn.XLOOKUP($C775,Log!D:D,Log!W:W,,,-1),"")</f>
        <v/>
      </c>
      <c r="P775" s="35" t="str">
        <f>IFERROR(_xlfn.XLOOKUP($C775,Log!D:D,Log!Y:Y,,,-1),"")</f>
        <v/>
      </c>
      <c r="Q775" s="130"/>
      <c r="R775" s="131" t="str">
        <f>IFERROR(IF(Tabela1[[#This Row],[Nome fantasia]]="","",_xlfn.XLOOKUP($C775,Log!D:D,Log!X:X,,,-1)),"")</f>
        <v/>
      </c>
    </row>
    <row r="776" spans="3:18" hidden="1" x14ac:dyDescent="0.2">
      <c r="C776" s="30" t="s">
        <v>1862</v>
      </c>
      <c r="D776" s="110" t="s">
        <v>2097</v>
      </c>
      <c r="E776" s="33" t="s">
        <v>22</v>
      </c>
      <c r="F776" s="38"/>
      <c r="G776" s="38"/>
      <c r="H776" s="31"/>
      <c r="I776" s="32"/>
      <c r="J776" s="32"/>
      <c r="K776" s="45" t="s">
        <v>888</v>
      </c>
      <c r="L776" s="129"/>
      <c r="M776" s="33" t="str">
        <f t="shared" si="12"/>
        <v/>
      </c>
      <c r="N776" s="34" t="str">
        <f>IFERROR(IF(Tabela1[[#This Row],[Nome fantasia]]="","",_xlfn.XLOOKUP($C776,Log!D:D,Log!B:B,,,-1)),"")</f>
        <v/>
      </c>
      <c r="O776" s="35" t="str">
        <f>IFERROR(_xlfn.XLOOKUP($C776,Log!D:D,Log!W:W,,,-1),"")</f>
        <v/>
      </c>
      <c r="P776" s="35" t="str">
        <f>IFERROR(_xlfn.XLOOKUP($C776,Log!D:D,Log!Y:Y,,,-1),"")</f>
        <v/>
      </c>
      <c r="Q776" s="130"/>
      <c r="R776" s="131" t="str">
        <f>IFERROR(IF(Tabela1[[#This Row],[Nome fantasia]]="","",_xlfn.XLOOKUP($C776,Log!D:D,Log!X:X,,,-1)),"")</f>
        <v/>
      </c>
    </row>
    <row r="777" spans="3:18" hidden="1" x14ac:dyDescent="0.2">
      <c r="C777" s="30"/>
      <c r="D777" s="110" t="s">
        <v>2098</v>
      </c>
      <c r="E777" s="33" t="s">
        <v>46</v>
      </c>
      <c r="F777" s="38"/>
      <c r="G777" s="38"/>
      <c r="H777" s="31"/>
      <c r="I777" s="32"/>
      <c r="J777" s="32"/>
      <c r="K777" s="45" t="s">
        <v>888</v>
      </c>
      <c r="L777" s="129"/>
      <c r="M777" s="33" t="str">
        <f t="shared" si="12"/>
        <v/>
      </c>
      <c r="N777" s="34" t="str">
        <f>IFERROR(IF(Tabela1[[#This Row],[Nome fantasia]]="","",_xlfn.XLOOKUP($C777,Log!D:D,Log!B:B,,,-1)),"")</f>
        <v/>
      </c>
      <c r="O777" s="35" t="str">
        <f>IFERROR(_xlfn.XLOOKUP($C777,Log!D:D,Log!W:W,,,-1),"")</f>
        <v/>
      </c>
      <c r="P777" s="35" t="str">
        <f>IFERROR(_xlfn.XLOOKUP($C777,Log!D:D,Log!Y:Y,,,-1),"")</f>
        <v/>
      </c>
      <c r="Q777" s="130"/>
      <c r="R777" s="131" t="str">
        <f>IFERROR(IF(Tabela1[[#This Row],[Nome fantasia]]="","",_xlfn.XLOOKUP($C777,Log!D:D,Log!X:X,,,-1)),"")</f>
        <v/>
      </c>
    </row>
    <row r="778" spans="3:18" hidden="1" x14ac:dyDescent="0.2">
      <c r="C778" s="30"/>
      <c r="D778" s="110" t="s">
        <v>2099</v>
      </c>
      <c r="E778" s="33" t="s">
        <v>46</v>
      </c>
      <c r="F778" s="38"/>
      <c r="G778" s="38"/>
      <c r="H778" s="31"/>
      <c r="I778" s="32"/>
      <c r="J778" s="32"/>
      <c r="K778" s="45" t="s">
        <v>888</v>
      </c>
      <c r="L778" s="129"/>
      <c r="M778" s="33" t="str">
        <f t="shared" si="12"/>
        <v/>
      </c>
      <c r="N778" s="34" t="str">
        <f>IFERROR(IF(Tabela1[[#This Row],[Nome fantasia]]="","",_xlfn.XLOOKUP($C778,Log!D:D,Log!B:B,,,-1)),"")</f>
        <v/>
      </c>
      <c r="O778" s="35" t="str">
        <f>IFERROR(_xlfn.XLOOKUP($C778,Log!D:D,Log!W:W,,,-1),"")</f>
        <v/>
      </c>
      <c r="P778" s="35" t="str">
        <f>IFERROR(_xlfn.XLOOKUP($C778,Log!D:D,Log!Y:Y,,,-1),"")</f>
        <v/>
      </c>
      <c r="Q778" s="130"/>
      <c r="R778" s="131" t="str">
        <f>IFERROR(IF(Tabela1[[#This Row],[Nome fantasia]]="","",_xlfn.XLOOKUP($C778,Log!D:D,Log!X:X,,,-1)),"")</f>
        <v/>
      </c>
    </row>
    <row r="779" spans="3:18" hidden="1" x14ac:dyDescent="0.2">
      <c r="C779" s="30" t="s">
        <v>2100</v>
      </c>
      <c r="D779" s="110" t="s">
        <v>2101</v>
      </c>
      <c r="E779" s="33" t="s">
        <v>17</v>
      </c>
      <c r="F779" s="38"/>
      <c r="G779" s="38"/>
      <c r="H779" s="31"/>
      <c r="I779" s="32"/>
      <c r="J779" s="32"/>
      <c r="K779" s="45" t="s">
        <v>888</v>
      </c>
      <c r="L779" s="129"/>
      <c r="M779" s="33" t="str">
        <f t="shared" si="12"/>
        <v/>
      </c>
      <c r="N779" s="34" t="str">
        <f>IFERROR(IF(Tabela1[[#This Row],[Nome fantasia]]="","",_xlfn.XLOOKUP($C779,Log!D:D,Log!B:B,,,-1)),"")</f>
        <v/>
      </c>
      <c r="O779" s="35" t="str">
        <f>IFERROR(_xlfn.XLOOKUP($C779,Log!D:D,Log!W:W,,,-1),"")</f>
        <v/>
      </c>
      <c r="P779" s="35" t="str">
        <f>IFERROR(_xlfn.XLOOKUP($C779,Log!D:D,Log!Y:Y,,,-1),"")</f>
        <v/>
      </c>
      <c r="Q779" s="130"/>
      <c r="R779" s="131" t="str">
        <f>IFERROR(IF(Tabela1[[#This Row],[Nome fantasia]]="","",_xlfn.XLOOKUP($C779,Log!D:D,Log!X:X,,,-1)),"")</f>
        <v/>
      </c>
    </row>
    <row r="780" spans="3:18" hidden="1" x14ac:dyDescent="0.2">
      <c r="C780" s="30" t="s">
        <v>2102</v>
      </c>
      <c r="D780" s="110" t="s">
        <v>2103</v>
      </c>
      <c r="E780" s="33" t="s">
        <v>46</v>
      </c>
      <c r="F780" s="38"/>
      <c r="G780" s="38"/>
      <c r="H780" s="31"/>
      <c r="I780" s="32"/>
      <c r="J780" s="32"/>
      <c r="K780" s="45" t="s">
        <v>888</v>
      </c>
      <c r="L780" s="129"/>
      <c r="M780" s="33" t="str">
        <f t="shared" si="12"/>
        <v/>
      </c>
      <c r="N780" s="34" t="str">
        <f>IFERROR(IF(Tabela1[[#This Row],[Nome fantasia]]="","",_xlfn.XLOOKUP($C780,Log!D:D,Log!B:B,,,-1)),"")</f>
        <v/>
      </c>
      <c r="O780" s="35" t="str">
        <f>IFERROR(_xlfn.XLOOKUP($C780,Log!D:D,Log!W:W,,,-1),"")</f>
        <v/>
      </c>
      <c r="P780" s="35" t="str">
        <f>IFERROR(_xlfn.XLOOKUP($C780,Log!D:D,Log!Y:Y,,,-1),"")</f>
        <v/>
      </c>
      <c r="Q780" s="130"/>
      <c r="R780" s="131" t="str">
        <f>IFERROR(IF(Tabela1[[#This Row],[Nome fantasia]]="","",_xlfn.XLOOKUP($C780,Log!D:D,Log!X:X,,,-1)),"")</f>
        <v/>
      </c>
    </row>
    <row r="781" spans="3:18" hidden="1" x14ac:dyDescent="0.2">
      <c r="C781" s="30" t="s">
        <v>611</v>
      </c>
      <c r="D781" s="110" t="s">
        <v>2104</v>
      </c>
      <c r="E781" s="33" t="s">
        <v>46</v>
      </c>
      <c r="F781" s="38"/>
      <c r="G781" s="38"/>
      <c r="H781" s="31"/>
      <c r="I781" s="32"/>
      <c r="J781" s="32"/>
      <c r="K781" s="45" t="s">
        <v>888</v>
      </c>
      <c r="L781" s="129"/>
      <c r="M781" s="33" t="str">
        <f t="shared" si="12"/>
        <v/>
      </c>
      <c r="N781" s="34" t="str">
        <f>IFERROR(IF(Tabela1[[#This Row],[Nome fantasia]]="","",_xlfn.XLOOKUP($C781,Log!D:D,Log!B:B,,,-1)),"")</f>
        <v/>
      </c>
      <c r="O781" s="35" t="str">
        <f>IFERROR(_xlfn.XLOOKUP($C781,Log!D:D,Log!W:W,,,-1),"")</f>
        <v/>
      </c>
      <c r="P781" s="35" t="str">
        <f>IFERROR(_xlfn.XLOOKUP($C781,Log!D:D,Log!Y:Y,,,-1),"")</f>
        <v/>
      </c>
      <c r="Q781" s="130"/>
      <c r="R781" s="131" t="str">
        <f>IFERROR(IF(Tabela1[[#This Row],[Nome fantasia]]="","",_xlfn.XLOOKUP($C781,Log!D:D,Log!X:X,,,-1)),"")</f>
        <v/>
      </c>
    </row>
    <row r="782" spans="3:18" hidden="1" x14ac:dyDescent="0.2">
      <c r="C782" s="30"/>
      <c r="D782" s="110" t="s">
        <v>2105</v>
      </c>
      <c r="E782" s="33" t="s">
        <v>46</v>
      </c>
      <c r="F782" s="38"/>
      <c r="G782" s="38"/>
      <c r="H782" s="31"/>
      <c r="I782" s="32"/>
      <c r="J782" s="32"/>
      <c r="K782" s="45" t="s">
        <v>888</v>
      </c>
      <c r="L782" s="129"/>
      <c r="M782" s="33" t="str">
        <f t="shared" si="12"/>
        <v/>
      </c>
      <c r="N782" s="34" t="str">
        <f>IFERROR(IF(Tabela1[[#This Row],[Nome fantasia]]="","",_xlfn.XLOOKUP($C782,Log!D:D,Log!B:B,,,-1)),"")</f>
        <v/>
      </c>
      <c r="O782" s="35" t="str">
        <f>IFERROR(_xlfn.XLOOKUP($C782,Log!D:D,Log!W:W,,,-1),"")</f>
        <v/>
      </c>
      <c r="P782" s="35" t="str">
        <f>IFERROR(_xlfn.XLOOKUP($C782,Log!D:D,Log!Y:Y,,,-1),"")</f>
        <v/>
      </c>
      <c r="Q782" s="130"/>
      <c r="R782" s="131" t="str">
        <f>IFERROR(IF(Tabela1[[#This Row],[Nome fantasia]]="","",_xlfn.XLOOKUP($C782,Log!D:D,Log!X:X,,,-1)),"")</f>
        <v/>
      </c>
    </row>
    <row r="783" spans="3:18" hidden="1" x14ac:dyDescent="0.2">
      <c r="C783" s="30" t="s">
        <v>2106</v>
      </c>
      <c r="D783" s="110" t="s">
        <v>2107</v>
      </c>
      <c r="E783" s="33" t="s">
        <v>17</v>
      </c>
      <c r="F783" s="38"/>
      <c r="G783" s="38"/>
      <c r="H783" s="31"/>
      <c r="I783" s="32"/>
      <c r="J783" s="32"/>
      <c r="K783" s="45" t="s">
        <v>888</v>
      </c>
      <c r="L783" s="129"/>
      <c r="M783" s="33" t="str">
        <f t="shared" si="12"/>
        <v/>
      </c>
      <c r="N783" s="34" t="str">
        <f>IFERROR(IF(Tabela1[[#This Row],[Nome fantasia]]="","",_xlfn.XLOOKUP($C783,Log!D:D,Log!B:B,,,-1)),"")</f>
        <v/>
      </c>
      <c r="O783" s="35" t="str">
        <f>IFERROR(_xlfn.XLOOKUP($C783,Log!D:D,Log!W:W,,,-1),"")</f>
        <v/>
      </c>
      <c r="P783" s="35" t="str">
        <f>IFERROR(_xlfn.XLOOKUP($C783,Log!D:D,Log!Y:Y,,,-1),"")</f>
        <v/>
      </c>
      <c r="Q783" s="130"/>
      <c r="R783" s="131" t="str">
        <f>IFERROR(IF(Tabela1[[#This Row],[Nome fantasia]]="","",_xlfn.XLOOKUP($C783,Log!D:D,Log!X:X,,,-1)),"")</f>
        <v/>
      </c>
    </row>
    <row r="784" spans="3:18" hidden="1" x14ac:dyDescent="0.2">
      <c r="C784" s="30" t="s">
        <v>2108</v>
      </c>
      <c r="D784" s="110" t="s">
        <v>2109</v>
      </c>
      <c r="E784" s="33" t="s">
        <v>17</v>
      </c>
      <c r="F784" s="38"/>
      <c r="G784" s="38"/>
      <c r="H784" s="31"/>
      <c r="I784" s="32"/>
      <c r="J784" s="32"/>
      <c r="K784" s="45" t="s">
        <v>888</v>
      </c>
      <c r="L784" s="129"/>
      <c r="M784" s="33" t="str">
        <f t="shared" si="12"/>
        <v/>
      </c>
      <c r="N784" s="34" t="str">
        <f>IFERROR(IF(Tabela1[[#This Row],[Nome fantasia]]="","",_xlfn.XLOOKUP($C784,Log!D:D,Log!B:B,,,-1)),"")</f>
        <v/>
      </c>
      <c r="O784" s="35" t="str">
        <f>IFERROR(_xlfn.XLOOKUP($C784,Log!D:D,Log!W:W,,,-1),"")</f>
        <v/>
      </c>
      <c r="P784" s="35" t="str">
        <f>IFERROR(_xlfn.XLOOKUP($C784,Log!D:D,Log!Y:Y,,,-1),"")</f>
        <v/>
      </c>
      <c r="Q784" s="130"/>
      <c r="R784" s="131" t="str">
        <f>IFERROR(IF(Tabela1[[#This Row],[Nome fantasia]]="","",_xlfn.XLOOKUP($C784,Log!D:D,Log!X:X,,,-1)),"")</f>
        <v/>
      </c>
    </row>
    <row r="785" spans="3:18" hidden="1" x14ac:dyDescent="0.2">
      <c r="C785" s="30" t="s">
        <v>2110</v>
      </c>
      <c r="D785" s="110" t="s">
        <v>2111</v>
      </c>
      <c r="E785" s="33" t="s">
        <v>22</v>
      </c>
      <c r="F785" s="38"/>
      <c r="G785" s="38"/>
      <c r="H785" s="31"/>
      <c r="I785" s="32"/>
      <c r="J785" s="32"/>
      <c r="K785" s="45" t="s">
        <v>888</v>
      </c>
      <c r="L785" s="129"/>
      <c r="M785" s="33" t="str">
        <f t="shared" si="12"/>
        <v/>
      </c>
      <c r="N785" s="34" t="str">
        <f>IFERROR(IF(Tabela1[[#This Row],[Nome fantasia]]="","",_xlfn.XLOOKUP($C785,Log!D:D,Log!B:B,,,-1)),"")</f>
        <v/>
      </c>
      <c r="O785" s="35" t="str">
        <f>IFERROR(_xlfn.XLOOKUP($C785,Log!D:D,Log!W:W,,,-1),"")</f>
        <v/>
      </c>
      <c r="P785" s="35" t="str">
        <f>IFERROR(_xlfn.XLOOKUP($C785,Log!D:D,Log!Y:Y,,,-1),"")</f>
        <v/>
      </c>
      <c r="Q785" s="130"/>
      <c r="R785" s="131" t="str">
        <f>IFERROR(IF(Tabela1[[#This Row],[Nome fantasia]]="","",_xlfn.XLOOKUP($C785,Log!D:D,Log!X:X,,,-1)),"")</f>
        <v/>
      </c>
    </row>
    <row r="786" spans="3:18" hidden="1" x14ac:dyDescent="0.2">
      <c r="C786" s="30" t="s">
        <v>2112</v>
      </c>
      <c r="D786" s="110" t="s">
        <v>2113</v>
      </c>
      <c r="E786" s="33" t="s">
        <v>17</v>
      </c>
      <c r="F786" s="38"/>
      <c r="G786" s="38"/>
      <c r="H786" s="31"/>
      <c r="I786" s="32"/>
      <c r="J786" s="32"/>
      <c r="K786" s="45" t="s">
        <v>888</v>
      </c>
      <c r="L786" s="129"/>
      <c r="M786" s="33" t="str">
        <f t="shared" si="12"/>
        <v/>
      </c>
      <c r="N786" s="34" t="str">
        <f>IFERROR(IF(Tabela1[[#This Row],[Nome fantasia]]="","",_xlfn.XLOOKUP($C786,Log!D:D,Log!B:B,,,-1)),"")</f>
        <v/>
      </c>
      <c r="O786" s="35" t="str">
        <f>IFERROR(_xlfn.XLOOKUP($C786,Log!D:D,Log!W:W,,,-1),"")</f>
        <v/>
      </c>
      <c r="P786" s="35" t="str">
        <f>IFERROR(_xlfn.XLOOKUP($C786,Log!D:D,Log!Y:Y,,,-1),"")</f>
        <v/>
      </c>
      <c r="Q786" s="130"/>
      <c r="R786" s="131" t="str">
        <f>IFERROR(IF(Tabela1[[#This Row],[Nome fantasia]]="","",_xlfn.XLOOKUP($C786,Log!D:D,Log!X:X,,,-1)),"")</f>
        <v/>
      </c>
    </row>
    <row r="787" spans="3:18" hidden="1" x14ac:dyDescent="0.2">
      <c r="C787" s="30" t="s">
        <v>2114</v>
      </c>
      <c r="D787" s="110" t="s">
        <v>2115</v>
      </c>
      <c r="E787" s="33" t="s">
        <v>22</v>
      </c>
      <c r="F787" s="38"/>
      <c r="G787" s="38"/>
      <c r="H787" s="31"/>
      <c r="I787" s="32"/>
      <c r="J787" s="32"/>
      <c r="K787" s="45" t="s">
        <v>888</v>
      </c>
      <c r="L787" s="129"/>
      <c r="M787" s="33" t="str">
        <f t="shared" si="12"/>
        <v/>
      </c>
      <c r="N787" s="34" t="str">
        <f>IFERROR(IF(Tabela1[[#This Row],[Nome fantasia]]="","",_xlfn.XLOOKUP($C787,Log!D:D,Log!B:B,,,-1)),"")</f>
        <v/>
      </c>
      <c r="O787" s="35" t="str">
        <f>IFERROR(_xlfn.XLOOKUP($C787,Log!D:D,Log!W:W,,,-1),"")</f>
        <v/>
      </c>
      <c r="P787" s="35" t="str">
        <f>IFERROR(_xlfn.XLOOKUP($C787,Log!D:D,Log!Y:Y,,,-1),"")</f>
        <v/>
      </c>
      <c r="Q787" s="130"/>
      <c r="R787" s="131" t="str">
        <f>IFERROR(IF(Tabela1[[#This Row],[Nome fantasia]]="","",_xlfn.XLOOKUP($C787,Log!D:D,Log!X:X,,,-1)),"")</f>
        <v/>
      </c>
    </row>
    <row r="788" spans="3:18" hidden="1" x14ac:dyDescent="0.2">
      <c r="C788" s="30" t="s">
        <v>1862</v>
      </c>
      <c r="D788" s="110" t="s">
        <v>2116</v>
      </c>
      <c r="E788" s="33" t="s">
        <v>22</v>
      </c>
      <c r="F788" s="38"/>
      <c r="G788" s="38"/>
      <c r="H788" s="31"/>
      <c r="I788" s="32"/>
      <c r="J788" s="32"/>
      <c r="K788" s="45" t="s">
        <v>888</v>
      </c>
      <c r="L788" s="129"/>
      <c r="M788" s="33" t="str">
        <f t="shared" si="12"/>
        <v/>
      </c>
      <c r="N788" s="34" t="str">
        <f>IFERROR(IF(Tabela1[[#This Row],[Nome fantasia]]="","",_xlfn.XLOOKUP($C788,Log!D:D,Log!B:B,,,-1)),"")</f>
        <v/>
      </c>
      <c r="O788" s="35" t="str">
        <f>IFERROR(_xlfn.XLOOKUP($C788,Log!D:D,Log!W:W,,,-1),"")</f>
        <v/>
      </c>
      <c r="P788" s="35" t="str">
        <f>IFERROR(_xlfn.XLOOKUP($C788,Log!D:D,Log!Y:Y,,,-1),"")</f>
        <v/>
      </c>
      <c r="Q788" s="130"/>
      <c r="R788" s="131" t="str">
        <f>IFERROR(IF(Tabela1[[#This Row],[Nome fantasia]]="","",_xlfn.XLOOKUP($C788,Log!D:D,Log!X:X,,,-1)),"")</f>
        <v/>
      </c>
    </row>
    <row r="789" spans="3:18" hidden="1" x14ac:dyDescent="0.2">
      <c r="C789" s="30" t="s">
        <v>2117</v>
      </c>
      <c r="D789" s="110" t="s">
        <v>2118</v>
      </c>
      <c r="E789" s="33" t="s">
        <v>17</v>
      </c>
      <c r="F789" s="38"/>
      <c r="G789" s="38"/>
      <c r="H789" s="31"/>
      <c r="I789" s="32"/>
      <c r="J789" s="32"/>
      <c r="K789" s="45" t="s">
        <v>888</v>
      </c>
      <c r="L789" s="129"/>
      <c r="M789" s="33" t="str">
        <f t="shared" si="12"/>
        <v/>
      </c>
      <c r="N789" s="34" t="str">
        <f>IFERROR(IF(Tabela1[[#This Row],[Nome fantasia]]="","",_xlfn.XLOOKUP($C789,Log!D:D,Log!B:B,,,-1)),"")</f>
        <v/>
      </c>
      <c r="O789" s="35" t="str">
        <f>IFERROR(_xlfn.XLOOKUP($C789,Log!D:D,Log!W:W,,,-1),"")</f>
        <v/>
      </c>
      <c r="P789" s="35" t="str">
        <f>IFERROR(_xlfn.XLOOKUP($C789,Log!D:D,Log!Y:Y,,,-1),"")</f>
        <v/>
      </c>
      <c r="Q789" s="130"/>
      <c r="R789" s="131" t="str">
        <f>IFERROR(IF(Tabela1[[#This Row],[Nome fantasia]]="","",_xlfn.XLOOKUP($C789,Log!D:D,Log!X:X,,,-1)),"")</f>
        <v/>
      </c>
    </row>
    <row r="790" spans="3:18" hidden="1" x14ac:dyDescent="0.2">
      <c r="C790" s="30" t="s">
        <v>2119</v>
      </c>
      <c r="D790" s="110" t="s">
        <v>2120</v>
      </c>
      <c r="E790" s="33" t="s">
        <v>46</v>
      </c>
      <c r="F790" s="38"/>
      <c r="G790" s="38"/>
      <c r="H790" s="31"/>
      <c r="I790" s="32"/>
      <c r="J790" s="32"/>
      <c r="K790" s="45" t="s">
        <v>888</v>
      </c>
      <c r="L790" s="129"/>
      <c r="M790" s="33" t="str">
        <f t="shared" si="12"/>
        <v/>
      </c>
      <c r="N790" s="34" t="str">
        <f>IFERROR(IF(Tabela1[[#This Row],[Nome fantasia]]="","",_xlfn.XLOOKUP($C790,Log!D:D,Log!B:B,,,-1)),"")</f>
        <v/>
      </c>
      <c r="O790" s="35" t="str">
        <f>IFERROR(_xlfn.XLOOKUP($C790,Log!D:D,Log!W:W,,,-1),"")</f>
        <v/>
      </c>
      <c r="P790" s="35" t="str">
        <f>IFERROR(_xlfn.XLOOKUP($C790,Log!D:D,Log!Y:Y,,,-1),"")</f>
        <v/>
      </c>
      <c r="Q790" s="130"/>
      <c r="R790" s="131" t="str">
        <f>IFERROR(IF(Tabela1[[#This Row],[Nome fantasia]]="","",_xlfn.XLOOKUP($C790,Log!D:D,Log!X:X,,,-1)),"")</f>
        <v/>
      </c>
    </row>
    <row r="791" spans="3:18" hidden="1" x14ac:dyDescent="0.2">
      <c r="C791" s="30" t="s">
        <v>2121</v>
      </c>
      <c r="D791" s="110" t="s">
        <v>1280</v>
      </c>
      <c r="E791" s="33" t="s">
        <v>22</v>
      </c>
      <c r="F791" s="38"/>
      <c r="G791" s="38"/>
      <c r="H791" s="31"/>
      <c r="I791" s="32"/>
      <c r="J791" s="32"/>
      <c r="K791" s="45" t="s">
        <v>888</v>
      </c>
      <c r="L791" s="129"/>
      <c r="M791" s="33" t="str">
        <f t="shared" si="12"/>
        <v/>
      </c>
      <c r="N791" s="34" t="str">
        <f>IFERROR(IF(Tabela1[[#This Row],[Nome fantasia]]="","",_xlfn.XLOOKUP($C791,Log!D:D,Log!B:B,,,-1)),"")</f>
        <v/>
      </c>
      <c r="O791" s="35" t="str">
        <f>IFERROR(_xlfn.XLOOKUP($C791,Log!D:D,Log!W:W,,,-1),"")</f>
        <v/>
      </c>
      <c r="P791" s="35" t="str">
        <f>IFERROR(_xlfn.XLOOKUP($C791,Log!D:D,Log!Y:Y,,,-1),"")</f>
        <v/>
      </c>
      <c r="Q791" s="130"/>
      <c r="R791" s="131" t="str">
        <f>IFERROR(IF(Tabela1[[#This Row],[Nome fantasia]]="","",_xlfn.XLOOKUP($C791,Log!D:D,Log!X:X,,,-1)),"")</f>
        <v/>
      </c>
    </row>
    <row r="792" spans="3:18" hidden="1" x14ac:dyDescent="0.2">
      <c r="C792" s="30" t="s">
        <v>2122</v>
      </c>
      <c r="D792" s="110" t="s">
        <v>2123</v>
      </c>
      <c r="E792" s="33" t="s">
        <v>22</v>
      </c>
      <c r="F792" s="38"/>
      <c r="G792" s="38"/>
      <c r="H792" s="31"/>
      <c r="I792" s="32"/>
      <c r="J792" s="32"/>
      <c r="K792" s="45" t="s">
        <v>888</v>
      </c>
      <c r="L792" s="129"/>
      <c r="M792" s="33" t="str">
        <f t="shared" si="12"/>
        <v/>
      </c>
      <c r="N792" s="34" t="str">
        <f>IFERROR(IF(Tabela1[[#This Row],[Nome fantasia]]="","",_xlfn.XLOOKUP($C792,Log!D:D,Log!B:B,,,-1)),"")</f>
        <v/>
      </c>
      <c r="O792" s="35" t="str">
        <f>IFERROR(_xlfn.XLOOKUP($C792,Log!D:D,Log!W:W,,,-1),"")</f>
        <v/>
      </c>
      <c r="P792" s="35" t="str">
        <f>IFERROR(_xlfn.XLOOKUP($C792,Log!D:D,Log!Y:Y,,,-1),"")</f>
        <v/>
      </c>
      <c r="Q792" s="130"/>
      <c r="R792" s="131" t="str">
        <f>IFERROR(IF(Tabela1[[#This Row],[Nome fantasia]]="","",_xlfn.XLOOKUP($C792,Log!D:D,Log!X:X,,,-1)),"")</f>
        <v/>
      </c>
    </row>
    <row r="793" spans="3:18" hidden="1" x14ac:dyDescent="0.2">
      <c r="C793" s="30" t="s">
        <v>2124</v>
      </c>
      <c r="D793" s="110" t="s">
        <v>2125</v>
      </c>
      <c r="E793" s="33" t="s">
        <v>46</v>
      </c>
      <c r="F793" s="38"/>
      <c r="G793" s="38"/>
      <c r="H793" s="31"/>
      <c r="I793" s="32"/>
      <c r="J793" s="32"/>
      <c r="K793" s="45" t="s">
        <v>888</v>
      </c>
      <c r="L793" s="129"/>
      <c r="M793" s="33" t="str">
        <f t="shared" si="12"/>
        <v/>
      </c>
      <c r="N793" s="34" t="str">
        <f>IFERROR(IF(Tabela1[[#This Row],[Nome fantasia]]="","",_xlfn.XLOOKUP($C793,Log!D:D,Log!B:B,,,-1)),"")</f>
        <v/>
      </c>
      <c r="O793" s="35" t="str">
        <f>IFERROR(_xlfn.XLOOKUP($C793,Log!D:D,Log!W:W,,,-1),"")</f>
        <v/>
      </c>
      <c r="P793" s="35" t="str">
        <f>IFERROR(_xlfn.XLOOKUP($C793,Log!D:D,Log!Y:Y,,,-1),"")</f>
        <v/>
      </c>
      <c r="Q793" s="130"/>
      <c r="R793" s="131" t="str">
        <f>IFERROR(IF(Tabela1[[#This Row],[Nome fantasia]]="","",_xlfn.XLOOKUP($C793,Log!D:D,Log!X:X,,,-1)),"")</f>
        <v/>
      </c>
    </row>
    <row r="794" spans="3:18" hidden="1" x14ac:dyDescent="0.2">
      <c r="C794" s="30" t="s">
        <v>2126</v>
      </c>
      <c r="D794" s="110" t="s">
        <v>2127</v>
      </c>
      <c r="E794" s="33" t="s">
        <v>46</v>
      </c>
      <c r="F794" s="38"/>
      <c r="G794" s="38"/>
      <c r="H794" s="31"/>
      <c r="I794" s="32"/>
      <c r="J794" s="32"/>
      <c r="K794" s="45" t="s">
        <v>888</v>
      </c>
      <c r="L794" s="129"/>
      <c r="M794" s="33" t="str">
        <f t="shared" si="12"/>
        <v/>
      </c>
      <c r="N794" s="34" t="str">
        <f>IFERROR(IF(Tabela1[[#This Row],[Nome fantasia]]="","",_xlfn.XLOOKUP($C794,Log!D:D,Log!B:B,,,-1)),"")</f>
        <v/>
      </c>
      <c r="O794" s="35" t="str">
        <f>IFERROR(_xlfn.XLOOKUP($C794,Log!D:D,Log!W:W,,,-1),"")</f>
        <v/>
      </c>
      <c r="P794" s="35" t="str">
        <f>IFERROR(_xlfn.XLOOKUP($C794,Log!D:D,Log!Y:Y,,,-1),"")</f>
        <v/>
      </c>
      <c r="Q794" s="130"/>
      <c r="R794" s="131" t="str">
        <f>IFERROR(IF(Tabela1[[#This Row],[Nome fantasia]]="","",_xlfn.XLOOKUP($C794,Log!D:D,Log!X:X,,,-1)),"")</f>
        <v/>
      </c>
    </row>
    <row r="795" spans="3:18" hidden="1" x14ac:dyDescent="0.2">
      <c r="C795" s="30" t="s">
        <v>2128</v>
      </c>
      <c r="D795" s="110" t="s">
        <v>2129</v>
      </c>
      <c r="E795" s="33" t="s">
        <v>46</v>
      </c>
      <c r="F795" s="38"/>
      <c r="G795" s="38"/>
      <c r="H795" s="31"/>
      <c r="I795" s="32"/>
      <c r="J795" s="32"/>
      <c r="K795" s="45" t="s">
        <v>888</v>
      </c>
      <c r="L795" s="129"/>
      <c r="M795" s="33" t="str">
        <f t="shared" si="12"/>
        <v/>
      </c>
      <c r="N795" s="34" t="str">
        <f>IFERROR(IF(Tabela1[[#This Row],[Nome fantasia]]="","",_xlfn.XLOOKUP($C795,Log!D:D,Log!B:B,,,-1)),"")</f>
        <v/>
      </c>
      <c r="O795" s="35" t="str">
        <f>IFERROR(_xlfn.XLOOKUP($C795,Log!D:D,Log!W:W,,,-1),"")</f>
        <v/>
      </c>
      <c r="P795" s="35" t="str">
        <f>IFERROR(_xlfn.XLOOKUP($C795,Log!D:D,Log!Y:Y,,,-1),"")</f>
        <v/>
      </c>
      <c r="Q795" s="130"/>
      <c r="R795" s="131" t="str">
        <f>IFERROR(IF(Tabela1[[#This Row],[Nome fantasia]]="","",_xlfn.XLOOKUP($C795,Log!D:D,Log!X:X,,,-1)),"")</f>
        <v/>
      </c>
    </row>
    <row r="796" spans="3:18" hidden="1" x14ac:dyDescent="0.2">
      <c r="C796" s="30" t="s">
        <v>2130</v>
      </c>
      <c r="D796" s="110" t="s">
        <v>2131</v>
      </c>
      <c r="E796" s="33" t="s">
        <v>46</v>
      </c>
      <c r="F796" s="38"/>
      <c r="G796" s="38"/>
      <c r="H796" s="31"/>
      <c r="I796" s="32"/>
      <c r="J796" s="32"/>
      <c r="K796" s="45" t="s">
        <v>888</v>
      </c>
      <c r="L796" s="129"/>
      <c r="M796" s="33" t="str">
        <f t="shared" si="12"/>
        <v/>
      </c>
      <c r="N796" s="34" t="str">
        <f>IFERROR(IF(Tabela1[[#This Row],[Nome fantasia]]="","",_xlfn.XLOOKUP($C796,Log!D:D,Log!B:B,,,-1)),"")</f>
        <v/>
      </c>
      <c r="O796" s="35" t="str">
        <f>IFERROR(_xlfn.XLOOKUP($C796,Log!D:D,Log!W:W,,,-1),"")</f>
        <v/>
      </c>
      <c r="P796" s="35" t="str">
        <f>IFERROR(_xlfn.XLOOKUP($C796,Log!D:D,Log!Y:Y,,,-1),"")</f>
        <v/>
      </c>
      <c r="Q796" s="130"/>
      <c r="R796" s="131" t="str">
        <f>IFERROR(IF(Tabela1[[#This Row],[Nome fantasia]]="","",_xlfn.XLOOKUP($C796,Log!D:D,Log!X:X,,,-1)),"")</f>
        <v/>
      </c>
    </row>
    <row r="797" spans="3:18" hidden="1" x14ac:dyDescent="0.2">
      <c r="C797" s="30" t="s">
        <v>2132</v>
      </c>
      <c r="D797" s="110" t="s">
        <v>2133</v>
      </c>
      <c r="E797" s="33" t="s">
        <v>46</v>
      </c>
      <c r="F797" s="38"/>
      <c r="G797" s="38"/>
      <c r="H797" s="31"/>
      <c r="I797" s="32"/>
      <c r="J797" s="32"/>
      <c r="K797" s="45" t="s">
        <v>888</v>
      </c>
      <c r="L797" s="129"/>
      <c r="M797" s="33" t="str">
        <f t="shared" si="12"/>
        <v/>
      </c>
      <c r="N797" s="34" t="str">
        <f>IFERROR(IF(Tabela1[[#This Row],[Nome fantasia]]="","",_xlfn.XLOOKUP($C797,Log!D:D,Log!B:B,,,-1)),"")</f>
        <v/>
      </c>
      <c r="O797" s="35" t="str">
        <f>IFERROR(_xlfn.XLOOKUP($C797,Log!D:D,Log!W:W,,,-1),"")</f>
        <v/>
      </c>
      <c r="P797" s="35" t="str">
        <f>IFERROR(_xlfn.XLOOKUP($C797,Log!D:D,Log!Y:Y,,,-1),"")</f>
        <v/>
      </c>
      <c r="Q797" s="130"/>
      <c r="R797" s="131" t="str">
        <f>IFERROR(IF(Tabela1[[#This Row],[Nome fantasia]]="","",_xlfn.XLOOKUP($C797,Log!D:D,Log!X:X,,,-1)),"")</f>
        <v/>
      </c>
    </row>
    <row r="798" spans="3:18" hidden="1" x14ac:dyDescent="0.2">
      <c r="C798" s="30" t="s">
        <v>2134</v>
      </c>
      <c r="D798" s="110" t="s">
        <v>2135</v>
      </c>
      <c r="E798" s="33" t="s">
        <v>46</v>
      </c>
      <c r="F798" s="38"/>
      <c r="G798" s="38"/>
      <c r="H798" s="31"/>
      <c r="I798" s="32"/>
      <c r="J798" s="32"/>
      <c r="K798" s="45" t="s">
        <v>888</v>
      </c>
      <c r="L798" s="129"/>
      <c r="M798" s="33" t="str">
        <f t="shared" si="12"/>
        <v/>
      </c>
      <c r="N798" s="34" t="str">
        <f>IFERROR(IF(Tabela1[[#This Row],[Nome fantasia]]="","",_xlfn.XLOOKUP($C798,Log!D:D,Log!B:B,,,-1)),"")</f>
        <v/>
      </c>
      <c r="O798" s="35" t="str">
        <f>IFERROR(_xlfn.XLOOKUP($C798,Log!D:D,Log!W:W,,,-1),"")</f>
        <v/>
      </c>
      <c r="P798" s="35" t="str">
        <f>IFERROR(_xlfn.XLOOKUP($C798,Log!D:D,Log!Y:Y,,,-1),"")</f>
        <v/>
      </c>
      <c r="Q798" s="130"/>
      <c r="R798" s="131" t="str">
        <f>IFERROR(IF(Tabela1[[#This Row],[Nome fantasia]]="","",_xlfn.XLOOKUP($C798,Log!D:D,Log!X:X,,,-1)),"")</f>
        <v/>
      </c>
    </row>
    <row r="799" spans="3:18" hidden="1" x14ac:dyDescent="0.2">
      <c r="C799" s="30" t="s">
        <v>2136</v>
      </c>
      <c r="D799" s="110" t="s">
        <v>2137</v>
      </c>
      <c r="E799" s="33" t="s">
        <v>46</v>
      </c>
      <c r="F799" s="38"/>
      <c r="G799" s="38"/>
      <c r="H799" s="31"/>
      <c r="I799" s="32"/>
      <c r="J799" s="32"/>
      <c r="K799" s="45" t="s">
        <v>888</v>
      </c>
      <c r="L799" s="129"/>
      <c r="M799" s="33" t="str">
        <f t="shared" si="12"/>
        <v/>
      </c>
      <c r="N799" s="34" t="str">
        <f>IFERROR(IF(Tabela1[[#This Row],[Nome fantasia]]="","",_xlfn.XLOOKUP($C799,Log!D:D,Log!B:B,,,-1)),"")</f>
        <v/>
      </c>
      <c r="O799" s="35" t="str">
        <f>IFERROR(_xlfn.XLOOKUP($C799,Log!D:D,Log!W:W,,,-1),"")</f>
        <v/>
      </c>
      <c r="P799" s="35" t="str">
        <f>IFERROR(_xlfn.XLOOKUP($C799,Log!D:D,Log!Y:Y,,,-1),"")</f>
        <v/>
      </c>
      <c r="Q799" s="130"/>
      <c r="R799" s="131" t="str">
        <f>IFERROR(IF(Tabela1[[#This Row],[Nome fantasia]]="","",_xlfn.XLOOKUP($C799,Log!D:D,Log!X:X,,,-1)),"")</f>
        <v/>
      </c>
    </row>
    <row r="800" spans="3:18" hidden="1" x14ac:dyDescent="0.2">
      <c r="C800" s="30" t="s">
        <v>2138</v>
      </c>
      <c r="D800" s="110" t="s">
        <v>2139</v>
      </c>
      <c r="E800" s="33" t="s">
        <v>22</v>
      </c>
      <c r="F800" s="38"/>
      <c r="G800" s="38"/>
      <c r="H800" s="31"/>
      <c r="I800" s="32"/>
      <c r="J800" s="32"/>
      <c r="K800" s="45" t="s">
        <v>888</v>
      </c>
      <c r="L800" s="129"/>
      <c r="M800" s="33" t="str">
        <f t="shared" si="12"/>
        <v/>
      </c>
      <c r="N800" s="34" t="str">
        <f>IFERROR(IF(Tabela1[[#This Row],[Nome fantasia]]="","",_xlfn.XLOOKUP($C800,Log!D:D,Log!B:B,,,-1)),"")</f>
        <v/>
      </c>
      <c r="O800" s="35" t="str">
        <f>IFERROR(_xlfn.XLOOKUP($C800,Log!D:D,Log!W:W,,,-1),"")</f>
        <v/>
      </c>
      <c r="P800" s="35" t="str">
        <f>IFERROR(_xlfn.XLOOKUP($C800,Log!D:D,Log!Y:Y,,,-1),"")</f>
        <v/>
      </c>
      <c r="Q800" s="130"/>
      <c r="R800" s="131" t="str">
        <f>IFERROR(IF(Tabela1[[#This Row],[Nome fantasia]]="","",_xlfn.XLOOKUP($C800,Log!D:D,Log!X:X,,,-1)),"")</f>
        <v/>
      </c>
    </row>
    <row r="801" spans="3:18" hidden="1" x14ac:dyDescent="0.2">
      <c r="C801" s="30" t="s">
        <v>2140</v>
      </c>
      <c r="D801" s="110" t="s">
        <v>2141</v>
      </c>
      <c r="E801" s="33" t="s">
        <v>46</v>
      </c>
      <c r="F801" s="38"/>
      <c r="G801" s="38"/>
      <c r="H801" s="31"/>
      <c r="I801" s="32"/>
      <c r="J801" s="32"/>
      <c r="K801" s="45" t="s">
        <v>888</v>
      </c>
      <c r="L801" s="129"/>
      <c r="M801" s="33" t="str">
        <f t="shared" si="12"/>
        <v/>
      </c>
      <c r="N801" s="34" t="str">
        <f>IFERROR(IF(Tabela1[[#This Row],[Nome fantasia]]="","",_xlfn.XLOOKUP($C801,Log!D:D,Log!B:B,,,-1)),"")</f>
        <v/>
      </c>
      <c r="O801" s="35" t="str">
        <f>IFERROR(_xlfn.XLOOKUP($C801,Log!D:D,Log!W:W,,,-1),"")</f>
        <v/>
      </c>
      <c r="P801" s="35" t="str">
        <f>IFERROR(_xlfn.XLOOKUP($C801,Log!D:D,Log!Y:Y,,,-1),"")</f>
        <v/>
      </c>
      <c r="Q801" s="130"/>
      <c r="R801" s="131" t="str">
        <f>IFERROR(IF(Tabela1[[#This Row],[Nome fantasia]]="","",_xlfn.XLOOKUP($C801,Log!D:D,Log!X:X,,,-1)),"")</f>
        <v/>
      </c>
    </row>
    <row r="802" spans="3:18" hidden="1" x14ac:dyDescent="0.2">
      <c r="C802" s="30" t="s">
        <v>2142</v>
      </c>
      <c r="D802" s="110" t="s">
        <v>2143</v>
      </c>
      <c r="E802" s="33" t="s">
        <v>46</v>
      </c>
      <c r="F802" s="38"/>
      <c r="G802" s="38"/>
      <c r="H802" s="31"/>
      <c r="I802" s="32"/>
      <c r="J802" s="32"/>
      <c r="K802" s="45" t="s">
        <v>888</v>
      </c>
      <c r="L802" s="129"/>
      <c r="M802" s="33" t="str">
        <f t="shared" si="12"/>
        <v/>
      </c>
      <c r="N802" s="34" t="str">
        <f>IFERROR(IF(Tabela1[[#This Row],[Nome fantasia]]="","",_xlfn.XLOOKUP($C802,Log!D:D,Log!B:B,,,-1)),"")</f>
        <v/>
      </c>
      <c r="O802" s="35" t="str">
        <f>IFERROR(_xlfn.XLOOKUP($C802,Log!D:D,Log!W:W,,,-1),"")</f>
        <v/>
      </c>
      <c r="P802" s="35" t="str">
        <f>IFERROR(_xlfn.XLOOKUP($C802,Log!D:D,Log!Y:Y,,,-1),"")</f>
        <v/>
      </c>
      <c r="Q802" s="130"/>
      <c r="R802" s="131" t="str">
        <f>IFERROR(IF(Tabela1[[#This Row],[Nome fantasia]]="","",_xlfn.XLOOKUP($C802,Log!D:D,Log!X:X,,,-1)),"")</f>
        <v/>
      </c>
    </row>
    <row r="803" spans="3:18" hidden="1" x14ac:dyDescent="0.2">
      <c r="C803" s="30" t="s">
        <v>2144</v>
      </c>
      <c r="D803" s="110" t="s">
        <v>2145</v>
      </c>
      <c r="E803" s="33" t="s">
        <v>22</v>
      </c>
      <c r="F803" s="38"/>
      <c r="G803" s="38"/>
      <c r="H803" s="31"/>
      <c r="I803" s="32"/>
      <c r="J803" s="32"/>
      <c r="K803" s="45" t="s">
        <v>888</v>
      </c>
      <c r="L803" s="129"/>
      <c r="M803" s="33" t="str">
        <f t="shared" si="12"/>
        <v/>
      </c>
      <c r="N803" s="34" t="str">
        <f>IFERROR(IF(Tabela1[[#This Row],[Nome fantasia]]="","",_xlfn.XLOOKUP($C803,Log!D:D,Log!B:B,,,-1)),"")</f>
        <v/>
      </c>
      <c r="O803" s="35" t="str">
        <f>IFERROR(_xlfn.XLOOKUP($C803,Log!D:D,Log!W:W,,,-1),"")</f>
        <v/>
      </c>
      <c r="P803" s="35" t="str">
        <f>IFERROR(_xlfn.XLOOKUP($C803,Log!D:D,Log!Y:Y,,,-1),"")</f>
        <v/>
      </c>
      <c r="Q803" s="130"/>
      <c r="R803" s="131" t="str">
        <f>IFERROR(IF(Tabela1[[#This Row],[Nome fantasia]]="","",_xlfn.XLOOKUP($C803,Log!D:D,Log!X:X,,,-1)),"")</f>
        <v/>
      </c>
    </row>
    <row r="804" spans="3:18" hidden="1" x14ac:dyDescent="0.2">
      <c r="C804" s="30" t="s">
        <v>2146</v>
      </c>
      <c r="D804" s="110" t="s">
        <v>2147</v>
      </c>
      <c r="E804" s="33" t="s">
        <v>46</v>
      </c>
      <c r="F804" s="38"/>
      <c r="G804" s="38"/>
      <c r="H804" s="31"/>
      <c r="I804" s="32"/>
      <c r="J804" s="32"/>
      <c r="K804" s="45" t="s">
        <v>888</v>
      </c>
      <c r="L804" s="129"/>
      <c r="M804" s="33" t="str">
        <f t="shared" si="12"/>
        <v/>
      </c>
      <c r="N804" s="34" t="str">
        <f>IFERROR(IF(Tabela1[[#This Row],[Nome fantasia]]="","",_xlfn.XLOOKUP($C804,Log!D:D,Log!B:B,,,-1)),"")</f>
        <v/>
      </c>
      <c r="O804" s="35" t="str">
        <f>IFERROR(_xlfn.XLOOKUP($C804,Log!D:D,Log!W:W,,,-1),"")</f>
        <v/>
      </c>
      <c r="P804" s="35" t="str">
        <f>IFERROR(_xlfn.XLOOKUP($C804,Log!D:D,Log!Y:Y,,,-1),"")</f>
        <v/>
      </c>
      <c r="Q804" s="130"/>
      <c r="R804" s="131" t="str">
        <f>IFERROR(IF(Tabela1[[#This Row],[Nome fantasia]]="","",_xlfn.XLOOKUP($C804,Log!D:D,Log!X:X,,,-1)),"")</f>
        <v/>
      </c>
    </row>
    <row r="805" spans="3:18" hidden="1" x14ac:dyDescent="0.2">
      <c r="C805" s="30" t="s">
        <v>2148</v>
      </c>
      <c r="D805" s="110" t="s">
        <v>2149</v>
      </c>
      <c r="E805" s="33" t="s">
        <v>46</v>
      </c>
      <c r="F805" s="38"/>
      <c r="G805" s="38"/>
      <c r="H805" s="31"/>
      <c r="I805" s="32"/>
      <c r="J805" s="32"/>
      <c r="K805" s="45" t="s">
        <v>888</v>
      </c>
      <c r="L805" s="129"/>
      <c r="M805" s="33" t="str">
        <f t="shared" si="12"/>
        <v/>
      </c>
      <c r="N805" s="34" t="str">
        <f>IFERROR(IF(Tabela1[[#This Row],[Nome fantasia]]="","",_xlfn.XLOOKUP($C805,Log!D:D,Log!B:B,,,-1)),"")</f>
        <v/>
      </c>
      <c r="O805" s="35" t="str">
        <f>IFERROR(_xlfn.XLOOKUP($C805,Log!D:D,Log!W:W,,,-1),"")</f>
        <v/>
      </c>
      <c r="P805" s="35" t="str">
        <f>IFERROR(_xlfn.XLOOKUP($C805,Log!D:D,Log!Y:Y,,,-1),"")</f>
        <v/>
      </c>
      <c r="Q805" s="130"/>
      <c r="R805" s="131" t="str">
        <f>IFERROR(IF(Tabela1[[#This Row],[Nome fantasia]]="","",_xlfn.XLOOKUP($C805,Log!D:D,Log!X:X,,,-1)),"")</f>
        <v/>
      </c>
    </row>
    <row r="806" spans="3:18" hidden="1" x14ac:dyDescent="0.2">
      <c r="C806" s="30" t="s">
        <v>2150</v>
      </c>
      <c r="D806" s="110" t="s">
        <v>2151</v>
      </c>
      <c r="E806" s="33" t="s">
        <v>46</v>
      </c>
      <c r="F806" s="38"/>
      <c r="G806" s="38"/>
      <c r="H806" s="31"/>
      <c r="I806" s="32"/>
      <c r="J806" s="32"/>
      <c r="K806" s="45" t="s">
        <v>888</v>
      </c>
      <c r="L806" s="129"/>
      <c r="M806" s="33" t="str">
        <f t="shared" si="12"/>
        <v/>
      </c>
      <c r="N806" s="34" t="str">
        <f>IFERROR(IF(Tabela1[[#This Row],[Nome fantasia]]="","",_xlfn.XLOOKUP($C806,Log!D:D,Log!B:B,,,-1)),"")</f>
        <v/>
      </c>
      <c r="O806" s="35" t="str">
        <f>IFERROR(_xlfn.XLOOKUP($C806,Log!D:D,Log!W:W,,,-1),"")</f>
        <v/>
      </c>
      <c r="P806" s="35" t="str">
        <f>IFERROR(_xlfn.XLOOKUP($C806,Log!D:D,Log!Y:Y,,,-1),"")</f>
        <v/>
      </c>
      <c r="Q806" s="130"/>
      <c r="R806" s="131" t="str">
        <f>IFERROR(IF(Tabela1[[#This Row],[Nome fantasia]]="","",_xlfn.XLOOKUP($C806,Log!D:D,Log!X:X,,,-1)),"")</f>
        <v/>
      </c>
    </row>
    <row r="807" spans="3:18" hidden="1" x14ac:dyDescent="0.2">
      <c r="C807" s="30" t="s">
        <v>2152</v>
      </c>
      <c r="D807" s="110" t="s">
        <v>1239</v>
      </c>
      <c r="E807" s="33" t="s">
        <v>17</v>
      </c>
      <c r="F807" s="38"/>
      <c r="G807" s="38"/>
      <c r="H807" s="31"/>
      <c r="I807" s="32"/>
      <c r="J807" s="32"/>
      <c r="K807" s="45" t="s">
        <v>888</v>
      </c>
      <c r="L807" s="129"/>
      <c r="M807" s="33" t="str">
        <f t="shared" si="12"/>
        <v/>
      </c>
      <c r="N807" s="34" t="str">
        <f>IFERROR(IF(Tabela1[[#This Row],[Nome fantasia]]="","",_xlfn.XLOOKUP($C807,Log!D:D,Log!B:B,,,-1)),"")</f>
        <v/>
      </c>
      <c r="O807" s="35" t="str">
        <f>IFERROR(_xlfn.XLOOKUP($C807,Log!D:D,Log!W:W,,,-1),"")</f>
        <v/>
      </c>
      <c r="P807" s="35" t="str">
        <f>IFERROR(_xlfn.XLOOKUP($C807,Log!D:D,Log!Y:Y,,,-1),"")</f>
        <v/>
      </c>
      <c r="Q807" s="130"/>
      <c r="R807" s="131" t="str">
        <f>IFERROR(IF(Tabela1[[#This Row],[Nome fantasia]]="","",_xlfn.XLOOKUP($C807,Log!D:D,Log!X:X,,,-1)),"")</f>
        <v/>
      </c>
    </row>
    <row r="808" spans="3:18" hidden="1" x14ac:dyDescent="0.2">
      <c r="C808" s="30" t="s">
        <v>2153</v>
      </c>
      <c r="D808" s="110" t="s">
        <v>2154</v>
      </c>
      <c r="E808" s="33" t="s">
        <v>46</v>
      </c>
      <c r="F808" s="38"/>
      <c r="G808" s="38"/>
      <c r="H808" s="31"/>
      <c r="I808" s="32"/>
      <c r="J808" s="32"/>
      <c r="K808" s="45" t="s">
        <v>888</v>
      </c>
      <c r="L808" s="129"/>
      <c r="M808" s="33" t="str">
        <f t="shared" si="12"/>
        <v/>
      </c>
      <c r="N808" s="34" t="str">
        <f>IFERROR(IF(Tabela1[[#This Row],[Nome fantasia]]="","",_xlfn.XLOOKUP($C808,Log!D:D,Log!B:B,,,-1)),"")</f>
        <v/>
      </c>
      <c r="O808" s="35" t="str">
        <f>IFERROR(_xlfn.XLOOKUP($C808,Log!D:D,Log!W:W,,,-1),"")</f>
        <v/>
      </c>
      <c r="P808" s="35" t="str">
        <f>IFERROR(_xlfn.XLOOKUP($C808,Log!D:D,Log!Y:Y,,,-1),"")</f>
        <v/>
      </c>
      <c r="Q808" s="130"/>
      <c r="R808" s="131" t="str">
        <f>IFERROR(IF(Tabela1[[#This Row],[Nome fantasia]]="","",_xlfn.XLOOKUP($C808,Log!D:D,Log!X:X,,,-1)),"")</f>
        <v/>
      </c>
    </row>
    <row r="809" spans="3:18" hidden="1" x14ac:dyDescent="0.2">
      <c r="C809" s="30" t="s">
        <v>2155</v>
      </c>
      <c r="D809" s="110" t="s">
        <v>2156</v>
      </c>
      <c r="E809" s="33" t="s">
        <v>46</v>
      </c>
      <c r="F809" s="38"/>
      <c r="G809" s="38"/>
      <c r="H809" s="31"/>
      <c r="I809" s="32"/>
      <c r="J809" s="32"/>
      <c r="K809" s="45" t="s">
        <v>888</v>
      </c>
      <c r="L809" s="129"/>
      <c r="M809" s="33" t="str">
        <f t="shared" si="12"/>
        <v/>
      </c>
      <c r="N809" s="34" t="str">
        <f>IFERROR(IF(Tabela1[[#This Row],[Nome fantasia]]="","",_xlfn.XLOOKUP($C809,Log!D:D,Log!B:B,,,-1)),"")</f>
        <v/>
      </c>
      <c r="O809" s="35" t="str">
        <f>IFERROR(_xlfn.XLOOKUP($C809,Log!D:D,Log!W:W,,,-1),"")</f>
        <v/>
      </c>
      <c r="P809" s="35" t="str">
        <f>IFERROR(_xlfn.XLOOKUP($C809,Log!D:D,Log!Y:Y,,,-1),"")</f>
        <v/>
      </c>
      <c r="Q809" s="130"/>
      <c r="R809" s="131" t="str">
        <f>IFERROR(IF(Tabela1[[#This Row],[Nome fantasia]]="","",_xlfn.XLOOKUP($C809,Log!D:D,Log!X:X,,,-1)),"")</f>
        <v/>
      </c>
    </row>
    <row r="810" spans="3:18" hidden="1" x14ac:dyDescent="0.2">
      <c r="C810" s="30"/>
      <c r="D810" s="110" t="s">
        <v>2157</v>
      </c>
      <c r="E810" s="33" t="s">
        <v>17</v>
      </c>
      <c r="F810" s="38"/>
      <c r="G810" s="38"/>
      <c r="H810" s="31"/>
      <c r="I810" s="32"/>
      <c r="J810" s="32"/>
      <c r="K810" s="45" t="s">
        <v>888</v>
      </c>
      <c r="L810" s="129"/>
      <c r="M810" s="33" t="str">
        <f t="shared" si="12"/>
        <v/>
      </c>
      <c r="N810" s="34" t="str">
        <f>IFERROR(IF(Tabela1[[#This Row],[Nome fantasia]]="","",_xlfn.XLOOKUP($C810,Log!D:D,Log!B:B,,,-1)),"")</f>
        <v/>
      </c>
      <c r="O810" s="35" t="str">
        <f>IFERROR(_xlfn.XLOOKUP($C810,Log!D:D,Log!W:W,,,-1),"")</f>
        <v/>
      </c>
      <c r="P810" s="35" t="str">
        <f>IFERROR(_xlfn.XLOOKUP($C810,Log!D:D,Log!Y:Y,,,-1),"")</f>
        <v/>
      </c>
      <c r="Q810" s="130"/>
      <c r="R810" s="131" t="str">
        <f>IFERROR(IF(Tabela1[[#This Row],[Nome fantasia]]="","",_xlfn.XLOOKUP($C810,Log!D:D,Log!X:X,,,-1)),"")</f>
        <v/>
      </c>
    </row>
    <row r="811" spans="3:18" hidden="1" x14ac:dyDescent="0.2">
      <c r="C811" s="30" t="s">
        <v>2158</v>
      </c>
      <c r="D811" s="110" t="s">
        <v>2159</v>
      </c>
      <c r="E811" s="33" t="s">
        <v>46</v>
      </c>
      <c r="F811" s="38"/>
      <c r="G811" s="38"/>
      <c r="H811" s="31"/>
      <c r="I811" s="32"/>
      <c r="J811" s="32"/>
      <c r="K811" s="45" t="s">
        <v>888</v>
      </c>
      <c r="L811" s="129"/>
      <c r="M811" s="33" t="str">
        <f t="shared" si="12"/>
        <v/>
      </c>
      <c r="N811" s="34" t="str">
        <f>IFERROR(IF(Tabela1[[#This Row],[Nome fantasia]]="","",_xlfn.XLOOKUP($C811,Log!D:D,Log!B:B,,,-1)),"")</f>
        <v/>
      </c>
      <c r="O811" s="35" t="str">
        <f>IFERROR(_xlfn.XLOOKUP($C811,Log!D:D,Log!W:W,,,-1),"")</f>
        <v/>
      </c>
      <c r="P811" s="35" t="str">
        <f>IFERROR(_xlfn.XLOOKUP($C811,Log!D:D,Log!Y:Y,,,-1),"")</f>
        <v/>
      </c>
      <c r="Q811" s="130"/>
      <c r="R811" s="131" t="str">
        <f>IFERROR(IF(Tabela1[[#This Row],[Nome fantasia]]="","",_xlfn.XLOOKUP($C811,Log!D:D,Log!X:X,,,-1)),"")</f>
        <v/>
      </c>
    </row>
    <row r="812" spans="3:18" hidden="1" x14ac:dyDescent="0.2">
      <c r="C812" s="30" t="s">
        <v>2160</v>
      </c>
      <c r="D812" s="110" t="s">
        <v>2161</v>
      </c>
      <c r="E812" s="33" t="s">
        <v>46</v>
      </c>
      <c r="F812" s="38"/>
      <c r="G812" s="38"/>
      <c r="H812" s="31"/>
      <c r="I812" s="32"/>
      <c r="J812" s="32"/>
      <c r="K812" s="45" t="s">
        <v>888</v>
      </c>
      <c r="L812" s="129"/>
      <c r="M812" s="33" t="str">
        <f t="shared" si="12"/>
        <v/>
      </c>
      <c r="N812" s="34" t="str">
        <f>IFERROR(IF(Tabela1[[#This Row],[Nome fantasia]]="","",_xlfn.XLOOKUP($C812,Log!D:D,Log!B:B,,,-1)),"")</f>
        <v/>
      </c>
      <c r="O812" s="35" t="str">
        <f>IFERROR(_xlfn.XLOOKUP($C812,Log!D:D,Log!W:W,,,-1),"")</f>
        <v/>
      </c>
      <c r="P812" s="35" t="str">
        <f>IFERROR(_xlfn.XLOOKUP($C812,Log!D:D,Log!Y:Y,,,-1),"")</f>
        <v/>
      </c>
      <c r="Q812" s="130"/>
      <c r="R812" s="131" t="str">
        <f>IFERROR(IF(Tabela1[[#This Row],[Nome fantasia]]="","",_xlfn.XLOOKUP($C812,Log!D:D,Log!X:X,,,-1)),"")</f>
        <v/>
      </c>
    </row>
    <row r="813" spans="3:18" hidden="1" x14ac:dyDescent="0.2">
      <c r="C813" s="30" t="s">
        <v>2162</v>
      </c>
      <c r="D813" s="110" t="s">
        <v>2163</v>
      </c>
      <c r="E813" s="33" t="s">
        <v>46</v>
      </c>
      <c r="F813" s="38"/>
      <c r="G813" s="38"/>
      <c r="H813" s="31"/>
      <c r="I813" s="32"/>
      <c r="J813" s="32"/>
      <c r="K813" s="45" t="s">
        <v>888</v>
      </c>
      <c r="L813" s="129"/>
      <c r="M813" s="33" t="str">
        <f t="shared" si="12"/>
        <v/>
      </c>
      <c r="N813" s="34" t="str">
        <f>IFERROR(IF(Tabela1[[#This Row],[Nome fantasia]]="","",_xlfn.XLOOKUP($C813,Log!D:D,Log!B:B,,,-1)),"")</f>
        <v/>
      </c>
      <c r="O813" s="35" t="str">
        <f>IFERROR(_xlfn.XLOOKUP($C813,Log!D:D,Log!W:W,,,-1),"")</f>
        <v/>
      </c>
      <c r="P813" s="35" t="str">
        <f>IFERROR(_xlfn.XLOOKUP($C813,Log!D:D,Log!Y:Y,,,-1),"")</f>
        <v/>
      </c>
      <c r="Q813" s="130"/>
      <c r="R813" s="131" t="str">
        <f>IFERROR(IF(Tabela1[[#This Row],[Nome fantasia]]="","",_xlfn.XLOOKUP($C813,Log!D:D,Log!X:X,,,-1)),"")</f>
        <v/>
      </c>
    </row>
    <row r="814" spans="3:18" hidden="1" x14ac:dyDescent="0.2">
      <c r="C814" s="30" t="s">
        <v>2164</v>
      </c>
      <c r="D814" s="110" t="s">
        <v>2165</v>
      </c>
      <c r="E814" s="33" t="s">
        <v>46</v>
      </c>
      <c r="F814" s="38"/>
      <c r="G814" s="38"/>
      <c r="H814" s="31"/>
      <c r="I814" s="32"/>
      <c r="J814" s="32"/>
      <c r="K814" s="45" t="s">
        <v>888</v>
      </c>
      <c r="L814" s="129"/>
      <c r="M814" s="33" t="str">
        <f t="shared" si="12"/>
        <v/>
      </c>
      <c r="N814" s="34" t="str">
        <f>IFERROR(IF(Tabela1[[#This Row],[Nome fantasia]]="","",_xlfn.XLOOKUP($C814,Log!D:D,Log!B:B,,,-1)),"")</f>
        <v/>
      </c>
      <c r="O814" s="35" t="str">
        <f>IFERROR(_xlfn.XLOOKUP($C814,Log!D:D,Log!W:W,,,-1),"")</f>
        <v/>
      </c>
      <c r="P814" s="35" t="str">
        <f>IFERROR(_xlfn.XLOOKUP($C814,Log!D:D,Log!Y:Y,,,-1),"")</f>
        <v/>
      </c>
      <c r="Q814" s="130"/>
      <c r="R814" s="131" t="str">
        <f>IFERROR(IF(Tabela1[[#This Row],[Nome fantasia]]="","",_xlfn.XLOOKUP($C814,Log!D:D,Log!X:X,,,-1)),"")</f>
        <v/>
      </c>
    </row>
    <row r="815" spans="3:18" hidden="1" x14ac:dyDescent="0.2">
      <c r="C815" s="30" t="s">
        <v>2166</v>
      </c>
      <c r="D815" s="110" t="s">
        <v>2167</v>
      </c>
      <c r="E815" s="33" t="s">
        <v>46</v>
      </c>
      <c r="F815" s="38"/>
      <c r="G815" s="38"/>
      <c r="H815" s="31"/>
      <c r="I815" s="32"/>
      <c r="J815" s="32"/>
      <c r="K815" s="45" t="s">
        <v>888</v>
      </c>
      <c r="L815" s="129"/>
      <c r="M815" s="33" t="str">
        <f t="shared" si="12"/>
        <v/>
      </c>
      <c r="N815" s="34" t="str">
        <f>IFERROR(IF(Tabela1[[#This Row],[Nome fantasia]]="","",_xlfn.XLOOKUP($C815,Log!D:D,Log!B:B,,,-1)),"")</f>
        <v/>
      </c>
      <c r="O815" s="35" t="str">
        <f>IFERROR(_xlfn.XLOOKUP($C815,Log!D:D,Log!W:W,,,-1),"")</f>
        <v/>
      </c>
      <c r="P815" s="35" t="str">
        <f>IFERROR(_xlfn.XLOOKUP($C815,Log!D:D,Log!Y:Y,,,-1),"")</f>
        <v/>
      </c>
      <c r="Q815" s="130"/>
      <c r="R815" s="131" t="str">
        <f>IFERROR(IF(Tabela1[[#This Row],[Nome fantasia]]="","",_xlfn.XLOOKUP($C815,Log!D:D,Log!X:X,,,-1)),"")</f>
        <v/>
      </c>
    </row>
    <row r="816" spans="3:18" hidden="1" x14ac:dyDescent="0.2">
      <c r="C816" s="30" t="s">
        <v>2168</v>
      </c>
      <c r="D816" s="110" t="s">
        <v>2169</v>
      </c>
      <c r="E816" s="33" t="s">
        <v>46</v>
      </c>
      <c r="F816" s="38"/>
      <c r="G816" s="38"/>
      <c r="H816" s="31"/>
      <c r="I816" s="32"/>
      <c r="J816" s="32"/>
      <c r="K816" s="45" t="s">
        <v>888</v>
      </c>
      <c r="L816" s="129"/>
      <c r="M816" s="33" t="str">
        <f t="shared" si="12"/>
        <v/>
      </c>
      <c r="N816" s="34" t="str">
        <f>IFERROR(IF(Tabela1[[#This Row],[Nome fantasia]]="","",_xlfn.XLOOKUP($C816,Log!D:D,Log!B:B,,,-1)),"")</f>
        <v/>
      </c>
      <c r="O816" s="35" t="str">
        <f>IFERROR(_xlfn.XLOOKUP($C816,Log!D:D,Log!W:W,,,-1),"")</f>
        <v/>
      </c>
      <c r="P816" s="35" t="str">
        <f>IFERROR(_xlfn.XLOOKUP($C816,Log!D:D,Log!Y:Y,,,-1),"")</f>
        <v/>
      </c>
      <c r="Q816" s="130"/>
      <c r="R816" s="131" t="str">
        <f>IFERROR(IF(Tabela1[[#This Row],[Nome fantasia]]="","",_xlfn.XLOOKUP($C816,Log!D:D,Log!X:X,,,-1)),"")</f>
        <v/>
      </c>
    </row>
    <row r="817" spans="3:18" hidden="1" x14ac:dyDescent="0.2">
      <c r="C817" s="30" t="s">
        <v>2073</v>
      </c>
      <c r="D817" s="110" t="s">
        <v>2170</v>
      </c>
      <c r="E817" s="33" t="s">
        <v>22</v>
      </c>
      <c r="F817" s="38"/>
      <c r="G817" s="38"/>
      <c r="H817" s="31"/>
      <c r="I817" s="32"/>
      <c r="J817" s="32"/>
      <c r="K817" s="45" t="s">
        <v>888</v>
      </c>
      <c r="L817" s="129"/>
      <c r="M817" s="33" t="str">
        <f t="shared" si="12"/>
        <v/>
      </c>
      <c r="N817" s="34" t="str">
        <f>IFERROR(IF(Tabela1[[#This Row],[Nome fantasia]]="","",_xlfn.XLOOKUP($C817,Log!D:D,Log!B:B,,,-1)),"")</f>
        <v/>
      </c>
      <c r="O817" s="35" t="str">
        <f>IFERROR(_xlfn.XLOOKUP($C817,Log!D:D,Log!W:W,,,-1),"")</f>
        <v/>
      </c>
      <c r="P817" s="35" t="str">
        <f>IFERROR(_xlfn.XLOOKUP($C817,Log!D:D,Log!Y:Y,,,-1),"")</f>
        <v/>
      </c>
      <c r="Q817" s="130"/>
      <c r="R817" s="131" t="str">
        <f>IFERROR(IF(Tabela1[[#This Row],[Nome fantasia]]="","",_xlfn.XLOOKUP($C817,Log!D:D,Log!X:X,,,-1)),"")</f>
        <v/>
      </c>
    </row>
    <row r="818" spans="3:18" hidden="1" x14ac:dyDescent="0.2">
      <c r="C818" s="30" t="s">
        <v>2171</v>
      </c>
      <c r="D818" s="110" t="s">
        <v>2172</v>
      </c>
      <c r="E818" s="33" t="s">
        <v>22</v>
      </c>
      <c r="F818" s="38"/>
      <c r="G818" s="38"/>
      <c r="H818" s="31"/>
      <c r="I818" s="32"/>
      <c r="J818" s="32"/>
      <c r="K818" s="45" t="s">
        <v>888</v>
      </c>
      <c r="L818" s="129"/>
      <c r="M818" s="33" t="str">
        <f t="shared" si="12"/>
        <v/>
      </c>
      <c r="N818" s="34" t="str">
        <f>IFERROR(IF(Tabela1[[#This Row],[Nome fantasia]]="","",_xlfn.XLOOKUP($C818,Log!D:D,Log!B:B,,,-1)),"")</f>
        <v/>
      </c>
      <c r="O818" s="35" t="str">
        <f>IFERROR(_xlfn.XLOOKUP($C818,Log!D:D,Log!W:W,,,-1),"")</f>
        <v/>
      </c>
      <c r="P818" s="35" t="str">
        <f>IFERROR(_xlfn.XLOOKUP($C818,Log!D:D,Log!Y:Y,,,-1),"")</f>
        <v/>
      </c>
      <c r="Q818" s="130"/>
      <c r="R818" s="131" t="str">
        <f>IFERROR(IF(Tabela1[[#This Row],[Nome fantasia]]="","",_xlfn.XLOOKUP($C818,Log!D:D,Log!X:X,,,-1)),"")</f>
        <v/>
      </c>
    </row>
    <row r="819" spans="3:18" hidden="1" x14ac:dyDescent="0.2">
      <c r="C819" s="30" t="s">
        <v>2173</v>
      </c>
      <c r="D819" s="110" t="s">
        <v>2174</v>
      </c>
      <c r="E819" s="33" t="s">
        <v>46</v>
      </c>
      <c r="F819" s="38"/>
      <c r="G819" s="38"/>
      <c r="H819" s="31"/>
      <c r="I819" s="32"/>
      <c r="J819" s="32"/>
      <c r="K819" s="45" t="s">
        <v>888</v>
      </c>
      <c r="L819" s="129"/>
      <c r="M819" s="33" t="str">
        <f t="shared" si="12"/>
        <v/>
      </c>
      <c r="N819" s="34" t="str">
        <f>IFERROR(IF(Tabela1[[#This Row],[Nome fantasia]]="","",_xlfn.XLOOKUP($C819,Log!D:D,Log!B:B,,,-1)),"")</f>
        <v/>
      </c>
      <c r="O819" s="35" t="str">
        <f>IFERROR(_xlfn.XLOOKUP($C819,Log!D:D,Log!W:W,,,-1),"")</f>
        <v/>
      </c>
      <c r="P819" s="35" t="str">
        <f>IFERROR(_xlfn.XLOOKUP($C819,Log!D:D,Log!Y:Y,,,-1),"")</f>
        <v/>
      </c>
      <c r="Q819" s="130"/>
      <c r="R819" s="131" t="str">
        <f>IFERROR(IF(Tabela1[[#This Row],[Nome fantasia]]="","",_xlfn.XLOOKUP($C819,Log!D:D,Log!X:X,,,-1)),"")</f>
        <v/>
      </c>
    </row>
    <row r="820" spans="3:18" hidden="1" x14ac:dyDescent="0.2">
      <c r="C820" s="30" t="s">
        <v>2175</v>
      </c>
      <c r="D820" s="110" t="s">
        <v>2176</v>
      </c>
      <c r="E820" s="33" t="s">
        <v>46</v>
      </c>
      <c r="F820" s="38"/>
      <c r="G820" s="38"/>
      <c r="H820" s="31"/>
      <c r="I820" s="32"/>
      <c r="J820" s="32"/>
      <c r="K820" s="45" t="s">
        <v>888</v>
      </c>
      <c r="L820" s="129"/>
      <c r="M820" s="33" t="str">
        <f t="shared" si="12"/>
        <v/>
      </c>
      <c r="N820" s="34" t="str">
        <f>IFERROR(IF(Tabela1[[#This Row],[Nome fantasia]]="","",_xlfn.XLOOKUP($C820,Log!D:D,Log!B:B,,,-1)),"")</f>
        <v/>
      </c>
      <c r="O820" s="35" t="str">
        <f>IFERROR(_xlfn.XLOOKUP($C820,Log!D:D,Log!W:W,,,-1),"")</f>
        <v/>
      </c>
      <c r="P820" s="35" t="str">
        <f>IFERROR(_xlfn.XLOOKUP($C820,Log!D:D,Log!Y:Y,,,-1),"")</f>
        <v/>
      </c>
      <c r="Q820" s="130"/>
      <c r="R820" s="131" t="str">
        <f>IFERROR(IF(Tabela1[[#This Row],[Nome fantasia]]="","",_xlfn.XLOOKUP($C820,Log!D:D,Log!X:X,,,-1)),"")</f>
        <v/>
      </c>
    </row>
    <row r="821" spans="3:18" hidden="1" x14ac:dyDescent="0.2">
      <c r="C821" s="30" t="s">
        <v>2177</v>
      </c>
      <c r="D821" s="110" t="s">
        <v>2178</v>
      </c>
      <c r="E821" s="33" t="s">
        <v>46</v>
      </c>
      <c r="F821" s="38"/>
      <c r="G821" s="38"/>
      <c r="H821" s="31"/>
      <c r="I821" s="32"/>
      <c r="J821" s="32"/>
      <c r="K821" s="45" t="s">
        <v>888</v>
      </c>
      <c r="L821" s="129"/>
      <c r="M821" s="33" t="str">
        <f t="shared" si="12"/>
        <v/>
      </c>
      <c r="N821" s="34" t="str">
        <f>IFERROR(IF(Tabela1[[#This Row],[Nome fantasia]]="","",_xlfn.XLOOKUP($C821,Log!D:D,Log!B:B,,,-1)),"")</f>
        <v/>
      </c>
      <c r="O821" s="35" t="str">
        <f>IFERROR(_xlfn.XLOOKUP($C821,Log!D:D,Log!W:W,,,-1),"")</f>
        <v/>
      </c>
      <c r="P821" s="35" t="str">
        <f>IFERROR(_xlfn.XLOOKUP($C821,Log!D:D,Log!Y:Y,,,-1),"")</f>
        <v/>
      </c>
      <c r="Q821" s="130"/>
      <c r="R821" s="131" t="str">
        <f>IFERROR(IF(Tabela1[[#This Row],[Nome fantasia]]="","",_xlfn.XLOOKUP($C821,Log!D:D,Log!X:X,,,-1)),"")</f>
        <v/>
      </c>
    </row>
    <row r="822" spans="3:18" hidden="1" x14ac:dyDescent="0.2">
      <c r="C822" s="30" t="s">
        <v>2179</v>
      </c>
      <c r="D822" s="110" t="s">
        <v>2180</v>
      </c>
      <c r="E822" s="33" t="s">
        <v>22</v>
      </c>
      <c r="F822" s="38"/>
      <c r="G822" s="38"/>
      <c r="H822" s="31"/>
      <c r="I822" s="32"/>
      <c r="J822" s="32"/>
      <c r="K822" s="45" t="s">
        <v>888</v>
      </c>
      <c r="L822" s="129"/>
      <c r="M822" s="33" t="str">
        <f t="shared" si="12"/>
        <v/>
      </c>
      <c r="N822" s="34" t="str">
        <f>IFERROR(IF(Tabela1[[#This Row],[Nome fantasia]]="","",_xlfn.XLOOKUP($C822,Log!D:D,Log!B:B,,,-1)),"")</f>
        <v/>
      </c>
      <c r="O822" s="35" t="str">
        <f>IFERROR(_xlfn.XLOOKUP($C822,Log!D:D,Log!W:W,,,-1),"")</f>
        <v/>
      </c>
      <c r="P822" s="35" t="str">
        <f>IFERROR(_xlfn.XLOOKUP($C822,Log!D:D,Log!Y:Y,,,-1),"")</f>
        <v/>
      </c>
      <c r="Q822" s="130"/>
      <c r="R822" s="131" t="str">
        <f>IFERROR(IF(Tabela1[[#This Row],[Nome fantasia]]="","",_xlfn.XLOOKUP($C822,Log!D:D,Log!X:X,,,-1)),"")</f>
        <v/>
      </c>
    </row>
    <row r="823" spans="3:18" hidden="1" x14ac:dyDescent="0.2">
      <c r="C823" s="30" t="s">
        <v>2181</v>
      </c>
      <c r="D823" s="110" t="s">
        <v>2182</v>
      </c>
      <c r="E823" s="33" t="s">
        <v>46</v>
      </c>
      <c r="F823" s="38"/>
      <c r="G823" s="38"/>
      <c r="H823" s="31"/>
      <c r="I823" s="32"/>
      <c r="J823" s="32"/>
      <c r="K823" s="45" t="s">
        <v>888</v>
      </c>
      <c r="L823" s="129"/>
      <c r="M823" s="33" t="str">
        <f t="shared" si="12"/>
        <v/>
      </c>
      <c r="N823" s="34" t="str">
        <f>IFERROR(IF(Tabela1[[#This Row],[Nome fantasia]]="","",_xlfn.XLOOKUP($C823,Log!D:D,Log!B:B,,,-1)),"")</f>
        <v/>
      </c>
      <c r="O823" s="35" t="str">
        <f>IFERROR(_xlfn.XLOOKUP($C823,Log!D:D,Log!W:W,,,-1),"")</f>
        <v/>
      </c>
      <c r="P823" s="35" t="str">
        <f>IFERROR(_xlfn.XLOOKUP($C823,Log!D:D,Log!Y:Y,,,-1),"")</f>
        <v/>
      </c>
      <c r="Q823" s="130"/>
      <c r="R823" s="131" t="str">
        <f>IFERROR(IF(Tabela1[[#This Row],[Nome fantasia]]="","",_xlfn.XLOOKUP($C823,Log!D:D,Log!X:X,,,-1)),"")</f>
        <v/>
      </c>
    </row>
    <row r="824" spans="3:18" hidden="1" x14ac:dyDescent="0.2">
      <c r="C824" s="30" t="s">
        <v>2183</v>
      </c>
      <c r="D824" s="110" t="s">
        <v>2184</v>
      </c>
      <c r="E824" s="33" t="s">
        <v>46</v>
      </c>
      <c r="F824" s="38"/>
      <c r="G824" s="38"/>
      <c r="H824" s="31"/>
      <c r="I824" s="32"/>
      <c r="J824" s="32"/>
      <c r="K824" s="45" t="s">
        <v>888</v>
      </c>
      <c r="L824" s="129"/>
      <c r="M824" s="33" t="str">
        <f t="shared" si="12"/>
        <v/>
      </c>
      <c r="N824" s="34" t="str">
        <f>IFERROR(IF(Tabela1[[#This Row],[Nome fantasia]]="","",_xlfn.XLOOKUP($C824,Log!D:D,Log!B:B,,,-1)),"")</f>
        <v/>
      </c>
      <c r="O824" s="35" t="str">
        <f>IFERROR(_xlfn.XLOOKUP($C824,Log!D:D,Log!W:W,,,-1),"")</f>
        <v/>
      </c>
      <c r="P824" s="35" t="str">
        <f>IFERROR(_xlfn.XLOOKUP($C824,Log!D:D,Log!Y:Y,,,-1),"")</f>
        <v/>
      </c>
      <c r="Q824" s="130"/>
      <c r="R824" s="131" t="str">
        <f>IFERROR(IF(Tabela1[[#This Row],[Nome fantasia]]="","",_xlfn.XLOOKUP($C824,Log!D:D,Log!X:X,,,-1)),"")</f>
        <v/>
      </c>
    </row>
    <row r="825" spans="3:18" hidden="1" x14ac:dyDescent="0.2">
      <c r="C825" s="30" t="s">
        <v>2185</v>
      </c>
      <c r="D825" s="110" t="s">
        <v>2186</v>
      </c>
      <c r="E825" s="33" t="s">
        <v>17</v>
      </c>
      <c r="F825" s="38"/>
      <c r="G825" s="38"/>
      <c r="H825" s="31"/>
      <c r="I825" s="32"/>
      <c r="J825" s="32"/>
      <c r="K825" s="45" t="s">
        <v>888</v>
      </c>
      <c r="L825" s="129"/>
      <c r="M825" s="33" t="str">
        <f t="shared" si="12"/>
        <v/>
      </c>
      <c r="N825" s="34" t="str">
        <f>IFERROR(IF(Tabela1[[#This Row],[Nome fantasia]]="","",_xlfn.XLOOKUP($C825,Log!D:D,Log!B:B,,,-1)),"")</f>
        <v/>
      </c>
      <c r="O825" s="35" t="str">
        <f>IFERROR(_xlfn.XLOOKUP($C825,Log!D:D,Log!W:W,,,-1),"")</f>
        <v/>
      </c>
      <c r="P825" s="35" t="str">
        <f>IFERROR(_xlfn.XLOOKUP($C825,Log!D:D,Log!Y:Y,,,-1),"")</f>
        <v/>
      </c>
      <c r="Q825" s="130"/>
      <c r="R825" s="131" t="str">
        <f>IFERROR(IF(Tabela1[[#This Row],[Nome fantasia]]="","",_xlfn.XLOOKUP($C825,Log!D:D,Log!X:X,,,-1)),"")</f>
        <v/>
      </c>
    </row>
    <row r="826" spans="3:18" hidden="1" x14ac:dyDescent="0.2">
      <c r="C826" s="30" t="s">
        <v>2187</v>
      </c>
      <c r="D826" s="110" t="s">
        <v>2188</v>
      </c>
      <c r="E826" s="33" t="s">
        <v>22</v>
      </c>
      <c r="F826" s="38"/>
      <c r="G826" s="38"/>
      <c r="H826" s="31"/>
      <c r="I826" s="32"/>
      <c r="J826" s="32"/>
      <c r="K826" s="45" t="s">
        <v>888</v>
      </c>
      <c r="L826" s="129"/>
      <c r="M826" s="33" t="str">
        <f t="shared" si="12"/>
        <v/>
      </c>
      <c r="N826" s="34" t="str">
        <f>IFERROR(IF(Tabela1[[#This Row],[Nome fantasia]]="","",_xlfn.XLOOKUP($C826,Log!D:D,Log!B:B,,,-1)),"")</f>
        <v/>
      </c>
      <c r="O826" s="35" t="str">
        <f>IFERROR(_xlfn.XLOOKUP($C826,Log!D:D,Log!W:W,,,-1),"")</f>
        <v/>
      </c>
      <c r="P826" s="35" t="str">
        <f>IFERROR(_xlfn.XLOOKUP($C826,Log!D:D,Log!Y:Y,,,-1),"")</f>
        <v/>
      </c>
      <c r="Q826" s="130"/>
      <c r="R826" s="131" t="str">
        <f>IFERROR(IF(Tabela1[[#This Row],[Nome fantasia]]="","",_xlfn.XLOOKUP($C826,Log!D:D,Log!X:X,,,-1)),"")</f>
        <v/>
      </c>
    </row>
    <row r="827" spans="3:18" hidden="1" x14ac:dyDescent="0.2">
      <c r="C827" s="30" t="s">
        <v>2189</v>
      </c>
      <c r="D827" s="110" t="s">
        <v>2190</v>
      </c>
      <c r="E827" s="33" t="s">
        <v>46</v>
      </c>
      <c r="F827" s="38"/>
      <c r="G827" s="38"/>
      <c r="H827" s="31"/>
      <c r="I827" s="32"/>
      <c r="J827" s="32"/>
      <c r="K827" s="45" t="s">
        <v>888</v>
      </c>
      <c r="L827" s="129"/>
      <c r="M827" s="33" t="str">
        <f t="shared" si="12"/>
        <v/>
      </c>
      <c r="N827" s="34" t="str">
        <f>IFERROR(IF(Tabela1[[#This Row],[Nome fantasia]]="","",_xlfn.XLOOKUP($C827,Log!D:D,Log!B:B,,,-1)),"")</f>
        <v/>
      </c>
      <c r="O827" s="35" t="str">
        <f>IFERROR(_xlfn.XLOOKUP($C827,Log!D:D,Log!W:W,,,-1),"")</f>
        <v/>
      </c>
      <c r="P827" s="35" t="str">
        <f>IFERROR(_xlfn.XLOOKUP($C827,Log!D:D,Log!Y:Y,,,-1),"")</f>
        <v/>
      </c>
      <c r="Q827" s="130"/>
      <c r="R827" s="131" t="str">
        <f>IFERROR(IF(Tabela1[[#This Row],[Nome fantasia]]="","",_xlfn.XLOOKUP($C827,Log!D:D,Log!X:X,,,-1)),"")</f>
        <v/>
      </c>
    </row>
    <row r="828" spans="3:18" hidden="1" x14ac:dyDescent="0.2">
      <c r="C828" s="30" t="s">
        <v>2191</v>
      </c>
      <c r="D828" s="110" t="s">
        <v>2192</v>
      </c>
      <c r="E828" s="33" t="s">
        <v>46</v>
      </c>
      <c r="F828" s="38"/>
      <c r="G828" s="38"/>
      <c r="H828" s="31"/>
      <c r="I828" s="32"/>
      <c r="J828" s="32"/>
      <c r="K828" s="45" t="s">
        <v>888</v>
      </c>
      <c r="L828" s="129"/>
      <c r="M828" s="33" t="str">
        <f t="shared" si="12"/>
        <v/>
      </c>
      <c r="N828" s="34" t="str">
        <f>IFERROR(IF(Tabela1[[#This Row],[Nome fantasia]]="","",_xlfn.XLOOKUP($C828,Log!D:D,Log!B:B,,,-1)),"")</f>
        <v/>
      </c>
      <c r="O828" s="35" t="str">
        <f>IFERROR(_xlfn.XLOOKUP($C828,Log!D:D,Log!W:W,,,-1),"")</f>
        <v/>
      </c>
      <c r="P828" s="35" t="str">
        <f>IFERROR(_xlfn.XLOOKUP($C828,Log!D:D,Log!Y:Y,,,-1),"")</f>
        <v/>
      </c>
      <c r="Q828" s="130"/>
      <c r="R828" s="131" t="str">
        <f>IFERROR(IF(Tabela1[[#This Row],[Nome fantasia]]="","",_xlfn.XLOOKUP($C828,Log!D:D,Log!X:X,,,-1)),"")</f>
        <v/>
      </c>
    </row>
    <row r="829" spans="3:18" hidden="1" x14ac:dyDescent="0.2">
      <c r="C829" s="30" t="s">
        <v>2193</v>
      </c>
      <c r="D829" s="110" t="s">
        <v>2194</v>
      </c>
      <c r="E829" s="33" t="s">
        <v>46</v>
      </c>
      <c r="F829" s="38"/>
      <c r="G829" s="38"/>
      <c r="H829" s="31"/>
      <c r="I829" s="32"/>
      <c r="J829" s="32"/>
      <c r="K829" s="45" t="s">
        <v>888</v>
      </c>
      <c r="L829" s="129"/>
      <c r="M829" s="33" t="str">
        <f t="shared" si="12"/>
        <v/>
      </c>
      <c r="N829" s="34" t="str">
        <f>IFERROR(IF(Tabela1[[#This Row],[Nome fantasia]]="","",_xlfn.XLOOKUP($C829,Log!D:D,Log!B:B,,,-1)),"")</f>
        <v/>
      </c>
      <c r="O829" s="35" t="str">
        <f>IFERROR(_xlfn.XLOOKUP($C829,Log!D:D,Log!W:W,,,-1),"")</f>
        <v/>
      </c>
      <c r="P829" s="35" t="str">
        <f>IFERROR(_xlfn.XLOOKUP($C829,Log!D:D,Log!Y:Y,,,-1),"")</f>
        <v/>
      </c>
      <c r="Q829" s="130"/>
      <c r="R829" s="131" t="str">
        <f>IFERROR(IF(Tabela1[[#This Row],[Nome fantasia]]="","",_xlfn.XLOOKUP($C829,Log!D:D,Log!X:X,,,-1)),"")</f>
        <v/>
      </c>
    </row>
    <row r="830" spans="3:18" hidden="1" x14ac:dyDescent="0.2">
      <c r="C830" s="30" t="s">
        <v>2195</v>
      </c>
      <c r="D830" s="110" t="s">
        <v>2196</v>
      </c>
      <c r="E830" s="33" t="s">
        <v>46</v>
      </c>
      <c r="F830" s="38"/>
      <c r="G830" s="38"/>
      <c r="H830" s="31"/>
      <c r="I830" s="32"/>
      <c r="J830" s="32"/>
      <c r="K830" s="45" t="s">
        <v>888</v>
      </c>
      <c r="L830" s="129"/>
      <c r="M830" s="33" t="str">
        <f t="shared" si="12"/>
        <v/>
      </c>
      <c r="N830" s="34" t="str">
        <f>IFERROR(IF(Tabela1[[#This Row],[Nome fantasia]]="","",_xlfn.XLOOKUP($C830,Log!D:D,Log!B:B,,,-1)),"")</f>
        <v/>
      </c>
      <c r="O830" s="35" t="str">
        <f>IFERROR(_xlfn.XLOOKUP($C830,Log!D:D,Log!W:W,,,-1),"")</f>
        <v/>
      </c>
      <c r="P830" s="35" t="str">
        <f>IFERROR(_xlfn.XLOOKUP($C830,Log!D:D,Log!Y:Y,,,-1),"")</f>
        <v/>
      </c>
      <c r="Q830" s="130"/>
      <c r="R830" s="131" t="str">
        <f>IFERROR(IF(Tabela1[[#This Row],[Nome fantasia]]="","",_xlfn.XLOOKUP($C830,Log!D:D,Log!X:X,,,-1)),"")</f>
        <v/>
      </c>
    </row>
    <row r="831" spans="3:18" hidden="1" x14ac:dyDescent="0.2">
      <c r="C831" s="30" t="s">
        <v>2197</v>
      </c>
      <c r="D831" s="110" t="s">
        <v>2198</v>
      </c>
      <c r="E831" s="33" t="s">
        <v>46</v>
      </c>
      <c r="F831" s="38"/>
      <c r="G831" s="38"/>
      <c r="H831" s="31"/>
      <c r="I831" s="32"/>
      <c r="J831" s="32"/>
      <c r="K831" s="45" t="s">
        <v>888</v>
      </c>
      <c r="L831" s="129"/>
      <c r="M831" s="33" t="str">
        <f t="shared" si="12"/>
        <v/>
      </c>
      <c r="N831" s="34" t="str">
        <f>IFERROR(IF(Tabela1[[#This Row],[Nome fantasia]]="","",_xlfn.XLOOKUP($C831,Log!D:D,Log!B:B,,,-1)),"")</f>
        <v/>
      </c>
      <c r="O831" s="35" t="str">
        <f>IFERROR(_xlfn.XLOOKUP($C831,Log!D:D,Log!W:W,,,-1),"")</f>
        <v/>
      </c>
      <c r="P831" s="35" t="str">
        <f>IFERROR(_xlfn.XLOOKUP($C831,Log!D:D,Log!Y:Y,,,-1),"")</f>
        <v/>
      </c>
      <c r="Q831" s="130"/>
      <c r="R831" s="131" t="str">
        <f>IFERROR(IF(Tabela1[[#This Row],[Nome fantasia]]="","",_xlfn.XLOOKUP($C831,Log!D:D,Log!X:X,,,-1)),"")</f>
        <v/>
      </c>
    </row>
    <row r="832" spans="3:18" hidden="1" x14ac:dyDescent="0.2">
      <c r="C832" s="30" t="s">
        <v>2195</v>
      </c>
      <c r="D832" s="110" t="s">
        <v>2199</v>
      </c>
      <c r="E832" s="33" t="s">
        <v>46</v>
      </c>
      <c r="F832" s="38"/>
      <c r="G832" s="38"/>
      <c r="H832" s="31"/>
      <c r="I832" s="32"/>
      <c r="J832" s="32"/>
      <c r="K832" s="45" t="s">
        <v>888</v>
      </c>
      <c r="L832" s="129"/>
      <c r="M832" s="33" t="str">
        <f t="shared" si="12"/>
        <v/>
      </c>
      <c r="N832" s="34" t="str">
        <f>IFERROR(IF(Tabela1[[#This Row],[Nome fantasia]]="","",_xlfn.XLOOKUP($C832,Log!D:D,Log!B:B,,,-1)),"")</f>
        <v/>
      </c>
      <c r="O832" s="35" t="str">
        <f>IFERROR(_xlfn.XLOOKUP($C832,Log!D:D,Log!W:W,,,-1),"")</f>
        <v/>
      </c>
      <c r="P832" s="35" t="str">
        <f>IFERROR(_xlfn.XLOOKUP($C832,Log!D:D,Log!Y:Y,,,-1),"")</f>
        <v/>
      </c>
      <c r="Q832" s="130"/>
      <c r="R832" s="131" t="str">
        <f>IFERROR(IF(Tabela1[[#This Row],[Nome fantasia]]="","",_xlfn.XLOOKUP($C832,Log!D:D,Log!X:X,,,-1)),"")</f>
        <v/>
      </c>
    </row>
    <row r="833" spans="3:18" hidden="1" x14ac:dyDescent="0.2">
      <c r="C833" s="30" t="s">
        <v>2200</v>
      </c>
      <c r="D833" s="110" t="s">
        <v>2201</v>
      </c>
      <c r="E833" s="33" t="s">
        <v>46</v>
      </c>
      <c r="F833" s="38"/>
      <c r="G833" s="38"/>
      <c r="H833" s="31"/>
      <c r="I833" s="32"/>
      <c r="J833" s="32"/>
      <c r="K833" s="45" t="s">
        <v>888</v>
      </c>
      <c r="L833" s="129"/>
      <c r="M833" s="33" t="str">
        <f t="shared" si="12"/>
        <v/>
      </c>
      <c r="N833" s="34" t="str">
        <f>IFERROR(IF(Tabela1[[#This Row],[Nome fantasia]]="","",_xlfn.XLOOKUP($C833,Log!D:D,Log!B:B,,,-1)),"")</f>
        <v/>
      </c>
      <c r="O833" s="35" t="str">
        <f>IFERROR(_xlfn.XLOOKUP($C833,Log!D:D,Log!W:W,,,-1),"")</f>
        <v/>
      </c>
      <c r="P833" s="35" t="str">
        <f>IFERROR(_xlfn.XLOOKUP($C833,Log!D:D,Log!Y:Y,,,-1),"")</f>
        <v/>
      </c>
      <c r="Q833" s="130"/>
      <c r="R833" s="131" t="str">
        <f>IFERROR(IF(Tabela1[[#This Row],[Nome fantasia]]="","",_xlfn.XLOOKUP($C833,Log!D:D,Log!X:X,,,-1)),"")</f>
        <v/>
      </c>
    </row>
    <row r="834" spans="3:18" hidden="1" x14ac:dyDescent="0.2">
      <c r="C834" s="30" t="s">
        <v>2202</v>
      </c>
      <c r="D834" s="110" t="s">
        <v>2203</v>
      </c>
      <c r="E834" s="33" t="s">
        <v>22</v>
      </c>
      <c r="F834" s="38"/>
      <c r="G834" s="38"/>
      <c r="H834" s="31"/>
      <c r="I834" s="32"/>
      <c r="J834" s="32"/>
      <c r="K834" s="45" t="s">
        <v>888</v>
      </c>
      <c r="L834" s="129"/>
      <c r="M834" s="33" t="str">
        <f t="shared" si="12"/>
        <v/>
      </c>
      <c r="N834" s="34" t="str">
        <f>IFERROR(IF(Tabela1[[#This Row],[Nome fantasia]]="","",_xlfn.XLOOKUP($C834,Log!D:D,Log!B:B,,,-1)),"")</f>
        <v/>
      </c>
      <c r="O834" s="35" t="str">
        <f>IFERROR(_xlfn.XLOOKUP($C834,Log!D:D,Log!W:W,,,-1),"")</f>
        <v/>
      </c>
      <c r="P834" s="35" t="str">
        <f>IFERROR(_xlfn.XLOOKUP($C834,Log!D:D,Log!Y:Y,,,-1),"")</f>
        <v/>
      </c>
      <c r="Q834" s="130"/>
      <c r="R834" s="131" t="str">
        <f>IFERROR(IF(Tabela1[[#This Row],[Nome fantasia]]="","",_xlfn.XLOOKUP($C834,Log!D:D,Log!X:X,,,-1)),"")</f>
        <v/>
      </c>
    </row>
    <row r="835" spans="3:18" hidden="1" x14ac:dyDescent="0.2">
      <c r="C835" s="30" t="s">
        <v>2204</v>
      </c>
      <c r="D835" s="110" t="s">
        <v>2205</v>
      </c>
      <c r="E835" s="33" t="s">
        <v>46</v>
      </c>
      <c r="F835" s="38"/>
      <c r="G835" s="38"/>
      <c r="H835" s="31"/>
      <c r="I835" s="32"/>
      <c r="J835" s="32"/>
      <c r="K835" s="45" t="s">
        <v>888</v>
      </c>
      <c r="L835" s="129"/>
      <c r="M835" s="33" t="str">
        <f t="shared" ref="M835:M898" si="13">IF(OR(J835&lt;=0,J835=""),"","Recompra")</f>
        <v/>
      </c>
      <c r="N835" s="34" t="str">
        <f>IFERROR(IF(Tabela1[[#This Row],[Nome fantasia]]="","",_xlfn.XLOOKUP($C835,Log!D:D,Log!B:B,,,-1)),"")</f>
        <v/>
      </c>
      <c r="O835" s="35" t="str">
        <f>IFERROR(_xlfn.XLOOKUP($C835,Log!D:D,Log!W:W,,,-1),"")</f>
        <v/>
      </c>
      <c r="P835" s="35" t="str">
        <f>IFERROR(_xlfn.XLOOKUP($C835,Log!D:D,Log!Y:Y,,,-1),"")</f>
        <v/>
      </c>
      <c r="Q835" s="130"/>
      <c r="R835" s="131" t="str">
        <f>IFERROR(IF(Tabela1[[#This Row],[Nome fantasia]]="","",_xlfn.XLOOKUP($C835,Log!D:D,Log!X:X,,,-1)),"")</f>
        <v/>
      </c>
    </row>
    <row r="836" spans="3:18" hidden="1" x14ac:dyDescent="0.2">
      <c r="C836" s="30" t="s">
        <v>2206</v>
      </c>
      <c r="D836" s="110" t="s">
        <v>2207</v>
      </c>
      <c r="E836" s="33" t="s">
        <v>46</v>
      </c>
      <c r="F836" s="38"/>
      <c r="G836" s="38"/>
      <c r="H836" s="31"/>
      <c r="I836" s="32"/>
      <c r="J836" s="32"/>
      <c r="K836" s="45" t="s">
        <v>888</v>
      </c>
      <c r="L836" s="129"/>
      <c r="M836" s="33" t="str">
        <f t="shared" si="13"/>
        <v/>
      </c>
      <c r="N836" s="34" t="str">
        <f>IFERROR(IF(Tabela1[[#This Row],[Nome fantasia]]="","",_xlfn.XLOOKUP($C836,Log!D:D,Log!B:B,,,-1)),"")</f>
        <v/>
      </c>
      <c r="O836" s="35" t="str">
        <f>IFERROR(_xlfn.XLOOKUP($C836,Log!D:D,Log!W:W,,,-1),"")</f>
        <v/>
      </c>
      <c r="P836" s="35" t="str">
        <f>IFERROR(_xlfn.XLOOKUP($C836,Log!D:D,Log!Y:Y,,,-1),"")</f>
        <v/>
      </c>
      <c r="Q836" s="130"/>
      <c r="R836" s="131" t="str">
        <f>IFERROR(IF(Tabela1[[#This Row],[Nome fantasia]]="","",_xlfn.XLOOKUP($C836,Log!D:D,Log!X:X,,,-1)),"")</f>
        <v/>
      </c>
    </row>
    <row r="837" spans="3:18" hidden="1" x14ac:dyDescent="0.2">
      <c r="C837" s="30" t="s">
        <v>2208</v>
      </c>
      <c r="D837" s="110" t="s">
        <v>2209</v>
      </c>
      <c r="E837" s="33" t="s">
        <v>46</v>
      </c>
      <c r="F837" s="38"/>
      <c r="G837" s="38"/>
      <c r="H837" s="31"/>
      <c r="I837" s="32"/>
      <c r="J837" s="32"/>
      <c r="K837" s="45" t="s">
        <v>888</v>
      </c>
      <c r="L837" s="129"/>
      <c r="M837" s="33" t="str">
        <f t="shared" si="13"/>
        <v/>
      </c>
      <c r="N837" s="34" t="str">
        <f>IFERROR(IF(Tabela1[[#This Row],[Nome fantasia]]="","",_xlfn.XLOOKUP($C837,Log!D:D,Log!B:B,,,-1)),"")</f>
        <v/>
      </c>
      <c r="O837" s="35" t="str">
        <f>IFERROR(_xlfn.XLOOKUP($C837,Log!D:D,Log!W:W,,,-1),"")</f>
        <v/>
      </c>
      <c r="P837" s="35" t="str">
        <f>IFERROR(_xlfn.XLOOKUP($C837,Log!D:D,Log!Y:Y,,,-1),"")</f>
        <v/>
      </c>
      <c r="Q837" s="130"/>
      <c r="R837" s="131" t="str">
        <f>IFERROR(IF(Tabela1[[#This Row],[Nome fantasia]]="","",_xlfn.XLOOKUP($C837,Log!D:D,Log!X:X,,,-1)),"")</f>
        <v/>
      </c>
    </row>
    <row r="838" spans="3:18" hidden="1" x14ac:dyDescent="0.2">
      <c r="C838" s="30" t="s">
        <v>2210</v>
      </c>
      <c r="D838" s="110" t="s">
        <v>2211</v>
      </c>
      <c r="E838" s="33" t="s">
        <v>46</v>
      </c>
      <c r="F838" s="38"/>
      <c r="G838" s="38"/>
      <c r="H838" s="31"/>
      <c r="I838" s="32"/>
      <c r="J838" s="32"/>
      <c r="K838" s="45" t="s">
        <v>888</v>
      </c>
      <c r="L838" s="129"/>
      <c r="M838" s="33" t="str">
        <f t="shared" si="13"/>
        <v/>
      </c>
      <c r="N838" s="34" t="str">
        <f>IFERROR(IF(Tabela1[[#This Row],[Nome fantasia]]="","",_xlfn.XLOOKUP($C838,Log!D:D,Log!B:B,,,-1)),"")</f>
        <v/>
      </c>
      <c r="O838" s="35" t="str">
        <f>IFERROR(_xlfn.XLOOKUP($C838,Log!D:D,Log!W:W,,,-1),"")</f>
        <v/>
      </c>
      <c r="P838" s="35" t="str">
        <f>IFERROR(_xlfn.XLOOKUP($C838,Log!D:D,Log!Y:Y,,,-1),"")</f>
        <v/>
      </c>
      <c r="Q838" s="130"/>
      <c r="R838" s="131" t="str">
        <f>IFERROR(IF(Tabela1[[#This Row],[Nome fantasia]]="","",_xlfn.XLOOKUP($C838,Log!D:D,Log!X:X,,,-1)),"")</f>
        <v/>
      </c>
    </row>
    <row r="839" spans="3:18" hidden="1" x14ac:dyDescent="0.2">
      <c r="C839" s="30" t="s">
        <v>2212</v>
      </c>
      <c r="D839" s="110" t="s">
        <v>2213</v>
      </c>
      <c r="E839" s="33" t="s">
        <v>46</v>
      </c>
      <c r="F839" s="38"/>
      <c r="G839" s="38"/>
      <c r="H839" s="31"/>
      <c r="I839" s="32"/>
      <c r="J839" s="32"/>
      <c r="K839" s="45" t="s">
        <v>888</v>
      </c>
      <c r="L839" s="129"/>
      <c r="M839" s="33" t="str">
        <f t="shared" si="13"/>
        <v/>
      </c>
      <c r="N839" s="34" t="str">
        <f>IFERROR(IF(Tabela1[[#This Row],[Nome fantasia]]="","",_xlfn.XLOOKUP($C839,Log!D:D,Log!B:B,,,-1)),"")</f>
        <v/>
      </c>
      <c r="O839" s="35" t="str">
        <f>IFERROR(_xlfn.XLOOKUP($C839,Log!D:D,Log!W:W,,,-1),"")</f>
        <v/>
      </c>
      <c r="P839" s="35" t="str">
        <f>IFERROR(_xlfn.XLOOKUP($C839,Log!D:D,Log!Y:Y,,,-1),"")</f>
        <v/>
      </c>
      <c r="Q839" s="130"/>
      <c r="R839" s="131" t="str">
        <f>IFERROR(IF(Tabela1[[#This Row],[Nome fantasia]]="","",_xlfn.XLOOKUP($C839,Log!D:D,Log!X:X,,,-1)),"")</f>
        <v/>
      </c>
    </row>
    <row r="840" spans="3:18" hidden="1" x14ac:dyDescent="0.2">
      <c r="C840" s="30" t="s">
        <v>2214</v>
      </c>
      <c r="D840" s="110" t="s">
        <v>2215</v>
      </c>
      <c r="E840" s="33" t="s">
        <v>46</v>
      </c>
      <c r="F840" s="38"/>
      <c r="G840" s="38"/>
      <c r="H840" s="31"/>
      <c r="I840" s="32"/>
      <c r="J840" s="32"/>
      <c r="K840" s="45" t="s">
        <v>888</v>
      </c>
      <c r="L840" s="129"/>
      <c r="M840" s="33" t="str">
        <f t="shared" si="13"/>
        <v/>
      </c>
      <c r="N840" s="34" t="str">
        <f>IFERROR(IF(Tabela1[[#This Row],[Nome fantasia]]="","",_xlfn.XLOOKUP($C840,Log!D:D,Log!B:B,,,-1)),"")</f>
        <v/>
      </c>
      <c r="O840" s="35" t="str">
        <f>IFERROR(_xlfn.XLOOKUP($C840,Log!D:D,Log!W:W,,,-1),"")</f>
        <v/>
      </c>
      <c r="P840" s="35" t="str">
        <f>IFERROR(_xlfn.XLOOKUP($C840,Log!D:D,Log!Y:Y,,,-1),"")</f>
        <v/>
      </c>
      <c r="Q840" s="130"/>
      <c r="R840" s="131" t="str">
        <f>IFERROR(IF(Tabela1[[#This Row],[Nome fantasia]]="","",_xlfn.XLOOKUP($C840,Log!D:D,Log!X:X,,,-1)),"")</f>
        <v/>
      </c>
    </row>
    <row r="841" spans="3:18" hidden="1" x14ac:dyDescent="0.2">
      <c r="C841" s="30" t="s">
        <v>2216</v>
      </c>
      <c r="D841" s="110" t="s">
        <v>2217</v>
      </c>
      <c r="E841" s="33" t="s">
        <v>46</v>
      </c>
      <c r="F841" s="38"/>
      <c r="G841" s="38"/>
      <c r="H841" s="31"/>
      <c r="I841" s="32"/>
      <c r="J841" s="32"/>
      <c r="K841" s="45" t="s">
        <v>888</v>
      </c>
      <c r="L841" s="129"/>
      <c r="M841" s="33" t="str">
        <f t="shared" si="13"/>
        <v/>
      </c>
      <c r="N841" s="34" t="str">
        <f>IFERROR(IF(Tabela1[[#This Row],[Nome fantasia]]="","",_xlfn.XLOOKUP($C841,Log!D:D,Log!B:B,,,-1)),"")</f>
        <v/>
      </c>
      <c r="O841" s="35" t="str">
        <f>IFERROR(_xlfn.XLOOKUP($C841,Log!D:D,Log!W:W,,,-1),"")</f>
        <v/>
      </c>
      <c r="P841" s="35" t="str">
        <f>IFERROR(_xlfn.XLOOKUP($C841,Log!D:D,Log!Y:Y,,,-1),"")</f>
        <v/>
      </c>
      <c r="Q841" s="130"/>
      <c r="R841" s="131" t="str">
        <f>IFERROR(IF(Tabela1[[#This Row],[Nome fantasia]]="","",_xlfn.XLOOKUP($C841,Log!D:D,Log!X:X,,,-1)),"")</f>
        <v/>
      </c>
    </row>
    <row r="842" spans="3:18" hidden="1" x14ac:dyDescent="0.2">
      <c r="C842" s="30" t="s">
        <v>2218</v>
      </c>
      <c r="D842" s="110" t="s">
        <v>2219</v>
      </c>
      <c r="E842" s="33" t="s">
        <v>22</v>
      </c>
      <c r="F842" s="38"/>
      <c r="G842" s="38"/>
      <c r="H842" s="31"/>
      <c r="I842" s="32"/>
      <c r="J842" s="32"/>
      <c r="K842" s="45" t="s">
        <v>888</v>
      </c>
      <c r="L842" s="129"/>
      <c r="M842" s="33" t="str">
        <f t="shared" si="13"/>
        <v/>
      </c>
      <c r="N842" s="34" t="str">
        <f>IFERROR(IF(Tabela1[[#This Row],[Nome fantasia]]="","",_xlfn.XLOOKUP($C842,Log!D:D,Log!B:B,,,-1)),"")</f>
        <v/>
      </c>
      <c r="O842" s="35" t="str">
        <f>IFERROR(_xlfn.XLOOKUP($C842,Log!D:D,Log!W:W,,,-1),"")</f>
        <v/>
      </c>
      <c r="P842" s="35" t="str">
        <f>IFERROR(_xlfn.XLOOKUP($C842,Log!D:D,Log!Y:Y,,,-1),"")</f>
        <v/>
      </c>
      <c r="Q842" s="130"/>
      <c r="R842" s="131" t="str">
        <f>IFERROR(IF(Tabela1[[#This Row],[Nome fantasia]]="","",_xlfn.XLOOKUP($C842,Log!D:D,Log!X:X,,,-1)),"")</f>
        <v/>
      </c>
    </row>
    <row r="843" spans="3:18" hidden="1" x14ac:dyDescent="0.2">
      <c r="C843" s="30" t="s">
        <v>2220</v>
      </c>
      <c r="D843" s="110" t="s">
        <v>2221</v>
      </c>
      <c r="E843" s="33" t="s">
        <v>22</v>
      </c>
      <c r="F843" s="38"/>
      <c r="G843" s="38"/>
      <c r="H843" s="31"/>
      <c r="I843" s="32"/>
      <c r="J843" s="32"/>
      <c r="K843" s="45" t="s">
        <v>888</v>
      </c>
      <c r="L843" s="129"/>
      <c r="M843" s="33" t="str">
        <f t="shared" si="13"/>
        <v/>
      </c>
      <c r="N843" s="34" t="str">
        <f>IFERROR(IF(Tabela1[[#This Row],[Nome fantasia]]="","",_xlfn.XLOOKUP($C843,Log!D:D,Log!B:B,,,-1)),"")</f>
        <v/>
      </c>
      <c r="O843" s="35" t="str">
        <f>IFERROR(_xlfn.XLOOKUP($C843,Log!D:D,Log!W:W,,,-1),"")</f>
        <v/>
      </c>
      <c r="P843" s="35" t="str">
        <f>IFERROR(_xlfn.XLOOKUP($C843,Log!D:D,Log!Y:Y,,,-1),"")</f>
        <v/>
      </c>
      <c r="Q843" s="130"/>
      <c r="R843" s="131" t="str">
        <f>IFERROR(IF(Tabela1[[#This Row],[Nome fantasia]]="","",_xlfn.XLOOKUP($C843,Log!D:D,Log!X:X,,,-1)),"")</f>
        <v/>
      </c>
    </row>
    <row r="844" spans="3:18" hidden="1" x14ac:dyDescent="0.2">
      <c r="C844" s="30" t="s">
        <v>2222</v>
      </c>
      <c r="D844" s="110" t="s">
        <v>2223</v>
      </c>
      <c r="E844" s="33" t="s">
        <v>17</v>
      </c>
      <c r="F844" s="38"/>
      <c r="G844" s="38"/>
      <c r="H844" s="31"/>
      <c r="I844" s="32"/>
      <c r="J844" s="32"/>
      <c r="K844" s="45" t="s">
        <v>888</v>
      </c>
      <c r="L844" s="129"/>
      <c r="M844" s="33" t="str">
        <f t="shared" si="13"/>
        <v/>
      </c>
      <c r="N844" s="34" t="str">
        <f>IFERROR(IF(Tabela1[[#This Row],[Nome fantasia]]="","",_xlfn.XLOOKUP($C844,Log!D:D,Log!B:B,,,-1)),"")</f>
        <v/>
      </c>
      <c r="O844" s="35" t="str">
        <f>IFERROR(_xlfn.XLOOKUP($C844,Log!D:D,Log!W:W,,,-1),"")</f>
        <v/>
      </c>
      <c r="P844" s="35" t="str">
        <f>IFERROR(_xlfn.XLOOKUP($C844,Log!D:D,Log!Y:Y,,,-1),"")</f>
        <v/>
      </c>
      <c r="Q844" s="130"/>
      <c r="R844" s="131" t="str">
        <f>IFERROR(IF(Tabela1[[#This Row],[Nome fantasia]]="","",_xlfn.XLOOKUP($C844,Log!D:D,Log!X:X,,,-1)),"")</f>
        <v/>
      </c>
    </row>
    <row r="845" spans="3:18" hidden="1" x14ac:dyDescent="0.2">
      <c r="C845" s="30"/>
      <c r="D845" s="110" t="s">
        <v>2224</v>
      </c>
      <c r="E845" s="33" t="s">
        <v>22</v>
      </c>
      <c r="F845" s="38"/>
      <c r="G845" s="38"/>
      <c r="H845" s="31"/>
      <c r="I845" s="32"/>
      <c r="J845" s="32"/>
      <c r="K845" s="45" t="s">
        <v>888</v>
      </c>
      <c r="L845" s="129"/>
      <c r="M845" s="33" t="str">
        <f t="shared" si="13"/>
        <v/>
      </c>
      <c r="N845" s="34" t="str">
        <f>IFERROR(IF(Tabela1[[#This Row],[Nome fantasia]]="","",_xlfn.XLOOKUP($C845,Log!D:D,Log!B:B,,,-1)),"")</f>
        <v/>
      </c>
      <c r="O845" s="35" t="str">
        <f>IFERROR(_xlfn.XLOOKUP($C845,Log!D:D,Log!W:W,,,-1),"")</f>
        <v/>
      </c>
      <c r="P845" s="35" t="str">
        <f>IFERROR(_xlfn.XLOOKUP($C845,Log!D:D,Log!Y:Y,,,-1),"")</f>
        <v/>
      </c>
      <c r="Q845" s="130"/>
      <c r="R845" s="131" t="str">
        <f>IFERROR(IF(Tabela1[[#This Row],[Nome fantasia]]="","",_xlfn.XLOOKUP($C845,Log!D:D,Log!X:X,,,-1)),"")</f>
        <v/>
      </c>
    </row>
    <row r="846" spans="3:18" hidden="1" x14ac:dyDescent="0.2">
      <c r="C846" s="30" t="s">
        <v>2225</v>
      </c>
      <c r="D846" s="110" t="s">
        <v>2226</v>
      </c>
      <c r="E846" s="33" t="s">
        <v>46</v>
      </c>
      <c r="F846" s="38"/>
      <c r="G846" s="38"/>
      <c r="H846" s="31"/>
      <c r="I846" s="32"/>
      <c r="J846" s="32"/>
      <c r="K846" s="45" t="s">
        <v>888</v>
      </c>
      <c r="L846" s="129"/>
      <c r="M846" s="33" t="str">
        <f t="shared" si="13"/>
        <v/>
      </c>
      <c r="N846" s="34" t="str">
        <f>IFERROR(IF(Tabela1[[#This Row],[Nome fantasia]]="","",_xlfn.XLOOKUP($C846,Log!D:D,Log!B:B,,,-1)),"")</f>
        <v/>
      </c>
      <c r="O846" s="35" t="str">
        <f>IFERROR(_xlfn.XLOOKUP($C846,Log!D:D,Log!W:W,,,-1),"")</f>
        <v/>
      </c>
      <c r="P846" s="35" t="str">
        <f>IFERROR(_xlfn.XLOOKUP($C846,Log!D:D,Log!Y:Y,,,-1),"")</f>
        <v/>
      </c>
      <c r="Q846" s="130"/>
      <c r="R846" s="131" t="str">
        <f>IFERROR(IF(Tabela1[[#This Row],[Nome fantasia]]="","",_xlfn.XLOOKUP($C846,Log!D:D,Log!X:X,,,-1)),"")</f>
        <v/>
      </c>
    </row>
    <row r="847" spans="3:18" hidden="1" x14ac:dyDescent="0.2">
      <c r="C847" s="30" t="s">
        <v>2227</v>
      </c>
      <c r="D847" s="110" t="s">
        <v>2228</v>
      </c>
      <c r="E847" s="33" t="s">
        <v>22</v>
      </c>
      <c r="F847" s="38"/>
      <c r="G847" s="38"/>
      <c r="H847" s="31"/>
      <c r="I847" s="32"/>
      <c r="J847" s="32"/>
      <c r="K847" s="45" t="s">
        <v>888</v>
      </c>
      <c r="L847" s="129"/>
      <c r="M847" s="33" t="str">
        <f t="shared" si="13"/>
        <v/>
      </c>
      <c r="N847" s="34" t="str">
        <f>IFERROR(IF(Tabela1[[#This Row],[Nome fantasia]]="","",_xlfn.XLOOKUP($C847,Log!D:D,Log!B:B,,,-1)),"")</f>
        <v/>
      </c>
      <c r="O847" s="35" t="str">
        <f>IFERROR(_xlfn.XLOOKUP($C847,Log!D:D,Log!W:W,,,-1),"")</f>
        <v/>
      </c>
      <c r="P847" s="35" t="str">
        <f>IFERROR(_xlfn.XLOOKUP($C847,Log!D:D,Log!Y:Y,,,-1),"")</f>
        <v/>
      </c>
      <c r="Q847" s="130"/>
      <c r="R847" s="131" t="str">
        <f>IFERROR(IF(Tabela1[[#This Row],[Nome fantasia]]="","",_xlfn.XLOOKUP($C847,Log!D:D,Log!X:X,,,-1)),"")</f>
        <v/>
      </c>
    </row>
    <row r="848" spans="3:18" hidden="1" x14ac:dyDescent="0.2">
      <c r="C848" s="30" t="s">
        <v>2229</v>
      </c>
      <c r="D848" s="110" t="s">
        <v>2230</v>
      </c>
      <c r="E848" s="33" t="s">
        <v>22</v>
      </c>
      <c r="F848" s="38"/>
      <c r="G848" s="38"/>
      <c r="H848" s="31"/>
      <c r="I848" s="32"/>
      <c r="J848" s="32"/>
      <c r="K848" s="45" t="s">
        <v>888</v>
      </c>
      <c r="L848" s="129"/>
      <c r="M848" s="33" t="str">
        <f t="shared" si="13"/>
        <v/>
      </c>
      <c r="N848" s="34" t="str">
        <f>IFERROR(IF(Tabela1[[#This Row],[Nome fantasia]]="","",_xlfn.XLOOKUP($C848,Log!D:D,Log!B:B,,,-1)),"")</f>
        <v/>
      </c>
      <c r="O848" s="35" t="str">
        <f>IFERROR(_xlfn.XLOOKUP($C848,Log!D:D,Log!W:W,,,-1),"")</f>
        <v/>
      </c>
      <c r="P848" s="35" t="str">
        <f>IFERROR(_xlfn.XLOOKUP($C848,Log!D:D,Log!Y:Y,,,-1),"")</f>
        <v/>
      </c>
      <c r="Q848" s="130"/>
      <c r="R848" s="131" t="str">
        <f>IFERROR(IF(Tabela1[[#This Row],[Nome fantasia]]="","",_xlfn.XLOOKUP($C848,Log!D:D,Log!X:X,,,-1)),"")</f>
        <v/>
      </c>
    </row>
    <row r="849" spans="3:18" hidden="1" x14ac:dyDescent="0.2">
      <c r="C849" s="30" t="s">
        <v>2231</v>
      </c>
      <c r="D849" s="110" t="s">
        <v>2232</v>
      </c>
      <c r="E849" s="33" t="s">
        <v>22</v>
      </c>
      <c r="F849" s="38"/>
      <c r="G849" s="38"/>
      <c r="H849" s="31"/>
      <c r="I849" s="32"/>
      <c r="J849" s="32"/>
      <c r="K849" s="45" t="s">
        <v>888</v>
      </c>
      <c r="L849" s="129"/>
      <c r="M849" s="33" t="str">
        <f t="shared" si="13"/>
        <v/>
      </c>
      <c r="N849" s="34" t="str">
        <f>IFERROR(IF(Tabela1[[#This Row],[Nome fantasia]]="","",_xlfn.XLOOKUP($C849,Log!D:D,Log!B:B,,,-1)),"")</f>
        <v/>
      </c>
      <c r="O849" s="35" t="str">
        <f>IFERROR(_xlfn.XLOOKUP($C849,Log!D:D,Log!W:W,,,-1),"")</f>
        <v/>
      </c>
      <c r="P849" s="35" t="str">
        <f>IFERROR(_xlfn.XLOOKUP($C849,Log!D:D,Log!Y:Y,,,-1),"")</f>
        <v/>
      </c>
      <c r="Q849" s="130"/>
      <c r="R849" s="131" t="str">
        <f>IFERROR(IF(Tabela1[[#This Row],[Nome fantasia]]="","",_xlfn.XLOOKUP($C849,Log!D:D,Log!X:X,,,-1)),"")</f>
        <v/>
      </c>
    </row>
    <row r="850" spans="3:18" hidden="1" x14ac:dyDescent="0.2">
      <c r="C850" s="30" t="s">
        <v>2233</v>
      </c>
      <c r="D850" s="110" t="s">
        <v>2234</v>
      </c>
      <c r="E850" s="33" t="s">
        <v>46</v>
      </c>
      <c r="F850" s="38"/>
      <c r="G850" s="38"/>
      <c r="H850" s="31"/>
      <c r="I850" s="32"/>
      <c r="J850" s="32"/>
      <c r="K850" s="45" t="s">
        <v>888</v>
      </c>
      <c r="L850" s="129"/>
      <c r="M850" s="33" t="str">
        <f t="shared" si="13"/>
        <v/>
      </c>
      <c r="N850" s="34" t="str">
        <f>IFERROR(IF(Tabela1[[#This Row],[Nome fantasia]]="","",_xlfn.XLOOKUP($C850,Log!D:D,Log!B:B,,,-1)),"")</f>
        <v/>
      </c>
      <c r="O850" s="35" t="str">
        <f>IFERROR(_xlfn.XLOOKUP($C850,Log!D:D,Log!W:W,,,-1),"")</f>
        <v/>
      </c>
      <c r="P850" s="35" t="str">
        <f>IFERROR(_xlfn.XLOOKUP($C850,Log!D:D,Log!Y:Y,,,-1),"")</f>
        <v/>
      </c>
      <c r="Q850" s="130"/>
      <c r="R850" s="131" t="str">
        <f>IFERROR(IF(Tabela1[[#This Row],[Nome fantasia]]="","",_xlfn.XLOOKUP($C850,Log!D:D,Log!X:X,,,-1)),"")</f>
        <v/>
      </c>
    </row>
    <row r="851" spans="3:18" hidden="1" x14ac:dyDescent="0.2">
      <c r="C851" s="30" t="s">
        <v>2235</v>
      </c>
      <c r="D851" s="110" t="s">
        <v>2236</v>
      </c>
      <c r="E851" s="33" t="s">
        <v>22</v>
      </c>
      <c r="F851" s="38"/>
      <c r="G851" s="38"/>
      <c r="H851" s="31"/>
      <c r="I851" s="32"/>
      <c r="J851" s="32"/>
      <c r="K851" s="45" t="s">
        <v>888</v>
      </c>
      <c r="L851" s="129"/>
      <c r="M851" s="33" t="str">
        <f t="shared" si="13"/>
        <v/>
      </c>
      <c r="N851" s="34" t="str">
        <f>IFERROR(IF(Tabela1[[#This Row],[Nome fantasia]]="","",_xlfn.XLOOKUP($C851,Log!D:D,Log!B:B,,,-1)),"")</f>
        <v/>
      </c>
      <c r="O851" s="35" t="str">
        <f>IFERROR(_xlfn.XLOOKUP($C851,Log!D:D,Log!W:W,,,-1),"")</f>
        <v/>
      </c>
      <c r="P851" s="35" t="str">
        <f>IFERROR(_xlfn.XLOOKUP($C851,Log!D:D,Log!Y:Y,,,-1),"")</f>
        <v/>
      </c>
      <c r="Q851" s="130"/>
      <c r="R851" s="131" t="str">
        <f>IFERROR(IF(Tabela1[[#This Row],[Nome fantasia]]="","",_xlfn.XLOOKUP($C851,Log!D:D,Log!X:X,,,-1)),"")</f>
        <v/>
      </c>
    </row>
    <row r="852" spans="3:18" hidden="1" x14ac:dyDescent="0.2">
      <c r="C852" s="30" t="s">
        <v>2237</v>
      </c>
      <c r="D852" s="110" t="s">
        <v>2238</v>
      </c>
      <c r="E852" s="33" t="s">
        <v>46</v>
      </c>
      <c r="F852" s="38"/>
      <c r="G852" s="38"/>
      <c r="H852" s="31"/>
      <c r="I852" s="32"/>
      <c r="J852" s="32"/>
      <c r="K852" s="45" t="s">
        <v>888</v>
      </c>
      <c r="L852" s="129"/>
      <c r="M852" s="33" t="str">
        <f t="shared" si="13"/>
        <v/>
      </c>
      <c r="N852" s="34">
        <f>IFERROR(IF(Tabela1[[#This Row],[Nome fantasia]]="","",_xlfn.XLOOKUP($C852,Log!D:D,Log!B:B,,,-1)),"")</f>
        <v>46006</v>
      </c>
      <c r="O852" s="35" t="str">
        <f>IFERROR(_xlfn.XLOOKUP($C852,Log!D:D,Log!W:W,,,-1),"")</f>
        <v>EM ATENDIMENTO</v>
      </c>
      <c r="P852" s="35" t="str">
        <f>IFERROR(_xlfn.XLOOKUP($C852,Log!D:D,Log!Y:Y,,,-1),"")</f>
        <v>REFORCEI CATALOGOS</v>
      </c>
      <c r="Q852" s="130"/>
      <c r="R852" s="131">
        <f>IFERROR(IF(Tabela1[[#This Row],[Nome fantasia]]="","",_xlfn.XLOOKUP($C852,Log!D:D,Log!X:X,,,-1)),"")</f>
        <v>46008</v>
      </c>
    </row>
    <row r="853" spans="3:18" hidden="1" x14ac:dyDescent="0.2">
      <c r="C853" s="30" t="s">
        <v>2239</v>
      </c>
      <c r="D853" s="110" t="s">
        <v>2240</v>
      </c>
      <c r="E853" s="33" t="s">
        <v>46</v>
      </c>
      <c r="F853" s="38"/>
      <c r="G853" s="38"/>
      <c r="H853" s="31"/>
      <c r="I853" s="32"/>
      <c r="J853" s="32"/>
      <c r="K853" s="45" t="s">
        <v>888</v>
      </c>
      <c r="L853" s="129"/>
      <c r="M853" s="33" t="str">
        <f t="shared" si="13"/>
        <v/>
      </c>
      <c r="N853" s="34" t="str">
        <f>IFERROR(IF(Tabela1[[#This Row],[Nome fantasia]]="","",_xlfn.XLOOKUP($C853,Log!D:D,Log!B:B,,,-1)),"")</f>
        <v/>
      </c>
      <c r="O853" s="35" t="str">
        <f>IFERROR(_xlfn.XLOOKUP($C853,Log!D:D,Log!W:W,,,-1),"")</f>
        <v/>
      </c>
      <c r="P853" s="35" t="str">
        <f>IFERROR(_xlfn.XLOOKUP($C853,Log!D:D,Log!Y:Y,,,-1),"")</f>
        <v/>
      </c>
      <c r="Q853" s="130"/>
      <c r="R853" s="131" t="str">
        <f>IFERROR(IF(Tabela1[[#This Row],[Nome fantasia]]="","",_xlfn.XLOOKUP($C853,Log!D:D,Log!X:X,,,-1)),"")</f>
        <v/>
      </c>
    </row>
    <row r="854" spans="3:18" hidden="1" x14ac:dyDescent="0.2">
      <c r="C854" s="30" t="s">
        <v>2241</v>
      </c>
      <c r="D854" s="110" t="s">
        <v>2242</v>
      </c>
      <c r="E854" s="33" t="s">
        <v>46</v>
      </c>
      <c r="F854" s="38"/>
      <c r="G854" s="38"/>
      <c r="H854" s="31"/>
      <c r="I854" s="32"/>
      <c r="J854" s="32"/>
      <c r="K854" s="45" t="s">
        <v>888</v>
      </c>
      <c r="L854" s="129"/>
      <c r="M854" s="33" t="str">
        <f t="shared" si="13"/>
        <v/>
      </c>
      <c r="N854" s="34" t="str">
        <f>IFERROR(IF(Tabela1[[#This Row],[Nome fantasia]]="","",_xlfn.XLOOKUP($C854,Log!D:D,Log!B:B,,,-1)),"")</f>
        <v/>
      </c>
      <c r="O854" s="35" t="str">
        <f>IFERROR(_xlfn.XLOOKUP($C854,Log!D:D,Log!W:W,,,-1),"")</f>
        <v/>
      </c>
      <c r="P854" s="35" t="str">
        <f>IFERROR(_xlfn.XLOOKUP($C854,Log!D:D,Log!Y:Y,,,-1),"")</f>
        <v/>
      </c>
      <c r="Q854" s="130"/>
      <c r="R854" s="131" t="str">
        <f>IFERROR(IF(Tabela1[[#This Row],[Nome fantasia]]="","",_xlfn.XLOOKUP($C854,Log!D:D,Log!X:X,,,-1)),"")</f>
        <v/>
      </c>
    </row>
    <row r="855" spans="3:18" hidden="1" x14ac:dyDescent="0.2">
      <c r="C855" s="30" t="s">
        <v>2153</v>
      </c>
      <c r="D855" s="110" t="s">
        <v>2243</v>
      </c>
      <c r="E855" s="33" t="s">
        <v>46</v>
      </c>
      <c r="F855" s="38"/>
      <c r="G855" s="38"/>
      <c r="H855" s="31"/>
      <c r="I855" s="32"/>
      <c r="J855" s="32"/>
      <c r="K855" s="45" t="s">
        <v>888</v>
      </c>
      <c r="L855" s="129"/>
      <c r="M855" s="33" t="str">
        <f t="shared" si="13"/>
        <v/>
      </c>
      <c r="N855" s="34" t="str">
        <f>IFERROR(IF(Tabela1[[#This Row],[Nome fantasia]]="","",_xlfn.XLOOKUP($C855,Log!D:D,Log!B:B,,,-1)),"")</f>
        <v/>
      </c>
      <c r="O855" s="35" t="str">
        <f>IFERROR(_xlfn.XLOOKUP($C855,Log!D:D,Log!W:W,,,-1),"")</f>
        <v/>
      </c>
      <c r="P855" s="35" t="str">
        <f>IFERROR(_xlfn.XLOOKUP($C855,Log!D:D,Log!Y:Y,,,-1),"")</f>
        <v/>
      </c>
      <c r="Q855" s="130"/>
      <c r="R855" s="131" t="str">
        <f>IFERROR(IF(Tabela1[[#This Row],[Nome fantasia]]="","",_xlfn.XLOOKUP($C855,Log!D:D,Log!X:X,,,-1)),"")</f>
        <v/>
      </c>
    </row>
    <row r="856" spans="3:18" hidden="1" x14ac:dyDescent="0.2">
      <c r="C856" s="30" t="s">
        <v>2244</v>
      </c>
      <c r="D856" s="110" t="s">
        <v>2245</v>
      </c>
      <c r="E856" s="33" t="s">
        <v>46</v>
      </c>
      <c r="F856" s="38"/>
      <c r="G856" s="38"/>
      <c r="H856" s="31"/>
      <c r="I856" s="32"/>
      <c r="J856" s="32"/>
      <c r="K856" s="45" t="s">
        <v>888</v>
      </c>
      <c r="L856" s="129"/>
      <c r="M856" s="33" t="str">
        <f t="shared" si="13"/>
        <v/>
      </c>
      <c r="N856" s="34" t="str">
        <f>IFERROR(IF(Tabela1[[#This Row],[Nome fantasia]]="","",_xlfn.XLOOKUP($C856,Log!D:D,Log!B:B,,,-1)),"")</f>
        <v/>
      </c>
      <c r="O856" s="35" t="str">
        <f>IFERROR(_xlfn.XLOOKUP($C856,Log!D:D,Log!W:W,,,-1),"")</f>
        <v/>
      </c>
      <c r="P856" s="35" t="str">
        <f>IFERROR(_xlfn.XLOOKUP($C856,Log!D:D,Log!Y:Y,,,-1),"")</f>
        <v/>
      </c>
      <c r="Q856" s="130"/>
      <c r="R856" s="131" t="str">
        <f>IFERROR(IF(Tabela1[[#This Row],[Nome fantasia]]="","",_xlfn.XLOOKUP($C856,Log!D:D,Log!X:X,,,-1)),"")</f>
        <v/>
      </c>
    </row>
    <row r="857" spans="3:18" hidden="1" x14ac:dyDescent="0.2">
      <c r="C857" s="30" t="s">
        <v>2246</v>
      </c>
      <c r="D857" s="110" t="s">
        <v>2247</v>
      </c>
      <c r="E857" s="33" t="s">
        <v>46</v>
      </c>
      <c r="F857" s="38"/>
      <c r="G857" s="38"/>
      <c r="H857" s="31"/>
      <c r="I857" s="32"/>
      <c r="J857" s="32"/>
      <c r="K857" s="45" t="s">
        <v>888</v>
      </c>
      <c r="L857" s="129"/>
      <c r="M857" s="33" t="str">
        <f t="shared" si="13"/>
        <v/>
      </c>
      <c r="N857" s="34" t="str">
        <f>IFERROR(IF(Tabela1[[#This Row],[Nome fantasia]]="","",_xlfn.XLOOKUP($C857,Log!D:D,Log!B:B,,,-1)),"")</f>
        <v/>
      </c>
      <c r="O857" s="35" t="str">
        <f>IFERROR(_xlfn.XLOOKUP($C857,Log!D:D,Log!W:W,,,-1),"")</f>
        <v/>
      </c>
      <c r="P857" s="35" t="str">
        <f>IFERROR(_xlfn.XLOOKUP($C857,Log!D:D,Log!Y:Y,,,-1),"")</f>
        <v/>
      </c>
      <c r="Q857" s="130"/>
      <c r="R857" s="131" t="str">
        <f>IFERROR(IF(Tabela1[[#This Row],[Nome fantasia]]="","",_xlfn.XLOOKUP($C857,Log!D:D,Log!X:X,,,-1)),"")</f>
        <v/>
      </c>
    </row>
    <row r="858" spans="3:18" hidden="1" x14ac:dyDescent="0.2">
      <c r="C858" s="30" t="s">
        <v>2248</v>
      </c>
      <c r="D858" s="110" t="s">
        <v>2249</v>
      </c>
      <c r="E858" s="33" t="s">
        <v>22</v>
      </c>
      <c r="F858" s="38"/>
      <c r="G858" s="38"/>
      <c r="H858" s="31"/>
      <c r="I858" s="32"/>
      <c r="J858" s="32"/>
      <c r="K858" s="45" t="s">
        <v>888</v>
      </c>
      <c r="L858" s="129"/>
      <c r="M858" s="33" t="str">
        <f t="shared" si="13"/>
        <v/>
      </c>
      <c r="N858" s="34" t="str">
        <f>IFERROR(IF(Tabela1[[#This Row],[Nome fantasia]]="","",_xlfn.XLOOKUP($C858,Log!D:D,Log!B:B,,,-1)),"")</f>
        <v/>
      </c>
      <c r="O858" s="35" t="str">
        <f>IFERROR(_xlfn.XLOOKUP($C858,Log!D:D,Log!W:W,,,-1),"")</f>
        <v/>
      </c>
      <c r="P858" s="35" t="str">
        <f>IFERROR(_xlfn.XLOOKUP($C858,Log!D:D,Log!Y:Y,,,-1),"")</f>
        <v/>
      </c>
      <c r="Q858" s="130"/>
      <c r="R858" s="131" t="str">
        <f>IFERROR(IF(Tabela1[[#This Row],[Nome fantasia]]="","",_xlfn.XLOOKUP($C858,Log!D:D,Log!X:X,,,-1)),"")</f>
        <v/>
      </c>
    </row>
    <row r="859" spans="3:18" hidden="1" x14ac:dyDescent="0.2">
      <c r="C859" s="30" t="s">
        <v>2250</v>
      </c>
      <c r="D859" s="110" t="s">
        <v>2251</v>
      </c>
      <c r="E859" s="33" t="s">
        <v>46</v>
      </c>
      <c r="F859" s="38"/>
      <c r="G859" s="38"/>
      <c r="H859" s="31"/>
      <c r="I859" s="32"/>
      <c r="J859" s="32"/>
      <c r="K859" s="45" t="s">
        <v>888</v>
      </c>
      <c r="L859" s="129"/>
      <c r="M859" s="33" t="str">
        <f t="shared" si="13"/>
        <v/>
      </c>
      <c r="N859" s="34" t="str">
        <f>IFERROR(IF(Tabela1[[#This Row],[Nome fantasia]]="","",_xlfn.XLOOKUP($C859,Log!D:D,Log!B:B,,,-1)),"")</f>
        <v/>
      </c>
      <c r="O859" s="35" t="str">
        <f>IFERROR(_xlfn.XLOOKUP($C859,Log!D:D,Log!W:W,,,-1),"")</f>
        <v/>
      </c>
      <c r="P859" s="35" t="str">
        <f>IFERROR(_xlfn.XLOOKUP($C859,Log!D:D,Log!Y:Y,,,-1),"")</f>
        <v/>
      </c>
      <c r="Q859" s="130"/>
      <c r="R859" s="131" t="str">
        <f>IFERROR(IF(Tabela1[[#This Row],[Nome fantasia]]="","",_xlfn.XLOOKUP($C859,Log!D:D,Log!X:X,,,-1)),"")</f>
        <v/>
      </c>
    </row>
    <row r="860" spans="3:18" hidden="1" x14ac:dyDescent="0.2">
      <c r="C860" s="30" t="s">
        <v>1862</v>
      </c>
      <c r="D860" s="110" t="s">
        <v>2252</v>
      </c>
      <c r="E860" s="33" t="s">
        <v>17</v>
      </c>
      <c r="F860" s="38"/>
      <c r="G860" s="38"/>
      <c r="H860" s="31"/>
      <c r="I860" s="32"/>
      <c r="J860" s="32"/>
      <c r="K860" s="45" t="s">
        <v>888</v>
      </c>
      <c r="L860" s="129"/>
      <c r="M860" s="33" t="str">
        <f t="shared" si="13"/>
        <v/>
      </c>
      <c r="N860" s="34" t="str">
        <f>IFERROR(IF(Tabela1[[#This Row],[Nome fantasia]]="","",_xlfn.XLOOKUP($C860,Log!D:D,Log!B:B,,,-1)),"")</f>
        <v/>
      </c>
      <c r="O860" s="35" t="str">
        <f>IFERROR(_xlfn.XLOOKUP($C860,Log!D:D,Log!W:W,,,-1),"")</f>
        <v/>
      </c>
      <c r="P860" s="35" t="str">
        <f>IFERROR(_xlfn.XLOOKUP($C860,Log!D:D,Log!Y:Y,,,-1),"")</f>
        <v/>
      </c>
      <c r="Q860" s="130"/>
      <c r="R860" s="131" t="str">
        <f>IFERROR(IF(Tabela1[[#This Row],[Nome fantasia]]="","",_xlfn.XLOOKUP($C860,Log!D:D,Log!X:X,,,-1)),"")</f>
        <v/>
      </c>
    </row>
    <row r="861" spans="3:18" hidden="1" x14ac:dyDescent="0.2">
      <c r="C861" s="30" t="s">
        <v>2253</v>
      </c>
      <c r="D861" s="110" t="s">
        <v>2254</v>
      </c>
      <c r="E861" s="33" t="s">
        <v>46</v>
      </c>
      <c r="F861" s="38"/>
      <c r="G861" s="38"/>
      <c r="H861" s="31"/>
      <c r="I861" s="32"/>
      <c r="J861" s="32"/>
      <c r="K861" s="45" t="s">
        <v>888</v>
      </c>
      <c r="L861" s="129"/>
      <c r="M861" s="33" t="str">
        <f t="shared" si="13"/>
        <v/>
      </c>
      <c r="N861" s="34" t="str">
        <f>IFERROR(IF(Tabela1[[#This Row],[Nome fantasia]]="","",_xlfn.XLOOKUP($C861,Log!D:D,Log!B:B,,,-1)),"")</f>
        <v/>
      </c>
      <c r="O861" s="35" t="str">
        <f>IFERROR(_xlfn.XLOOKUP($C861,Log!D:D,Log!W:W,,,-1),"")</f>
        <v/>
      </c>
      <c r="P861" s="35" t="str">
        <f>IFERROR(_xlfn.XLOOKUP($C861,Log!D:D,Log!Y:Y,,,-1),"")</f>
        <v/>
      </c>
      <c r="Q861" s="130"/>
      <c r="R861" s="131" t="str">
        <f>IFERROR(IF(Tabela1[[#This Row],[Nome fantasia]]="","",_xlfn.XLOOKUP($C861,Log!D:D,Log!X:X,,,-1)),"")</f>
        <v/>
      </c>
    </row>
    <row r="862" spans="3:18" hidden="1" x14ac:dyDescent="0.2">
      <c r="C862" s="30" t="s">
        <v>952</v>
      </c>
      <c r="D862" s="110" t="s">
        <v>953</v>
      </c>
      <c r="E862" s="33" t="s">
        <v>46</v>
      </c>
      <c r="F862" s="38"/>
      <c r="G862" s="38"/>
      <c r="H862" s="31"/>
      <c r="I862" s="32"/>
      <c r="J862" s="32"/>
      <c r="K862" s="45" t="s">
        <v>888</v>
      </c>
      <c r="L862" s="129"/>
      <c r="M862" s="33" t="str">
        <f t="shared" si="13"/>
        <v/>
      </c>
      <c r="N862" s="34">
        <f>IFERROR(IF(Tabela1[[#This Row],[Nome fantasia]]="","",_xlfn.XLOOKUP($C862,Log!D:D,Log!B:B,,,-1)),"")</f>
        <v>45922</v>
      </c>
      <c r="O862" s="35" t="str">
        <f>IFERROR(_xlfn.XLOOKUP($C862,Log!D:D,Log!W:W,,,-1),"")</f>
        <v>PERDA / NÃO VENDA</v>
      </c>
      <c r="P862" s="35" t="str">
        <f>IFERROR(_xlfn.XLOOKUP($C862,Log!D:D,Log!Y:Y,,,-1),"")</f>
        <v xml:space="preserve">CLIENTE NUNCA MAIS ATENDEU OU RESPONDEU </v>
      </c>
      <c r="Q862" s="130"/>
      <c r="R862" s="131" t="str">
        <f>IFERROR(IF(Tabela1[[#This Row],[Nome fantasia]]="","",_xlfn.XLOOKUP($C862,Log!D:D,Log!X:X,,,-1)),"")</f>
        <v/>
      </c>
    </row>
    <row r="863" spans="3:18" hidden="1" x14ac:dyDescent="0.2">
      <c r="C863" s="30" t="s">
        <v>2255</v>
      </c>
      <c r="D863" s="110" t="s">
        <v>2256</v>
      </c>
      <c r="E863" s="33" t="s">
        <v>46</v>
      </c>
      <c r="F863" s="38"/>
      <c r="G863" s="38"/>
      <c r="H863" s="31"/>
      <c r="I863" s="32"/>
      <c r="J863" s="32"/>
      <c r="K863" s="45" t="s">
        <v>888</v>
      </c>
      <c r="L863" s="129"/>
      <c r="M863" s="33" t="str">
        <f t="shared" si="13"/>
        <v/>
      </c>
      <c r="N863" s="34" t="str">
        <f>IFERROR(IF(Tabela1[[#This Row],[Nome fantasia]]="","",_xlfn.XLOOKUP($C863,Log!D:D,Log!B:B,,,-1)),"")</f>
        <v/>
      </c>
      <c r="O863" s="35" t="str">
        <f>IFERROR(_xlfn.XLOOKUP($C863,Log!D:D,Log!W:W,,,-1),"")</f>
        <v/>
      </c>
      <c r="P863" s="35" t="str">
        <f>IFERROR(_xlfn.XLOOKUP($C863,Log!D:D,Log!Y:Y,,,-1),"")</f>
        <v/>
      </c>
      <c r="Q863" s="130"/>
      <c r="R863" s="131" t="str">
        <f>IFERROR(IF(Tabela1[[#This Row],[Nome fantasia]]="","",_xlfn.XLOOKUP($C863,Log!D:D,Log!X:X,,,-1)),"")</f>
        <v/>
      </c>
    </row>
    <row r="864" spans="3:18" hidden="1" x14ac:dyDescent="0.2">
      <c r="C864" s="30" t="s">
        <v>2257</v>
      </c>
      <c r="D864" s="110" t="s">
        <v>2258</v>
      </c>
      <c r="E864" s="33" t="s">
        <v>17</v>
      </c>
      <c r="F864" s="38"/>
      <c r="G864" s="38"/>
      <c r="H864" s="31"/>
      <c r="I864" s="32"/>
      <c r="J864" s="32"/>
      <c r="K864" s="45" t="s">
        <v>888</v>
      </c>
      <c r="L864" s="129"/>
      <c r="M864" s="33" t="str">
        <f t="shared" si="13"/>
        <v/>
      </c>
      <c r="N864" s="34" t="str">
        <f>IFERROR(IF(Tabela1[[#This Row],[Nome fantasia]]="","",_xlfn.XLOOKUP($C864,Log!D:D,Log!B:B,,,-1)),"")</f>
        <v/>
      </c>
      <c r="O864" s="35" t="str">
        <f>IFERROR(_xlfn.XLOOKUP($C864,Log!D:D,Log!W:W,,,-1),"")</f>
        <v/>
      </c>
      <c r="P864" s="35" t="str">
        <f>IFERROR(_xlfn.XLOOKUP($C864,Log!D:D,Log!Y:Y,,,-1),"")</f>
        <v/>
      </c>
      <c r="Q864" s="130"/>
      <c r="R864" s="131" t="str">
        <f>IFERROR(IF(Tabela1[[#This Row],[Nome fantasia]]="","",_xlfn.XLOOKUP($C864,Log!D:D,Log!X:X,,,-1)),"")</f>
        <v/>
      </c>
    </row>
    <row r="865" spans="3:18" hidden="1" x14ac:dyDescent="0.2">
      <c r="C865" s="30" t="s">
        <v>2259</v>
      </c>
      <c r="D865" s="110" t="s">
        <v>2260</v>
      </c>
      <c r="E865" s="33" t="s">
        <v>22</v>
      </c>
      <c r="F865" s="38"/>
      <c r="G865" s="38"/>
      <c r="H865" s="31"/>
      <c r="I865" s="32"/>
      <c r="J865" s="32"/>
      <c r="K865" s="45" t="s">
        <v>888</v>
      </c>
      <c r="L865" s="129"/>
      <c r="M865" s="33" t="str">
        <f t="shared" si="13"/>
        <v/>
      </c>
      <c r="N865" s="34" t="str">
        <f>IFERROR(IF(Tabela1[[#This Row],[Nome fantasia]]="","",_xlfn.XLOOKUP($C865,Log!D:D,Log!B:B,,,-1)),"")</f>
        <v/>
      </c>
      <c r="O865" s="35" t="str">
        <f>IFERROR(_xlfn.XLOOKUP($C865,Log!D:D,Log!W:W,,,-1),"")</f>
        <v/>
      </c>
      <c r="P865" s="35" t="str">
        <f>IFERROR(_xlfn.XLOOKUP($C865,Log!D:D,Log!Y:Y,,,-1),"")</f>
        <v/>
      </c>
      <c r="Q865" s="130"/>
      <c r="R865" s="131" t="str">
        <f>IFERROR(IF(Tabela1[[#This Row],[Nome fantasia]]="","",_xlfn.XLOOKUP($C865,Log!D:D,Log!X:X,,,-1)),"")</f>
        <v/>
      </c>
    </row>
    <row r="866" spans="3:18" hidden="1" x14ac:dyDescent="0.2">
      <c r="C866" s="30" t="s">
        <v>2261</v>
      </c>
      <c r="D866" s="110" t="s">
        <v>2262</v>
      </c>
      <c r="E866" s="33" t="s">
        <v>22</v>
      </c>
      <c r="F866" s="38"/>
      <c r="G866" s="38"/>
      <c r="H866" s="31"/>
      <c r="I866" s="32"/>
      <c r="J866" s="32"/>
      <c r="K866" s="45" t="s">
        <v>888</v>
      </c>
      <c r="L866" s="129"/>
      <c r="M866" s="33" t="str">
        <f t="shared" si="13"/>
        <v/>
      </c>
      <c r="N866" s="34" t="str">
        <f>IFERROR(IF(Tabela1[[#This Row],[Nome fantasia]]="","",_xlfn.XLOOKUP($C866,Log!D:D,Log!B:B,,,-1)),"")</f>
        <v/>
      </c>
      <c r="O866" s="35" t="str">
        <f>IFERROR(_xlfn.XLOOKUP($C866,Log!D:D,Log!W:W,,,-1),"")</f>
        <v/>
      </c>
      <c r="P866" s="35" t="str">
        <f>IFERROR(_xlfn.XLOOKUP($C866,Log!D:D,Log!Y:Y,,,-1),"")</f>
        <v/>
      </c>
      <c r="Q866" s="130"/>
      <c r="R866" s="131" t="str">
        <f>IFERROR(IF(Tabela1[[#This Row],[Nome fantasia]]="","",_xlfn.XLOOKUP($C866,Log!D:D,Log!X:X,,,-1)),"")</f>
        <v/>
      </c>
    </row>
    <row r="867" spans="3:18" hidden="1" x14ac:dyDescent="0.2">
      <c r="C867" s="30" t="s">
        <v>2263</v>
      </c>
      <c r="D867" s="110" t="s">
        <v>2264</v>
      </c>
      <c r="E867" s="33" t="s">
        <v>46</v>
      </c>
      <c r="F867" s="38"/>
      <c r="G867" s="38"/>
      <c r="H867" s="31"/>
      <c r="I867" s="32"/>
      <c r="J867" s="32"/>
      <c r="K867" s="45" t="s">
        <v>888</v>
      </c>
      <c r="L867" s="129"/>
      <c r="M867" s="33" t="str">
        <f t="shared" si="13"/>
        <v/>
      </c>
      <c r="N867" s="34">
        <f>IFERROR(IF(Tabela1[[#This Row],[Nome fantasia]]="","",_xlfn.XLOOKUP($C867,Log!D:D,Log!B:B,,,-1)),"")</f>
        <v>45999</v>
      </c>
      <c r="O867" s="35" t="str">
        <f>IFERROR(_xlfn.XLOOKUP($C867,Log!D:D,Log!W:W,,,-1),"")</f>
        <v>EM ATENDIMENTO</v>
      </c>
      <c r="P867" s="35" t="str">
        <f>IFERROR(_xlfn.XLOOKUP($C867,Log!D:D,Log!Y:Y,,,-1),"")</f>
        <v>SOMENTE CHAMA</v>
      </c>
      <c r="Q867" s="130"/>
      <c r="R867" s="131">
        <f>IFERROR(IF(Tabela1[[#This Row],[Nome fantasia]]="","",_xlfn.XLOOKUP($C867,Log!D:D,Log!X:X,,,-1)),"")</f>
        <v>46001</v>
      </c>
    </row>
    <row r="868" spans="3:18" hidden="1" x14ac:dyDescent="0.2">
      <c r="C868" s="30"/>
      <c r="D868" s="110" t="s">
        <v>2265</v>
      </c>
      <c r="E868" s="33" t="s">
        <v>46</v>
      </c>
      <c r="F868" s="38"/>
      <c r="G868" s="38"/>
      <c r="H868" s="31"/>
      <c r="I868" s="32"/>
      <c r="J868" s="32"/>
      <c r="K868" s="45" t="s">
        <v>888</v>
      </c>
      <c r="L868" s="129"/>
      <c r="M868" s="33" t="str">
        <f t="shared" si="13"/>
        <v/>
      </c>
      <c r="N868" s="34" t="str">
        <f>IFERROR(IF(Tabela1[[#This Row],[Nome fantasia]]="","",_xlfn.XLOOKUP($C868,Log!D:D,Log!B:B,,,-1)),"")</f>
        <v/>
      </c>
      <c r="O868" s="35" t="str">
        <f>IFERROR(_xlfn.XLOOKUP($C868,Log!D:D,Log!W:W,,,-1),"")</f>
        <v/>
      </c>
      <c r="P868" s="35" t="str">
        <f>IFERROR(_xlfn.XLOOKUP($C868,Log!D:D,Log!Y:Y,,,-1),"")</f>
        <v/>
      </c>
      <c r="Q868" s="130"/>
      <c r="R868" s="131" t="str">
        <f>IFERROR(IF(Tabela1[[#This Row],[Nome fantasia]]="","",_xlfn.XLOOKUP($C868,Log!D:D,Log!X:X,,,-1)),"")</f>
        <v/>
      </c>
    </row>
    <row r="869" spans="3:18" hidden="1" x14ac:dyDescent="0.2">
      <c r="C869" s="30" t="s">
        <v>2266</v>
      </c>
      <c r="D869" s="110" t="s">
        <v>2267</v>
      </c>
      <c r="E869" s="33" t="s">
        <v>17</v>
      </c>
      <c r="F869" s="38"/>
      <c r="G869" s="38"/>
      <c r="H869" s="31"/>
      <c r="I869" s="32"/>
      <c r="J869" s="32"/>
      <c r="K869" s="45" t="s">
        <v>888</v>
      </c>
      <c r="L869" s="129"/>
      <c r="M869" s="33" t="str">
        <f t="shared" si="13"/>
        <v/>
      </c>
      <c r="N869" s="34" t="str">
        <f>IFERROR(IF(Tabela1[[#This Row],[Nome fantasia]]="","",_xlfn.XLOOKUP($C869,Log!D:D,Log!B:B,,,-1)),"")</f>
        <v/>
      </c>
      <c r="O869" s="35" t="str">
        <f>IFERROR(_xlfn.XLOOKUP($C869,Log!D:D,Log!W:W,,,-1),"")</f>
        <v/>
      </c>
      <c r="P869" s="35" t="str">
        <f>IFERROR(_xlfn.XLOOKUP($C869,Log!D:D,Log!Y:Y,,,-1),"")</f>
        <v/>
      </c>
      <c r="Q869" s="130"/>
      <c r="R869" s="131" t="str">
        <f>IFERROR(IF(Tabela1[[#This Row],[Nome fantasia]]="","",_xlfn.XLOOKUP($C869,Log!D:D,Log!X:X,,,-1)),"")</f>
        <v/>
      </c>
    </row>
    <row r="870" spans="3:18" hidden="1" x14ac:dyDescent="0.2">
      <c r="C870" s="30" t="s">
        <v>2268</v>
      </c>
      <c r="D870" s="110" t="s">
        <v>2269</v>
      </c>
      <c r="E870" s="33" t="s">
        <v>22</v>
      </c>
      <c r="F870" s="38"/>
      <c r="G870" s="38"/>
      <c r="H870" s="31"/>
      <c r="I870" s="32"/>
      <c r="J870" s="32"/>
      <c r="K870" s="45" t="s">
        <v>888</v>
      </c>
      <c r="L870" s="129"/>
      <c r="M870" s="33" t="str">
        <f t="shared" si="13"/>
        <v/>
      </c>
      <c r="N870" s="34" t="str">
        <f>IFERROR(IF(Tabela1[[#This Row],[Nome fantasia]]="","",_xlfn.XLOOKUP($C870,Log!D:D,Log!B:B,,,-1)),"")</f>
        <v/>
      </c>
      <c r="O870" s="35" t="str">
        <f>IFERROR(_xlfn.XLOOKUP($C870,Log!D:D,Log!W:W,,,-1),"")</f>
        <v/>
      </c>
      <c r="P870" s="35" t="str">
        <f>IFERROR(_xlfn.XLOOKUP($C870,Log!D:D,Log!Y:Y,,,-1),"")</f>
        <v/>
      </c>
      <c r="Q870" s="130"/>
      <c r="R870" s="131" t="str">
        <f>IFERROR(IF(Tabela1[[#This Row],[Nome fantasia]]="","",_xlfn.XLOOKUP($C870,Log!D:D,Log!X:X,,,-1)),"")</f>
        <v/>
      </c>
    </row>
    <row r="871" spans="3:18" hidden="1" x14ac:dyDescent="0.2">
      <c r="C871" s="30" t="s">
        <v>2270</v>
      </c>
      <c r="D871" s="110" t="s">
        <v>2271</v>
      </c>
      <c r="E871" s="33" t="s">
        <v>22</v>
      </c>
      <c r="F871" s="38"/>
      <c r="G871" s="38"/>
      <c r="H871" s="31"/>
      <c r="I871" s="32"/>
      <c r="J871" s="32"/>
      <c r="K871" s="45" t="s">
        <v>888</v>
      </c>
      <c r="L871" s="129"/>
      <c r="M871" s="33" t="str">
        <f t="shared" si="13"/>
        <v/>
      </c>
      <c r="N871" s="34" t="str">
        <f>IFERROR(IF(Tabela1[[#This Row],[Nome fantasia]]="","",_xlfn.XLOOKUP($C871,Log!D:D,Log!B:B,,,-1)),"")</f>
        <v/>
      </c>
      <c r="O871" s="35" t="str">
        <f>IFERROR(_xlfn.XLOOKUP($C871,Log!D:D,Log!W:W,,,-1),"")</f>
        <v/>
      </c>
      <c r="P871" s="35" t="str">
        <f>IFERROR(_xlfn.XLOOKUP($C871,Log!D:D,Log!Y:Y,,,-1),"")</f>
        <v/>
      </c>
      <c r="Q871" s="130"/>
      <c r="R871" s="131" t="str">
        <f>IFERROR(IF(Tabela1[[#This Row],[Nome fantasia]]="","",_xlfn.XLOOKUP($C871,Log!D:D,Log!X:X,,,-1)),"")</f>
        <v/>
      </c>
    </row>
    <row r="872" spans="3:18" hidden="1" x14ac:dyDescent="0.2">
      <c r="C872" s="30" t="s">
        <v>2272</v>
      </c>
      <c r="D872" s="110" t="s">
        <v>2273</v>
      </c>
      <c r="E872" s="33" t="s">
        <v>46</v>
      </c>
      <c r="F872" s="38"/>
      <c r="G872" s="38"/>
      <c r="H872" s="31"/>
      <c r="I872" s="32"/>
      <c r="J872" s="32"/>
      <c r="K872" s="45" t="s">
        <v>888</v>
      </c>
      <c r="L872" s="129"/>
      <c r="M872" s="33" t="str">
        <f t="shared" si="13"/>
        <v/>
      </c>
      <c r="N872" s="34" t="str">
        <f>IFERROR(IF(Tabela1[[#This Row],[Nome fantasia]]="","",_xlfn.XLOOKUP($C872,Log!D:D,Log!B:B,,,-1)),"")</f>
        <v/>
      </c>
      <c r="O872" s="35" t="str">
        <f>IFERROR(_xlfn.XLOOKUP($C872,Log!D:D,Log!W:W,,,-1),"")</f>
        <v/>
      </c>
      <c r="P872" s="35" t="str">
        <f>IFERROR(_xlfn.XLOOKUP($C872,Log!D:D,Log!Y:Y,,,-1),"")</f>
        <v/>
      </c>
      <c r="Q872" s="130"/>
      <c r="R872" s="131" t="str">
        <f>IFERROR(IF(Tabela1[[#This Row],[Nome fantasia]]="","",_xlfn.XLOOKUP($C872,Log!D:D,Log!X:X,,,-1)),"")</f>
        <v/>
      </c>
    </row>
    <row r="873" spans="3:18" hidden="1" x14ac:dyDescent="0.2">
      <c r="C873" s="30" t="s">
        <v>2274</v>
      </c>
      <c r="D873" s="110" t="s">
        <v>2275</v>
      </c>
      <c r="E873" s="33" t="s">
        <v>46</v>
      </c>
      <c r="F873" s="38"/>
      <c r="G873" s="38"/>
      <c r="H873" s="31"/>
      <c r="I873" s="32"/>
      <c r="J873" s="32"/>
      <c r="K873" s="45" t="s">
        <v>888</v>
      </c>
      <c r="L873" s="129"/>
      <c r="M873" s="33" t="str">
        <f t="shared" si="13"/>
        <v/>
      </c>
      <c r="N873" s="34" t="str">
        <f>IFERROR(IF(Tabela1[[#This Row],[Nome fantasia]]="","",_xlfn.XLOOKUP($C873,Log!D:D,Log!B:B,,,-1)),"")</f>
        <v/>
      </c>
      <c r="O873" s="35" t="str">
        <f>IFERROR(_xlfn.XLOOKUP($C873,Log!D:D,Log!W:W,,,-1),"")</f>
        <v/>
      </c>
      <c r="P873" s="35" t="str">
        <f>IFERROR(_xlfn.XLOOKUP($C873,Log!D:D,Log!Y:Y,,,-1),"")</f>
        <v/>
      </c>
      <c r="Q873" s="130"/>
      <c r="R873" s="131" t="str">
        <f>IFERROR(IF(Tabela1[[#This Row],[Nome fantasia]]="","",_xlfn.XLOOKUP($C873,Log!D:D,Log!X:X,,,-1)),"")</f>
        <v/>
      </c>
    </row>
    <row r="874" spans="3:18" hidden="1" x14ac:dyDescent="0.2">
      <c r="C874" s="30" t="s">
        <v>2276</v>
      </c>
      <c r="D874" s="110" t="s">
        <v>2277</v>
      </c>
      <c r="E874" s="33" t="s">
        <v>22</v>
      </c>
      <c r="F874" s="38"/>
      <c r="G874" s="38"/>
      <c r="H874" s="31"/>
      <c r="I874" s="32"/>
      <c r="J874" s="32"/>
      <c r="K874" s="45" t="s">
        <v>888</v>
      </c>
      <c r="L874" s="129"/>
      <c r="M874" s="33" t="str">
        <f t="shared" si="13"/>
        <v/>
      </c>
      <c r="N874" s="34" t="str">
        <f>IFERROR(IF(Tabela1[[#This Row],[Nome fantasia]]="","",_xlfn.XLOOKUP($C874,Log!D:D,Log!B:B,,,-1)),"")</f>
        <v/>
      </c>
      <c r="O874" s="35" t="str">
        <f>IFERROR(_xlfn.XLOOKUP($C874,Log!D:D,Log!W:W,,,-1),"")</f>
        <v/>
      </c>
      <c r="P874" s="35" t="str">
        <f>IFERROR(_xlfn.XLOOKUP($C874,Log!D:D,Log!Y:Y,,,-1),"")</f>
        <v/>
      </c>
      <c r="Q874" s="130"/>
      <c r="R874" s="131" t="str">
        <f>IFERROR(IF(Tabela1[[#This Row],[Nome fantasia]]="","",_xlfn.XLOOKUP($C874,Log!D:D,Log!X:X,,,-1)),"")</f>
        <v/>
      </c>
    </row>
    <row r="875" spans="3:18" hidden="1" x14ac:dyDescent="0.2">
      <c r="C875" s="30" t="s">
        <v>2278</v>
      </c>
      <c r="D875" s="110" t="s">
        <v>2279</v>
      </c>
      <c r="E875" s="33" t="s">
        <v>17</v>
      </c>
      <c r="F875" s="38"/>
      <c r="G875" s="38"/>
      <c r="H875" s="31"/>
      <c r="I875" s="32"/>
      <c r="J875" s="32"/>
      <c r="K875" s="45" t="s">
        <v>888</v>
      </c>
      <c r="L875" s="129"/>
      <c r="M875" s="33" t="str">
        <f t="shared" si="13"/>
        <v/>
      </c>
      <c r="N875" s="34" t="str">
        <f>IFERROR(IF(Tabela1[[#This Row],[Nome fantasia]]="","",_xlfn.XLOOKUP($C875,Log!D:D,Log!B:B,,,-1)),"")</f>
        <v/>
      </c>
      <c r="O875" s="35" t="str">
        <f>IFERROR(_xlfn.XLOOKUP($C875,Log!D:D,Log!W:W,,,-1),"")</f>
        <v/>
      </c>
      <c r="P875" s="35" t="str">
        <f>IFERROR(_xlfn.XLOOKUP($C875,Log!D:D,Log!Y:Y,,,-1),"")</f>
        <v/>
      </c>
      <c r="Q875" s="130"/>
      <c r="R875" s="131" t="str">
        <f>IFERROR(IF(Tabela1[[#This Row],[Nome fantasia]]="","",_xlfn.XLOOKUP($C875,Log!D:D,Log!X:X,,,-1)),"")</f>
        <v/>
      </c>
    </row>
    <row r="876" spans="3:18" hidden="1" x14ac:dyDescent="0.2">
      <c r="C876" s="30" t="s">
        <v>2280</v>
      </c>
      <c r="D876" s="110" t="s">
        <v>2281</v>
      </c>
      <c r="E876" s="33" t="s">
        <v>46</v>
      </c>
      <c r="F876" s="38"/>
      <c r="G876" s="38"/>
      <c r="H876" s="31"/>
      <c r="I876" s="32"/>
      <c r="J876" s="32"/>
      <c r="K876" s="45" t="s">
        <v>888</v>
      </c>
      <c r="L876" s="129"/>
      <c r="M876" s="33" t="str">
        <f t="shared" si="13"/>
        <v/>
      </c>
      <c r="N876" s="34" t="str">
        <f>IFERROR(IF(Tabela1[[#This Row],[Nome fantasia]]="","",_xlfn.XLOOKUP($C876,Log!D:D,Log!B:B,,,-1)),"")</f>
        <v/>
      </c>
      <c r="O876" s="35" t="str">
        <f>IFERROR(_xlfn.XLOOKUP($C876,Log!D:D,Log!W:W,,,-1),"")</f>
        <v/>
      </c>
      <c r="P876" s="35" t="str">
        <f>IFERROR(_xlfn.XLOOKUP($C876,Log!D:D,Log!Y:Y,,,-1),"")</f>
        <v/>
      </c>
      <c r="Q876" s="130"/>
      <c r="R876" s="131" t="str">
        <f>IFERROR(IF(Tabela1[[#This Row],[Nome fantasia]]="","",_xlfn.XLOOKUP($C876,Log!D:D,Log!X:X,,,-1)),"")</f>
        <v/>
      </c>
    </row>
    <row r="877" spans="3:18" hidden="1" x14ac:dyDescent="0.2">
      <c r="C877" s="30" t="s">
        <v>2282</v>
      </c>
      <c r="D877" s="110" t="s">
        <v>2283</v>
      </c>
      <c r="E877" s="33" t="s">
        <v>46</v>
      </c>
      <c r="F877" s="38"/>
      <c r="G877" s="38"/>
      <c r="H877" s="31"/>
      <c r="I877" s="32"/>
      <c r="J877" s="32"/>
      <c r="K877" s="45" t="s">
        <v>888</v>
      </c>
      <c r="L877" s="129"/>
      <c r="M877" s="33" t="str">
        <f t="shared" si="13"/>
        <v/>
      </c>
      <c r="N877" s="34" t="str">
        <f>IFERROR(IF(Tabela1[[#This Row],[Nome fantasia]]="","",_xlfn.XLOOKUP($C877,Log!D:D,Log!B:B,,,-1)),"")</f>
        <v/>
      </c>
      <c r="O877" s="35" t="str">
        <f>IFERROR(_xlfn.XLOOKUP($C877,Log!D:D,Log!W:W,,,-1),"")</f>
        <v/>
      </c>
      <c r="P877" s="35" t="str">
        <f>IFERROR(_xlfn.XLOOKUP($C877,Log!D:D,Log!Y:Y,,,-1),"")</f>
        <v/>
      </c>
      <c r="Q877" s="130"/>
      <c r="R877" s="131" t="str">
        <f>IFERROR(IF(Tabela1[[#This Row],[Nome fantasia]]="","",_xlfn.XLOOKUP($C877,Log!D:D,Log!X:X,,,-1)),"")</f>
        <v/>
      </c>
    </row>
    <row r="878" spans="3:18" hidden="1" x14ac:dyDescent="0.2">
      <c r="C878" s="30" t="s">
        <v>2284</v>
      </c>
      <c r="D878" s="110" t="s">
        <v>2285</v>
      </c>
      <c r="E878" s="33" t="s">
        <v>46</v>
      </c>
      <c r="F878" s="38"/>
      <c r="G878" s="38"/>
      <c r="H878" s="31"/>
      <c r="I878" s="32"/>
      <c r="J878" s="32"/>
      <c r="K878" s="45" t="s">
        <v>888</v>
      </c>
      <c r="L878" s="129"/>
      <c r="M878" s="33" t="str">
        <f t="shared" si="13"/>
        <v/>
      </c>
      <c r="N878" s="34" t="str">
        <f>IFERROR(IF(Tabela1[[#This Row],[Nome fantasia]]="","",_xlfn.XLOOKUP($C878,Log!D:D,Log!B:B,,,-1)),"")</f>
        <v/>
      </c>
      <c r="O878" s="35" t="str">
        <f>IFERROR(_xlfn.XLOOKUP($C878,Log!D:D,Log!W:W,,,-1),"")</f>
        <v/>
      </c>
      <c r="P878" s="35" t="str">
        <f>IFERROR(_xlfn.XLOOKUP($C878,Log!D:D,Log!Y:Y,,,-1),"")</f>
        <v/>
      </c>
      <c r="Q878" s="130"/>
      <c r="R878" s="131" t="str">
        <f>IFERROR(IF(Tabela1[[#This Row],[Nome fantasia]]="","",_xlfn.XLOOKUP($C878,Log!D:D,Log!X:X,,,-1)),"")</f>
        <v/>
      </c>
    </row>
    <row r="879" spans="3:18" hidden="1" x14ac:dyDescent="0.2">
      <c r="C879" s="30" t="s">
        <v>2286</v>
      </c>
      <c r="D879" s="110" t="s">
        <v>1283</v>
      </c>
      <c r="E879" s="33" t="s">
        <v>22</v>
      </c>
      <c r="F879" s="38"/>
      <c r="G879" s="38"/>
      <c r="H879" s="31"/>
      <c r="I879" s="32"/>
      <c r="J879" s="32"/>
      <c r="K879" s="45" t="s">
        <v>888</v>
      </c>
      <c r="L879" s="129"/>
      <c r="M879" s="33" t="str">
        <f t="shared" si="13"/>
        <v/>
      </c>
      <c r="N879" s="34" t="str">
        <f>IFERROR(IF(Tabela1[[#This Row],[Nome fantasia]]="","",_xlfn.XLOOKUP($C879,Log!D:D,Log!B:B,,,-1)),"")</f>
        <v/>
      </c>
      <c r="O879" s="35" t="str">
        <f>IFERROR(_xlfn.XLOOKUP($C879,Log!D:D,Log!W:W,,,-1),"")</f>
        <v/>
      </c>
      <c r="P879" s="35" t="str">
        <f>IFERROR(_xlfn.XLOOKUP($C879,Log!D:D,Log!Y:Y,,,-1),"")</f>
        <v/>
      </c>
      <c r="Q879" s="130"/>
      <c r="R879" s="131" t="str">
        <f>IFERROR(IF(Tabela1[[#This Row],[Nome fantasia]]="","",_xlfn.XLOOKUP($C879,Log!D:D,Log!X:X,,,-1)),"")</f>
        <v/>
      </c>
    </row>
    <row r="880" spans="3:18" hidden="1" x14ac:dyDescent="0.2">
      <c r="C880" s="30" t="s">
        <v>2287</v>
      </c>
      <c r="D880" s="110" t="s">
        <v>2288</v>
      </c>
      <c r="E880" s="33" t="s">
        <v>17</v>
      </c>
      <c r="F880" s="38"/>
      <c r="G880" s="38"/>
      <c r="H880" s="31"/>
      <c r="I880" s="32"/>
      <c r="J880" s="32"/>
      <c r="K880" s="45" t="s">
        <v>888</v>
      </c>
      <c r="L880" s="129"/>
      <c r="M880" s="33" t="str">
        <f t="shared" si="13"/>
        <v/>
      </c>
      <c r="N880" s="34" t="str">
        <f>IFERROR(IF(Tabela1[[#This Row],[Nome fantasia]]="","",_xlfn.XLOOKUP($C880,Log!D:D,Log!B:B,,,-1)),"")</f>
        <v/>
      </c>
      <c r="O880" s="35" t="str">
        <f>IFERROR(_xlfn.XLOOKUP($C880,Log!D:D,Log!W:W,,,-1),"")</f>
        <v/>
      </c>
      <c r="P880" s="35" t="str">
        <f>IFERROR(_xlfn.XLOOKUP($C880,Log!D:D,Log!Y:Y,,,-1),"")</f>
        <v/>
      </c>
      <c r="Q880" s="130"/>
      <c r="R880" s="131" t="str">
        <f>IFERROR(IF(Tabela1[[#This Row],[Nome fantasia]]="","",_xlfn.XLOOKUP($C880,Log!D:D,Log!X:X,,,-1)),"")</f>
        <v/>
      </c>
    </row>
    <row r="881" spans="3:18" hidden="1" x14ac:dyDescent="0.2">
      <c r="C881" s="30" t="s">
        <v>2289</v>
      </c>
      <c r="D881" s="110" t="s">
        <v>2290</v>
      </c>
      <c r="E881" s="33" t="s">
        <v>46</v>
      </c>
      <c r="F881" s="38"/>
      <c r="G881" s="38"/>
      <c r="H881" s="31"/>
      <c r="I881" s="32"/>
      <c r="J881" s="32"/>
      <c r="K881" s="45" t="s">
        <v>888</v>
      </c>
      <c r="L881" s="129"/>
      <c r="M881" s="33" t="str">
        <f t="shared" si="13"/>
        <v/>
      </c>
      <c r="N881" s="34" t="str">
        <f>IFERROR(IF(Tabela1[[#This Row],[Nome fantasia]]="","",_xlfn.XLOOKUP($C881,Log!D:D,Log!B:B,,,-1)),"")</f>
        <v/>
      </c>
      <c r="O881" s="35" t="str">
        <f>IFERROR(_xlfn.XLOOKUP($C881,Log!D:D,Log!W:W,,,-1),"")</f>
        <v/>
      </c>
      <c r="P881" s="35" t="str">
        <f>IFERROR(_xlfn.XLOOKUP($C881,Log!D:D,Log!Y:Y,,,-1),"")</f>
        <v/>
      </c>
      <c r="Q881" s="130"/>
      <c r="R881" s="131" t="str">
        <f>IFERROR(IF(Tabela1[[#This Row],[Nome fantasia]]="","",_xlfn.XLOOKUP($C881,Log!D:D,Log!X:X,,,-1)),"")</f>
        <v/>
      </c>
    </row>
    <row r="882" spans="3:18" hidden="1" x14ac:dyDescent="0.2">
      <c r="C882" s="30" t="s">
        <v>2195</v>
      </c>
      <c r="D882" s="110" t="s">
        <v>2291</v>
      </c>
      <c r="E882" s="33" t="s">
        <v>46</v>
      </c>
      <c r="F882" s="38"/>
      <c r="G882" s="38"/>
      <c r="H882" s="31"/>
      <c r="I882" s="32"/>
      <c r="J882" s="32"/>
      <c r="K882" s="45" t="s">
        <v>888</v>
      </c>
      <c r="L882" s="129"/>
      <c r="M882" s="33" t="str">
        <f t="shared" si="13"/>
        <v/>
      </c>
      <c r="N882" s="34" t="str">
        <f>IFERROR(IF(Tabela1[[#This Row],[Nome fantasia]]="","",_xlfn.XLOOKUP($C882,Log!D:D,Log!B:B,,,-1)),"")</f>
        <v/>
      </c>
      <c r="O882" s="35" t="str">
        <f>IFERROR(_xlfn.XLOOKUP($C882,Log!D:D,Log!W:W,,,-1),"")</f>
        <v/>
      </c>
      <c r="P882" s="35" t="str">
        <f>IFERROR(_xlfn.XLOOKUP($C882,Log!D:D,Log!Y:Y,,,-1),"")</f>
        <v/>
      </c>
      <c r="Q882" s="130"/>
      <c r="R882" s="131" t="str">
        <f>IFERROR(IF(Tabela1[[#This Row],[Nome fantasia]]="","",_xlfn.XLOOKUP($C882,Log!D:D,Log!X:X,,,-1)),"")</f>
        <v/>
      </c>
    </row>
    <row r="883" spans="3:18" hidden="1" x14ac:dyDescent="0.2">
      <c r="C883" s="30" t="s">
        <v>2292</v>
      </c>
      <c r="D883" s="110" t="s">
        <v>2293</v>
      </c>
      <c r="E883" s="33" t="s">
        <v>22</v>
      </c>
      <c r="F883" s="38"/>
      <c r="G883" s="38"/>
      <c r="H883" s="31"/>
      <c r="I883" s="32"/>
      <c r="J883" s="32"/>
      <c r="K883" s="45" t="s">
        <v>888</v>
      </c>
      <c r="L883" s="129"/>
      <c r="M883" s="33" t="str">
        <f t="shared" si="13"/>
        <v/>
      </c>
      <c r="N883" s="34" t="str">
        <f>IFERROR(IF(Tabela1[[#This Row],[Nome fantasia]]="","",_xlfn.XLOOKUP($C883,Log!D:D,Log!B:B,,,-1)),"")</f>
        <v/>
      </c>
      <c r="O883" s="35" t="str">
        <f>IFERROR(_xlfn.XLOOKUP($C883,Log!D:D,Log!W:W,,,-1),"")</f>
        <v/>
      </c>
      <c r="P883" s="35" t="str">
        <f>IFERROR(_xlfn.XLOOKUP($C883,Log!D:D,Log!Y:Y,,,-1),"")</f>
        <v/>
      </c>
      <c r="Q883" s="130"/>
      <c r="R883" s="131" t="str">
        <f>IFERROR(IF(Tabela1[[#This Row],[Nome fantasia]]="","",_xlfn.XLOOKUP($C883,Log!D:D,Log!X:X,,,-1)),"")</f>
        <v/>
      </c>
    </row>
    <row r="884" spans="3:18" hidden="1" x14ac:dyDescent="0.2">
      <c r="C884" s="30" t="s">
        <v>2294</v>
      </c>
      <c r="D884" s="110" t="s">
        <v>2295</v>
      </c>
      <c r="E884" s="33" t="s">
        <v>22</v>
      </c>
      <c r="F884" s="38"/>
      <c r="G884" s="38"/>
      <c r="H884" s="31"/>
      <c r="I884" s="32"/>
      <c r="J884" s="32"/>
      <c r="K884" s="45" t="s">
        <v>888</v>
      </c>
      <c r="L884" s="129"/>
      <c r="M884" s="33" t="str">
        <f t="shared" si="13"/>
        <v/>
      </c>
      <c r="N884" s="34" t="str">
        <f>IFERROR(IF(Tabela1[[#This Row],[Nome fantasia]]="","",_xlfn.XLOOKUP($C884,Log!D:D,Log!B:B,,,-1)),"")</f>
        <v/>
      </c>
      <c r="O884" s="35" t="str">
        <f>IFERROR(_xlfn.XLOOKUP($C884,Log!D:D,Log!W:W,,,-1),"")</f>
        <v/>
      </c>
      <c r="P884" s="35" t="str">
        <f>IFERROR(_xlfn.XLOOKUP($C884,Log!D:D,Log!Y:Y,,,-1),"")</f>
        <v/>
      </c>
      <c r="Q884" s="130"/>
      <c r="R884" s="131" t="str">
        <f>IFERROR(IF(Tabela1[[#This Row],[Nome fantasia]]="","",_xlfn.XLOOKUP($C884,Log!D:D,Log!X:X,,,-1)),"")</f>
        <v/>
      </c>
    </row>
    <row r="885" spans="3:18" hidden="1" x14ac:dyDescent="0.2">
      <c r="C885" s="30" t="s">
        <v>2296</v>
      </c>
      <c r="D885" s="110" t="s">
        <v>2297</v>
      </c>
      <c r="E885" s="33" t="s">
        <v>17</v>
      </c>
      <c r="F885" s="38"/>
      <c r="G885" s="38"/>
      <c r="H885" s="31"/>
      <c r="I885" s="32"/>
      <c r="J885" s="32"/>
      <c r="K885" s="45" t="s">
        <v>888</v>
      </c>
      <c r="L885" s="129"/>
      <c r="M885" s="33" t="str">
        <f t="shared" si="13"/>
        <v/>
      </c>
      <c r="N885" s="34" t="str">
        <f>IFERROR(IF(Tabela1[[#This Row],[Nome fantasia]]="","",_xlfn.XLOOKUP($C885,Log!D:D,Log!B:B,,,-1)),"")</f>
        <v/>
      </c>
      <c r="O885" s="35" t="str">
        <f>IFERROR(_xlfn.XLOOKUP($C885,Log!D:D,Log!W:W,,,-1),"")</f>
        <v/>
      </c>
      <c r="P885" s="35" t="str">
        <f>IFERROR(_xlfn.XLOOKUP($C885,Log!D:D,Log!Y:Y,,,-1),"")</f>
        <v/>
      </c>
      <c r="Q885" s="130"/>
      <c r="R885" s="131" t="str">
        <f>IFERROR(IF(Tabela1[[#This Row],[Nome fantasia]]="","",_xlfn.XLOOKUP($C885,Log!D:D,Log!X:X,,,-1)),"")</f>
        <v/>
      </c>
    </row>
    <row r="886" spans="3:18" hidden="1" x14ac:dyDescent="0.2">
      <c r="C886" s="30" t="s">
        <v>2298</v>
      </c>
      <c r="D886" s="110" t="s">
        <v>2299</v>
      </c>
      <c r="E886" s="33" t="s">
        <v>17</v>
      </c>
      <c r="F886" s="38"/>
      <c r="G886" s="38"/>
      <c r="H886" s="31"/>
      <c r="I886" s="32"/>
      <c r="J886" s="32"/>
      <c r="K886" s="45" t="s">
        <v>888</v>
      </c>
      <c r="L886" s="129"/>
      <c r="M886" s="33" t="str">
        <f t="shared" si="13"/>
        <v/>
      </c>
      <c r="N886" s="34" t="str">
        <f>IFERROR(IF(Tabela1[[#This Row],[Nome fantasia]]="","",_xlfn.XLOOKUP($C886,Log!D:D,Log!B:B,,,-1)),"")</f>
        <v/>
      </c>
      <c r="O886" s="35" t="str">
        <f>IFERROR(_xlfn.XLOOKUP($C886,Log!D:D,Log!W:W,,,-1),"")</f>
        <v/>
      </c>
      <c r="P886" s="35" t="str">
        <f>IFERROR(_xlfn.XLOOKUP($C886,Log!D:D,Log!Y:Y,,,-1),"")</f>
        <v/>
      </c>
      <c r="Q886" s="130"/>
      <c r="R886" s="131" t="str">
        <f>IFERROR(IF(Tabela1[[#This Row],[Nome fantasia]]="","",_xlfn.XLOOKUP($C886,Log!D:D,Log!X:X,,,-1)),"")</f>
        <v/>
      </c>
    </row>
    <row r="887" spans="3:18" hidden="1" x14ac:dyDescent="0.2">
      <c r="C887" s="30" t="s">
        <v>2300</v>
      </c>
      <c r="D887" s="110" t="s">
        <v>2301</v>
      </c>
      <c r="E887" s="33" t="s">
        <v>46</v>
      </c>
      <c r="F887" s="38"/>
      <c r="G887" s="38"/>
      <c r="H887" s="31"/>
      <c r="I887" s="32"/>
      <c r="J887" s="32"/>
      <c r="K887" s="45" t="s">
        <v>888</v>
      </c>
      <c r="L887" s="129"/>
      <c r="M887" s="33" t="str">
        <f t="shared" si="13"/>
        <v/>
      </c>
      <c r="N887" s="34" t="str">
        <f>IFERROR(IF(Tabela1[[#This Row],[Nome fantasia]]="","",_xlfn.XLOOKUP($C887,Log!D:D,Log!B:B,,,-1)),"")</f>
        <v/>
      </c>
      <c r="O887" s="35" t="str">
        <f>IFERROR(_xlfn.XLOOKUP($C887,Log!D:D,Log!W:W,,,-1),"")</f>
        <v/>
      </c>
      <c r="P887" s="35" t="str">
        <f>IFERROR(_xlfn.XLOOKUP($C887,Log!D:D,Log!Y:Y,,,-1),"")</f>
        <v/>
      </c>
      <c r="Q887" s="130"/>
      <c r="R887" s="131" t="str">
        <f>IFERROR(IF(Tabela1[[#This Row],[Nome fantasia]]="","",_xlfn.XLOOKUP($C887,Log!D:D,Log!X:X,,,-1)),"")</f>
        <v/>
      </c>
    </row>
    <row r="888" spans="3:18" hidden="1" x14ac:dyDescent="0.2">
      <c r="C888" s="30" t="s">
        <v>2302</v>
      </c>
      <c r="D888" s="110" t="s">
        <v>2303</v>
      </c>
      <c r="E888" s="33" t="s">
        <v>46</v>
      </c>
      <c r="F888" s="38"/>
      <c r="G888" s="38"/>
      <c r="H888" s="31"/>
      <c r="I888" s="32"/>
      <c r="J888" s="32"/>
      <c r="K888" s="45" t="s">
        <v>888</v>
      </c>
      <c r="L888" s="129"/>
      <c r="M888" s="33" t="str">
        <f t="shared" si="13"/>
        <v/>
      </c>
      <c r="N888" s="34" t="str">
        <f>IFERROR(IF(Tabela1[[#This Row],[Nome fantasia]]="","",_xlfn.XLOOKUP($C888,Log!D:D,Log!B:B,,,-1)),"")</f>
        <v/>
      </c>
      <c r="O888" s="35" t="str">
        <f>IFERROR(_xlfn.XLOOKUP($C888,Log!D:D,Log!W:W,,,-1),"")</f>
        <v/>
      </c>
      <c r="P888" s="35" t="str">
        <f>IFERROR(_xlfn.XLOOKUP($C888,Log!D:D,Log!Y:Y,,,-1),"")</f>
        <v/>
      </c>
      <c r="Q888" s="130"/>
      <c r="R888" s="131" t="str">
        <f>IFERROR(IF(Tabela1[[#This Row],[Nome fantasia]]="","",_xlfn.XLOOKUP($C888,Log!D:D,Log!X:X,,,-1)),"")</f>
        <v/>
      </c>
    </row>
    <row r="889" spans="3:18" hidden="1" x14ac:dyDescent="0.2">
      <c r="C889" s="30" t="s">
        <v>2304</v>
      </c>
      <c r="D889" s="110" t="s">
        <v>2305</v>
      </c>
      <c r="E889" s="33" t="s">
        <v>22</v>
      </c>
      <c r="F889" s="38"/>
      <c r="G889" s="38"/>
      <c r="H889" s="31"/>
      <c r="I889" s="32"/>
      <c r="J889" s="32"/>
      <c r="K889" s="45" t="s">
        <v>888</v>
      </c>
      <c r="L889" s="129"/>
      <c r="M889" s="33" t="str">
        <f t="shared" si="13"/>
        <v/>
      </c>
      <c r="N889" s="34" t="str">
        <f>IFERROR(IF(Tabela1[[#This Row],[Nome fantasia]]="","",_xlfn.XLOOKUP($C889,Log!D:D,Log!B:B,,,-1)),"")</f>
        <v/>
      </c>
      <c r="O889" s="35" t="str">
        <f>IFERROR(_xlfn.XLOOKUP($C889,Log!D:D,Log!W:W,,,-1),"")</f>
        <v/>
      </c>
      <c r="P889" s="35" t="str">
        <f>IFERROR(_xlfn.XLOOKUP($C889,Log!D:D,Log!Y:Y,,,-1),"")</f>
        <v/>
      </c>
      <c r="Q889" s="130"/>
      <c r="R889" s="131" t="str">
        <f>IFERROR(IF(Tabela1[[#This Row],[Nome fantasia]]="","",_xlfn.XLOOKUP($C889,Log!D:D,Log!X:X,,,-1)),"")</f>
        <v/>
      </c>
    </row>
    <row r="890" spans="3:18" hidden="1" x14ac:dyDescent="0.2">
      <c r="C890" s="30" t="s">
        <v>2306</v>
      </c>
      <c r="D890" s="110" t="s">
        <v>2307</v>
      </c>
      <c r="E890" s="33" t="s">
        <v>46</v>
      </c>
      <c r="F890" s="38"/>
      <c r="G890" s="38"/>
      <c r="H890" s="31"/>
      <c r="I890" s="32"/>
      <c r="J890" s="32"/>
      <c r="K890" s="45" t="s">
        <v>888</v>
      </c>
      <c r="L890" s="129"/>
      <c r="M890" s="33" t="str">
        <f t="shared" si="13"/>
        <v/>
      </c>
      <c r="N890" s="34">
        <f>IFERROR(IF(Tabela1[[#This Row],[Nome fantasia]]="","",_xlfn.XLOOKUP($C890,Log!D:D,Log!B:B,,,-1)),"")</f>
        <v>45996</v>
      </c>
      <c r="O890" s="35" t="str">
        <f>IFERROR(_xlfn.XLOOKUP($C890,Log!D:D,Log!W:W,,,-1),"")</f>
        <v>EM ATENDIMENTO</v>
      </c>
      <c r="P890" s="35" t="str">
        <f>IFERROR(_xlfn.XLOOKUP($C890,Log!D:D,Log!Y:Y,,,-1),"")</f>
        <v>LIGAÇÃO SEM SUCESSO</v>
      </c>
      <c r="Q890" s="130"/>
      <c r="R890" s="131">
        <f>IFERROR(IF(Tabela1[[#This Row],[Nome fantasia]]="","",_xlfn.XLOOKUP($C890,Log!D:D,Log!X:X,,,-1)),"")</f>
        <v>46000</v>
      </c>
    </row>
    <row r="891" spans="3:18" hidden="1" x14ac:dyDescent="0.2">
      <c r="C891" s="30" t="s">
        <v>2308</v>
      </c>
      <c r="D891" s="110" t="s">
        <v>2309</v>
      </c>
      <c r="E891" s="33" t="s">
        <v>46</v>
      </c>
      <c r="F891" s="38"/>
      <c r="G891" s="38"/>
      <c r="H891" s="31"/>
      <c r="I891" s="32"/>
      <c r="J891" s="32"/>
      <c r="K891" s="45" t="s">
        <v>888</v>
      </c>
      <c r="L891" s="129"/>
      <c r="M891" s="33" t="str">
        <f t="shared" si="13"/>
        <v/>
      </c>
      <c r="N891" s="34" t="str">
        <f>IFERROR(IF(Tabela1[[#This Row],[Nome fantasia]]="","",_xlfn.XLOOKUP($C891,Log!D:D,Log!B:B,,,-1)),"")</f>
        <v/>
      </c>
      <c r="O891" s="35" t="str">
        <f>IFERROR(_xlfn.XLOOKUP($C891,Log!D:D,Log!W:W,,,-1),"")</f>
        <v/>
      </c>
      <c r="P891" s="35" t="str">
        <f>IFERROR(_xlfn.XLOOKUP($C891,Log!D:D,Log!Y:Y,,,-1),"")</f>
        <v/>
      </c>
      <c r="Q891" s="130"/>
      <c r="R891" s="131" t="str">
        <f>IFERROR(IF(Tabela1[[#This Row],[Nome fantasia]]="","",_xlfn.XLOOKUP($C891,Log!D:D,Log!X:X,,,-1)),"")</f>
        <v/>
      </c>
    </row>
    <row r="892" spans="3:18" hidden="1" x14ac:dyDescent="0.2">
      <c r="C892" s="30" t="s">
        <v>2310</v>
      </c>
      <c r="D892" s="110" t="s">
        <v>2311</v>
      </c>
      <c r="E892" s="33" t="s">
        <v>22</v>
      </c>
      <c r="F892" s="38"/>
      <c r="G892" s="38"/>
      <c r="H892" s="31"/>
      <c r="I892" s="32"/>
      <c r="J892" s="32"/>
      <c r="K892" s="45" t="s">
        <v>888</v>
      </c>
      <c r="L892" s="129"/>
      <c r="M892" s="33" t="str">
        <f t="shared" si="13"/>
        <v/>
      </c>
      <c r="N892" s="34" t="str">
        <f>IFERROR(IF(Tabela1[[#This Row],[Nome fantasia]]="","",_xlfn.XLOOKUP($C892,Log!D:D,Log!B:B,,,-1)),"")</f>
        <v/>
      </c>
      <c r="O892" s="35" t="str">
        <f>IFERROR(_xlfn.XLOOKUP($C892,Log!D:D,Log!W:W,,,-1),"")</f>
        <v/>
      </c>
      <c r="P892" s="35" t="str">
        <f>IFERROR(_xlfn.XLOOKUP($C892,Log!D:D,Log!Y:Y,,,-1),"")</f>
        <v/>
      </c>
      <c r="Q892" s="130"/>
      <c r="R892" s="131" t="str">
        <f>IFERROR(IF(Tabela1[[#This Row],[Nome fantasia]]="","",_xlfn.XLOOKUP($C892,Log!D:D,Log!X:X,,,-1)),"")</f>
        <v/>
      </c>
    </row>
    <row r="893" spans="3:18" hidden="1" x14ac:dyDescent="0.2">
      <c r="C893" s="30" t="s">
        <v>2312</v>
      </c>
      <c r="D893" s="110" t="s">
        <v>2313</v>
      </c>
      <c r="E893" s="33" t="s">
        <v>17</v>
      </c>
      <c r="F893" s="38"/>
      <c r="G893" s="38"/>
      <c r="H893" s="31"/>
      <c r="I893" s="32"/>
      <c r="J893" s="32"/>
      <c r="K893" s="45" t="s">
        <v>888</v>
      </c>
      <c r="L893" s="129"/>
      <c r="M893" s="33" t="str">
        <f t="shared" si="13"/>
        <v/>
      </c>
      <c r="N893" s="34" t="str">
        <f>IFERROR(IF(Tabela1[[#This Row],[Nome fantasia]]="","",_xlfn.XLOOKUP($C893,Log!D:D,Log!B:B,,,-1)),"")</f>
        <v/>
      </c>
      <c r="O893" s="35" t="str">
        <f>IFERROR(_xlfn.XLOOKUP($C893,Log!D:D,Log!W:W,,,-1),"")</f>
        <v/>
      </c>
      <c r="P893" s="35" t="str">
        <f>IFERROR(_xlfn.XLOOKUP($C893,Log!D:D,Log!Y:Y,,,-1),"")</f>
        <v/>
      </c>
      <c r="Q893" s="130"/>
      <c r="R893" s="131" t="str">
        <f>IFERROR(IF(Tabela1[[#This Row],[Nome fantasia]]="","",_xlfn.XLOOKUP($C893,Log!D:D,Log!X:X,,,-1)),"")</f>
        <v/>
      </c>
    </row>
    <row r="894" spans="3:18" hidden="1" x14ac:dyDescent="0.2">
      <c r="C894" s="30" t="s">
        <v>2314</v>
      </c>
      <c r="D894" s="110" t="s">
        <v>2315</v>
      </c>
      <c r="E894" s="33" t="s">
        <v>22</v>
      </c>
      <c r="F894" s="38"/>
      <c r="G894" s="38"/>
      <c r="H894" s="31"/>
      <c r="I894" s="32"/>
      <c r="J894" s="32"/>
      <c r="K894" s="45" t="s">
        <v>888</v>
      </c>
      <c r="L894" s="129"/>
      <c r="M894" s="33" t="str">
        <f t="shared" si="13"/>
        <v/>
      </c>
      <c r="N894" s="34" t="str">
        <f>IFERROR(IF(Tabela1[[#This Row],[Nome fantasia]]="","",_xlfn.XLOOKUP($C894,Log!D:D,Log!B:B,,,-1)),"")</f>
        <v/>
      </c>
      <c r="O894" s="35" t="str">
        <f>IFERROR(_xlfn.XLOOKUP($C894,Log!D:D,Log!W:W,,,-1),"")</f>
        <v/>
      </c>
      <c r="P894" s="35" t="str">
        <f>IFERROR(_xlfn.XLOOKUP($C894,Log!D:D,Log!Y:Y,,,-1),"")</f>
        <v/>
      </c>
      <c r="Q894" s="130"/>
      <c r="R894" s="131" t="str">
        <f>IFERROR(IF(Tabela1[[#This Row],[Nome fantasia]]="","",_xlfn.XLOOKUP($C894,Log!D:D,Log!X:X,,,-1)),"")</f>
        <v/>
      </c>
    </row>
    <row r="895" spans="3:18" hidden="1" x14ac:dyDescent="0.2">
      <c r="C895" s="30" t="s">
        <v>2316</v>
      </c>
      <c r="D895" s="110" t="s">
        <v>2317</v>
      </c>
      <c r="E895" s="33" t="s">
        <v>46</v>
      </c>
      <c r="F895" s="38"/>
      <c r="G895" s="38"/>
      <c r="H895" s="31"/>
      <c r="I895" s="32"/>
      <c r="J895" s="32"/>
      <c r="K895" s="45" t="s">
        <v>888</v>
      </c>
      <c r="L895" s="129"/>
      <c r="M895" s="33" t="str">
        <f t="shared" si="13"/>
        <v/>
      </c>
      <c r="N895" s="34" t="str">
        <f>IFERROR(IF(Tabela1[[#This Row],[Nome fantasia]]="","",_xlfn.XLOOKUP($C895,Log!D:D,Log!B:B,,,-1)),"")</f>
        <v/>
      </c>
      <c r="O895" s="35" t="str">
        <f>IFERROR(_xlfn.XLOOKUP($C895,Log!D:D,Log!W:W,,,-1),"")</f>
        <v/>
      </c>
      <c r="P895" s="35" t="str">
        <f>IFERROR(_xlfn.XLOOKUP($C895,Log!D:D,Log!Y:Y,,,-1),"")</f>
        <v/>
      </c>
      <c r="Q895" s="130"/>
      <c r="R895" s="131" t="str">
        <f>IFERROR(IF(Tabela1[[#This Row],[Nome fantasia]]="","",_xlfn.XLOOKUP($C895,Log!D:D,Log!X:X,,,-1)),"")</f>
        <v/>
      </c>
    </row>
    <row r="896" spans="3:18" hidden="1" x14ac:dyDescent="0.2">
      <c r="C896" s="30" t="s">
        <v>2318</v>
      </c>
      <c r="D896" s="110" t="s">
        <v>2319</v>
      </c>
      <c r="E896" s="33" t="s">
        <v>22</v>
      </c>
      <c r="F896" s="38"/>
      <c r="G896" s="38"/>
      <c r="H896" s="31"/>
      <c r="I896" s="32"/>
      <c r="J896" s="32"/>
      <c r="K896" s="45" t="s">
        <v>888</v>
      </c>
      <c r="L896" s="129"/>
      <c r="M896" s="33" t="str">
        <f t="shared" si="13"/>
        <v/>
      </c>
      <c r="N896" s="34" t="str">
        <f>IFERROR(IF(Tabela1[[#This Row],[Nome fantasia]]="","",_xlfn.XLOOKUP($C896,Log!D:D,Log!B:B,,,-1)),"")</f>
        <v/>
      </c>
      <c r="O896" s="35" t="str">
        <f>IFERROR(_xlfn.XLOOKUP($C896,Log!D:D,Log!W:W,,,-1),"")</f>
        <v/>
      </c>
      <c r="P896" s="35" t="str">
        <f>IFERROR(_xlfn.XLOOKUP($C896,Log!D:D,Log!Y:Y,,,-1),"")</f>
        <v/>
      </c>
      <c r="Q896" s="130"/>
      <c r="R896" s="131" t="str">
        <f>IFERROR(IF(Tabela1[[#This Row],[Nome fantasia]]="","",_xlfn.XLOOKUP($C896,Log!D:D,Log!X:X,,,-1)),"")</f>
        <v/>
      </c>
    </row>
    <row r="897" spans="3:18" hidden="1" x14ac:dyDescent="0.2">
      <c r="C897" s="30" t="s">
        <v>2320</v>
      </c>
      <c r="D897" s="110" t="s">
        <v>2321</v>
      </c>
      <c r="E897" s="33" t="s">
        <v>46</v>
      </c>
      <c r="F897" s="38"/>
      <c r="G897" s="38"/>
      <c r="H897" s="31"/>
      <c r="I897" s="32"/>
      <c r="J897" s="32"/>
      <c r="K897" s="45" t="s">
        <v>888</v>
      </c>
      <c r="L897" s="129"/>
      <c r="M897" s="33" t="str">
        <f t="shared" si="13"/>
        <v/>
      </c>
      <c r="N897" s="34" t="str">
        <f>IFERROR(IF(Tabela1[[#This Row],[Nome fantasia]]="","",_xlfn.XLOOKUP($C897,Log!D:D,Log!B:B,,,-1)),"")</f>
        <v/>
      </c>
      <c r="O897" s="35" t="str">
        <f>IFERROR(_xlfn.XLOOKUP($C897,Log!D:D,Log!W:W,,,-1),"")</f>
        <v/>
      </c>
      <c r="P897" s="35" t="str">
        <f>IFERROR(_xlfn.XLOOKUP($C897,Log!D:D,Log!Y:Y,,,-1),"")</f>
        <v/>
      </c>
      <c r="Q897" s="130"/>
      <c r="R897" s="131" t="str">
        <f>IFERROR(IF(Tabela1[[#This Row],[Nome fantasia]]="","",_xlfn.XLOOKUP($C897,Log!D:D,Log!X:X,,,-1)),"")</f>
        <v/>
      </c>
    </row>
    <row r="898" spans="3:18" hidden="1" x14ac:dyDescent="0.2">
      <c r="C898" s="30" t="s">
        <v>2322</v>
      </c>
      <c r="D898" s="110" t="s">
        <v>2323</v>
      </c>
      <c r="E898" s="33" t="s">
        <v>46</v>
      </c>
      <c r="F898" s="38"/>
      <c r="G898" s="38"/>
      <c r="H898" s="31"/>
      <c r="I898" s="32"/>
      <c r="J898" s="32"/>
      <c r="K898" s="45" t="s">
        <v>888</v>
      </c>
      <c r="L898" s="129"/>
      <c r="M898" s="33" t="str">
        <f t="shared" si="13"/>
        <v/>
      </c>
      <c r="N898" s="34" t="str">
        <f>IFERROR(IF(Tabela1[[#This Row],[Nome fantasia]]="","",_xlfn.XLOOKUP($C898,Log!D:D,Log!B:B,,,-1)),"")</f>
        <v/>
      </c>
      <c r="O898" s="35" t="str">
        <f>IFERROR(_xlfn.XLOOKUP($C898,Log!D:D,Log!W:W,,,-1),"")</f>
        <v/>
      </c>
      <c r="P898" s="35" t="str">
        <f>IFERROR(_xlfn.XLOOKUP($C898,Log!D:D,Log!Y:Y,,,-1),"")</f>
        <v/>
      </c>
      <c r="Q898" s="130"/>
      <c r="R898" s="131" t="str">
        <f>IFERROR(IF(Tabela1[[#This Row],[Nome fantasia]]="","",_xlfn.XLOOKUP($C898,Log!D:D,Log!X:X,,,-1)),"")</f>
        <v/>
      </c>
    </row>
    <row r="899" spans="3:18" hidden="1" x14ac:dyDescent="0.2">
      <c r="C899" s="30" t="s">
        <v>1154</v>
      </c>
      <c r="D899" s="110" t="s">
        <v>2324</v>
      </c>
      <c r="E899" s="33" t="s">
        <v>46</v>
      </c>
      <c r="F899" s="38"/>
      <c r="G899" s="38"/>
      <c r="H899" s="31"/>
      <c r="I899" s="32"/>
      <c r="J899" s="32"/>
      <c r="K899" s="45" t="s">
        <v>888</v>
      </c>
      <c r="L899" s="129"/>
      <c r="M899" s="33" t="str">
        <f t="shared" ref="M899:M962" si="14">IF(OR(J899&lt;=0,J899=""),"","Recompra")</f>
        <v/>
      </c>
      <c r="N899" s="34" t="str">
        <f>IFERROR(IF(Tabela1[[#This Row],[Nome fantasia]]="","",_xlfn.XLOOKUP($C899,Log!D:D,Log!B:B,,,-1)),"")</f>
        <v/>
      </c>
      <c r="O899" s="35" t="str">
        <f>IFERROR(_xlfn.XLOOKUP($C899,Log!D:D,Log!W:W,,,-1),"")</f>
        <v/>
      </c>
      <c r="P899" s="35" t="str">
        <f>IFERROR(_xlfn.XLOOKUP($C899,Log!D:D,Log!Y:Y,,,-1),"")</f>
        <v/>
      </c>
      <c r="Q899" s="130"/>
      <c r="R899" s="131" t="str">
        <f>IFERROR(IF(Tabela1[[#This Row],[Nome fantasia]]="","",_xlfn.XLOOKUP($C899,Log!D:D,Log!X:X,,,-1)),"")</f>
        <v/>
      </c>
    </row>
    <row r="900" spans="3:18" hidden="1" x14ac:dyDescent="0.2">
      <c r="C900" s="30" t="s">
        <v>2325</v>
      </c>
      <c r="D900" s="110" t="s">
        <v>2326</v>
      </c>
      <c r="E900" s="33" t="s">
        <v>17</v>
      </c>
      <c r="F900" s="38"/>
      <c r="G900" s="38"/>
      <c r="H900" s="31"/>
      <c r="I900" s="32"/>
      <c r="J900" s="32"/>
      <c r="K900" s="45" t="s">
        <v>888</v>
      </c>
      <c r="L900" s="129"/>
      <c r="M900" s="33" t="str">
        <f t="shared" si="14"/>
        <v/>
      </c>
      <c r="N900" s="34" t="str">
        <f>IFERROR(IF(Tabela1[[#This Row],[Nome fantasia]]="","",_xlfn.XLOOKUP($C900,Log!D:D,Log!B:B,,,-1)),"")</f>
        <v/>
      </c>
      <c r="O900" s="35" t="str">
        <f>IFERROR(_xlfn.XLOOKUP($C900,Log!D:D,Log!W:W,,,-1),"")</f>
        <v/>
      </c>
      <c r="P900" s="35" t="str">
        <f>IFERROR(_xlfn.XLOOKUP($C900,Log!D:D,Log!Y:Y,,,-1),"")</f>
        <v/>
      </c>
      <c r="Q900" s="130"/>
      <c r="R900" s="131" t="str">
        <f>IFERROR(IF(Tabela1[[#This Row],[Nome fantasia]]="","",_xlfn.XLOOKUP($C900,Log!D:D,Log!X:X,,,-1)),"")</f>
        <v/>
      </c>
    </row>
    <row r="901" spans="3:18" hidden="1" x14ac:dyDescent="0.2">
      <c r="C901" s="30" t="s">
        <v>2327</v>
      </c>
      <c r="D901" s="110" t="s">
        <v>2328</v>
      </c>
      <c r="E901" s="33" t="s">
        <v>46</v>
      </c>
      <c r="F901" s="38"/>
      <c r="G901" s="38"/>
      <c r="H901" s="31"/>
      <c r="I901" s="32"/>
      <c r="J901" s="32"/>
      <c r="K901" s="45" t="s">
        <v>888</v>
      </c>
      <c r="L901" s="129"/>
      <c r="M901" s="33" t="str">
        <f t="shared" si="14"/>
        <v/>
      </c>
      <c r="N901" s="34" t="str">
        <f>IFERROR(IF(Tabela1[[#This Row],[Nome fantasia]]="","",_xlfn.XLOOKUP($C901,Log!D:D,Log!B:B,,,-1)),"")</f>
        <v/>
      </c>
      <c r="O901" s="35" t="str">
        <f>IFERROR(_xlfn.XLOOKUP($C901,Log!D:D,Log!W:W,,,-1),"")</f>
        <v/>
      </c>
      <c r="P901" s="35" t="str">
        <f>IFERROR(_xlfn.XLOOKUP($C901,Log!D:D,Log!Y:Y,,,-1),"")</f>
        <v/>
      </c>
      <c r="Q901" s="130"/>
      <c r="R901" s="131" t="str">
        <f>IFERROR(IF(Tabela1[[#This Row],[Nome fantasia]]="","",_xlfn.XLOOKUP($C901,Log!D:D,Log!X:X,,,-1)),"")</f>
        <v/>
      </c>
    </row>
    <row r="902" spans="3:18" hidden="1" x14ac:dyDescent="0.2">
      <c r="C902" s="30" t="s">
        <v>2329</v>
      </c>
      <c r="D902" s="110" t="s">
        <v>2330</v>
      </c>
      <c r="E902" s="33" t="s">
        <v>46</v>
      </c>
      <c r="F902" s="38"/>
      <c r="G902" s="38"/>
      <c r="H902" s="31"/>
      <c r="I902" s="32"/>
      <c r="J902" s="32"/>
      <c r="K902" s="45" t="s">
        <v>888</v>
      </c>
      <c r="L902" s="129"/>
      <c r="M902" s="33" t="str">
        <f t="shared" si="14"/>
        <v/>
      </c>
      <c r="N902" s="34" t="str">
        <f>IFERROR(IF(Tabela1[[#This Row],[Nome fantasia]]="","",_xlfn.XLOOKUP($C902,Log!D:D,Log!B:B,,,-1)),"")</f>
        <v/>
      </c>
      <c r="O902" s="35" t="str">
        <f>IFERROR(_xlfn.XLOOKUP($C902,Log!D:D,Log!W:W,,,-1),"")</f>
        <v/>
      </c>
      <c r="P902" s="35" t="str">
        <f>IFERROR(_xlfn.XLOOKUP($C902,Log!D:D,Log!Y:Y,,,-1),"")</f>
        <v/>
      </c>
      <c r="Q902" s="130"/>
      <c r="R902" s="131" t="str">
        <f>IFERROR(IF(Tabela1[[#This Row],[Nome fantasia]]="","",_xlfn.XLOOKUP($C902,Log!D:D,Log!X:X,,,-1)),"")</f>
        <v/>
      </c>
    </row>
    <row r="903" spans="3:18" hidden="1" x14ac:dyDescent="0.2">
      <c r="C903" s="30" t="s">
        <v>2331</v>
      </c>
      <c r="D903" s="110" t="s">
        <v>2332</v>
      </c>
      <c r="E903" s="33" t="s">
        <v>46</v>
      </c>
      <c r="F903" s="38"/>
      <c r="G903" s="38"/>
      <c r="H903" s="31"/>
      <c r="I903" s="32"/>
      <c r="J903" s="32"/>
      <c r="K903" s="45" t="s">
        <v>888</v>
      </c>
      <c r="L903" s="129"/>
      <c r="M903" s="33" t="str">
        <f t="shared" si="14"/>
        <v/>
      </c>
      <c r="N903" s="34" t="str">
        <f>IFERROR(IF(Tabela1[[#This Row],[Nome fantasia]]="","",_xlfn.XLOOKUP($C903,Log!D:D,Log!B:B,,,-1)),"")</f>
        <v/>
      </c>
      <c r="O903" s="35" t="str">
        <f>IFERROR(_xlfn.XLOOKUP($C903,Log!D:D,Log!W:W,,,-1),"")</f>
        <v/>
      </c>
      <c r="P903" s="35" t="str">
        <f>IFERROR(_xlfn.XLOOKUP($C903,Log!D:D,Log!Y:Y,,,-1),"")</f>
        <v/>
      </c>
      <c r="Q903" s="130"/>
      <c r="R903" s="131" t="str">
        <f>IFERROR(IF(Tabela1[[#This Row],[Nome fantasia]]="","",_xlfn.XLOOKUP($C903,Log!D:D,Log!X:X,,,-1)),"")</f>
        <v/>
      </c>
    </row>
    <row r="904" spans="3:18" hidden="1" x14ac:dyDescent="0.2">
      <c r="C904" s="30"/>
      <c r="D904" s="110" t="s">
        <v>2333</v>
      </c>
      <c r="E904" s="33" t="s">
        <v>22</v>
      </c>
      <c r="F904" s="38"/>
      <c r="G904" s="38"/>
      <c r="H904" s="31"/>
      <c r="I904" s="32"/>
      <c r="J904" s="32"/>
      <c r="K904" s="45" t="s">
        <v>888</v>
      </c>
      <c r="L904" s="129"/>
      <c r="M904" s="33" t="str">
        <f t="shared" si="14"/>
        <v/>
      </c>
      <c r="N904" s="34" t="str">
        <f>IFERROR(IF(Tabela1[[#This Row],[Nome fantasia]]="","",_xlfn.XLOOKUP($C904,Log!D:D,Log!B:B,,,-1)),"")</f>
        <v/>
      </c>
      <c r="O904" s="35" t="str">
        <f>IFERROR(_xlfn.XLOOKUP($C904,Log!D:D,Log!W:W,,,-1),"")</f>
        <v/>
      </c>
      <c r="P904" s="35" t="str">
        <f>IFERROR(_xlfn.XLOOKUP($C904,Log!D:D,Log!Y:Y,,,-1),"")</f>
        <v/>
      </c>
      <c r="Q904" s="130"/>
      <c r="R904" s="131" t="str">
        <f>IFERROR(IF(Tabela1[[#This Row],[Nome fantasia]]="","",_xlfn.XLOOKUP($C904,Log!D:D,Log!X:X,,,-1)),"")</f>
        <v/>
      </c>
    </row>
    <row r="905" spans="3:18" hidden="1" x14ac:dyDescent="0.2">
      <c r="C905" s="30" t="s">
        <v>2334</v>
      </c>
      <c r="D905" s="110" t="s">
        <v>2335</v>
      </c>
      <c r="E905" s="33" t="s">
        <v>22</v>
      </c>
      <c r="F905" s="38"/>
      <c r="G905" s="38"/>
      <c r="H905" s="31"/>
      <c r="I905" s="32"/>
      <c r="J905" s="32"/>
      <c r="K905" s="45" t="s">
        <v>888</v>
      </c>
      <c r="L905" s="129"/>
      <c r="M905" s="33" t="str">
        <f t="shared" si="14"/>
        <v/>
      </c>
      <c r="N905" s="34" t="str">
        <f>IFERROR(IF(Tabela1[[#This Row],[Nome fantasia]]="","",_xlfn.XLOOKUP($C905,Log!D:D,Log!B:B,,,-1)),"")</f>
        <v/>
      </c>
      <c r="O905" s="35" t="str">
        <f>IFERROR(_xlfn.XLOOKUP($C905,Log!D:D,Log!W:W,,,-1),"")</f>
        <v/>
      </c>
      <c r="P905" s="35" t="str">
        <f>IFERROR(_xlfn.XLOOKUP($C905,Log!D:D,Log!Y:Y,,,-1),"")</f>
        <v/>
      </c>
      <c r="Q905" s="130"/>
      <c r="R905" s="131" t="str">
        <f>IFERROR(IF(Tabela1[[#This Row],[Nome fantasia]]="","",_xlfn.XLOOKUP($C905,Log!D:D,Log!X:X,,,-1)),"")</f>
        <v/>
      </c>
    </row>
    <row r="906" spans="3:18" hidden="1" x14ac:dyDescent="0.2">
      <c r="C906" s="30" t="s">
        <v>2336</v>
      </c>
      <c r="D906" s="110" t="s">
        <v>2337</v>
      </c>
      <c r="E906" s="33" t="s">
        <v>22</v>
      </c>
      <c r="F906" s="38"/>
      <c r="G906" s="38"/>
      <c r="H906" s="31"/>
      <c r="I906" s="32"/>
      <c r="J906" s="32"/>
      <c r="K906" s="45" t="s">
        <v>888</v>
      </c>
      <c r="L906" s="129"/>
      <c r="M906" s="33" t="str">
        <f t="shared" si="14"/>
        <v/>
      </c>
      <c r="N906" s="34" t="str">
        <f>IFERROR(IF(Tabela1[[#This Row],[Nome fantasia]]="","",_xlfn.XLOOKUP($C906,Log!D:D,Log!B:B,,,-1)),"")</f>
        <v/>
      </c>
      <c r="O906" s="35" t="str">
        <f>IFERROR(_xlfn.XLOOKUP($C906,Log!D:D,Log!W:W,,,-1),"")</f>
        <v/>
      </c>
      <c r="P906" s="35" t="str">
        <f>IFERROR(_xlfn.XLOOKUP($C906,Log!D:D,Log!Y:Y,,,-1),"")</f>
        <v/>
      </c>
      <c r="Q906" s="130"/>
      <c r="R906" s="131" t="str">
        <f>IFERROR(IF(Tabela1[[#This Row],[Nome fantasia]]="","",_xlfn.XLOOKUP($C906,Log!D:D,Log!X:X,,,-1)),"")</f>
        <v/>
      </c>
    </row>
    <row r="907" spans="3:18" hidden="1" x14ac:dyDescent="0.2">
      <c r="C907" s="30" t="s">
        <v>2338</v>
      </c>
      <c r="D907" s="110" t="s">
        <v>2339</v>
      </c>
      <c r="E907" s="33" t="s">
        <v>46</v>
      </c>
      <c r="F907" s="38"/>
      <c r="G907" s="38"/>
      <c r="H907" s="31"/>
      <c r="I907" s="32"/>
      <c r="J907" s="32"/>
      <c r="K907" s="45" t="s">
        <v>888</v>
      </c>
      <c r="L907" s="129"/>
      <c r="M907" s="33" t="str">
        <f t="shared" si="14"/>
        <v/>
      </c>
      <c r="N907" s="34" t="str">
        <f>IFERROR(IF(Tabela1[[#This Row],[Nome fantasia]]="","",_xlfn.XLOOKUP($C907,Log!D:D,Log!B:B,,,-1)),"")</f>
        <v/>
      </c>
      <c r="O907" s="35" t="str">
        <f>IFERROR(_xlfn.XLOOKUP($C907,Log!D:D,Log!W:W,,,-1),"")</f>
        <v/>
      </c>
      <c r="P907" s="35" t="str">
        <f>IFERROR(_xlfn.XLOOKUP($C907,Log!D:D,Log!Y:Y,,,-1),"")</f>
        <v/>
      </c>
      <c r="Q907" s="130"/>
      <c r="R907" s="131" t="str">
        <f>IFERROR(IF(Tabela1[[#This Row],[Nome fantasia]]="","",_xlfn.XLOOKUP($C907,Log!D:D,Log!X:X,,,-1)),"")</f>
        <v/>
      </c>
    </row>
    <row r="908" spans="3:18" hidden="1" x14ac:dyDescent="0.2">
      <c r="C908" s="30" t="s">
        <v>2340</v>
      </c>
      <c r="D908" s="110" t="s">
        <v>2341</v>
      </c>
      <c r="E908" s="33" t="s">
        <v>46</v>
      </c>
      <c r="F908" s="38"/>
      <c r="G908" s="38"/>
      <c r="H908" s="31"/>
      <c r="I908" s="32"/>
      <c r="J908" s="32"/>
      <c r="K908" s="45" t="s">
        <v>888</v>
      </c>
      <c r="L908" s="129"/>
      <c r="M908" s="33" t="str">
        <f t="shared" si="14"/>
        <v/>
      </c>
      <c r="N908" s="34" t="str">
        <f>IFERROR(IF(Tabela1[[#This Row],[Nome fantasia]]="","",_xlfn.XLOOKUP($C908,Log!D:D,Log!B:B,,,-1)),"")</f>
        <v/>
      </c>
      <c r="O908" s="35" t="str">
        <f>IFERROR(_xlfn.XLOOKUP($C908,Log!D:D,Log!W:W,,,-1),"")</f>
        <v/>
      </c>
      <c r="P908" s="35" t="str">
        <f>IFERROR(_xlfn.XLOOKUP($C908,Log!D:D,Log!Y:Y,,,-1),"")</f>
        <v/>
      </c>
      <c r="Q908" s="130"/>
      <c r="R908" s="131" t="str">
        <f>IFERROR(IF(Tabela1[[#This Row],[Nome fantasia]]="","",_xlfn.XLOOKUP($C908,Log!D:D,Log!X:X,,,-1)),"")</f>
        <v/>
      </c>
    </row>
    <row r="909" spans="3:18" hidden="1" x14ac:dyDescent="0.2">
      <c r="C909" s="30" t="s">
        <v>2342</v>
      </c>
      <c r="D909" s="110" t="s">
        <v>2343</v>
      </c>
      <c r="E909" s="33" t="s">
        <v>46</v>
      </c>
      <c r="F909" s="38"/>
      <c r="G909" s="38"/>
      <c r="H909" s="31"/>
      <c r="I909" s="32"/>
      <c r="J909" s="32"/>
      <c r="K909" s="45" t="s">
        <v>888</v>
      </c>
      <c r="L909" s="129"/>
      <c r="M909" s="33" t="str">
        <f t="shared" si="14"/>
        <v/>
      </c>
      <c r="N909" s="34" t="str">
        <f>IFERROR(IF(Tabela1[[#This Row],[Nome fantasia]]="","",_xlfn.XLOOKUP($C909,Log!D:D,Log!B:B,,,-1)),"")</f>
        <v/>
      </c>
      <c r="O909" s="35" t="str">
        <f>IFERROR(_xlfn.XLOOKUP($C909,Log!D:D,Log!W:W,,,-1),"")</f>
        <v/>
      </c>
      <c r="P909" s="35" t="str">
        <f>IFERROR(_xlfn.XLOOKUP($C909,Log!D:D,Log!Y:Y,,,-1),"")</f>
        <v/>
      </c>
      <c r="Q909" s="130"/>
      <c r="R909" s="131" t="str">
        <f>IFERROR(IF(Tabela1[[#This Row],[Nome fantasia]]="","",_xlfn.XLOOKUP($C909,Log!D:D,Log!X:X,,,-1)),"")</f>
        <v/>
      </c>
    </row>
    <row r="910" spans="3:18" hidden="1" x14ac:dyDescent="0.2">
      <c r="C910" s="30" t="s">
        <v>2344</v>
      </c>
      <c r="D910" s="110" t="s">
        <v>2345</v>
      </c>
      <c r="E910" s="33" t="s">
        <v>46</v>
      </c>
      <c r="F910" s="38"/>
      <c r="G910" s="38"/>
      <c r="H910" s="31"/>
      <c r="I910" s="32"/>
      <c r="J910" s="32"/>
      <c r="K910" s="45" t="s">
        <v>888</v>
      </c>
      <c r="L910" s="129"/>
      <c r="M910" s="33" t="str">
        <f t="shared" si="14"/>
        <v/>
      </c>
      <c r="N910" s="34" t="str">
        <f>IFERROR(IF(Tabela1[[#This Row],[Nome fantasia]]="","",_xlfn.XLOOKUP($C910,Log!D:D,Log!B:B,,,-1)),"")</f>
        <v/>
      </c>
      <c r="O910" s="35" t="str">
        <f>IFERROR(_xlfn.XLOOKUP($C910,Log!D:D,Log!W:W,,,-1),"")</f>
        <v/>
      </c>
      <c r="P910" s="35" t="str">
        <f>IFERROR(_xlfn.XLOOKUP($C910,Log!D:D,Log!Y:Y,,,-1),"")</f>
        <v/>
      </c>
      <c r="Q910" s="130"/>
      <c r="R910" s="131" t="str">
        <f>IFERROR(IF(Tabela1[[#This Row],[Nome fantasia]]="","",_xlfn.XLOOKUP($C910,Log!D:D,Log!X:X,,,-1)),"")</f>
        <v/>
      </c>
    </row>
    <row r="911" spans="3:18" hidden="1" x14ac:dyDescent="0.2">
      <c r="C911" s="30" t="s">
        <v>2346</v>
      </c>
      <c r="D911" s="110" t="s">
        <v>2347</v>
      </c>
      <c r="E911" s="33" t="s">
        <v>46</v>
      </c>
      <c r="F911" s="38"/>
      <c r="G911" s="38"/>
      <c r="H911" s="31"/>
      <c r="I911" s="32"/>
      <c r="J911" s="32"/>
      <c r="K911" s="45" t="s">
        <v>888</v>
      </c>
      <c r="L911" s="129"/>
      <c r="M911" s="33" t="str">
        <f t="shared" si="14"/>
        <v/>
      </c>
      <c r="N911" s="34" t="str">
        <f>IFERROR(IF(Tabela1[[#This Row],[Nome fantasia]]="","",_xlfn.XLOOKUP($C911,Log!D:D,Log!B:B,,,-1)),"")</f>
        <v/>
      </c>
      <c r="O911" s="35" t="str">
        <f>IFERROR(_xlfn.XLOOKUP($C911,Log!D:D,Log!W:W,,,-1),"")</f>
        <v/>
      </c>
      <c r="P911" s="35" t="str">
        <f>IFERROR(_xlfn.XLOOKUP($C911,Log!D:D,Log!Y:Y,,,-1),"")</f>
        <v/>
      </c>
      <c r="Q911" s="130"/>
      <c r="R911" s="131" t="str">
        <f>IFERROR(IF(Tabela1[[#This Row],[Nome fantasia]]="","",_xlfn.XLOOKUP($C911,Log!D:D,Log!X:X,,,-1)),"")</f>
        <v/>
      </c>
    </row>
    <row r="912" spans="3:18" hidden="1" x14ac:dyDescent="0.2">
      <c r="C912" s="30" t="s">
        <v>2231</v>
      </c>
      <c r="D912" s="110" t="s">
        <v>2348</v>
      </c>
      <c r="E912" s="33" t="s">
        <v>22</v>
      </c>
      <c r="F912" s="38"/>
      <c r="G912" s="38"/>
      <c r="H912" s="31"/>
      <c r="I912" s="32"/>
      <c r="J912" s="32"/>
      <c r="K912" s="45" t="s">
        <v>888</v>
      </c>
      <c r="L912" s="129"/>
      <c r="M912" s="33" t="str">
        <f t="shared" si="14"/>
        <v/>
      </c>
      <c r="N912" s="34" t="str">
        <f>IFERROR(IF(Tabela1[[#This Row],[Nome fantasia]]="","",_xlfn.XLOOKUP($C912,Log!D:D,Log!B:B,,,-1)),"")</f>
        <v/>
      </c>
      <c r="O912" s="35" t="str">
        <f>IFERROR(_xlfn.XLOOKUP($C912,Log!D:D,Log!W:W,,,-1),"")</f>
        <v/>
      </c>
      <c r="P912" s="35" t="str">
        <f>IFERROR(_xlfn.XLOOKUP($C912,Log!D:D,Log!Y:Y,,,-1),"")</f>
        <v/>
      </c>
      <c r="Q912" s="130"/>
      <c r="R912" s="131" t="str">
        <f>IFERROR(IF(Tabela1[[#This Row],[Nome fantasia]]="","",_xlfn.XLOOKUP($C912,Log!D:D,Log!X:X,,,-1)),"")</f>
        <v/>
      </c>
    </row>
    <row r="913" spans="3:18" hidden="1" x14ac:dyDescent="0.2">
      <c r="C913" s="30" t="s">
        <v>2349</v>
      </c>
      <c r="D913" s="110" t="s">
        <v>2350</v>
      </c>
      <c r="E913" s="33" t="s">
        <v>46</v>
      </c>
      <c r="F913" s="38"/>
      <c r="G913" s="38"/>
      <c r="H913" s="31"/>
      <c r="I913" s="32"/>
      <c r="J913" s="32"/>
      <c r="K913" s="45" t="s">
        <v>888</v>
      </c>
      <c r="L913" s="129"/>
      <c r="M913" s="33" t="str">
        <f t="shared" si="14"/>
        <v/>
      </c>
      <c r="N913" s="34" t="str">
        <f>IFERROR(IF(Tabela1[[#This Row],[Nome fantasia]]="","",_xlfn.XLOOKUP($C913,Log!D:D,Log!B:B,,,-1)),"")</f>
        <v/>
      </c>
      <c r="O913" s="35" t="str">
        <f>IFERROR(_xlfn.XLOOKUP($C913,Log!D:D,Log!W:W,,,-1),"")</f>
        <v/>
      </c>
      <c r="P913" s="35" t="str">
        <f>IFERROR(_xlfn.XLOOKUP($C913,Log!D:D,Log!Y:Y,,,-1),"")</f>
        <v/>
      </c>
      <c r="Q913" s="130"/>
      <c r="R913" s="131" t="str">
        <f>IFERROR(IF(Tabela1[[#This Row],[Nome fantasia]]="","",_xlfn.XLOOKUP($C913,Log!D:D,Log!X:X,,,-1)),"")</f>
        <v/>
      </c>
    </row>
    <row r="914" spans="3:18" hidden="1" x14ac:dyDescent="0.2">
      <c r="C914" s="30" t="s">
        <v>2351</v>
      </c>
      <c r="D914" s="110" t="s">
        <v>2350</v>
      </c>
      <c r="E914" s="33" t="s">
        <v>46</v>
      </c>
      <c r="F914" s="38"/>
      <c r="G914" s="38"/>
      <c r="H914" s="31"/>
      <c r="I914" s="32"/>
      <c r="J914" s="32"/>
      <c r="K914" s="45" t="s">
        <v>888</v>
      </c>
      <c r="L914" s="129"/>
      <c r="M914" s="33" t="str">
        <f t="shared" si="14"/>
        <v/>
      </c>
      <c r="N914" s="34" t="str">
        <f>IFERROR(IF(Tabela1[[#This Row],[Nome fantasia]]="","",_xlfn.XLOOKUP($C914,Log!D:D,Log!B:B,,,-1)),"")</f>
        <v/>
      </c>
      <c r="O914" s="35" t="str">
        <f>IFERROR(_xlfn.XLOOKUP($C914,Log!D:D,Log!W:W,,,-1),"")</f>
        <v/>
      </c>
      <c r="P914" s="35" t="str">
        <f>IFERROR(_xlfn.XLOOKUP($C914,Log!D:D,Log!Y:Y,,,-1),"")</f>
        <v/>
      </c>
      <c r="Q914" s="130"/>
      <c r="R914" s="131" t="str">
        <f>IFERROR(IF(Tabela1[[#This Row],[Nome fantasia]]="","",_xlfn.XLOOKUP($C914,Log!D:D,Log!X:X,,,-1)),"")</f>
        <v/>
      </c>
    </row>
    <row r="915" spans="3:18" hidden="1" x14ac:dyDescent="0.2">
      <c r="C915" s="30" t="s">
        <v>2352</v>
      </c>
      <c r="D915" s="110" t="s">
        <v>2353</v>
      </c>
      <c r="E915" s="33" t="s">
        <v>17</v>
      </c>
      <c r="F915" s="38"/>
      <c r="G915" s="38"/>
      <c r="H915" s="31"/>
      <c r="I915" s="32"/>
      <c r="J915" s="32"/>
      <c r="K915" s="45" t="s">
        <v>888</v>
      </c>
      <c r="L915" s="129"/>
      <c r="M915" s="33" t="str">
        <f t="shared" si="14"/>
        <v/>
      </c>
      <c r="N915" s="34">
        <f>IFERROR(IF(Tabela1[[#This Row],[Nome fantasia]]="","",_xlfn.XLOOKUP($C915,Log!D:D,Log!B:B,,,-1)),"")</f>
        <v>46007</v>
      </c>
      <c r="O915" s="35" t="str">
        <f>IFERROR(_xlfn.XLOOKUP($C915,Log!D:D,Log!W:W,,,-1),"")</f>
        <v>SUPORTE</v>
      </c>
      <c r="P915" s="35" t="str">
        <f>IFERROR(_xlfn.XLOOKUP($C915,Log!D:D,Log!Y:Y,,,-1),"")</f>
        <v>PEDIU RASTREIO</v>
      </c>
      <c r="Q915" s="130"/>
      <c r="R915" s="131" t="str">
        <f>IFERROR(IF(Tabela1[[#This Row],[Nome fantasia]]="","",_xlfn.XLOOKUP($C915,Log!D:D,Log!X:X,,,-1)),"")</f>
        <v/>
      </c>
    </row>
    <row r="916" spans="3:18" hidden="1" x14ac:dyDescent="0.2">
      <c r="C916" s="30" t="s">
        <v>2354</v>
      </c>
      <c r="D916" s="110" t="s">
        <v>2355</v>
      </c>
      <c r="E916" s="33" t="s">
        <v>46</v>
      </c>
      <c r="F916" s="38"/>
      <c r="G916" s="38"/>
      <c r="H916" s="31"/>
      <c r="I916" s="32"/>
      <c r="J916" s="32"/>
      <c r="K916" s="45" t="s">
        <v>888</v>
      </c>
      <c r="L916" s="129"/>
      <c r="M916" s="33" t="str">
        <f t="shared" si="14"/>
        <v/>
      </c>
      <c r="N916" s="34" t="str">
        <f>IFERROR(IF(Tabela1[[#This Row],[Nome fantasia]]="","",_xlfn.XLOOKUP($C916,Log!D:D,Log!B:B,,,-1)),"")</f>
        <v/>
      </c>
      <c r="O916" s="35" t="str">
        <f>IFERROR(_xlfn.XLOOKUP($C916,Log!D:D,Log!W:W,,,-1),"")</f>
        <v/>
      </c>
      <c r="P916" s="35" t="str">
        <f>IFERROR(_xlfn.XLOOKUP($C916,Log!D:D,Log!Y:Y,,,-1),"")</f>
        <v/>
      </c>
      <c r="Q916" s="130"/>
      <c r="R916" s="131" t="str">
        <f>IFERROR(IF(Tabela1[[#This Row],[Nome fantasia]]="","",_xlfn.XLOOKUP($C916,Log!D:D,Log!X:X,,,-1)),"")</f>
        <v/>
      </c>
    </row>
    <row r="917" spans="3:18" hidden="1" x14ac:dyDescent="0.2">
      <c r="C917" s="30"/>
      <c r="D917" s="110" t="s">
        <v>2356</v>
      </c>
      <c r="E917" s="33" t="s">
        <v>22</v>
      </c>
      <c r="F917" s="38"/>
      <c r="G917" s="38"/>
      <c r="H917" s="31"/>
      <c r="I917" s="32"/>
      <c r="J917" s="32"/>
      <c r="K917" s="45" t="s">
        <v>888</v>
      </c>
      <c r="L917" s="129"/>
      <c r="M917" s="33" t="str">
        <f t="shared" si="14"/>
        <v/>
      </c>
      <c r="N917" s="34" t="str">
        <f>IFERROR(IF(Tabela1[[#This Row],[Nome fantasia]]="","",_xlfn.XLOOKUP($C917,Log!D:D,Log!B:B,,,-1)),"")</f>
        <v/>
      </c>
      <c r="O917" s="35" t="str">
        <f>IFERROR(_xlfn.XLOOKUP($C917,Log!D:D,Log!W:W,,,-1),"")</f>
        <v/>
      </c>
      <c r="P917" s="35" t="str">
        <f>IFERROR(_xlfn.XLOOKUP($C917,Log!D:D,Log!Y:Y,,,-1),"")</f>
        <v/>
      </c>
      <c r="Q917" s="130"/>
      <c r="R917" s="131" t="str">
        <f>IFERROR(IF(Tabela1[[#This Row],[Nome fantasia]]="","",_xlfn.XLOOKUP($C917,Log!D:D,Log!X:X,,,-1)),"")</f>
        <v/>
      </c>
    </row>
    <row r="918" spans="3:18" hidden="1" x14ac:dyDescent="0.2">
      <c r="C918" s="30" t="s">
        <v>2357</v>
      </c>
      <c r="D918" s="110" t="s">
        <v>2358</v>
      </c>
      <c r="E918" s="33" t="s">
        <v>46</v>
      </c>
      <c r="F918" s="38"/>
      <c r="G918" s="38"/>
      <c r="H918" s="31"/>
      <c r="I918" s="32"/>
      <c r="J918" s="32"/>
      <c r="K918" s="45" t="s">
        <v>888</v>
      </c>
      <c r="L918" s="129"/>
      <c r="M918" s="33" t="str">
        <f t="shared" si="14"/>
        <v/>
      </c>
      <c r="N918" s="34" t="str">
        <f>IFERROR(IF(Tabela1[[#This Row],[Nome fantasia]]="","",_xlfn.XLOOKUP($C918,Log!D:D,Log!B:B,,,-1)),"")</f>
        <v/>
      </c>
      <c r="O918" s="35" t="str">
        <f>IFERROR(_xlfn.XLOOKUP($C918,Log!D:D,Log!W:W,,,-1),"")</f>
        <v/>
      </c>
      <c r="P918" s="35" t="str">
        <f>IFERROR(_xlfn.XLOOKUP($C918,Log!D:D,Log!Y:Y,,,-1),"")</f>
        <v/>
      </c>
      <c r="Q918" s="130"/>
      <c r="R918" s="131" t="str">
        <f>IFERROR(IF(Tabela1[[#This Row],[Nome fantasia]]="","",_xlfn.XLOOKUP($C918,Log!D:D,Log!X:X,,,-1)),"")</f>
        <v/>
      </c>
    </row>
    <row r="919" spans="3:18" hidden="1" x14ac:dyDescent="0.2">
      <c r="C919" s="30" t="s">
        <v>2359</v>
      </c>
      <c r="D919" s="110" t="s">
        <v>2360</v>
      </c>
      <c r="E919" s="33" t="s">
        <v>17</v>
      </c>
      <c r="F919" s="38"/>
      <c r="G919" s="38"/>
      <c r="H919" s="31"/>
      <c r="I919" s="32"/>
      <c r="J919" s="32"/>
      <c r="K919" s="45" t="s">
        <v>888</v>
      </c>
      <c r="L919" s="129"/>
      <c r="M919" s="33" t="str">
        <f t="shared" si="14"/>
        <v/>
      </c>
      <c r="N919" s="34" t="str">
        <f>IFERROR(IF(Tabela1[[#This Row],[Nome fantasia]]="","",_xlfn.XLOOKUP($C919,Log!D:D,Log!B:B,,,-1)),"")</f>
        <v/>
      </c>
      <c r="O919" s="35" t="str">
        <f>IFERROR(_xlfn.XLOOKUP($C919,Log!D:D,Log!W:W,,,-1),"")</f>
        <v/>
      </c>
      <c r="P919" s="35" t="str">
        <f>IFERROR(_xlfn.XLOOKUP($C919,Log!D:D,Log!Y:Y,,,-1),"")</f>
        <v/>
      </c>
      <c r="Q919" s="130"/>
      <c r="R919" s="131" t="str">
        <f>IFERROR(IF(Tabela1[[#This Row],[Nome fantasia]]="","",_xlfn.XLOOKUP($C919,Log!D:D,Log!X:X,,,-1)),"")</f>
        <v/>
      </c>
    </row>
    <row r="920" spans="3:18" hidden="1" x14ac:dyDescent="0.2">
      <c r="C920" s="30" t="s">
        <v>2361</v>
      </c>
      <c r="D920" s="110" t="s">
        <v>2362</v>
      </c>
      <c r="E920" s="33" t="s">
        <v>46</v>
      </c>
      <c r="F920" s="38"/>
      <c r="G920" s="38"/>
      <c r="H920" s="31"/>
      <c r="I920" s="32"/>
      <c r="J920" s="32"/>
      <c r="K920" s="45" t="s">
        <v>888</v>
      </c>
      <c r="L920" s="129"/>
      <c r="M920" s="33" t="str">
        <f t="shared" si="14"/>
        <v/>
      </c>
      <c r="N920" s="34" t="str">
        <f>IFERROR(IF(Tabela1[[#This Row],[Nome fantasia]]="","",_xlfn.XLOOKUP($C920,Log!D:D,Log!B:B,,,-1)),"")</f>
        <v/>
      </c>
      <c r="O920" s="35" t="str">
        <f>IFERROR(_xlfn.XLOOKUP($C920,Log!D:D,Log!W:W,,,-1),"")</f>
        <v/>
      </c>
      <c r="P920" s="35" t="str">
        <f>IFERROR(_xlfn.XLOOKUP($C920,Log!D:D,Log!Y:Y,,,-1),"")</f>
        <v/>
      </c>
      <c r="Q920" s="130"/>
      <c r="R920" s="131" t="str">
        <f>IFERROR(IF(Tabela1[[#This Row],[Nome fantasia]]="","",_xlfn.XLOOKUP($C920,Log!D:D,Log!X:X,,,-1)),"")</f>
        <v/>
      </c>
    </row>
    <row r="921" spans="3:18" hidden="1" x14ac:dyDescent="0.2">
      <c r="C921" s="30" t="s">
        <v>2363</v>
      </c>
      <c r="D921" s="110" t="s">
        <v>2364</v>
      </c>
      <c r="E921" s="33" t="s">
        <v>46</v>
      </c>
      <c r="F921" s="38"/>
      <c r="G921" s="38"/>
      <c r="H921" s="31"/>
      <c r="I921" s="32"/>
      <c r="J921" s="32"/>
      <c r="K921" s="45" t="s">
        <v>888</v>
      </c>
      <c r="L921" s="129"/>
      <c r="M921" s="33" t="str">
        <f t="shared" si="14"/>
        <v/>
      </c>
      <c r="N921" s="34" t="str">
        <f>IFERROR(IF(Tabela1[[#This Row],[Nome fantasia]]="","",_xlfn.XLOOKUP($C921,Log!D:D,Log!B:B,,,-1)),"")</f>
        <v/>
      </c>
      <c r="O921" s="35" t="str">
        <f>IFERROR(_xlfn.XLOOKUP($C921,Log!D:D,Log!W:W,,,-1),"")</f>
        <v/>
      </c>
      <c r="P921" s="35" t="str">
        <f>IFERROR(_xlfn.XLOOKUP($C921,Log!D:D,Log!Y:Y,,,-1),"")</f>
        <v/>
      </c>
      <c r="Q921" s="130"/>
      <c r="R921" s="131" t="str">
        <f>IFERROR(IF(Tabela1[[#This Row],[Nome fantasia]]="","",_xlfn.XLOOKUP($C921,Log!D:D,Log!X:X,,,-1)),"")</f>
        <v/>
      </c>
    </row>
    <row r="922" spans="3:18" hidden="1" x14ac:dyDescent="0.2">
      <c r="C922" s="30"/>
      <c r="D922" s="110" t="s">
        <v>2365</v>
      </c>
      <c r="E922" s="33" t="s">
        <v>46</v>
      </c>
      <c r="F922" s="38"/>
      <c r="G922" s="38"/>
      <c r="H922" s="31"/>
      <c r="I922" s="32"/>
      <c r="J922" s="32"/>
      <c r="K922" s="45" t="s">
        <v>888</v>
      </c>
      <c r="L922" s="129"/>
      <c r="M922" s="33" t="str">
        <f t="shared" si="14"/>
        <v/>
      </c>
      <c r="N922" s="34" t="str">
        <f>IFERROR(IF(Tabela1[[#This Row],[Nome fantasia]]="","",_xlfn.XLOOKUP($C922,Log!D:D,Log!B:B,,,-1)),"")</f>
        <v/>
      </c>
      <c r="O922" s="35" t="str">
        <f>IFERROR(_xlfn.XLOOKUP($C922,Log!D:D,Log!W:W,,,-1),"")</f>
        <v/>
      </c>
      <c r="P922" s="35" t="str">
        <f>IFERROR(_xlfn.XLOOKUP($C922,Log!D:D,Log!Y:Y,,,-1),"")</f>
        <v/>
      </c>
      <c r="Q922" s="130"/>
      <c r="R922" s="131" t="str">
        <f>IFERROR(IF(Tabela1[[#This Row],[Nome fantasia]]="","",_xlfn.XLOOKUP($C922,Log!D:D,Log!X:X,,,-1)),"")</f>
        <v/>
      </c>
    </row>
    <row r="923" spans="3:18" hidden="1" x14ac:dyDescent="0.2">
      <c r="C923" s="30" t="s">
        <v>2366</v>
      </c>
      <c r="D923" s="110" t="s">
        <v>2367</v>
      </c>
      <c r="E923" s="33" t="s">
        <v>46</v>
      </c>
      <c r="F923" s="38"/>
      <c r="G923" s="38"/>
      <c r="H923" s="31"/>
      <c r="I923" s="32"/>
      <c r="J923" s="32"/>
      <c r="K923" s="45" t="s">
        <v>888</v>
      </c>
      <c r="L923" s="129"/>
      <c r="M923" s="33" t="str">
        <f t="shared" si="14"/>
        <v/>
      </c>
      <c r="N923" s="34" t="str">
        <f>IFERROR(IF(Tabela1[[#This Row],[Nome fantasia]]="","",_xlfn.XLOOKUP($C923,Log!D:D,Log!B:B,,,-1)),"")</f>
        <v/>
      </c>
      <c r="O923" s="35" t="str">
        <f>IFERROR(_xlfn.XLOOKUP($C923,Log!D:D,Log!W:W,,,-1),"")</f>
        <v/>
      </c>
      <c r="P923" s="35" t="str">
        <f>IFERROR(_xlfn.XLOOKUP($C923,Log!D:D,Log!Y:Y,,,-1),"")</f>
        <v/>
      </c>
      <c r="Q923" s="130"/>
      <c r="R923" s="131" t="str">
        <f>IFERROR(IF(Tabela1[[#This Row],[Nome fantasia]]="","",_xlfn.XLOOKUP($C923,Log!D:D,Log!X:X,,,-1)),"")</f>
        <v/>
      </c>
    </row>
    <row r="924" spans="3:18" hidden="1" x14ac:dyDescent="0.2">
      <c r="C924" s="30" t="s">
        <v>2368</v>
      </c>
      <c r="D924" s="110" t="s">
        <v>2369</v>
      </c>
      <c r="E924" s="33" t="s">
        <v>46</v>
      </c>
      <c r="F924" s="38"/>
      <c r="G924" s="38"/>
      <c r="H924" s="31"/>
      <c r="I924" s="32"/>
      <c r="J924" s="32"/>
      <c r="K924" s="45" t="s">
        <v>888</v>
      </c>
      <c r="L924" s="129"/>
      <c r="M924" s="33" t="str">
        <f t="shared" si="14"/>
        <v/>
      </c>
      <c r="N924" s="34" t="str">
        <f>IFERROR(IF(Tabela1[[#This Row],[Nome fantasia]]="","",_xlfn.XLOOKUP($C924,Log!D:D,Log!B:B,,,-1)),"")</f>
        <v/>
      </c>
      <c r="O924" s="35" t="str">
        <f>IFERROR(_xlfn.XLOOKUP($C924,Log!D:D,Log!W:W,,,-1),"")</f>
        <v/>
      </c>
      <c r="P924" s="35" t="str">
        <f>IFERROR(_xlfn.XLOOKUP($C924,Log!D:D,Log!Y:Y,,,-1),"")</f>
        <v/>
      </c>
      <c r="Q924" s="130"/>
      <c r="R924" s="131" t="str">
        <f>IFERROR(IF(Tabela1[[#This Row],[Nome fantasia]]="","",_xlfn.XLOOKUP($C924,Log!D:D,Log!X:X,,,-1)),"")</f>
        <v/>
      </c>
    </row>
    <row r="925" spans="3:18" hidden="1" x14ac:dyDescent="0.2">
      <c r="C925" s="30" t="s">
        <v>2370</v>
      </c>
      <c r="D925" s="110" t="s">
        <v>2371</v>
      </c>
      <c r="E925" s="33" t="s">
        <v>22</v>
      </c>
      <c r="F925" s="38"/>
      <c r="G925" s="38"/>
      <c r="H925" s="31"/>
      <c r="I925" s="32"/>
      <c r="J925" s="32"/>
      <c r="K925" s="45" t="s">
        <v>888</v>
      </c>
      <c r="L925" s="129"/>
      <c r="M925" s="33" t="str">
        <f t="shared" si="14"/>
        <v/>
      </c>
      <c r="N925" s="34" t="str">
        <f>IFERROR(IF(Tabela1[[#This Row],[Nome fantasia]]="","",_xlfn.XLOOKUP($C925,Log!D:D,Log!B:B,,,-1)),"")</f>
        <v/>
      </c>
      <c r="O925" s="35" t="str">
        <f>IFERROR(_xlfn.XLOOKUP($C925,Log!D:D,Log!W:W,,,-1),"")</f>
        <v/>
      </c>
      <c r="P925" s="35" t="str">
        <f>IFERROR(_xlfn.XLOOKUP($C925,Log!D:D,Log!Y:Y,,,-1),"")</f>
        <v/>
      </c>
      <c r="Q925" s="130"/>
      <c r="R925" s="131" t="str">
        <f>IFERROR(IF(Tabela1[[#This Row],[Nome fantasia]]="","",_xlfn.XLOOKUP($C925,Log!D:D,Log!X:X,,,-1)),"")</f>
        <v/>
      </c>
    </row>
    <row r="926" spans="3:18" hidden="1" x14ac:dyDescent="0.2">
      <c r="C926" s="30" t="s">
        <v>2110</v>
      </c>
      <c r="D926" s="110" t="s">
        <v>2372</v>
      </c>
      <c r="E926" s="33" t="s">
        <v>46</v>
      </c>
      <c r="F926" s="38"/>
      <c r="G926" s="38"/>
      <c r="H926" s="31"/>
      <c r="I926" s="32"/>
      <c r="J926" s="32"/>
      <c r="K926" s="45" t="s">
        <v>888</v>
      </c>
      <c r="L926" s="129"/>
      <c r="M926" s="33" t="str">
        <f t="shared" si="14"/>
        <v/>
      </c>
      <c r="N926" s="34" t="str">
        <f>IFERROR(IF(Tabela1[[#This Row],[Nome fantasia]]="","",_xlfn.XLOOKUP($C926,Log!D:D,Log!B:B,,,-1)),"")</f>
        <v/>
      </c>
      <c r="O926" s="35" t="str">
        <f>IFERROR(_xlfn.XLOOKUP($C926,Log!D:D,Log!W:W,,,-1),"")</f>
        <v/>
      </c>
      <c r="P926" s="35" t="str">
        <f>IFERROR(_xlfn.XLOOKUP($C926,Log!D:D,Log!Y:Y,,,-1),"")</f>
        <v/>
      </c>
      <c r="Q926" s="130"/>
      <c r="R926" s="131" t="str">
        <f>IFERROR(IF(Tabela1[[#This Row],[Nome fantasia]]="","",_xlfn.XLOOKUP($C926,Log!D:D,Log!X:X,,,-1)),"")</f>
        <v/>
      </c>
    </row>
    <row r="927" spans="3:18" hidden="1" x14ac:dyDescent="0.2">
      <c r="C927" s="30" t="s">
        <v>2373</v>
      </c>
      <c r="D927" s="110" t="s">
        <v>2374</v>
      </c>
      <c r="E927" s="33" t="s">
        <v>22</v>
      </c>
      <c r="F927" s="38"/>
      <c r="G927" s="38"/>
      <c r="H927" s="31"/>
      <c r="I927" s="32"/>
      <c r="J927" s="32"/>
      <c r="K927" s="45" t="s">
        <v>888</v>
      </c>
      <c r="L927" s="129"/>
      <c r="M927" s="33" t="str">
        <f t="shared" si="14"/>
        <v/>
      </c>
      <c r="N927" s="34" t="str">
        <f>IFERROR(IF(Tabela1[[#This Row],[Nome fantasia]]="","",_xlfn.XLOOKUP($C927,Log!D:D,Log!B:B,,,-1)),"")</f>
        <v/>
      </c>
      <c r="O927" s="35" t="str">
        <f>IFERROR(_xlfn.XLOOKUP($C927,Log!D:D,Log!W:W,,,-1),"")</f>
        <v/>
      </c>
      <c r="P927" s="35" t="str">
        <f>IFERROR(_xlfn.XLOOKUP($C927,Log!D:D,Log!Y:Y,,,-1),"")</f>
        <v/>
      </c>
      <c r="Q927" s="130"/>
      <c r="R927" s="131" t="str">
        <f>IFERROR(IF(Tabela1[[#This Row],[Nome fantasia]]="","",_xlfn.XLOOKUP($C927,Log!D:D,Log!X:X,,,-1)),"")</f>
        <v/>
      </c>
    </row>
    <row r="928" spans="3:18" hidden="1" x14ac:dyDescent="0.2">
      <c r="C928" s="30" t="s">
        <v>2375</v>
      </c>
      <c r="D928" s="110" t="s">
        <v>2376</v>
      </c>
      <c r="E928" s="33" t="s">
        <v>46</v>
      </c>
      <c r="F928" s="38"/>
      <c r="G928" s="38"/>
      <c r="H928" s="31"/>
      <c r="I928" s="32"/>
      <c r="J928" s="32"/>
      <c r="K928" s="45" t="s">
        <v>888</v>
      </c>
      <c r="L928" s="129"/>
      <c r="M928" s="33" t="str">
        <f t="shared" si="14"/>
        <v/>
      </c>
      <c r="N928" s="34" t="str">
        <f>IFERROR(IF(Tabela1[[#This Row],[Nome fantasia]]="","",_xlfn.XLOOKUP($C928,Log!D:D,Log!B:B,,,-1)),"")</f>
        <v/>
      </c>
      <c r="O928" s="35" t="str">
        <f>IFERROR(_xlfn.XLOOKUP($C928,Log!D:D,Log!W:W,,,-1),"")</f>
        <v/>
      </c>
      <c r="P928" s="35" t="str">
        <f>IFERROR(_xlfn.XLOOKUP($C928,Log!D:D,Log!Y:Y,,,-1),"")</f>
        <v/>
      </c>
      <c r="Q928" s="130"/>
      <c r="R928" s="131" t="str">
        <f>IFERROR(IF(Tabela1[[#This Row],[Nome fantasia]]="","",_xlfn.XLOOKUP($C928,Log!D:D,Log!X:X,,,-1)),"")</f>
        <v/>
      </c>
    </row>
    <row r="929" spans="3:18" hidden="1" x14ac:dyDescent="0.2">
      <c r="C929" s="30" t="s">
        <v>2377</v>
      </c>
      <c r="D929" s="110" t="s">
        <v>2378</v>
      </c>
      <c r="E929" s="33" t="s">
        <v>17</v>
      </c>
      <c r="F929" s="38"/>
      <c r="G929" s="38"/>
      <c r="H929" s="31"/>
      <c r="I929" s="32"/>
      <c r="J929" s="32"/>
      <c r="K929" s="45" t="s">
        <v>888</v>
      </c>
      <c r="L929" s="129"/>
      <c r="M929" s="33" t="str">
        <f t="shared" si="14"/>
        <v/>
      </c>
      <c r="N929" s="34" t="str">
        <f>IFERROR(IF(Tabela1[[#This Row],[Nome fantasia]]="","",_xlfn.XLOOKUP($C929,Log!D:D,Log!B:B,,,-1)),"")</f>
        <v/>
      </c>
      <c r="O929" s="35" t="str">
        <f>IFERROR(_xlfn.XLOOKUP($C929,Log!D:D,Log!W:W,,,-1),"")</f>
        <v/>
      </c>
      <c r="P929" s="35" t="str">
        <f>IFERROR(_xlfn.XLOOKUP($C929,Log!D:D,Log!Y:Y,,,-1),"")</f>
        <v/>
      </c>
      <c r="Q929" s="130"/>
      <c r="R929" s="131" t="str">
        <f>IFERROR(IF(Tabela1[[#This Row],[Nome fantasia]]="","",_xlfn.XLOOKUP($C929,Log!D:D,Log!X:X,,,-1)),"")</f>
        <v/>
      </c>
    </row>
    <row r="930" spans="3:18" hidden="1" x14ac:dyDescent="0.2">
      <c r="C930" s="30" t="s">
        <v>2379</v>
      </c>
      <c r="D930" s="110" t="s">
        <v>2380</v>
      </c>
      <c r="E930" s="33" t="s">
        <v>22</v>
      </c>
      <c r="F930" s="38"/>
      <c r="G930" s="38"/>
      <c r="H930" s="31"/>
      <c r="I930" s="32"/>
      <c r="J930" s="32"/>
      <c r="K930" s="45" t="s">
        <v>888</v>
      </c>
      <c r="L930" s="129"/>
      <c r="M930" s="33" t="str">
        <f t="shared" si="14"/>
        <v/>
      </c>
      <c r="N930" s="34" t="str">
        <f>IFERROR(IF(Tabela1[[#This Row],[Nome fantasia]]="","",_xlfn.XLOOKUP($C930,Log!D:D,Log!B:B,,,-1)),"")</f>
        <v/>
      </c>
      <c r="O930" s="35" t="str">
        <f>IFERROR(_xlfn.XLOOKUP($C930,Log!D:D,Log!W:W,,,-1),"")</f>
        <v/>
      </c>
      <c r="P930" s="35" t="str">
        <f>IFERROR(_xlfn.XLOOKUP($C930,Log!D:D,Log!Y:Y,,,-1),"")</f>
        <v/>
      </c>
      <c r="Q930" s="130"/>
      <c r="R930" s="131" t="str">
        <f>IFERROR(IF(Tabela1[[#This Row],[Nome fantasia]]="","",_xlfn.XLOOKUP($C930,Log!D:D,Log!X:X,,,-1)),"")</f>
        <v/>
      </c>
    </row>
    <row r="931" spans="3:18" hidden="1" x14ac:dyDescent="0.2">
      <c r="C931" s="30" t="s">
        <v>2381</v>
      </c>
      <c r="D931" s="110" t="s">
        <v>2382</v>
      </c>
      <c r="E931" s="33" t="s">
        <v>46</v>
      </c>
      <c r="F931" s="38"/>
      <c r="G931" s="38"/>
      <c r="H931" s="31"/>
      <c r="I931" s="32"/>
      <c r="J931" s="32"/>
      <c r="K931" s="45" t="s">
        <v>888</v>
      </c>
      <c r="L931" s="129"/>
      <c r="M931" s="33" t="str">
        <f t="shared" si="14"/>
        <v/>
      </c>
      <c r="N931" s="34" t="str">
        <f>IFERROR(IF(Tabela1[[#This Row],[Nome fantasia]]="","",_xlfn.XLOOKUP($C931,Log!D:D,Log!B:B,,,-1)),"")</f>
        <v/>
      </c>
      <c r="O931" s="35" t="str">
        <f>IFERROR(_xlfn.XLOOKUP($C931,Log!D:D,Log!W:W,,,-1),"")</f>
        <v/>
      </c>
      <c r="P931" s="35" t="str">
        <f>IFERROR(_xlfn.XLOOKUP($C931,Log!D:D,Log!Y:Y,,,-1),"")</f>
        <v/>
      </c>
      <c r="Q931" s="130"/>
      <c r="R931" s="131" t="str">
        <f>IFERROR(IF(Tabela1[[#This Row],[Nome fantasia]]="","",_xlfn.XLOOKUP($C931,Log!D:D,Log!X:X,,,-1)),"")</f>
        <v/>
      </c>
    </row>
    <row r="932" spans="3:18" hidden="1" x14ac:dyDescent="0.2">
      <c r="C932" s="30" t="s">
        <v>2383</v>
      </c>
      <c r="D932" s="110" t="s">
        <v>2384</v>
      </c>
      <c r="E932" s="33" t="s">
        <v>46</v>
      </c>
      <c r="F932" s="38"/>
      <c r="G932" s="38"/>
      <c r="H932" s="31"/>
      <c r="I932" s="32"/>
      <c r="J932" s="32"/>
      <c r="K932" s="45" t="s">
        <v>888</v>
      </c>
      <c r="L932" s="129"/>
      <c r="M932" s="33" t="str">
        <f t="shared" si="14"/>
        <v/>
      </c>
      <c r="N932" s="34" t="str">
        <f>IFERROR(IF(Tabela1[[#This Row],[Nome fantasia]]="","",_xlfn.XLOOKUP($C932,Log!D:D,Log!B:B,,,-1)),"")</f>
        <v/>
      </c>
      <c r="O932" s="35" t="str">
        <f>IFERROR(_xlfn.XLOOKUP($C932,Log!D:D,Log!W:W,,,-1),"")</f>
        <v/>
      </c>
      <c r="P932" s="35" t="str">
        <f>IFERROR(_xlfn.XLOOKUP($C932,Log!D:D,Log!Y:Y,,,-1),"")</f>
        <v/>
      </c>
      <c r="Q932" s="130"/>
      <c r="R932" s="131" t="str">
        <f>IFERROR(IF(Tabela1[[#This Row],[Nome fantasia]]="","",_xlfn.XLOOKUP($C932,Log!D:D,Log!X:X,,,-1)),"")</f>
        <v/>
      </c>
    </row>
    <row r="933" spans="3:18" hidden="1" x14ac:dyDescent="0.2">
      <c r="C933" s="30" t="s">
        <v>2385</v>
      </c>
      <c r="D933" s="110" t="s">
        <v>2386</v>
      </c>
      <c r="E933" s="33" t="s">
        <v>22</v>
      </c>
      <c r="F933" s="38"/>
      <c r="G933" s="38"/>
      <c r="H933" s="31"/>
      <c r="I933" s="32"/>
      <c r="J933" s="32"/>
      <c r="K933" s="45" t="s">
        <v>888</v>
      </c>
      <c r="L933" s="129"/>
      <c r="M933" s="33" t="str">
        <f t="shared" si="14"/>
        <v/>
      </c>
      <c r="N933" s="34" t="str">
        <f>IFERROR(IF(Tabela1[[#This Row],[Nome fantasia]]="","",_xlfn.XLOOKUP($C933,Log!D:D,Log!B:B,,,-1)),"")</f>
        <v/>
      </c>
      <c r="O933" s="35" t="str">
        <f>IFERROR(_xlfn.XLOOKUP($C933,Log!D:D,Log!W:W,,,-1),"")</f>
        <v/>
      </c>
      <c r="P933" s="35" t="str">
        <f>IFERROR(_xlfn.XLOOKUP($C933,Log!D:D,Log!Y:Y,,,-1),"")</f>
        <v/>
      </c>
      <c r="Q933" s="130"/>
      <c r="R933" s="131" t="str">
        <f>IFERROR(IF(Tabela1[[#This Row],[Nome fantasia]]="","",_xlfn.XLOOKUP($C933,Log!D:D,Log!X:X,,,-1)),"")</f>
        <v/>
      </c>
    </row>
    <row r="934" spans="3:18" hidden="1" x14ac:dyDescent="0.2">
      <c r="C934" s="30" t="s">
        <v>1862</v>
      </c>
      <c r="D934" s="110" t="s">
        <v>2387</v>
      </c>
      <c r="E934" s="33" t="s">
        <v>22</v>
      </c>
      <c r="F934" s="38"/>
      <c r="G934" s="38"/>
      <c r="H934" s="31"/>
      <c r="I934" s="32"/>
      <c r="J934" s="32"/>
      <c r="K934" s="45" t="s">
        <v>888</v>
      </c>
      <c r="L934" s="129"/>
      <c r="M934" s="33" t="str">
        <f t="shared" si="14"/>
        <v/>
      </c>
      <c r="N934" s="34" t="str">
        <f>IFERROR(IF(Tabela1[[#This Row],[Nome fantasia]]="","",_xlfn.XLOOKUP($C934,Log!D:D,Log!B:B,,,-1)),"")</f>
        <v/>
      </c>
      <c r="O934" s="35" t="str">
        <f>IFERROR(_xlfn.XLOOKUP($C934,Log!D:D,Log!W:W,,,-1),"")</f>
        <v/>
      </c>
      <c r="P934" s="35" t="str">
        <f>IFERROR(_xlfn.XLOOKUP($C934,Log!D:D,Log!Y:Y,,,-1),"")</f>
        <v/>
      </c>
      <c r="Q934" s="130"/>
      <c r="R934" s="131" t="str">
        <f>IFERROR(IF(Tabela1[[#This Row],[Nome fantasia]]="","",_xlfn.XLOOKUP($C934,Log!D:D,Log!X:X,,,-1)),"")</f>
        <v/>
      </c>
    </row>
    <row r="935" spans="3:18" hidden="1" x14ac:dyDescent="0.2">
      <c r="C935" s="30" t="s">
        <v>2388</v>
      </c>
      <c r="D935" s="110" t="s">
        <v>2389</v>
      </c>
      <c r="E935" s="33" t="s">
        <v>46</v>
      </c>
      <c r="F935" s="38"/>
      <c r="G935" s="38"/>
      <c r="H935" s="31"/>
      <c r="I935" s="32"/>
      <c r="J935" s="32"/>
      <c r="K935" s="45" t="s">
        <v>888</v>
      </c>
      <c r="L935" s="129"/>
      <c r="M935" s="33" t="str">
        <f t="shared" si="14"/>
        <v/>
      </c>
      <c r="N935" s="34" t="str">
        <f>IFERROR(IF(Tabela1[[#This Row],[Nome fantasia]]="","",_xlfn.XLOOKUP($C935,Log!D:D,Log!B:B,,,-1)),"")</f>
        <v/>
      </c>
      <c r="O935" s="35" t="str">
        <f>IFERROR(_xlfn.XLOOKUP($C935,Log!D:D,Log!W:W,,,-1),"")</f>
        <v/>
      </c>
      <c r="P935" s="35" t="str">
        <f>IFERROR(_xlfn.XLOOKUP($C935,Log!D:D,Log!Y:Y,,,-1),"")</f>
        <v/>
      </c>
      <c r="Q935" s="130"/>
      <c r="R935" s="131" t="str">
        <f>IFERROR(IF(Tabela1[[#This Row],[Nome fantasia]]="","",_xlfn.XLOOKUP($C935,Log!D:D,Log!X:X,,,-1)),"")</f>
        <v/>
      </c>
    </row>
    <row r="936" spans="3:18" hidden="1" x14ac:dyDescent="0.2">
      <c r="C936" s="30" t="s">
        <v>2390</v>
      </c>
      <c r="D936" s="110" t="s">
        <v>2391</v>
      </c>
      <c r="E936" s="33" t="s">
        <v>22</v>
      </c>
      <c r="F936" s="38"/>
      <c r="G936" s="38"/>
      <c r="H936" s="31"/>
      <c r="I936" s="32"/>
      <c r="J936" s="32"/>
      <c r="K936" s="45" t="s">
        <v>888</v>
      </c>
      <c r="L936" s="129"/>
      <c r="M936" s="33" t="str">
        <f t="shared" si="14"/>
        <v/>
      </c>
      <c r="N936" s="34" t="str">
        <f>IFERROR(IF(Tabela1[[#This Row],[Nome fantasia]]="","",_xlfn.XLOOKUP($C936,Log!D:D,Log!B:B,,,-1)),"")</f>
        <v/>
      </c>
      <c r="O936" s="35" t="str">
        <f>IFERROR(_xlfn.XLOOKUP($C936,Log!D:D,Log!W:W,,,-1),"")</f>
        <v/>
      </c>
      <c r="P936" s="35" t="str">
        <f>IFERROR(_xlfn.XLOOKUP($C936,Log!D:D,Log!Y:Y,,,-1),"")</f>
        <v/>
      </c>
      <c r="Q936" s="130"/>
      <c r="R936" s="131" t="str">
        <f>IFERROR(IF(Tabela1[[#This Row],[Nome fantasia]]="","",_xlfn.XLOOKUP($C936,Log!D:D,Log!X:X,,,-1)),"")</f>
        <v/>
      </c>
    </row>
    <row r="937" spans="3:18" hidden="1" x14ac:dyDescent="0.2">
      <c r="C937" s="30" t="s">
        <v>1862</v>
      </c>
      <c r="D937" s="110" t="s">
        <v>2392</v>
      </c>
      <c r="E937" s="33" t="s">
        <v>22</v>
      </c>
      <c r="F937" s="38"/>
      <c r="G937" s="38"/>
      <c r="H937" s="31"/>
      <c r="I937" s="32"/>
      <c r="J937" s="32"/>
      <c r="K937" s="45" t="s">
        <v>888</v>
      </c>
      <c r="L937" s="129"/>
      <c r="M937" s="33" t="str">
        <f t="shared" si="14"/>
        <v/>
      </c>
      <c r="N937" s="34" t="str">
        <f>IFERROR(IF(Tabela1[[#This Row],[Nome fantasia]]="","",_xlfn.XLOOKUP($C937,Log!D:D,Log!B:B,,,-1)),"")</f>
        <v/>
      </c>
      <c r="O937" s="35" t="str">
        <f>IFERROR(_xlfn.XLOOKUP($C937,Log!D:D,Log!W:W,,,-1),"")</f>
        <v/>
      </c>
      <c r="P937" s="35" t="str">
        <f>IFERROR(_xlfn.XLOOKUP($C937,Log!D:D,Log!Y:Y,,,-1),"")</f>
        <v/>
      </c>
      <c r="Q937" s="130"/>
      <c r="R937" s="131" t="str">
        <f>IFERROR(IF(Tabela1[[#This Row],[Nome fantasia]]="","",_xlfn.XLOOKUP($C937,Log!D:D,Log!X:X,,,-1)),"")</f>
        <v/>
      </c>
    </row>
    <row r="938" spans="3:18" hidden="1" x14ac:dyDescent="0.2">
      <c r="C938" s="30" t="s">
        <v>2393</v>
      </c>
      <c r="D938" s="110" t="s">
        <v>2394</v>
      </c>
      <c r="E938" s="33" t="s">
        <v>46</v>
      </c>
      <c r="F938" s="38"/>
      <c r="G938" s="38"/>
      <c r="H938" s="31"/>
      <c r="I938" s="32"/>
      <c r="J938" s="32"/>
      <c r="K938" s="45" t="s">
        <v>888</v>
      </c>
      <c r="L938" s="129"/>
      <c r="M938" s="33" t="str">
        <f t="shared" si="14"/>
        <v/>
      </c>
      <c r="N938" s="34" t="str">
        <f>IFERROR(IF(Tabela1[[#This Row],[Nome fantasia]]="","",_xlfn.XLOOKUP($C938,Log!D:D,Log!B:B,,,-1)),"")</f>
        <v/>
      </c>
      <c r="O938" s="35" t="str">
        <f>IFERROR(_xlfn.XLOOKUP($C938,Log!D:D,Log!W:W,,,-1),"")</f>
        <v/>
      </c>
      <c r="P938" s="35" t="str">
        <f>IFERROR(_xlfn.XLOOKUP($C938,Log!D:D,Log!Y:Y,,,-1),"")</f>
        <v/>
      </c>
      <c r="Q938" s="130"/>
      <c r="R938" s="131" t="str">
        <f>IFERROR(IF(Tabela1[[#This Row],[Nome fantasia]]="","",_xlfn.XLOOKUP($C938,Log!D:D,Log!X:X,,,-1)),"")</f>
        <v/>
      </c>
    </row>
    <row r="939" spans="3:18" hidden="1" x14ac:dyDescent="0.2">
      <c r="C939" s="30" t="s">
        <v>2395</v>
      </c>
      <c r="D939" s="110" t="s">
        <v>2396</v>
      </c>
      <c r="E939" s="33" t="s">
        <v>22</v>
      </c>
      <c r="F939" s="38"/>
      <c r="G939" s="38"/>
      <c r="H939" s="31"/>
      <c r="I939" s="32"/>
      <c r="J939" s="32"/>
      <c r="K939" s="45" t="s">
        <v>888</v>
      </c>
      <c r="L939" s="129"/>
      <c r="M939" s="33" t="str">
        <f t="shared" si="14"/>
        <v/>
      </c>
      <c r="N939" s="34" t="str">
        <f>IFERROR(IF(Tabela1[[#This Row],[Nome fantasia]]="","",_xlfn.XLOOKUP($C939,Log!D:D,Log!B:B,,,-1)),"")</f>
        <v/>
      </c>
      <c r="O939" s="35" t="str">
        <f>IFERROR(_xlfn.XLOOKUP($C939,Log!D:D,Log!W:W,,,-1),"")</f>
        <v/>
      </c>
      <c r="P939" s="35" t="str">
        <f>IFERROR(_xlfn.XLOOKUP($C939,Log!D:D,Log!Y:Y,,,-1),"")</f>
        <v/>
      </c>
      <c r="Q939" s="130"/>
      <c r="R939" s="131" t="str">
        <f>IFERROR(IF(Tabela1[[#This Row],[Nome fantasia]]="","",_xlfn.XLOOKUP($C939,Log!D:D,Log!X:X,,,-1)),"")</f>
        <v/>
      </c>
    </row>
    <row r="940" spans="3:18" hidden="1" x14ac:dyDescent="0.2">
      <c r="C940" s="30" t="s">
        <v>2397</v>
      </c>
      <c r="D940" s="110" t="s">
        <v>2398</v>
      </c>
      <c r="E940" s="33" t="s">
        <v>46</v>
      </c>
      <c r="F940" s="38"/>
      <c r="G940" s="38"/>
      <c r="H940" s="31"/>
      <c r="I940" s="32"/>
      <c r="J940" s="32"/>
      <c r="K940" s="45" t="s">
        <v>888</v>
      </c>
      <c r="L940" s="129"/>
      <c r="M940" s="33" t="str">
        <f t="shared" si="14"/>
        <v/>
      </c>
      <c r="N940" s="34" t="str">
        <f>IFERROR(IF(Tabela1[[#This Row],[Nome fantasia]]="","",_xlfn.XLOOKUP($C940,Log!D:D,Log!B:B,,,-1)),"")</f>
        <v/>
      </c>
      <c r="O940" s="35" t="str">
        <f>IFERROR(_xlfn.XLOOKUP($C940,Log!D:D,Log!W:W,,,-1),"")</f>
        <v/>
      </c>
      <c r="P940" s="35" t="str">
        <f>IFERROR(_xlfn.XLOOKUP($C940,Log!D:D,Log!Y:Y,,,-1),"")</f>
        <v/>
      </c>
      <c r="Q940" s="130"/>
      <c r="R940" s="131" t="str">
        <f>IFERROR(IF(Tabela1[[#This Row],[Nome fantasia]]="","",_xlfn.XLOOKUP($C940,Log!D:D,Log!X:X,,,-1)),"")</f>
        <v/>
      </c>
    </row>
    <row r="941" spans="3:18" hidden="1" x14ac:dyDescent="0.2">
      <c r="C941" s="30" t="s">
        <v>2399</v>
      </c>
      <c r="D941" s="110" t="s">
        <v>2400</v>
      </c>
      <c r="E941" s="33" t="s">
        <v>22</v>
      </c>
      <c r="F941" s="38"/>
      <c r="G941" s="38"/>
      <c r="H941" s="31"/>
      <c r="I941" s="32"/>
      <c r="J941" s="32"/>
      <c r="K941" s="45" t="s">
        <v>888</v>
      </c>
      <c r="L941" s="129"/>
      <c r="M941" s="33" t="str">
        <f t="shared" si="14"/>
        <v/>
      </c>
      <c r="N941" s="34" t="str">
        <f>IFERROR(IF(Tabela1[[#This Row],[Nome fantasia]]="","",_xlfn.XLOOKUP($C941,Log!D:D,Log!B:B,,,-1)),"")</f>
        <v/>
      </c>
      <c r="O941" s="35" t="str">
        <f>IFERROR(_xlfn.XLOOKUP($C941,Log!D:D,Log!W:W,,,-1),"")</f>
        <v/>
      </c>
      <c r="P941" s="35" t="str">
        <f>IFERROR(_xlfn.XLOOKUP($C941,Log!D:D,Log!Y:Y,,,-1),"")</f>
        <v/>
      </c>
      <c r="Q941" s="130"/>
      <c r="R941" s="131" t="str">
        <f>IFERROR(IF(Tabela1[[#This Row],[Nome fantasia]]="","",_xlfn.XLOOKUP($C941,Log!D:D,Log!X:X,,,-1)),"")</f>
        <v/>
      </c>
    </row>
    <row r="942" spans="3:18" hidden="1" x14ac:dyDescent="0.2">
      <c r="C942" s="30" t="s">
        <v>2401</v>
      </c>
      <c r="D942" s="110" t="s">
        <v>2402</v>
      </c>
      <c r="E942" s="33" t="s">
        <v>17</v>
      </c>
      <c r="F942" s="38"/>
      <c r="G942" s="38"/>
      <c r="H942" s="31"/>
      <c r="I942" s="32"/>
      <c r="J942" s="32"/>
      <c r="K942" s="45" t="s">
        <v>888</v>
      </c>
      <c r="L942" s="129"/>
      <c r="M942" s="33" t="str">
        <f t="shared" si="14"/>
        <v/>
      </c>
      <c r="N942" s="34" t="str">
        <f>IFERROR(IF(Tabela1[[#This Row],[Nome fantasia]]="","",_xlfn.XLOOKUP($C942,Log!D:D,Log!B:B,,,-1)),"")</f>
        <v/>
      </c>
      <c r="O942" s="35" t="str">
        <f>IFERROR(_xlfn.XLOOKUP($C942,Log!D:D,Log!W:W,,,-1),"")</f>
        <v/>
      </c>
      <c r="P942" s="35" t="str">
        <f>IFERROR(_xlfn.XLOOKUP($C942,Log!D:D,Log!Y:Y,,,-1),"")</f>
        <v/>
      </c>
      <c r="Q942" s="130"/>
      <c r="R942" s="131" t="str">
        <f>IFERROR(IF(Tabela1[[#This Row],[Nome fantasia]]="","",_xlfn.XLOOKUP($C942,Log!D:D,Log!X:X,,,-1)),"")</f>
        <v/>
      </c>
    </row>
    <row r="943" spans="3:18" hidden="1" x14ac:dyDescent="0.2">
      <c r="C943" s="30" t="s">
        <v>2403</v>
      </c>
      <c r="D943" s="110" t="s">
        <v>2404</v>
      </c>
      <c r="E943" s="33" t="s">
        <v>46</v>
      </c>
      <c r="F943" s="38"/>
      <c r="G943" s="38"/>
      <c r="H943" s="31"/>
      <c r="I943" s="32"/>
      <c r="J943" s="32"/>
      <c r="K943" s="45" t="s">
        <v>888</v>
      </c>
      <c r="L943" s="129"/>
      <c r="M943" s="33" t="str">
        <f t="shared" si="14"/>
        <v/>
      </c>
      <c r="N943" s="34" t="str">
        <f>IFERROR(IF(Tabela1[[#This Row],[Nome fantasia]]="","",_xlfn.XLOOKUP($C943,Log!D:D,Log!B:B,,,-1)),"")</f>
        <v/>
      </c>
      <c r="O943" s="35" t="str">
        <f>IFERROR(_xlfn.XLOOKUP($C943,Log!D:D,Log!W:W,,,-1),"")</f>
        <v/>
      </c>
      <c r="P943" s="35" t="str">
        <f>IFERROR(_xlfn.XLOOKUP($C943,Log!D:D,Log!Y:Y,,,-1),"")</f>
        <v/>
      </c>
      <c r="Q943" s="130"/>
      <c r="R943" s="131" t="str">
        <f>IFERROR(IF(Tabela1[[#This Row],[Nome fantasia]]="","",_xlfn.XLOOKUP($C943,Log!D:D,Log!X:X,,,-1)),"")</f>
        <v/>
      </c>
    </row>
    <row r="944" spans="3:18" hidden="1" x14ac:dyDescent="0.2">
      <c r="C944" s="30" t="s">
        <v>2405</v>
      </c>
      <c r="D944" s="110" t="s">
        <v>2406</v>
      </c>
      <c r="E944" s="33" t="s">
        <v>17</v>
      </c>
      <c r="F944" s="38"/>
      <c r="G944" s="38"/>
      <c r="H944" s="31"/>
      <c r="I944" s="32"/>
      <c r="J944" s="32"/>
      <c r="K944" s="45" t="s">
        <v>888</v>
      </c>
      <c r="L944" s="129"/>
      <c r="M944" s="33" t="str">
        <f t="shared" si="14"/>
        <v/>
      </c>
      <c r="N944" s="34" t="str">
        <f>IFERROR(IF(Tabela1[[#This Row],[Nome fantasia]]="","",_xlfn.XLOOKUP($C944,Log!D:D,Log!B:B,,,-1)),"")</f>
        <v/>
      </c>
      <c r="O944" s="35" t="str">
        <f>IFERROR(_xlfn.XLOOKUP($C944,Log!D:D,Log!W:W,,,-1),"")</f>
        <v/>
      </c>
      <c r="P944" s="35" t="str">
        <f>IFERROR(_xlfn.XLOOKUP($C944,Log!D:D,Log!Y:Y,,,-1),"")</f>
        <v/>
      </c>
      <c r="Q944" s="130"/>
      <c r="R944" s="131" t="str">
        <f>IFERROR(IF(Tabela1[[#This Row],[Nome fantasia]]="","",_xlfn.XLOOKUP($C944,Log!D:D,Log!X:X,,,-1)),"")</f>
        <v/>
      </c>
    </row>
    <row r="945" spans="3:18" hidden="1" x14ac:dyDescent="0.2">
      <c r="C945" s="30" t="s">
        <v>2407</v>
      </c>
      <c r="D945" s="110" t="s">
        <v>2408</v>
      </c>
      <c r="E945" s="33" t="s">
        <v>46</v>
      </c>
      <c r="F945" s="38"/>
      <c r="G945" s="38"/>
      <c r="H945" s="31"/>
      <c r="I945" s="32"/>
      <c r="J945" s="32"/>
      <c r="K945" s="45" t="s">
        <v>888</v>
      </c>
      <c r="L945" s="129"/>
      <c r="M945" s="33" t="str">
        <f t="shared" si="14"/>
        <v/>
      </c>
      <c r="N945" s="34" t="str">
        <f>IFERROR(IF(Tabela1[[#This Row],[Nome fantasia]]="","",_xlfn.XLOOKUP($C945,Log!D:D,Log!B:B,,,-1)),"")</f>
        <v/>
      </c>
      <c r="O945" s="35" t="str">
        <f>IFERROR(_xlfn.XLOOKUP($C945,Log!D:D,Log!W:W,,,-1),"")</f>
        <v/>
      </c>
      <c r="P945" s="35" t="str">
        <f>IFERROR(_xlfn.XLOOKUP($C945,Log!D:D,Log!Y:Y,,,-1),"")</f>
        <v/>
      </c>
      <c r="Q945" s="130"/>
      <c r="R945" s="131" t="str">
        <f>IFERROR(IF(Tabela1[[#This Row],[Nome fantasia]]="","",_xlfn.XLOOKUP($C945,Log!D:D,Log!X:X,,,-1)),"")</f>
        <v/>
      </c>
    </row>
    <row r="946" spans="3:18" hidden="1" x14ac:dyDescent="0.2">
      <c r="C946" s="30" t="s">
        <v>2409</v>
      </c>
      <c r="D946" s="110" t="s">
        <v>2410</v>
      </c>
      <c r="E946" s="33" t="s">
        <v>46</v>
      </c>
      <c r="F946" s="38"/>
      <c r="G946" s="38"/>
      <c r="H946" s="31"/>
      <c r="I946" s="32"/>
      <c r="J946" s="32"/>
      <c r="K946" s="45" t="s">
        <v>888</v>
      </c>
      <c r="L946" s="129"/>
      <c r="M946" s="33" t="str">
        <f t="shared" si="14"/>
        <v/>
      </c>
      <c r="N946" s="34" t="str">
        <f>IFERROR(IF(Tabela1[[#This Row],[Nome fantasia]]="","",_xlfn.XLOOKUP($C946,Log!D:D,Log!B:B,,,-1)),"")</f>
        <v/>
      </c>
      <c r="O946" s="35" t="str">
        <f>IFERROR(_xlfn.XLOOKUP($C946,Log!D:D,Log!W:W,,,-1),"")</f>
        <v/>
      </c>
      <c r="P946" s="35" t="str">
        <f>IFERROR(_xlfn.XLOOKUP($C946,Log!D:D,Log!Y:Y,,,-1),"")</f>
        <v/>
      </c>
      <c r="Q946" s="130"/>
      <c r="R946" s="131" t="str">
        <f>IFERROR(IF(Tabela1[[#This Row],[Nome fantasia]]="","",_xlfn.XLOOKUP($C946,Log!D:D,Log!X:X,,,-1)),"")</f>
        <v/>
      </c>
    </row>
    <row r="947" spans="3:18" hidden="1" x14ac:dyDescent="0.2">
      <c r="C947" s="30" t="s">
        <v>1909</v>
      </c>
      <c r="D947" s="110" t="s">
        <v>2411</v>
      </c>
      <c r="E947" s="33" t="s">
        <v>46</v>
      </c>
      <c r="F947" s="38"/>
      <c r="G947" s="38"/>
      <c r="H947" s="31"/>
      <c r="I947" s="32"/>
      <c r="J947" s="32"/>
      <c r="K947" s="45" t="s">
        <v>888</v>
      </c>
      <c r="L947" s="129"/>
      <c r="M947" s="33" t="str">
        <f t="shared" si="14"/>
        <v/>
      </c>
      <c r="N947" s="34" t="str">
        <f>IFERROR(IF(Tabela1[[#This Row],[Nome fantasia]]="","",_xlfn.XLOOKUP($C947,Log!D:D,Log!B:B,,,-1)),"")</f>
        <v/>
      </c>
      <c r="O947" s="35" t="str">
        <f>IFERROR(_xlfn.XLOOKUP($C947,Log!D:D,Log!W:W,,,-1),"")</f>
        <v/>
      </c>
      <c r="P947" s="35" t="str">
        <f>IFERROR(_xlfn.XLOOKUP($C947,Log!D:D,Log!Y:Y,,,-1),"")</f>
        <v/>
      </c>
      <c r="Q947" s="130"/>
      <c r="R947" s="131" t="str">
        <f>IFERROR(IF(Tabela1[[#This Row],[Nome fantasia]]="","",_xlfn.XLOOKUP($C947,Log!D:D,Log!X:X,,,-1)),"")</f>
        <v/>
      </c>
    </row>
    <row r="948" spans="3:18" hidden="1" x14ac:dyDescent="0.2">
      <c r="C948" s="30" t="s">
        <v>2412</v>
      </c>
      <c r="D948" s="110" t="s">
        <v>2413</v>
      </c>
      <c r="E948" s="33" t="s">
        <v>22</v>
      </c>
      <c r="F948" s="38"/>
      <c r="G948" s="38"/>
      <c r="H948" s="31"/>
      <c r="I948" s="32"/>
      <c r="J948" s="32"/>
      <c r="K948" s="45" t="s">
        <v>888</v>
      </c>
      <c r="L948" s="129"/>
      <c r="M948" s="33" t="str">
        <f t="shared" si="14"/>
        <v/>
      </c>
      <c r="N948" s="34" t="str">
        <f>IFERROR(IF(Tabela1[[#This Row],[Nome fantasia]]="","",_xlfn.XLOOKUP($C948,Log!D:D,Log!B:B,,,-1)),"")</f>
        <v/>
      </c>
      <c r="O948" s="35" t="str">
        <f>IFERROR(_xlfn.XLOOKUP($C948,Log!D:D,Log!W:W,,,-1),"")</f>
        <v/>
      </c>
      <c r="P948" s="35" t="str">
        <f>IFERROR(_xlfn.XLOOKUP($C948,Log!D:D,Log!Y:Y,,,-1),"")</f>
        <v/>
      </c>
      <c r="Q948" s="130"/>
      <c r="R948" s="131" t="str">
        <f>IFERROR(IF(Tabela1[[#This Row],[Nome fantasia]]="","",_xlfn.XLOOKUP($C948,Log!D:D,Log!X:X,,,-1)),"")</f>
        <v/>
      </c>
    </row>
    <row r="949" spans="3:18" hidden="1" x14ac:dyDescent="0.2">
      <c r="C949" s="30"/>
      <c r="D949" s="110" t="s">
        <v>2414</v>
      </c>
      <c r="E949" s="33" t="s">
        <v>17</v>
      </c>
      <c r="F949" s="38"/>
      <c r="G949" s="38"/>
      <c r="H949" s="31"/>
      <c r="I949" s="32"/>
      <c r="J949" s="32"/>
      <c r="K949" s="45" t="s">
        <v>888</v>
      </c>
      <c r="L949" s="129"/>
      <c r="M949" s="33" t="str">
        <f t="shared" si="14"/>
        <v/>
      </c>
      <c r="N949" s="34" t="str">
        <f>IFERROR(IF(Tabela1[[#This Row],[Nome fantasia]]="","",_xlfn.XLOOKUP($C949,Log!D:D,Log!B:B,,,-1)),"")</f>
        <v/>
      </c>
      <c r="O949" s="35" t="str">
        <f>IFERROR(_xlfn.XLOOKUP($C949,Log!D:D,Log!W:W,,,-1),"")</f>
        <v/>
      </c>
      <c r="P949" s="35" t="str">
        <f>IFERROR(_xlfn.XLOOKUP($C949,Log!D:D,Log!Y:Y,,,-1),"")</f>
        <v/>
      </c>
      <c r="Q949" s="130"/>
      <c r="R949" s="131" t="str">
        <f>IFERROR(IF(Tabela1[[#This Row],[Nome fantasia]]="","",_xlfn.XLOOKUP($C949,Log!D:D,Log!X:X,,,-1)),"")</f>
        <v/>
      </c>
    </row>
    <row r="950" spans="3:18" hidden="1" x14ac:dyDescent="0.2">
      <c r="C950" s="30" t="s">
        <v>2415</v>
      </c>
      <c r="D950" s="110" t="s">
        <v>2416</v>
      </c>
      <c r="E950" s="33" t="s">
        <v>46</v>
      </c>
      <c r="F950" s="38"/>
      <c r="G950" s="38"/>
      <c r="H950" s="31"/>
      <c r="I950" s="32"/>
      <c r="J950" s="32"/>
      <c r="K950" s="45" t="s">
        <v>888</v>
      </c>
      <c r="L950" s="129"/>
      <c r="M950" s="33" t="str">
        <f t="shared" si="14"/>
        <v/>
      </c>
      <c r="N950" s="34" t="str">
        <f>IFERROR(IF(Tabela1[[#This Row],[Nome fantasia]]="","",_xlfn.XLOOKUP($C950,Log!D:D,Log!B:B,,,-1)),"")</f>
        <v/>
      </c>
      <c r="O950" s="35" t="str">
        <f>IFERROR(_xlfn.XLOOKUP($C950,Log!D:D,Log!W:W,,,-1),"")</f>
        <v/>
      </c>
      <c r="P950" s="35" t="str">
        <f>IFERROR(_xlfn.XLOOKUP($C950,Log!D:D,Log!Y:Y,,,-1),"")</f>
        <v/>
      </c>
      <c r="Q950" s="130"/>
      <c r="R950" s="131" t="str">
        <f>IFERROR(IF(Tabela1[[#This Row],[Nome fantasia]]="","",_xlfn.XLOOKUP($C950,Log!D:D,Log!X:X,,,-1)),"")</f>
        <v/>
      </c>
    </row>
    <row r="951" spans="3:18" hidden="1" x14ac:dyDescent="0.2">
      <c r="C951" s="30" t="s">
        <v>2417</v>
      </c>
      <c r="D951" s="110" t="s">
        <v>2418</v>
      </c>
      <c r="E951" s="33" t="s">
        <v>46</v>
      </c>
      <c r="F951" s="38"/>
      <c r="G951" s="38"/>
      <c r="H951" s="31"/>
      <c r="I951" s="32"/>
      <c r="J951" s="32"/>
      <c r="K951" s="45" t="s">
        <v>888</v>
      </c>
      <c r="L951" s="129"/>
      <c r="M951" s="33" t="str">
        <f t="shared" si="14"/>
        <v/>
      </c>
      <c r="N951" s="34" t="str">
        <f>IFERROR(IF(Tabela1[[#This Row],[Nome fantasia]]="","",_xlfn.XLOOKUP($C951,Log!D:D,Log!B:B,,,-1)),"")</f>
        <v/>
      </c>
      <c r="O951" s="35" t="str">
        <f>IFERROR(_xlfn.XLOOKUP($C951,Log!D:D,Log!W:W,,,-1),"")</f>
        <v/>
      </c>
      <c r="P951" s="35" t="str">
        <f>IFERROR(_xlfn.XLOOKUP($C951,Log!D:D,Log!Y:Y,,,-1),"")</f>
        <v/>
      </c>
      <c r="Q951" s="130"/>
      <c r="R951" s="131" t="str">
        <f>IFERROR(IF(Tabela1[[#This Row],[Nome fantasia]]="","",_xlfn.XLOOKUP($C951,Log!D:D,Log!X:X,,,-1)),"")</f>
        <v/>
      </c>
    </row>
    <row r="952" spans="3:18" hidden="1" x14ac:dyDescent="0.2">
      <c r="C952" s="30" t="s">
        <v>2419</v>
      </c>
      <c r="D952" s="110" t="s">
        <v>2420</v>
      </c>
      <c r="E952" s="33" t="s">
        <v>46</v>
      </c>
      <c r="F952" s="38"/>
      <c r="G952" s="38"/>
      <c r="H952" s="31"/>
      <c r="I952" s="32"/>
      <c r="J952" s="32"/>
      <c r="K952" s="45" t="s">
        <v>888</v>
      </c>
      <c r="L952" s="129"/>
      <c r="M952" s="33" t="str">
        <f t="shared" si="14"/>
        <v/>
      </c>
      <c r="N952" s="34" t="str">
        <f>IFERROR(IF(Tabela1[[#This Row],[Nome fantasia]]="","",_xlfn.XLOOKUP($C952,Log!D:D,Log!B:B,,,-1)),"")</f>
        <v/>
      </c>
      <c r="O952" s="35" t="str">
        <f>IFERROR(_xlfn.XLOOKUP($C952,Log!D:D,Log!W:W,,,-1),"")</f>
        <v/>
      </c>
      <c r="P952" s="35" t="str">
        <f>IFERROR(_xlfn.XLOOKUP($C952,Log!D:D,Log!Y:Y,,,-1),"")</f>
        <v/>
      </c>
      <c r="Q952" s="130"/>
      <c r="R952" s="131" t="str">
        <f>IFERROR(IF(Tabela1[[#This Row],[Nome fantasia]]="","",_xlfn.XLOOKUP($C952,Log!D:D,Log!X:X,,,-1)),"")</f>
        <v/>
      </c>
    </row>
    <row r="953" spans="3:18" hidden="1" x14ac:dyDescent="0.2">
      <c r="C953" s="30" t="s">
        <v>2421</v>
      </c>
      <c r="D953" s="110" t="s">
        <v>2422</v>
      </c>
      <c r="E953" s="33" t="s">
        <v>46</v>
      </c>
      <c r="F953" s="38"/>
      <c r="G953" s="38"/>
      <c r="H953" s="31"/>
      <c r="I953" s="32"/>
      <c r="J953" s="32"/>
      <c r="K953" s="45" t="s">
        <v>888</v>
      </c>
      <c r="L953" s="129"/>
      <c r="M953" s="33" t="str">
        <f t="shared" si="14"/>
        <v/>
      </c>
      <c r="N953" s="34" t="str">
        <f>IFERROR(IF(Tabela1[[#This Row],[Nome fantasia]]="","",_xlfn.XLOOKUP($C953,Log!D:D,Log!B:B,,,-1)),"")</f>
        <v/>
      </c>
      <c r="O953" s="35" t="str">
        <f>IFERROR(_xlfn.XLOOKUP($C953,Log!D:D,Log!W:W,,,-1),"")</f>
        <v/>
      </c>
      <c r="P953" s="35" t="str">
        <f>IFERROR(_xlfn.XLOOKUP($C953,Log!D:D,Log!Y:Y,,,-1),"")</f>
        <v/>
      </c>
      <c r="Q953" s="130"/>
      <c r="R953" s="131" t="str">
        <f>IFERROR(IF(Tabela1[[#This Row],[Nome fantasia]]="","",_xlfn.XLOOKUP($C953,Log!D:D,Log!X:X,,,-1)),"")</f>
        <v/>
      </c>
    </row>
    <row r="954" spans="3:18" hidden="1" x14ac:dyDescent="0.2">
      <c r="C954" s="30" t="s">
        <v>2423</v>
      </c>
      <c r="D954" s="110" t="s">
        <v>2424</v>
      </c>
      <c r="E954" s="33" t="s">
        <v>22</v>
      </c>
      <c r="F954" s="38"/>
      <c r="G954" s="38"/>
      <c r="H954" s="31"/>
      <c r="I954" s="32"/>
      <c r="J954" s="32"/>
      <c r="K954" s="45" t="s">
        <v>888</v>
      </c>
      <c r="L954" s="129"/>
      <c r="M954" s="33" t="str">
        <f t="shared" si="14"/>
        <v/>
      </c>
      <c r="N954" s="34" t="str">
        <f>IFERROR(IF(Tabela1[[#This Row],[Nome fantasia]]="","",_xlfn.XLOOKUP($C954,Log!D:D,Log!B:B,,,-1)),"")</f>
        <v/>
      </c>
      <c r="O954" s="35" t="str">
        <f>IFERROR(_xlfn.XLOOKUP($C954,Log!D:D,Log!W:W,,,-1),"")</f>
        <v/>
      </c>
      <c r="P954" s="35" t="str">
        <f>IFERROR(_xlfn.XLOOKUP($C954,Log!D:D,Log!Y:Y,,,-1),"")</f>
        <v/>
      </c>
      <c r="Q954" s="130"/>
      <c r="R954" s="131" t="str">
        <f>IFERROR(IF(Tabela1[[#This Row],[Nome fantasia]]="","",_xlfn.XLOOKUP($C954,Log!D:D,Log!X:X,,,-1)),"")</f>
        <v/>
      </c>
    </row>
    <row r="955" spans="3:18" hidden="1" x14ac:dyDescent="0.2">
      <c r="C955" s="30" t="s">
        <v>2425</v>
      </c>
      <c r="D955" s="110" t="s">
        <v>2426</v>
      </c>
      <c r="E955" s="33" t="s">
        <v>17</v>
      </c>
      <c r="F955" s="38"/>
      <c r="G955" s="38"/>
      <c r="H955" s="31"/>
      <c r="I955" s="32"/>
      <c r="J955" s="32"/>
      <c r="K955" s="45" t="s">
        <v>888</v>
      </c>
      <c r="L955" s="129"/>
      <c r="M955" s="33" t="str">
        <f t="shared" si="14"/>
        <v/>
      </c>
      <c r="N955" s="34" t="str">
        <f>IFERROR(IF(Tabela1[[#This Row],[Nome fantasia]]="","",_xlfn.XLOOKUP($C955,Log!D:D,Log!B:B,,,-1)),"")</f>
        <v/>
      </c>
      <c r="O955" s="35" t="str">
        <f>IFERROR(_xlfn.XLOOKUP($C955,Log!D:D,Log!W:W,,,-1),"")</f>
        <v/>
      </c>
      <c r="P955" s="35" t="str">
        <f>IFERROR(_xlfn.XLOOKUP($C955,Log!D:D,Log!Y:Y,,,-1),"")</f>
        <v/>
      </c>
      <c r="Q955" s="130"/>
      <c r="R955" s="131" t="str">
        <f>IFERROR(IF(Tabela1[[#This Row],[Nome fantasia]]="","",_xlfn.XLOOKUP($C955,Log!D:D,Log!X:X,,,-1)),"")</f>
        <v/>
      </c>
    </row>
    <row r="956" spans="3:18" hidden="1" x14ac:dyDescent="0.2">
      <c r="C956" s="30" t="s">
        <v>2427</v>
      </c>
      <c r="D956" s="110" t="s">
        <v>2428</v>
      </c>
      <c r="E956" s="33" t="s">
        <v>46</v>
      </c>
      <c r="F956" s="38"/>
      <c r="G956" s="38"/>
      <c r="H956" s="31"/>
      <c r="I956" s="32"/>
      <c r="J956" s="32"/>
      <c r="K956" s="45" t="s">
        <v>888</v>
      </c>
      <c r="L956" s="129"/>
      <c r="M956" s="33" t="str">
        <f t="shared" si="14"/>
        <v/>
      </c>
      <c r="N956" s="34" t="str">
        <f>IFERROR(IF(Tabela1[[#This Row],[Nome fantasia]]="","",_xlfn.XLOOKUP($C956,Log!D:D,Log!B:B,,,-1)),"")</f>
        <v/>
      </c>
      <c r="O956" s="35" t="str">
        <f>IFERROR(_xlfn.XLOOKUP($C956,Log!D:D,Log!W:W,,,-1),"")</f>
        <v/>
      </c>
      <c r="P956" s="35" t="str">
        <f>IFERROR(_xlfn.XLOOKUP($C956,Log!D:D,Log!Y:Y,,,-1),"")</f>
        <v/>
      </c>
      <c r="Q956" s="130"/>
      <c r="R956" s="131" t="str">
        <f>IFERROR(IF(Tabela1[[#This Row],[Nome fantasia]]="","",_xlfn.XLOOKUP($C956,Log!D:D,Log!X:X,,,-1)),"")</f>
        <v/>
      </c>
    </row>
    <row r="957" spans="3:18" hidden="1" x14ac:dyDescent="0.2">
      <c r="C957" s="30" t="s">
        <v>2429</v>
      </c>
      <c r="D957" s="110" t="s">
        <v>2430</v>
      </c>
      <c r="E957" s="33" t="s">
        <v>46</v>
      </c>
      <c r="F957" s="38"/>
      <c r="G957" s="38"/>
      <c r="H957" s="31"/>
      <c r="I957" s="32"/>
      <c r="J957" s="32"/>
      <c r="K957" s="45" t="s">
        <v>888</v>
      </c>
      <c r="L957" s="129"/>
      <c r="M957" s="33" t="str">
        <f t="shared" si="14"/>
        <v/>
      </c>
      <c r="N957" s="34" t="str">
        <f>IFERROR(IF(Tabela1[[#This Row],[Nome fantasia]]="","",_xlfn.XLOOKUP($C957,Log!D:D,Log!B:B,,,-1)),"")</f>
        <v/>
      </c>
      <c r="O957" s="35" t="str">
        <f>IFERROR(_xlfn.XLOOKUP($C957,Log!D:D,Log!W:W,,,-1),"")</f>
        <v/>
      </c>
      <c r="P957" s="35" t="str">
        <f>IFERROR(_xlfn.XLOOKUP($C957,Log!D:D,Log!Y:Y,,,-1),"")</f>
        <v/>
      </c>
      <c r="Q957" s="130"/>
      <c r="R957" s="131" t="str">
        <f>IFERROR(IF(Tabela1[[#This Row],[Nome fantasia]]="","",_xlfn.XLOOKUP($C957,Log!D:D,Log!X:X,,,-1)),"")</f>
        <v/>
      </c>
    </row>
    <row r="958" spans="3:18" hidden="1" x14ac:dyDescent="0.2">
      <c r="C958" s="30" t="s">
        <v>2431</v>
      </c>
      <c r="D958" s="110" t="s">
        <v>2432</v>
      </c>
      <c r="E958" s="33" t="s">
        <v>22</v>
      </c>
      <c r="F958" s="38"/>
      <c r="G958" s="38"/>
      <c r="H958" s="31"/>
      <c r="I958" s="32"/>
      <c r="J958" s="32"/>
      <c r="K958" s="45" t="s">
        <v>888</v>
      </c>
      <c r="L958" s="129"/>
      <c r="M958" s="33" t="str">
        <f t="shared" si="14"/>
        <v/>
      </c>
      <c r="N958" s="34" t="str">
        <f>IFERROR(IF(Tabela1[[#This Row],[Nome fantasia]]="","",_xlfn.XLOOKUP($C958,Log!D:D,Log!B:B,,,-1)),"")</f>
        <v/>
      </c>
      <c r="O958" s="35" t="str">
        <f>IFERROR(_xlfn.XLOOKUP($C958,Log!D:D,Log!W:W,,,-1),"")</f>
        <v/>
      </c>
      <c r="P958" s="35" t="str">
        <f>IFERROR(_xlfn.XLOOKUP($C958,Log!D:D,Log!Y:Y,,,-1),"")</f>
        <v/>
      </c>
      <c r="Q958" s="130"/>
      <c r="R958" s="131" t="str">
        <f>IFERROR(IF(Tabela1[[#This Row],[Nome fantasia]]="","",_xlfn.XLOOKUP($C958,Log!D:D,Log!X:X,,,-1)),"")</f>
        <v/>
      </c>
    </row>
    <row r="959" spans="3:18" hidden="1" x14ac:dyDescent="0.2">
      <c r="C959" s="30" t="s">
        <v>2433</v>
      </c>
      <c r="D959" s="110" t="s">
        <v>2434</v>
      </c>
      <c r="E959" s="33" t="s">
        <v>22</v>
      </c>
      <c r="F959" s="38"/>
      <c r="G959" s="38"/>
      <c r="H959" s="31"/>
      <c r="I959" s="32"/>
      <c r="J959" s="32"/>
      <c r="K959" s="45" t="s">
        <v>888</v>
      </c>
      <c r="L959" s="129"/>
      <c r="M959" s="33" t="str">
        <f t="shared" si="14"/>
        <v/>
      </c>
      <c r="N959" s="34" t="str">
        <f>IFERROR(IF(Tabela1[[#This Row],[Nome fantasia]]="","",_xlfn.XLOOKUP($C959,Log!D:D,Log!B:B,,,-1)),"")</f>
        <v/>
      </c>
      <c r="O959" s="35" t="str">
        <f>IFERROR(_xlfn.XLOOKUP($C959,Log!D:D,Log!W:W,,,-1),"")</f>
        <v/>
      </c>
      <c r="P959" s="35" t="str">
        <f>IFERROR(_xlfn.XLOOKUP($C959,Log!D:D,Log!Y:Y,,,-1),"")</f>
        <v/>
      </c>
      <c r="Q959" s="130"/>
      <c r="R959" s="131" t="str">
        <f>IFERROR(IF(Tabela1[[#This Row],[Nome fantasia]]="","",_xlfn.XLOOKUP($C959,Log!D:D,Log!X:X,,,-1)),"")</f>
        <v/>
      </c>
    </row>
    <row r="960" spans="3:18" hidden="1" x14ac:dyDescent="0.2">
      <c r="C960" s="30" t="s">
        <v>2436</v>
      </c>
      <c r="D960" s="110" t="s">
        <v>2437</v>
      </c>
      <c r="E960" s="33" t="s">
        <v>46</v>
      </c>
      <c r="F960" s="38"/>
      <c r="G960" s="38"/>
      <c r="H960" s="31"/>
      <c r="I960" s="32"/>
      <c r="J960" s="32"/>
      <c r="K960" s="45" t="s">
        <v>888</v>
      </c>
      <c r="L960" s="129"/>
      <c r="M960" s="33" t="str">
        <f t="shared" si="14"/>
        <v/>
      </c>
      <c r="N960" s="34" t="str">
        <f>IFERROR(IF(Tabela1[[#This Row],[Nome fantasia]]="","",_xlfn.XLOOKUP($C960,Log!D:D,Log!B:B,,,-1)),"")</f>
        <v/>
      </c>
      <c r="O960" s="35" t="str">
        <f>IFERROR(_xlfn.XLOOKUP($C960,Log!D:D,Log!W:W,,,-1),"")</f>
        <v/>
      </c>
      <c r="P960" s="35" t="str">
        <f>IFERROR(_xlfn.XLOOKUP($C960,Log!D:D,Log!Y:Y,,,-1),"")</f>
        <v/>
      </c>
      <c r="Q960" s="130"/>
      <c r="R960" s="131" t="str">
        <f>IFERROR(IF(Tabela1[[#This Row],[Nome fantasia]]="","",_xlfn.XLOOKUP($C960,Log!D:D,Log!X:X,,,-1)),"")</f>
        <v/>
      </c>
    </row>
    <row r="961" spans="3:18" hidden="1" x14ac:dyDescent="0.2">
      <c r="C961" s="30" t="s">
        <v>2438</v>
      </c>
      <c r="D961" s="110" t="s">
        <v>2439</v>
      </c>
      <c r="E961" s="33" t="s">
        <v>46</v>
      </c>
      <c r="F961" s="38"/>
      <c r="G961" s="38"/>
      <c r="H961" s="31"/>
      <c r="I961" s="32"/>
      <c r="J961" s="32"/>
      <c r="K961" s="45" t="s">
        <v>888</v>
      </c>
      <c r="L961" s="129"/>
      <c r="M961" s="33" t="str">
        <f t="shared" si="14"/>
        <v/>
      </c>
      <c r="N961" s="34" t="str">
        <f>IFERROR(IF(Tabela1[[#This Row],[Nome fantasia]]="","",_xlfn.XLOOKUP($C961,Log!D:D,Log!B:B,,,-1)),"")</f>
        <v/>
      </c>
      <c r="O961" s="35" t="str">
        <f>IFERROR(_xlfn.XLOOKUP($C961,Log!D:D,Log!W:W,,,-1),"")</f>
        <v/>
      </c>
      <c r="P961" s="35" t="str">
        <f>IFERROR(_xlfn.XLOOKUP($C961,Log!D:D,Log!Y:Y,,,-1),"")</f>
        <v/>
      </c>
      <c r="Q961" s="130"/>
      <c r="R961" s="131" t="str">
        <f>IFERROR(IF(Tabela1[[#This Row],[Nome fantasia]]="","",_xlfn.XLOOKUP($C961,Log!D:D,Log!X:X,,,-1)),"")</f>
        <v/>
      </c>
    </row>
    <row r="962" spans="3:18" hidden="1" x14ac:dyDescent="0.2">
      <c r="C962" s="30" t="s">
        <v>2440</v>
      </c>
      <c r="D962" s="110" t="s">
        <v>2441</v>
      </c>
      <c r="E962" s="33" t="s">
        <v>46</v>
      </c>
      <c r="F962" s="38"/>
      <c r="G962" s="38"/>
      <c r="H962" s="31"/>
      <c r="I962" s="32"/>
      <c r="J962" s="32"/>
      <c r="K962" s="45" t="s">
        <v>888</v>
      </c>
      <c r="L962" s="129"/>
      <c r="M962" s="33" t="str">
        <f t="shared" si="14"/>
        <v/>
      </c>
      <c r="N962" s="34" t="str">
        <f>IFERROR(IF(Tabela1[[#This Row],[Nome fantasia]]="","",_xlfn.XLOOKUP($C962,Log!D:D,Log!B:B,,,-1)),"")</f>
        <v/>
      </c>
      <c r="O962" s="35" t="str">
        <f>IFERROR(_xlfn.XLOOKUP($C962,Log!D:D,Log!W:W,,,-1),"")</f>
        <v/>
      </c>
      <c r="P962" s="35" t="str">
        <f>IFERROR(_xlfn.XLOOKUP($C962,Log!D:D,Log!Y:Y,,,-1),"")</f>
        <v/>
      </c>
      <c r="Q962" s="130"/>
      <c r="R962" s="131" t="str">
        <f>IFERROR(IF(Tabela1[[#This Row],[Nome fantasia]]="","",_xlfn.XLOOKUP($C962,Log!D:D,Log!X:X,,,-1)),"")</f>
        <v/>
      </c>
    </row>
    <row r="963" spans="3:18" hidden="1" x14ac:dyDescent="0.2">
      <c r="C963" s="30" t="s">
        <v>2442</v>
      </c>
      <c r="D963" s="110" t="s">
        <v>2443</v>
      </c>
      <c r="E963" s="33" t="s">
        <v>46</v>
      </c>
      <c r="F963" s="38"/>
      <c r="G963" s="38"/>
      <c r="H963" s="31"/>
      <c r="I963" s="32"/>
      <c r="J963" s="32"/>
      <c r="K963" s="45" t="s">
        <v>888</v>
      </c>
      <c r="L963" s="129"/>
      <c r="M963" s="33" t="str">
        <f t="shared" ref="M963:M1026" si="15">IF(OR(J963&lt;=0,J963=""),"","Recompra")</f>
        <v/>
      </c>
      <c r="N963" s="34" t="str">
        <f>IFERROR(IF(Tabela1[[#This Row],[Nome fantasia]]="","",_xlfn.XLOOKUP($C963,Log!D:D,Log!B:B,,,-1)),"")</f>
        <v/>
      </c>
      <c r="O963" s="35" t="str">
        <f>IFERROR(_xlfn.XLOOKUP($C963,Log!D:D,Log!W:W,,,-1),"")</f>
        <v/>
      </c>
      <c r="P963" s="35" t="str">
        <f>IFERROR(_xlfn.XLOOKUP($C963,Log!D:D,Log!Y:Y,,,-1),"")</f>
        <v/>
      </c>
      <c r="Q963" s="130"/>
      <c r="R963" s="131" t="str">
        <f>IFERROR(IF(Tabela1[[#This Row],[Nome fantasia]]="","",_xlfn.XLOOKUP($C963,Log!D:D,Log!X:X,,,-1)),"")</f>
        <v/>
      </c>
    </row>
    <row r="964" spans="3:18" hidden="1" x14ac:dyDescent="0.2">
      <c r="C964" s="30" t="s">
        <v>2444</v>
      </c>
      <c r="D964" s="110" t="s">
        <v>2445</v>
      </c>
      <c r="E964" s="33" t="s">
        <v>46</v>
      </c>
      <c r="F964" s="38"/>
      <c r="G964" s="38"/>
      <c r="H964" s="31"/>
      <c r="I964" s="32"/>
      <c r="J964" s="32"/>
      <c r="K964" s="45" t="s">
        <v>888</v>
      </c>
      <c r="L964" s="129"/>
      <c r="M964" s="33" t="str">
        <f t="shared" si="15"/>
        <v/>
      </c>
      <c r="N964" s="34" t="str">
        <f>IFERROR(IF(Tabela1[[#This Row],[Nome fantasia]]="","",_xlfn.XLOOKUP($C964,Log!D:D,Log!B:B,,,-1)),"")</f>
        <v/>
      </c>
      <c r="O964" s="35" t="str">
        <f>IFERROR(_xlfn.XLOOKUP($C964,Log!D:D,Log!W:W,,,-1),"")</f>
        <v/>
      </c>
      <c r="P964" s="35" t="str">
        <f>IFERROR(_xlfn.XLOOKUP($C964,Log!D:D,Log!Y:Y,,,-1),"")</f>
        <v/>
      </c>
      <c r="Q964" s="130"/>
      <c r="R964" s="131" t="str">
        <f>IFERROR(IF(Tabela1[[#This Row],[Nome fantasia]]="","",_xlfn.XLOOKUP($C964,Log!D:D,Log!X:X,,,-1)),"")</f>
        <v/>
      </c>
    </row>
    <row r="965" spans="3:18" hidden="1" x14ac:dyDescent="0.2">
      <c r="C965" s="30" t="s">
        <v>2446</v>
      </c>
      <c r="D965" s="110" t="s">
        <v>2447</v>
      </c>
      <c r="E965" s="33" t="s">
        <v>46</v>
      </c>
      <c r="F965" s="38"/>
      <c r="G965" s="38"/>
      <c r="H965" s="31"/>
      <c r="I965" s="32"/>
      <c r="J965" s="32"/>
      <c r="K965" s="45" t="s">
        <v>888</v>
      </c>
      <c r="L965" s="129"/>
      <c r="M965" s="33" t="str">
        <f t="shared" si="15"/>
        <v/>
      </c>
      <c r="N965" s="34" t="str">
        <f>IFERROR(IF(Tabela1[[#This Row],[Nome fantasia]]="","",_xlfn.XLOOKUP($C965,Log!D:D,Log!B:B,,,-1)),"")</f>
        <v/>
      </c>
      <c r="O965" s="35" t="str">
        <f>IFERROR(_xlfn.XLOOKUP($C965,Log!D:D,Log!W:W,,,-1),"")</f>
        <v/>
      </c>
      <c r="P965" s="35" t="str">
        <f>IFERROR(_xlfn.XLOOKUP($C965,Log!D:D,Log!Y:Y,,,-1),"")</f>
        <v/>
      </c>
      <c r="Q965" s="130"/>
      <c r="R965" s="131" t="str">
        <f>IFERROR(IF(Tabela1[[#This Row],[Nome fantasia]]="","",_xlfn.XLOOKUP($C965,Log!D:D,Log!X:X,,,-1)),"")</f>
        <v/>
      </c>
    </row>
    <row r="966" spans="3:18" hidden="1" x14ac:dyDescent="0.2">
      <c r="C966" s="30" t="s">
        <v>2448</v>
      </c>
      <c r="D966" s="110" t="s">
        <v>2449</v>
      </c>
      <c r="E966" s="33" t="s">
        <v>22</v>
      </c>
      <c r="F966" s="38"/>
      <c r="G966" s="38"/>
      <c r="H966" s="31"/>
      <c r="I966" s="32"/>
      <c r="J966" s="32"/>
      <c r="K966" s="45" t="s">
        <v>888</v>
      </c>
      <c r="L966" s="129"/>
      <c r="M966" s="33" t="str">
        <f t="shared" si="15"/>
        <v/>
      </c>
      <c r="N966" s="34" t="str">
        <f>IFERROR(IF(Tabela1[[#This Row],[Nome fantasia]]="","",_xlfn.XLOOKUP($C966,Log!D:D,Log!B:B,,,-1)),"")</f>
        <v/>
      </c>
      <c r="O966" s="35" t="str">
        <f>IFERROR(_xlfn.XLOOKUP($C966,Log!D:D,Log!W:W,,,-1),"")</f>
        <v/>
      </c>
      <c r="P966" s="35" t="str">
        <f>IFERROR(_xlfn.XLOOKUP($C966,Log!D:D,Log!Y:Y,,,-1),"")</f>
        <v/>
      </c>
      <c r="Q966" s="130"/>
      <c r="R966" s="131" t="str">
        <f>IFERROR(IF(Tabela1[[#This Row],[Nome fantasia]]="","",_xlfn.XLOOKUP($C966,Log!D:D,Log!X:X,,,-1)),"")</f>
        <v/>
      </c>
    </row>
    <row r="967" spans="3:18" hidden="1" x14ac:dyDescent="0.2">
      <c r="C967" s="30" t="s">
        <v>2450</v>
      </c>
      <c r="D967" s="110" t="s">
        <v>2451</v>
      </c>
      <c r="E967" s="33" t="s">
        <v>46</v>
      </c>
      <c r="F967" s="38"/>
      <c r="G967" s="38"/>
      <c r="H967" s="31"/>
      <c r="I967" s="32"/>
      <c r="J967" s="32"/>
      <c r="K967" s="45" t="s">
        <v>888</v>
      </c>
      <c r="L967" s="129"/>
      <c r="M967" s="33" t="str">
        <f t="shared" si="15"/>
        <v/>
      </c>
      <c r="N967" s="34" t="str">
        <f>IFERROR(IF(Tabela1[[#This Row],[Nome fantasia]]="","",_xlfn.XLOOKUP($C967,Log!D:D,Log!B:B,,,-1)),"")</f>
        <v/>
      </c>
      <c r="O967" s="35" t="str">
        <f>IFERROR(_xlfn.XLOOKUP($C967,Log!D:D,Log!W:W,,,-1),"")</f>
        <v/>
      </c>
      <c r="P967" s="35" t="str">
        <f>IFERROR(_xlfn.XLOOKUP($C967,Log!D:D,Log!Y:Y,,,-1),"")</f>
        <v/>
      </c>
      <c r="Q967" s="130"/>
      <c r="R967" s="131" t="str">
        <f>IFERROR(IF(Tabela1[[#This Row],[Nome fantasia]]="","",_xlfn.XLOOKUP($C967,Log!D:D,Log!X:X,,,-1)),"")</f>
        <v/>
      </c>
    </row>
    <row r="968" spans="3:18" hidden="1" x14ac:dyDescent="0.2">
      <c r="C968" s="30" t="s">
        <v>2452</v>
      </c>
      <c r="D968" s="110" t="s">
        <v>2453</v>
      </c>
      <c r="E968" s="33" t="s">
        <v>22</v>
      </c>
      <c r="F968" s="38"/>
      <c r="G968" s="38"/>
      <c r="H968" s="31"/>
      <c r="I968" s="32"/>
      <c r="J968" s="32"/>
      <c r="K968" s="45" t="s">
        <v>888</v>
      </c>
      <c r="L968" s="129"/>
      <c r="M968" s="33" t="str">
        <f t="shared" si="15"/>
        <v/>
      </c>
      <c r="N968" s="34" t="str">
        <f>IFERROR(IF(Tabela1[[#This Row],[Nome fantasia]]="","",_xlfn.XLOOKUP($C968,Log!D:D,Log!B:B,,,-1)),"")</f>
        <v/>
      </c>
      <c r="O968" s="35" t="str">
        <f>IFERROR(_xlfn.XLOOKUP($C968,Log!D:D,Log!W:W,,,-1),"")</f>
        <v/>
      </c>
      <c r="P968" s="35" t="str">
        <f>IFERROR(_xlfn.XLOOKUP($C968,Log!D:D,Log!Y:Y,,,-1),"")</f>
        <v/>
      </c>
      <c r="Q968" s="130"/>
      <c r="R968" s="131" t="str">
        <f>IFERROR(IF(Tabela1[[#This Row],[Nome fantasia]]="","",_xlfn.XLOOKUP($C968,Log!D:D,Log!X:X,,,-1)),"")</f>
        <v/>
      </c>
    </row>
    <row r="969" spans="3:18" hidden="1" x14ac:dyDescent="0.2">
      <c r="C969" s="30" t="s">
        <v>2454</v>
      </c>
      <c r="D969" s="110" t="s">
        <v>2455</v>
      </c>
      <c r="E969" s="33" t="s">
        <v>17</v>
      </c>
      <c r="F969" s="38"/>
      <c r="G969" s="38"/>
      <c r="H969" s="31"/>
      <c r="I969" s="32"/>
      <c r="J969" s="32"/>
      <c r="K969" s="45" t="s">
        <v>888</v>
      </c>
      <c r="L969" s="129"/>
      <c r="M969" s="33" t="str">
        <f t="shared" si="15"/>
        <v/>
      </c>
      <c r="N969" s="34" t="str">
        <f>IFERROR(IF(Tabela1[[#This Row],[Nome fantasia]]="","",_xlfn.XLOOKUP($C969,Log!D:D,Log!B:B,,,-1)),"")</f>
        <v/>
      </c>
      <c r="O969" s="35" t="str">
        <f>IFERROR(_xlfn.XLOOKUP($C969,Log!D:D,Log!W:W,,,-1),"")</f>
        <v/>
      </c>
      <c r="P969" s="35" t="str">
        <f>IFERROR(_xlfn.XLOOKUP($C969,Log!D:D,Log!Y:Y,,,-1),"")</f>
        <v/>
      </c>
      <c r="Q969" s="130"/>
      <c r="R969" s="131" t="str">
        <f>IFERROR(IF(Tabela1[[#This Row],[Nome fantasia]]="","",_xlfn.XLOOKUP($C969,Log!D:D,Log!X:X,,,-1)),"")</f>
        <v/>
      </c>
    </row>
    <row r="970" spans="3:18" hidden="1" x14ac:dyDescent="0.2">
      <c r="C970" s="30" t="s">
        <v>2456</v>
      </c>
      <c r="D970" s="110" t="s">
        <v>2457</v>
      </c>
      <c r="E970" s="33" t="s">
        <v>17</v>
      </c>
      <c r="F970" s="38"/>
      <c r="G970" s="38"/>
      <c r="H970" s="31"/>
      <c r="I970" s="32"/>
      <c r="J970" s="32"/>
      <c r="K970" s="45" t="s">
        <v>888</v>
      </c>
      <c r="L970" s="129"/>
      <c r="M970" s="33" t="str">
        <f t="shared" si="15"/>
        <v/>
      </c>
      <c r="N970" s="34" t="str">
        <f>IFERROR(IF(Tabela1[[#This Row],[Nome fantasia]]="","",_xlfn.XLOOKUP($C970,Log!D:D,Log!B:B,,,-1)),"")</f>
        <v/>
      </c>
      <c r="O970" s="35" t="str">
        <f>IFERROR(_xlfn.XLOOKUP($C970,Log!D:D,Log!W:W,,,-1),"")</f>
        <v/>
      </c>
      <c r="P970" s="35" t="str">
        <f>IFERROR(_xlfn.XLOOKUP($C970,Log!D:D,Log!Y:Y,,,-1),"")</f>
        <v/>
      </c>
      <c r="Q970" s="130"/>
      <c r="R970" s="131" t="str">
        <f>IFERROR(IF(Tabela1[[#This Row],[Nome fantasia]]="","",_xlfn.XLOOKUP($C970,Log!D:D,Log!X:X,,,-1)),"")</f>
        <v/>
      </c>
    </row>
    <row r="971" spans="3:18" hidden="1" x14ac:dyDescent="0.2">
      <c r="C971" s="30" t="s">
        <v>2456</v>
      </c>
      <c r="D971" s="110" t="s">
        <v>2458</v>
      </c>
      <c r="E971" s="33" t="s">
        <v>17</v>
      </c>
      <c r="F971" s="38"/>
      <c r="G971" s="38"/>
      <c r="H971" s="31"/>
      <c r="I971" s="32"/>
      <c r="J971" s="32"/>
      <c r="K971" s="45" t="s">
        <v>888</v>
      </c>
      <c r="L971" s="129"/>
      <c r="M971" s="33" t="str">
        <f t="shared" si="15"/>
        <v/>
      </c>
      <c r="N971" s="34" t="str">
        <f>IFERROR(IF(Tabela1[[#This Row],[Nome fantasia]]="","",_xlfn.XLOOKUP($C971,Log!D:D,Log!B:B,,,-1)),"")</f>
        <v/>
      </c>
      <c r="O971" s="35" t="str">
        <f>IFERROR(_xlfn.XLOOKUP($C971,Log!D:D,Log!W:W,,,-1),"")</f>
        <v/>
      </c>
      <c r="P971" s="35" t="str">
        <f>IFERROR(_xlfn.XLOOKUP($C971,Log!D:D,Log!Y:Y,,,-1),"")</f>
        <v/>
      </c>
      <c r="Q971" s="130"/>
      <c r="R971" s="131" t="str">
        <f>IFERROR(IF(Tabela1[[#This Row],[Nome fantasia]]="","",_xlfn.XLOOKUP($C971,Log!D:D,Log!X:X,,,-1)),"")</f>
        <v/>
      </c>
    </row>
    <row r="972" spans="3:18" hidden="1" x14ac:dyDescent="0.2">
      <c r="C972" s="30" t="s">
        <v>2459</v>
      </c>
      <c r="D972" s="110" t="s">
        <v>2460</v>
      </c>
      <c r="E972" s="33" t="s">
        <v>46</v>
      </c>
      <c r="F972" s="38"/>
      <c r="G972" s="38"/>
      <c r="H972" s="31"/>
      <c r="I972" s="32"/>
      <c r="J972" s="32"/>
      <c r="K972" s="45" t="s">
        <v>888</v>
      </c>
      <c r="L972" s="129"/>
      <c r="M972" s="33" t="str">
        <f t="shared" si="15"/>
        <v/>
      </c>
      <c r="N972" s="34" t="str">
        <f>IFERROR(IF(Tabela1[[#This Row],[Nome fantasia]]="","",_xlfn.XLOOKUP($C972,Log!D:D,Log!B:B,,,-1)),"")</f>
        <v/>
      </c>
      <c r="O972" s="35" t="str">
        <f>IFERROR(_xlfn.XLOOKUP($C972,Log!D:D,Log!W:W,,,-1),"")</f>
        <v/>
      </c>
      <c r="P972" s="35" t="str">
        <f>IFERROR(_xlfn.XLOOKUP($C972,Log!D:D,Log!Y:Y,,,-1),"")</f>
        <v/>
      </c>
      <c r="Q972" s="130"/>
      <c r="R972" s="131" t="str">
        <f>IFERROR(IF(Tabela1[[#This Row],[Nome fantasia]]="","",_xlfn.XLOOKUP($C972,Log!D:D,Log!X:X,,,-1)),"")</f>
        <v/>
      </c>
    </row>
    <row r="973" spans="3:18" hidden="1" x14ac:dyDescent="0.2">
      <c r="C973" s="30" t="s">
        <v>2461</v>
      </c>
      <c r="D973" s="110" t="s">
        <v>2462</v>
      </c>
      <c r="E973" s="33" t="s">
        <v>46</v>
      </c>
      <c r="F973" s="38"/>
      <c r="G973" s="38"/>
      <c r="H973" s="31"/>
      <c r="I973" s="32"/>
      <c r="J973" s="32"/>
      <c r="K973" s="45" t="s">
        <v>888</v>
      </c>
      <c r="L973" s="129"/>
      <c r="M973" s="33" t="str">
        <f t="shared" si="15"/>
        <v/>
      </c>
      <c r="N973" s="34" t="str">
        <f>IFERROR(IF(Tabela1[[#This Row],[Nome fantasia]]="","",_xlfn.XLOOKUP($C973,Log!D:D,Log!B:B,,,-1)),"")</f>
        <v/>
      </c>
      <c r="O973" s="35" t="str">
        <f>IFERROR(_xlfn.XLOOKUP($C973,Log!D:D,Log!W:W,,,-1),"")</f>
        <v/>
      </c>
      <c r="P973" s="35" t="str">
        <f>IFERROR(_xlfn.XLOOKUP($C973,Log!D:D,Log!Y:Y,,,-1),"")</f>
        <v/>
      </c>
      <c r="Q973" s="130"/>
      <c r="R973" s="131" t="str">
        <f>IFERROR(IF(Tabela1[[#This Row],[Nome fantasia]]="","",_xlfn.XLOOKUP($C973,Log!D:D,Log!X:X,,,-1)),"")</f>
        <v/>
      </c>
    </row>
    <row r="974" spans="3:18" hidden="1" x14ac:dyDescent="0.2">
      <c r="C974" s="30" t="s">
        <v>2463</v>
      </c>
      <c r="D974" s="110" t="s">
        <v>2464</v>
      </c>
      <c r="E974" s="33" t="s">
        <v>22</v>
      </c>
      <c r="F974" s="38"/>
      <c r="G974" s="38"/>
      <c r="H974" s="31"/>
      <c r="I974" s="32"/>
      <c r="J974" s="32"/>
      <c r="K974" s="45" t="s">
        <v>888</v>
      </c>
      <c r="L974" s="129"/>
      <c r="M974" s="33" t="str">
        <f t="shared" si="15"/>
        <v/>
      </c>
      <c r="N974" s="34" t="str">
        <f>IFERROR(IF(Tabela1[[#This Row],[Nome fantasia]]="","",_xlfn.XLOOKUP($C974,Log!D:D,Log!B:B,,,-1)),"")</f>
        <v/>
      </c>
      <c r="O974" s="35" t="str">
        <f>IFERROR(_xlfn.XLOOKUP($C974,Log!D:D,Log!W:W,,,-1),"")</f>
        <v/>
      </c>
      <c r="P974" s="35" t="str">
        <f>IFERROR(_xlfn.XLOOKUP($C974,Log!D:D,Log!Y:Y,,,-1),"")</f>
        <v/>
      </c>
      <c r="Q974" s="130"/>
      <c r="R974" s="131" t="str">
        <f>IFERROR(IF(Tabela1[[#This Row],[Nome fantasia]]="","",_xlfn.XLOOKUP($C974,Log!D:D,Log!X:X,,,-1)),"")</f>
        <v/>
      </c>
    </row>
    <row r="975" spans="3:18" hidden="1" x14ac:dyDescent="0.2">
      <c r="C975" s="30" t="s">
        <v>2465</v>
      </c>
      <c r="D975" s="110" t="s">
        <v>2466</v>
      </c>
      <c r="E975" s="33" t="s">
        <v>22</v>
      </c>
      <c r="F975" s="38"/>
      <c r="G975" s="38"/>
      <c r="H975" s="31"/>
      <c r="I975" s="32"/>
      <c r="J975" s="32"/>
      <c r="K975" s="45" t="s">
        <v>888</v>
      </c>
      <c r="L975" s="129"/>
      <c r="M975" s="33" t="str">
        <f t="shared" si="15"/>
        <v/>
      </c>
      <c r="N975" s="34" t="str">
        <f>IFERROR(IF(Tabela1[[#This Row],[Nome fantasia]]="","",_xlfn.XLOOKUP($C975,Log!D:D,Log!B:B,,,-1)),"")</f>
        <v/>
      </c>
      <c r="O975" s="35" t="str">
        <f>IFERROR(_xlfn.XLOOKUP($C975,Log!D:D,Log!W:W,,,-1),"")</f>
        <v/>
      </c>
      <c r="P975" s="35" t="str">
        <f>IFERROR(_xlfn.XLOOKUP($C975,Log!D:D,Log!Y:Y,,,-1),"")</f>
        <v/>
      </c>
      <c r="Q975" s="130"/>
      <c r="R975" s="131" t="str">
        <f>IFERROR(IF(Tabela1[[#This Row],[Nome fantasia]]="","",_xlfn.XLOOKUP($C975,Log!D:D,Log!X:X,,,-1)),"")</f>
        <v/>
      </c>
    </row>
    <row r="976" spans="3:18" hidden="1" x14ac:dyDescent="0.2">
      <c r="C976" s="30" t="s">
        <v>2467</v>
      </c>
      <c r="D976" s="110" t="s">
        <v>2468</v>
      </c>
      <c r="E976" s="33" t="s">
        <v>22</v>
      </c>
      <c r="F976" s="38"/>
      <c r="G976" s="38"/>
      <c r="H976" s="31"/>
      <c r="I976" s="32"/>
      <c r="J976" s="32"/>
      <c r="K976" s="45" t="s">
        <v>888</v>
      </c>
      <c r="L976" s="129"/>
      <c r="M976" s="33" t="str">
        <f t="shared" si="15"/>
        <v/>
      </c>
      <c r="N976" s="34" t="str">
        <f>IFERROR(IF(Tabela1[[#This Row],[Nome fantasia]]="","",_xlfn.XLOOKUP($C976,Log!D:D,Log!B:B,,,-1)),"")</f>
        <v/>
      </c>
      <c r="O976" s="35" t="str">
        <f>IFERROR(_xlfn.XLOOKUP($C976,Log!D:D,Log!W:W,,,-1),"")</f>
        <v/>
      </c>
      <c r="P976" s="35" t="str">
        <f>IFERROR(_xlfn.XLOOKUP($C976,Log!D:D,Log!Y:Y,,,-1),"")</f>
        <v/>
      </c>
      <c r="Q976" s="130"/>
      <c r="R976" s="131" t="str">
        <f>IFERROR(IF(Tabela1[[#This Row],[Nome fantasia]]="","",_xlfn.XLOOKUP($C976,Log!D:D,Log!X:X,,,-1)),"")</f>
        <v/>
      </c>
    </row>
    <row r="977" spans="3:18" hidden="1" x14ac:dyDescent="0.2">
      <c r="C977" s="30" t="s">
        <v>2469</v>
      </c>
      <c r="D977" s="110" t="s">
        <v>2470</v>
      </c>
      <c r="E977" s="33" t="s">
        <v>22</v>
      </c>
      <c r="F977" s="38"/>
      <c r="G977" s="38"/>
      <c r="H977" s="31"/>
      <c r="I977" s="32"/>
      <c r="J977" s="32"/>
      <c r="K977" s="45" t="s">
        <v>888</v>
      </c>
      <c r="L977" s="129"/>
      <c r="M977" s="33" t="str">
        <f t="shared" si="15"/>
        <v/>
      </c>
      <c r="N977" s="34" t="str">
        <f>IFERROR(IF(Tabela1[[#This Row],[Nome fantasia]]="","",_xlfn.XLOOKUP($C977,Log!D:D,Log!B:B,,,-1)),"")</f>
        <v/>
      </c>
      <c r="O977" s="35" t="str">
        <f>IFERROR(_xlfn.XLOOKUP($C977,Log!D:D,Log!W:W,,,-1),"")</f>
        <v/>
      </c>
      <c r="P977" s="35" t="str">
        <f>IFERROR(_xlfn.XLOOKUP($C977,Log!D:D,Log!Y:Y,,,-1),"")</f>
        <v/>
      </c>
      <c r="Q977" s="130"/>
      <c r="R977" s="131" t="str">
        <f>IFERROR(IF(Tabela1[[#This Row],[Nome fantasia]]="","",_xlfn.XLOOKUP($C977,Log!D:D,Log!X:X,,,-1)),"")</f>
        <v/>
      </c>
    </row>
    <row r="978" spans="3:18" hidden="1" x14ac:dyDescent="0.2">
      <c r="C978" s="30" t="s">
        <v>1862</v>
      </c>
      <c r="D978" s="110" t="s">
        <v>2471</v>
      </c>
      <c r="E978" s="33" t="s">
        <v>22</v>
      </c>
      <c r="F978" s="38"/>
      <c r="G978" s="38"/>
      <c r="H978" s="31"/>
      <c r="I978" s="32"/>
      <c r="J978" s="32"/>
      <c r="K978" s="45" t="s">
        <v>888</v>
      </c>
      <c r="L978" s="129"/>
      <c r="M978" s="33" t="str">
        <f t="shared" si="15"/>
        <v/>
      </c>
      <c r="N978" s="34" t="str">
        <f>IFERROR(IF(Tabela1[[#This Row],[Nome fantasia]]="","",_xlfn.XLOOKUP($C978,Log!D:D,Log!B:B,,,-1)),"")</f>
        <v/>
      </c>
      <c r="O978" s="35" t="str">
        <f>IFERROR(_xlfn.XLOOKUP($C978,Log!D:D,Log!W:W,,,-1),"")</f>
        <v/>
      </c>
      <c r="P978" s="35" t="str">
        <f>IFERROR(_xlfn.XLOOKUP($C978,Log!D:D,Log!Y:Y,,,-1),"")</f>
        <v/>
      </c>
      <c r="Q978" s="130"/>
      <c r="R978" s="131" t="str">
        <f>IFERROR(IF(Tabela1[[#This Row],[Nome fantasia]]="","",_xlfn.XLOOKUP($C978,Log!D:D,Log!X:X,,,-1)),"")</f>
        <v/>
      </c>
    </row>
    <row r="979" spans="3:18" hidden="1" x14ac:dyDescent="0.2">
      <c r="C979" s="30" t="s">
        <v>2472</v>
      </c>
      <c r="D979" s="110" t="s">
        <v>2473</v>
      </c>
      <c r="E979" s="33" t="s">
        <v>22</v>
      </c>
      <c r="F979" s="38"/>
      <c r="G979" s="38"/>
      <c r="H979" s="31"/>
      <c r="I979" s="32"/>
      <c r="J979" s="32"/>
      <c r="K979" s="45" t="s">
        <v>888</v>
      </c>
      <c r="L979" s="129"/>
      <c r="M979" s="33" t="str">
        <f t="shared" si="15"/>
        <v/>
      </c>
      <c r="N979" s="34" t="str">
        <f>IFERROR(IF(Tabela1[[#This Row],[Nome fantasia]]="","",_xlfn.XLOOKUP($C979,Log!D:D,Log!B:B,,,-1)),"")</f>
        <v/>
      </c>
      <c r="O979" s="35" t="str">
        <f>IFERROR(_xlfn.XLOOKUP($C979,Log!D:D,Log!W:W,,,-1),"")</f>
        <v/>
      </c>
      <c r="P979" s="35" t="str">
        <f>IFERROR(_xlfn.XLOOKUP($C979,Log!D:D,Log!Y:Y,,,-1),"")</f>
        <v/>
      </c>
      <c r="Q979" s="130"/>
      <c r="R979" s="131" t="str">
        <f>IFERROR(IF(Tabela1[[#This Row],[Nome fantasia]]="","",_xlfn.XLOOKUP($C979,Log!D:D,Log!X:X,,,-1)),"")</f>
        <v/>
      </c>
    </row>
    <row r="980" spans="3:18" hidden="1" x14ac:dyDescent="0.2">
      <c r="C980" s="30" t="s">
        <v>1862</v>
      </c>
      <c r="D980" s="110" t="s">
        <v>2474</v>
      </c>
      <c r="E980" s="33" t="s">
        <v>17</v>
      </c>
      <c r="F980" s="38"/>
      <c r="G980" s="38"/>
      <c r="H980" s="31"/>
      <c r="I980" s="32"/>
      <c r="J980" s="32"/>
      <c r="K980" s="45" t="s">
        <v>888</v>
      </c>
      <c r="L980" s="129"/>
      <c r="M980" s="33" t="str">
        <f t="shared" si="15"/>
        <v/>
      </c>
      <c r="N980" s="34" t="str">
        <f>IFERROR(IF(Tabela1[[#This Row],[Nome fantasia]]="","",_xlfn.XLOOKUP($C980,Log!D:D,Log!B:B,,,-1)),"")</f>
        <v/>
      </c>
      <c r="O980" s="35" t="str">
        <f>IFERROR(_xlfn.XLOOKUP($C980,Log!D:D,Log!W:W,,,-1),"")</f>
        <v/>
      </c>
      <c r="P980" s="35" t="str">
        <f>IFERROR(_xlfn.XLOOKUP($C980,Log!D:D,Log!Y:Y,,,-1),"")</f>
        <v/>
      </c>
      <c r="Q980" s="130"/>
      <c r="R980" s="131" t="str">
        <f>IFERROR(IF(Tabela1[[#This Row],[Nome fantasia]]="","",_xlfn.XLOOKUP($C980,Log!D:D,Log!X:X,,,-1)),"")</f>
        <v/>
      </c>
    </row>
    <row r="981" spans="3:18" hidden="1" x14ac:dyDescent="0.2">
      <c r="C981" s="30" t="s">
        <v>2475</v>
      </c>
      <c r="D981" s="110" t="s">
        <v>2476</v>
      </c>
      <c r="E981" s="33" t="s">
        <v>22</v>
      </c>
      <c r="F981" s="38"/>
      <c r="G981" s="38"/>
      <c r="H981" s="31"/>
      <c r="I981" s="32"/>
      <c r="J981" s="32"/>
      <c r="K981" s="45" t="s">
        <v>888</v>
      </c>
      <c r="L981" s="129"/>
      <c r="M981" s="33" t="str">
        <f t="shared" si="15"/>
        <v/>
      </c>
      <c r="N981" s="34" t="str">
        <f>IFERROR(IF(Tabela1[[#This Row],[Nome fantasia]]="","",_xlfn.XLOOKUP($C981,Log!D:D,Log!B:B,,,-1)),"")</f>
        <v/>
      </c>
      <c r="O981" s="35" t="str">
        <f>IFERROR(_xlfn.XLOOKUP($C981,Log!D:D,Log!W:W,,,-1),"")</f>
        <v/>
      </c>
      <c r="P981" s="35" t="str">
        <f>IFERROR(_xlfn.XLOOKUP($C981,Log!D:D,Log!Y:Y,,,-1),"")</f>
        <v/>
      </c>
      <c r="Q981" s="130"/>
      <c r="R981" s="131" t="str">
        <f>IFERROR(IF(Tabela1[[#This Row],[Nome fantasia]]="","",_xlfn.XLOOKUP($C981,Log!D:D,Log!X:X,,,-1)),"")</f>
        <v/>
      </c>
    </row>
    <row r="982" spans="3:18" hidden="1" x14ac:dyDescent="0.2">
      <c r="C982" s="30"/>
      <c r="D982" s="110" t="s">
        <v>2477</v>
      </c>
      <c r="E982" s="33" t="s">
        <v>22</v>
      </c>
      <c r="F982" s="38"/>
      <c r="G982" s="38"/>
      <c r="H982" s="31"/>
      <c r="I982" s="32"/>
      <c r="J982" s="32"/>
      <c r="K982" s="45" t="s">
        <v>888</v>
      </c>
      <c r="L982" s="129"/>
      <c r="M982" s="33" t="str">
        <f t="shared" si="15"/>
        <v/>
      </c>
      <c r="N982" s="34" t="str">
        <f>IFERROR(IF(Tabela1[[#This Row],[Nome fantasia]]="","",_xlfn.XLOOKUP($C982,Log!D:D,Log!B:B,,,-1)),"")</f>
        <v/>
      </c>
      <c r="O982" s="35" t="str">
        <f>IFERROR(_xlfn.XLOOKUP($C982,Log!D:D,Log!W:W,,,-1),"")</f>
        <v/>
      </c>
      <c r="P982" s="35" t="str">
        <f>IFERROR(_xlfn.XLOOKUP($C982,Log!D:D,Log!Y:Y,,,-1),"")</f>
        <v/>
      </c>
      <c r="Q982" s="130"/>
      <c r="R982" s="131" t="str">
        <f>IFERROR(IF(Tabela1[[#This Row],[Nome fantasia]]="","",_xlfn.XLOOKUP($C982,Log!D:D,Log!X:X,,,-1)),"")</f>
        <v/>
      </c>
    </row>
    <row r="983" spans="3:18" hidden="1" x14ac:dyDescent="0.2">
      <c r="C983" s="30" t="s">
        <v>2478</v>
      </c>
      <c r="D983" s="110" t="s">
        <v>2479</v>
      </c>
      <c r="E983" s="33" t="s">
        <v>46</v>
      </c>
      <c r="F983" s="38"/>
      <c r="G983" s="38"/>
      <c r="H983" s="31"/>
      <c r="I983" s="32"/>
      <c r="J983" s="32"/>
      <c r="K983" s="45" t="s">
        <v>888</v>
      </c>
      <c r="L983" s="129"/>
      <c r="M983" s="33" t="str">
        <f t="shared" si="15"/>
        <v/>
      </c>
      <c r="N983" s="34" t="str">
        <f>IFERROR(IF(Tabela1[[#This Row],[Nome fantasia]]="","",_xlfn.XLOOKUP($C983,Log!D:D,Log!B:B,,,-1)),"")</f>
        <v/>
      </c>
      <c r="O983" s="35" t="str">
        <f>IFERROR(_xlfn.XLOOKUP($C983,Log!D:D,Log!W:W,,,-1),"")</f>
        <v/>
      </c>
      <c r="P983" s="35" t="str">
        <f>IFERROR(_xlfn.XLOOKUP($C983,Log!D:D,Log!Y:Y,,,-1),"")</f>
        <v/>
      </c>
      <c r="Q983" s="130"/>
      <c r="R983" s="131" t="str">
        <f>IFERROR(IF(Tabela1[[#This Row],[Nome fantasia]]="","",_xlfn.XLOOKUP($C983,Log!D:D,Log!X:X,,,-1)),"")</f>
        <v/>
      </c>
    </row>
    <row r="984" spans="3:18" hidden="1" x14ac:dyDescent="0.2">
      <c r="C984" s="30" t="s">
        <v>2480</v>
      </c>
      <c r="D984" s="110" t="s">
        <v>2481</v>
      </c>
      <c r="E984" s="33" t="s">
        <v>17</v>
      </c>
      <c r="F984" s="38"/>
      <c r="G984" s="38"/>
      <c r="H984" s="31"/>
      <c r="I984" s="32"/>
      <c r="J984" s="32"/>
      <c r="K984" s="45" t="s">
        <v>888</v>
      </c>
      <c r="L984" s="129"/>
      <c r="M984" s="33" t="str">
        <f t="shared" si="15"/>
        <v/>
      </c>
      <c r="N984" s="34" t="str">
        <f>IFERROR(IF(Tabela1[[#This Row],[Nome fantasia]]="","",_xlfn.XLOOKUP($C984,Log!D:D,Log!B:B,,,-1)),"")</f>
        <v/>
      </c>
      <c r="O984" s="35" t="str">
        <f>IFERROR(_xlfn.XLOOKUP($C984,Log!D:D,Log!W:W,,,-1),"")</f>
        <v/>
      </c>
      <c r="P984" s="35" t="str">
        <f>IFERROR(_xlfn.XLOOKUP($C984,Log!D:D,Log!Y:Y,,,-1),"")</f>
        <v/>
      </c>
      <c r="Q984" s="130"/>
      <c r="R984" s="131" t="str">
        <f>IFERROR(IF(Tabela1[[#This Row],[Nome fantasia]]="","",_xlfn.XLOOKUP($C984,Log!D:D,Log!X:X,,,-1)),"")</f>
        <v/>
      </c>
    </row>
    <row r="985" spans="3:18" hidden="1" x14ac:dyDescent="0.2">
      <c r="C985" s="30" t="s">
        <v>2482</v>
      </c>
      <c r="D985" s="110" t="s">
        <v>2483</v>
      </c>
      <c r="E985" s="33" t="s">
        <v>46</v>
      </c>
      <c r="F985" s="38"/>
      <c r="G985" s="38"/>
      <c r="H985" s="31"/>
      <c r="I985" s="32"/>
      <c r="J985" s="32"/>
      <c r="K985" s="45" t="s">
        <v>888</v>
      </c>
      <c r="L985" s="129"/>
      <c r="M985" s="33" t="str">
        <f t="shared" si="15"/>
        <v/>
      </c>
      <c r="N985" s="34" t="str">
        <f>IFERROR(IF(Tabela1[[#This Row],[Nome fantasia]]="","",_xlfn.XLOOKUP($C985,Log!D:D,Log!B:B,,,-1)),"")</f>
        <v/>
      </c>
      <c r="O985" s="35" t="str">
        <f>IFERROR(_xlfn.XLOOKUP($C985,Log!D:D,Log!W:W,,,-1),"")</f>
        <v/>
      </c>
      <c r="P985" s="35" t="str">
        <f>IFERROR(_xlfn.XLOOKUP($C985,Log!D:D,Log!Y:Y,,,-1),"")</f>
        <v/>
      </c>
      <c r="Q985" s="130"/>
      <c r="R985" s="131" t="str">
        <f>IFERROR(IF(Tabela1[[#This Row],[Nome fantasia]]="","",_xlfn.XLOOKUP($C985,Log!D:D,Log!X:X,,,-1)),"")</f>
        <v/>
      </c>
    </row>
    <row r="986" spans="3:18" hidden="1" x14ac:dyDescent="0.2">
      <c r="C986" s="30"/>
      <c r="D986" s="110" t="s">
        <v>2484</v>
      </c>
      <c r="E986" s="33" t="s">
        <v>46</v>
      </c>
      <c r="F986" s="38"/>
      <c r="G986" s="38"/>
      <c r="H986" s="31"/>
      <c r="I986" s="32"/>
      <c r="J986" s="32"/>
      <c r="K986" s="45" t="s">
        <v>888</v>
      </c>
      <c r="L986" s="129"/>
      <c r="M986" s="33" t="str">
        <f t="shared" si="15"/>
        <v/>
      </c>
      <c r="N986" s="34" t="str">
        <f>IFERROR(IF(Tabela1[[#This Row],[Nome fantasia]]="","",_xlfn.XLOOKUP($C986,Log!D:D,Log!B:B,,,-1)),"")</f>
        <v/>
      </c>
      <c r="O986" s="35" t="str">
        <f>IFERROR(_xlfn.XLOOKUP($C986,Log!D:D,Log!W:W,,,-1),"")</f>
        <v/>
      </c>
      <c r="P986" s="35" t="str">
        <f>IFERROR(_xlfn.XLOOKUP($C986,Log!D:D,Log!Y:Y,,,-1),"")</f>
        <v/>
      </c>
      <c r="Q986" s="130"/>
      <c r="R986" s="131" t="str">
        <f>IFERROR(IF(Tabela1[[#This Row],[Nome fantasia]]="","",_xlfn.XLOOKUP($C986,Log!D:D,Log!X:X,,,-1)),"")</f>
        <v/>
      </c>
    </row>
    <row r="987" spans="3:18" hidden="1" x14ac:dyDescent="0.2">
      <c r="C987" s="30" t="s">
        <v>2485</v>
      </c>
      <c r="D987" s="110" t="s">
        <v>2486</v>
      </c>
      <c r="E987" s="33" t="s">
        <v>17</v>
      </c>
      <c r="F987" s="38"/>
      <c r="G987" s="38"/>
      <c r="H987" s="31"/>
      <c r="I987" s="32"/>
      <c r="J987" s="32"/>
      <c r="K987" s="45" t="s">
        <v>888</v>
      </c>
      <c r="L987" s="129"/>
      <c r="M987" s="33" t="str">
        <f t="shared" si="15"/>
        <v/>
      </c>
      <c r="N987" s="34" t="str">
        <f>IFERROR(IF(Tabela1[[#This Row],[Nome fantasia]]="","",_xlfn.XLOOKUP($C987,Log!D:D,Log!B:B,,,-1)),"")</f>
        <v/>
      </c>
      <c r="O987" s="35" t="str">
        <f>IFERROR(_xlfn.XLOOKUP($C987,Log!D:D,Log!W:W,,,-1),"")</f>
        <v/>
      </c>
      <c r="P987" s="35" t="str">
        <f>IFERROR(_xlfn.XLOOKUP($C987,Log!D:D,Log!Y:Y,,,-1),"")</f>
        <v/>
      </c>
      <c r="Q987" s="130"/>
      <c r="R987" s="131" t="str">
        <f>IFERROR(IF(Tabela1[[#This Row],[Nome fantasia]]="","",_xlfn.XLOOKUP($C987,Log!D:D,Log!X:X,,,-1)),"")</f>
        <v/>
      </c>
    </row>
    <row r="988" spans="3:18" hidden="1" x14ac:dyDescent="0.2">
      <c r="C988" s="30" t="s">
        <v>2487</v>
      </c>
      <c r="D988" s="110" t="s">
        <v>2488</v>
      </c>
      <c r="E988" s="33" t="s">
        <v>17</v>
      </c>
      <c r="F988" s="38"/>
      <c r="G988" s="38"/>
      <c r="H988" s="31"/>
      <c r="I988" s="32"/>
      <c r="J988" s="32"/>
      <c r="K988" s="45" t="s">
        <v>888</v>
      </c>
      <c r="L988" s="129"/>
      <c r="M988" s="33" t="str">
        <f t="shared" si="15"/>
        <v/>
      </c>
      <c r="N988" s="34" t="str">
        <f>IFERROR(IF(Tabela1[[#This Row],[Nome fantasia]]="","",_xlfn.XLOOKUP($C988,Log!D:D,Log!B:B,,,-1)),"")</f>
        <v/>
      </c>
      <c r="O988" s="35" t="str">
        <f>IFERROR(_xlfn.XLOOKUP($C988,Log!D:D,Log!W:W,,,-1),"")</f>
        <v/>
      </c>
      <c r="P988" s="35" t="str">
        <f>IFERROR(_xlfn.XLOOKUP($C988,Log!D:D,Log!Y:Y,,,-1),"")</f>
        <v/>
      </c>
      <c r="Q988" s="130"/>
      <c r="R988" s="131" t="str">
        <f>IFERROR(IF(Tabela1[[#This Row],[Nome fantasia]]="","",_xlfn.XLOOKUP($C988,Log!D:D,Log!X:X,,,-1)),"")</f>
        <v/>
      </c>
    </row>
    <row r="989" spans="3:18" hidden="1" x14ac:dyDescent="0.2">
      <c r="C989" s="30" t="s">
        <v>2489</v>
      </c>
      <c r="D989" s="110" t="s">
        <v>2490</v>
      </c>
      <c r="E989" s="33" t="s">
        <v>46</v>
      </c>
      <c r="F989" s="38"/>
      <c r="G989" s="38"/>
      <c r="H989" s="31"/>
      <c r="I989" s="32"/>
      <c r="J989" s="32"/>
      <c r="K989" s="45" t="s">
        <v>888</v>
      </c>
      <c r="L989" s="129"/>
      <c r="M989" s="33" t="str">
        <f t="shared" si="15"/>
        <v/>
      </c>
      <c r="N989" s="34" t="str">
        <f>IFERROR(IF(Tabela1[[#This Row],[Nome fantasia]]="","",_xlfn.XLOOKUP($C989,Log!D:D,Log!B:B,,,-1)),"")</f>
        <v/>
      </c>
      <c r="O989" s="35" t="str">
        <f>IFERROR(_xlfn.XLOOKUP($C989,Log!D:D,Log!W:W,,,-1),"")</f>
        <v/>
      </c>
      <c r="P989" s="35" t="str">
        <f>IFERROR(_xlfn.XLOOKUP($C989,Log!D:D,Log!Y:Y,,,-1),"")</f>
        <v/>
      </c>
      <c r="Q989" s="130"/>
      <c r="R989" s="131" t="str">
        <f>IFERROR(IF(Tabela1[[#This Row],[Nome fantasia]]="","",_xlfn.XLOOKUP($C989,Log!D:D,Log!X:X,,,-1)),"")</f>
        <v/>
      </c>
    </row>
    <row r="990" spans="3:18" hidden="1" x14ac:dyDescent="0.2">
      <c r="C990" s="30" t="s">
        <v>2491</v>
      </c>
      <c r="D990" s="110" t="s">
        <v>2492</v>
      </c>
      <c r="E990" s="33" t="s">
        <v>17</v>
      </c>
      <c r="F990" s="38"/>
      <c r="G990" s="38"/>
      <c r="H990" s="31"/>
      <c r="I990" s="32"/>
      <c r="J990" s="32"/>
      <c r="K990" s="45" t="s">
        <v>888</v>
      </c>
      <c r="L990" s="129"/>
      <c r="M990" s="33" t="str">
        <f t="shared" si="15"/>
        <v/>
      </c>
      <c r="N990" s="34" t="str">
        <f>IFERROR(IF(Tabela1[[#This Row],[Nome fantasia]]="","",_xlfn.XLOOKUP($C990,Log!D:D,Log!B:B,,,-1)),"")</f>
        <v/>
      </c>
      <c r="O990" s="35" t="str">
        <f>IFERROR(_xlfn.XLOOKUP($C990,Log!D:D,Log!W:W,,,-1),"")</f>
        <v/>
      </c>
      <c r="P990" s="35" t="str">
        <f>IFERROR(_xlfn.XLOOKUP($C990,Log!D:D,Log!Y:Y,,,-1),"")</f>
        <v/>
      </c>
      <c r="Q990" s="130"/>
      <c r="R990" s="131" t="str">
        <f>IFERROR(IF(Tabela1[[#This Row],[Nome fantasia]]="","",_xlfn.XLOOKUP($C990,Log!D:D,Log!X:X,,,-1)),"")</f>
        <v/>
      </c>
    </row>
    <row r="991" spans="3:18" hidden="1" x14ac:dyDescent="0.2">
      <c r="C991" s="30" t="s">
        <v>2493</v>
      </c>
      <c r="D991" s="110" t="s">
        <v>2494</v>
      </c>
      <c r="E991" s="33" t="s">
        <v>17</v>
      </c>
      <c r="F991" s="38"/>
      <c r="G991" s="38"/>
      <c r="H991" s="31"/>
      <c r="I991" s="32"/>
      <c r="J991" s="32"/>
      <c r="K991" s="45" t="s">
        <v>888</v>
      </c>
      <c r="L991" s="129"/>
      <c r="M991" s="33" t="str">
        <f t="shared" si="15"/>
        <v/>
      </c>
      <c r="N991" s="34" t="str">
        <f>IFERROR(IF(Tabela1[[#This Row],[Nome fantasia]]="","",_xlfn.XLOOKUP($C991,Log!D:D,Log!B:B,,,-1)),"")</f>
        <v/>
      </c>
      <c r="O991" s="35" t="str">
        <f>IFERROR(_xlfn.XLOOKUP($C991,Log!D:D,Log!W:W,,,-1),"")</f>
        <v/>
      </c>
      <c r="P991" s="35" t="str">
        <f>IFERROR(_xlfn.XLOOKUP($C991,Log!D:D,Log!Y:Y,,,-1),"")</f>
        <v/>
      </c>
      <c r="Q991" s="130"/>
      <c r="R991" s="131" t="str">
        <f>IFERROR(IF(Tabela1[[#This Row],[Nome fantasia]]="","",_xlfn.XLOOKUP($C991,Log!D:D,Log!X:X,,,-1)),"")</f>
        <v/>
      </c>
    </row>
    <row r="992" spans="3:18" hidden="1" x14ac:dyDescent="0.2">
      <c r="C992" s="30" t="s">
        <v>2495</v>
      </c>
      <c r="D992" s="110" t="s">
        <v>2496</v>
      </c>
      <c r="E992" s="33" t="s">
        <v>46</v>
      </c>
      <c r="F992" s="38"/>
      <c r="G992" s="38"/>
      <c r="H992" s="31"/>
      <c r="I992" s="32"/>
      <c r="J992" s="32"/>
      <c r="K992" s="45" t="s">
        <v>888</v>
      </c>
      <c r="L992" s="129"/>
      <c r="M992" s="33" t="str">
        <f t="shared" si="15"/>
        <v/>
      </c>
      <c r="N992" s="34" t="str">
        <f>IFERROR(IF(Tabela1[[#This Row],[Nome fantasia]]="","",_xlfn.XLOOKUP($C992,Log!D:D,Log!B:B,,,-1)),"")</f>
        <v/>
      </c>
      <c r="O992" s="35" t="str">
        <f>IFERROR(_xlfn.XLOOKUP($C992,Log!D:D,Log!W:W,,,-1),"")</f>
        <v/>
      </c>
      <c r="P992" s="35" t="str">
        <f>IFERROR(_xlfn.XLOOKUP($C992,Log!D:D,Log!Y:Y,,,-1),"")</f>
        <v/>
      </c>
      <c r="Q992" s="130"/>
      <c r="R992" s="131" t="str">
        <f>IFERROR(IF(Tabela1[[#This Row],[Nome fantasia]]="","",_xlfn.XLOOKUP($C992,Log!D:D,Log!X:X,,,-1)),"")</f>
        <v/>
      </c>
    </row>
    <row r="993" spans="3:18" hidden="1" x14ac:dyDescent="0.2">
      <c r="C993" s="30" t="s">
        <v>1862</v>
      </c>
      <c r="D993" s="110" t="s">
        <v>2497</v>
      </c>
      <c r="E993" s="33" t="s">
        <v>46</v>
      </c>
      <c r="F993" s="38"/>
      <c r="G993" s="38"/>
      <c r="H993" s="31"/>
      <c r="I993" s="32"/>
      <c r="J993" s="32"/>
      <c r="K993" s="45" t="s">
        <v>888</v>
      </c>
      <c r="L993" s="129"/>
      <c r="M993" s="33" t="str">
        <f t="shared" si="15"/>
        <v/>
      </c>
      <c r="N993" s="34" t="str">
        <f>IFERROR(IF(Tabela1[[#This Row],[Nome fantasia]]="","",_xlfn.XLOOKUP($C993,Log!D:D,Log!B:B,,,-1)),"")</f>
        <v/>
      </c>
      <c r="O993" s="35" t="str">
        <f>IFERROR(_xlfn.XLOOKUP($C993,Log!D:D,Log!W:W,,,-1),"")</f>
        <v/>
      </c>
      <c r="P993" s="35" t="str">
        <f>IFERROR(_xlfn.XLOOKUP($C993,Log!D:D,Log!Y:Y,,,-1),"")</f>
        <v/>
      </c>
      <c r="Q993" s="130"/>
      <c r="R993" s="131" t="str">
        <f>IFERROR(IF(Tabela1[[#This Row],[Nome fantasia]]="","",_xlfn.XLOOKUP($C993,Log!D:D,Log!X:X,,,-1)),"")</f>
        <v/>
      </c>
    </row>
    <row r="994" spans="3:18" hidden="1" x14ac:dyDescent="0.2">
      <c r="C994" s="30" t="s">
        <v>2498</v>
      </c>
      <c r="D994" s="110" t="s">
        <v>2499</v>
      </c>
      <c r="E994" s="33" t="s">
        <v>17</v>
      </c>
      <c r="F994" s="38"/>
      <c r="G994" s="38"/>
      <c r="H994" s="31"/>
      <c r="I994" s="32"/>
      <c r="J994" s="32"/>
      <c r="K994" s="45" t="s">
        <v>888</v>
      </c>
      <c r="L994" s="129"/>
      <c r="M994" s="33" t="str">
        <f t="shared" si="15"/>
        <v/>
      </c>
      <c r="N994" s="34" t="str">
        <f>IFERROR(IF(Tabela1[[#This Row],[Nome fantasia]]="","",_xlfn.XLOOKUP($C994,Log!D:D,Log!B:B,,,-1)),"")</f>
        <v/>
      </c>
      <c r="O994" s="35" t="str">
        <f>IFERROR(_xlfn.XLOOKUP($C994,Log!D:D,Log!W:W,,,-1),"")</f>
        <v/>
      </c>
      <c r="P994" s="35" t="str">
        <f>IFERROR(_xlfn.XLOOKUP($C994,Log!D:D,Log!Y:Y,,,-1),"")</f>
        <v/>
      </c>
      <c r="Q994" s="130"/>
      <c r="R994" s="131" t="str">
        <f>IFERROR(IF(Tabela1[[#This Row],[Nome fantasia]]="","",_xlfn.XLOOKUP($C994,Log!D:D,Log!X:X,,,-1)),"")</f>
        <v/>
      </c>
    </row>
    <row r="995" spans="3:18" hidden="1" x14ac:dyDescent="0.2">
      <c r="C995" s="30" t="s">
        <v>2500</v>
      </c>
      <c r="D995" s="110" t="s">
        <v>2501</v>
      </c>
      <c r="E995" s="33" t="s">
        <v>46</v>
      </c>
      <c r="F995" s="38"/>
      <c r="G995" s="38"/>
      <c r="H995" s="31"/>
      <c r="I995" s="32"/>
      <c r="J995" s="32"/>
      <c r="K995" s="45" t="s">
        <v>888</v>
      </c>
      <c r="L995" s="129"/>
      <c r="M995" s="33" t="str">
        <f t="shared" si="15"/>
        <v/>
      </c>
      <c r="N995" s="34" t="str">
        <f>IFERROR(IF(Tabela1[[#This Row],[Nome fantasia]]="","",_xlfn.XLOOKUP($C995,Log!D:D,Log!B:B,,,-1)),"")</f>
        <v/>
      </c>
      <c r="O995" s="35" t="str">
        <f>IFERROR(_xlfn.XLOOKUP($C995,Log!D:D,Log!W:W,,,-1),"")</f>
        <v/>
      </c>
      <c r="P995" s="35" t="str">
        <f>IFERROR(_xlfn.XLOOKUP($C995,Log!D:D,Log!Y:Y,,,-1),"")</f>
        <v/>
      </c>
      <c r="Q995" s="130"/>
      <c r="R995" s="131" t="str">
        <f>IFERROR(IF(Tabela1[[#This Row],[Nome fantasia]]="","",_xlfn.XLOOKUP($C995,Log!D:D,Log!X:X,,,-1)),"")</f>
        <v/>
      </c>
    </row>
    <row r="996" spans="3:18" hidden="1" x14ac:dyDescent="0.2">
      <c r="C996" s="30" t="s">
        <v>2502</v>
      </c>
      <c r="D996" s="110" t="s">
        <v>2503</v>
      </c>
      <c r="E996" s="33" t="s">
        <v>22</v>
      </c>
      <c r="F996" s="38"/>
      <c r="G996" s="38"/>
      <c r="H996" s="31"/>
      <c r="I996" s="32"/>
      <c r="J996" s="32"/>
      <c r="K996" s="45" t="s">
        <v>888</v>
      </c>
      <c r="L996" s="129"/>
      <c r="M996" s="33" t="str">
        <f t="shared" si="15"/>
        <v/>
      </c>
      <c r="N996" s="34" t="str">
        <f>IFERROR(IF(Tabela1[[#This Row],[Nome fantasia]]="","",_xlfn.XLOOKUP($C996,Log!D:D,Log!B:B,,,-1)),"")</f>
        <v/>
      </c>
      <c r="O996" s="35" t="str">
        <f>IFERROR(_xlfn.XLOOKUP($C996,Log!D:D,Log!W:W,,,-1),"")</f>
        <v/>
      </c>
      <c r="P996" s="35" t="str">
        <f>IFERROR(_xlfn.XLOOKUP($C996,Log!D:D,Log!Y:Y,,,-1),"")</f>
        <v/>
      </c>
      <c r="Q996" s="130"/>
      <c r="R996" s="131" t="str">
        <f>IFERROR(IF(Tabela1[[#This Row],[Nome fantasia]]="","",_xlfn.XLOOKUP($C996,Log!D:D,Log!X:X,,,-1)),"")</f>
        <v/>
      </c>
    </row>
    <row r="997" spans="3:18" hidden="1" x14ac:dyDescent="0.2">
      <c r="C997" s="30" t="s">
        <v>2504</v>
      </c>
      <c r="D997" s="110" t="s">
        <v>2505</v>
      </c>
      <c r="E997" s="33" t="s">
        <v>46</v>
      </c>
      <c r="F997" s="38"/>
      <c r="G997" s="38"/>
      <c r="H997" s="31"/>
      <c r="I997" s="32"/>
      <c r="J997" s="32"/>
      <c r="K997" s="45" t="s">
        <v>888</v>
      </c>
      <c r="L997" s="129"/>
      <c r="M997" s="33" t="str">
        <f t="shared" si="15"/>
        <v/>
      </c>
      <c r="N997" s="34" t="str">
        <f>IFERROR(IF(Tabela1[[#This Row],[Nome fantasia]]="","",_xlfn.XLOOKUP($C997,Log!D:D,Log!B:B,,,-1)),"")</f>
        <v/>
      </c>
      <c r="O997" s="35" t="str">
        <f>IFERROR(_xlfn.XLOOKUP($C997,Log!D:D,Log!W:W,,,-1),"")</f>
        <v/>
      </c>
      <c r="P997" s="35" t="str">
        <f>IFERROR(_xlfn.XLOOKUP($C997,Log!D:D,Log!Y:Y,,,-1),"")</f>
        <v/>
      </c>
      <c r="Q997" s="130"/>
      <c r="R997" s="131" t="str">
        <f>IFERROR(IF(Tabela1[[#This Row],[Nome fantasia]]="","",_xlfn.XLOOKUP($C997,Log!D:D,Log!X:X,,,-1)),"")</f>
        <v/>
      </c>
    </row>
    <row r="998" spans="3:18" hidden="1" x14ac:dyDescent="0.2">
      <c r="C998" s="30"/>
      <c r="D998" s="110" t="s">
        <v>2506</v>
      </c>
      <c r="E998" s="33" t="s">
        <v>46</v>
      </c>
      <c r="F998" s="38"/>
      <c r="G998" s="38"/>
      <c r="H998" s="31"/>
      <c r="I998" s="32"/>
      <c r="J998" s="32"/>
      <c r="K998" s="45" t="s">
        <v>888</v>
      </c>
      <c r="L998" s="129"/>
      <c r="M998" s="33" t="str">
        <f t="shared" si="15"/>
        <v/>
      </c>
      <c r="N998" s="34" t="str">
        <f>IFERROR(IF(Tabela1[[#This Row],[Nome fantasia]]="","",_xlfn.XLOOKUP($C998,Log!D:D,Log!B:B,,,-1)),"")</f>
        <v/>
      </c>
      <c r="O998" s="35" t="str">
        <f>IFERROR(_xlfn.XLOOKUP($C998,Log!D:D,Log!W:W,,,-1),"")</f>
        <v/>
      </c>
      <c r="P998" s="35" t="str">
        <f>IFERROR(_xlfn.XLOOKUP($C998,Log!D:D,Log!Y:Y,,,-1),"")</f>
        <v/>
      </c>
      <c r="Q998" s="130"/>
      <c r="R998" s="131" t="str">
        <f>IFERROR(IF(Tabela1[[#This Row],[Nome fantasia]]="","",_xlfn.XLOOKUP($C998,Log!D:D,Log!X:X,,,-1)),"")</f>
        <v/>
      </c>
    </row>
    <row r="999" spans="3:18" hidden="1" x14ac:dyDescent="0.2">
      <c r="C999" s="30" t="s">
        <v>2507</v>
      </c>
      <c r="D999" s="110" t="s">
        <v>2508</v>
      </c>
      <c r="E999" s="33" t="s">
        <v>46</v>
      </c>
      <c r="F999" s="38"/>
      <c r="G999" s="38"/>
      <c r="H999" s="31"/>
      <c r="I999" s="32"/>
      <c r="J999" s="32"/>
      <c r="K999" s="45" t="s">
        <v>888</v>
      </c>
      <c r="L999" s="129"/>
      <c r="M999" s="33" t="str">
        <f t="shared" si="15"/>
        <v/>
      </c>
      <c r="N999" s="34" t="str">
        <f>IFERROR(IF(Tabela1[[#This Row],[Nome fantasia]]="","",_xlfn.XLOOKUP($C999,Log!D:D,Log!B:B,,,-1)),"")</f>
        <v/>
      </c>
      <c r="O999" s="35" t="str">
        <f>IFERROR(_xlfn.XLOOKUP($C999,Log!D:D,Log!W:W,,,-1),"")</f>
        <v/>
      </c>
      <c r="P999" s="35" t="str">
        <f>IFERROR(_xlfn.XLOOKUP($C999,Log!D:D,Log!Y:Y,,,-1),"")</f>
        <v/>
      </c>
      <c r="Q999" s="130"/>
      <c r="R999" s="131" t="str">
        <f>IFERROR(IF(Tabela1[[#This Row],[Nome fantasia]]="","",_xlfn.XLOOKUP($C999,Log!D:D,Log!X:X,,,-1)),"")</f>
        <v/>
      </c>
    </row>
    <row r="1000" spans="3:18" hidden="1" x14ac:dyDescent="0.2">
      <c r="C1000" s="30"/>
      <c r="D1000" s="110" t="s">
        <v>2509</v>
      </c>
      <c r="E1000" s="33" t="s">
        <v>22</v>
      </c>
      <c r="F1000" s="38"/>
      <c r="G1000" s="38"/>
      <c r="H1000" s="31"/>
      <c r="I1000" s="32"/>
      <c r="J1000" s="32"/>
      <c r="K1000" s="45" t="s">
        <v>888</v>
      </c>
      <c r="L1000" s="129"/>
      <c r="M1000" s="33" t="str">
        <f t="shared" si="15"/>
        <v/>
      </c>
      <c r="N1000" s="34" t="str">
        <f>IFERROR(IF(Tabela1[[#This Row],[Nome fantasia]]="","",_xlfn.XLOOKUP($C1000,Log!D:D,Log!B:B,,,-1)),"")</f>
        <v/>
      </c>
      <c r="O1000" s="35" t="str">
        <f>IFERROR(_xlfn.XLOOKUP($C1000,Log!D:D,Log!W:W,,,-1),"")</f>
        <v/>
      </c>
      <c r="P1000" s="35" t="str">
        <f>IFERROR(_xlfn.XLOOKUP($C1000,Log!D:D,Log!Y:Y,,,-1),"")</f>
        <v/>
      </c>
      <c r="Q1000" s="130"/>
      <c r="R1000" s="131" t="str">
        <f>IFERROR(IF(Tabela1[[#This Row],[Nome fantasia]]="","",_xlfn.XLOOKUP($C1000,Log!D:D,Log!X:X,,,-1)),"")</f>
        <v/>
      </c>
    </row>
    <row r="1001" spans="3:18" hidden="1" x14ac:dyDescent="0.2">
      <c r="C1001" s="30" t="s">
        <v>2510</v>
      </c>
      <c r="D1001" s="110" t="s">
        <v>2511</v>
      </c>
      <c r="E1001" s="33" t="s">
        <v>22</v>
      </c>
      <c r="F1001" s="38"/>
      <c r="G1001" s="38"/>
      <c r="H1001" s="31"/>
      <c r="I1001" s="32"/>
      <c r="J1001" s="32"/>
      <c r="K1001" s="45" t="s">
        <v>888</v>
      </c>
      <c r="L1001" s="129"/>
      <c r="M1001" s="33" t="str">
        <f t="shared" si="15"/>
        <v/>
      </c>
      <c r="N1001" s="34" t="str">
        <f>IFERROR(IF(Tabela1[[#This Row],[Nome fantasia]]="","",_xlfn.XLOOKUP($C1001,Log!D:D,Log!B:B,,,-1)),"")</f>
        <v/>
      </c>
      <c r="O1001" s="35" t="str">
        <f>IFERROR(_xlfn.XLOOKUP($C1001,Log!D:D,Log!W:W,,,-1),"")</f>
        <v/>
      </c>
      <c r="P1001" s="35" t="str">
        <f>IFERROR(_xlfn.XLOOKUP($C1001,Log!D:D,Log!Y:Y,,,-1),"")</f>
        <v/>
      </c>
      <c r="Q1001" s="130"/>
      <c r="R1001" s="131" t="str">
        <f>IFERROR(IF(Tabela1[[#This Row],[Nome fantasia]]="","",_xlfn.XLOOKUP($C1001,Log!D:D,Log!X:X,,,-1)),"")</f>
        <v/>
      </c>
    </row>
    <row r="1002" spans="3:18" hidden="1" x14ac:dyDescent="0.2">
      <c r="C1002" s="30" t="s">
        <v>2512</v>
      </c>
      <c r="D1002" s="110" t="s">
        <v>2513</v>
      </c>
      <c r="E1002" s="33" t="s">
        <v>17</v>
      </c>
      <c r="F1002" s="38"/>
      <c r="G1002" s="38"/>
      <c r="H1002" s="31"/>
      <c r="I1002" s="32"/>
      <c r="J1002" s="32"/>
      <c r="K1002" s="45" t="s">
        <v>888</v>
      </c>
      <c r="L1002" s="129"/>
      <c r="M1002" s="33" t="str">
        <f t="shared" si="15"/>
        <v/>
      </c>
      <c r="N1002" s="34" t="str">
        <f>IFERROR(IF(Tabela1[[#This Row],[Nome fantasia]]="","",_xlfn.XLOOKUP($C1002,Log!D:D,Log!B:B,,,-1)),"")</f>
        <v/>
      </c>
      <c r="O1002" s="35" t="str">
        <f>IFERROR(_xlfn.XLOOKUP($C1002,Log!D:D,Log!W:W,,,-1),"")</f>
        <v/>
      </c>
      <c r="P1002" s="35" t="str">
        <f>IFERROR(_xlfn.XLOOKUP($C1002,Log!D:D,Log!Y:Y,,,-1),"")</f>
        <v/>
      </c>
      <c r="Q1002" s="130"/>
      <c r="R1002" s="131" t="str">
        <f>IFERROR(IF(Tabela1[[#This Row],[Nome fantasia]]="","",_xlfn.XLOOKUP($C1002,Log!D:D,Log!X:X,,,-1)),"")</f>
        <v/>
      </c>
    </row>
    <row r="1003" spans="3:18" hidden="1" x14ac:dyDescent="0.2">
      <c r="C1003" s="30" t="s">
        <v>1862</v>
      </c>
      <c r="D1003" s="110" t="s">
        <v>2514</v>
      </c>
      <c r="E1003" s="33" t="s">
        <v>22</v>
      </c>
      <c r="F1003" s="38"/>
      <c r="G1003" s="38"/>
      <c r="H1003" s="31"/>
      <c r="I1003" s="32"/>
      <c r="J1003" s="32"/>
      <c r="K1003" s="45" t="s">
        <v>888</v>
      </c>
      <c r="L1003" s="129"/>
      <c r="M1003" s="33" t="str">
        <f t="shared" si="15"/>
        <v/>
      </c>
      <c r="N1003" s="34" t="str">
        <f>IFERROR(IF(Tabela1[[#This Row],[Nome fantasia]]="","",_xlfn.XLOOKUP($C1003,Log!D:D,Log!B:B,,,-1)),"")</f>
        <v/>
      </c>
      <c r="O1003" s="35" t="str">
        <f>IFERROR(_xlfn.XLOOKUP($C1003,Log!D:D,Log!W:W,,,-1),"")</f>
        <v/>
      </c>
      <c r="P1003" s="35" t="str">
        <f>IFERROR(_xlfn.XLOOKUP($C1003,Log!D:D,Log!Y:Y,,,-1),"")</f>
        <v/>
      </c>
      <c r="Q1003" s="130"/>
      <c r="R1003" s="131" t="str">
        <f>IFERROR(IF(Tabela1[[#This Row],[Nome fantasia]]="","",_xlfn.XLOOKUP($C1003,Log!D:D,Log!X:X,,,-1)),"")</f>
        <v/>
      </c>
    </row>
    <row r="1004" spans="3:18" hidden="1" x14ac:dyDescent="0.2">
      <c r="C1004" s="30" t="s">
        <v>2515</v>
      </c>
      <c r="D1004" s="110" t="s">
        <v>2516</v>
      </c>
      <c r="E1004" s="33" t="s">
        <v>46</v>
      </c>
      <c r="F1004" s="38"/>
      <c r="G1004" s="38"/>
      <c r="H1004" s="31"/>
      <c r="I1004" s="32"/>
      <c r="J1004" s="32"/>
      <c r="K1004" s="45" t="s">
        <v>888</v>
      </c>
      <c r="L1004" s="129"/>
      <c r="M1004" s="33" t="str">
        <f t="shared" si="15"/>
        <v/>
      </c>
      <c r="N1004" s="34" t="str">
        <f>IFERROR(IF(Tabela1[[#This Row],[Nome fantasia]]="","",_xlfn.XLOOKUP($C1004,Log!D:D,Log!B:B,,,-1)),"")</f>
        <v/>
      </c>
      <c r="O1004" s="35" t="str">
        <f>IFERROR(_xlfn.XLOOKUP($C1004,Log!D:D,Log!W:W,,,-1),"")</f>
        <v/>
      </c>
      <c r="P1004" s="35" t="str">
        <f>IFERROR(_xlfn.XLOOKUP($C1004,Log!D:D,Log!Y:Y,,,-1),"")</f>
        <v/>
      </c>
      <c r="Q1004" s="130"/>
      <c r="R1004" s="131" t="str">
        <f>IFERROR(IF(Tabela1[[#This Row],[Nome fantasia]]="","",_xlfn.XLOOKUP($C1004,Log!D:D,Log!X:X,,,-1)),"")</f>
        <v/>
      </c>
    </row>
    <row r="1005" spans="3:18" hidden="1" x14ac:dyDescent="0.2">
      <c r="C1005" s="30" t="s">
        <v>2517</v>
      </c>
      <c r="D1005" s="110" t="s">
        <v>2518</v>
      </c>
      <c r="E1005" s="33" t="s">
        <v>22</v>
      </c>
      <c r="F1005" s="38"/>
      <c r="G1005" s="38"/>
      <c r="H1005" s="31"/>
      <c r="I1005" s="32"/>
      <c r="J1005" s="32"/>
      <c r="K1005" s="45" t="s">
        <v>888</v>
      </c>
      <c r="L1005" s="129"/>
      <c r="M1005" s="33" t="str">
        <f t="shared" si="15"/>
        <v/>
      </c>
      <c r="N1005" s="34" t="str">
        <f>IFERROR(IF(Tabela1[[#This Row],[Nome fantasia]]="","",_xlfn.XLOOKUP($C1005,Log!D:D,Log!B:B,,,-1)),"")</f>
        <v/>
      </c>
      <c r="O1005" s="35" t="str">
        <f>IFERROR(_xlfn.XLOOKUP($C1005,Log!D:D,Log!W:W,,,-1),"")</f>
        <v/>
      </c>
      <c r="P1005" s="35" t="str">
        <f>IFERROR(_xlfn.XLOOKUP($C1005,Log!D:D,Log!Y:Y,,,-1),"")</f>
        <v/>
      </c>
      <c r="Q1005" s="130"/>
      <c r="R1005" s="131" t="str">
        <f>IFERROR(IF(Tabela1[[#This Row],[Nome fantasia]]="","",_xlfn.XLOOKUP($C1005,Log!D:D,Log!X:X,,,-1)),"")</f>
        <v/>
      </c>
    </row>
    <row r="1006" spans="3:18" hidden="1" x14ac:dyDescent="0.2">
      <c r="C1006" s="30" t="s">
        <v>2519</v>
      </c>
      <c r="D1006" s="110" t="s">
        <v>2520</v>
      </c>
      <c r="E1006" s="33" t="s">
        <v>46</v>
      </c>
      <c r="F1006" s="38"/>
      <c r="G1006" s="38"/>
      <c r="H1006" s="31"/>
      <c r="I1006" s="32"/>
      <c r="J1006" s="32"/>
      <c r="K1006" s="45" t="s">
        <v>888</v>
      </c>
      <c r="L1006" s="129"/>
      <c r="M1006" s="33" t="str">
        <f t="shared" si="15"/>
        <v/>
      </c>
      <c r="N1006" s="34" t="str">
        <f>IFERROR(IF(Tabela1[[#This Row],[Nome fantasia]]="","",_xlfn.XLOOKUP($C1006,Log!D:D,Log!B:B,,,-1)),"")</f>
        <v/>
      </c>
      <c r="O1006" s="35" t="str">
        <f>IFERROR(_xlfn.XLOOKUP($C1006,Log!D:D,Log!W:W,,,-1),"")</f>
        <v/>
      </c>
      <c r="P1006" s="35" t="str">
        <f>IFERROR(_xlfn.XLOOKUP($C1006,Log!D:D,Log!Y:Y,,,-1),"")</f>
        <v/>
      </c>
      <c r="Q1006" s="130"/>
      <c r="R1006" s="131" t="str">
        <f>IFERROR(IF(Tabela1[[#This Row],[Nome fantasia]]="","",_xlfn.XLOOKUP($C1006,Log!D:D,Log!X:X,,,-1)),"")</f>
        <v/>
      </c>
    </row>
    <row r="1007" spans="3:18" hidden="1" x14ac:dyDescent="0.2">
      <c r="C1007" s="30" t="s">
        <v>2521</v>
      </c>
      <c r="D1007" s="110" t="s">
        <v>2522</v>
      </c>
      <c r="E1007" s="33" t="s">
        <v>22</v>
      </c>
      <c r="F1007" s="38"/>
      <c r="G1007" s="38"/>
      <c r="H1007" s="31"/>
      <c r="I1007" s="32"/>
      <c r="J1007" s="32"/>
      <c r="K1007" s="45" t="s">
        <v>888</v>
      </c>
      <c r="L1007" s="129"/>
      <c r="M1007" s="33" t="str">
        <f t="shared" si="15"/>
        <v/>
      </c>
      <c r="N1007" s="34" t="str">
        <f>IFERROR(IF(Tabela1[[#This Row],[Nome fantasia]]="","",_xlfn.XLOOKUP($C1007,Log!D:D,Log!B:B,,,-1)),"")</f>
        <v/>
      </c>
      <c r="O1007" s="35" t="str">
        <f>IFERROR(_xlfn.XLOOKUP($C1007,Log!D:D,Log!W:W,,,-1),"")</f>
        <v/>
      </c>
      <c r="P1007" s="35" t="str">
        <f>IFERROR(_xlfn.XLOOKUP($C1007,Log!D:D,Log!Y:Y,,,-1),"")</f>
        <v/>
      </c>
      <c r="Q1007" s="130"/>
      <c r="R1007" s="131" t="str">
        <f>IFERROR(IF(Tabela1[[#This Row],[Nome fantasia]]="","",_xlfn.XLOOKUP($C1007,Log!D:D,Log!X:X,,,-1)),"")</f>
        <v/>
      </c>
    </row>
    <row r="1008" spans="3:18" hidden="1" x14ac:dyDescent="0.2">
      <c r="C1008" s="30" t="s">
        <v>2523</v>
      </c>
      <c r="D1008" s="110" t="s">
        <v>2524</v>
      </c>
      <c r="E1008" s="33" t="s">
        <v>17</v>
      </c>
      <c r="F1008" s="38"/>
      <c r="G1008" s="38"/>
      <c r="H1008" s="31"/>
      <c r="I1008" s="32"/>
      <c r="J1008" s="32"/>
      <c r="K1008" s="45" t="s">
        <v>888</v>
      </c>
      <c r="L1008" s="129"/>
      <c r="M1008" s="33" t="str">
        <f t="shared" si="15"/>
        <v/>
      </c>
      <c r="N1008" s="34" t="str">
        <f>IFERROR(IF(Tabela1[[#This Row],[Nome fantasia]]="","",_xlfn.XLOOKUP($C1008,Log!D:D,Log!B:B,,,-1)),"")</f>
        <v/>
      </c>
      <c r="O1008" s="35" t="str">
        <f>IFERROR(_xlfn.XLOOKUP($C1008,Log!D:D,Log!W:W,,,-1),"")</f>
        <v/>
      </c>
      <c r="P1008" s="35" t="str">
        <f>IFERROR(_xlfn.XLOOKUP($C1008,Log!D:D,Log!Y:Y,,,-1),"")</f>
        <v/>
      </c>
      <c r="Q1008" s="130"/>
      <c r="R1008" s="131" t="str">
        <f>IFERROR(IF(Tabela1[[#This Row],[Nome fantasia]]="","",_xlfn.XLOOKUP($C1008,Log!D:D,Log!X:X,,,-1)),"")</f>
        <v/>
      </c>
    </row>
    <row r="1009" spans="3:18" hidden="1" x14ac:dyDescent="0.2">
      <c r="C1009" s="30" t="s">
        <v>2525</v>
      </c>
      <c r="D1009" s="110" t="s">
        <v>2526</v>
      </c>
      <c r="E1009" s="33" t="s">
        <v>46</v>
      </c>
      <c r="F1009" s="38"/>
      <c r="G1009" s="38"/>
      <c r="H1009" s="31"/>
      <c r="I1009" s="32"/>
      <c r="J1009" s="32"/>
      <c r="K1009" s="45" t="s">
        <v>888</v>
      </c>
      <c r="L1009" s="129"/>
      <c r="M1009" s="33" t="str">
        <f t="shared" si="15"/>
        <v/>
      </c>
      <c r="N1009" s="34" t="str">
        <f>IFERROR(IF(Tabela1[[#This Row],[Nome fantasia]]="","",_xlfn.XLOOKUP($C1009,Log!D:D,Log!B:B,,,-1)),"")</f>
        <v/>
      </c>
      <c r="O1009" s="35" t="str">
        <f>IFERROR(_xlfn.XLOOKUP($C1009,Log!D:D,Log!W:W,,,-1),"")</f>
        <v/>
      </c>
      <c r="P1009" s="35" t="str">
        <f>IFERROR(_xlfn.XLOOKUP($C1009,Log!D:D,Log!Y:Y,,,-1),"")</f>
        <v/>
      </c>
      <c r="Q1009" s="130"/>
      <c r="R1009" s="131" t="str">
        <f>IFERROR(IF(Tabela1[[#This Row],[Nome fantasia]]="","",_xlfn.XLOOKUP($C1009,Log!D:D,Log!X:X,,,-1)),"")</f>
        <v/>
      </c>
    </row>
    <row r="1010" spans="3:18" hidden="1" x14ac:dyDescent="0.2">
      <c r="C1010" s="30" t="s">
        <v>2527</v>
      </c>
      <c r="D1010" s="110" t="s">
        <v>2528</v>
      </c>
      <c r="E1010" s="33" t="s">
        <v>46</v>
      </c>
      <c r="F1010" s="38"/>
      <c r="G1010" s="38"/>
      <c r="H1010" s="31"/>
      <c r="I1010" s="32"/>
      <c r="J1010" s="32"/>
      <c r="K1010" s="45" t="s">
        <v>888</v>
      </c>
      <c r="L1010" s="129"/>
      <c r="M1010" s="33" t="str">
        <f t="shared" si="15"/>
        <v/>
      </c>
      <c r="N1010" s="34" t="str">
        <f>IFERROR(IF(Tabela1[[#This Row],[Nome fantasia]]="","",_xlfn.XLOOKUP($C1010,Log!D:D,Log!B:B,,,-1)),"")</f>
        <v/>
      </c>
      <c r="O1010" s="35" t="str">
        <f>IFERROR(_xlfn.XLOOKUP($C1010,Log!D:D,Log!W:W,,,-1),"")</f>
        <v/>
      </c>
      <c r="P1010" s="35" t="str">
        <f>IFERROR(_xlfn.XLOOKUP($C1010,Log!D:D,Log!Y:Y,,,-1),"")</f>
        <v/>
      </c>
      <c r="Q1010" s="130"/>
      <c r="R1010" s="131" t="str">
        <f>IFERROR(IF(Tabela1[[#This Row],[Nome fantasia]]="","",_xlfn.XLOOKUP($C1010,Log!D:D,Log!X:X,,,-1)),"")</f>
        <v/>
      </c>
    </row>
    <row r="1011" spans="3:18" hidden="1" x14ac:dyDescent="0.2">
      <c r="C1011" s="30"/>
      <c r="D1011" s="110" t="s">
        <v>2529</v>
      </c>
      <c r="E1011" s="33" t="s">
        <v>22</v>
      </c>
      <c r="F1011" s="38"/>
      <c r="G1011" s="38"/>
      <c r="H1011" s="31"/>
      <c r="I1011" s="32"/>
      <c r="J1011" s="32"/>
      <c r="K1011" s="45" t="s">
        <v>888</v>
      </c>
      <c r="L1011" s="129"/>
      <c r="M1011" s="33" t="str">
        <f t="shared" si="15"/>
        <v/>
      </c>
      <c r="N1011" s="34" t="str">
        <f>IFERROR(IF(Tabela1[[#This Row],[Nome fantasia]]="","",_xlfn.XLOOKUP($C1011,Log!D:D,Log!B:B,,,-1)),"")</f>
        <v/>
      </c>
      <c r="O1011" s="35" t="str">
        <f>IFERROR(_xlfn.XLOOKUP($C1011,Log!D:D,Log!W:W,,,-1),"")</f>
        <v/>
      </c>
      <c r="P1011" s="35" t="str">
        <f>IFERROR(_xlfn.XLOOKUP($C1011,Log!D:D,Log!Y:Y,,,-1),"")</f>
        <v/>
      </c>
      <c r="Q1011" s="130"/>
      <c r="R1011" s="131" t="str">
        <f>IFERROR(IF(Tabela1[[#This Row],[Nome fantasia]]="","",_xlfn.XLOOKUP($C1011,Log!D:D,Log!X:X,,,-1)),"")</f>
        <v/>
      </c>
    </row>
    <row r="1012" spans="3:18" hidden="1" x14ac:dyDescent="0.2">
      <c r="C1012" s="30" t="s">
        <v>2531</v>
      </c>
      <c r="D1012" s="110" t="s">
        <v>2532</v>
      </c>
      <c r="E1012" s="33" t="s">
        <v>22</v>
      </c>
      <c r="F1012" s="38"/>
      <c r="G1012" s="38"/>
      <c r="H1012" s="31"/>
      <c r="I1012" s="32"/>
      <c r="J1012" s="32"/>
      <c r="K1012" s="45" t="s">
        <v>888</v>
      </c>
      <c r="L1012" s="129"/>
      <c r="M1012" s="33" t="str">
        <f t="shared" si="15"/>
        <v/>
      </c>
      <c r="N1012" s="34" t="str">
        <f>IFERROR(IF(Tabela1[[#This Row],[Nome fantasia]]="","",_xlfn.XLOOKUP($C1012,Log!D:D,Log!B:B,,,-1)),"")</f>
        <v/>
      </c>
      <c r="O1012" s="35" t="str">
        <f>IFERROR(_xlfn.XLOOKUP($C1012,Log!D:D,Log!W:W,,,-1),"")</f>
        <v/>
      </c>
      <c r="P1012" s="35" t="str">
        <f>IFERROR(_xlfn.XLOOKUP($C1012,Log!D:D,Log!Y:Y,,,-1),"")</f>
        <v/>
      </c>
      <c r="Q1012" s="130"/>
      <c r="R1012" s="131" t="str">
        <f>IFERROR(IF(Tabela1[[#This Row],[Nome fantasia]]="","",_xlfn.XLOOKUP($C1012,Log!D:D,Log!X:X,,,-1)),"")</f>
        <v/>
      </c>
    </row>
    <row r="1013" spans="3:18" hidden="1" x14ac:dyDescent="0.2">
      <c r="C1013" s="30" t="s">
        <v>2533</v>
      </c>
      <c r="D1013" s="110" t="s">
        <v>2534</v>
      </c>
      <c r="E1013" s="33" t="s">
        <v>17</v>
      </c>
      <c r="F1013" s="38"/>
      <c r="G1013" s="38"/>
      <c r="H1013" s="31"/>
      <c r="I1013" s="32"/>
      <c r="J1013" s="32"/>
      <c r="K1013" s="45" t="s">
        <v>888</v>
      </c>
      <c r="L1013" s="129"/>
      <c r="M1013" s="33" t="str">
        <f t="shared" si="15"/>
        <v/>
      </c>
      <c r="N1013" s="34" t="str">
        <f>IFERROR(IF(Tabela1[[#This Row],[Nome fantasia]]="","",_xlfn.XLOOKUP($C1013,Log!D:D,Log!B:B,,,-1)),"")</f>
        <v/>
      </c>
      <c r="O1013" s="35" t="str">
        <f>IFERROR(_xlfn.XLOOKUP($C1013,Log!D:D,Log!W:W,,,-1),"")</f>
        <v/>
      </c>
      <c r="P1013" s="35" t="str">
        <f>IFERROR(_xlfn.XLOOKUP($C1013,Log!D:D,Log!Y:Y,,,-1),"")</f>
        <v/>
      </c>
      <c r="Q1013" s="130"/>
      <c r="R1013" s="131" t="str">
        <f>IFERROR(IF(Tabela1[[#This Row],[Nome fantasia]]="","",_xlfn.XLOOKUP($C1013,Log!D:D,Log!X:X,,,-1)),"")</f>
        <v/>
      </c>
    </row>
    <row r="1014" spans="3:18" hidden="1" x14ac:dyDescent="0.2">
      <c r="C1014" s="30" t="s">
        <v>2535</v>
      </c>
      <c r="D1014" s="110" t="s">
        <v>2536</v>
      </c>
      <c r="E1014" s="33" t="s">
        <v>17</v>
      </c>
      <c r="F1014" s="38"/>
      <c r="G1014" s="38"/>
      <c r="H1014" s="31"/>
      <c r="I1014" s="32"/>
      <c r="J1014" s="32"/>
      <c r="K1014" s="45" t="s">
        <v>888</v>
      </c>
      <c r="L1014" s="129"/>
      <c r="M1014" s="33" t="str">
        <f t="shared" si="15"/>
        <v/>
      </c>
      <c r="N1014" s="34" t="str">
        <f>IFERROR(IF(Tabela1[[#This Row],[Nome fantasia]]="","",_xlfn.XLOOKUP($C1014,Log!D:D,Log!B:B,,,-1)),"")</f>
        <v/>
      </c>
      <c r="O1014" s="35" t="str">
        <f>IFERROR(_xlfn.XLOOKUP($C1014,Log!D:D,Log!W:W,,,-1),"")</f>
        <v/>
      </c>
      <c r="P1014" s="35" t="str">
        <f>IFERROR(_xlfn.XLOOKUP($C1014,Log!D:D,Log!Y:Y,,,-1),"")</f>
        <v/>
      </c>
      <c r="Q1014" s="130"/>
      <c r="R1014" s="131" t="str">
        <f>IFERROR(IF(Tabela1[[#This Row],[Nome fantasia]]="","",_xlfn.XLOOKUP($C1014,Log!D:D,Log!X:X,,,-1)),"")</f>
        <v/>
      </c>
    </row>
    <row r="1015" spans="3:18" hidden="1" x14ac:dyDescent="0.2">
      <c r="C1015" s="30" t="s">
        <v>2537</v>
      </c>
      <c r="D1015" s="110" t="s">
        <v>2538</v>
      </c>
      <c r="E1015" s="33" t="s">
        <v>46</v>
      </c>
      <c r="F1015" s="38"/>
      <c r="G1015" s="38"/>
      <c r="H1015" s="31"/>
      <c r="I1015" s="32"/>
      <c r="J1015" s="32"/>
      <c r="K1015" s="45" t="s">
        <v>888</v>
      </c>
      <c r="L1015" s="129"/>
      <c r="M1015" s="33" t="str">
        <f t="shared" si="15"/>
        <v/>
      </c>
      <c r="N1015" s="34" t="str">
        <f>IFERROR(IF(Tabela1[[#This Row],[Nome fantasia]]="","",_xlfn.XLOOKUP($C1015,Log!D:D,Log!B:B,,,-1)),"")</f>
        <v/>
      </c>
      <c r="O1015" s="35" t="str">
        <f>IFERROR(_xlfn.XLOOKUP($C1015,Log!D:D,Log!W:W,,,-1),"")</f>
        <v/>
      </c>
      <c r="P1015" s="35" t="str">
        <f>IFERROR(_xlfn.XLOOKUP($C1015,Log!D:D,Log!Y:Y,,,-1),"")</f>
        <v/>
      </c>
      <c r="Q1015" s="130"/>
      <c r="R1015" s="131" t="str">
        <f>IFERROR(IF(Tabela1[[#This Row],[Nome fantasia]]="","",_xlfn.XLOOKUP($C1015,Log!D:D,Log!X:X,,,-1)),"")</f>
        <v/>
      </c>
    </row>
    <row r="1016" spans="3:18" hidden="1" x14ac:dyDescent="0.2">
      <c r="C1016" s="30" t="s">
        <v>2539</v>
      </c>
      <c r="D1016" s="110" t="s">
        <v>2540</v>
      </c>
      <c r="E1016" s="33" t="s">
        <v>46</v>
      </c>
      <c r="F1016" s="38"/>
      <c r="G1016" s="38"/>
      <c r="H1016" s="31"/>
      <c r="I1016" s="32"/>
      <c r="J1016" s="32"/>
      <c r="K1016" s="45" t="s">
        <v>888</v>
      </c>
      <c r="L1016" s="129"/>
      <c r="M1016" s="33" t="str">
        <f t="shared" si="15"/>
        <v/>
      </c>
      <c r="N1016" s="34" t="str">
        <f>IFERROR(IF(Tabela1[[#This Row],[Nome fantasia]]="","",_xlfn.XLOOKUP($C1016,Log!D:D,Log!B:B,,,-1)),"")</f>
        <v/>
      </c>
      <c r="O1016" s="35" t="str">
        <f>IFERROR(_xlfn.XLOOKUP($C1016,Log!D:D,Log!W:W,,,-1),"")</f>
        <v/>
      </c>
      <c r="P1016" s="35" t="str">
        <f>IFERROR(_xlfn.XLOOKUP($C1016,Log!D:D,Log!Y:Y,,,-1),"")</f>
        <v/>
      </c>
      <c r="Q1016" s="130"/>
      <c r="R1016" s="131" t="str">
        <f>IFERROR(IF(Tabela1[[#This Row],[Nome fantasia]]="","",_xlfn.XLOOKUP($C1016,Log!D:D,Log!X:X,,,-1)),"")</f>
        <v/>
      </c>
    </row>
    <row r="1017" spans="3:18" hidden="1" x14ac:dyDescent="0.2">
      <c r="C1017" s="30" t="s">
        <v>2541</v>
      </c>
      <c r="D1017" s="110" t="s">
        <v>2542</v>
      </c>
      <c r="E1017" s="33" t="s">
        <v>17</v>
      </c>
      <c r="F1017" s="38"/>
      <c r="G1017" s="38"/>
      <c r="H1017" s="31"/>
      <c r="I1017" s="32"/>
      <c r="J1017" s="32"/>
      <c r="K1017" s="45" t="s">
        <v>888</v>
      </c>
      <c r="L1017" s="129"/>
      <c r="M1017" s="33" t="str">
        <f t="shared" si="15"/>
        <v/>
      </c>
      <c r="N1017" s="34" t="str">
        <f>IFERROR(IF(Tabela1[[#This Row],[Nome fantasia]]="","",_xlfn.XLOOKUP($C1017,Log!D:D,Log!B:B,,,-1)),"")</f>
        <v/>
      </c>
      <c r="O1017" s="35" t="str">
        <f>IFERROR(_xlfn.XLOOKUP($C1017,Log!D:D,Log!W:W,,,-1),"")</f>
        <v/>
      </c>
      <c r="P1017" s="35" t="str">
        <f>IFERROR(_xlfn.XLOOKUP($C1017,Log!D:D,Log!Y:Y,,,-1),"")</f>
        <v/>
      </c>
      <c r="Q1017" s="130"/>
      <c r="R1017" s="131" t="str">
        <f>IFERROR(IF(Tabela1[[#This Row],[Nome fantasia]]="","",_xlfn.XLOOKUP($C1017,Log!D:D,Log!X:X,,,-1)),"")</f>
        <v/>
      </c>
    </row>
    <row r="1018" spans="3:18" hidden="1" x14ac:dyDescent="0.2">
      <c r="C1018" s="30" t="s">
        <v>2543</v>
      </c>
      <c r="D1018" s="110" t="s">
        <v>2544</v>
      </c>
      <c r="E1018" s="33" t="s">
        <v>46</v>
      </c>
      <c r="F1018" s="38"/>
      <c r="G1018" s="38"/>
      <c r="H1018" s="31"/>
      <c r="I1018" s="32"/>
      <c r="J1018" s="32"/>
      <c r="K1018" s="45" t="s">
        <v>888</v>
      </c>
      <c r="L1018" s="129"/>
      <c r="M1018" s="33" t="str">
        <f t="shared" si="15"/>
        <v/>
      </c>
      <c r="N1018" s="34">
        <f>IFERROR(IF(Tabela1[[#This Row],[Nome fantasia]]="","",_xlfn.XLOOKUP($C1018,Log!D:D,Log!B:B,,,-1)),"")</f>
        <v>45999</v>
      </c>
      <c r="O1018" s="35" t="str">
        <f>IFERROR(_xlfn.XLOOKUP($C1018,Log!D:D,Log!W:W,,,-1),"")</f>
        <v>EM ATENDIMENTO</v>
      </c>
      <c r="P1018" s="35" t="str">
        <f>IFERROR(_xlfn.XLOOKUP($C1018,Log!D:D,Log!Y:Y,,,-1),"")</f>
        <v>TENTEI EM TODOS OS NUMEROS POSSIVEIS, NENHUM COMPLETA A LIGAÇÃO</v>
      </c>
      <c r="Q1018" s="130"/>
      <c r="R1018" s="131">
        <f>IFERROR(IF(Tabela1[[#This Row],[Nome fantasia]]="","",_xlfn.XLOOKUP($C1018,Log!D:D,Log!X:X,,,-1)),"")</f>
        <v>46001</v>
      </c>
    </row>
    <row r="1019" spans="3:18" hidden="1" x14ac:dyDescent="0.2">
      <c r="C1019" s="30" t="s">
        <v>2545</v>
      </c>
      <c r="D1019" s="110" t="s">
        <v>2546</v>
      </c>
      <c r="E1019" s="33" t="s">
        <v>22</v>
      </c>
      <c r="F1019" s="38"/>
      <c r="G1019" s="38"/>
      <c r="H1019" s="31"/>
      <c r="I1019" s="32"/>
      <c r="J1019" s="32"/>
      <c r="K1019" s="45" t="s">
        <v>888</v>
      </c>
      <c r="L1019" s="129"/>
      <c r="M1019" s="33" t="str">
        <f t="shared" si="15"/>
        <v/>
      </c>
      <c r="N1019" s="34" t="str">
        <f>IFERROR(IF(Tabela1[[#This Row],[Nome fantasia]]="","",_xlfn.XLOOKUP($C1019,Log!D:D,Log!B:B,,,-1)),"")</f>
        <v/>
      </c>
      <c r="O1019" s="35" t="str">
        <f>IFERROR(_xlfn.XLOOKUP($C1019,Log!D:D,Log!W:W,,,-1),"")</f>
        <v/>
      </c>
      <c r="P1019" s="35" t="str">
        <f>IFERROR(_xlfn.XLOOKUP($C1019,Log!D:D,Log!Y:Y,,,-1),"")</f>
        <v/>
      </c>
      <c r="Q1019" s="130"/>
      <c r="R1019" s="131" t="str">
        <f>IFERROR(IF(Tabela1[[#This Row],[Nome fantasia]]="","",_xlfn.XLOOKUP($C1019,Log!D:D,Log!X:X,,,-1)),"")</f>
        <v/>
      </c>
    </row>
    <row r="1020" spans="3:18" hidden="1" x14ac:dyDescent="0.2">
      <c r="C1020" s="30" t="s">
        <v>2547</v>
      </c>
      <c r="D1020" s="110" t="s">
        <v>2548</v>
      </c>
      <c r="E1020" s="33" t="s">
        <v>46</v>
      </c>
      <c r="F1020" s="38"/>
      <c r="G1020" s="38"/>
      <c r="H1020" s="31"/>
      <c r="I1020" s="32"/>
      <c r="J1020" s="32"/>
      <c r="K1020" s="45" t="s">
        <v>888</v>
      </c>
      <c r="L1020" s="129"/>
      <c r="M1020" s="33" t="str">
        <f t="shared" si="15"/>
        <v/>
      </c>
      <c r="N1020" s="34" t="str">
        <f>IFERROR(IF(Tabela1[[#This Row],[Nome fantasia]]="","",_xlfn.XLOOKUP($C1020,Log!D:D,Log!B:B,,,-1)),"")</f>
        <v/>
      </c>
      <c r="O1020" s="35" t="str">
        <f>IFERROR(_xlfn.XLOOKUP($C1020,Log!D:D,Log!W:W,,,-1),"")</f>
        <v/>
      </c>
      <c r="P1020" s="35" t="str">
        <f>IFERROR(_xlfn.XLOOKUP($C1020,Log!D:D,Log!Y:Y,,,-1),"")</f>
        <v/>
      </c>
      <c r="Q1020" s="130"/>
      <c r="R1020" s="131" t="str">
        <f>IFERROR(IF(Tabela1[[#This Row],[Nome fantasia]]="","",_xlfn.XLOOKUP($C1020,Log!D:D,Log!X:X,,,-1)),"")</f>
        <v/>
      </c>
    </row>
    <row r="1021" spans="3:18" hidden="1" x14ac:dyDescent="0.2">
      <c r="C1021" s="30" t="s">
        <v>2549</v>
      </c>
      <c r="D1021" s="110" t="s">
        <v>2550</v>
      </c>
      <c r="E1021" s="33" t="s">
        <v>46</v>
      </c>
      <c r="F1021" s="38"/>
      <c r="G1021" s="38"/>
      <c r="H1021" s="31"/>
      <c r="I1021" s="32"/>
      <c r="J1021" s="32"/>
      <c r="K1021" s="45" t="s">
        <v>888</v>
      </c>
      <c r="L1021" s="129"/>
      <c r="M1021" s="33" t="str">
        <f t="shared" si="15"/>
        <v/>
      </c>
      <c r="N1021" s="34" t="str">
        <f>IFERROR(IF(Tabela1[[#This Row],[Nome fantasia]]="","",_xlfn.XLOOKUP($C1021,Log!D:D,Log!B:B,,,-1)),"")</f>
        <v/>
      </c>
      <c r="O1021" s="35" t="str">
        <f>IFERROR(_xlfn.XLOOKUP($C1021,Log!D:D,Log!W:W,,,-1),"")</f>
        <v/>
      </c>
      <c r="P1021" s="35" t="str">
        <f>IFERROR(_xlfn.XLOOKUP($C1021,Log!D:D,Log!Y:Y,,,-1),"")</f>
        <v/>
      </c>
      <c r="Q1021" s="130"/>
      <c r="R1021" s="131" t="str">
        <f>IFERROR(IF(Tabela1[[#This Row],[Nome fantasia]]="","",_xlfn.XLOOKUP($C1021,Log!D:D,Log!X:X,,,-1)),"")</f>
        <v/>
      </c>
    </row>
    <row r="1022" spans="3:18" hidden="1" x14ac:dyDescent="0.2">
      <c r="C1022" s="30" t="s">
        <v>2551</v>
      </c>
      <c r="D1022" s="110" t="s">
        <v>2552</v>
      </c>
      <c r="E1022" s="33" t="s">
        <v>46</v>
      </c>
      <c r="F1022" s="38"/>
      <c r="G1022" s="38"/>
      <c r="H1022" s="31"/>
      <c r="I1022" s="32"/>
      <c r="J1022" s="32"/>
      <c r="K1022" s="45" t="s">
        <v>888</v>
      </c>
      <c r="L1022" s="129"/>
      <c r="M1022" s="33" t="str">
        <f t="shared" si="15"/>
        <v/>
      </c>
      <c r="N1022" s="34" t="str">
        <f>IFERROR(IF(Tabela1[[#This Row],[Nome fantasia]]="","",_xlfn.XLOOKUP($C1022,Log!D:D,Log!B:B,,,-1)),"")</f>
        <v/>
      </c>
      <c r="O1022" s="35" t="str">
        <f>IFERROR(_xlfn.XLOOKUP($C1022,Log!D:D,Log!W:W,,,-1),"")</f>
        <v/>
      </c>
      <c r="P1022" s="35" t="str">
        <f>IFERROR(_xlfn.XLOOKUP($C1022,Log!D:D,Log!Y:Y,,,-1),"")</f>
        <v/>
      </c>
      <c r="Q1022" s="130"/>
      <c r="R1022" s="131" t="str">
        <f>IFERROR(IF(Tabela1[[#This Row],[Nome fantasia]]="","",_xlfn.XLOOKUP($C1022,Log!D:D,Log!X:X,,,-1)),"")</f>
        <v/>
      </c>
    </row>
    <row r="1023" spans="3:18" hidden="1" x14ac:dyDescent="0.2">
      <c r="C1023" s="30" t="s">
        <v>2553</v>
      </c>
      <c r="D1023" s="110" t="s">
        <v>2554</v>
      </c>
      <c r="E1023" s="33" t="s">
        <v>22</v>
      </c>
      <c r="F1023" s="38"/>
      <c r="G1023" s="38"/>
      <c r="H1023" s="31"/>
      <c r="I1023" s="32"/>
      <c r="J1023" s="32"/>
      <c r="K1023" s="45" t="s">
        <v>888</v>
      </c>
      <c r="L1023" s="129"/>
      <c r="M1023" s="33" t="str">
        <f t="shared" si="15"/>
        <v/>
      </c>
      <c r="N1023" s="34" t="str">
        <f>IFERROR(IF(Tabela1[[#This Row],[Nome fantasia]]="","",_xlfn.XLOOKUP($C1023,Log!D:D,Log!B:B,,,-1)),"")</f>
        <v/>
      </c>
      <c r="O1023" s="35" t="str">
        <f>IFERROR(_xlfn.XLOOKUP($C1023,Log!D:D,Log!W:W,,,-1),"")</f>
        <v/>
      </c>
      <c r="P1023" s="35" t="str">
        <f>IFERROR(_xlfn.XLOOKUP($C1023,Log!D:D,Log!Y:Y,,,-1),"")</f>
        <v/>
      </c>
      <c r="Q1023" s="130"/>
      <c r="R1023" s="131" t="str">
        <f>IFERROR(IF(Tabela1[[#This Row],[Nome fantasia]]="","",_xlfn.XLOOKUP($C1023,Log!D:D,Log!X:X,,,-1)),"")</f>
        <v/>
      </c>
    </row>
    <row r="1024" spans="3:18" hidden="1" x14ac:dyDescent="0.2">
      <c r="C1024" s="30" t="s">
        <v>2555</v>
      </c>
      <c r="D1024" s="110" t="s">
        <v>2556</v>
      </c>
      <c r="E1024" s="33" t="s">
        <v>46</v>
      </c>
      <c r="F1024" s="38"/>
      <c r="G1024" s="38"/>
      <c r="H1024" s="31"/>
      <c r="I1024" s="32"/>
      <c r="J1024" s="32"/>
      <c r="K1024" s="45" t="s">
        <v>888</v>
      </c>
      <c r="L1024" s="129"/>
      <c r="M1024" s="33" t="str">
        <f t="shared" si="15"/>
        <v/>
      </c>
      <c r="N1024" s="34" t="str">
        <f>IFERROR(IF(Tabela1[[#This Row],[Nome fantasia]]="","",_xlfn.XLOOKUP($C1024,Log!D:D,Log!B:B,,,-1)),"")</f>
        <v/>
      </c>
      <c r="O1024" s="35" t="str">
        <f>IFERROR(_xlfn.XLOOKUP($C1024,Log!D:D,Log!W:W,,,-1),"")</f>
        <v/>
      </c>
      <c r="P1024" s="35" t="str">
        <f>IFERROR(_xlfn.XLOOKUP($C1024,Log!D:D,Log!Y:Y,,,-1),"")</f>
        <v/>
      </c>
      <c r="Q1024" s="130"/>
      <c r="R1024" s="131" t="str">
        <f>IFERROR(IF(Tabela1[[#This Row],[Nome fantasia]]="","",_xlfn.XLOOKUP($C1024,Log!D:D,Log!X:X,,,-1)),"")</f>
        <v/>
      </c>
    </row>
    <row r="1025" spans="3:18" hidden="1" x14ac:dyDescent="0.2">
      <c r="C1025" s="30" t="s">
        <v>2557</v>
      </c>
      <c r="D1025" s="110" t="s">
        <v>2558</v>
      </c>
      <c r="E1025" s="33" t="s">
        <v>46</v>
      </c>
      <c r="F1025" s="38"/>
      <c r="G1025" s="38"/>
      <c r="H1025" s="31"/>
      <c r="I1025" s="32"/>
      <c r="J1025" s="32"/>
      <c r="K1025" s="45" t="s">
        <v>888</v>
      </c>
      <c r="L1025" s="129"/>
      <c r="M1025" s="33" t="str">
        <f t="shared" si="15"/>
        <v/>
      </c>
      <c r="N1025" s="34" t="str">
        <f>IFERROR(IF(Tabela1[[#This Row],[Nome fantasia]]="","",_xlfn.XLOOKUP($C1025,Log!D:D,Log!B:B,,,-1)),"")</f>
        <v/>
      </c>
      <c r="O1025" s="35" t="str">
        <f>IFERROR(_xlfn.XLOOKUP($C1025,Log!D:D,Log!W:W,,,-1),"")</f>
        <v/>
      </c>
      <c r="P1025" s="35" t="str">
        <f>IFERROR(_xlfn.XLOOKUP($C1025,Log!D:D,Log!Y:Y,,,-1),"")</f>
        <v/>
      </c>
      <c r="Q1025" s="130"/>
      <c r="R1025" s="131" t="str">
        <f>IFERROR(IF(Tabela1[[#This Row],[Nome fantasia]]="","",_xlfn.XLOOKUP($C1025,Log!D:D,Log!X:X,,,-1)),"")</f>
        <v/>
      </c>
    </row>
    <row r="1026" spans="3:18" hidden="1" x14ac:dyDescent="0.2">
      <c r="C1026" s="30" t="s">
        <v>2559</v>
      </c>
      <c r="D1026" s="110" t="s">
        <v>2560</v>
      </c>
      <c r="E1026" s="33" t="s">
        <v>22</v>
      </c>
      <c r="F1026" s="38"/>
      <c r="G1026" s="38"/>
      <c r="H1026" s="31"/>
      <c r="I1026" s="32"/>
      <c r="J1026" s="32"/>
      <c r="K1026" s="45" t="s">
        <v>888</v>
      </c>
      <c r="L1026" s="129"/>
      <c r="M1026" s="33" t="str">
        <f t="shared" si="15"/>
        <v/>
      </c>
      <c r="N1026" s="34" t="str">
        <f>IFERROR(IF(Tabela1[[#This Row],[Nome fantasia]]="","",_xlfn.XLOOKUP($C1026,Log!D:D,Log!B:B,,,-1)),"")</f>
        <v/>
      </c>
      <c r="O1026" s="35" t="str">
        <f>IFERROR(_xlfn.XLOOKUP($C1026,Log!D:D,Log!W:W,,,-1),"")</f>
        <v/>
      </c>
      <c r="P1026" s="35" t="str">
        <f>IFERROR(_xlfn.XLOOKUP($C1026,Log!D:D,Log!Y:Y,,,-1),"")</f>
        <v/>
      </c>
      <c r="Q1026" s="130"/>
      <c r="R1026" s="131" t="str">
        <f>IFERROR(IF(Tabela1[[#This Row],[Nome fantasia]]="","",_xlfn.XLOOKUP($C1026,Log!D:D,Log!X:X,,,-1)),"")</f>
        <v/>
      </c>
    </row>
    <row r="1027" spans="3:18" hidden="1" x14ac:dyDescent="0.2">
      <c r="C1027" s="30" t="s">
        <v>2561</v>
      </c>
      <c r="D1027" s="110" t="s">
        <v>2562</v>
      </c>
      <c r="E1027" s="33" t="s">
        <v>22</v>
      </c>
      <c r="F1027" s="38"/>
      <c r="G1027" s="38"/>
      <c r="H1027" s="31"/>
      <c r="I1027" s="32"/>
      <c r="J1027" s="32"/>
      <c r="K1027" s="45" t="s">
        <v>888</v>
      </c>
      <c r="L1027" s="129"/>
      <c r="M1027" s="33" t="str">
        <f t="shared" ref="M1027:M1090" si="16">IF(OR(J1027&lt;=0,J1027=""),"","Recompra")</f>
        <v/>
      </c>
      <c r="N1027" s="34" t="str">
        <f>IFERROR(IF(Tabela1[[#This Row],[Nome fantasia]]="","",_xlfn.XLOOKUP($C1027,Log!D:D,Log!B:B,,,-1)),"")</f>
        <v/>
      </c>
      <c r="O1027" s="35" t="str">
        <f>IFERROR(_xlfn.XLOOKUP($C1027,Log!D:D,Log!W:W,,,-1),"")</f>
        <v/>
      </c>
      <c r="P1027" s="35" t="str">
        <f>IFERROR(_xlfn.XLOOKUP($C1027,Log!D:D,Log!Y:Y,,,-1),"")</f>
        <v/>
      </c>
      <c r="Q1027" s="130"/>
      <c r="R1027" s="131" t="str">
        <f>IFERROR(IF(Tabela1[[#This Row],[Nome fantasia]]="","",_xlfn.XLOOKUP($C1027,Log!D:D,Log!X:X,,,-1)),"")</f>
        <v/>
      </c>
    </row>
    <row r="1028" spans="3:18" hidden="1" x14ac:dyDescent="0.2">
      <c r="C1028" s="30" t="s">
        <v>2563</v>
      </c>
      <c r="D1028" s="110" t="s">
        <v>2564</v>
      </c>
      <c r="E1028" s="33" t="s">
        <v>22</v>
      </c>
      <c r="F1028" s="38"/>
      <c r="G1028" s="38"/>
      <c r="H1028" s="31"/>
      <c r="I1028" s="32"/>
      <c r="J1028" s="32"/>
      <c r="K1028" s="45" t="s">
        <v>888</v>
      </c>
      <c r="L1028" s="129"/>
      <c r="M1028" s="33" t="str">
        <f t="shared" si="16"/>
        <v/>
      </c>
      <c r="N1028" s="34" t="str">
        <f>IFERROR(IF(Tabela1[[#This Row],[Nome fantasia]]="","",_xlfn.XLOOKUP($C1028,Log!D:D,Log!B:B,,,-1)),"")</f>
        <v/>
      </c>
      <c r="O1028" s="35" t="str">
        <f>IFERROR(_xlfn.XLOOKUP($C1028,Log!D:D,Log!W:W,,,-1),"")</f>
        <v/>
      </c>
      <c r="P1028" s="35" t="str">
        <f>IFERROR(_xlfn.XLOOKUP($C1028,Log!D:D,Log!Y:Y,,,-1),"")</f>
        <v/>
      </c>
      <c r="Q1028" s="130"/>
      <c r="R1028" s="131" t="str">
        <f>IFERROR(IF(Tabela1[[#This Row],[Nome fantasia]]="","",_xlfn.XLOOKUP($C1028,Log!D:D,Log!X:X,,,-1)),"")</f>
        <v/>
      </c>
    </row>
    <row r="1029" spans="3:18" hidden="1" x14ac:dyDescent="0.2">
      <c r="C1029" s="30" t="s">
        <v>2153</v>
      </c>
      <c r="D1029" s="110" t="s">
        <v>2565</v>
      </c>
      <c r="E1029" s="33" t="s">
        <v>46</v>
      </c>
      <c r="F1029" s="38"/>
      <c r="G1029" s="38"/>
      <c r="H1029" s="31"/>
      <c r="I1029" s="32"/>
      <c r="J1029" s="32"/>
      <c r="K1029" s="45" t="s">
        <v>888</v>
      </c>
      <c r="L1029" s="129"/>
      <c r="M1029" s="33" t="str">
        <f t="shared" si="16"/>
        <v/>
      </c>
      <c r="N1029" s="34" t="str">
        <f>IFERROR(IF(Tabela1[[#This Row],[Nome fantasia]]="","",_xlfn.XLOOKUP($C1029,Log!D:D,Log!B:B,,,-1)),"")</f>
        <v/>
      </c>
      <c r="O1029" s="35" t="str">
        <f>IFERROR(_xlfn.XLOOKUP($C1029,Log!D:D,Log!W:W,,,-1),"")</f>
        <v/>
      </c>
      <c r="P1029" s="35" t="str">
        <f>IFERROR(_xlfn.XLOOKUP($C1029,Log!D:D,Log!Y:Y,,,-1),"")</f>
        <v/>
      </c>
      <c r="Q1029" s="130"/>
      <c r="R1029" s="131" t="str">
        <f>IFERROR(IF(Tabela1[[#This Row],[Nome fantasia]]="","",_xlfn.XLOOKUP($C1029,Log!D:D,Log!X:X,,,-1)),"")</f>
        <v/>
      </c>
    </row>
    <row r="1030" spans="3:18" hidden="1" x14ac:dyDescent="0.2">
      <c r="C1030" s="30"/>
      <c r="D1030" s="110" t="s">
        <v>2566</v>
      </c>
      <c r="E1030" s="33" t="s">
        <v>22</v>
      </c>
      <c r="F1030" s="38"/>
      <c r="G1030" s="38"/>
      <c r="H1030" s="31"/>
      <c r="I1030" s="32"/>
      <c r="J1030" s="32"/>
      <c r="K1030" s="45" t="s">
        <v>888</v>
      </c>
      <c r="L1030" s="129"/>
      <c r="M1030" s="33" t="str">
        <f t="shared" si="16"/>
        <v/>
      </c>
      <c r="N1030" s="34" t="str">
        <f>IFERROR(IF(Tabela1[[#This Row],[Nome fantasia]]="","",_xlfn.XLOOKUP($C1030,Log!D:D,Log!B:B,,,-1)),"")</f>
        <v/>
      </c>
      <c r="O1030" s="35" t="str">
        <f>IFERROR(_xlfn.XLOOKUP($C1030,Log!D:D,Log!W:W,,,-1),"")</f>
        <v/>
      </c>
      <c r="P1030" s="35" t="str">
        <f>IFERROR(_xlfn.XLOOKUP($C1030,Log!D:D,Log!Y:Y,,,-1),"")</f>
        <v/>
      </c>
      <c r="Q1030" s="130"/>
      <c r="R1030" s="131" t="str">
        <f>IFERROR(IF(Tabela1[[#This Row],[Nome fantasia]]="","",_xlfn.XLOOKUP($C1030,Log!D:D,Log!X:X,,,-1)),"")</f>
        <v/>
      </c>
    </row>
    <row r="1031" spans="3:18" hidden="1" x14ac:dyDescent="0.2">
      <c r="C1031" s="30" t="s">
        <v>2567</v>
      </c>
      <c r="D1031" s="110" t="s">
        <v>2568</v>
      </c>
      <c r="E1031" s="33" t="s">
        <v>46</v>
      </c>
      <c r="F1031" s="38"/>
      <c r="G1031" s="38"/>
      <c r="H1031" s="31"/>
      <c r="I1031" s="32"/>
      <c r="J1031" s="32"/>
      <c r="K1031" s="45" t="s">
        <v>888</v>
      </c>
      <c r="L1031" s="129"/>
      <c r="M1031" s="33" t="str">
        <f t="shared" si="16"/>
        <v/>
      </c>
      <c r="N1031" s="34" t="str">
        <f>IFERROR(IF(Tabela1[[#This Row],[Nome fantasia]]="","",_xlfn.XLOOKUP($C1031,Log!D:D,Log!B:B,,,-1)),"")</f>
        <v/>
      </c>
      <c r="O1031" s="35" t="str">
        <f>IFERROR(_xlfn.XLOOKUP($C1031,Log!D:D,Log!W:W,,,-1),"")</f>
        <v/>
      </c>
      <c r="P1031" s="35" t="str">
        <f>IFERROR(_xlfn.XLOOKUP($C1031,Log!D:D,Log!Y:Y,,,-1),"")</f>
        <v/>
      </c>
      <c r="Q1031" s="130"/>
      <c r="R1031" s="131" t="str">
        <f>IFERROR(IF(Tabela1[[#This Row],[Nome fantasia]]="","",_xlfn.XLOOKUP($C1031,Log!D:D,Log!X:X,,,-1)),"")</f>
        <v/>
      </c>
    </row>
    <row r="1032" spans="3:18" hidden="1" x14ac:dyDescent="0.2">
      <c r="C1032" s="30" t="s">
        <v>2569</v>
      </c>
      <c r="D1032" s="110" t="s">
        <v>2570</v>
      </c>
      <c r="E1032" s="33" t="s">
        <v>22</v>
      </c>
      <c r="F1032" s="38"/>
      <c r="G1032" s="38"/>
      <c r="H1032" s="31"/>
      <c r="I1032" s="32"/>
      <c r="J1032" s="32"/>
      <c r="K1032" s="45" t="s">
        <v>888</v>
      </c>
      <c r="L1032" s="129"/>
      <c r="M1032" s="33" t="str">
        <f t="shared" si="16"/>
        <v/>
      </c>
      <c r="N1032" s="34" t="str">
        <f>IFERROR(IF(Tabela1[[#This Row],[Nome fantasia]]="","",_xlfn.XLOOKUP($C1032,Log!D:D,Log!B:B,,,-1)),"")</f>
        <v/>
      </c>
      <c r="O1032" s="35" t="str">
        <f>IFERROR(_xlfn.XLOOKUP($C1032,Log!D:D,Log!W:W,,,-1),"")</f>
        <v/>
      </c>
      <c r="P1032" s="35" t="str">
        <f>IFERROR(_xlfn.XLOOKUP($C1032,Log!D:D,Log!Y:Y,,,-1),"")</f>
        <v/>
      </c>
      <c r="Q1032" s="130"/>
      <c r="R1032" s="131" t="str">
        <f>IFERROR(IF(Tabela1[[#This Row],[Nome fantasia]]="","",_xlfn.XLOOKUP($C1032,Log!D:D,Log!X:X,,,-1)),"")</f>
        <v/>
      </c>
    </row>
    <row r="1033" spans="3:18" hidden="1" x14ac:dyDescent="0.2">
      <c r="C1033" s="30" t="s">
        <v>2571</v>
      </c>
      <c r="D1033" s="110"/>
      <c r="E1033" s="33" t="s">
        <v>17</v>
      </c>
      <c r="F1033" s="38"/>
      <c r="G1033" s="38"/>
      <c r="H1033" s="31"/>
      <c r="I1033" s="32"/>
      <c r="J1033" s="32"/>
      <c r="K1033" s="45" t="s">
        <v>888</v>
      </c>
      <c r="L1033" s="129"/>
      <c r="M1033" s="33" t="str">
        <f t="shared" si="16"/>
        <v/>
      </c>
      <c r="N1033" s="34" t="str">
        <f>IFERROR(IF(Tabela1[[#This Row],[Nome fantasia]]="","",_xlfn.XLOOKUP($C1033,Log!D:D,Log!B:B,,,-1)),"")</f>
        <v/>
      </c>
      <c r="O1033" s="35" t="str">
        <f>IFERROR(_xlfn.XLOOKUP($C1033,Log!D:D,Log!W:W,,,-1),"")</f>
        <v/>
      </c>
      <c r="P1033" s="35" t="str">
        <f>IFERROR(_xlfn.XLOOKUP($C1033,Log!D:D,Log!Y:Y,,,-1),"")</f>
        <v/>
      </c>
      <c r="Q1033" s="130"/>
      <c r="R1033" s="131" t="str">
        <f>IFERROR(IF(Tabela1[[#This Row],[Nome fantasia]]="","",_xlfn.XLOOKUP($C1033,Log!D:D,Log!X:X,,,-1)),"")</f>
        <v/>
      </c>
    </row>
    <row r="1034" spans="3:18" hidden="1" x14ac:dyDescent="0.2">
      <c r="C1034" s="30" t="s">
        <v>2572</v>
      </c>
      <c r="D1034" s="110" t="s">
        <v>2573</v>
      </c>
      <c r="E1034" s="33" t="s">
        <v>46</v>
      </c>
      <c r="F1034" s="38"/>
      <c r="G1034" s="38"/>
      <c r="H1034" s="31"/>
      <c r="I1034" s="32"/>
      <c r="J1034" s="32"/>
      <c r="K1034" s="45" t="s">
        <v>888</v>
      </c>
      <c r="L1034" s="129"/>
      <c r="M1034" s="33" t="str">
        <f t="shared" si="16"/>
        <v/>
      </c>
      <c r="N1034" s="34" t="str">
        <f>IFERROR(IF(Tabela1[[#This Row],[Nome fantasia]]="","",_xlfn.XLOOKUP($C1034,Log!D:D,Log!B:B,,,-1)),"")</f>
        <v/>
      </c>
      <c r="O1034" s="35" t="str">
        <f>IFERROR(_xlfn.XLOOKUP($C1034,Log!D:D,Log!W:W,,,-1),"")</f>
        <v/>
      </c>
      <c r="P1034" s="35" t="str">
        <f>IFERROR(_xlfn.XLOOKUP($C1034,Log!D:D,Log!Y:Y,,,-1),"")</f>
        <v/>
      </c>
      <c r="Q1034" s="130"/>
      <c r="R1034" s="131" t="str">
        <f>IFERROR(IF(Tabela1[[#This Row],[Nome fantasia]]="","",_xlfn.XLOOKUP($C1034,Log!D:D,Log!X:X,,,-1)),"")</f>
        <v/>
      </c>
    </row>
    <row r="1035" spans="3:18" hidden="1" x14ac:dyDescent="0.2">
      <c r="C1035" s="30" t="s">
        <v>2574</v>
      </c>
      <c r="D1035" s="110" t="s">
        <v>2575</v>
      </c>
      <c r="E1035" s="33" t="s">
        <v>22</v>
      </c>
      <c r="F1035" s="38"/>
      <c r="G1035" s="38"/>
      <c r="H1035" s="31"/>
      <c r="I1035" s="32"/>
      <c r="J1035" s="32"/>
      <c r="K1035" s="45" t="s">
        <v>888</v>
      </c>
      <c r="L1035" s="129"/>
      <c r="M1035" s="33" t="str">
        <f t="shared" si="16"/>
        <v/>
      </c>
      <c r="N1035" s="34" t="str">
        <f>IFERROR(IF(Tabela1[[#This Row],[Nome fantasia]]="","",_xlfn.XLOOKUP($C1035,Log!D:D,Log!B:B,,,-1)),"")</f>
        <v/>
      </c>
      <c r="O1035" s="35" t="str">
        <f>IFERROR(_xlfn.XLOOKUP($C1035,Log!D:D,Log!W:W,,,-1),"")</f>
        <v/>
      </c>
      <c r="P1035" s="35" t="str">
        <f>IFERROR(_xlfn.XLOOKUP($C1035,Log!D:D,Log!Y:Y,,,-1),"")</f>
        <v/>
      </c>
      <c r="Q1035" s="130"/>
      <c r="R1035" s="131" t="str">
        <f>IFERROR(IF(Tabela1[[#This Row],[Nome fantasia]]="","",_xlfn.XLOOKUP($C1035,Log!D:D,Log!X:X,,,-1)),"")</f>
        <v/>
      </c>
    </row>
    <row r="1036" spans="3:18" hidden="1" x14ac:dyDescent="0.2">
      <c r="C1036" s="30" t="s">
        <v>2576</v>
      </c>
      <c r="D1036" s="110" t="s">
        <v>2577</v>
      </c>
      <c r="E1036" s="33" t="s">
        <v>46</v>
      </c>
      <c r="F1036" s="38"/>
      <c r="G1036" s="38"/>
      <c r="H1036" s="31"/>
      <c r="I1036" s="32"/>
      <c r="J1036" s="32"/>
      <c r="K1036" s="45" t="s">
        <v>888</v>
      </c>
      <c r="L1036" s="129"/>
      <c r="M1036" s="33" t="str">
        <f t="shared" si="16"/>
        <v/>
      </c>
      <c r="N1036" s="34">
        <f>IFERROR(IF(Tabela1[[#This Row],[Nome fantasia]]="","",_xlfn.XLOOKUP($C1036,Log!D:D,Log!B:B,,,-1)),"")</f>
        <v>45999</v>
      </c>
      <c r="O1036" s="35" t="str">
        <f>IFERROR(_xlfn.XLOOKUP($C1036,Log!D:D,Log!W:W,,,-1),"")</f>
        <v>EM ATENDIMENTO</v>
      </c>
      <c r="P1036" s="35" t="str">
        <f>IFERROR(_xlfn.XLOOKUP($C1036,Log!D:D,Log!Y:Y,,,-1),"")</f>
        <v>SO TEM O NUMERO DA LOJA, TENTEI LIGAR VAI DIRETO PARA A CAIXA POSTAL, IMAGINO QUE SEJA SOMENTE WPP</v>
      </c>
      <c r="Q1036" s="130"/>
      <c r="R1036" s="131">
        <f>IFERROR(IF(Tabela1[[#This Row],[Nome fantasia]]="","",_xlfn.XLOOKUP($C1036,Log!D:D,Log!X:X,,,-1)),"")</f>
        <v>46001</v>
      </c>
    </row>
    <row r="1037" spans="3:18" hidden="1" x14ac:dyDescent="0.2">
      <c r="C1037" s="30" t="s">
        <v>2578</v>
      </c>
      <c r="D1037" s="110" t="s">
        <v>2579</v>
      </c>
      <c r="E1037" s="33" t="s">
        <v>22</v>
      </c>
      <c r="F1037" s="38"/>
      <c r="G1037" s="38"/>
      <c r="H1037" s="31"/>
      <c r="I1037" s="32"/>
      <c r="J1037" s="32"/>
      <c r="K1037" s="45" t="s">
        <v>888</v>
      </c>
      <c r="L1037" s="129"/>
      <c r="M1037" s="33" t="str">
        <f t="shared" si="16"/>
        <v/>
      </c>
      <c r="N1037" s="34" t="str">
        <f>IFERROR(IF(Tabela1[[#This Row],[Nome fantasia]]="","",_xlfn.XLOOKUP($C1037,Log!D:D,Log!B:B,,,-1)),"")</f>
        <v/>
      </c>
      <c r="O1037" s="35" t="str">
        <f>IFERROR(_xlfn.XLOOKUP($C1037,Log!D:D,Log!W:W,,,-1),"")</f>
        <v/>
      </c>
      <c r="P1037" s="35" t="str">
        <f>IFERROR(_xlfn.XLOOKUP($C1037,Log!D:D,Log!Y:Y,,,-1),"")</f>
        <v/>
      </c>
      <c r="Q1037" s="130"/>
      <c r="R1037" s="131" t="str">
        <f>IFERROR(IF(Tabela1[[#This Row],[Nome fantasia]]="","",_xlfn.XLOOKUP($C1037,Log!D:D,Log!X:X,,,-1)),"")</f>
        <v/>
      </c>
    </row>
    <row r="1038" spans="3:18" hidden="1" x14ac:dyDescent="0.2">
      <c r="C1038" s="30" t="s">
        <v>2580</v>
      </c>
      <c r="D1038" s="110" t="s">
        <v>2581</v>
      </c>
      <c r="E1038" s="33" t="s">
        <v>46</v>
      </c>
      <c r="F1038" s="38"/>
      <c r="G1038" s="38"/>
      <c r="H1038" s="31"/>
      <c r="I1038" s="32"/>
      <c r="J1038" s="32"/>
      <c r="K1038" s="45" t="s">
        <v>888</v>
      </c>
      <c r="L1038" s="129"/>
      <c r="M1038" s="33" t="str">
        <f t="shared" si="16"/>
        <v/>
      </c>
      <c r="N1038" s="34" t="str">
        <f>IFERROR(IF(Tabela1[[#This Row],[Nome fantasia]]="","",_xlfn.XLOOKUP($C1038,Log!D:D,Log!B:B,,,-1)),"")</f>
        <v/>
      </c>
      <c r="O1038" s="35" t="str">
        <f>IFERROR(_xlfn.XLOOKUP($C1038,Log!D:D,Log!W:W,,,-1),"")</f>
        <v/>
      </c>
      <c r="P1038" s="35" t="str">
        <f>IFERROR(_xlfn.XLOOKUP($C1038,Log!D:D,Log!Y:Y,,,-1),"")</f>
        <v/>
      </c>
      <c r="Q1038" s="130"/>
      <c r="R1038" s="131" t="str">
        <f>IFERROR(IF(Tabela1[[#This Row],[Nome fantasia]]="","",_xlfn.XLOOKUP($C1038,Log!D:D,Log!X:X,,,-1)),"")</f>
        <v/>
      </c>
    </row>
    <row r="1039" spans="3:18" hidden="1" x14ac:dyDescent="0.2">
      <c r="C1039" s="30" t="s">
        <v>2379</v>
      </c>
      <c r="D1039" s="110" t="s">
        <v>2582</v>
      </c>
      <c r="E1039" s="33" t="s">
        <v>46</v>
      </c>
      <c r="F1039" s="38"/>
      <c r="G1039" s="38"/>
      <c r="H1039" s="31"/>
      <c r="I1039" s="32"/>
      <c r="J1039" s="32"/>
      <c r="K1039" s="45" t="s">
        <v>888</v>
      </c>
      <c r="L1039" s="129"/>
      <c r="M1039" s="33" t="str">
        <f t="shared" si="16"/>
        <v/>
      </c>
      <c r="N1039" s="34" t="str">
        <f>IFERROR(IF(Tabela1[[#This Row],[Nome fantasia]]="","",_xlfn.XLOOKUP($C1039,Log!D:D,Log!B:B,,,-1)),"")</f>
        <v/>
      </c>
      <c r="O1039" s="35" t="str">
        <f>IFERROR(_xlfn.XLOOKUP($C1039,Log!D:D,Log!W:W,,,-1),"")</f>
        <v/>
      </c>
      <c r="P1039" s="35" t="str">
        <f>IFERROR(_xlfn.XLOOKUP($C1039,Log!D:D,Log!Y:Y,,,-1),"")</f>
        <v/>
      </c>
      <c r="Q1039" s="130"/>
      <c r="R1039" s="131" t="str">
        <f>IFERROR(IF(Tabela1[[#This Row],[Nome fantasia]]="","",_xlfn.XLOOKUP($C1039,Log!D:D,Log!X:X,,,-1)),"")</f>
        <v/>
      </c>
    </row>
    <row r="1040" spans="3:18" hidden="1" x14ac:dyDescent="0.2">
      <c r="C1040" s="30" t="s">
        <v>2583</v>
      </c>
      <c r="D1040" s="110" t="s">
        <v>2584</v>
      </c>
      <c r="E1040" s="33" t="s">
        <v>22</v>
      </c>
      <c r="F1040" s="38"/>
      <c r="G1040" s="38"/>
      <c r="H1040" s="31"/>
      <c r="I1040" s="32"/>
      <c r="J1040" s="32"/>
      <c r="K1040" s="45" t="s">
        <v>888</v>
      </c>
      <c r="L1040" s="129"/>
      <c r="M1040" s="33" t="str">
        <f t="shared" si="16"/>
        <v/>
      </c>
      <c r="N1040" s="34" t="str">
        <f>IFERROR(IF(Tabela1[[#This Row],[Nome fantasia]]="","",_xlfn.XLOOKUP($C1040,Log!D:D,Log!B:B,,,-1)),"")</f>
        <v/>
      </c>
      <c r="O1040" s="35" t="str">
        <f>IFERROR(_xlfn.XLOOKUP($C1040,Log!D:D,Log!W:W,,,-1),"")</f>
        <v/>
      </c>
      <c r="P1040" s="35" t="str">
        <f>IFERROR(_xlfn.XLOOKUP($C1040,Log!D:D,Log!Y:Y,,,-1),"")</f>
        <v/>
      </c>
      <c r="Q1040" s="130"/>
      <c r="R1040" s="131" t="str">
        <f>IFERROR(IF(Tabela1[[#This Row],[Nome fantasia]]="","",_xlfn.XLOOKUP($C1040,Log!D:D,Log!X:X,,,-1)),"")</f>
        <v/>
      </c>
    </row>
    <row r="1041" spans="3:18" hidden="1" x14ac:dyDescent="0.2">
      <c r="C1041" s="30" t="s">
        <v>2585</v>
      </c>
      <c r="D1041" s="110" t="s">
        <v>2586</v>
      </c>
      <c r="E1041" s="33" t="s">
        <v>17</v>
      </c>
      <c r="F1041" s="38"/>
      <c r="G1041" s="38"/>
      <c r="H1041" s="31"/>
      <c r="I1041" s="32"/>
      <c r="J1041" s="32"/>
      <c r="K1041" s="45" t="s">
        <v>888</v>
      </c>
      <c r="L1041" s="129"/>
      <c r="M1041" s="33" t="str">
        <f t="shared" si="16"/>
        <v/>
      </c>
      <c r="N1041" s="34" t="str">
        <f>IFERROR(IF(Tabela1[[#This Row],[Nome fantasia]]="","",_xlfn.XLOOKUP($C1041,Log!D:D,Log!B:B,,,-1)),"")</f>
        <v/>
      </c>
      <c r="O1041" s="35" t="str">
        <f>IFERROR(_xlfn.XLOOKUP($C1041,Log!D:D,Log!W:W,,,-1),"")</f>
        <v/>
      </c>
      <c r="P1041" s="35" t="str">
        <f>IFERROR(_xlfn.XLOOKUP($C1041,Log!D:D,Log!Y:Y,,,-1),"")</f>
        <v/>
      </c>
      <c r="Q1041" s="130"/>
      <c r="R1041" s="131" t="str">
        <f>IFERROR(IF(Tabela1[[#This Row],[Nome fantasia]]="","",_xlfn.XLOOKUP($C1041,Log!D:D,Log!X:X,,,-1)),"")</f>
        <v/>
      </c>
    </row>
    <row r="1042" spans="3:18" hidden="1" x14ac:dyDescent="0.2">
      <c r="C1042" s="30" t="s">
        <v>2587</v>
      </c>
      <c r="D1042" s="110" t="s">
        <v>2588</v>
      </c>
      <c r="E1042" s="33" t="s">
        <v>17</v>
      </c>
      <c r="F1042" s="38"/>
      <c r="G1042" s="38"/>
      <c r="H1042" s="31"/>
      <c r="I1042" s="32"/>
      <c r="J1042" s="32"/>
      <c r="K1042" s="45" t="s">
        <v>888</v>
      </c>
      <c r="L1042" s="129"/>
      <c r="M1042" s="33" t="str">
        <f t="shared" si="16"/>
        <v/>
      </c>
      <c r="N1042" s="34" t="str">
        <f>IFERROR(IF(Tabela1[[#This Row],[Nome fantasia]]="","",_xlfn.XLOOKUP($C1042,Log!D:D,Log!B:B,,,-1)),"")</f>
        <v/>
      </c>
      <c r="O1042" s="35" t="str">
        <f>IFERROR(_xlfn.XLOOKUP($C1042,Log!D:D,Log!W:W,,,-1),"")</f>
        <v/>
      </c>
      <c r="P1042" s="35" t="str">
        <f>IFERROR(_xlfn.XLOOKUP($C1042,Log!D:D,Log!Y:Y,,,-1),"")</f>
        <v/>
      </c>
      <c r="Q1042" s="130"/>
      <c r="R1042" s="131" t="str">
        <f>IFERROR(IF(Tabela1[[#This Row],[Nome fantasia]]="","",_xlfn.XLOOKUP($C1042,Log!D:D,Log!X:X,,,-1)),"")</f>
        <v/>
      </c>
    </row>
    <row r="1043" spans="3:18" hidden="1" x14ac:dyDescent="0.2">
      <c r="C1043" s="30" t="s">
        <v>2589</v>
      </c>
      <c r="D1043" s="110" t="s">
        <v>2590</v>
      </c>
      <c r="E1043" s="33" t="s">
        <v>46</v>
      </c>
      <c r="F1043" s="38"/>
      <c r="G1043" s="38"/>
      <c r="H1043" s="31"/>
      <c r="I1043" s="32"/>
      <c r="J1043" s="32"/>
      <c r="K1043" s="45" t="s">
        <v>888</v>
      </c>
      <c r="L1043" s="129"/>
      <c r="M1043" s="33" t="str">
        <f t="shared" si="16"/>
        <v/>
      </c>
      <c r="N1043" s="34" t="str">
        <f>IFERROR(IF(Tabela1[[#This Row],[Nome fantasia]]="","",_xlfn.XLOOKUP($C1043,Log!D:D,Log!B:B,,,-1)),"")</f>
        <v/>
      </c>
      <c r="O1043" s="35" t="str">
        <f>IFERROR(_xlfn.XLOOKUP($C1043,Log!D:D,Log!W:W,,,-1),"")</f>
        <v/>
      </c>
      <c r="P1043" s="35" t="str">
        <f>IFERROR(_xlfn.XLOOKUP($C1043,Log!D:D,Log!Y:Y,,,-1),"")</f>
        <v/>
      </c>
      <c r="Q1043" s="130"/>
      <c r="R1043" s="131" t="str">
        <f>IFERROR(IF(Tabela1[[#This Row],[Nome fantasia]]="","",_xlfn.XLOOKUP($C1043,Log!D:D,Log!X:X,,,-1)),"")</f>
        <v/>
      </c>
    </row>
    <row r="1044" spans="3:18" hidden="1" x14ac:dyDescent="0.2">
      <c r="C1044" s="30" t="s">
        <v>2591</v>
      </c>
      <c r="D1044" s="110" t="s">
        <v>2592</v>
      </c>
      <c r="E1044" s="33" t="s">
        <v>17</v>
      </c>
      <c r="F1044" s="38"/>
      <c r="G1044" s="38"/>
      <c r="H1044" s="31"/>
      <c r="I1044" s="32"/>
      <c r="J1044" s="32"/>
      <c r="K1044" s="45" t="s">
        <v>888</v>
      </c>
      <c r="L1044" s="129"/>
      <c r="M1044" s="33" t="str">
        <f t="shared" si="16"/>
        <v/>
      </c>
      <c r="N1044" s="34" t="str">
        <f>IFERROR(IF(Tabela1[[#This Row],[Nome fantasia]]="","",_xlfn.XLOOKUP($C1044,Log!D:D,Log!B:B,,,-1)),"")</f>
        <v/>
      </c>
      <c r="O1044" s="35" t="str">
        <f>IFERROR(_xlfn.XLOOKUP($C1044,Log!D:D,Log!W:W,,,-1),"")</f>
        <v/>
      </c>
      <c r="P1044" s="35" t="str">
        <f>IFERROR(_xlfn.XLOOKUP($C1044,Log!D:D,Log!Y:Y,,,-1),"")</f>
        <v/>
      </c>
      <c r="Q1044" s="130"/>
      <c r="R1044" s="131" t="str">
        <f>IFERROR(IF(Tabela1[[#This Row],[Nome fantasia]]="","",_xlfn.XLOOKUP($C1044,Log!D:D,Log!X:X,,,-1)),"")</f>
        <v/>
      </c>
    </row>
    <row r="1045" spans="3:18" hidden="1" x14ac:dyDescent="0.2">
      <c r="C1045" s="30" t="s">
        <v>2593</v>
      </c>
      <c r="D1045" s="110" t="s">
        <v>2594</v>
      </c>
      <c r="E1045" s="33" t="s">
        <v>22</v>
      </c>
      <c r="F1045" s="38"/>
      <c r="G1045" s="38"/>
      <c r="H1045" s="31"/>
      <c r="I1045" s="32"/>
      <c r="J1045" s="32"/>
      <c r="K1045" s="45" t="s">
        <v>888</v>
      </c>
      <c r="L1045" s="129"/>
      <c r="M1045" s="33" t="str">
        <f t="shared" si="16"/>
        <v/>
      </c>
      <c r="N1045" s="34" t="str">
        <f>IFERROR(IF(Tabela1[[#This Row],[Nome fantasia]]="","",_xlfn.XLOOKUP($C1045,Log!D:D,Log!B:B,,,-1)),"")</f>
        <v/>
      </c>
      <c r="O1045" s="35" t="str">
        <f>IFERROR(_xlfn.XLOOKUP($C1045,Log!D:D,Log!W:W,,,-1),"")</f>
        <v/>
      </c>
      <c r="P1045" s="35" t="str">
        <f>IFERROR(_xlfn.XLOOKUP($C1045,Log!D:D,Log!Y:Y,,,-1),"")</f>
        <v/>
      </c>
      <c r="Q1045" s="130"/>
      <c r="R1045" s="131" t="str">
        <f>IFERROR(IF(Tabela1[[#This Row],[Nome fantasia]]="","",_xlfn.XLOOKUP($C1045,Log!D:D,Log!X:X,,,-1)),"")</f>
        <v/>
      </c>
    </row>
    <row r="1046" spans="3:18" hidden="1" x14ac:dyDescent="0.2">
      <c r="C1046" s="30" t="s">
        <v>2595</v>
      </c>
      <c r="D1046" s="110" t="s">
        <v>2596</v>
      </c>
      <c r="E1046" s="33" t="s">
        <v>46</v>
      </c>
      <c r="F1046" s="38"/>
      <c r="G1046" s="38"/>
      <c r="H1046" s="31"/>
      <c r="I1046" s="32"/>
      <c r="J1046" s="32"/>
      <c r="K1046" s="45" t="s">
        <v>888</v>
      </c>
      <c r="L1046" s="129"/>
      <c r="M1046" s="33" t="str">
        <f t="shared" si="16"/>
        <v/>
      </c>
      <c r="N1046" s="34" t="str">
        <f>IFERROR(IF(Tabela1[[#This Row],[Nome fantasia]]="","",_xlfn.XLOOKUP($C1046,Log!D:D,Log!B:B,,,-1)),"")</f>
        <v/>
      </c>
      <c r="O1046" s="35" t="str">
        <f>IFERROR(_xlfn.XLOOKUP($C1046,Log!D:D,Log!W:W,,,-1),"")</f>
        <v/>
      </c>
      <c r="P1046" s="35" t="str">
        <f>IFERROR(_xlfn.XLOOKUP($C1046,Log!D:D,Log!Y:Y,,,-1),"")</f>
        <v/>
      </c>
      <c r="Q1046" s="130"/>
      <c r="R1046" s="131" t="str">
        <f>IFERROR(IF(Tabela1[[#This Row],[Nome fantasia]]="","",_xlfn.XLOOKUP($C1046,Log!D:D,Log!X:X,,,-1)),"")</f>
        <v/>
      </c>
    </row>
    <row r="1047" spans="3:18" hidden="1" x14ac:dyDescent="0.2">
      <c r="C1047" s="30" t="s">
        <v>2597</v>
      </c>
      <c r="D1047" s="110" t="s">
        <v>2598</v>
      </c>
      <c r="E1047" s="33" t="s">
        <v>22</v>
      </c>
      <c r="F1047" s="38"/>
      <c r="G1047" s="38"/>
      <c r="H1047" s="31"/>
      <c r="I1047" s="32"/>
      <c r="J1047" s="32"/>
      <c r="K1047" s="45" t="s">
        <v>888</v>
      </c>
      <c r="L1047" s="129"/>
      <c r="M1047" s="33" t="str">
        <f t="shared" si="16"/>
        <v/>
      </c>
      <c r="N1047" s="34" t="str">
        <f>IFERROR(IF(Tabela1[[#This Row],[Nome fantasia]]="","",_xlfn.XLOOKUP($C1047,Log!D:D,Log!B:B,,,-1)),"")</f>
        <v/>
      </c>
      <c r="O1047" s="35" t="str">
        <f>IFERROR(_xlfn.XLOOKUP($C1047,Log!D:D,Log!W:W,,,-1),"")</f>
        <v/>
      </c>
      <c r="P1047" s="35" t="str">
        <f>IFERROR(_xlfn.XLOOKUP($C1047,Log!D:D,Log!Y:Y,,,-1),"")</f>
        <v/>
      </c>
      <c r="Q1047" s="130"/>
      <c r="R1047" s="131" t="str">
        <f>IFERROR(IF(Tabela1[[#This Row],[Nome fantasia]]="","",_xlfn.XLOOKUP($C1047,Log!D:D,Log!X:X,,,-1)),"")</f>
        <v/>
      </c>
    </row>
    <row r="1048" spans="3:18" hidden="1" x14ac:dyDescent="0.2">
      <c r="C1048" s="30" t="s">
        <v>2599</v>
      </c>
      <c r="D1048" s="110" t="s">
        <v>2600</v>
      </c>
      <c r="E1048" s="33" t="s">
        <v>17</v>
      </c>
      <c r="F1048" s="38"/>
      <c r="G1048" s="38"/>
      <c r="H1048" s="31"/>
      <c r="I1048" s="32"/>
      <c r="J1048" s="32"/>
      <c r="K1048" s="45" t="s">
        <v>888</v>
      </c>
      <c r="L1048" s="129"/>
      <c r="M1048" s="33" t="str">
        <f t="shared" si="16"/>
        <v/>
      </c>
      <c r="N1048" s="34" t="str">
        <f>IFERROR(IF(Tabela1[[#This Row],[Nome fantasia]]="","",_xlfn.XLOOKUP($C1048,Log!D:D,Log!B:B,,,-1)),"")</f>
        <v/>
      </c>
      <c r="O1048" s="35" t="str">
        <f>IFERROR(_xlfn.XLOOKUP($C1048,Log!D:D,Log!W:W,,,-1),"")</f>
        <v/>
      </c>
      <c r="P1048" s="35" t="str">
        <f>IFERROR(_xlfn.XLOOKUP($C1048,Log!D:D,Log!Y:Y,,,-1),"")</f>
        <v/>
      </c>
      <c r="Q1048" s="130"/>
      <c r="R1048" s="131" t="str">
        <f>IFERROR(IF(Tabela1[[#This Row],[Nome fantasia]]="","",_xlfn.XLOOKUP($C1048,Log!D:D,Log!X:X,,,-1)),"")</f>
        <v/>
      </c>
    </row>
    <row r="1049" spans="3:18" hidden="1" x14ac:dyDescent="0.2">
      <c r="C1049" s="30" t="s">
        <v>503</v>
      </c>
      <c r="D1049" s="110" t="s">
        <v>2601</v>
      </c>
      <c r="E1049" s="33" t="s">
        <v>46</v>
      </c>
      <c r="F1049" s="38"/>
      <c r="G1049" s="38"/>
      <c r="H1049" s="31"/>
      <c r="I1049" s="32"/>
      <c r="J1049" s="32"/>
      <c r="K1049" s="45" t="s">
        <v>888</v>
      </c>
      <c r="L1049" s="129"/>
      <c r="M1049" s="33" t="str">
        <f t="shared" si="16"/>
        <v/>
      </c>
      <c r="N1049" s="34" t="str">
        <f>IFERROR(IF(Tabela1[[#This Row],[Nome fantasia]]="","",_xlfn.XLOOKUP($C1049,Log!D:D,Log!B:B,,,-1)),"")</f>
        <v/>
      </c>
      <c r="O1049" s="35" t="str">
        <f>IFERROR(_xlfn.XLOOKUP($C1049,Log!D:D,Log!W:W,,,-1),"")</f>
        <v/>
      </c>
      <c r="P1049" s="35" t="str">
        <f>IFERROR(_xlfn.XLOOKUP($C1049,Log!D:D,Log!Y:Y,,,-1),"")</f>
        <v/>
      </c>
      <c r="Q1049" s="130"/>
      <c r="R1049" s="131" t="str">
        <f>IFERROR(IF(Tabela1[[#This Row],[Nome fantasia]]="","",_xlfn.XLOOKUP($C1049,Log!D:D,Log!X:X,,,-1)),"")</f>
        <v/>
      </c>
    </row>
    <row r="1050" spans="3:18" hidden="1" x14ac:dyDescent="0.2">
      <c r="C1050" s="30" t="s">
        <v>2602</v>
      </c>
      <c r="D1050" s="110" t="s">
        <v>2603</v>
      </c>
      <c r="E1050" s="33" t="s">
        <v>46</v>
      </c>
      <c r="F1050" s="38"/>
      <c r="G1050" s="38"/>
      <c r="H1050" s="31"/>
      <c r="I1050" s="32"/>
      <c r="J1050" s="32"/>
      <c r="K1050" s="45" t="s">
        <v>888</v>
      </c>
      <c r="L1050" s="129"/>
      <c r="M1050" s="33" t="str">
        <f t="shared" si="16"/>
        <v/>
      </c>
      <c r="N1050" s="34" t="str">
        <f>IFERROR(IF(Tabela1[[#This Row],[Nome fantasia]]="","",_xlfn.XLOOKUP($C1050,Log!D:D,Log!B:B,,,-1)),"")</f>
        <v/>
      </c>
      <c r="O1050" s="35" t="str">
        <f>IFERROR(_xlfn.XLOOKUP($C1050,Log!D:D,Log!W:W,,,-1),"")</f>
        <v/>
      </c>
      <c r="P1050" s="35" t="str">
        <f>IFERROR(_xlfn.XLOOKUP($C1050,Log!D:D,Log!Y:Y,,,-1),"")</f>
        <v/>
      </c>
      <c r="Q1050" s="130"/>
      <c r="R1050" s="131" t="str">
        <f>IFERROR(IF(Tabela1[[#This Row],[Nome fantasia]]="","",_xlfn.XLOOKUP($C1050,Log!D:D,Log!X:X,,,-1)),"")</f>
        <v/>
      </c>
    </row>
    <row r="1051" spans="3:18" hidden="1" x14ac:dyDescent="0.2">
      <c r="C1051" s="30" t="s">
        <v>2604</v>
      </c>
      <c r="D1051" s="110" t="s">
        <v>2605</v>
      </c>
      <c r="E1051" s="33" t="s">
        <v>22</v>
      </c>
      <c r="F1051" s="38"/>
      <c r="G1051" s="38"/>
      <c r="H1051" s="31"/>
      <c r="I1051" s="32"/>
      <c r="J1051" s="32"/>
      <c r="K1051" s="45" t="s">
        <v>888</v>
      </c>
      <c r="L1051" s="129"/>
      <c r="M1051" s="33" t="str">
        <f t="shared" si="16"/>
        <v/>
      </c>
      <c r="N1051" s="34" t="str">
        <f>IFERROR(IF(Tabela1[[#This Row],[Nome fantasia]]="","",_xlfn.XLOOKUP($C1051,Log!D:D,Log!B:B,,,-1)),"")</f>
        <v/>
      </c>
      <c r="O1051" s="35" t="str">
        <f>IFERROR(_xlfn.XLOOKUP($C1051,Log!D:D,Log!W:W,,,-1),"")</f>
        <v/>
      </c>
      <c r="P1051" s="35" t="str">
        <f>IFERROR(_xlfn.XLOOKUP($C1051,Log!D:D,Log!Y:Y,,,-1),"")</f>
        <v/>
      </c>
      <c r="Q1051" s="130"/>
      <c r="R1051" s="131" t="str">
        <f>IFERROR(IF(Tabela1[[#This Row],[Nome fantasia]]="","",_xlfn.XLOOKUP($C1051,Log!D:D,Log!X:X,,,-1)),"")</f>
        <v/>
      </c>
    </row>
    <row r="1052" spans="3:18" hidden="1" x14ac:dyDescent="0.2">
      <c r="C1052" s="30" t="s">
        <v>2606</v>
      </c>
      <c r="D1052" s="110" t="s">
        <v>2607</v>
      </c>
      <c r="E1052" s="33" t="s">
        <v>46</v>
      </c>
      <c r="F1052" s="38"/>
      <c r="G1052" s="38"/>
      <c r="H1052" s="31"/>
      <c r="I1052" s="32"/>
      <c r="J1052" s="32"/>
      <c r="K1052" s="45" t="s">
        <v>888</v>
      </c>
      <c r="L1052" s="129"/>
      <c r="M1052" s="33" t="str">
        <f t="shared" si="16"/>
        <v/>
      </c>
      <c r="N1052" s="34" t="str">
        <f>IFERROR(IF(Tabela1[[#This Row],[Nome fantasia]]="","",_xlfn.XLOOKUP($C1052,Log!D:D,Log!B:B,,,-1)),"")</f>
        <v/>
      </c>
      <c r="O1052" s="35" t="str">
        <f>IFERROR(_xlfn.XLOOKUP($C1052,Log!D:D,Log!W:W,,,-1),"")</f>
        <v/>
      </c>
      <c r="P1052" s="35" t="str">
        <f>IFERROR(_xlfn.XLOOKUP($C1052,Log!D:D,Log!Y:Y,,,-1),"")</f>
        <v/>
      </c>
      <c r="Q1052" s="130"/>
      <c r="R1052" s="131" t="str">
        <f>IFERROR(IF(Tabela1[[#This Row],[Nome fantasia]]="","",_xlfn.XLOOKUP($C1052,Log!D:D,Log!X:X,,,-1)),"")</f>
        <v/>
      </c>
    </row>
    <row r="1053" spans="3:18" hidden="1" x14ac:dyDescent="0.2">
      <c r="C1053" s="30" t="s">
        <v>2608</v>
      </c>
      <c r="D1053" s="110" t="s">
        <v>2609</v>
      </c>
      <c r="E1053" s="33" t="s">
        <v>46</v>
      </c>
      <c r="F1053" s="38"/>
      <c r="G1053" s="38"/>
      <c r="H1053" s="31"/>
      <c r="I1053" s="32"/>
      <c r="J1053" s="32"/>
      <c r="K1053" s="45" t="s">
        <v>888</v>
      </c>
      <c r="L1053" s="129"/>
      <c r="M1053" s="33" t="str">
        <f t="shared" si="16"/>
        <v/>
      </c>
      <c r="N1053" s="34" t="str">
        <f>IFERROR(IF(Tabela1[[#This Row],[Nome fantasia]]="","",_xlfn.XLOOKUP($C1053,Log!D:D,Log!B:B,,,-1)),"")</f>
        <v/>
      </c>
      <c r="O1053" s="35" t="str">
        <f>IFERROR(_xlfn.XLOOKUP($C1053,Log!D:D,Log!W:W,,,-1),"")</f>
        <v/>
      </c>
      <c r="P1053" s="35" t="str">
        <f>IFERROR(_xlfn.XLOOKUP($C1053,Log!D:D,Log!Y:Y,,,-1),"")</f>
        <v/>
      </c>
      <c r="Q1053" s="130"/>
      <c r="R1053" s="131" t="str">
        <f>IFERROR(IF(Tabela1[[#This Row],[Nome fantasia]]="","",_xlfn.XLOOKUP($C1053,Log!D:D,Log!X:X,,,-1)),"")</f>
        <v/>
      </c>
    </row>
    <row r="1054" spans="3:18" hidden="1" x14ac:dyDescent="0.2">
      <c r="C1054" s="30" t="s">
        <v>171</v>
      </c>
      <c r="D1054" s="110" t="s">
        <v>2610</v>
      </c>
      <c r="E1054" s="33" t="s">
        <v>46</v>
      </c>
      <c r="F1054" s="38"/>
      <c r="G1054" s="38"/>
      <c r="H1054" s="31"/>
      <c r="I1054" s="32"/>
      <c r="J1054" s="32"/>
      <c r="K1054" s="45" t="s">
        <v>888</v>
      </c>
      <c r="L1054" s="129"/>
      <c r="M1054" s="33" t="str">
        <f t="shared" si="16"/>
        <v/>
      </c>
      <c r="N1054" s="34">
        <f>IFERROR(IF(Tabela1[[#This Row],[Nome fantasia]]="","",_xlfn.XLOOKUP($C1054,Log!D:D,Log!B:B,,,-1)),"")</f>
        <v>45946</v>
      </c>
      <c r="O1054" s="35" t="str">
        <f>IFERROR(_xlfn.XLOOKUP($C1054,Log!D:D,Log!W:W,,,-1),"")</f>
        <v>FOLLOW UP 7</v>
      </c>
      <c r="P1054" s="35" t="str">
        <f>IFERROR(_xlfn.XLOOKUP($C1054,Log!D:D,Log!Y:Y,,,-1),"")</f>
        <v>CLIENTE NÃO RESPONDE MAIS</v>
      </c>
      <c r="Q1054" s="130"/>
      <c r="R1054" s="131">
        <f>IFERROR(IF(Tabela1[[#This Row],[Nome fantasia]]="","",_xlfn.XLOOKUP($C1054,Log!D:D,Log!X:X,,,-1)),"")</f>
        <v>45957</v>
      </c>
    </row>
    <row r="1055" spans="3:18" hidden="1" x14ac:dyDescent="0.2">
      <c r="C1055" s="30" t="s">
        <v>2379</v>
      </c>
      <c r="D1055" s="110" t="s">
        <v>2611</v>
      </c>
      <c r="E1055" s="33" t="s">
        <v>17</v>
      </c>
      <c r="F1055" s="38"/>
      <c r="G1055" s="38"/>
      <c r="H1055" s="31"/>
      <c r="I1055" s="32"/>
      <c r="J1055" s="32"/>
      <c r="K1055" s="45" t="s">
        <v>888</v>
      </c>
      <c r="L1055" s="129"/>
      <c r="M1055" s="33" t="str">
        <f t="shared" si="16"/>
        <v/>
      </c>
      <c r="N1055" s="34" t="str">
        <f>IFERROR(IF(Tabela1[[#This Row],[Nome fantasia]]="","",_xlfn.XLOOKUP($C1055,Log!D:D,Log!B:B,,,-1)),"")</f>
        <v/>
      </c>
      <c r="O1055" s="35" t="str">
        <f>IFERROR(_xlfn.XLOOKUP($C1055,Log!D:D,Log!W:W,,,-1),"")</f>
        <v/>
      </c>
      <c r="P1055" s="35" t="str">
        <f>IFERROR(_xlfn.XLOOKUP($C1055,Log!D:D,Log!Y:Y,,,-1),"")</f>
        <v/>
      </c>
      <c r="Q1055" s="130"/>
      <c r="R1055" s="131" t="str">
        <f>IFERROR(IF(Tabela1[[#This Row],[Nome fantasia]]="","",_xlfn.XLOOKUP($C1055,Log!D:D,Log!X:X,,,-1)),"")</f>
        <v/>
      </c>
    </row>
    <row r="1056" spans="3:18" hidden="1" x14ac:dyDescent="0.2">
      <c r="C1056" s="30" t="s">
        <v>2612</v>
      </c>
      <c r="D1056" s="110" t="s">
        <v>2613</v>
      </c>
      <c r="E1056" s="33" t="s">
        <v>46</v>
      </c>
      <c r="F1056" s="38"/>
      <c r="G1056" s="38"/>
      <c r="H1056" s="31"/>
      <c r="I1056" s="32"/>
      <c r="J1056" s="32"/>
      <c r="K1056" s="45" t="s">
        <v>888</v>
      </c>
      <c r="L1056" s="129"/>
      <c r="M1056" s="33" t="str">
        <f t="shared" si="16"/>
        <v/>
      </c>
      <c r="N1056" s="34" t="str">
        <f>IFERROR(IF(Tabela1[[#This Row],[Nome fantasia]]="","",_xlfn.XLOOKUP($C1056,Log!D:D,Log!B:B,,,-1)),"")</f>
        <v/>
      </c>
      <c r="O1056" s="35" t="str">
        <f>IFERROR(_xlfn.XLOOKUP($C1056,Log!D:D,Log!W:W,,,-1),"")</f>
        <v/>
      </c>
      <c r="P1056" s="35" t="str">
        <f>IFERROR(_xlfn.XLOOKUP($C1056,Log!D:D,Log!Y:Y,,,-1),"")</f>
        <v/>
      </c>
      <c r="Q1056" s="130"/>
      <c r="R1056" s="131" t="str">
        <f>IFERROR(IF(Tabela1[[#This Row],[Nome fantasia]]="","",_xlfn.XLOOKUP($C1056,Log!D:D,Log!X:X,,,-1)),"")</f>
        <v/>
      </c>
    </row>
    <row r="1057" spans="3:18" hidden="1" x14ac:dyDescent="0.2">
      <c r="C1057" s="30" t="s">
        <v>2614</v>
      </c>
      <c r="D1057" s="110" t="s">
        <v>2615</v>
      </c>
      <c r="E1057" s="33" t="s">
        <v>22</v>
      </c>
      <c r="F1057" s="38"/>
      <c r="G1057" s="38"/>
      <c r="H1057" s="31"/>
      <c r="I1057" s="32"/>
      <c r="J1057" s="32"/>
      <c r="K1057" s="45" t="s">
        <v>888</v>
      </c>
      <c r="L1057" s="129"/>
      <c r="M1057" s="33" t="str">
        <f t="shared" si="16"/>
        <v/>
      </c>
      <c r="N1057" s="34" t="str">
        <f>IFERROR(IF(Tabela1[[#This Row],[Nome fantasia]]="","",_xlfn.XLOOKUP($C1057,Log!D:D,Log!B:B,,,-1)),"")</f>
        <v/>
      </c>
      <c r="O1057" s="35" t="str">
        <f>IFERROR(_xlfn.XLOOKUP($C1057,Log!D:D,Log!W:W,,,-1),"")</f>
        <v/>
      </c>
      <c r="P1057" s="35" t="str">
        <f>IFERROR(_xlfn.XLOOKUP($C1057,Log!D:D,Log!Y:Y,,,-1),"")</f>
        <v/>
      </c>
      <c r="Q1057" s="130"/>
      <c r="R1057" s="131" t="str">
        <f>IFERROR(IF(Tabela1[[#This Row],[Nome fantasia]]="","",_xlfn.XLOOKUP($C1057,Log!D:D,Log!X:X,,,-1)),"")</f>
        <v/>
      </c>
    </row>
    <row r="1058" spans="3:18" hidden="1" x14ac:dyDescent="0.2">
      <c r="C1058" s="30" t="s">
        <v>2616</v>
      </c>
      <c r="D1058" s="110" t="s">
        <v>1322</v>
      </c>
      <c r="E1058" s="33" t="s">
        <v>22</v>
      </c>
      <c r="F1058" s="38"/>
      <c r="G1058" s="38"/>
      <c r="H1058" s="31"/>
      <c r="I1058" s="32"/>
      <c r="J1058" s="32"/>
      <c r="K1058" s="45" t="s">
        <v>888</v>
      </c>
      <c r="L1058" s="129"/>
      <c r="M1058" s="33" t="str">
        <f t="shared" si="16"/>
        <v/>
      </c>
      <c r="N1058" s="34" t="str">
        <f>IFERROR(IF(Tabela1[[#This Row],[Nome fantasia]]="","",_xlfn.XLOOKUP($C1058,Log!D:D,Log!B:B,,,-1)),"")</f>
        <v/>
      </c>
      <c r="O1058" s="35" t="str">
        <f>IFERROR(_xlfn.XLOOKUP($C1058,Log!D:D,Log!W:W,,,-1),"")</f>
        <v/>
      </c>
      <c r="P1058" s="35" t="str">
        <f>IFERROR(_xlfn.XLOOKUP($C1058,Log!D:D,Log!Y:Y,,,-1),"")</f>
        <v/>
      </c>
      <c r="Q1058" s="130"/>
      <c r="R1058" s="131" t="str">
        <f>IFERROR(IF(Tabela1[[#This Row],[Nome fantasia]]="","",_xlfn.XLOOKUP($C1058,Log!D:D,Log!X:X,,,-1)),"")</f>
        <v/>
      </c>
    </row>
    <row r="1059" spans="3:18" hidden="1" x14ac:dyDescent="0.2">
      <c r="C1059" s="30" t="s">
        <v>2617</v>
      </c>
      <c r="D1059" s="110" t="s">
        <v>2618</v>
      </c>
      <c r="E1059" s="33" t="s">
        <v>22</v>
      </c>
      <c r="F1059" s="38"/>
      <c r="G1059" s="38"/>
      <c r="H1059" s="31"/>
      <c r="I1059" s="32"/>
      <c r="J1059" s="32"/>
      <c r="K1059" s="45" t="s">
        <v>888</v>
      </c>
      <c r="L1059" s="129"/>
      <c r="M1059" s="33" t="str">
        <f t="shared" si="16"/>
        <v/>
      </c>
      <c r="N1059" s="34" t="str">
        <f>IFERROR(IF(Tabela1[[#This Row],[Nome fantasia]]="","",_xlfn.XLOOKUP($C1059,Log!D:D,Log!B:B,,,-1)),"")</f>
        <v/>
      </c>
      <c r="O1059" s="35" t="str">
        <f>IFERROR(_xlfn.XLOOKUP($C1059,Log!D:D,Log!W:W,,,-1),"")</f>
        <v/>
      </c>
      <c r="P1059" s="35" t="str">
        <f>IFERROR(_xlfn.XLOOKUP($C1059,Log!D:D,Log!Y:Y,,,-1),"")</f>
        <v/>
      </c>
      <c r="Q1059" s="130"/>
      <c r="R1059" s="131" t="str">
        <f>IFERROR(IF(Tabela1[[#This Row],[Nome fantasia]]="","",_xlfn.XLOOKUP($C1059,Log!D:D,Log!X:X,,,-1)),"")</f>
        <v/>
      </c>
    </row>
    <row r="1060" spans="3:18" hidden="1" x14ac:dyDescent="0.2">
      <c r="C1060" s="30" t="s">
        <v>2619</v>
      </c>
      <c r="D1060" s="110" t="s">
        <v>2620</v>
      </c>
      <c r="E1060" s="33" t="s">
        <v>22</v>
      </c>
      <c r="F1060" s="38"/>
      <c r="G1060" s="38"/>
      <c r="H1060" s="31"/>
      <c r="I1060" s="32"/>
      <c r="J1060" s="32"/>
      <c r="K1060" s="45" t="s">
        <v>888</v>
      </c>
      <c r="L1060" s="129"/>
      <c r="M1060" s="33" t="str">
        <f t="shared" si="16"/>
        <v/>
      </c>
      <c r="N1060" s="34" t="str">
        <f>IFERROR(IF(Tabela1[[#This Row],[Nome fantasia]]="","",_xlfn.XLOOKUP($C1060,Log!D:D,Log!B:B,,,-1)),"")</f>
        <v/>
      </c>
      <c r="O1060" s="35" t="str">
        <f>IFERROR(_xlfn.XLOOKUP($C1060,Log!D:D,Log!W:W,,,-1),"")</f>
        <v/>
      </c>
      <c r="P1060" s="35" t="str">
        <f>IFERROR(_xlfn.XLOOKUP($C1060,Log!D:D,Log!Y:Y,,,-1),"")</f>
        <v/>
      </c>
      <c r="Q1060" s="130"/>
      <c r="R1060" s="131" t="str">
        <f>IFERROR(IF(Tabela1[[#This Row],[Nome fantasia]]="","",_xlfn.XLOOKUP($C1060,Log!D:D,Log!X:X,,,-1)),"")</f>
        <v/>
      </c>
    </row>
    <row r="1061" spans="3:18" hidden="1" x14ac:dyDescent="0.2">
      <c r="C1061" s="30" t="s">
        <v>2621</v>
      </c>
      <c r="D1061" s="110" t="s">
        <v>1248</v>
      </c>
      <c r="E1061" s="33" t="s">
        <v>22</v>
      </c>
      <c r="F1061" s="38"/>
      <c r="G1061" s="38"/>
      <c r="H1061" s="31"/>
      <c r="I1061" s="32"/>
      <c r="J1061" s="32"/>
      <c r="K1061" s="45" t="s">
        <v>888</v>
      </c>
      <c r="L1061" s="129"/>
      <c r="M1061" s="33" t="str">
        <f t="shared" si="16"/>
        <v/>
      </c>
      <c r="N1061" s="34" t="str">
        <f>IFERROR(IF(Tabela1[[#This Row],[Nome fantasia]]="","",_xlfn.XLOOKUP($C1061,Log!D:D,Log!B:B,,,-1)),"")</f>
        <v/>
      </c>
      <c r="O1061" s="35" t="str">
        <f>IFERROR(_xlfn.XLOOKUP($C1061,Log!D:D,Log!W:W,,,-1),"")</f>
        <v/>
      </c>
      <c r="P1061" s="35" t="str">
        <f>IFERROR(_xlfn.XLOOKUP($C1061,Log!D:D,Log!Y:Y,,,-1),"")</f>
        <v/>
      </c>
      <c r="Q1061" s="130"/>
      <c r="R1061" s="131" t="str">
        <f>IFERROR(IF(Tabela1[[#This Row],[Nome fantasia]]="","",_xlfn.XLOOKUP($C1061,Log!D:D,Log!X:X,,,-1)),"")</f>
        <v/>
      </c>
    </row>
    <row r="1062" spans="3:18" hidden="1" x14ac:dyDescent="0.2">
      <c r="C1062" s="30" t="s">
        <v>2379</v>
      </c>
      <c r="D1062" s="110" t="s">
        <v>2622</v>
      </c>
      <c r="E1062" s="33" t="s">
        <v>46</v>
      </c>
      <c r="F1062" s="38"/>
      <c r="G1062" s="38"/>
      <c r="H1062" s="31"/>
      <c r="I1062" s="32"/>
      <c r="J1062" s="32"/>
      <c r="K1062" s="45" t="s">
        <v>888</v>
      </c>
      <c r="L1062" s="129"/>
      <c r="M1062" s="33" t="str">
        <f t="shared" si="16"/>
        <v/>
      </c>
      <c r="N1062" s="34" t="str">
        <f>IFERROR(IF(Tabela1[[#This Row],[Nome fantasia]]="","",_xlfn.XLOOKUP($C1062,Log!D:D,Log!B:B,,,-1)),"")</f>
        <v/>
      </c>
      <c r="O1062" s="35" t="str">
        <f>IFERROR(_xlfn.XLOOKUP($C1062,Log!D:D,Log!W:W,,,-1),"")</f>
        <v/>
      </c>
      <c r="P1062" s="35" t="str">
        <f>IFERROR(_xlfn.XLOOKUP($C1062,Log!D:D,Log!Y:Y,,,-1),"")</f>
        <v/>
      </c>
      <c r="Q1062" s="130"/>
      <c r="R1062" s="131" t="str">
        <f>IFERROR(IF(Tabela1[[#This Row],[Nome fantasia]]="","",_xlfn.XLOOKUP($C1062,Log!D:D,Log!X:X,,,-1)),"")</f>
        <v/>
      </c>
    </row>
    <row r="1063" spans="3:18" hidden="1" x14ac:dyDescent="0.2">
      <c r="C1063" s="30" t="s">
        <v>2623</v>
      </c>
      <c r="D1063" s="110" t="s">
        <v>2624</v>
      </c>
      <c r="E1063" s="33" t="s">
        <v>17</v>
      </c>
      <c r="F1063" s="38"/>
      <c r="G1063" s="38"/>
      <c r="H1063" s="31"/>
      <c r="I1063" s="32"/>
      <c r="J1063" s="32"/>
      <c r="K1063" s="45" t="s">
        <v>888</v>
      </c>
      <c r="L1063" s="129"/>
      <c r="M1063" s="33" t="str">
        <f t="shared" si="16"/>
        <v/>
      </c>
      <c r="N1063" s="34" t="str">
        <f>IFERROR(IF(Tabela1[[#This Row],[Nome fantasia]]="","",_xlfn.XLOOKUP($C1063,Log!D:D,Log!B:B,,,-1)),"")</f>
        <v/>
      </c>
      <c r="O1063" s="35" t="str">
        <f>IFERROR(_xlfn.XLOOKUP($C1063,Log!D:D,Log!W:W,,,-1),"")</f>
        <v/>
      </c>
      <c r="P1063" s="35" t="str">
        <f>IFERROR(_xlfn.XLOOKUP($C1063,Log!D:D,Log!Y:Y,,,-1),"")</f>
        <v/>
      </c>
      <c r="Q1063" s="130"/>
      <c r="R1063" s="131" t="str">
        <f>IFERROR(IF(Tabela1[[#This Row],[Nome fantasia]]="","",_xlfn.XLOOKUP($C1063,Log!D:D,Log!X:X,,,-1)),"")</f>
        <v/>
      </c>
    </row>
    <row r="1064" spans="3:18" hidden="1" x14ac:dyDescent="0.2">
      <c r="C1064" s="30" t="s">
        <v>2625</v>
      </c>
      <c r="D1064" s="110" t="s">
        <v>2626</v>
      </c>
      <c r="E1064" s="33" t="s">
        <v>17</v>
      </c>
      <c r="F1064" s="38"/>
      <c r="G1064" s="38"/>
      <c r="H1064" s="31"/>
      <c r="I1064" s="32"/>
      <c r="J1064" s="32"/>
      <c r="K1064" s="45" t="s">
        <v>888</v>
      </c>
      <c r="L1064" s="129"/>
      <c r="M1064" s="33" t="str">
        <f t="shared" si="16"/>
        <v/>
      </c>
      <c r="N1064" s="34" t="str">
        <f>IFERROR(IF(Tabela1[[#This Row],[Nome fantasia]]="","",_xlfn.XLOOKUP($C1064,Log!D:D,Log!B:B,,,-1)),"")</f>
        <v/>
      </c>
      <c r="O1064" s="35" t="str">
        <f>IFERROR(_xlfn.XLOOKUP($C1064,Log!D:D,Log!W:W,,,-1),"")</f>
        <v/>
      </c>
      <c r="P1064" s="35" t="str">
        <f>IFERROR(_xlfn.XLOOKUP($C1064,Log!D:D,Log!Y:Y,,,-1),"")</f>
        <v/>
      </c>
      <c r="Q1064" s="130"/>
      <c r="R1064" s="131" t="str">
        <f>IFERROR(IF(Tabela1[[#This Row],[Nome fantasia]]="","",_xlfn.XLOOKUP($C1064,Log!D:D,Log!X:X,,,-1)),"")</f>
        <v/>
      </c>
    </row>
    <row r="1065" spans="3:18" hidden="1" x14ac:dyDescent="0.2">
      <c r="C1065" s="30" t="s">
        <v>2627</v>
      </c>
      <c r="D1065" s="110" t="s">
        <v>2628</v>
      </c>
      <c r="E1065" s="33" t="s">
        <v>22</v>
      </c>
      <c r="F1065" s="38"/>
      <c r="G1065" s="38"/>
      <c r="H1065" s="31"/>
      <c r="I1065" s="32"/>
      <c r="J1065" s="32"/>
      <c r="K1065" s="45" t="s">
        <v>888</v>
      </c>
      <c r="L1065" s="129"/>
      <c r="M1065" s="33" t="str">
        <f t="shared" si="16"/>
        <v/>
      </c>
      <c r="N1065" s="34" t="str">
        <f>IFERROR(IF(Tabela1[[#This Row],[Nome fantasia]]="","",_xlfn.XLOOKUP($C1065,Log!D:D,Log!B:B,,,-1)),"")</f>
        <v/>
      </c>
      <c r="O1065" s="35" t="str">
        <f>IFERROR(_xlfn.XLOOKUP($C1065,Log!D:D,Log!W:W,,,-1),"")</f>
        <v/>
      </c>
      <c r="P1065" s="35" t="str">
        <f>IFERROR(_xlfn.XLOOKUP($C1065,Log!D:D,Log!Y:Y,,,-1),"")</f>
        <v/>
      </c>
      <c r="Q1065" s="130"/>
      <c r="R1065" s="131" t="str">
        <f>IFERROR(IF(Tabela1[[#This Row],[Nome fantasia]]="","",_xlfn.XLOOKUP($C1065,Log!D:D,Log!X:X,,,-1)),"")</f>
        <v/>
      </c>
    </row>
    <row r="1066" spans="3:18" hidden="1" x14ac:dyDescent="0.2">
      <c r="C1066" s="30" t="s">
        <v>2629</v>
      </c>
      <c r="D1066" s="110" t="s">
        <v>2630</v>
      </c>
      <c r="E1066" s="33" t="s">
        <v>22</v>
      </c>
      <c r="F1066" s="38"/>
      <c r="G1066" s="38"/>
      <c r="H1066" s="31"/>
      <c r="I1066" s="32"/>
      <c r="J1066" s="32"/>
      <c r="K1066" s="45" t="s">
        <v>888</v>
      </c>
      <c r="L1066" s="129"/>
      <c r="M1066" s="33" t="str">
        <f t="shared" si="16"/>
        <v/>
      </c>
      <c r="N1066" s="34" t="str">
        <f>IFERROR(IF(Tabela1[[#This Row],[Nome fantasia]]="","",_xlfn.XLOOKUP($C1066,Log!D:D,Log!B:B,,,-1)),"")</f>
        <v/>
      </c>
      <c r="O1066" s="35" t="str">
        <f>IFERROR(_xlfn.XLOOKUP($C1066,Log!D:D,Log!W:W,,,-1),"")</f>
        <v/>
      </c>
      <c r="P1066" s="35" t="str">
        <f>IFERROR(_xlfn.XLOOKUP($C1066,Log!D:D,Log!Y:Y,,,-1),"")</f>
        <v/>
      </c>
      <c r="Q1066" s="130"/>
      <c r="R1066" s="131" t="str">
        <f>IFERROR(IF(Tabela1[[#This Row],[Nome fantasia]]="","",_xlfn.XLOOKUP($C1066,Log!D:D,Log!X:X,,,-1)),"")</f>
        <v/>
      </c>
    </row>
    <row r="1067" spans="3:18" hidden="1" x14ac:dyDescent="0.2">
      <c r="C1067" s="30" t="s">
        <v>2631</v>
      </c>
      <c r="D1067" s="110" t="s">
        <v>2632</v>
      </c>
      <c r="E1067" s="33" t="s">
        <v>46</v>
      </c>
      <c r="F1067" s="38"/>
      <c r="G1067" s="38"/>
      <c r="H1067" s="31"/>
      <c r="I1067" s="32"/>
      <c r="J1067" s="32"/>
      <c r="K1067" s="45" t="s">
        <v>888</v>
      </c>
      <c r="L1067" s="129"/>
      <c r="M1067" s="33" t="str">
        <f t="shared" si="16"/>
        <v/>
      </c>
      <c r="N1067" s="34" t="str">
        <f>IFERROR(IF(Tabela1[[#This Row],[Nome fantasia]]="","",_xlfn.XLOOKUP($C1067,Log!D:D,Log!B:B,,,-1)),"")</f>
        <v/>
      </c>
      <c r="O1067" s="35" t="str">
        <f>IFERROR(_xlfn.XLOOKUP($C1067,Log!D:D,Log!W:W,,,-1),"")</f>
        <v/>
      </c>
      <c r="P1067" s="35" t="str">
        <f>IFERROR(_xlfn.XLOOKUP($C1067,Log!D:D,Log!Y:Y,,,-1),"")</f>
        <v/>
      </c>
      <c r="Q1067" s="130"/>
      <c r="R1067" s="131" t="str">
        <f>IFERROR(IF(Tabela1[[#This Row],[Nome fantasia]]="","",_xlfn.XLOOKUP($C1067,Log!D:D,Log!X:X,,,-1)),"")</f>
        <v/>
      </c>
    </row>
    <row r="1068" spans="3:18" hidden="1" x14ac:dyDescent="0.2">
      <c r="C1068" s="30" t="s">
        <v>2633</v>
      </c>
      <c r="D1068" s="110" t="s">
        <v>2634</v>
      </c>
      <c r="E1068" s="33" t="s">
        <v>17</v>
      </c>
      <c r="F1068" s="38"/>
      <c r="G1068" s="38"/>
      <c r="H1068" s="31"/>
      <c r="I1068" s="32"/>
      <c r="J1068" s="32"/>
      <c r="K1068" s="45" t="s">
        <v>888</v>
      </c>
      <c r="L1068" s="129"/>
      <c r="M1068" s="33" t="str">
        <f t="shared" si="16"/>
        <v/>
      </c>
      <c r="N1068" s="34" t="str">
        <f>IFERROR(IF(Tabela1[[#This Row],[Nome fantasia]]="","",_xlfn.XLOOKUP($C1068,Log!D:D,Log!B:B,,,-1)),"")</f>
        <v/>
      </c>
      <c r="O1068" s="35" t="str">
        <f>IFERROR(_xlfn.XLOOKUP($C1068,Log!D:D,Log!W:W,,,-1),"")</f>
        <v/>
      </c>
      <c r="P1068" s="35" t="str">
        <f>IFERROR(_xlfn.XLOOKUP($C1068,Log!D:D,Log!Y:Y,,,-1),"")</f>
        <v/>
      </c>
      <c r="Q1068" s="130"/>
      <c r="R1068" s="131" t="str">
        <f>IFERROR(IF(Tabela1[[#This Row],[Nome fantasia]]="","",_xlfn.XLOOKUP($C1068,Log!D:D,Log!X:X,,,-1)),"")</f>
        <v/>
      </c>
    </row>
    <row r="1069" spans="3:18" hidden="1" x14ac:dyDescent="0.2">
      <c r="C1069" s="30" t="s">
        <v>2635</v>
      </c>
      <c r="D1069" s="110" t="s">
        <v>2636</v>
      </c>
      <c r="E1069" s="33" t="s">
        <v>46</v>
      </c>
      <c r="F1069" s="38"/>
      <c r="G1069" s="38"/>
      <c r="H1069" s="31"/>
      <c r="I1069" s="32"/>
      <c r="J1069" s="32"/>
      <c r="K1069" s="45" t="s">
        <v>888</v>
      </c>
      <c r="L1069" s="129"/>
      <c r="M1069" s="33" t="str">
        <f t="shared" si="16"/>
        <v/>
      </c>
      <c r="N1069" s="34">
        <f>IFERROR(IF(Tabela1[[#This Row],[Nome fantasia]]="","",_xlfn.XLOOKUP($C1069,Log!D:D,Log!B:B,,,-1)),"")</f>
        <v>45996</v>
      </c>
      <c r="O1069" s="35" t="str">
        <f>IFERROR(_xlfn.XLOOKUP($C1069,Log!D:D,Log!W:W,,,-1),"")</f>
        <v>EM ATENDIMENTO</v>
      </c>
      <c r="P1069" s="35" t="str">
        <f>IFERROR(_xlfn.XLOOKUP($C1069,Log!D:D,Log!Y:Y,,,-1),"")</f>
        <v>LIGAÇÃO SEM SUCESSO</v>
      </c>
      <c r="Q1069" s="130"/>
      <c r="R1069" s="131">
        <f>IFERROR(IF(Tabela1[[#This Row],[Nome fantasia]]="","",_xlfn.XLOOKUP($C1069,Log!D:D,Log!X:X,,,-1)),"")</f>
        <v>46000</v>
      </c>
    </row>
    <row r="1070" spans="3:18" hidden="1" x14ac:dyDescent="0.2">
      <c r="C1070" s="30" t="s">
        <v>2637</v>
      </c>
      <c r="D1070" s="110" t="s">
        <v>2638</v>
      </c>
      <c r="E1070" s="33" t="s">
        <v>17</v>
      </c>
      <c r="F1070" s="38"/>
      <c r="G1070" s="38"/>
      <c r="H1070" s="31"/>
      <c r="I1070" s="32"/>
      <c r="J1070" s="32"/>
      <c r="K1070" s="45" t="s">
        <v>888</v>
      </c>
      <c r="L1070" s="129"/>
      <c r="M1070" s="33" t="str">
        <f t="shared" si="16"/>
        <v/>
      </c>
      <c r="N1070" s="34" t="str">
        <f>IFERROR(IF(Tabela1[[#This Row],[Nome fantasia]]="","",_xlfn.XLOOKUP($C1070,Log!D:D,Log!B:B,,,-1)),"")</f>
        <v/>
      </c>
      <c r="O1070" s="35" t="str">
        <f>IFERROR(_xlfn.XLOOKUP($C1070,Log!D:D,Log!W:W,,,-1),"")</f>
        <v/>
      </c>
      <c r="P1070" s="35" t="str">
        <f>IFERROR(_xlfn.XLOOKUP($C1070,Log!D:D,Log!Y:Y,,,-1),"")</f>
        <v/>
      </c>
      <c r="Q1070" s="130"/>
      <c r="R1070" s="131" t="str">
        <f>IFERROR(IF(Tabela1[[#This Row],[Nome fantasia]]="","",_xlfn.XLOOKUP($C1070,Log!D:D,Log!X:X,,,-1)),"")</f>
        <v/>
      </c>
    </row>
    <row r="1071" spans="3:18" hidden="1" x14ac:dyDescent="0.2">
      <c r="C1071" s="30" t="s">
        <v>2639</v>
      </c>
      <c r="D1071" s="110" t="s">
        <v>2640</v>
      </c>
      <c r="E1071" s="33" t="s">
        <v>22</v>
      </c>
      <c r="F1071" s="38"/>
      <c r="G1071" s="38"/>
      <c r="H1071" s="31"/>
      <c r="I1071" s="32"/>
      <c r="J1071" s="32"/>
      <c r="K1071" s="45" t="s">
        <v>888</v>
      </c>
      <c r="L1071" s="129"/>
      <c r="M1071" s="33" t="str">
        <f t="shared" si="16"/>
        <v/>
      </c>
      <c r="N1071" s="34" t="str">
        <f>IFERROR(IF(Tabela1[[#This Row],[Nome fantasia]]="","",_xlfn.XLOOKUP($C1071,Log!D:D,Log!B:B,,,-1)),"")</f>
        <v/>
      </c>
      <c r="O1071" s="35" t="str">
        <f>IFERROR(_xlfn.XLOOKUP($C1071,Log!D:D,Log!W:W,,,-1),"")</f>
        <v/>
      </c>
      <c r="P1071" s="35" t="str">
        <f>IFERROR(_xlfn.XLOOKUP($C1071,Log!D:D,Log!Y:Y,,,-1),"")</f>
        <v/>
      </c>
      <c r="Q1071" s="130"/>
      <c r="R1071" s="131" t="str">
        <f>IFERROR(IF(Tabela1[[#This Row],[Nome fantasia]]="","",_xlfn.XLOOKUP($C1071,Log!D:D,Log!X:X,,,-1)),"")</f>
        <v/>
      </c>
    </row>
    <row r="1072" spans="3:18" hidden="1" x14ac:dyDescent="0.2">
      <c r="C1072" s="30" t="s">
        <v>2641</v>
      </c>
      <c r="D1072" s="110" t="s">
        <v>2642</v>
      </c>
      <c r="E1072" s="33" t="s">
        <v>46</v>
      </c>
      <c r="F1072" s="38"/>
      <c r="G1072" s="38"/>
      <c r="H1072" s="31"/>
      <c r="I1072" s="32"/>
      <c r="J1072" s="32"/>
      <c r="K1072" s="45" t="s">
        <v>888</v>
      </c>
      <c r="L1072" s="129"/>
      <c r="M1072" s="33" t="str">
        <f t="shared" si="16"/>
        <v/>
      </c>
      <c r="N1072" s="34" t="str">
        <f>IFERROR(IF(Tabela1[[#This Row],[Nome fantasia]]="","",_xlfn.XLOOKUP($C1072,Log!D:D,Log!B:B,,,-1)),"")</f>
        <v/>
      </c>
      <c r="O1072" s="35" t="str">
        <f>IFERROR(_xlfn.XLOOKUP($C1072,Log!D:D,Log!W:W,,,-1),"")</f>
        <v/>
      </c>
      <c r="P1072" s="35" t="str">
        <f>IFERROR(_xlfn.XLOOKUP($C1072,Log!D:D,Log!Y:Y,,,-1),"")</f>
        <v/>
      </c>
      <c r="Q1072" s="130"/>
      <c r="R1072" s="131" t="str">
        <f>IFERROR(IF(Tabela1[[#This Row],[Nome fantasia]]="","",_xlfn.XLOOKUP($C1072,Log!D:D,Log!X:X,,,-1)),"")</f>
        <v/>
      </c>
    </row>
    <row r="1073" spans="3:18" hidden="1" x14ac:dyDescent="0.2">
      <c r="C1073" s="30" t="s">
        <v>2643</v>
      </c>
      <c r="D1073" s="110" t="s">
        <v>2644</v>
      </c>
      <c r="E1073" s="33" t="s">
        <v>46</v>
      </c>
      <c r="F1073" s="38"/>
      <c r="G1073" s="38"/>
      <c r="H1073" s="31"/>
      <c r="I1073" s="32"/>
      <c r="J1073" s="32"/>
      <c r="K1073" s="45" t="s">
        <v>888</v>
      </c>
      <c r="L1073" s="129"/>
      <c r="M1073" s="33" t="str">
        <f t="shared" si="16"/>
        <v/>
      </c>
      <c r="N1073" s="34" t="str">
        <f>IFERROR(IF(Tabela1[[#This Row],[Nome fantasia]]="","",_xlfn.XLOOKUP($C1073,Log!D:D,Log!B:B,,,-1)),"")</f>
        <v/>
      </c>
      <c r="O1073" s="35" t="str">
        <f>IFERROR(_xlfn.XLOOKUP($C1073,Log!D:D,Log!W:W,,,-1),"")</f>
        <v/>
      </c>
      <c r="P1073" s="35" t="str">
        <f>IFERROR(_xlfn.XLOOKUP($C1073,Log!D:D,Log!Y:Y,,,-1),"")</f>
        <v/>
      </c>
      <c r="Q1073" s="130"/>
      <c r="R1073" s="131" t="str">
        <f>IFERROR(IF(Tabela1[[#This Row],[Nome fantasia]]="","",_xlfn.XLOOKUP($C1073,Log!D:D,Log!X:X,,,-1)),"")</f>
        <v/>
      </c>
    </row>
    <row r="1074" spans="3:18" hidden="1" x14ac:dyDescent="0.2">
      <c r="C1074" s="30" t="s">
        <v>2643</v>
      </c>
      <c r="D1074" s="110" t="s">
        <v>2644</v>
      </c>
      <c r="E1074" s="33" t="s">
        <v>46</v>
      </c>
      <c r="F1074" s="38"/>
      <c r="G1074" s="38"/>
      <c r="H1074" s="31"/>
      <c r="I1074" s="32"/>
      <c r="J1074" s="32"/>
      <c r="K1074" s="45" t="s">
        <v>888</v>
      </c>
      <c r="L1074" s="129"/>
      <c r="M1074" s="33" t="str">
        <f t="shared" si="16"/>
        <v/>
      </c>
      <c r="N1074" s="34" t="str">
        <f>IFERROR(IF(Tabela1[[#This Row],[Nome fantasia]]="","",_xlfn.XLOOKUP($C1074,Log!D:D,Log!B:B,,,-1)),"")</f>
        <v/>
      </c>
      <c r="O1074" s="35" t="str">
        <f>IFERROR(_xlfn.XLOOKUP($C1074,Log!D:D,Log!W:W,,,-1),"")</f>
        <v/>
      </c>
      <c r="P1074" s="35" t="str">
        <f>IFERROR(_xlfn.XLOOKUP($C1074,Log!D:D,Log!Y:Y,,,-1),"")</f>
        <v/>
      </c>
      <c r="Q1074" s="130"/>
      <c r="R1074" s="131" t="str">
        <f>IFERROR(IF(Tabela1[[#This Row],[Nome fantasia]]="","",_xlfn.XLOOKUP($C1074,Log!D:D,Log!X:X,,,-1)),"")</f>
        <v/>
      </c>
    </row>
    <row r="1075" spans="3:18" hidden="1" x14ac:dyDescent="0.2">
      <c r="C1075" s="30" t="s">
        <v>2645</v>
      </c>
      <c r="D1075" s="110" t="s">
        <v>1027</v>
      </c>
      <c r="E1075" s="33" t="s">
        <v>17</v>
      </c>
      <c r="F1075" s="38"/>
      <c r="G1075" s="38"/>
      <c r="H1075" s="31"/>
      <c r="I1075" s="32"/>
      <c r="J1075" s="32"/>
      <c r="K1075" s="45" t="s">
        <v>888</v>
      </c>
      <c r="L1075" s="129"/>
      <c r="M1075" s="33" t="str">
        <f t="shared" si="16"/>
        <v/>
      </c>
      <c r="N1075" s="34" t="str">
        <f>IFERROR(IF(Tabela1[[#This Row],[Nome fantasia]]="","",_xlfn.XLOOKUP($C1075,Log!D:D,Log!B:B,,,-1)),"")</f>
        <v/>
      </c>
      <c r="O1075" s="35" t="str">
        <f>IFERROR(_xlfn.XLOOKUP($C1075,Log!D:D,Log!W:W,,,-1),"")</f>
        <v/>
      </c>
      <c r="P1075" s="35" t="str">
        <f>IFERROR(_xlfn.XLOOKUP($C1075,Log!D:D,Log!Y:Y,,,-1),"")</f>
        <v/>
      </c>
      <c r="Q1075" s="130"/>
      <c r="R1075" s="131" t="str">
        <f>IFERROR(IF(Tabela1[[#This Row],[Nome fantasia]]="","",_xlfn.XLOOKUP($C1075,Log!D:D,Log!X:X,,,-1)),"")</f>
        <v/>
      </c>
    </row>
    <row r="1076" spans="3:18" hidden="1" x14ac:dyDescent="0.2">
      <c r="C1076" s="30" t="s">
        <v>2646</v>
      </c>
      <c r="D1076" s="110" t="s">
        <v>2647</v>
      </c>
      <c r="E1076" s="33" t="s">
        <v>46</v>
      </c>
      <c r="F1076" s="38"/>
      <c r="G1076" s="38"/>
      <c r="H1076" s="31"/>
      <c r="I1076" s="32"/>
      <c r="J1076" s="32"/>
      <c r="K1076" s="45" t="s">
        <v>888</v>
      </c>
      <c r="L1076" s="129"/>
      <c r="M1076" s="33" t="str">
        <f t="shared" si="16"/>
        <v/>
      </c>
      <c r="N1076" s="34" t="str">
        <f>IFERROR(IF(Tabela1[[#This Row],[Nome fantasia]]="","",_xlfn.XLOOKUP($C1076,Log!D:D,Log!B:B,,,-1)),"")</f>
        <v/>
      </c>
      <c r="O1076" s="35" t="str">
        <f>IFERROR(_xlfn.XLOOKUP($C1076,Log!D:D,Log!W:W,,,-1),"")</f>
        <v/>
      </c>
      <c r="P1076" s="35" t="str">
        <f>IFERROR(_xlfn.XLOOKUP($C1076,Log!D:D,Log!Y:Y,,,-1),"")</f>
        <v/>
      </c>
      <c r="Q1076" s="130"/>
      <c r="R1076" s="131" t="str">
        <f>IFERROR(IF(Tabela1[[#This Row],[Nome fantasia]]="","",_xlfn.XLOOKUP($C1076,Log!D:D,Log!X:X,,,-1)),"")</f>
        <v/>
      </c>
    </row>
    <row r="1077" spans="3:18" hidden="1" x14ac:dyDescent="0.2">
      <c r="C1077" s="30" t="s">
        <v>2648</v>
      </c>
      <c r="D1077" s="110" t="s">
        <v>2649</v>
      </c>
      <c r="E1077" s="33" t="s">
        <v>46</v>
      </c>
      <c r="F1077" s="38"/>
      <c r="G1077" s="38"/>
      <c r="H1077" s="31"/>
      <c r="I1077" s="32"/>
      <c r="J1077" s="32"/>
      <c r="K1077" s="45" t="s">
        <v>888</v>
      </c>
      <c r="L1077" s="129"/>
      <c r="M1077" s="33" t="str">
        <f t="shared" si="16"/>
        <v/>
      </c>
      <c r="N1077" s="34" t="str">
        <f>IFERROR(IF(Tabela1[[#This Row],[Nome fantasia]]="","",_xlfn.XLOOKUP($C1077,Log!D:D,Log!B:B,,,-1)),"")</f>
        <v/>
      </c>
      <c r="O1077" s="35" t="str">
        <f>IFERROR(_xlfn.XLOOKUP($C1077,Log!D:D,Log!W:W,,,-1),"")</f>
        <v/>
      </c>
      <c r="P1077" s="35" t="str">
        <f>IFERROR(_xlfn.XLOOKUP($C1077,Log!D:D,Log!Y:Y,,,-1),"")</f>
        <v/>
      </c>
      <c r="Q1077" s="130"/>
      <c r="R1077" s="131" t="str">
        <f>IFERROR(IF(Tabela1[[#This Row],[Nome fantasia]]="","",_xlfn.XLOOKUP($C1077,Log!D:D,Log!X:X,,,-1)),"")</f>
        <v/>
      </c>
    </row>
    <row r="1078" spans="3:18" hidden="1" x14ac:dyDescent="0.2">
      <c r="C1078" s="30" t="s">
        <v>2650</v>
      </c>
      <c r="D1078" s="110" t="s">
        <v>2651</v>
      </c>
      <c r="E1078" s="33" t="s">
        <v>22</v>
      </c>
      <c r="F1078" s="38"/>
      <c r="G1078" s="38"/>
      <c r="H1078" s="31"/>
      <c r="I1078" s="32"/>
      <c r="J1078" s="32"/>
      <c r="K1078" s="45" t="s">
        <v>888</v>
      </c>
      <c r="L1078" s="129"/>
      <c r="M1078" s="33" t="str">
        <f t="shared" si="16"/>
        <v/>
      </c>
      <c r="N1078" s="34" t="str">
        <f>IFERROR(IF(Tabela1[[#This Row],[Nome fantasia]]="","",_xlfn.XLOOKUP($C1078,Log!D:D,Log!B:B,,,-1)),"")</f>
        <v/>
      </c>
      <c r="O1078" s="35" t="str">
        <f>IFERROR(_xlfn.XLOOKUP($C1078,Log!D:D,Log!W:W,,,-1),"")</f>
        <v/>
      </c>
      <c r="P1078" s="35" t="str">
        <f>IFERROR(_xlfn.XLOOKUP($C1078,Log!D:D,Log!Y:Y,,,-1),"")</f>
        <v/>
      </c>
      <c r="Q1078" s="130"/>
      <c r="R1078" s="131" t="str">
        <f>IFERROR(IF(Tabela1[[#This Row],[Nome fantasia]]="","",_xlfn.XLOOKUP($C1078,Log!D:D,Log!X:X,,,-1)),"")</f>
        <v/>
      </c>
    </row>
    <row r="1079" spans="3:18" hidden="1" x14ac:dyDescent="0.2">
      <c r="C1079" s="30" t="s">
        <v>2652</v>
      </c>
      <c r="D1079" s="110" t="s">
        <v>2653</v>
      </c>
      <c r="E1079" s="33" t="s">
        <v>46</v>
      </c>
      <c r="F1079" s="38"/>
      <c r="G1079" s="38"/>
      <c r="H1079" s="31"/>
      <c r="I1079" s="32"/>
      <c r="J1079" s="32"/>
      <c r="K1079" s="45" t="s">
        <v>888</v>
      </c>
      <c r="L1079" s="129"/>
      <c r="M1079" s="33" t="str">
        <f t="shared" si="16"/>
        <v/>
      </c>
      <c r="N1079" s="34" t="str">
        <f>IFERROR(IF(Tabela1[[#This Row],[Nome fantasia]]="","",_xlfn.XLOOKUP($C1079,Log!D:D,Log!B:B,,,-1)),"")</f>
        <v/>
      </c>
      <c r="O1079" s="35" t="str">
        <f>IFERROR(_xlfn.XLOOKUP($C1079,Log!D:D,Log!W:W,,,-1),"")</f>
        <v/>
      </c>
      <c r="P1079" s="35" t="str">
        <f>IFERROR(_xlfn.XLOOKUP($C1079,Log!D:D,Log!Y:Y,,,-1),"")</f>
        <v/>
      </c>
      <c r="Q1079" s="130"/>
      <c r="R1079" s="131" t="str">
        <f>IFERROR(IF(Tabela1[[#This Row],[Nome fantasia]]="","",_xlfn.XLOOKUP($C1079,Log!D:D,Log!X:X,,,-1)),"")</f>
        <v/>
      </c>
    </row>
    <row r="1080" spans="3:18" hidden="1" x14ac:dyDescent="0.2">
      <c r="C1080" s="30" t="s">
        <v>2654</v>
      </c>
      <c r="D1080" s="110" t="s">
        <v>2655</v>
      </c>
      <c r="E1080" s="33" t="s">
        <v>22</v>
      </c>
      <c r="F1080" s="38"/>
      <c r="G1080" s="38"/>
      <c r="H1080" s="31"/>
      <c r="I1080" s="32"/>
      <c r="J1080" s="32"/>
      <c r="K1080" s="45" t="s">
        <v>888</v>
      </c>
      <c r="L1080" s="129"/>
      <c r="M1080" s="33" t="str">
        <f t="shared" si="16"/>
        <v/>
      </c>
      <c r="N1080" s="34" t="str">
        <f>IFERROR(IF(Tabela1[[#This Row],[Nome fantasia]]="","",_xlfn.XLOOKUP($C1080,Log!D:D,Log!B:B,,,-1)),"")</f>
        <v/>
      </c>
      <c r="O1080" s="35" t="str">
        <f>IFERROR(_xlfn.XLOOKUP($C1080,Log!D:D,Log!W:W,,,-1),"")</f>
        <v/>
      </c>
      <c r="P1080" s="35" t="str">
        <f>IFERROR(_xlfn.XLOOKUP($C1080,Log!D:D,Log!Y:Y,,,-1),"")</f>
        <v/>
      </c>
      <c r="Q1080" s="130"/>
      <c r="R1080" s="131" t="str">
        <f>IFERROR(IF(Tabela1[[#This Row],[Nome fantasia]]="","",_xlfn.XLOOKUP($C1080,Log!D:D,Log!X:X,,,-1)),"")</f>
        <v/>
      </c>
    </row>
    <row r="1081" spans="3:18" hidden="1" x14ac:dyDescent="0.2">
      <c r="C1081" s="30" t="s">
        <v>2656</v>
      </c>
      <c r="D1081" s="110" t="s">
        <v>2657</v>
      </c>
      <c r="E1081" s="33" t="s">
        <v>46</v>
      </c>
      <c r="F1081" s="38"/>
      <c r="G1081" s="38"/>
      <c r="H1081" s="31"/>
      <c r="I1081" s="32"/>
      <c r="J1081" s="32"/>
      <c r="K1081" s="45" t="s">
        <v>888</v>
      </c>
      <c r="L1081" s="129"/>
      <c r="M1081" s="33" t="str">
        <f t="shared" si="16"/>
        <v/>
      </c>
      <c r="N1081" s="34" t="str">
        <f>IFERROR(IF(Tabela1[[#This Row],[Nome fantasia]]="","",_xlfn.XLOOKUP($C1081,Log!D:D,Log!B:B,,,-1)),"")</f>
        <v/>
      </c>
      <c r="O1081" s="35" t="str">
        <f>IFERROR(_xlfn.XLOOKUP($C1081,Log!D:D,Log!W:W,,,-1),"")</f>
        <v/>
      </c>
      <c r="P1081" s="35" t="str">
        <f>IFERROR(_xlfn.XLOOKUP($C1081,Log!D:D,Log!Y:Y,,,-1),"")</f>
        <v/>
      </c>
      <c r="Q1081" s="130"/>
      <c r="R1081" s="131" t="str">
        <f>IFERROR(IF(Tabela1[[#This Row],[Nome fantasia]]="","",_xlfn.XLOOKUP($C1081,Log!D:D,Log!X:X,,,-1)),"")</f>
        <v/>
      </c>
    </row>
    <row r="1082" spans="3:18" hidden="1" x14ac:dyDescent="0.2">
      <c r="C1082" s="30" t="s">
        <v>2658</v>
      </c>
      <c r="D1082" s="110" t="s">
        <v>2659</v>
      </c>
      <c r="E1082" s="33" t="s">
        <v>22</v>
      </c>
      <c r="F1082" s="38"/>
      <c r="G1082" s="38"/>
      <c r="H1082" s="31"/>
      <c r="I1082" s="32"/>
      <c r="J1082" s="32"/>
      <c r="K1082" s="45" t="s">
        <v>888</v>
      </c>
      <c r="L1082" s="129"/>
      <c r="M1082" s="33" t="str">
        <f t="shared" si="16"/>
        <v/>
      </c>
      <c r="N1082" s="34" t="str">
        <f>IFERROR(IF(Tabela1[[#This Row],[Nome fantasia]]="","",_xlfn.XLOOKUP($C1082,Log!D:D,Log!B:B,,,-1)),"")</f>
        <v/>
      </c>
      <c r="O1082" s="35" t="str">
        <f>IFERROR(_xlfn.XLOOKUP($C1082,Log!D:D,Log!W:W,,,-1),"")</f>
        <v/>
      </c>
      <c r="P1082" s="35" t="str">
        <f>IFERROR(_xlfn.XLOOKUP($C1082,Log!D:D,Log!Y:Y,,,-1),"")</f>
        <v/>
      </c>
      <c r="Q1082" s="130"/>
      <c r="R1082" s="131" t="str">
        <f>IFERROR(IF(Tabela1[[#This Row],[Nome fantasia]]="","",_xlfn.XLOOKUP($C1082,Log!D:D,Log!X:X,,,-1)),"")</f>
        <v/>
      </c>
    </row>
    <row r="1083" spans="3:18" hidden="1" x14ac:dyDescent="0.2">
      <c r="C1083" s="30" t="s">
        <v>2660</v>
      </c>
      <c r="D1083" s="110" t="s">
        <v>2661</v>
      </c>
      <c r="E1083" s="33" t="s">
        <v>46</v>
      </c>
      <c r="F1083" s="38"/>
      <c r="G1083" s="38"/>
      <c r="H1083" s="31"/>
      <c r="I1083" s="32"/>
      <c r="J1083" s="32"/>
      <c r="K1083" s="45" t="s">
        <v>888</v>
      </c>
      <c r="L1083" s="129"/>
      <c r="M1083" s="33" t="str">
        <f t="shared" si="16"/>
        <v/>
      </c>
      <c r="N1083" s="34">
        <f>IFERROR(IF(Tabela1[[#This Row],[Nome fantasia]]="","",_xlfn.XLOOKUP($C1083,Log!D:D,Log!B:B,,,-1)),"")</f>
        <v>45999</v>
      </c>
      <c r="O1083" s="35" t="str">
        <f>IFERROR(_xlfn.XLOOKUP($C1083,Log!D:D,Log!W:W,,,-1),"")</f>
        <v>EM ATENDIMENTO</v>
      </c>
      <c r="P1083" s="35" t="str">
        <f>IFERROR(_xlfn.XLOOKUP($C1083,Log!D:D,Log!Y:Y,,,-1),"")</f>
        <v>SO TEM O NUMERO DA LOJA, TENTEI LIGAR VAI DIRETO PARA A CAIXA POSTAL, IMAGINO QUE SEJA SOMENTE WPP</v>
      </c>
      <c r="Q1083" s="130"/>
      <c r="R1083" s="131">
        <f>IFERROR(IF(Tabela1[[#This Row],[Nome fantasia]]="","",_xlfn.XLOOKUP($C1083,Log!D:D,Log!X:X,,,-1)),"")</f>
        <v>46001</v>
      </c>
    </row>
    <row r="1084" spans="3:18" hidden="1" x14ac:dyDescent="0.2">
      <c r="C1084" s="30" t="s">
        <v>2662</v>
      </c>
      <c r="D1084" s="110" t="s">
        <v>2663</v>
      </c>
      <c r="E1084" s="33" t="s">
        <v>17</v>
      </c>
      <c r="F1084" s="38"/>
      <c r="G1084" s="38"/>
      <c r="H1084" s="31"/>
      <c r="I1084" s="32"/>
      <c r="J1084" s="32"/>
      <c r="K1084" s="45" t="s">
        <v>888</v>
      </c>
      <c r="L1084" s="129"/>
      <c r="M1084" s="33" t="str">
        <f t="shared" si="16"/>
        <v/>
      </c>
      <c r="N1084" s="34" t="str">
        <f>IFERROR(IF(Tabela1[[#This Row],[Nome fantasia]]="","",_xlfn.XLOOKUP($C1084,Log!D:D,Log!B:B,,,-1)),"")</f>
        <v/>
      </c>
      <c r="O1084" s="35" t="str">
        <f>IFERROR(_xlfn.XLOOKUP($C1084,Log!D:D,Log!W:W,,,-1),"")</f>
        <v/>
      </c>
      <c r="P1084" s="35" t="str">
        <f>IFERROR(_xlfn.XLOOKUP($C1084,Log!D:D,Log!Y:Y,,,-1),"")</f>
        <v/>
      </c>
      <c r="Q1084" s="130"/>
      <c r="R1084" s="131" t="str">
        <f>IFERROR(IF(Tabela1[[#This Row],[Nome fantasia]]="","",_xlfn.XLOOKUP($C1084,Log!D:D,Log!X:X,,,-1)),"")</f>
        <v/>
      </c>
    </row>
    <row r="1085" spans="3:18" hidden="1" x14ac:dyDescent="0.2">
      <c r="C1085" s="30" t="s">
        <v>2664</v>
      </c>
      <c r="D1085" s="110" t="s">
        <v>2665</v>
      </c>
      <c r="E1085" s="33" t="s">
        <v>22</v>
      </c>
      <c r="F1085" s="38"/>
      <c r="G1085" s="38"/>
      <c r="H1085" s="31"/>
      <c r="I1085" s="32"/>
      <c r="J1085" s="32"/>
      <c r="K1085" s="45" t="s">
        <v>888</v>
      </c>
      <c r="L1085" s="129"/>
      <c r="M1085" s="33" t="str">
        <f t="shared" si="16"/>
        <v/>
      </c>
      <c r="N1085" s="34" t="str">
        <f>IFERROR(IF(Tabela1[[#This Row],[Nome fantasia]]="","",_xlfn.XLOOKUP($C1085,Log!D:D,Log!B:B,,,-1)),"")</f>
        <v/>
      </c>
      <c r="O1085" s="35" t="str">
        <f>IFERROR(_xlfn.XLOOKUP($C1085,Log!D:D,Log!W:W,,,-1),"")</f>
        <v/>
      </c>
      <c r="P1085" s="35" t="str">
        <f>IFERROR(_xlfn.XLOOKUP($C1085,Log!D:D,Log!Y:Y,,,-1),"")</f>
        <v/>
      </c>
      <c r="Q1085" s="130"/>
      <c r="R1085" s="131" t="str">
        <f>IFERROR(IF(Tabela1[[#This Row],[Nome fantasia]]="","",_xlfn.XLOOKUP($C1085,Log!D:D,Log!X:X,,,-1)),"")</f>
        <v/>
      </c>
    </row>
    <row r="1086" spans="3:18" hidden="1" x14ac:dyDescent="0.2">
      <c r="C1086" s="30" t="s">
        <v>2666</v>
      </c>
      <c r="D1086" s="110" t="s">
        <v>2667</v>
      </c>
      <c r="E1086" s="33" t="s">
        <v>22</v>
      </c>
      <c r="F1086" s="38"/>
      <c r="G1086" s="38"/>
      <c r="H1086" s="31"/>
      <c r="I1086" s="32"/>
      <c r="J1086" s="32"/>
      <c r="K1086" s="45" t="s">
        <v>888</v>
      </c>
      <c r="L1086" s="129"/>
      <c r="M1086" s="33" t="str">
        <f t="shared" si="16"/>
        <v/>
      </c>
      <c r="N1086" s="34" t="str">
        <f>IFERROR(IF(Tabela1[[#This Row],[Nome fantasia]]="","",_xlfn.XLOOKUP($C1086,Log!D:D,Log!B:B,,,-1)),"")</f>
        <v/>
      </c>
      <c r="O1086" s="35" t="str">
        <f>IFERROR(_xlfn.XLOOKUP($C1086,Log!D:D,Log!W:W,,,-1),"")</f>
        <v/>
      </c>
      <c r="P1086" s="35" t="str">
        <f>IFERROR(_xlfn.XLOOKUP($C1086,Log!D:D,Log!Y:Y,,,-1),"")</f>
        <v/>
      </c>
      <c r="Q1086" s="130"/>
      <c r="R1086" s="131" t="str">
        <f>IFERROR(IF(Tabela1[[#This Row],[Nome fantasia]]="","",_xlfn.XLOOKUP($C1086,Log!D:D,Log!X:X,,,-1)),"")</f>
        <v/>
      </c>
    </row>
    <row r="1087" spans="3:18" hidden="1" x14ac:dyDescent="0.2">
      <c r="C1087" s="30"/>
      <c r="D1087" s="110" t="s">
        <v>2668</v>
      </c>
      <c r="E1087" s="33" t="s">
        <v>46</v>
      </c>
      <c r="F1087" s="38"/>
      <c r="G1087" s="38"/>
      <c r="H1087" s="31"/>
      <c r="I1087" s="32"/>
      <c r="J1087" s="32"/>
      <c r="K1087" s="45" t="s">
        <v>888</v>
      </c>
      <c r="L1087" s="129"/>
      <c r="M1087" s="33" t="str">
        <f t="shared" si="16"/>
        <v/>
      </c>
      <c r="N1087" s="34" t="str">
        <f>IFERROR(IF(Tabela1[[#This Row],[Nome fantasia]]="","",_xlfn.XLOOKUP($C1087,Log!D:D,Log!B:B,,,-1)),"")</f>
        <v/>
      </c>
      <c r="O1087" s="35" t="str">
        <f>IFERROR(_xlfn.XLOOKUP($C1087,Log!D:D,Log!W:W,,,-1),"")</f>
        <v/>
      </c>
      <c r="P1087" s="35" t="str">
        <f>IFERROR(_xlfn.XLOOKUP($C1087,Log!D:D,Log!Y:Y,,,-1),"")</f>
        <v/>
      </c>
      <c r="Q1087" s="130"/>
      <c r="R1087" s="131" t="str">
        <f>IFERROR(IF(Tabela1[[#This Row],[Nome fantasia]]="","",_xlfn.XLOOKUP($C1087,Log!D:D,Log!X:X,,,-1)),"")</f>
        <v/>
      </c>
    </row>
    <row r="1088" spans="3:18" hidden="1" x14ac:dyDescent="0.2">
      <c r="C1088" s="30" t="s">
        <v>2669</v>
      </c>
      <c r="D1088" s="110" t="s">
        <v>2670</v>
      </c>
      <c r="E1088" s="33" t="s">
        <v>46</v>
      </c>
      <c r="F1088" s="38"/>
      <c r="G1088" s="38"/>
      <c r="H1088" s="31"/>
      <c r="I1088" s="32"/>
      <c r="J1088" s="32"/>
      <c r="K1088" s="45" t="s">
        <v>888</v>
      </c>
      <c r="L1088" s="129"/>
      <c r="M1088" s="33" t="str">
        <f t="shared" si="16"/>
        <v/>
      </c>
      <c r="N1088" s="34" t="str">
        <f>IFERROR(IF(Tabela1[[#This Row],[Nome fantasia]]="","",_xlfn.XLOOKUP($C1088,Log!D:D,Log!B:B,,,-1)),"")</f>
        <v/>
      </c>
      <c r="O1088" s="35" t="str">
        <f>IFERROR(_xlfn.XLOOKUP($C1088,Log!D:D,Log!W:W,,,-1),"")</f>
        <v/>
      </c>
      <c r="P1088" s="35" t="str">
        <f>IFERROR(_xlfn.XLOOKUP($C1088,Log!D:D,Log!Y:Y,,,-1),"")</f>
        <v/>
      </c>
      <c r="Q1088" s="130"/>
      <c r="R1088" s="131" t="str">
        <f>IFERROR(IF(Tabela1[[#This Row],[Nome fantasia]]="","",_xlfn.XLOOKUP($C1088,Log!D:D,Log!X:X,,,-1)),"")</f>
        <v/>
      </c>
    </row>
    <row r="1089" spans="3:18" hidden="1" x14ac:dyDescent="0.2">
      <c r="C1089" s="30"/>
      <c r="D1089" s="110" t="s">
        <v>2671</v>
      </c>
      <c r="E1089" s="33" t="s">
        <v>22</v>
      </c>
      <c r="F1089" s="38"/>
      <c r="G1089" s="38"/>
      <c r="H1089" s="31"/>
      <c r="I1089" s="32"/>
      <c r="J1089" s="32"/>
      <c r="K1089" s="45" t="s">
        <v>888</v>
      </c>
      <c r="L1089" s="129"/>
      <c r="M1089" s="33" t="str">
        <f t="shared" si="16"/>
        <v/>
      </c>
      <c r="N1089" s="34" t="str">
        <f>IFERROR(IF(Tabela1[[#This Row],[Nome fantasia]]="","",_xlfn.XLOOKUP($C1089,Log!D:D,Log!B:B,,,-1)),"")</f>
        <v/>
      </c>
      <c r="O1089" s="35" t="str">
        <f>IFERROR(_xlfn.XLOOKUP($C1089,Log!D:D,Log!W:W,,,-1),"")</f>
        <v/>
      </c>
      <c r="P1089" s="35" t="str">
        <f>IFERROR(_xlfn.XLOOKUP($C1089,Log!D:D,Log!Y:Y,,,-1),"")</f>
        <v/>
      </c>
      <c r="Q1089" s="130"/>
      <c r="R1089" s="131" t="str">
        <f>IFERROR(IF(Tabela1[[#This Row],[Nome fantasia]]="","",_xlfn.XLOOKUP($C1089,Log!D:D,Log!X:X,,,-1)),"")</f>
        <v/>
      </c>
    </row>
    <row r="1090" spans="3:18" hidden="1" x14ac:dyDescent="0.2">
      <c r="C1090" s="30" t="s">
        <v>2672</v>
      </c>
      <c r="D1090" s="110" t="s">
        <v>2673</v>
      </c>
      <c r="E1090" s="33" t="s">
        <v>46</v>
      </c>
      <c r="F1090" s="38"/>
      <c r="G1090" s="38"/>
      <c r="H1090" s="31"/>
      <c r="I1090" s="32"/>
      <c r="J1090" s="32"/>
      <c r="K1090" s="45" t="s">
        <v>888</v>
      </c>
      <c r="L1090" s="129"/>
      <c r="M1090" s="33" t="str">
        <f t="shared" si="16"/>
        <v/>
      </c>
      <c r="N1090" s="34">
        <f>IFERROR(IF(Tabela1[[#This Row],[Nome fantasia]]="","",_xlfn.XLOOKUP($C1090,Log!D:D,Log!B:B,,,-1)),"")</f>
        <v>45999</v>
      </c>
      <c r="O1090" s="35" t="str">
        <f>IFERROR(_xlfn.XLOOKUP($C1090,Log!D:D,Log!W:W,,,-1),"")</f>
        <v>EM ATENDIMENTO</v>
      </c>
      <c r="P1090" s="35" t="str">
        <f>IFERROR(_xlfn.XLOOKUP($C1090,Log!D:D,Log!Y:Y,,,-1),"")</f>
        <v>CLIENTE ATENDEU E PEDIU PARA ENVIAR O CATALOGO PARA ELA</v>
      </c>
      <c r="Q1090" s="130"/>
      <c r="R1090" s="131">
        <f>IFERROR(IF(Tabela1[[#This Row],[Nome fantasia]]="","",_xlfn.XLOOKUP($C1090,Log!D:D,Log!X:X,,,-1)),"")</f>
        <v>46001</v>
      </c>
    </row>
    <row r="1091" spans="3:18" hidden="1" x14ac:dyDescent="0.2">
      <c r="C1091" s="30"/>
      <c r="D1091" s="110"/>
      <c r="E1091" s="33" t="s">
        <v>46</v>
      </c>
      <c r="F1091" s="38"/>
      <c r="G1091" s="38"/>
      <c r="H1091" s="31"/>
      <c r="I1091" s="32"/>
      <c r="J1091" s="32"/>
      <c r="K1091" s="45" t="s">
        <v>888</v>
      </c>
      <c r="L1091" s="129"/>
      <c r="M1091" s="33" t="str">
        <f t="shared" ref="M1091:M1154" si="17">IF(OR(J1091&lt;=0,J1091=""),"","Recompra")</f>
        <v/>
      </c>
      <c r="N1091" s="34" t="str">
        <f>IFERROR(IF(Tabela1[[#This Row],[Nome fantasia]]="","",_xlfn.XLOOKUP($C1091,Log!D:D,Log!B:B,,,-1)),"")</f>
        <v/>
      </c>
      <c r="O1091" s="35" t="str">
        <f>IFERROR(_xlfn.XLOOKUP($C1091,Log!D:D,Log!W:W,,,-1),"")</f>
        <v/>
      </c>
      <c r="P1091" s="35" t="str">
        <f>IFERROR(_xlfn.XLOOKUP($C1091,Log!D:D,Log!Y:Y,,,-1),"")</f>
        <v/>
      </c>
      <c r="Q1091" s="130"/>
      <c r="R1091" s="131" t="str">
        <f>IFERROR(IF(Tabela1[[#This Row],[Nome fantasia]]="","",_xlfn.XLOOKUP($C1091,Log!D:D,Log!X:X,,,-1)),"")</f>
        <v/>
      </c>
    </row>
    <row r="1092" spans="3:18" hidden="1" x14ac:dyDescent="0.2">
      <c r="C1092" s="30" t="s">
        <v>2674</v>
      </c>
      <c r="D1092" s="110" t="s">
        <v>2675</v>
      </c>
      <c r="E1092" s="33" t="s">
        <v>22</v>
      </c>
      <c r="F1092" s="38"/>
      <c r="G1092" s="38"/>
      <c r="H1092" s="31"/>
      <c r="I1092" s="32"/>
      <c r="J1092" s="32"/>
      <c r="K1092" s="45" t="s">
        <v>888</v>
      </c>
      <c r="L1092" s="129"/>
      <c r="M1092" s="33" t="str">
        <f t="shared" si="17"/>
        <v/>
      </c>
      <c r="N1092" s="34" t="str">
        <f>IFERROR(IF(Tabela1[[#This Row],[Nome fantasia]]="","",_xlfn.XLOOKUP($C1092,Log!D:D,Log!B:B,,,-1)),"")</f>
        <v/>
      </c>
      <c r="O1092" s="35" t="str">
        <f>IFERROR(_xlfn.XLOOKUP($C1092,Log!D:D,Log!W:W,,,-1),"")</f>
        <v/>
      </c>
      <c r="P1092" s="35" t="str">
        <f>IFERROR(_xlfn.XLOOKUP($C1092,Log!D:D,Log!Y:Y,,,-1),"")</f>
        <v/>
      </c>
      <c r="Q1092" s="130"/>
      <c r="R1092" s="131" t="str">
        <f>IFERROR(IF(Tabela1[[#This Row],[Nome fantasia]]="","",_xlfn.XLOOKUP($C1092,Log!D:D,Log!X:X,,,-1)),"")</f>
        <v/>
      </c>
    </row>
    <row r="1093" spans="3:18" hidden="1" x14ac:dyDescent="0.2">
      <c r="C1093" s="30" t="s">
        <v>2676</v>
      </c>
      <c r="D1093" s="110" t="s">
        <v>2677</v>
      </c>
      <c r="E1093" s="33" t="s">
        <v>17</v>
      </c>
      <c r="F1093" s="38"/>
      <c r="G1093" s="38"/>
      <c r="H1093" s="31"/>
      <c r="I1093" s="32"/>
      <c r="J1093" s="32"/>
      <c r="K1093" s="45" t="s">
        <v>888</v>
      </c>
      <c r="L1093" s="129"/>
      <c r="M1093" s="33" t="str">
        <f t="shared" si="17"/>
        <v/>
      </c>
      <c r="N1093" s="34" t="str">
        <f>IFERROR(IF(Tabela1[[#This Row],[Nome fantasia]]="","",_xlfn.XLOOKUP($C1093,Log!D:D,Log!B:B,,,-1)),"")</f>
        <v/>
      </c>
      <c r="O1093" s="35" t="str">
        <f>IFERROR(_xlfn.XLOOKUP($C1093,Log!D:D,Log!W:W,,,-1),"")</f>
        <v/>
      </c>
      <c r="P1093" s="35" t="str">
        <f>IFERROR(_xlfn.XLOOKUP($C1093,Log!D:D,Log!Y:Y,,,-1),"")</f>
        <v/>
      </c>
      <c r="Q1093" s="130"/>
      <c r="R1093" s="131" t="str">
        <f>IFERROR(IF(Tabela1[[#This Row],[Nome fantasia]]="","",_xlfn.XLOOKUP($C1093,Log!D:D,Log!X:X,,,-1)),"")</f>
        <v/>
      </c>
    </row>
    <row r="1094" spans="3:18" hidden="1" x14ac:dyDescent="0.2">
      <c r="C1094" s="30"/>
      <c r="D1094" s="110" t="s">
        <v>2678</v>
      </c>
      <c r="E1094" s="33" t="s">
        <v>46</v>
      </c>
      <c r="F1094" s="38"/>
      <c r="G1094" s="38"/>
      <c r="H1094" s="31"/>
      <c r="I1094" s="32"/>
      <c r="J1094" s="32"/>
      <c r="K1094" s="45" t="s">
        <v>888</v>
      </c>
      <c r="L1094" s="129"/>
      <c r="M1094" s="33" t="str">
        <f t="shared" si="17"/>
        <v/>
      </c>
      <c r="N1094" s="34" t="str">
        <f>IFERROR(IF(Tabela1[[#This Row],[Nome fantasia]]="","",_xlfn.XLOOKUP($C1094,Log!D:D,Log!B:B,,,-1)),"")</f>
        <v/>
      </c>
      <c r="O1094" s="35" t="str">
        <f>IFERROR(_xlfn.XLOOKUP($C1094,Log!D:D,Log!W:W,,,-1),"")</f>
        <v/>
      </c>
      <c r="P1094" s="35" t="str">
        <f>IFERROR(_xlfn.XLOOKUP($C1094,Log!D:D,Log!Y:Y,,,-1),"")</f>
        <v/>
      </c>
      <c r="Q1094" s="130"/>
      <c r="R1094" s="131" t="str">
        <f>IFERROR(IF(Tabela1[[#This Row],[Nome fantasia]]="","",_xlfn.XLOOKUP($C1094,Log!D:D,Log!X:X,,,-1)),"")</f>
        <v/>
      </c>
    </row>
    <row r="1095" spans="3:18" hidden="1" x14ac:dyDescent="0.2">
      <c r="C1095" s="30" t="s">
        <v>2679</v>
      </c>
      <c r="D1095" s="110" t="s">
        <v>2680</v>
      </c>
      <c r="E1095" s="33" t="s">
        <v>46</v>
      </c>
      <c r="F1095" s="38"/>
      <c r="G1095" s="38"/>
      <c r="H1095" s="31"/>
      <c r="I1095" s="32"/>
      <c r="J1095" s="32"/>
      <c r="K1095" s="45" t="s">
        <v>888</v>
      </c>
      <c r="L1095" s="129"/>
      <c r="M1095" s="33" t="str">
        <f t="shared" si="17"/>
        <v/>
      </c>
      <c r="N1095" s="34" t="str">
        <f>IFERROR(IF(Tabela1[[#This Row],[Nome fantasia]]="","",_xlfn.XLOOKUP($C1095,Log!D:D,Log!B:B,,,-1)),"")</f>
        <v/>
      </c>
      <c r="O1095" s="35" t="str">
        <f>IFERROR(_xlfn.XLOOKUP($C1095,Log!D:D,Log!W:W,,,-1),"")</f>
        <v/>
      </c>
      <c r="P1095" s="35" t="str">
        <f>IFERROR(_xlfn.XLOOKUP($C1095,Log!D:D,Log!Y:Y,,,-1),"")</f>
        <v/>
      </c>
      <c r="Q1095" s="130"/>
      <c r="R1095" s="131" t="str">
        <f>IFERROR(IF(Tabela1[[#This Row],[Nome fantasia]]="","",_xlfn.XLOOKUP($C1095,Log!D:D,Log!X:X,,,-1)),"")</f>
        <v/>
      </c>
    </row>
    <row r="1096" spans="3:18" hidden="1" x14ac:dyDescent="0.2">
      <c r="C1096" s="30" t="s">
        <v>2681</v>
      </c>
      <c r="D1096" s="110" t="s">
        <v>2682</v>
      </c>
      <c r="E1096" s="33" t="s">
        <v>46</v>
      </c>
      <c r="F1096" s="38"/>
      <c r="G1096" s="38"/>
      <c r="H1096" s="31"/>
      <c r="I1096" s="32"/>
      <c r="J1096" s="32"/>
      <c r="K1096" s="45" t="s">
        <v>888</v>
      </c>
      <c r="L1096" s="129"/>
      <c r="M1096" s="33" t="str">
        <f t="shared" si="17"/>
        <v/>
      </c>
      <c r="N1096" s="34" t="str">
        <f>IFERROR(IF(Tabela1[[#This Row],[Nome fantasia]]="","",_xlfn.XLOOKUP($C1096,Log!D:D,Log!B:B,,,-1)),"")</f>
        <v/>
      </c>
      <c r="O1096" s="35" t="str">
        <f>IFERROR(_xlfn.XLOOKUP($C1096,Log!D:D,Log!W:W,,,-1),"")</f>
        <v/>
      </c>
      <c r="P1096" s="35" t="str">
        <f>IFERROR(_xlfn.XLOOKUP($C1096,Log!D:D,Log!Y:Y,,,-1),"")</f>
        <v/>
      </c>
      <c r="Q1096" s="130"/>
      <c r="R1096" s="131" t="str">
        <f>IFERROR(IF(Tabela1[[#This Row],[Nome fantasia]]="","",_xlfn.XLOOKUP($C1096,Log!D:D,Log!X:X,,,-1)),"")</f>
        <v/>
      </c>
    </row>
    <row r="1097" spans="3:18" hidden="1" x14ac:dyDescent="0.2">
      <c r="C1097" s="30" t="s">
        <v>2683</v>
      </c>
      <c r="D1097" s="110" t="s">
        <v>2684</v>
      </c>
      <c r="E1097" s="33" t="s">
        <v>46</v>
      </c>
      <c r="F1097" s="38"/>
      <c r="G1097" s="38"/>
      <c r="H1097" s="31"/>
      <c r="I1097" s="32"/>
      <c r="J1097" s="32"/>
      <c r="K1097" s="45" t="s">
        <v>888</v>
      </c>
      <c r="L1097" s="129"/>
      <c r="M1097" s="33" t="str">
        <f t="shared" si="17"/>
        <v/>
      </c>
      <c r="N1097" s="34" t="str">
        <f>IFERROR(IF(Tabela1[[#This Row],[Nome fantasia]]="","",_xlfn.XLOOKUP($C1097,Log!D:D,Log!B:B,,,-1)),"")</f>
        <v/>
      </c>
      <c r="O1097" s="35" t="str">
        <f>IFERROR(_xlfn.XLOOKUP($C1097,Log!D:D,Log!W:W,,,-1),"")</f>
        <v/>
      </c>
      <c r="P1097" s="35" t="str">
        <f>IFERROR(_xlfn.XLOOKUP($C1097,Log!D:D,Log!Y:Y,,,-1),"")</f>
        <v/>
      </c>
      <c r="Q1097" s="130"/>
      <c r="R1097" s="131" t="str">
        <f>IFERROR(IF(Tabela1[[#This Row],[Nome fantasia]]="","",_xlfn.XLOOKUP($C1097,Log!D:D,Log!X:X,,,-1)),"")</f>
        <v/>
      </c>
    </row>
    <row r="1098" spans="3:18" hidden="1" x14ac:dyDescent="0.2">
      <c r="C1098" s="30" t="s">
        <v>2685</v>
      </c>
      <c r="D1098" s="110" t="s">
        <v>2686</v>
      </c>
      <c r="E1098" s="33" t="s">
        <v>46</v>
      </c>
      <c r="F1098" s="38"/>
      <c r="G1098" s="38"/>
      <c r="H1098" s="31"/>
      <c r="I1098" s="32"/>
      <c r="J1098" s="32"/>
      <c r="K1098" s="45" t="s">
        <v>888</v>
      </c>
      <c r="L1098" s="129"/>
      <c r="M1098" s="33" t="str">
        <f t="shared" si="17"/>
        <v/>
      </c>
      <c r="N1098" s="34" t="str">
        <f>IFERROR(IF(Tabela1[[#This Row],[Nome fantasia]]="","",_xlfn.XLOOKUP($C1098,Log!D:D,Log!B:B,,,-1)),"")</f>
        <v/>
      </c>
      <c r="O1098" s="35" t="str">
        <f>IFERROR(_xlfn.XLOOKUP($C1098,Log!D:D,Log!W:W,,,-1),"")</f>
        <v/>
      </c>
      <c r="P1098" s="35" t="str">
        <f>IFERROR(_xlfn.XLOOKUP($C1098,Log!D:D,Log!Y:Y,,,-1),"")</f>
        <v/>
      </c>
      <c r="Q1098" s="130"/>
      <c r="R1098" s="131" t="str">
        <f>IFERROR(IF(Tabela1[[#This Row],[Nome fantasia]]="","",_xlfn.XLOOKUP($C1098,Log!D:D,Log!X:X,,,-1)),"")</f>
        <v/>
      </c>
    </row>
    <row r="1099" spans="3:18" hidden="1" x14ac:dyDescent="0.2">
      <c r="C1099" s="30" t="s">
        <v>2687</v>
      </c>
      <c r="D1099" s="110" t="s">
        <v>1245</v>
      </c>
      <c r="E1099" s="33" t="s">
        <v>22</v>
      </c>
      <c r="F1099" s="38"/>
      <c r="G1099" s="38"/>
      <c r="H1099" s="31"/>
      <c r="I1099" s="32"/>
      <c r="J1099" s="32"/>
      <c r="K1099" s="45" t="s">
        <v>888</v>
      </c>
      <c r="L1099" s="129"/>
      <c r="M1099" s="33" t="str">
        <f t="shared" si="17"/>
        <v/>
      </c>
      <c r="N1099" s="34" t="str">
        <f>IFERROR(IF(Tabela1[[#This Row],[Nome fantasia]]="","",_xlfn.XLOOKUP($C1099,Log!D:D,Log!B:B,,,-1)),"")</f>
        <v/>
      </c>
      <c r="O1099" s="35" t="str">
        <f>IFERROR(_xlfn.XLOOKUP($C1099,Log!D:D,Log!W:W,,,-1),"")</f>
        <v/>
      </c>
      <c r="P1099" s="35" t="str">
        <f>IFERROR(_xlfn.XLOOKUP($C1099,Log!D:D,Log!Y:Y,,,-1),"")</f>
        <v/>
      </c>
      <c r="Q1099" s="130"/>
      <c r="R1099" s="131" t="str">
        <f>IFERROR(IF(Tabela1[[#This Row],[Nome fantasia]]="","",_xlfn.XLOOKUP($C1099,Log!D:D,Log!X:X,,,-1)),"")</f>
        <v/>
      </c>
    </row>
    <row r="1100" spans="3:18" hidden="1" x14ac:dyDescent="0.2">
      <c r="C1100" s="30" t="s">
        <v>2688</v>
      </c>
      <c r="D1100" s="110" t="s">
        <v>2689</v>
      </c>
      <c r="E1100" s="33" t="s">
        <v>22</v>
      </c>
      <c r="F1100" s="38"/>
      <c r="G1100" s="38"/>
      <c r="H1100" s="31"/>
      <c r="I1100" s="32"/>
      <c r="J1100" s="32"/>
      <c r="K1100" s="45" t="s">
        <v>888</v>
      </c>
      <c r="L1100" s="129"/>
      <c r="M1100" s="33" t="str">
        <f t="shared" si="17"/>
        <v/>
      </c>
      <c r="N1100" s="34" t="str">
        <f>IFERROR(IF(Tabela1[[#This Row],[Nome fantasia]]="","",_xlfn.XLOOKUP($C1100,Log!D:D,Log!B:B,,,-1)),"")</f>
        <v/>
      </c>
      <c r="O1100" s="35" t="str">
        <f>IFERROR(_xlfn.XLOOKUP($C1100,Log!D:D,Log!W:W,,,-1),"")</f>
        <v/>
      </c>
      <c r="P1100" s="35" t="str">
        <f>IFERROR(_xlfn.XLOOKUP($C1100,Log!D:D,Log!Y:Y,,,-1),"")</f>
        <v/>
      </c>
      <c r="Q1100" s="130"/>
      <c r="R1100" s="131" t="str">
        <f>IFERROR(IF(Tabela1[[#This Row],[Nome fantasia]]="","",_xlfn.XLOOKUP($C1100,Log!D:D,Log!X:X,,,-1)),"")</f>
        <v/>
      </c>
    </row>
    <row r="1101" spans="3:18" hidden="1" x14ac:dyDescent="0.2">
      <c r="C1101" s="30" t="s">
        <v>1849</v>
      </c>
      <c r="D1101" s="110" t="s">
        <v>2690</v>
      </c>
      <c r="E1101" s="33" t="s">
        <v>46</v>
      </c>
      <c r="F1101" s="38"/>
      <c r="G1101" s="38"/>
      <c r="H1101" s="31"/>
      <c r="I1101" s="32"/>
      <c r="J1101" s="32"/>
      <c r="K1101" s="45" t="s">
        <v>888</v>
      </c>
      <c r="L1101" s="129"/>
      <c r="M1101" s="33" t="str">
        <f t="shared" si="17"/>
        <v/>
      </c>
      <c r="N1101" s="34" t="str">
        <f>IFERROR(IF(Tabela1[[#This Row],[Nome fantasia]]="","",_xlfn.XLOOKUP($C1101,Log!D:D,Log!B:B,,,-1)),"")</f>
        <v/>
      </c>
      <c r="O1101" s="35" t="str">
        <f>IFERROR(_xlfn.XLOOKUP($C1101,Log!D:D,Log!W:W,,,-1),"")</f>
        <v/>
      </c>
      <c r="P1101" s="35" t="str">
        <f>IFERROR(_xlfn.XLOOKUP($C1101,Log!D:D,Log!Y:Y,,,-1),"")</f>
        <v/>
      </c>
      <c r="Q1101" s="130"/>
      <c r="R1101" s="131" t="str">
        <f>IFERROR(IF(Tabela1[[#This Row],[Nome fantasia]]="","",_xlfn.XLOOKUP($C1101,Log!D:D,Log!X:X,,,-1)),"")</f>
        <v/>
      </c>
    </row>
    <row r="1102" spans="3:18" hidden="1" x14ac:dyDescent="0.2">
      <c r="C1102" s="30" t="s">
        <v>2691</v>
      </c>
      <c r="D1102" s="110" t="s">
        <v>2692</v>
      </c>
      <c r="E1102" s="33" t="s">
        <v>17</v>
      </c>
      <c r="F1102" s="38"/>
      <c r="G1102" s="38"/>
      <c r="H1102" s="31"/>
      <c r="I1102" s="32"/>
      <c r="J1102" s="32"/>
      <c r="K1102" s="45" t="s">
        <v>888</v>
      </c>
      <c r="L1102" s="129"/>
      <c r="M1102" s="33" t="str">
        <f t="shared" si="17"/>
        <v/>
      </c>
      <c r="N1102" s="34" t="str">
        <f>IFERROR(IF(Tabela1[[#This Row],[Nome fantasia]]="","",_xlfn.XLOOKUP($C1102,Log!D:D,Log!B:B,,,-1)),"")</f>
        <v/>
      </c>
      <c r="O1102" s="35" t="str">
        <f>IFERROR(_xlfn.XLOOKUP($C1102,Log!D:D,Log!W:W,,,-1),"")</f>
        <v/>
      </c>
      <c r="P1102" s="35" t="str">
        <f>IFERROR(_xlfn.XLOOKUP($C1102,Log!D:D,Log!Y:Y,,,-1),"")</f>
        <v/>
      </c>
      <c r="Q1102" s="130"/>
      <c r="R1102" s="131" t="str">
        <f>IFERROR(IF(Tabela1[[#This Row],[Nome fantasia]]="","",_xlfn.XLOOKUP($C1102,Log!D:D,Log!X:X,,,-1)),"")</f>
        <v/>
      </c>
    </row>
    <row r="1103" spans="3:18" hidden="1" x14ac:dyDescent="0.2">
      <c r="C1103" s="30" t="s">
        <v>2693</v>
      </c>
      <c r="D1103" s="110" t="s">
        <v>2694</v>
      </c>
      <c r="E1103" s="33" t="s">
        <v>46</v>
      </c>
      <c r="F1103" s="38"/>
      <c r="G1103" s="38"/>
      <c r="H1103" s="31"/>
      <c r="I1103" s="32"/>
      <c r="J1103" s="32"/>
      <c r="K1103" s="45" t="s">
        <v>888</v>
      </c>
      <c r="L1103" s="129"/>
      <c r="M1103" s="33" t="str">
        <f t="shared" si="17"/>
        <v/>
      </c>
      <c r="N1103" s="34" t="str">
        <f>IFERROR(IF(Tabela1[[#This Row],[Nome fantasia]]="","",_xlfn.XLOOKUP($C1103,Log!D:D,Log!B:B,,,-1)),"")</f>
        <v/>
      </c>
      <c r="O1103" s="35" t="str">
        <f>IFERROR(_xlfn.XLOOKUP($C1103,Log!D:D,Log!W:W,,,-1),"")</f>
        <v/>
      </c>
      <c r="P1103" s="35" t="str">
        <f>IFERROR(_xlfn.XLOOKUP($C1103,Log!D:D,Log!Y:Y,,,-1),"")</f>
        <v/>
      </c>
      <c r="Q1103" s="130"/>
      <c r="R1103" s="131" t="str">
        <f>IFERROR(IF(Tabela1[[#This Row],[Nome fantasia]]="","",_xlfn.XLOOKUP($C1103,Log!D:D,Log!X:X,,,-1)),"")</f>
        <v/>
      </c>
    </row>
    <row r="1104" spans="3:18" hidden="1" x14ac:dyDescent="0.2">
      <c r="C1104" s="30" t="s">
        <v>2695</v>
      </c>
      <c r="D1104" s="110" t="s">
        <v>2696</v>
      </c>
      <c r="E1104" s="33" t="s">
        <v>46</v>
      </c>
      <c r="F1104" s="38"/>
      <c r="G1104" s="38"/>
      <c r="H1104" s="31"/>
      <c r="I1104" s="32"/>
      <c r="J1104" s="32"/>
      <c r="K1104" s="45" t="s">
        <v>888</v>
      </c>
      <c r="L1104" s="129"/>
      <c r="M1104" s="33" t="str">
        <f t="shared" si="17"/>
        <v/>
      </c>
      <c r="N1104" s="34" t="str">
        <f>IFERROR(IF(Tabela1[[#This Row],[Nome fantasia]]="","",_xlfn.XLOOKUP($C1104,Log!D:D,Log!B:B,,,-1)),"")</f>
        <v/>
      </c>
      <c r="O1104" s="35" t="str">
        <f>IFERROR(_xlfn.XLOOKUP($C1104,Log!D:D,Log!W:W,,,-1),"")</f>
        <v/>
      </c>
      <c r="P1104" s="35" t="str">
        <f>IFERROR(_xlfn.XLOOKUP($C1104,Log!D:D,Log!Y:Y,,,-1),"")</f>
        <v/>
      </c>
      <c r="Q1104" s="130"/>
      <c r="R1104" s="131" t="str">
        <f>IFERROR(IF(Tabela1[[#This Row],[Nome fantasia]]="","",_xlfn.XLOOKUP($C1104,Log!D:D,Log!X:X,,,-1)),"")</f>
        <v/>
      </c>
    </row>
    <row r="1105" spans="3:18" hidden="1" x14ac:dyDescent="0.2">
      <c r="C1105" s="30" t="s">
        <v>2697</v>
      </c>
      <c r="D1105" s="110" t="s">
        <v>2698</v>
      </c>
      <c r="E1105" s="33" t="s">
        <v>22</v>
      </c>
      <c r="F1105" s="38"/>
      <c r="G1105" s="38"/>
      <c r="H1105" s="31"/>
      <c r="I1105" s="32"/>
      <c r="J1105" s="32"/>
      <c r="K1105" s="45" t="s">
        <v>888</v>
      </c>
      <c r="L1105" s="129"/>
      <c r="M1105" s="33" t="str">
        <f t="shared" si="17"/>
        <v/>
      </c>
      <c r="N1105" s="34" t="str">
        <f>IFERROR(IF(Tabela1[[#This Row],[Nome fantasia]]="","",_xlfn.XLOOKUP($C1105,Log!D:D,Log!B:B,,,-1)),"")</f>
        <v/>
      </c>
      <c r="O1105" s="35" t="str">
        <f>IFERROR(_xlfn.XLOOKUP($C1105,Log!D:D,Log!W:W,,,-1),"")</f>
        <v/>
      </c>
      <c r="P1105" s="35" t="str">
        <f>IFERROR(_xlfn.XLOOKUP($C1105,Log!D:D,Log!Y:Y,,,-1),"")</f>
        <v/>
      </c>
      <c r="Q1105" s="130"/>
      <c r="R1105" s="131" t="str">
        <f>IFERROR(IF(Tabela1[[#This Row],[Nome fantasia]]="","",_xlfn.XLOOKUP($C1105,Log!D:D,Log!X:X,,,-1)),"")</f>
        <v/>
      </c>
    </row>
    <row r="1106" spans="3:18" hidden="1" x14ac:dyDescent="0.2">
      <c r="C1106" s="30" t="s">
        <v>1862</v>
      </c>
      <c r="D1106" s="110" t="s">
        <v>2699</v>
      </c>
      <c r="E1106" s="33" t="s">
        <v>46</v>
      </c>
      <c r="F1106" s="38"/>
      <c r="G1106" s="38"/>
      <c r="H1106" s="31"/>
      <c r="I1106" s="32"/>
      <c r="J1106" s="32"/>
      <c r="K1106" s="45" t="s">
        <v>888</v>
      </c>
      <c r="L1106" s="129"/>
      <c r="M1106" s="33" t="str">
        <f t="shared" si="17"/>
        <v/>
      </c>
      <c r="N1106" s="34" t="str">
        <f>IFERROR(IF(Tabela1[[#This Row],[Nome fantasia]]="","",_xlfn.XLOOKUP($C1106,Log!D:D,Log!B:B,,,-1)),"")</f>
        <v/>
      </c>
      <c r="O1106" s="35" t="str">
        <f>IFERROR(_xlfn.XLOOKUP($C1106,Log!D:D,Log!W:W,,,-1),"")</f>
        <v/>
      </c>
      <c r="P1106" s="35" t="str">
        <f>IFERROR(_xlfn.XLOOKUP($C1106,Log!D:D,Log!Y:Y,,,-1),"")</f>
        <v/>
      </c>
      <c r="Q1106" s="130"/>
      <c r="R1106" s="131" t="str">
        <f>IFERROR(IF(Tabela1[[#This Row],[Nome fantasia]]="","",_xlfn.XLOOKUP($C1106,Log!D:D,Log!X:X,,,-1)),"")</f>
        <v/>
      </c>
    </row>
    <row r="1107" spans="3:18" hidden="1" x14ac:dyDescent="0.2">
      <c r="C1107" s="30" t="s">
        <v>2700</v>
      </c>
      <c r="D1107" s="110" t="s">
        <v>2701</v>
      </c>
      <c r="E1107" s="33" t="s">
        <v>17</v>
      </c>
      <c r="F1107" s="38"/>
      <c r="G1107" s="38"/>
      <c r="H1107" s="31"/>
      <c r="I1107" s="32"/>
      <c r="J1107" s="32"/>
      <c r="K1107" s="45" t="s">
        <v>888</v>
      </c>
      <c r="L1107" s="129"/>
      <c r="M1107" s="33" t="str">
        <f t="shared" si="17"/>
        <v/>
      </c>
      <c r="N1107" s="34" t="str">
        <f>IFERROR(IF(Tabela1[[#This Row],[Nome fantasia]]="","",_xlfn.XLOOKUP($C1107,Log!D:D,Log!B:B,,,-1)),"")</f>
        <v/>
      </c>
      <c r="O1107" s="35" t="str">
        <f>IFERROR(_xlfn.XLOOKUP($C1107,Log!D:D,Log!W:W,,,-1),"")</f>
        <v/>
      </c>
      <c r="P1107" s="35" t="str">
        <f>IFERROR(_xlfn.XLOOKUP($C1107,Log!D:D,Log!Y:Y,,,-1),"")</f>
        <v/>
      </c>
      <c r="Q1107" s="130"/>
      <c r="R1107" s="131" t="str">
        <f>IFERROR(IF(Tabela1[[#This Row],[Nome fantasia]]="","",_xlfn.XLOOKUP($C1107,Log!D:D,Log!X:X,,,-1)),"")</f>
        <v/>
      </c>
    </row>
    <row r="1108" spans="3:18" hidden="1" x14ac:dyDescent="0.2">
      <c r="C1108" s="30" t="s">
        <v>2702</v>
      </c>
      <c r="D1108" s="110" t="s">
        <v>2703</v>
      </c>
      <c r="E1108" s="33" t="s">
        <v>17</v>
      </c>
      <c r="F1108" s="38"/>
      <c r="G1108" s="38"/>
      <c r="H1108" s="31"/>
      <c r="I1108" s="32"/>
      <c r="J1108" s="32"/>
      <c r="K1108" s="45" t="s">
        <v>888</v>
      </c>
      <c r="L1108" s="129"/>
      <c r="M1108" s="33" t="str">
        <f t="shared" si="17"/>
        <v/>
      </c>
      <c r="N1108" s="34" t="str">
        <f>IFERROR(IF(Tabela1[[#This Row],[Nome fantasia]]="","",_xlfn.XLOOKUP($C1108,Log!D:D,Log!B:B,,,-1)),"")</f>
        <v/>
      </c>
      <c r="O1108" s="35" t="str">
        <f>IFERROR(_xlfn.XLOOKUP($C1108,Log!D:D,Log!W:W,,,-1),"")</f>
        <v/>
      </c>
      <c r="P1108" s="35" t="str">
        <f>IFERROR(_xlfn.XLOOKUP($C1108,Log!D:D,Log!Y:Y,,,-1),"")</f>
        <v/>
      </c>
      <c r="Q1108" s="130"/>
      <c r="R1108" s="131" t="str">
        <f>IFERROR(IF(Tabela1[[#This Row],[Nome fantasia]]="","",_xlfn.XLOOKUP($C1108,Log!D:D,Log!X:X,,,-1)),"")</f>
        <v/>
      </c>
    </row>
    <row r="1109" spans="3:18" hidden="1" x14ac:dyDescent="0.2">
      <c r="C1109" s="30"/>
      <c r="D1109" s="110" t="s">
        <v>2704</v>
      </c>
      <c r="E1109" s="33" t="s">
        <v>22</v>
      </c>
      <c r="F1109" s="38"/>
      <c r="G1109" s="38"/>
      <c r="H1109" s="31"/>
      <c r="I1109" s="32"/>
      <c r="J1109" s="32"/>
      <c r="K1109" s="45" t="s">
        <v>888</v>
      </c>
      <c r="L1109" s="129"/>
      <c r="M1109" s="33" t="str">
        <f t="shared" si="17"/>
        <v/>
      </c>
      <c r="N1109" s="34" t="str">
        <f>IFERROR(IF(Tabela1[[#This Row],[Nome fantasia]]="","",_xlfn.XLOOKUP($C1109,Log!D:D,Log!B:B,,,-1)),"")</f>
        <v/>
      </c>
      <c r="O1109" s="35" t="str">
        <f>IFERROR(_xlfn.XLOOKUP($C1109,Log!D:D,Log!W:W,,,-1),"")</f>
        <v/>
      </c>
      <c r="P1109" s="35" t="str">
        <f>IFERROR(_xlfn.XLOOKUP($C1109,Log!D:D,Log!Y:Y,,,-1),"")</f>
        <v/>
      </c>
      <c r="Q1109" s="130"/>
      <c r="R1109" s="131" t="str">
        <f>IFERROR(IF(Tabela1[[#This Row],[Nome fantasia]]="","",_xlfn.XLOOKUP($C1109,Log!D:D,Log!X:X,,,-1)),"")</f>
        <v/>
      </c>
    </row>
    <row r="1110" spans="3:18" hidden="1" x14ac:dyDescent="0.2">
      <c r="C1110" s="30" t="s">
        <v>2705</v>
      </c>
      <c r="D1110" s="110" t="s">
        <v>2706</v>
      </c>
      <c r="E1110" s="33" t="s">
        <v>46</v>
      </c>
      <c r="F1110" s="38"/>
      <c r="G1110" s="38"/>
      <c r="H1110" s="31"/>
      <c r="I1110" s="32"/>
      <c r="J1110" s="32"/>
      <c r="K1110" s="45" t="s">
        <v>888</v>
      </c>
      <c r="L1110" s="129"/>
      <c r="M1110" s="33" t="str">
        <f t="shared" si="17"/>
        <v/>
      </c>
      <c r="N1110" s="34" t="str">
        <f>IFERROR(IF(Tabela1[[#This Row],[Nome fantasia]]="","",_xlfn.XLOOKUP($C1110,Log!D:D,Log!B:B,,,-1)),"")</f>
        <v/>
      </c>
      <c r="O1110" s="35" t="str">
        <f>IFERROR(_xlfn.XLOOKUP($C1110,Log!D:D,Log!W:W,,,-1),"")</f>
        <v/>
      </c>
      <c r="P1110" s="35" t="str">
        <f>IFERROR(_xlfn.XLOOKUP($C1110,Log!D:D,Log!Y:Y,,,-1),"")</f>
        <v/>
      </c>
      <c r="Q1110" s="130"/>
      <c r="R1110" s="131" t="str">
        <f>IFERROR(IF(Tabela1[[#This Row],[Nome fantasia]]="","",_xlfn.XLOOKUP($C1110,Log!D:D,Log!X:X,,,-1)),"")</f>
        <v/>
      </c>
    </row>
    <row r="1111" spans="3:18" hidden="1" x14ac:dyDescent="0.2">
      <c r="C1111" s="30" t="s">
        <v>2707</v>
      </c>
      <c r="D1111" s="110" t="s">
        <v>2708</v>
      </c>
      <c r="E1111" s="33" t="s">
        <v>22</v>
      </c>
      <c r="F1111" s="38"/>
      <c r="G1111" s="38"/>
      <c r="H1111" s="31"/>
      <c r="I1111" s="32"/>
      <c r="J1111" s="32"/>
      <c r="K1111" s="45" t="s">
        <v>888</v>
      </c>
      <c r="L1111" s="129"/>
      <c r="M1111" s="33" t="str">
        <f t="shared" si="17"/>
        <v/>
      </c>
      <c r="N1111" s="34" t="str">
        <f>IFERROR(IF(Tabela1[[#This Row],[Nome fantasia]]="","",_xlfn.XLOOKUP($C1111,Log!D:D,Log!B:B,,,-1)),"")</f>
        <v/>
      </c>
      <c r="O1111" s="35" t="str">
        <f>IFERROR(_xlfn.XLOOKUP($C1111,Log!D:D,Log!W:W,,,-1),"")</f>
        <v/>
      </c>
      <c r="P1111" s="35" t="str">
        <f>IFERROR(_xlfn.XLOOKUP($C1111,Log!D:D,Log!Y:Y,,,-1),"")</f>
        <v/>
      </c>
      <c r="Q1111" s="130"/>
      <c r="R1111" s="131" t="str">
        <f>IFERROR(IF(Tabela1[[#This Row],[Nome fantasia]]="","",_xlfn.XLOOKUP($C1111,Log!D:D,Log!X:X,,,-1)),"")</f>
        <v/>
      </c>
    </row>
    <row r="1112" spans="3:18" hidden="1" x14ac:dyDescent="0.2">
      <c r="C1112" s="30" t="s">
        <v>2709</v>
      </c>
      <c r="D1112" s="110" t="s">
        <v>2710</v>
      </c>
      <c r="E1112" s="33" t="s">
        <v>17</v>
      </c>
      <c r="F1112" s="38"/>
      <c r="G1112" s="38"/>
      <c r="H1112" s="31"/>
      <c r="I1112" s="32"/>
      <c r="J1112" s="32"/>
      <c r="K1112" s="45" t="s">
        <v>888</v>
      </c>
      <c r="L1112" s="129"/>
      <c r="M1112" s="33" t="str">
        <f t="shared" si="17"/>
        <v/>
      </c>
      <c r="N1112" s="34" t="str">
        <f>IFERROR(IF(Tabela1[[#This Row],[Nome fantasia]]="","",_xlfn.XLOOKUP($C1112,Log!D:D,Log!B:B,,,-1)),"")</f>
        <v/>
      </c>
      <c r="O1112" s="35" t="str">
        <f>IFERROR(_xlfn.XLOOKUP($C1112,Log!D:D,Log!W:W,,,-1),"")</f>
        <v/>
      </c>
      <c r="P1112" s="35" t="str">
        <f>IFERROR(_xlfn.XLOOKUP($C1112,Log!D:D,Log!Y:Y,,,-1),"")</f>
        <v/>
      </c>
      <c r="Q1112" s="130"/>
      <c r="R1112" s="131" t="str">
        <f>IFERROR(IF(Tabela1[[#This Row],[Nome fantasia]]="","",_xlfn.XLOOKUP($C1112,Log!D:D,Log!X:X,,,-1)),"")</f>
        <v/>
      </c>
    </row>
    <row r="1113" spans="3:18" hidden="1" x14ac:dyDescent="0.2">
      <c r="C1113" s="30" t="s">
        <v>2711</v>
      </c>
      <c r="D1113" s="110" t="s">
        <v>2712</v>
      </c>
      <c r="E1113" s="33" t="s">
        <v>22</v>
      </c>
      <c r="F1113" s="38"/>
      <c r="G1113" s="38"/>
      <c r="H1113" s="31"/>
      <c r="I1113" s="32"/>
      <c r="J1113" s="32"/>
      <c r="K1113" s="45" t="s">
        <v>888</v>
      </c>
      <c r="L1113" s="129"/>
      <c r="M1113" s="33" t="str">
        <f t="shared" si="17"/>
        <v/>
      </c>
      <c r="N1113" s="34" t="str">
        <f>IFERROR(IF(Tabela1[[#This Row],[Nome fantasia]]="","",_xlfn.XLOOKUP($C1113,Log!D:D,Log!B:B,,,-1)),"")</f>
        <v/>
      </c>
      <c r="O1113" s="35" t="str">
        <f>IFERROR(_xlfn.XLOOKUP($C1113,Log!D:D,Log!W:W,,,-1),"")</f>
        <v/>
      </c>
      <c r="P1113" s="35" t="str">
        <f>IFERROR(_xlfn.XLOOKUP($C1113,Log!D:D,Log!Y:Y,,,-1),"")</f>
        <v/>
      </c>
      <c r="Q1113" s="130"/>
      <c r="R1113" s="131" t="str">
        <f>IFERROR(IF(Tabela1[[#This Row],[Nome fantasia]]="","",_xlfn.XLOOKUP($C1113,Log!D:D,Log!X:X,,,-1)),"")</f>
        <v/>
      </c>
    </row>
    <row r="1114" spans="3:18" hidden="1" x14ac:dyDescent="0.2">
      <c r="C1114" s="30" t="s">
        <v>2713</v>
      </c>
      <c r="D1114" s="110" t="s">
        <v>1324</v>
      </c>
      <c r="E1114" s="33" t="s">
        <v>22</v>
      </c>
      <c r="F1114" s="38"/>
      <c r="G1114" s="38"/>
      <c r="H1114" s="31"/>
      <c r="I1114" s="32"/>
      <c r="J1114" s="32"/>
      <c r="K1114" s="45" t="s">
        <v>888</v>
      </c>
      <c r="L1114" s="129"/>
      <c r="M1114" s="33" t="str">
        <f t="shared" si="17"/>
        <v/>
      </c>
      <c r="N1114" s="34" t="str">
        <f>IFERROR(IF(Tabela1[[#This Row],[Nome fantasia]]="","",_xlfn.XLOOKUP($C1114,Log!D:D,Log!B:B,,,-1)),"")</f>
        <v/>
      </c>
      <c r="O1114" s="35" t="str">
        <f>IFERROR(_xlfn.XLOOKUP($C1114,Log!D:D,Log!W:W,,,-1),"")</f>
        <v/>
      </c>
      <c r="P1114" s="35" t="str">
        <f>IFERROR(_xlfn.XLOOKUP($C1114,Log!D:D,Log!Y:Y,,,-1),"")</f>
        <v/>
      </c>
      <c r="Q1114" s="130"/>
      <c r="R1114" s="131" t="str">
        <f>IFERROR(IF(Tabela1[[#This Row],[Nome fantasia]]="","",_xlfn.XLOOKUP($C1114,Log!D:D,Log!X:X,,,-1)),"")</f>
        <v/>
      </c>
    </row>
    <row r="1115" spans="3:18" hidden="1" x14ac:dyDescent="0.2">
      <c r="C1115" s="30" t="s">
        <v>2472</v>
      </c>
      <c r="D1115" s="110" t="s">
        <v>2714</v>
      </c>
      <c r="E1115" s="33" t="s">
        <v>22</v>
      </c>
      <c r="F1115" s="38"/>
      <c r="G1115" s="38"/>
      <c r="H1115" s="31"/>
      <c r="I1115" s="32"/>
      <c r="J1115" s="32"/>
      <c r="K1115" s="45" t="s">
        <v>888</v>
      </c>
      <c r="L1115" s="129"/>
      <c r="M1115" s="33" t="str">
        <f t="shared" si="17"/>
        <v/>
      </c>
      <c r="N1115" s="34" t="str">
        <f>IFERROR(IF(Tabela1[[#This Row],[Nome fantasia]]="","",_xlfn.XLOOKUP($C1115,Log!D:D,Log!B:B,,,-1)),"")</f>
        <v/>
      </c>
      <c r="O1115" s="35" t="str">
        <f>IFERROR(_xlfn.XLOOKUP($C1115,Log!D:D,Log!W:W,,,-1),"")</f>
        <v/>
      </c>
      <c r="P1115" s="35" t="str">
        <f>IFERROR(_xlfn.XLOOKUP($C1115,Log!D:D,Log!Y:Y,,,-1),"")</f>
        <v/>
      </c>
      <c r="Q1115" s="130"/>
      <c r="R1115" s="131" t="str">
        <f>IFERROR(IF(Tabela1[[#This Row],[Nome fantasia]]="","",_xlfn.XLOOKUP($C1115,Log!D:D,Log!X:X,,,-1)),"")</f>
        <v/>
      </c>
    </row>
    <row r="1116" spans="3:18" hidden="1" x14ac:dyDescent="0.2">
      <c r="C1116" s="30" t="s">
        <v>2715</v>
      </c>
      <c r="D1116" s="110" t="s">
        <v>2716</v>
      </c>
      <c r="E1116" s="33" t="s">
        <v>46</v>
      </c>
      <c r="F1116" s="38"/>
      <c r="G1116" s="38"/>
      <c r="H1116" s="31"/>
      <c r="I1116" s="32"/>
      <c r="J1116" s="32"/>
      <c r="K1116" s="45" t="s">
        <v>888</v>
      </c>
      <c r="L1116" s="129"/>
      <c r="M1116" s="33" t="str">
        <f t="shared" si="17"/>
        <v/>
      </c>
      <c r="N1116" s="34">
        <f>IFERROR(IF(Tabela1[[#This Row],[Nome fantasia]]="","",_xlfn.XLOOKUP($C1116,Log!D:D,Log!B:B,,,-1)),"")</f>
        <v>45994</v>
      </c>
      <c r="O1116" s="35" t="str">
        <f>IFERROR(_xlfn.XLOOKUP($C1116,Log!D:D,Log!W:W,,,-1),"")</f>
        <v>EM ATENDIMENTO</v>
      </c>
      <c r="P1116" s="35" t="str">
        <f>IFERROR(_xlfn.XLOOKUP($C1116,Log!D:D,Log!Y:Y,,,-1),"")</f>
        <v>PREFEREM PELO WHATSAPP</v>
      </c>
      <c r="Q1116" s="130"/>
      <c r="R1116" s="131">
        <f>IFERROR(IF(Tabela1[[#This Row],[Nome fantasia]]="","",_xlfn.XLOOKUP($C1116,Log!D:D,Log!X:X,,,-1)),"")</f>
        <v>45996</v>
      </c>
    </row>
    <row r="1117" spans="3:18" hidden="1" x14ac:dyDescent="0.2">
      <c r="C1117" s="30" t="s">
        <v>2717</v>
      </c>
      <c r="D1117" s="110" t="s">
        <v>2718</v>
      </c>
      <c r="E1117" s="33" t="s">
        <v>22</v>
      </c>
      <c r="F1117" s="38"/>
      <c r="G1117" s="38"/>
      <c r="H1117" s="31"/>
      <c r="I1117" s="32"/>
      <c r="J1117" s="32"/>
      <c r="K1117" s="45" t="s">
        <v>888</v>
      </c>
      <c r="L1117" s="129"/>
      <c r="M1117" s="33" t="str">
        <f t="shared" si="17"/>
        <v/>
      </c>
      <c r="N1117" s="34" t="str">
        <f>IFERROR(IF(Tabela1[[#This Row],[Nome fantasia]]="","",_xlfn.XLOOKUP($C1117,Log!D:D,Log!B:B,,,-1)),"")</f>
        <v/>
      </c>
      <c r="O1117" s="35" t="str">
        <f>IFERROR(_xlfn.XLOOKUP($C1117,Log!D:D,Log!W:W,,,-1),"")</f>
        <v/>
      </c>
      <c r="P1117" s="35" t="str">
        <f>IFERROR(_xlfn.XLOOKUP($C1117,Log!D:D,Log!Y:Y,,,-1),"")</f>
        <v/>
      </c>
      <c r="Q1117" s="130"/>
      <c r="R1117" s="131" t="str">
        <f>IFERROR(IF(Tabela1[[#This Row],[Nome fantasia]]="","",_xlfn.XLOOKUP($C1117,Log!D:D,Log!X:X,,,-1)),"")</f>
        <v/>
      </c>
    </row>
    <row r="1118" spans="3:18" hidden="1" x14ac:dyDescent="0.2">
      <c r="C1118" s="30" t="s">
        <v>2719</v>
      </c>
      <c r="D1118" s="110" t="s">
        <v>2720</v>
      </c>
      <c r="E1118" s="33" t="s">
        <v>22</v>
      </c>
      <c r="F1118" s="38"/>
      <c r="G1118" s="38"/>
      <c r="H1118" s="31"/>
      <c r="I1118" s="32"/>
      <c r="J1118" s="32"/>
      <c r="K1118" s="45" t="s">
        <v>888</v>
      </c>
      <c r="L1118" s="129"/>
      <c r="M1118" s="33" t="str">
        <f t="shared" si="17"/>
        <v/>
      </c>
      <c r="N1118" s="34" t="str">
        <f>IFERROR(IF(Tabela1[[#This Row],[Nome fantasia]]="","",_xlfn.XLOOKUP($C1118,Log!D:D,Log!B:B,,,-1)),"")</f>
        <v/>
      </c>
      <c r="O1118" s="35" t="str">
        <f>IFERROR(_xlfn.XLOOKUP($C1118,Log!D:D,Log!W:W,,,-1),"")</f>
        <v/>
      </c>
      <c r="P1118" s="35" t="str">
        <f>IFERROR(_xlfn.XLOOKUP($C1118,Log!D:D,Log!Y:Y,,,-1),"")</f>
        <v/>
      </c>
      <c r="Q1118" s="130"/>
      <c r="R1118" s="131" t="str">
        <f>IFERROR(IF(Tabela1[[#This Row],[Nome fantasia]]="","",_xlfn.XLOOKUP($C1118,Log!D:D,Log!X:X,,,-1)),"")</f>
        <v/>
      </c>
    </row>
    <row r="1119" spans="3:18" hidden="1" x14ac:dyDescent="0.2">
      <c r="C1119" s="30" t="s">
        <v>2721</v>
      </c>
      <c r="D1119" s="110" t="s">
        <v>2722</v>
      </c>
      <c r="E1119" s="33" t="s">
        <v>46</v>
      </c>
      <c r="F1119" s="38"/>
      <c r="G1119" s="38"/>
      <c r="H1119" s="31"/>
      <c r="I1119" s="32"/>
      <c r="J1119" s="32"/>
      <c r="K1119" s="45" t="s">
        <v>888</v>
      </c>
      <c r="L1119" s="129"/>
      <c r="M1119" s="33" t="str">
        <f t="shared" si="17"/>
        <v/>
      </c>
      <c r="N1119" s="34" t="str">
        <f>IFERROR(IF(Tabela1[[#This Row],[Nome fantasia]]="","",_xlfn.XLOOKUP($C1119,Log!D:D,Log!B:B,,,-1)),"")</f>
        <v/>
      </c>
      <c r="O1119" s="35" t="str">
        <f>IFERROR(_xlfn.XLOOKUP($C1119,Log!D:D,Log!W:W,,,-1),"")</f>
        <v/>
      </c>
      <c r="P1119" s="35" t="str">
        <f>IFERROR(_xlfn.XLOOKUP($C1119,Log!D:D,Log!Y:Y,,,-1),"")</f>
        <v/>
      </c>
      <c r="Q1119" s="130"/>
      <c r="R1119" s="131" t="str">
        <f>IFERROR(IF(Tabela1[[#This Row],[Nome fantasia]]="","",_xlfn.XLOOKUP($C1119,Log!D:D,Log!X:X,,,-1)),"")</f>
        <v/>
      </c>
    </row>
    <row r="1120" spans="3:18" hidden="1" x14ac:dyDescent="0.2">
      <c r="C1120" s="30" t="s">
        <v>2723</v>
      </c>
      <c r="D1120" s="110" t="s">
        <v>2724</v>
      </c>
      <c r="E1120" s="33" t="s">
        <v>22</v>
      </c>
      <c r="F1120" s="38"/>
      <c r="G1120" s="38"/>
      <c r="H1120" s="31"/>
      <c r="I1120" s="32"/>
      <c r="J1120" s="32"/>
      <c r="K1120" s="45" t="s">
        <v>888</v>
      </c>
      <c r="L1120" s="129"/>
      <c r="M1120" s="33" t="str">
        <f t="shared" si="17"/>
        <v/>
      </c>
      <c r="N1120" s="34" t="str">
        <f>IFERROR(IF(Tabela1[[#This Row],[Nome fantasia]]="","",_xlfn.XLOOKUP($C1120,Log!D:D,Log!B:B,,,-1)),"")</f>
        <v/>
      </c>
      <c r="O1120" s="35" t="str">
        <f>IFERROR(_xlfn.XLOOKUP($C1120,Log!D:D,Log!W:W,,,-1),"")</f>
        <v/>
      </c>
      <c r="P1120" s="35" t="str">
        <f>IFERROR(_xlfn.XLOOKUP($C1120,Log!D:D,Log!Y:Y,,,-1),"")</f>
        <v/>
      </c>
      <c r="Q1120" s="130"/>
      <c r="R1120" s="131" t="str">
        <f>IFERROR(IF(Tabela1[[#This Row],[Nome fantasia]]="","",_xlfn.XLOOKUP($C1120,Log!D:D,Log!X:X,,,-1)),"")</f>
        <v/>
      </c>
    </row>
    <row r="1121" spans="3:18" hidden="1" x14ac:dyDescent="0.2">
      <c r="C1121" s="30" t="s">
        <v>2725</v>
      </c>
      <c r="D1121" s="110" t="s">
        <v>2726</v>
      </c>
      <c r="E1121" s="33" t="s">
        <v>22</v>
      </c>
      <c r="F1121" s="38"/>
      <c r="G1121" s="38"/>
      <c r="H1121" s="31"/>
      <c r="I1121" s="32"/>
      <c r="J1121" s="32"/>
      <c r="K1121" s="45" t="s">
        <v>888</v>
      </c>
      <c r="L1121" s="129"/>
      <c r="M1121" s="33" t="str">
        <f t="shared" si="17"/>
        <v/>
      </c>
      <c r="N1121" s="34" t="str">
        <f>IFERROR(IF(Tabela1[[#This Row],[Nome fantasia]]="","",_xlfn.XLOOKUP($C1121,Log!D:D,Log!B:B,,,-1)),"")</f>
        <v/>
      </c>
      <c r="O1121" s="35" t="str">
        <f>IFERROR(_xlfn.XLOOKUP($C1121,Log!D:D,Log!W:W,,,-1),"")</f>
        <v/>
      </c>
      <c r="P1121" s="35" t="str">
        <f>IFERROR(_xlfn.XLOOKUP($C1121,Log!D:D,Log!Y:Y,,,-1),"")</f>
        <v/>
      </c>
      <c r="Q1121" s="130"/>
      <c r="R1121" s="131" t="str">
        <f>IFERROR(IF(Tabela1[[#This Row],[Nome fantasia]]="","",_xlfn.XLOOKUP($C1121,Log!D:D,Log!X:X,,,-1)),"")</f>
        <v/>
      </c>
    </row>
    <row r="1122" spans="3:18" hidden="1" x14ac:dyDescent="0.2">
      <c r="C1122" s="30" t="s">
        <v>2727</v>
      </c>
      <c r="D1122" s="110" t="s">
        <v>2728</v>
      </c>
      <c r="E1122" s="33" t="s">
        <v>46</v>
      </c>
      <c r="F1122" s="38"/>
      <c r="G1122" s="38"/>
      <c r="H1122" s="31"/>
      <c r="I1122" s="32"/>
      <c r="J1122" s="32"/>
      <c r="K1122" s="45" t="s">
        <v>888</v>
      </c>
      <c r="L1122" s="129"/>
      <c r="M1122" s="33" t="str">
        <f t="shared" si="17"/>
        <v/>
      </c>
      <c r="N1122" s="34" t="str">
        <f>IFERROR(IF(Tabela1[[#This Row],[Nome fantasia]]="","",_xlfn.XLOOKUP($C1122,Log!D:D,Log!B:B,,,-1)),"")</f>
        <v/>
      </c>
      <c r="O1122" s="35" t="str">
        <f>IFERROR(_xlfn.XLOOKUP($C1122,Log!D:D,Log!W:W,,,-1),"")</f>
        <v/>
      </c>
      <c r="P1122" s="35" t="str">
        <f>IFERROR(_xlfn.XLOOKUP($C1122,Log!D:D,Log!Y:Y,,,-1),"")</f>
        <v/>
      </c>
      <c r="Q1122" s="130"/>
      <c r="R1122" s="131" t="str">
        <f>IFERROR(IF(Tabela1[[#This Row],[Nome fantasia]]="","",_xlfn.XLOOKUP($C1122,Log!D:D,Log!X:X,,,-1)),"")</f>
        <v/>
      </c>
    </row>
    <row r="1123" spans="3:18" hidden="1" x14ac:dyDescent="0.2">
      <c r="C1123" s="30" t="s">
        <v>2729</v>
      </c>
      <c r="D1123" s="110" t="s">
        <v>2730</v>
      </c>
      <c r="E1123" s="33" t="s">
        <v>17</v>
      </c>
      <c r="F1123" s="38"/>
      <c r="G1123" s="38"/>
      <c r="H1123" s="31"/>
      <c r="I1123" s="32"/>
      <c r="J1123" s="32"/>
      <c r="K1123" s="45" t="s">
        <v>888</v>
      </c>
      <c r="L1123" s="129"/>
      <c r="M1123" s="33" t="str">
        <f t="shared" si="17"/>
        <v/>
      </c>
      <c r="N1123" s="34" t="str">
        <f>IFERROR(IF(Tabela1[[#This Row],[Nome fantasia]]="","",_xlfn.XLOOKUP($C1123,Log!D:D,Log!B:B,,,-1)),"")</f>
        <v/>
      </c>
      <c r="O1123" s="35" t="str">
        <f>IFERROR(_xlfn.XLOOKUP($C1123,Log!D:D,Log!W:W,,,-1),"")</f>
        <v/>
      </c>
      <c r="P1123" s="35" t="str">
        <f>IFERROR(_xlfn.XLOOKUP($C1123,Log!D:D,Log!Y:Y,,,-1),"")</f>
        <v/>
      </c>
      <c r="Q1123" s="130"/>
      <c r="R1123" s="131" t="str">
        <f>IFERROR(IF(Tabela1[[#This Row],[Nome fantasia]]="","",_xlfn.XLOOKUP($C1123,Log!D:D,Log!X:X,,,-1)),"")</f>
        <v/>
      </c>
    </row>
    <row r="1124" spans="3:18" hidden="1" x14ac:dyDescent="0.2">
      <c r="C1124" s="30"/>
      <c r="D1124" s="110" t="s">
        <v>2731</v>
      </c>
      <c r="E1124" s="33" t="s">
        <v>46</v>
      </c>
      <c r="F1124" s="38"/>
      <c r="G1124" s="38"/>
      <c r="H1124" s="31"/>
      <c r="I1124" s="32"/>
      <c r="J1124" s="32"/>
      <c r="K1124" s="45" t="s">
        <v>888</v>
      </c>
      <c r="L1124" s="129"/>
      <c r="M1124" s="33" t="str">
        <f t="shared" si="17"/>
        <v/>
      </c>
      <c r="N1124" s="34" t="str">
        <f>IFERROR(IF(Tabela1[[#This Row],[Nome fantasia]]="","",_xlfn.XLOOKUP($C1124,Log!D:D,Log!B:B,,,-1)),"")</f>
        <v/>
      </c>
      <c r="O1124" s="35" t="str">
        <f>IFERROR(_xlfn.XLOOKUP($C1124,Log!D:D,Log!W:W,,,-1),"")</f>
        <v/>
      </c>
      <c r="P1124" s="35" t="str">
        <f>IFERROR(_xlfn.XLOOKUP($C1124,Log!D:D,Log!Y:Y,,,-1),"")</f>
        <v/>
      </c>
      <c r="Q1124" s="130"/>
      <c r="R1124" s="131" t="str">
        <f>IFERROR(IF(Tabela1[[#This Row],[Nome fantasia]]="","",_xlfn.XLOOKUP($C1124,Log!D:D,Log!X:X,,,-1)),"")</f>
        <v/>
      </c>
    </row>
    <row r="1125" spans="3:18" hidden="1" x14ac:dyDescent="0.2">
      <c r="C1125" s="30" t="s">
        <v>2732</v>
      </c>
      <c r="D1125" s="110" t="s">
        <v>2733</v>
      </c>
      <c r="E1125" s="33" t="s">
        <v>22</v>
      </c>
      <c r="F1125" s="38"/>
      <c r="G1125" s="38"/>
      <c r="H1125" s="31"/>
      <c r="I1125" s="32"/>
      <c r="J1125" s="32"/>
      <c r="K1125" s="45" t="s">
        <v>888</v>
      </c>
      <c r="L1125" s="129"/>
      <c r="M1125" s="33" t="str">
        <f t="shared" si="17"/>
        <v/>
      </c>
      <c r="N1125" s="34" t="str">
        <f>IFERROR(IF(Tabela1[[#This Row],[Nome fantasia]]="","",_xlfn.XLOOKUP($C1125,Log!D:D,Log!B:B,,,-1)),"")</f>
        <v/>
      </c>
      <c r="O1125" s="35" t="str">
        <f>IFERROR(_xlfn.XLOOKUP($C1125,Log!D:D,Log!W:W,,,-1),"")</f>
        <v/>
      </c>
      <c r="P1125" s="35" t="str">
        <f>IFERROR(_xlfn.XLOOKUP($C1125,Log!D:D,Log!Y:Y,,,-1),"")</f>
        <v/>
      </c>
      <c r="Q1125" s="130"/>
      <c r="R1125" s="131" t="str">
        <f>IFERROR(IF(Tabela1[[#This Row],[Nome fantasia]]="","",_xlfn.XLOOKUP($C1125,Log!D:D,Log!X:X,,,-1)),"")</f>
        <v/>
      </c>
    </row>
    <row r="1126" spans="3:18" hidden="1" x14ac:dyDescent="0.2">
      <c r="C1126" s="30" t="s">
        <v>2734</v>
      </c>
      <c r="D1126" s="110" t="s">
        <v>2735</v>
      </c>
      <c r="E1126" s="33" t="s">
        <v>22</v>
      </c>
      <c r="F1126" s="38"/>
      <c r="G1126" s="38"/>
      <c r="H1126" s="31"/>
      <c r="I1126" s="32"/>
      <c r="J1126" s="32"/>
      <c r="K1126" s="45" t="s">
        <v>888</v>
      </c>
      <c r="L1126" s="129"/>
      <c r="M1126" s="33" t="str">
        <f t="shared" si="17"/>
        <v/>
      </c>
      <c r="N1126" s="34" t="str">
        <f>IFERROR(IF(Tabela1[[#This Row],[Nome fantasia]]="","",_xlfn.XLOOKUP($C1126,Log!D:D,Log!B:B,,,-1)),"")</f>
        <v/>
      </c>
      <c r="O1126" s="35" t="str">
        <f>IFERROR(_xlfn.XLOOKUP($C1126,Log!D:D,Log!W:W,,,-1),"")</f>
        <v/>
      </c>
      <c r="P1126" s="35" t="str">
        <f>IFERROR(_xlfn.XLOOKUP($C1126,Log!D:D,Log!Y:Y,,,-1),"")</f>
        <v/>
      </c>
      <c r="Q1126" s="130"/>
      <c r="R1126" s="131" t="str">
        <f>IFERROR(IF(Tabela1[[#This Row],[Nome fantasia]]="","",_xlfn.XLOOKUP($C1126,Log!D:D,Log!X:X,,,-1)),"")</f>
        <v/>
      </c>
    </row>
    <row r="1127" spans="3:18" hidden="1" x14ac:dyDescent="0.2">
      <c r="C1127" s="30" t="s">
        <v>2736</v>
      </c>
      <c r="D1127" s="110" t="s">
        <v>2737</v>
      </c>
      <c r="E1127" s="33" t="s">
        <v>46</v>
      </c>
      <c r="F1127" s="38"/>
      <c r="G1127" s="38"/>
      <c r="H1127" s="31"/>
      <c r="I1127" s="32"/>
      <c r="J1127" s="32"/>
      <c r="K1127" s="45" t="s">
        <v>888</v>
      </c>
      <c r="L1127" s="129"/>
      <c r="M1127" s="33" t="str">
        <f t="shared" si="17"/>
        <v/>
      </c>
      <c r="N1127" s="34" t="str">
        <f>IFERROR(IF(Tabela1[[#This Row],[Nome fantasia]]="","",_xlfn.XLOOKUP($C1127,Log!D:D,Log!B:B,,,-1)),"")</f>
        <v/>
      </c>
      <c r="O1127" s="35" t="str">
        <f>IFERROR(_xlfn.XLOOKUP($C1127,Log!D:D,Log!W:W,,,-1),"")</f>
        <v/>
      </c>
      <c r="P1127" s="35" t="str">
        <f>IFERROR(_xlfn.XLOOKUP($C1127,Log!D:D,Log!Y:Y,,,-1),"")</f>
        <v/>
      </c>
      <c r="Q1127" s="130"/>
      <c r="R1127" s="131" t="str">
        <f>IFERROR(IF(Tabela1[[#This Row],[Nome fantasia]]="","",_xlfn.XLOOKUP($C1127,Log!D:D,Log!X:X,,,-1)),"")</f>
        <v/>
      </c>
    </row>
    <row r="1128" spans="3:18" hidden="1" x14ac:dyDescent="0.2">
      <c r="C1128" s="30" t="s">
        <v>2738</v>
      </c>
      <c r="D1128" s="110" t="s">
        <v>2739</v>
      </c>
      <c r="E1128" s="33" t="s">
        <v>46</v>
      </c>
      <c r="F1128" s="38"/>
      <c r="G1128" s="38"/>
      <c r="H1128" s="31"/>
      <c r="I1128" s="32"/>
      <c r="J1128" s="32"/>
      <c r="K1128" s="45" t="s">
        <v>888</v>
      </c>
      <c r="L1128" s="129"/>
      <c r="M1128" s="33" t="str">
        <f t="shared" si="17"/>
        <v/>
      </c>
      <c r="N1128" s="34" t="str">
        <f>IFERROR(IF(Tabela1[[#This Row],[Nome fantasia]]="","",_xlfn.XLOOKUP($C1128,Log!D:D,Log!B:B,,,-1)),"")</f>
        <v/>
      </c>
      <c r="O1128" s="35" t="str">
        <f>IFERROR(_xlfn.XLOOKUP($C1128,Log!D:D,Log!W:W,,,-1),"")</f>
        <v/>
      </c>
      <c r="P1128" s="35" t="str">
        <f>IFERROR(_xlfn.XLOOKUP($C1128,Log!D:D,Log!Y:Y,,,-1),"")</f>
        <v/>
      </c>
      <c r="Q1128" s="130"/>
      <c r="R1128" s="131" t="str">
        <f>IFERROR(IF(Tabela1[[#This Row],[Nome fantasia]]="","",_xlfn.XLOOKUP($C1128,Log!D:D,Log!X:X,,,-1)),"")</f>
        <v/>
      </c>
    </row>
    <row r="1129" spans="3:18" hidden="1" x14ac:dyDescent="0.2">
      <c r="C1129" s="30" t="s">
        <v>2740</v>
      </c>
      <c r="D1129" s="110" t="s">
        <v>1242</v>
      </c>
      <c r="E1129" s="33" t="s">
        <v>46</v>
      </c>
      <c r="F1129" s="38"/>
      <c r="G1129" s="38"/>
      <c r="H1129" s="31"/>
      <c r="I1129" s="32"/>
      <c r="J1129" s="32"/>
      <c r="K1129" s="45" t="s">
        <v>888</v>
      </c>
      <c r="L1129" s="129"/>
      <c r="M1129" s="33" t="str">
        <f t="shared" si="17"/>
        <v/>
      </c>
      <c r="N1129" s="34" t="str">
        <f>IFERROR(IF(Tabela1[[#This Row],[Nome fantasia]]="","",_xlfn.XLOOKUP($C1129,Log!D:D,Log!B:B,,,-1)),"")</f>
        <v/>
      </c>
      <c r="O1129" s="35" t="str">
        <f>IFERROR(_xlfn.XLOOKUP($C1129,Log!D:D,Log!W:W,,,-1),"")</f>
        <v/>
      </c>
      <c r="P1129" s="35" t="str">
        <f>IFERROR(_xlfn.XLOOKUP($C1129,Log!D:D,Log!Y:Y,,,-1),"")</f>
        <v/>
      </c>
      <c r="Q1129" s="130"/>
      <c r="R1129" s="131" t="str">
        <f>IFERROR(IF(Tabela1[[#This Row],[Nome fantasia]]="","",_xlfn.XLOOKUP($C1129,Log!D:D,Log!X:X,,,-1)),"")</f>
        <v/>
      </c>
    </row>
    <row r="1130" spans="3:18" hidden="1" x14ac:dyDescent="0.2">
      <c r="C1130" s="30" t="s">
        <v>2741</v>
      </c>
      <c r="D1130" s="110" t="s">
        <v>2742</v>
      </c>
      <c r="E1130" s="33" t="s">
        <v>22</v>
      </c>
      <c r="F1130" s="38"/>
      <c r="G1130" s="38"/>
      <c r="H1130" s="31"/>
      <c r="I1130" s="32"/>
      <c r="J1130" s="32"/>
      <c r="K1130" s="45" t="s">
        <v>888</v>
      </c>
      <c r="L1130" s="129"/>
      <c r="M1130" s="33" t="str">
        <f t="shared" si="17"/>
        <v/>
      </c>
      <c r="N1130" s="34" t="str">
        <f>IFERROR(IF(Tabela1[[#This Row],[Nome fantasia]]="","",_xlfn.XLOOKUP($C1130,Log!D:D,Log!B:B,,,-1)),"")</f>
        <v/>
      </c>
      <c r="O1130" s="35" t="str">
        <f>IFERROR(_xlfn.XLOOKUP($C1130,Log!D:D,Log!W:W,,,-1),"")</f>
        <v/>
      </c>
      <c r="P1130" s="35" t="str">
        <f>IFERROR(_xlfn.XLOOKUP($C1130,Log!D:D,Log!Y:Y,,,-1),"")</f>
        <v/>
      </c>
      <c r="Q1130" s="130"/>
      <c r="R1130" s="131" t="str">
        <f>IFERROR(IF(Tabela1[[#This Row],[Nome fantasia]]="","",_xlfn.XLOOKUP($C1130,Log!D:D,Log!X:X,,,-1)),"")</f>
        <v/>
      </c>
    </row>
    <row r="1131" spans="3:18" hidden="1" x14ac:dyDescent="0.2">
      <c r="C1131" s="30" t="s">
        <v>2685</v>
      </c>
      <c r="D1131" s="110" t="s">
        <v>2743</v>
      </c>
      <c r="E1131" s="33" t="s">
        <v>46</v>
      </c>
      <c r="F1131" s="38"/>
      <c r="G1131" s="38"/>
      <c r="H1131" s="31"/>
      <c r="I1131" s="32"/>
      <c r="J1131" s="32"/>
      <c r="K1131" s="45" t="s">
        <v>888</v>
      </c>
      <c r="L1131" s="129"/>
      <c r="M1131" s="33" t="str">
        <f t="shared" si="17"/>
        <v/>
      </c>
      <c r="N1131" s="34" t="str">
        <f>IFERROR(IF(Tabela1[[#This Row],[Nome fantasia]]="","",_xlfn.XLOOKUP($C1131,Log!D:D,Log!B:B,,,-1)),"")</f>
        <v/>
      </c>
      <c r="O1131" s="35" t="str">
        <f>IFERROR(_xlfn.XLOOKUP($C1131,Log!D:D,Log!W:W,,,-1),"")</f>
        <v/>
      </c>
      <c r="P1131" s="35" t="str">
        <f>IFERROR(_xlfn.XLOOKUP($C1131,Log!D:D,Log!Y:Y,,,-1),"")</f>
        <v/>
      </c>
      <c r="Q1131" s="130"/>
      <c r="R1131" s="131" t="str">
        <f>IFERROR(IF(Tabela1[[#This Row],[Nome fantasia]]="","",_xlfn.XLOOKUP($C1131,Log!D:D,Log!X:X,,,-1)),"")</f>
        <v/>
      </c>
    </row>
    <row r="1132" spans="3:18" hidden="1" x14ac:dyDescent="0.2">
      <c r="C1132" s="30" t="s">
        <v>2744</v>
      </c>
      <c r="D1132" s="110" t="s">
        <v>2745</v>
      </c>
      <c r="E1132" s="33" t="s">
        <v>46</v>
      </c>
      <c r="F1132" s="38"/>
      <c r="G1132" s="38"/>
      <c r="H1132" s="31"/>
      <c r="I1132" s="32"/>
      <c r="J1132" s="32"/>
      <c r="K1132" s="45" t="s">
        <v>888</v>
      </c>
      <c r="L1132" s="129"/>
      <c r="M1132" s="33" t="str">
        <f t="shared" si="17"/>
        <v/>
      </c>
      <c r="N1132" s="34" t="str">
        <f>IFERROR(IF(Tabela1[[#This Row],[Nome fantasia]]="","",_xlfn.XLOOKUP($C1132,Log!D:D,Log!B:B,,,-1)),"")</f>
        <v/>
      </c>
      <c r="O1132" s="35" t="str">
        <f>IFERROR(_xlfn.XLOOKUP($C1132,Log!D:D,Log!W:W,,,-1),"")</f>
        <v/>
      </c>
      <c r="P1132" s="35" t="str">
        <f>IFERROR(_xlfn.XLOOKUP($C1132,Log!D:D,Log!Y:Y,,,-1),"")</f>
        <v/>
      </c>
      <c r="Q1132" s="130"/>
      <c r="R1132" s="131" t="str">
        <f>IFERROR(IF(Tabela1[[#This Row],[Nome fantasia]]="","",_xlfn.XLOOKUP($C1132,Log!D:D,Log!X:X,,,-1)),"")</f>
        <v/>
      </c>
    </row>
    <row r="1133" spans="3:18" hidden="1" x14ac:dyDescent="0.2">
      <c r="C1133" s="30" t="s">
        <v>2744</v>
      </c>
      <c r="D1133" s="110" t="s">
        <v>2746</v>
      </c>
      <c r="E1133" s="33" t="s">
        <v>46</v>
      </c>
      <c r="F1133" s="38"/>
      <c r="G1133" s="38"/>
      <c r="H1133" s="31"/>
      <c r="I1133" s="32"/>
      <c r="J1133" s="32"/>
      <c r="K1133" s="45" t="s">
        <v>888</v>
      </c>
      <c r="L1133" s="129"/>
      <c r="M1133" s="33" t="str">
        <f t="shared" si="17"/>
        <v/>
      </c>
      <c r="N1133" s="34" t="str">
        <f>IFERROR(IF(Tabela1[[#This Row],[Nome fantasia]]="","",_xlfn.XLOOKUP($C1133,Log!D:D,Log!B:B,,,-1)),"")</f>
        <v/>
      </c>
      <c r="O1133" s="35" t="str">
        <f>IFERROR(_xlfn.XLOOKUP($C1133,Log!D:D,Log!W:W,,,-1),"")</f>
        <v/>
      </c>
      <c r="P1133" s="35" t="str">
        <f>IFERROR(_xlfn.XLOOKUP($C1133,Log!D:D,Log!Y:Y,,,-1),"")</f>
        <v/>
      </c>
      <c r="Q1133" s="130"/>
      <c r="R1133" s="131" t="str">
        <f>IFERROR(IF(Tabela1[[#This Row],[Nome fantasia]]="","",_xlfn.XLOOKUP($C1133,Log!D:D,Log!X:X,,,-1)),"")</f>
        <v/>
      </c>
    </row>
    <row r="1134" spans="3:18" hidden="1" x14ac:dyDescent="0.2">
      <c r="C1134" s="30" t="s">
        <v>2747</v>
      </c>
      <c r="D1134" s="110" t="s">
        <v>2748</v>
      </c>
      <c r="E1134" s="33" t="s">
        <v>46</v>
      </c>
      <c r="F1134" s="38"/>
      <c r="G1134" s="38"/>
      <c r="H1134" s="31"/>
      <c r="I1134" s="32"/>
      <c r="J1134" s="32"/>
      <c r="K1134" s="45" t="s">
        <v>888</v>
      </c>
      <c r="L1134" s="129"/>
      <c r="M1134" s="33" t="str">
        <f t="shared" si="17"/>
        <v/>
      </c>
      <c r="N1134" s="34">
        <f>IFERROR(IF(Tabela1[[#This Row],[Nome fantasia]]="","",_xlfn.XLOOKUP($C1134,Log!D:D,Log!B:B,,,-1)),"")</f>
        <v>45996</v>
      </c>
      <c r="O1134" s="35" t="str">
        <f>IFERROR(_xlfn.XLOOKUP($C1134,Log!D:D,Log!W:W,,,-1),"")</f>
        <v>EM ATENDIMENTO</v>
      </c>
      <c r="P1134" s="35" t="str">
        <f>IFERROR(_xlfn.XLOOKUP($C1134,Log!D:D,Log!Y:Y,,,-1),"")</f>
        <v>LIGAÇÃO SEM SUCESSO</v>
      </c>
      <c r="Q1134" s="130"/>
      <c r="R1134" s="131">
        <f>IFERROR(IF(Tabela1[[#This Row],[Nome fantasia]]="","",_xlfn.XLOOKUP($C1134,Log!D:D,Log!X:X,,,-1)),"")</f>
        <v>46000</v>
      </c>
    </row>
    <row r="1135" spans="3:18" hidden="1" x14ac:dyDescent="0.2">
      <c r="C1135" s="30" t="s">
        <v>2749</v>
      </c>
      <c r="D1135" s="110" t="s">
        <v>2750</v>
      </c>
      <c r="E1135" s="33" t="s">
        <v>46</v>
      </c>
      <c r="F1135" s="38"/>
      <c r="G1135" s="38"/>
      <c r="H1135" s="31"/>
      <c r="I1135" s="32"/>
      <c r="J1135" s="32"/>
      <c r="K1135" s="45" t="s">
        <v>888</v>
      </c>
      <c r="L1135" s="129"/>
      <c r="M1135" s="33" t="str">
        <f t="shared" si="17"/>
        <v/>
      </c>
      <c r="N1135" s="34" t="str">
        <f>IFERROR(IF(Tabela1[[#This Row],[Nome fantasia]]="","",_xlfn.XLOOKUP($C1135,Log!D:D,Log!B:B,,,-1)),"")</f>
        <v/>
      </c>
      <c r="O1135" s="35" t="str">
        <f>IFERROR(_xlfn.XLOOKUP($C1135,Log!D:D,Log!W:W,,,-1),"")</f>
        <v/>
      </c>
      <c r="P1135" s="35" t="str">
        <f>IFERROR(_xlfn.XLOOKUP($C1135,Log!D:D,Log!Y:Y,,,-1),"")</f>
        <v/>
      </c>
      <c r="Q1135" s="130"/>
      <c r="R1135" s="131" t="str">
        <f>IFERROR(IF(Tabela1[[#This Row],[Nome fantasia]]="","",_xlfn.XLOOKUP($C1135,Log!D:D,Log!X:X,,,-1)),"")</f>
        <v/>
      </c>
    </row>
    <row r="1136" spans="3:18" hidden="1" x14ac:dyDescent="0.2">
      <c r="C1136" s="30" t="s">
        <v>2751</v>
      </c>
      <c r="D1136" s="110" t="s">
        <v>2752</v>
      </c>
      <c r="E1136" s="33" t="s">
        <v>46</v>
      </c>
      <c r="F1136" s="38"/>
      <c r="G1136" s="38"/>
      <c r="H1136" s="31"/>
      <c r="I1136" s="32"/>
      <c r="J1136" s="32"/>
      <c r="K1136" s="45" t="s">
        <v>888</v>
      </c>
      <c r="L1136" s="129"/>
      <c r="M1136" s="33" t="str">
        <f t="shared" si="17"/>
        <v/>
      </c>
      <c r="N1136" s="34" t="str">
        <f>IFERROR(IF(Tabela1[[#This Row],[Nome fantasia]]="","",_xlfn.XLOOKUP($C1136,Log!D:D,Log!B:B,,,-1)),"")</f>
        <v/>
      </c>
      <c r="O1136" s="35" t="str">
        <f>IFERROR(_xlfn.XLOOKUP($C1136,Log!D:D,Log!W:W,,,-1),"")</f>
        <v/>
      </c>
      <c r="P1136" s="35" t="str">
        <f>IFERROR(_xlfn.XLOOKUP($C1136,Log!D:D,Log!Y:Y,,,-1),"")</f>
        <v/>
      </c>
      <c r="Q1136" s="130"/>
      <c r="R1136" s="131" t="str">
        <f>IFERROR(IF(Tabela1[[#This Row],[Nome fantasia]]="","",_xlfn.XLOOKUP($C1136,Log!D:D,Log!X:X,,,-1)),"")</f>
        <v/>
      </c>
    </row>
    <row r="1137" spans="3:18" hidden="1" x14ac:dyDescent="0.2">
      <c r="C1137" s="30"/>
      <c r="D1137" s="110" t="s">
        <v>2753</v>
      </c>
      <c r="E1137" s="33" t="s">
        <v>22</v>
      </c>
      <c r="F1137" s="38"/>
      <c r="G1137" s="38"/>
      <c r="H1137" s="31"/>
      <c r="I1137" s="32"/>
      <c r="J1137" s="32"/>
      <c r="K1137" s="45" t="s">
        <v>888</v>
      </c>
      <c r="L1137" s="129"/>
      <c r="M1137" s="33" t="str">
        <f t="shared" si="17"/>
        <v/>
      </c>
      <c r="N1137" s="34" t="str">
        <f>IFERROR(IF(Tabela1[[#This Row],[Nome fantasia]]="","",_xlfn.XLOOKUP($C1137,Log!D:D,Log!B:B,,,-1)),"")</f>
        <v/>
      </c>
      <c r="O1137" s="35" t="str">
        <f>IFERROR(_xlfn.XLOOKUP($C1137,Log!D:D,Log!W:W,,,-1),"")</f>
        <v/>
      </c>
      <c r="P1137" s="35" t="str">
        <f>IFERROR(_xlfn.XLOOKUP($C1137,Log!D:D,Log!Y:Y,,,-1),"")</f>
        <v/>
      </c>
      <c r="Q1137" s="130"/>
      <c r="R1137" s="131" t="str">
        <f>IFERROR(IF(Tabela1[[#This Row],[Nome fantasia]]="","",_xlfn.XLOOKUP($C1137,Log!D:D,Log!X:X,,,-1)),"")</f>
        <v/>
      </c>
    </row>
    <row r="1138" spans="3:18" hidden="1" x14ac:dyDescent="0.2">
      <c r="C1138" s="30" t="s">
        <v>2754</v>
      </c>
      <c r="D1138" s="110" t="s">
        <v>2755</v>
      </c>
      <c r="E1138" s="33" t="s">
        <v>46</v>
      </c>
      <c r="F1138" s="38"/>
      <c r="G1138" s="38"/>
      <c r="H1138" s="31"/>
      <c r="I1138" s="32"/>
      <c r="J1138" s="32"/>
      <c r="K1138" s="45" t="s">
        <v>888</v>
      </c>
      <c r="L1138" s="129"/>
      <c r="M1138" s="33" t="str">
        <f t="shared" si="17"/>
        <v/>
      </c>
      <c r="N1138" s="34" t="str">
        <f>IFERROR(IF(Tabela1[[#This Row],[Nome fantasia]]="","",_xlfn.XLOOKUP($C1138,Log!D:D,Log!B:B,,,-1)),"")</f>
        <v/>
      </c>
      <c r="O1138" s="35" t="str">
        <f>IFERROR(_xlfn.XLOOKUP($C1138,Log!D:D,Log!W:W,,,-1),"")</f>
        <v/>
      </c>
      <c r="P1138" s="35" t="str">
        <f>IFERROR(_xlfn.XLOOKUP($C1138,Log!D:D,Log!Y:Y,,,-1),"")</f>
        <v/>
      </c>
      <c r="Q1138" s="130"/>
      <c r="R1138" s="131" t="str">
        <f>IFERROR(IF(Tabela1[[#This Row],[Nome fantasia]]="","",_xlfn.XLOOKUP($C1138,Log!D:D,Log!X:X,,,-1)),"")</f>
        <v/>
      </c>
    </row>
    <row r="1139" spans="3:18" hidden="1" x14ac:dyDescent="0.2">
      <c r="C1139" s="30" t="s">
        <v>2756</v>
      </c>
      <c r="D1139" s="110" t="s">
        <v>2757</v>
      </c>
      <c r="E1139" s="33" t="s">
        <v>22</v>
      </c>
      <c r="F1139" s="38"/>
      <c r="G1139" s="38"/>
      <c r="H1139" s="31"/>
      <c r="I1139" s="32"/>
      <c r="J1139" s="32"/>
      <c r="K1139" s="45" t="s">
        <v>888</v>
      </c>
      <c r="L1139" s="129"/>
      <c r="M1139" s="33" t="str">
        <f t="shared" si="17"/>
        <v/>
      </c>
      <c r="N1139" s="34" t="str">
        <f>IFERROR(IF(Tabela1[[#This Row],[Nome fantasia]]="","",_xlfn.XLOOKUP($C1139,Log!D:D,Log!B:B,,,-1)),"")</f>
        <v/>
      </c>
      <c r="O1139" s="35" t="str">
        <f>IFERROR(_xlfn.XLOOKUP($C1139,Log!D:D,Log!W:W,,,-1),"")</f>
        <v/>
      </c>
      <c r="P1139" s="35" t="str">
        <f>IFERROR(_xlfn.XLOOKUP($C1139,Log!D:D,Log!Y:Y,,,-1),"")</f>
        <v/>
      </c>
      <c r="Q1139" s="130"/>
      <c r="R1139" s="131" t="str">
        <f>IFERROR(IF(Tabela1[[#This Row],[Nome fantasia]]="","",_xlfn.XLOOKUP($C1139,Log!D:D,Log!X:X,,,-1)),"")</f>
        <v/>
      </c>
    </row>
    <row r="1140" spans="3:18" hidden="1" x14ac:dyDescent="0.2">
      <c r="C1140" s="30" t="s">
        <v>2758</v>
      </c>
      <c r="D1140" s="110" t="s">
        <v>2759</v>
      </c>
      <c r="E1140" s="33" t="s">
        <v>46</v>
      </c>
      <c r="F1140" s="38"/>
      <c r="G1140" s="38"/>
      <c r="H1140" s="31"/>
      <c r="I1140" s="32"/>
      <c r="J1140" s="32"/>
      <c r="K1140" s="45" t="s">
        <v>888</v>
      </c>
      <c r="L1140" s="129"/>
      <c r="M1140" s="33" t="str">
        <f t="shared" si="17"/>
        <v/>
      </c>
      <c r="N1140" s="34" t="str">
        <f>IFERROR(IF(Tabela1[[#This Row],[Nome fantasia]]="","",_xlfn.XLOOKUP($C1140,Log!D:D,Log!B:B,,,-1)),"")</f>
        <v/>
      </c>
      <c r="O1140" s="35" t="str">
        <f>IFERROR(_xlfn.XLOOKUP($C1140,Log!D:D,Log!W:W,,,-1),"")</f>
        <v/>
      </c>
      <c r="P1140" s="35" t="str">
        <f>IFERROR(_xlfn.XLOOKUP($C1140,Log!D:D,Log!Y:Y,,,-1),"")</f>
        <v/>
      </c>
      <c r="Q1140" s="130"/>
      <c r="R1140" s="131" t="str">
        <f>IFERROR(IF(Tabela1[[#This Row],[Nome fantasia]]="","",_xlfn.XLOOKUP($C1140,Log!D:D,Log!X:X,,,-1)),"")</f>
        <v/>
      </c>
    </row>
    <row r="1141" spans="3:18" hidden="1" x14ac:dyDescent="0.2">
      <c r="C1141" s="30" t="s">
        <v>2760</v>
      </c>
      <c r="D1141" s="110" t="s">
        <v>2761</v>
      </c>
      <c r="E1141" s="33" t="s">
        <v>22</v>
      </c>
      <c r="F1141" s="38"/>
      <c r="G1141" s="38"/>
      <c r="H1141" s="31"/>
      <c r="I1141" s="32"/>
      <c r="J1141" s="32"/>
      <c r="K1141" s="45" t="s">
        <v>888</v>
      </c>
      <c r="L1141" s="129"/>
      <c r="M1141" s="33" t="str">
        <f t="shared" si="17"/>
        <v/>
      </c>
      <c r="N1141" s="34" t="str">
        <f>IFERROR(IF(Tabela1[[#This Row],[Nome fantasia]]="","",_xlfn.XLOOKUP($C1141,Log!D:D,Log!B:B,,,-1)),"")</f>
        <v/>
      </c>
      <c r="O1141" s="35" t="str">
        <f>IFERROR(_xlfn.XLOOKUP($C1141,Log!D:D,Log!W:W,,,-1),"")</f>
        <v/>
      </c>
      <c r="P1141" s="35" t="str">
        <f>IFERROR(_xlfn.XLOOKUP($C1141,Log!D:D,Log!Y:Y,,,-1),"")</f>
        <v/>
      </c>
      <c r="Q1141" s="130"/>
      <c r="R1141" s="131" t="str">
        <f>IFERROR(IF(Tabela1[[#This Row],[Nome fantasia]]="","",_xlfn.XLOOKUP($C1141,Log!D:D,Log!X:X,,,-1)),"")</f>
        <v/>
      </c>
    </row>
    <row r="1142" spans="3:18" hidden="1" x14ac:dyDescent="0.2">
      <c r="C1142" s="30" t="s">
        <v>2762</v>
      </c>
      <c r="D1142" s="110" t="s">
        <v>2763</v>
      </c>
      <c r="E1142" s="33" t="s">
        <v>46</v>
      </c>
      <c r="F1142" s="38"/>
      <c r="G1142" s="38"/>
      <c r="H1142" s="31"/>
      <c r="I1142" s="32"/>
      <c r="J1142" s="32"/>
      <c r="K1142" s="45" t="s">
        <v>888</v>
      </c>
      <c r="L1142" s="129"/>
      <c r="M1142" s="33" t="str">
        <f t="shared" si="17"/>
        <v/>
      </c>
      <c r="N1142" s="34" t="str">
        <f>IFERROR(IF(Tabela1[[#This Row],[Nome fantasia]]="","",_xlfn.XLOOKUP($C1142,Log!D:D,Log!B:B,,,-1)),"")</f>
        <v/>
      </c>
      <c r="O1142" s="35" t="str">
        <f>IFERROR(_xlfn.XLOOKUP($C1142,Log!D:D,Log!W:W,,,-1),"")</f>
        <v/>
      </c>
      <c r="P1142" s="35" t="str">
        <f>IFERROR(_xlfn.XLOOKUP($C1142,Log!D:D,Log!Y:Y,,,-1),"")</f>
        <v/>
      </c>
      <c r="Q1142" s="130"/>
      <c r="R1142" s="131" t="str">
        <f>IFERROR(IF(Tabela1[[#This Row],[Nome fantasia]]="","",_xlfn.XLOOKUP($C1142,Log!D:D,Log!X:X,,,-1)),"")</f>
        <v/>
      </c>
    </row>
    <row r="1143" spans="3:18" hidden="1" x14ac:dyDescent="0.2">
      <c r="C1143" s="30" t="s">
        <v>2764</v>
      </c>
      <c r="D1143" s="110" t="s">
        <v>2765</v>
      </c>
      <c r="E1143" s="33" t="s">
        <v>46</v>
      </c>
      <c r="F1143" s="38"/>
      <c r="G1143" s="38"/>
      <c r="H1143" s="31"/>
      <c r="I1143" s="32"/>
      <c r="J1143" s="32"/>
      <c r="K1143" s="45" t="s">
        <v>888</v>
      </c>
      <c r="L1143" s="129"/>
      <c r="M1143" s="33" t="str">
        <f t="shared" si="17"/>
        <v/>
      </c>
      <c r="N1143" s="34" t="str">
        <f>IFERROR(IF(Tabela1[[#This Row],[Nome fantasia]]="","",_xlfn.XLOOKUP($C1143,Log!D:D,Log!B:B,,,-1)),"")</f>
        <v/>
      </c>
      <c r="O1143" s="35" t="str">
        <f>IFERROR(_xlfn.XLOOKUP($C1143,Log!D:D,Log!W:W,,,-1),"")</f>
        <v/>
      </c>
      <c r="P1143" s="35" t="str">
        <f>IFERROR(_xlfn.XLOOKUP($C1143,Log!D:D,Log!Y:Y,,,-1),"")</f>
        <v/>
      </c>
      <c r="Q1143" s="130"/>
      <c r="R1143" s="131" t="str">
        <f>IFERROR(IF(Tabela1[[#This Row],[Nome fantasia]]="","",_xlfn.XLOOKUP($C1143,Log!D:D,Log!X:X,,,-1)),"")</f>
        <v/>
      </c>
    </row>
    <row r="1144" spans="3:18" hidden="1" x14ac:dyDescent="0.2">
      <c r="C1144" s="30" t="s">
        <v>2766</v>
      </c>
      <c r="D1144" s="110" t="s">
        <v>2767</v>
      </c>
      <c r="E1144" s="33" t="s">
        <v>46</v>
      </c>
      <c r="F1144" s="38"/>
      <c r="G1144" s="38"/>
      <c r="H1144" s="31"/>
      <c r="I1144" s="32"/>
      <c r="J1144" s="32"/>
      <c r="K1144" s="45" t="s">
        <v>888</v>
      </c>
      <c r="L1144" s="129"/>
      <c r="M1144" s="33" t="str">
        <f t="shared" si="17"/>
        <v/>
      </c>
      <c r="N1144" s="34" t="str">
        <f>IFERROR(IF(Tabela1[[#This Row],[Nome fantasia]]="","",_xlfn.XLOOKUP($C1144,Log!D:D,Log!B:B,,,-1)),"")</f>
        <v/>
      </c>
      <c r="O1144" s="35" t="str">
        <f>IFERROR(_xlfn.XLOOKUP($C1144,Log!D:D,Log!W:W,,,-1),"")</f>
        <v/>
      </c>
      <c r="P1144" s="35" t="str">
        <f>IFERROR(_xlfn.XLOOKUP($C1144,Log!D:D,Log!Y:Y,,,-1),"")</f>
        <v/>
      </c>
      <c r="Q1144" s="130"/>
      <c r="R1144" s="131" t="str">
        <f>IFERROR(IF(Tabela1[[#This Row],[Nome fantasia]]="","",_xlfn.XLOOKUP($C1144,Log!D:D,Log!X:X,,,-1)),"")</f>
        <v/>
      </c>
    </row>
    <row r="1145" spans="3:18" hidden="1" x14ac:dyDescent="0.2">
      <c r="C1145" s="30" t="s">
        <v>2768</v>
      </c>
      <c r="D1145" s="110" t="s">
        <v>2769</v>
      </c>
      <c r="E1145" s="33" t="s">
        <v>22</v>
      </c>
      <c r="F1145" s="38"/>
      <c r="G1145" s="38"/>
      <c r="H1145" s="31"/>
      <c r="I1145" s="32"/>
      <c r="J1145" s="32"/>
      <c r="K1145" s="45" t="s">
        <v>888</v>
      </c>
      <c r="L1145" s="129"/>
      <c r="M1145" s="33" t="str">
        <f t="shared" si="17"/>
        <v/>
      </c>
      <c r="N1145" s="34" t="str">
        <f>IFERROR(IF(Tabela1[[#This Row],[Nome fantasia]]="","",_xlfn.XLOOKUP($C1145,Log!D:D,Log!B:B,,,-1)),"")</f>
        <v/>
      </c>
      <c r="O1145" s="35" t="str">
        <f>IFERROR(_xlfn.XLOOKUP($C1145,Log!D:D,Log!W:W,,,-1),"")</f>
        <v/>
      </c>
      <c r="P1145" s="35" t="str">
        <f>IFERROR(_xlfn.XLOOKUP($C1145,Log!D:D,Log!Y:Y,,,-1),"")</f>
        <v/>
      </c>
      <c r="Q1145" s="130"/>
      <c r="R1145" s="131" t="str">
        <f>IFERROR(IF(Tabela1[[#This Row],[Nome fantasia]]="","",_xlfn.XLOOKUP($C1145,Log!D:D,Log!X:X,,,-1)),"")</f>
        <v/>
      </c>
    </row>
    <row r="1146" spans="3:18" hidden="1" x14ac:dyDescent="0.2">
      <c r="C1146" s="30" t="s">
        <v>2770</v>
      </c>
      <c r="D1146" s="110" t="s">
        <v>2771</v>
      </c>
      <c r="E1146" s="33" t="s">
        <v>22</v>
      </c>
      <c r="F1146" s="38"/>
      <c r="G1146" s="38"/>
      <c r="H1146" s="31"/>
      <c r="I1146" s="32"/>
      <c r="J1146" s="32"/>
      <c r="K1146" s="45" t="s">
        <v>888</v>
      </c>
      <c r="L1146" s="129"/>
      <c r="M1146" s="33" t="str">
        <f t="shared" si="17"/>
        <v/>
      </c>
      <c r="N1146" s="34" t="str">
        <f>IFERROR(IF(Tabela1[[#This Row],[Nome fantasia]]="","",_xlfn.XLOOKUP($C1146,Log!D:D,Log!B:B,,,-1)),"")</f>
        <v/>
      </c>
      <c r="O1146" s="35" t="str">
        <f>IFERROR(_xlfn.XLOOKUP($C1146,Log!D:D,Log!W:W,,,-1),"")</f>
        <v/>
      </c>
      <c r="P1146" s="35" t="str">
        <f>IFERROR(_xlfn.XLOOKUP($C1146,Log!D:D,Log!Y:Y,,,-1),"")</f>
        <v/>
      </c>
      <c r="Q1146" s="130"/>
      <c r="R1146" s="131" t="str">
        <f>IFERROR(IF(Tabela1[[#This Row],[Nome fantasia]]="","",_xlfn.XLOOKUP($C1146,Log!D:D,Log!X:X,,,-1)),"")</f>
        <v/>
      </c>
    </row>
    <row r="1147" spans="3:18" hidden="1" x14ac:dyDescent="0.2">
      <c r="C1147" s="30" t="s">
        <v>2772</v>
      </c>
      <c r="D1147" s="110" t="s">
        <v>2773</v>
      </c>
      <c r="E1147" s="33" t="s">
        <v>22</v>
      </c>
      <c r="F1147" s="38"/>
      <c r="G1147" s="38"/>
      <c r="H1147" s="31"/>
      <c r="I1147" s="32"/>
      <c r="J1147" s="32"/>
      <c r="K1147" s="45" t="s">
        <v>888</v>
      </c>
      <c r="L1147" s="129"/>
      <c r="M1147" s="33" t="str">
        <f t="shared" si="17"/>
        <v/>
      </c>
      <c r="N1147" s="34" t="str">
        <f>IFERROR(IF(Tabela1[[#This Row],[Nome fantasia]]="","",_xlfn.XLOOKUP($C1147,Log!D:D,Log!B:B,,,-1)),"")</f>
        <v/>
      </c>
      <c r="O1147" s="35" t="str">
        <f>IFERROR(_xlfn.XLOOKUP($C1147,Log!D:D,Log!W:W,,,-1),"")</f>
        <v/>
      </c>
      <c r="P1147" s="35" t="str">
        <f>IFERROR(_xlfn.XLOOKUP($C1147,Log!D:D,Log!Y:Y,,,-1),"")</f>
        <v/>
      </c>
      <c r="Q1147" s="130"/>
      <c r="R1147" s="131" t="str">
        <f>IFERROR(IF(Tabela1[[#This Row],[Nome fantasia]]="","",_xlfn.XLOOKUP($C1147,Log!D:D,Log!X:X,,,-1)),"")</f>
        <v/>
      </c>
    </row>
    <row r="1148" spans="3:18" hidden="1" x14ac:dyDescent="0.2">
      <c r="C1148" s="30" t="s">
        <v>2774</v>
      </c>
      <c r="D1148" s="110" t="s">
        <v>957</v>
      </c>
      <c r="E1148" s="33" t="s">
        <v>46</v>
      </c>
      <c r="F1148" s="38"/>
      <c r="G1148" s="38"/>
      <c r="H1148" s="31"/>
      <c r="I1148" s="32"/>
      <c r="J1148" s="32"/>
      <c r="K1148" s="45" t="s">
        <v>888</v>
      </c>
      <c r="L1148" s="129"/>
      <c r="M1148" s="33" t="str">
        <f t="shared" si="17"/>
        <v/>
      </c>
      <c r="N1148" s="34" t="str">
        <f>IFERROR(IF(Tabela1[[#This Row],[Nome fantasia]]="","",_xlfn.XLOOKUP($C1148,Log!D:D,Log!B:B,,,-1)),"")</f>
        <v/>
      </c>
      <c r="O1148" s="35" t="str">
        <f>IFERROR(_xlfn.XLOOKUP($C1148,Log!D:D,Log!W:W,,,-1),"")</f>
        <v/>
      </c>
      <c r="P1148" s="35" t="str">
        <f>IFERROR(_xlfn.XLOOKUP($C1148,Log!D:D,Log!Y:Y,,,-1),"")</f>
        <v/>
      </c>
      <c r="Q1148" s="130"/>
      <c r="R1148" s="131" t="str">
        <f>IFERROR(IF(Tabela1[[#This Row],[Nome fantasia]]="","",_xlfn.XLOOKUP($C1148,Log!D:D,Log!X:X,,,-1)),"")</f>
        <v/>
      </c>
    </row>
    <row r="1149" spans="3:18" hidden="1" x14ac:dyDescent="0.2">
      <c r="C1149" s="30" t="s">
        <v>2775</v>
      </c>
      <c r="D1149" s="110" t="s">
        <v>2776</v>
      </c>
      <c r="E1149" s="33" t="s">
        <v>46</v>
      </c>
      <c r="F1149" s="38"/>
      <c r="G1149" s="38"/>
      <c r="H1149" s="31"/>
      <c r="I1149" s="32"/>
      <c r="J1149" s="32"/>
      <c r="K1149" s="45" t="s">
        <v>888</v>
      </c>
      <c r="L1149" s="129"/>
      <c r="M1149" s="33" t="str">
        <f t="shared" si="17"/>
        <v/>
      </c>
      <c r="N1149" s="34" t="str">
        <f>IFERROR(IF(Tabela1[[#This Row],[Nome fantasia]]="","",_xlfn.XLOOKUP($C1149,Log!D:D,Log!B:B,,,-1)),"")</f>
        <v/>
      </c>
      <c r="O1149" s="35" t="str">
        <f>IFERROR(_xlfn.XLOOKUP($C1149,Log!D:D,Log!W:W,,,-1),"")</f>
        <v/>
      </c>
      <c r="P1149" s="35" t="str">
        <f>IFERROR(_xlfn.XLOOKUP($C1149,Log!D:D,Log!Y:Y,,,-1),"")</f>
        <v/>
      </c>
      <c r="Q1149" s="130"/>
      <c r="R1149" s="131" t="str">
        <f>IFERROR(IF(Tabela1[[#This Row],[Nome fantasia]]="","",_xlfn.XLOOKUP($C1149,Log!D:D,Log!X:X,,,-1)),"")</f>
        <v/>
      </c>
    </row>
    <row r="1150" spans="3:18" hidden="1" x14ac:dyDescent="0.2">
      <c r="C1150" s="30" t="s">
        <v>2777</v>
      </c>
      <c r="D1150" s="110" t="s">
        <v>2778</v>
      </c>
      <c r="E1150" s="33" t="s">
        <v>22</v>
      </c>
      <c r="F1150" s="38"/>
      <c r="G1150" s="38"/>
      <c r="H1150" s="31"/>
      <c r="I1150" s="32"/>
      <c r="J1150" s="32"/>
      <c r="K1150" s="45" t="s">
        <v>888</v>
      </c>
      <c r="L1150" s="129"/>
      <c r="M1150" s="33" t="str">
        <f t="shared" si="17"/>
        <v/>
      </c>
      <c r="N1150" s="34" t="str">
        <f>IFERROR(IF(Tabela1[[#This Row],[Nome fantasia]]="","",_xlfn.XLOOKUP($C1150,Log!D:D,Log!B:B,,,-1)),"")</f>
        <v/>
      </c>
      <c r="O1150" s="35" t="str">
        <f>IFERROR(_xlfn.XLOOKUP($C1150,Log!D:D,Log!W:W,,,-1),"")</f>
        <v/>
      </c>
      <c r="P1150" s="35" t="str">
        <f>IFERROR(_xlfn.XLOOKUP($C1150,Log!D:D,Log!Y:Y,,,-1),"")</f>
        <v/>
      </c>
      <c r="Q1150" s="130"/>
      <c r="R1150" s="131" t="str">
        <f>IFERROR(IF(Tabela1[[#This Row],[Nome fantasia]]="","",_xlfn.XLOOKUP($C1150,Log!D:D,Log!X:X,,,-1)),"")</f>
        <v/>
      </c>
    </row>
    <row r="1151" spans="3:18" hidden="1" x14ac:dyDescent="0.2">
      <c r="C1151" s="30" t="s">
        <v>2779</v>
      </c>
      <c r="D1151" s="110" t="s">
        <v>2780</v>
      </c>
      <c r="E1151" s="33" t="s">
        <v>22</v>
      </c>
      <c r="F1151" s="38"/>
      <c r="G1151" s="38"/>
      <c r="H1151" s="31"/>
      <c r="I1151" s="32"/>
      <c r="J1151" s="32"/>
      <c r="K1151" s="45" t="s">
        <v>888</v>
      </c>
      <c r="L1151" s="129"/>
      <c r="M1151" s="33" t="str">
        <f t="shared" si="17"/>
        <v/>
      </c>
      <c r="N1151" s="34" t="str">
        <f>IFERROR(IF(Tabela1[[#This Row],[Nome fantasia]]="","",_xlfn.XLOOKUP($C1151,Log!D:D,Log!B:B,,,-1)),"")</f>
        <v/>
      </c>
      <c r="O1151" s="35" t="str">
        <f>IFERROR(_xlfn.XLOOKUP($C1151,Log!D:D,Log!W:W,,,-1),"")</f>
        <v/>
      </c>
      <c r="P1151" s="35" t="str">
        <f>IFERROR(_xlfn.XLOOKUP($C1151,Log!D:D,Log!Y:Y,,,-1),"")</f>
        <v/>
      </c>
      <c r="Q1151" s="130"/>
      <c r="R1151" s="131" t="str">
        <f>IFERROR(IF(Tabela1[[#This Row],[Nome fantasia]]="","",_xlfn.XLOOKUP($C1151,Log!D:D,Log!X:X,,,-1)),"")</f>
        <v/>
      </c>
    </row>
    <row r="1152" spans="3:18" hidden="1" x14ac:dyDescent="0.2">
      <c r="C1152" s="30" t="s">
        <v>2781</v>
      </c>
      <c r="D1152" s="110" t="s">
        <v>2782</v>
      </c>
      <c r="E1152" s="33" t="s">
        <v>17</v>
      </c>
      <c r="F1152" s="38"/>
      <c r="G1152" s="38"/>
      <c r="H1152" s="31"/>
      <c r="I1152" s="32"/>
      <c r="J1152" s="32"/>
      <c r="K1152" s="45" t="s">
        <v>888</v>
      </c>
      <c r="L1152" s="129"/>
      <c r="M1152" s="33" t="str">
        <f t="shared" si="17"/>
        <v/>
      </c>
      <c r="N1152" s="34" t="str">
        <f>IFERROR(IF(Tabela1[[#This Row],[Nome fantasia]]="","",_xlfn.XLOOKUP($C1152,Log!D:D,Log!B:B,,,-1)),"")</f>
        <v/>
      </c>
      <c r="O1152" s="35" t="str">
        <f>IFERROR(_xlfn.XLOOKUP($C1152,Log!D:D,Log!W:W,,,-1),"")</f>
        <v/>
      </c>
      <c r="P1152" s="35" t="str">
        <f>IFERROR(_xlfn.XLOOKUP($C1152,Log!D:D,Log!Y:Y,,,-1),"")</f>
        <v/>
      </c>
      <c r="Q1152" s="130"/>
      <c r="R1152" s="131" t="str">
        <f>IFERROR(IF(Tabela1[[#This Row],[Nome fantasia]]="","",_xlfn.XLOOKUP($C1152,Log!D:D,Log!X:X,,,-1)),"")</f>
        <v/>
      </c>
    </row>
    <row r="1153" spans="3:18" hidden="1" x14ac:dyDescent="0.2">
      <c r="C1153" s="30" t="s">
        <v>2781</v>
      </c>
      <c r="D1153" s="110" t="s">
        <v>2783</v>
      </c>
      <c r="E1153" s="33" t="s">
        <v>17</v>
      </c>
      <c r="F1153" s="38"/>
      <c r="G1153" s="38"/>
      <c r="H1153" s="31"/>
      <c r="I1153" s="32"/>
      <c r="J1153" s="32"/>
      <c r="K1153" s="45" t="s">
        <v>888</v>
      </c>
      <c r="L1153" s="129"/>
      <c r="M1153" s="33" t="str">
        <f t="shared" si="17"/>
        <v/>
      </c>
      <c r="N1153" s="34" t="str">
        <f>IFERROR(IF(Tabela1[[#This Row],[Nome fantasia]]="","",_xlfn.XLOOKUP($C1153,Log!D:D,Log!B:B,,,-1)),"")</f>
        <v/>
      </c>
      <c r="O1153" s="35" t="str">
        <f>IFERROR(_xlfn.XLOOKUP($C1153,Log!D:D,Log!W:W,,,-1),"")</f>
        <v/>
      </c>
      <c r="P1153" s="35" t="str">
        <f>IFERROR(_xlfn.XLOOKUP($C1153,Log!D:D,Log!Y:Y,,,-1),"")</f>
        <v/>
      </c>
      <c r="Q1153" s="130"/>
      <c r="R1153" s="131" t="str">
        <f>IFERROR(IF(Tabela1[[#This Row],[Nome fantasia]]="","",_xlfn.XLOOKUP($C1153,Log!D:D,Log!X:X,,,-1)),"")</f>
        <v/>
      </c>
    </row>
    <row r="1154" spans="3:18" hidden="1" x14ac:dyDescent="0.2">
      <c r="C1154" s="30" t="s">
        <v>2784</v>
      </c>
      <c r="D1154" s="110" t="s">
        <v>2785</v>
      </c>
      <c r="E1154" s="33" t="s">
        <v>46</v>
      </c>
      <c r="F1154" s="38"/>
      <c r="G1154" s="38"/>
      <c r="H1154" s="31"/>
      <c r="I1154" s="32"/>
      <c r="J1154" s="32"/>
      <c r="K1154" s="45" t="s">
        <v>888</v>
      </c>
      <c r="L1154" s="129"/>
      <c r="M1154" s="33" t="str">
        <f t="shared" si="17"/>
        <v/>
      </c>
      <c r="N1154" s="34" t="str">
        <f>IFERROR(IF(Tabela1[[#This Row],[Nome fantasia]]="","",_xlfn.XLOOKUP($C1154,Log!D:D,Log!B:B,,,-1)),"")</f>
        <v/>
      </c>
      <c r="O1154" s="35" t="str">
        <f>IFERROR(_xlfn.XLOOKUP($C1154,Log!D:D,Log!W:W,,,-1),"")</f>
        <v/>
      </c>
      <c r="P1154" s="35" t="str">
        <f>IFERROR(_xlfn.XLOOKUP($C1154,Log!D:D,Log!Y:Y,,,-1),"")</f>
        <v/>
      </c>
      <c r="Q1154" s="130"/>
      <c r="R1154" s="131" t="str">
        <f>IFERROR(IF(Tabela1[[#This Row],[Nome fantasia]]="","",_xlfn.XLOOKUP($C1154,Log!D:D,Log!X:X,,,-1)),"")</f>
        <v/>
      </c>
    </row>
    <row r="1155" spans="3:18" hidden="1" x14ac:dyDescent="0.2">
      <c r="C1155" s="30" t="s">
        <v>2786</v>
      </c>
      <c r="D1155" s="110" t="s">
        <v>2787</v>
      </c>
      <c r="E1155" s="33" t="s">
        <v>46</v>
      </c>
      <c r="F1155" s="38"/>
      <c r="G1155" s="38"/>
      <c r="H1155" s="31"/>
      <c r="I1155" s="32"/>
      <c r="J1155" s="32"/>
      <c r="K1155" s="45" t="s">
        <v>888</v>
      </c>
      <c r="L1155" s="129"/>
      <c r="M1155" s="33" t="str">
        <f t="shared" ref="M1155:M1218" si="18">IF(OR(J1155&lt;=0,J1155=""),"","Recompra")</f>
        <v/>
      </c>
      <c r="N1155" s="34" t="str">
        <f>IFERROR(IF(Tabela1[[#This Row],[Nome fantasia]]="","",_xlfn.XLOOKUP($C1155,Log!D:D,Log!B:B,,,-1)),"")</f>
        <v/>
      </c>
      <c r="O1155" s="35" t="str">
        <f>IFERROR(_xlfn.XLOOKUP($C1155,Log!D:D,Log!W:W,,,-1),"")</f>
        <v/>
      </c>
      <c r="P1155" s="35" t="str">
        <f>IFERROR(_xlfn.XLOOKUP($C1155,Log!D:D,Log!Y:Y,,,-1),"")</f>
        <v/>
      </c>
      <c r="Q1155" s="130"/>
      <c r="R1155" s="131" t="str">
        <f>IFERROR(IF(Tabela1[[#This Row],[Nome fantasia]]="","",_xlfn.XLOOKUP($C1155,Log!D:D,Log!X:X,,,-1)),"")</f>
        <v/>
      </c>
    </row>
    <row r="1156" spans="3:18" hidden="1" x14ac:dyDescent="0.2">
      <c r="C1156" s="30" t="s">
        <v>2788</v>
      </c>
      <c r="D1156" s="110" t="s">
        <v>2789</v>
      </c>
      <c r="E1156" s="33" t="s">
        <v>22</v>
      </c>
      <c r="F1156" s="38"/>
      <c r="G1156" s="38"/>
      <c r="H1156" s="31"/>
      <c r="I1156" s="32"/>
      <c r="J1156" s="32"/>
      <c r="K1156" s="45" t="s">
        <v>888</v>
      </c>
      <c r="L1156" s="129"/>
      <c r="M1156" s="33" t="str">
        <f t="shared" si="18"/>
        <v/>
      </c>
      <c r="N1156" s="34" t="str">
        <f>IFERROR(IF(Tabela1[[#This Row],[Nome fantasia]]="","",_xlfn.XLOOKUP($C1156,Log!D:D,Log!B:B,,,-1)),"")</f>
        <v/>
      </c>
      <c r="O1156" s="35" t="str">
        <f>IFERROR(_xlfn.XLOOKUP($C1156,Log!D:D,Log!W:W,,,-1),"")</f>
        <v/>
      </c>
      <c r="P1156" s="35" t="str">
        <f>IFERROR(_xlfn.XLOOKUP($C1156,Log!D:D,Log!Y:Y,,,-1),"")</f>
        <v/>
      </c>
      <c r="Q1156" s="130"/>
      <c r="R1156" s="131" t="str">
        <f>IFERROR(IF(Tabela1[[#This Row],[Nome fantasia]]="","",_xlfn.XLOOKUP($C1156,Log!D:D,Log!X:X,,,-1)),"")</f>
        <v/>
      </c>
    </row>
    <row r="1157" spans="3:18" hidden="1" x14ac:dyDescent="0.2">
      <c r="C1157" s="30" t="s">
        <v>2790</v>
      </c>
      <c r="D1157" s="110" t="s">
        <v>2791</v>
      </c>
      <c r="E1157" s="33" t="s">
        <v>22</v>
      </c>
      <c r="F1157" s="38"/>
      <c r="G1157" s="38"/>
      <c r="H1157" s="31"/>
      <c r="I1157" s="32"/>
      <c r="J1157" s="32"/>
      <c r="K1157" s="45" t="s">
        <v>888</v>
      </c>
      <c r="L1157" s="129"/>
      <c r="M1157" s="33" t="str">
        <f t="shared" si="18"/>
        <v/>
      </c>
      <c r="N1157" s="34" t="str">
        <f>IFERROR(IF(Tabela1[[#This Row],[Nome fantasia]]="","",_xlfn.XLOOKUP($C1157,Log!D:D,Log!B:B,,,-1)),"")</f>
        <v/>
      </c>
      <c r="O1157" s="35" t="str">
        <f>IFERROR(_xlfn.XLOOKUP($C1157,Log!D:D,Log!W:W,,,-1),"")</f>
        <v/>
      </c>
      <c r="P1157" s="35" t="str">
        <f>IFERROR(_xlfn.XLOOKUP($C1157,Log!D:D,Log!Y:Y,,,-1),"")</f>
        <v/>
      </c>
      <c r="Q1157" s="130"/>
      <c r="R1157" s="131" t="str">
        <f>IFERROR(IF(Tabela1[[#This Row],[Nome fantasia]]="","",_xlfn.XLOOKUP($C1157,Log!D:D,Log!X:X,,,-1)),"")</f>
        <v/>
      </c>
    </row>
    <row r="1158" spans="3:18" hidden="1" x14ac:dyDescent="0.2">
      <c r="C1158" s="30" t="s">
        <v>1853</v>
      </c>
      <c r="D1158" s="110" t="s">
        <v>2792</v>
      </c>
      <c r="E1158" s="33" t="s">
        <v>46</v>
      </c>
      <c r="F1158" s="38"/>
      <c r="G1158" s="38"/>
      <c r="H1158" s="31"/>
      <c r="I1158" s="32"/>
      <c r="J1158" s="32"/>
      <c r="K1158" s="45" t="s">
        <v>888</v>
      </c>
      <c r="L1158" s="129"/>
      <c r="M1158" s="33" t="str">
        <f t="shared" si="18"/>
        <v/>
      </c>
      <c r="N1158" s="34" t="str">
        <f>IFERROR(IF(Tabela1[[#This Row],[Nome fantasia]]="","",_xlfn.XLOOKUP($C1158,Log!D:D,Log!B:B,,,-1)),"")</f>
        <v/>
      </c>
      <c r="O1158" s="35" t="str">
        <f>IFERROR(_xlfn.XLOOKUP($C1158,Log!D:D,Log!W:W,,,-1),"")</f>
        <v/>
      </c>
      <c r="P1158" s="35" t="str">
        <f>IFERROR(_xlfn.XLOOKUP($C1158,Log!D:D,Log!Y:Y,,,-1),"")</f>
        <v/>
      </c>
      <c r="Q1158" s="130"/>
      <c r="R1158" s="131" t="str">
        <f>IFERROR(IF(Tabela1[[#This Row],[Nome fantasia]]="","",_xlfn.XLOOKUP($C1158,Log!D:D,Log!X:X,,,-1)),"")</f>
        <v/>
      </c>
    </row>
    <row r="1159" spans="3:18" hidden="1" x14ac:dyDescent="0.2">
      <c r="C1159" s="30" t="s">
        <v>2793</v>
      </c>
      <c r="D1159" s="110" t="s">
        <v>2794</v>
      </c>
      <c r="E1159" s="33" t="s">
        <v>22</v>
      </c>
      <c r="F1159" s="38"/>
      <c r="G1159" s="38"/>
      <c r="H1159" s="31"/>
      <c r="I1159" s="32"/>
      <c r="J1159" s="32"/>
      <c r="K1159" s="45" t="s">
        <v>888</v>
      </c>
      <c r="L1159" s="129"/>
      <c r="M1159" s="33" t="str">
        <f t="shared" si="18"/>
        <v/>
      </c>
      <c r="N1159" s="34" t="str">
        <f>IFERROR(IF(Tabela1[[#This Row],[Nome fantasia]]="","",_xlfn.XLOOKUP($C1159,Log!D:D,Log!B:B,,,-1)),"")</f>
        <v/>
      </c>
      <c r="O1159" s="35" t="str">
        <f>IFERROR(_xlfn.XLOOKUP($C1159,Log!D:D,Log!W:W,,,-1),"")</f>
        <v/>
      </c>
      <c r="P1159" s="35" t="str">
        <f>IFERROR(_xlfn.XLOOKUP($C1159,Log!D:D,Log!Y:Y,,,-1),"")</f>
        <v/>
      </c>
      <c r="Q1159" s="130"/>
      <c r="R1159" s="131" t="str">
        <f>IFERROR(IF(Tabela1[[#This Row],[Nome fantasia]]="","",_xlfn.XLOOKUP($C1159,Log!D:D,Log!X:X,,,-1)),"")</f>
        <v/>
      </c>
    </row>
    <row r="1160" spans="3:18" hidden="1" x14ac:dyDescent="0.2">
      <c r="C1160" s="30" t="s">
        <v>2795</v>
      </c>
      <c r="D1160" s="110" t="s">
        <v>2796</v>
      </c>
      <c r="E1160" s="33" t="s">
        <v>17</v>
      </c>
      <c r="F1160" s="38"/>
      <c r="G1160" s="38"/>
      <c r="H1160" s="31"/>
      <c r="I1160" s="32"/>
      <c r="J1160" s="32"/>
      <c r="K1160" s="45" t="s">
        <v>888</v>
      </c>
      <c r="L1160" s="129"/>
      <c r="M1160" s="33" t="str">
        <f t="shared" si="18"/>
        <v/>
      </c>
      <c r="N1160" s="34" t="str">
        <f>IFERROR(IF(Tabela1[[#This Row],[Nome fantasia]]="","",_xlfn.XLOOKUP($C1160,Log!D:D,Log!B:B,,,-1)),"")</f>
        <v/>
      </c>
      <c r="O1160" s="35" t="str">
        <f>IFERROR(_xlfn.XLOOKUP($C1160,Log!D:D,Log!W:W,,,-1),"")</f>
        <v/>
      </c>
      <c r="P1160" s="35" t="str">
        <f>IFERROR(_xlfn.XLOOKUP($C1160,Log!D:D,Log!Y:Y,,,-1),"")</f>
        <v/>
      </c>
      <c r="Q1160" s="130"/>
      <c r="R1160" s="131" t="str">
        <f>IFERROR(IF(Tabela1[[#This Row],[Nome fantasia]]="","",_xlfn.XLOOKUP($C1160,Log!D:D,Log!X:X,,,-1)),"")</f>
        <v/>
      </c>
    </row>
    <row r="1161" spans="3:18" hidden="1" x14ac:dyDescent="0.2">
      <c r="C1161" s="30" t="s">
        <v>2797</v>
      </c>
      <c r="D1161" s="110" t="s">
        <v>2798</v>
      </c>
      <c r="E1161" s="33" t="s">
        <v>22</v>
      </c>
      <c r="F1161" s="38"/>
      <c r="G1161" s="38"/>
      <c r="H1161" s="31"/>
      <c r="I1161" s="32"/>
      <c r="J1161" s="32"/>
      <c r="K1161" s="45" t="s">
        <v>888</v>
      </c>
      <c r="L1161" s="129"/>
      <c r="M1161" s="33" t="str">
        <f t="shared" si="18"/>
        <v/>
      </c>
      <c r="N1161" s="34" t="str">
        <f>IFERROR(IF(Tabela1[[#This Row],[Nome fantasia]]="","",_xlfn.XLOOKUP($C1161,Log!D:D,Log!B:B,,,-1)),"")</f>
        <v/>
      </c>
      <c r="O1161" s="35" t="str">
        <f>IFERROR(_xlfn.XLOOKUP($C1161,Log!D:D,Log!W:W,,,-1),"")</f>
        <v/>
      </c>
      <c r="P1161" s="35" t="str">
        <f>IFERROR(_xlfn.XLOOKUP($C1161,Log!D:D,Log!Y:Y,,,-1),"")</f>
        <v/>
      </c>
      <c r="Q1161" s="130"/>
      <c r="R1161" s="131" t="str">
        <f>IFERROR(IF(Tabela1[[#This Row],[Nome fantasia]]="","",_xlfn.XLOOKUP($C1161,Log!D:D,Log!X:X,,,-1)),"")</f>
        <v/>
      </c>
    </row>
    <row r="1162" spans="3:18" hidden="1" x14ac:dyDescent="0.2">
      <c r="C1162" s="30" t="s">
        <v>2799</v>
      </c>
      <c r="D1162" s="110" t="s">
        <v>2800</v>
      </c>
      <c r="E1162" s="33" t="s">
        <v>46</v>
      </c>
      <c r="F1162" s="38"/>
      <c r="G1162" s="38"/>
      <c r="H1162" s="31"/>
      <c r="I1162" s="32"/>
      <c r="J1162" s="32"/>
      <c r="K1162" s="45" t="s">
        <v>888</v>
      </c>
      <c r="L1162" s="129"/>
      <c r="M1162" s="33" t="str">
        <f t="shared" si="18"/>
        <v/>
      </c>
      <c r="N1162" s="34" t="str">
        <f>IFERROR(IF(Tabela1[[#This Row],[Nome fantasia]]="","",_xlfn.XLOOKUP($C1162,Log!D:D,Log!B:B,,,-1)),"")</f>
        <v/>
      </c>
      <c r="O1162" s="35" t="str">
        <f>IFERROR(_xlfn.XLOOKUP($C1162,Log!D:D,Log!W:W,,,-1),"")</f>
        <v/>
      </c>
      <c r="P1162" s="35" t="str">
        <f>IFERROR(_xlfn.XLOOKUP($C1162,Log!D:D,Log!Y:Y,,,-1),"")</f>
        <v/>
      </c>
      <c r="Q1162" s="130"/>
      <c r="R1162" s="131" t="str">
        <f>IFERROR(IF(Tabela1[[#This Row],[Nome fantasia]]="","",_xlfn.XLOOKUP($C1162,Log!D:D,Log!X:X,,,-1)),"")</f>
        <v/>
      </c>
    </row>
    <row r="1163" spans="3:18" hidden="1" x14ac:dyDescent="0.2">
      <c r="C1163" s="30" t="s">
        <v>2801</v>
      </c>
      <c r="D1163" s="110" t="s">
        <v>2802</v>
      </c>
      <c r="E1163" s="33" t="s">
        <v>22</v>
      </c>
      <c r="F1163" s="38"/>
      <c r="G1163" s="38"/>
      <c r="H1163" s="31"/>
      <c r="I1163" s="32"/>
      <c r="J1163" s="32"/>
      <c r="K1163" s="45" t="s">
        <v>888</v>
      </c>
      <c r="L1163" s="129"/>
      <c r="M1163" s="33" t="str">
        <f t="shared" si="18"/>
        <v/>
      </c>
      <c r="N1163" s="34" t="str">
        <f>IFERROR(IF(Tabela1[[#This Row],[Nome fantasia]]="","",_xlfn.XLOOKUP($C1163,Log!D:D,Log!B:B,,,-1)),"")</f>
        <v/>
      </c>
      <c r="O1163" s="35" t="str">
        <f>IFERROR(_xlfn.XLOOKUP($C1163,Log!D:D,Log!W:W,,,-1),"")</f>
        <v/>
      </c>
      <c r="P1163" s="35" t="str">
        <f>IFERROR(_xlfn.XLOOKUP($C1163,Log!D:D,Log!Y:Y,,,-1),"")</f>
        <v/>
      </c>
      <c r="Q1163" s="130"/>
      <c r="R1163" s="131" t="str">
        <f>IFERROR(IF(Tabela1[[#This Row],[Nome fantasia]]="","",_xlfn.XLOOKUP($C1163,Log!D:D,Log!X:X,,,-1)),"")</f>
        <v/>
      </c>
    </row>
    <row r="1164" spans="3:18" hidden="1" x14ac:dyDescent="0.2">
      <c r="C1164" s="30" t="s">
        <v>2803</v>
      </c>
      <c r="D1164" s="110" t="s">
        <v>2804</v>
      </c>
      <c r="E1164" s="33" t="s">
        <v>46</v>
      </c>
      <c r="F1164" s="38"/>
      <c r="G1164" s="38"/>
      <c r="H1164" s="31"/>
      <c r="I1164" s="32"/>
      <c r="J1164" s="32"/>
      <c r="K1164" s="45" t="s">
        <v>888</v>
      </c>
      <c r="L1164" s="129"/>
      <c r="M1164" s="33" t="str">
        <f t="shared" si="18"/>
        <v/>
      </c>
      <c r="N1164" s="34" t="str">
        <f>IFERROR(IF(Tabela1[[#This Row],[Nome fantasia]]="","",_xlfn.XLOOKUP($C1164,Log!D:D,Log!B:B,,,-1)),"")</f>
        <v/>
      </c>
      <c r="O1164" s="35" t="str">
        <f>IFERROR(_xlfn.XLOOKUP($C1164,Log!D:D,Log!W:W,,,-1),"")</f>
        <v/>
      </c>
      <c r="P1164" s="35" t="str">
        <f>IFERROR(_xlfn.XLOOKUP($C1164,Log!D:D,Log!Y:Y,,,-1),"")</f>
        <v/>
      </c>
      <c r="Q1164" s="130"/>
      <c r="R1164" s="131" t="str">
        <f>IFERROR(IF(Tabela1[[#This Row],[Nome fantasia]]="","",_xlfn.XLOOKUP($C1164,Log!D:D,Log!X:X,,,-1)),"")</f>
        <v/>
      </c>
    </row>
    <row r="1165" spans="3:18" hidden="1" x14ac:dyDescent="0.2">
      <c r="C1165" s="30" t="s">
        <v>2805</v>
      </c>
      <c r="D1165" s="110" t="s">
        <v>2806</v>
      </c>
      <c r="E1165" s="33" t="s">
        <v>46</v>
      </c>
      <c r="F1165" s="38"/>
      <c r="G1165" s="38"/>
      <c r="H1165" s="31"/>
      <c r="I1165" s="32"/>
      <c r="J1165" s="32"/>
      <c r="K1165" s="45" t="s">
        <v>888</v>
      </c>
      <c r="L1165" s="129"/>
      <c r="M1165" s="33" t="str">
        <f t="shared" si="18"/>
        <v/>
      </c>
      <c r="N1165" s="34" t="str">
        <f>IFERROR(IF(Tabela1[[#This Row],[Nome fantasia]]="","",_xlfn.XLOOKUP($C1165,Log!D:D,Log!B:B,,,-1)),"")</f>
        <v/>
      </c>
      <c r="O1165" s="35" t="str">
        <f>IFERROR(_xlfn.XLOOKUP($C1165,Log!D:D,Log!W:W,,,-1),"")</f>
        <v/>
      </c>
      <c r="P1165" s="35" t="str">
        <f>IFERROR(_xlfn.XLOOKUP($C1165,Log!D:D,Log!Y:Y,,,-1),"")</f>
        <v/>
      </c>
      <c r="Q1165" s="130"/>
      <c r="R1165" s="131" t="str">
        <f>IFERROR(IF(Tabela1[[#This Row],[Nome fantasia]]="","",_xlfn.XLOOKUP($C1165,Log!D:D,Log!X:X,,,-1)),"")</f>
        <v/>
      </c>
    </row>
    <row r="1166" spans="3:18" hidden="1" x14ac:dyDescent="0.2">
      <c r="C1166" s="30" t="s">
        <v>2807</v>
      </c>
      <c r="D1166" s="110" t="s">
        <v>2808</v>
      </c>
      <c r="E1166" s="33" t="s">
        <v>17</v>
      </c>
      <c r="F1166" s="38"/>
      <c r="G1166" s="38"/>
      <c r="H1166" s="31"/>
      <c r="I1166" s="32"/>
      <c r="J1166" s="32"/>
      <c r="K1166" s="45" t="s">
        <v>888</v>
      </c>
      <c r="L1166" s="129"/>
      <c r="M1166" s="33" t="str">
        <f t="shared" si="18"/>
        <v/>
      </c>
      <c r="N1166" s="34" t="str">
        <f>IFERROR(IF(Tabela1[[#This Row],[Nome fantasia]]="","",_xlfn.XLOOKUP($C1166,Log!D:D,Log!B:B,,,-1)),"")</f>
        <v/>
      </c>
      <c r="O1166" s="35" t="str">
        <f>IFERROR(_xlfn.XLOOKUP($C1166,Log!D:D,Log!W:W,,,-1),"")</f>
        <v/>
      </c>
      <c r="P1166" s="35" t="str">
        <f>IFERROR(_xlfn.XLOOKUP($C1166,Log!D:D,Log!Y:Y,,,-1),"")</f>
        <v/>
      </c>
      <c r="Q1166" s="130"/>
      <c r="R1166" s="131" t="str">
        <f>IFERROR(IF(Tabela1[[#This Row],[Nome fantasia]]="","",_xlfn.XLOOKUP($C1166,Log!D:D,Log!X:X,,,-1)),"")</f>
        <v/>
      </c>
    </row>
    <row r="1167" spans="3:18" hidden="1" x14ac:dyDescent="0.2">
      <c r="C1167" s="30" t="s">
        <v>2809</v>
      </c>
      <c r="D1167" s="110" t="s">
        <v>2810</v>
      </c>
      <c r="E1167" s="33" t="s">
        <v>46</v>
      </c>
      <c r="F1167" s="38"/>
      <c r="G1167" s="38"/>
      <c r="H1167" s="31"/>
      <c r="I1167" s="32"/>
      <c r="J1167" s="32"/>
      <c r="K1167" s="45" t="s">
        <v>888</v>
      </c>
      <c r="L1167" s="129"/>
      <c r="M1167" s="33" t="str">
        <f t="shared" si="18"/>
        <v/>
      </c>
      <c r="N1167" s="34" t="str">
        <f>IFERROR(IF(Tabela1[[#This Row],[Nome fantasia]]="","",_xlfn.XLOOKUP($C1167,Log!D:D,Log!B:B,,,-1)),"")</f>
        <v/>
      </c>
      <c r="O1167" s="35" t="str">
        <f>IFERROR(_xlfn.XLOOKUP($C1167,Log!D:D,Log!W:W,,,-1),"")</f>
        <v/>
      </c>
      <c r="P1167" s="35" t="str">
        <f>IFERROR(_xlfn.XLOOKUP($C1167,Log!D:D,Log!Y:Y,,,-1),"")</f>
        <v/>
      </c>
      <c r="Q1167" s="130"/>
      <c r="R1167" s="131" t="str">
        <f>IFERROR(IF(Tabela1[[#This Row],[Nome fantasia]]="","",_xlfn.XLOOKUP($C1167,Log!D:D,Log!X:X,,,-1)),"")</f>
        <v/>
      </c>
    </row>
    <row r="1168" spans="3:18" hidden="1" x14ac:dyDescent="0.2">
      <c r="C1168" s="30" t="s">
        <v>2811</v>
      </c>
      <c r="D1168" s="110" t="s">
        <v>2812</v>
      </c>
      <c r="E1168" s="33" t="s">
        <v>46</v>
      </c>
      <c r="F1168" s="38"/>
      <c r="G1168" s="38"/>
      <c r="H1168" s="31"/>
      <c r="I1168" s="32"/>
      <c r="J1168" s="32"/>
      <c r="K1168" s="45" t="s">
        <v>888</v>
      </c>
      <c r="L1168" s="129"/>
      <c r="M1168" s="33" t="str">
        <f t="shared" si="18"/>
        <v/>
      </c>
      <c r="N1168" s="34" t="str">
        <f>IFERROR(IF(Tabela1[[#This Row],[Nome fantasia]]="","",_xlfn.XLOOKUP($C1168,Log!D:D,Log!B:B,,,-1)),"")</f>
        <v/>
      </c>
      <c r="O1168" s="35" t="str">
        <f>IFERROR(_xlfn.XLOOKUP($C1168,Log!D:D,Log!W:W,,,-1),"")</f>
        <v/>
      </c>
      <c r="P1168" s="35" t="str">
        <f>IFERROR(_xlfn.XLOOKUP($C1168,Log!D:D,Log!Y:Y,,,-1),"")</f>
        <v/>
      </c>
      <c r="Q1168" s="130"/>
      <c r="R1168" s="131" t="str">
        <f>IFERROR(IF(Tabela1[[#This Row],[Nome fantasia]]="","",_xlfn.XLOOKUP($C1168,Log!D:D,Log!X:X,,,-1)),"")</f>
        <v/>
      </c>
    </row>
    <row r="1169" spans="3:18" hidden="1" x14ac:dyDescent="0.2">
      <c r="C1169" s="30" t="s">
        <v>2813</v>
      </c>
      <c r="D1169" s="110" t="s">
        <v>2814</v>
      </c>
      <c r="E1169" s="33" t="s">
        <v>22</v>
      </c>
      <c r="F1169" s="38"/>
      <c r="G1169" s="38"/>
      <c r="H1169" s="31"/>
      <c r="I1169" s="32"/>
      <c r="J1169" s="32"/>
      <c r="K1169" s="45" t="s">
        <v>888</v>
      </c>
      <c r="L1169" s="129"/>
      <c r="M1169" s="33" t="str">
        <f t="shared" si="18"/>
        <v/>
      </c>
      <c r="N1169" s="34" t="str">
        <f>IFERROR(IF(Tabela1[[#This Row],[Nome fantasia]]="","",_xlfn.XLOOKUP($C1169,Log!D:D,Log!B:B,,,-1)),"")</f>
        <v/>
      </c>
      <c r="O1169" s="35" t="str">
        <f>IFERROR(_xlfn.XLOOKUP($C1169,Log!D:D,Log!W:W,,,-1),"")</f>
        <v/>
      </c>
      <c r="P1169" s="35" t="str">
        <f>IFERROR(_xlfn.XLOOKUP($C1169,Log!D:D,Log!Y:Y,,,-1),"")</f>
        <v/>
      </c>
      <c r="Q1169" s="130"/>
      <c r="R1169" s="131" t="str">
        <f>IFERROR(IF(Tabela1[[#This Row],[Nome fantasia]]="","",_xlfn.XLOOKUP($C1169,Log!D:D,Log!X:X,,,-1)),"")</f>
        <v/>
      </c>
    </row>
    <row r="1170" spans="3:18" hidden="1" x14ac:dyDescent="0.2">
      <c r="C1170" s="30" t="s">
        <v>2815</v>
      </c>
      <c r="D1170" s="110" t="s">
        <v>2816</v>
      </c>
      <c r="E1170" s="33" t="s">
        <v>17</v>
      </c>
      <c r="F1170" s="38"/>
      <c r="G1170" s="38"/>
      <c r="H1170" s="31"/>
      <c r="I1170" s="32"/>
      <c r="J1170" s="32"/>
      <c r="K1170" s="45" t="s">
        <v>888</v>
      </c>
      <c r="L1170" s="129"/>
      <c r="M1170" s="33" t="str">
        <f t="shared" si="18"/>
        <v/>
      </c>
      <c r="N1170" s="34" t="str">
        <f>IFERROR(IF(Tabela1[[#This Row],[Nome fantasia]]="","",_xlfn.XLOOKUP($C1170,Log!D:D,Log!B:B,,,-1)),"")</f>
        <v/>
      </c>
      <c r="O1170" s="35" t="str">
        <f>IFERROR(_xlfn.XLOOKUP($C1170,Log!D:D,Log!W:W,,,-1),"")</f>
        <v/>
      </c>
      <c r="P1170" s="35" t="str">
        <f>IFERROR(_xlfn.XLOOKUP($C1170,Log!D:D,Log!Y:Y,,,-1),"")</f>
        <v/>
      </c>
      <c r="Q1170" s="130"/>
      <c r="R1170" s="131" t="str">
        <f>IFERROR(IF(Tabela1[[#This Row],[Nome fantasia]]="","",_xlfn.XLOOKUP($C1170,Log!D:D,Log!X:X,,,-1)),"")</f>
        <v/>
      </c>
    </row>
    <row r="1171" spans="3:18" hidden="1" x14ac:dyDescent="0.2">
      <c r="C1171" s="30" t="s">
        <v>2817</v>
      </c>
      <c r="D1171" s="110" t="s">
        <v>2818</v>
      </c>
      <c r="E1171" s="33" t="s">
        <v>46</v>
      </c>
      <c r="F1171" s="38"/>
      <c r="G1171" s="38"/>
      <c r="H1171" s="31"/>
      <c r="I1171" s="32"/>
      <c r="J1171" s="32"/>
      <c r="K1171" s="45" t="s">
        <v>888</v>
      </c>
      <c r="L1171" s="129"/>
      <c r="M1171" s="33" t="str">
        <f t="shared" si="18"/>
        <v/>
      </c>
      <c r="N1171" s="34">
        <f>IFERROR(IF(Tabela1[[#This Row],[Nome fantasia]]="","",_xlfn.XLOOKUP($C1171,Log!D:D,Log!B:B,,,-1)),"")</f>
        <v>45999</v>
      </c>
      <c r="O1171" s="35" t="str">
        <f>IFERROR(_xlfn.XLOOKUP($C1171,Log!D:D,Log!W:W,,,-1),"")</f>
        <v>EM ATENDIMENTO</v>
      </c>
      <c r="P1171" s="35" t="str">
        <f>IFERROR(_xlfn.XLOOKUP($C1171,Log!D:D,Log!Y:Y,,,-1),"")</f>
        <v>CLIENTE ATENDEU E PEDIU PARA ENVIAR O CATALOGO PARA ELA</v>
      </c>
      <c r="Q1171" s="130"/>
      <c r="R1171" s="131">
        <f>IFERROR(IF(Tabela1[[#This Row],[Nome fantasia]]="","",_xlfn.XLOOKUP($C1171,Log!D:D,Log!X:X,,,-1)),"")</f>
        <v>46001</v>
      </c>
    </row>
    <row r="1172" spans="3:18" hidden="1" x14ac:dyDescent="0.2">
      <c r="C1172" s="30" t="s">
        <v>2819</v>
      </c>
      <c r="D1172" s="110" t="s">
        <v>2820</v>
      </c>
      <c r="E1172" s="33" t="s">
        <v>22</v>
      </c>
      <c r="F1172" s="38"/>
      <c r="G1172" s="38"/>
      <c r="H1172" s="31"/>
      <c r="I1172" s="32"/>
      <c r="J1172" s="32"/>
      <c r="K1172" s="45" t="s">
        <v>888</v>
      </c>
      <c r="L1172" s="129"/>
      <c r="M1172" s="33" t="str">
        <f t="shared" si="18"/>
        <v/>
      </c>
      <c r="N1172" s="34" t="str">
        <f>IFERROR(IF(Tabela1[[#This Row],[Nome fantasia]]="","",_xlfn.XLOOKUP($C1172,Log!D:D,Log!B:B,,,-1)),"")</f>
        <v/>
      </c>
      <c r="O1172" s="35" t="str">
        <f>IFERROR(_xlfn.XLOOKUP($C1172,Log!D:D,Log!W:W,,,-1),"")</f>
        <v/>
      </c>
      <c r="P1172" s="35" t="str">
        <f>IFERROR(_xlfn.XLOOKUP($C1172,Log!D:D,Log!Y:Y,,,-1),"")</f>
        <v/>
      </c>
      <c r="Q1172" s="130"/>
      <c r="R1172" s="131" t="str">
        <f>IFERROR(IF(Tabela1[[#This Row],[Nome fantasia]]="","",_xlfn.XLOOKUP($C1172,Log!D:D,Log!X:X,,,-1)),"")</f>
        <v/>
      </c>
    </row>
    <row r="1173" spans="3:18" hidden="1" x14ac:dyDescent="0.2">
      <c r="C1173" s="30"/>
      <c r="D1173" s="110" t="s">
        <v>2821</v>
      </c>
      <c r="E1173" s="33" t="s">
        <v>46</v>
      </c>
      <c r="F1173" s="38"/>
      <c r="G1173" s="38"/>
      <c r="H1173" s="31"/>
      <c r="I1173" s="32"/>
      <c r="J1173" s="32"/>
      <c r="K1173" s="45" t="s">
        <v>888</v>
      </c>
      <c r="L1173" s="129"/>
      <c r="M1173" s="33" t="str">
        <f t="shared" si="18"/>
        <v/>
      </c>
      <c r="N1173" s="34" t="str">
        <f>IFERROR(IF(Tabela1[[#This Row],[Nome fantasia]]="","",_xlfn.XLOOKUP($C1173,Log!D:D,Log!B:B,,,-1)),"")</f>
        <v/>
      </c>
      <c r="O1173" s="35" t="str">
        <f>IFERROR(_xlfn.XLOOKUP($C1173,Log!D:D,Log!W:W,,,-1),"")</f>
        <v/>
      </c>
      <c r="P1173" s="35" t="str">
        <f>IFERROR(_xlfn.XLOOKUP($C1173,Log!D:D,Log!Y:Y,,,-1),"")</f>
        <v/>
      </c>
      <c r="Q1173" s="130"/>
      <c r="R1173" s="131" t="str">
        <f>IFERROR(IF(Tabela1[[#This Row],[Nome fantasia]]="","",_xlfn.XLOOKUP($C1173,Log!D:D,Log!X:X,,,-1)),"")</f>
        <v/>
      </c>
    </row>
    <row r="1174" spans="3:18" hidden="1" x14ac:dyDescent="0.2">
      <c r="C1174" s="30" t="s">
        <v>2822</v>
      </c>
      <c r="D1174" s="110" t="s">
        <v>2823</v>
      </c>
      <c r="E1174" s="33" t="s">
        <v>46</v>
      </c>
      <c r="F1174" s="38"/>
      <c r="G1174" s="38"/>
      <c r="H1174" s="31"/>
      <c r="I1174" s="32"/>
      <c r="J1174" s="32"/>
      <c r="K1174" s="45" t="s">
        <v>888</v>
      </c>
      <c r="L1174" s="129"/>
      <c r="M1174" s="33" t="str">
        <f t="shared" si="18"/>
        <v/>
      </c>
      <c r="N1174" s="34" t="str">
        <f>IFERROR(IF(Tabela1[[#This Row],[Nome fantasia]]="","",_xlfn.XLOOKUP($C1174,Log!D:D,Log!B:B,,,-1)),"")</f>
        <v/>
      </c>
      <c r="O1174" s="35" t="str">
        <f>IFERROR(_xlfn.XLOOKUP($C1174,Log!D:D,Log!W:W,,,-1),"")</f>
        <v/>
      </c>
      <c r="P1174" s="35" t="str">
        <f>IFERROR(_xlfn.XLOOKUP($C1174,Log!D:D,Log!Y:Y,,,-1),"")</f>
        <v/>
      </c>
      <c r="Q1174" s="130"/>
      <c r="R1174" s="131" t="str">
        <f>IFERROR(IF(Tabela1[[#This Row],[Nome fantasia]]="","",_xlfn.XLOOKUP($C1174,Log!D:D,Log!X:X,,,-1)),"")</f>
        <v/>
      </c>
    </row>
    <row r="1175" spans="3:18" hidden="1" x14ac:dyDescent="0.2">
      <c r="C1175" s="30" t="s">
        <v>2824</v>
      </c>
      <c r="D1175" s="110" t="s">
        <v>2825</v>
      </c>
      <c r="E1175" s="33" t="s">
        <v>22</v>
      </c>
      <c r="F1175" s="38"/>
      <c r="G1175" s="38"/>
      <c r="H1175" s="31"/>
      <c r="I1175" s="32"/>
      <c r="J1175" s="32"/>
      <c r="K1175" s="45" t="s">
        <v>888</v>
      </c>
      <c r="L1175" s="129"/>
      <c r="M1175" s="33" t="str">
        <f t="shared" si="18"/>
        <v/>
      </c>
      <c r="N1175" s="34" t="str">
        <f>IFERROR(IF(Tabela1[[#This Row],[Nome fantasia]]="","",_xlfn.XLOOKUP($C1175,Log!D:D,Log!B:B,,,-1)),"")</f>
        <v/>
      </c>
      <c r="O1175" s="35" t="str">
        <f>IFERROR(_xlfn.XLOOKUP($C1175,Log!D:D,Log!W:W,,,-1),"")</f>
        <v/>
      </c>
      <c r="P1175" s="35" t="str">
        <f>IFERROR(_xlfn.XLOOKUP($C1175,Log!D:D,Log!Y:Y,,,-1),"")</f>
        <v/>
      </c>
      <c r="Q1175" s="130"/>
      <c r="R1175" s="131" t="str">
        <f>IFERROR(IF(Tabela1[[#This Row],[Nome fantasia]]="","",_xlfn.XLOOKUP($C1175,Log!D:D,Log!X:X,,,-1)),"")</f>
        <v/>
      </c>
    </row>
    <row r="1176" spans="3:18" hidden="1" x14ac:dyDescent="0.2">
      <c r="C1176" s="30" t="s">
        <v>2826</v>
      </c>
      <c r="D1176" s="110" t="s">
        <v>2827</v>
      </c>
      <c r="E1176" s="33" t="s">
        <v>17</v>
      </c>
      <c r="F1176" s="38"/>
      <c r="G1176" s="38"/>
      <c r="H1176" s="31"/>
      <c r="I1176" s="32"/>
      <c r="J1176" s="32"/>
      <c r="K1176" s="45" t="s">
        <v>888</v>
      </c>
      <c r="L1176" s="129"/>
      <c r="M1176" s="33" t="str">
        <f t="shared" si="18"/>
        <v/>
      </c>
      <c r="N1176" s="34" t="str">
        <f>IFERROR(IF(Tabela1[[#This Row],[Nome fantasia]]="","",_xlfn.XLOOKUP($C1176,Log!D:D,Log!B:B,,,-1)),"")</f>
        <v/>
      </c>
      <c r="O1176" s="35" t="str">
        <f>IFERROR(_xlfn.XLOOKUP($C1176,Log!D:D,Log!W:W,,,-1),"")</f>
        <v/>
      </c>
      <c r="P1176" s="35" t="str">
        <f>IFERROR(_xlfn.XLOOKUP($C1176,Log!D:D,Log!Y:Y,,,-1),"")</f>
        <v/>
      </c>
      <c r="Q1176" s="130"/>
      <c r="R1176" s="131" t="str">
        <f>IFERROR(IF(Tabela1[[#This Row],[Nome fantasia]]="","",_xlfn.XLOOKUP($C1176,Log!D:D,Log!X:X,,,-1)),"")</f>
        <v/>
      </c>
    </row>
    <row r="1177" spans="3:18" hidden="1" x14ac:dyDescent="0.2">
      <c r="C1177" s="30" t="s">
        <v>2828</v>
      </c>
      <c r="D1177" s="110" t="s">
        <v>2829</v>
      </c>
      <c r="E1177" s="33" t="s">
        <v>17</v>
      </c>
      <c r="F1177" s="38"/>
      <c r="G1177" s="38"/>
      <c r="H1177" s="31"/>
      <c r="I1177" s="32"/>
      <c r="J1177" s="32"/>
      <c r="K1177" s="45" t="s">
        <v>888</v>
      </c>
      <c r="L1177" s="129"/>
      <c r="M1177" s="33" t="str">
        <f t="shared" si="18"/>
        <v/>
      </c>
      <c r="N1177" s="34" t="str">
        <f>IFERROR(IF(Tabela1[[#This Row],[Nome fantasia]]="","",_xlfn.XLOOKUP($C1177,Log!D:D,Log!B:B,,,-1)),"")</f>
        <v/>
      </c>
      <c r="O1177" s="35" t="str">
        <f>IFERROR(_xlfn.XLOOKUP($C1177,Log!D:D,Log!W:W,,,-1),"")</f>
        <v/>
      </c>
      <c r="P1177" s="35" t="str">
        <f>IFERROR(_xlfn.XLOOKUP($C1177,Log!D:D,Log!Y:Y,,,-1),"")</f>
        <v/>
      </c>
      <c r="Q1177" s="130"/>
      <c r="R1177" s="131" t="str">
        <f>IFERROR(IF(Tabela1[[#This Row],[Nome fantasia]]="","",_xlfn.XLOOKUP($C1177,Log!D:D,Log!X:X,,,-1)),"")</f>
        <v/>
      </c>
    </row>
    <row r="1178" spans="3:18" hidden="1" x14ac:dyDescent="0.2">
      <c r="C1178" s="30" t="s">
        <v>2830</v>
      </c>
      <c r="D1178" s="110" t="s">
        <v>2831</v>
      </c>
      <c r="E1178" s="33" t="s">
        <v>22</v>
      </c>
      <c r="F1178" s="38"/>
      <c r="G1178" s="38"/>
      <c r="H1178" s="31"/>
      <c r="I1178" s="32"/>
      <c r="J1178" s="32"/>
      <c r="K1178" s="45" t="s">
        <v>888</v>
      </c>
      <c r="L1178" s="129"/>
      <c r="M1178" s="33" t="str">
        <f t="shared" si="18"/>
        <v/>
      </c>
      <c r="N1178" s="34" t="str">
        <f>IFERROR(IF(Tabela1[[#This Row],[Nome fantasia]]="","",_xlfn.XLOOKUP($C1178,Log!D:D,Log!B:B,,,-1)),"")</f>
        <v/>
      </c>
      <c r="O1178" s="35" t="str">
        <f>IFERROR(_xlfn.XLOOKUP($C1178,Log!D:D,Log!W:W,,,-1),"")</f>
        <v/>
      </c>
      <c r="P1178" s="35" t="str">
        <f>IFERROR(_xlfn.XLOOKUP($C1178,Log!D:D,Log!Y:Y,,,-1),"")</f>
        <v/>
      </c>
      <c r="Q1178" s="130"/>
      <c r="R1178" s="131" t="str">
        <f>IFERROR(IF(Tabela1[[#This Row],[Nome fantasia]]="","",_xlfn.XLOOKUP($C1178,Log!D:D,Log!X:X,,,-1)),"")</f>
        <v/>
      </c>
    </row>
    <row r="1179" spans="3:18" hidden="1" x14ac:dyDescent="0.2">
      <c r="C1179" s="30" t="s">
        <v>2832</v>
      </c>
      <c r="D1179" s="110" t="s">
        <v>2833</v>
      </c>
      <c r="E1179" s="33" t="s">
        <v>46</v>
      </c>
      <c r="F1179" s="38"/>
      <c r="G1179" s="38"/>
      <c r="H1179" s="31"/>
      <c r="I1179" s="32"/>
      <c r="J1179" s="32"/>
      <c r="K1179" s="45" t="s">
        <v>888</v>
      </c>
      <c r="L1179" s="129"/>
      <c r="M1179" s="33" t="str">
        <f t="shared" si="18"/>
        <v/>
      </c>
      <c r="N1179" s="34" t="str">
        <f>IFERROR(IF(Tabela1[[#This Row],[Nome fantasia]]="","",_xlfn.XLOOKUP($C1179,Log!D:D,Log!B:B,,,-1)),"")</f>
        <v/>
      </c>
      <c r="O1179" s="35" t="str">
        <f>IFERROR(_xlfn.XLOOKUP($C1179,Log!D:D,Log!W:W,,,-1),"")</f>
        <v/>
      </c>
      <c r="P1179" s="35" t="str">
        <f>IFERROR(_xlfn.XLOOKUP($C1179,Log!D:D,Log!Y:Y,,,-1),"")</f>
        <v/>
      </c>
      <c r="Q1179" s="130"/>
      <c r="R1179" s="131" t="str">
        <f>IFERROR(IF(Tabela1[[#This Row],[Nome fantasia]]="","",_xlfn.XLOOKUP($C1179,Log!D:D,Log!X:X,,,-1)),"")</f>
        <v/>
      </c>
    </row>
    <row r="1180" spans="3:18" hidden="1" x14ac:dyDescent="0.2">
      <c r="C1180" s="30" t="s">
        <v>2834</v>
      </c>
      <c r="D1180" s="110" t="s">
        <v>1278</v>
      </c>
      <c r="E1180" s="33" t="s">
        <v>22</v>
      </c>
      <c r="F1180" s="38"/>
      <c r="G1180" s="38"/>
      <c r="H1180" s="31"/>
      <c r="I1180" s="32"/>
      <c r="J1180" s="32"/>
      <c r="K1180" s="45" t="s">
        <v>888</v>
      </c>
      <c r="L1180" s="129"/>
      <c r="M1180" s="33" t="str">
        <f t="shared" si="18"/>
        <v/>
      </c>
      <c r="N1180" s="34" t="str">
        <f>IFERROR(IF(Tabela1[[#This Row],[Nome fantasia]]="","",_xlfn.XLOOKUP($C1180,Log!D:D,Log!B:B,,,-1)),"")</f>
        <v/>
      </c>
      <c r="O1180" s="35" t="str">
        <f>IFERROR(_xlfn.XLOOKUP($C1180,Log!D:D,Log!W:W,,,-1),"")</f>
        <v/>
      </c>
      <c r="P1180" s="35" t="str">
        <f>IFERROR(_xlfn.XLOOKUP($C1180,Log!D:D,Log!Y:Y,,,-1),"")</f>
        <v/>
      </c>
      <c r="Q1180" s="130"/>
      <c r="R1180" s="131" t="str">
        <f>IFERROR(IF(Tabela1[[#This Row],[Nome fantasia]]="","",_xlfn.XLOOKUP($C1180,Log!D:D,Log!X:X,,,-1)),"")</f>
        <v/>
      </c>
    </row>
    <row r="1181" spans="3:18" hidden="1" x14ac:dyDescent="0.2">
      <c r="C1181" s="30" t="s">
        <v>2835</v>
      </c>
      <c r="D1181" s="110" t="s">
        <v>2836</v>
      </c>
      <c r="E1181" s="33" t="s">
        <v>46</v>
      </c>
      <c r="F1181" s="38"/>
      <c r="G1181" s="38"/>
      <c r="H1181" s="31"/>
      <c r="I1181" s="32"/>
      <c r="J1181" s="32"/>
      <c r="K1181" s="45" t="s">
        <v>888</v>
      </c>
      <c r="L1181" s="129"/>
      <c r="M1181" s="33" t="str">
        <f t="shared" si="18"/>
        <v/>
      </c>
      <c r="N1181" s="34" t="str">
        <f>IFERROR(IF(Tabela1[[#This Row],[Nome fantasia]]="","",_xlfn.XLOOKUP($C1181,Log!D:D,Log!B:B,,,-1)),"")</f>
        <v/>
      </c>
      <c r="O1181" s="35" t="str">
        <f>IFERROR(_xlfn.XLOOKUP($C1181,Log!D:D,Log!W:W,,,-1),"")</f>
        <v/>
      </c>
      <c r="P1181" s="35" t="str">
        <f>IFERROR(_xlfn.XLOOKUP($C1181,Log!D:D,Log!Y:Y,,,-1),"")</f>
        <v/>
      </c>
      <c r="Q1181" s="130"/>
      <c r="R1181" s="131" t="str">
        <f>IFERROR(IF(Tabela1[[#This Row],[Nome fantasia]]="","",_xlfn.XLOOKUP($C1181,Log!D:D,Log!X:X,,,-1)),"")</f>
        <v/>
      </c>
    </row>
    <row r="1182" spans="3:18" hidden="1" x14ac:dyDescent="0.2">
      <c r="C1182" s="30" t="s">
        <v>2837</v>
      </c>
      <c r="D1182" s="110" t="s">
        <v>2838</v>
      </c>
      <c r="E1182" s="33" t="s">
        <v>46</v>
      </c>
      <c r="F1182" s="38"/>
      <c r="G1182" s="38"/>
      <c r="H1182" s="31"/>
      <c r="I1182" s="32"/>
      <c r="J1182" s="32"/>
      <c r="K1182" s="45" t="s">
        <v>888</v>
      </c>
      <c r="L1182" s="129"/>
      <c r="M1182" s="33" t="str">
        <f t="shared" si="18"/>
        <v/>
      </c>
      <c r="N1182" s="34" t="str">
        <f>IFERROR(IF(Tabela1[[#This Row],[Nome fantasia]]="","",_xlfn.XLOOKUP($C1182,Log!D:D,Log!B:B,,,-1)),"")</f>
        <v/>
      </c>
      <c r="O1182" s="35" t="str">
        <f>IFERROR(_xlfn.XLOOKUP($C1182,Log!D:D,Log!W:W,,,-1),"")</f>
        <v/>
      </c>
      <c r="P1182" s="35" t="str">
        <f>IFERROR(_xlfn.XLOOKUP($C1182,Log!D:D,Log!Y:Y,,,-1),"")</f>
        <v/>
      </c>
      <c r="Q1182" s="130"/>
      <c r="R1182" s="131" t="str">
        <f>IFERROR(IF(Tabela1[[#This Row],[Nome fantasia]]="","",_xlfn.XLOOKUP($C1182,Log!D:D,Log!X:X,,,-1)),"")</f>
        <v/>
      </c>
    </row>
    <row r="1183" spans="3:18" hidden="1" x14ac:dyDescent="0.2">
      <c r="C1183" s="30" t="s">
        <v>2233</v>
      </c>
      <c r="D1183" s="110" t="s">
        <v>2839</v>
      </c>
      <c r="E1183" s="33" t="s">
        <v>46</v>
      </c>
      <c r="F1183" s="38"/>
      <c r="G1183" s="38"/>
      <c r="H1183" s="31"/>
      <c r="I1183" s="32"/>
      <c r="J1183" s="32"/>
      <c r="K1183" s="45" t="s">
        <v>888</v>
      </c>
      <c r="L1183" s="129"/>
      <c r="M1183" s="33" t="str">
        <f t="shared" si="18"/>
        <v/>
      </c>
      <c r="N1183" s="34" t="str">
        <f>IFERROR(IF(Tabela1[[#This Row],[Nome fantasia]]="","",_xlfn.XLOOKUP($C1183,Log!D:D,Log!B:B,,,-1)),"")</f>
        <v/>
      </c>
      <c r="O1183" s="35" t="str">
        <f>IFERROR(_xlfn.XLOOKUP($C1183,Log!D:D,Log!W:W,,,-1),"")</f>
        <v/>
      </c>
      <c r="P1183" s="35" t="str">
        <f>IFERROR(_xlfn.XLOOKUP($C1183,Log!D:D,Log!Y:Y,,,-1),"")</f>
        <v/>
      </c>
      <c r="Q1183" s="130"/>
      <c r="R1183" s="131" t="str">
        <f>IFERROR(IF(Tabela1[[#This Row],[Nome fantasia]]="","",_xlfn.XLOOKUP($C1183,Log!D:D,Log!X:X,,,-1)),"")</f>
        <v/>
      </c>
    </row>
    <row r="1184" spans="3:18" hidden="1" x14ac:dyDescent="0.2">
      <c r="C1184" s="30" t="s">
        <v>2840</v>
      </c>
      <c r="D1184" s="110" t="s">
        <v>2841</v>
      </c>
      <c r="E1184" s="33" t="s">
        <v>22</v>
      </c>
      <c r="F1184" s="38"/>
      <c r="G1184" s="38"/>
      <c r="H1184" s="31"/>
      <c r="I1184" s="32"/>
      <c r="J1184" s="32"/>
      <c r="K1184" s="45" t="s">
        <v>888</v>
      </c>
      <c r="L1184" s="129"/>
      <c r="M1184" s="33" t="str">
        <f t="shared" si="18"/>
        <v/>
      </c>
      <c r="N1184" s="34" t="str">
        <f>IFERROR(IF(Tabela1[[#This Row],[Nome fantasia]]="","",_xlfn.XLOOKUP($C1184,Log!D:D,Log!B:B,,,-1)),"")</f>
        <v/>
      </c>
      <c r="O1184" s="35" t="str">
        <f>IFERROR(_xlfn.XLOOKUP($C1184,Log!D:D,Log!W:W,,,-1),"")</f>
        <v/>
      </c>
      <c r="P1184" s="35" t="str">
        <f>IFERROR(_xlfn.XLOOKUP($C1184,Log!D:D,Log!Y:Y,,,-1),"")</f>
        <v/>
      </c>
      <c r="Q1184" s="130"/>
      <c r="R1184" s="131" t="str">
        <f>IFERROR(IF(Tabela1[[#This Row],[Nome fantasia]]="","",_xlfn.XLOOKUP($C1184,Log!D:D,Log!X:X,,,-1)),"")</f>
        <v/>
      </c>
    </row>
    <row r="1185" spans="3:18" hidden="1" x14ac:dyDescent="0.2">
      <c r="C1185" s="30" t="s">
        <v>2842</v>
      </c>
      <c r="D1185" s="110" t="s">
        <v>2843</v>
      </c>
      <c r="E1185" s="33" t="s">
        <v>46</v>
      </c>
      <c r="F1185" s="38"/>
      <c r="G1185" s="38"/>
      <c r="H1185" s="31"/>
      <c r="I1185" s="32"/>
      <c r="J1185" s="32"/>
      <c r="K1185" s="45" t="s">
        <v>888</v>
      </c>
      <c r="L1185" s="129"/>
      <c r="M1185" s="33" t="str">
        <f t="shared" si="18"/>
        <v/>
      </c>
      <c r="N1185" s="34" t="str">
        <f>IFERROR(IF(Tabela1[[#This Row],[Nome fantasia]]="","",_xlfn.XLOOKUP($C1185,Log!D:D,Log!B:B,,,-1)),"")</f>
        <v/>
      </c>
      <c r="O1185" s="35" t="str">
        <f>IFERROR(_xlfn.XLOOKUP($C1185,Log!D:D,Log!W:W,,,-1),"")</f>
        <v/>
      </c>
      <c r="P1185" s="35" t="str">
        <f>IFERROR(_xlfn.XLOOKUP($C1185,Log!D:D,Log!Y:Y,,,-1),"")</f>
        <v/>
      </c>
      <c r="Q1185" s="130"/>
      <c r="R1185" s="131" t="str">
        <f>IFERROR(IF(Tabela1[[#This Row],[Nome fantasia]]="","",_xlfn.XLOOKUP($C1185,Log!D:D,Log!X:X,,,-1)),"")</f>
        <v/>
      </c>
    </row>
    <row r="1186" spans="3:18" hidden="1" x14ac:dyDescent="0.2">
      <c r="C1186" s="30" t="s">
        <v>2844</v>
      </c>
      <c r="D1186" s="110" t="s">
        <v>2845</v>
      </c>
      <c r="E1186" s="33" t="s">
        <v>46</v>
      </c>
      <c r="F1186" s="38"/>
      <c r="G1186" s="38"/>
      <c r="H1186" s="31"/>
      <c r="I1186" s="32"/>
      <c r="J1186" s="32"/>
      <c r="K1186" s="45" t="s">
        <v>888</v>
      </c>
      <c r="L1186" s="129"/>
      <c r="M1186" s="33" t="str">
        <f t="shared" si="18"/>
        <v/>
      </c>
      <c r="N1186" s="34" t="str">
        <f>IFERROR(IF(Tabela1[[#This Row],[Nome fantasia]]="","",_xlfn.XLOOKUP($C1186,Log!D:D,Log!B:B,,,-1)),"")</f>
        <v/>
      </c>
      <c r="O1186" s="35" t="str">
        <f>IFERROR(_xlfn.XLOOKUP($C1186,Log!D:D,Log!W:W,,,-1),"")</f>
        <v/>
      </c>
      <c r="P1186" s="35" t="str">
        <f>IFERROR(_xlfn.XLOOKUP($C1186,Log!D:D,Log!Y:Y,,,-1),"")</f>
        <v/>
      </c>
      <c r="Q1186" s="130"/>
      <c r="R1186" s="131" t="str">
        <f>IFERROR(IF(Tabela1[[#This Row],[Nome fantasia]]="","",_xlfn.XLOOKUP($C1186,Log!D:D,Log!X:X,,,-1)),"")</f>
        <v/>
      </c>
    </row>
    <row r="1187" spans="3:18" hidden="1" x14ac:dyDescent="0.2">
      <c r="C1187" s="30" t="s">
        <v>2846</v>
      </c>
      <c r="D1187" s="110" t="s">
        <v>2847</v>
      </c>
      <c r="E1187" s="33" t="s">
        <v>46</v>
      </c>
      <c r="F1187" s="38"/>
      <c r="G1187" s="38"/>
      <c r="H1187" s="31"/>
      <c r="I1187" s="32"/>
      <c r="J1187" s="32"/>
      <c r="K1187" s="45" t="s">
        <v>888</v>
      </c>
      <c r="L1187" s="129"/>
      <c r="M1187" s="33" t="str">
        <f t="shared" si="18"/>
        <v/>
      </c>
      <c r="N1187" s="34" t="str">
        <f>IFERROR(IF(Tabela1[[#This Row],[Nome fantasia]]="","",_xlfn.XLOOKUP($C1187,Log!D:D,Log!B:B,,,-1)),"")</f>
        <v/>
      </c>
      <c r="O1187" s="35" t="str">
        <f>IFERROR(_xlfn.XLOOKUP($C1187,Log!D:D,Log!W:W,,,-1),"")</f>
        <v/>
      </c>
      <c r="P1187" s="35" t="str">
        <f>IFERROR(_xlfn.XLOOKUP($C1187,Log!D:D,Log!Y:Y,,,-1),"")</f>
        <v/>
      </c>
      <c r="Q1187" s="130"/>
      <c r="R1187" s="131" t="str">
        <f>IFERROR(IF(Tabela1[[#This Row],[Nome fantasia]]="","",_xlfn.XLOOKUP($C1187,Log!D:D,Log!X:X,,,-1)),"")</f>
        <v/>
      </c>
    </row>
    <row r="1188" spans="3:18" hidden="1" x14ac:dyDescent="0.2">
      <c r="C1188" s="30" t="s">
        <v>2848</v>
      </c>
      <c r="D1188" s="110" t="s">
        <v>2849</v>
      </c>
      <c r="E1188" s="33" t="s">
        <v>46</v>
      </c>
      <c r="F1188" s="38"/>
      <c r="G1188" s="38"/>
      <c r="H1188" s="31"/>
      <c r="I1188" s="32"/>
      <c r="J1188" s="32"/>
      <c r="K1188" s="45" t="s">
        <v>888</v>
      </c>
      <c r="L1188" s="129"/>
      <c r="M1188" s="33" t="str">
        <f t="shared" si="18"/>
        <v/>
      </c>
      <c r="N1188" s="34" t="str">
        <f>IFERROR(IF(Tabela1[[#This Row],[Nome fantasia]]="","",_xlfn.XLOOKUP($C1188,Log!D:D,Log!B:B,,,-1)),"")</f>
        <v/>
      </c>
      <c r="O1188" s="35" t="str">
        <f>IFERROR(_xlfn.XLOOKUP($C1188,Log!D:D,Log!W:W,,,-1),"")</f>
        <v/>
      </c>
      <c r="P1188" s="35" t="str">
        <f>IFERROR(_xlfn.XLOOKUP($C1188,Log!D:D,Log!Y:Y,,,-1),"")</f>
        <v/>
      </c>
      <c r="Q1188" s="130"/>
      <c r="R1188" s="131" t="str">
        <f>IFERROR(IF(Tabela1[[#This Row],[Nome fantasia]]="","",_xlfn.XLOOKUP($C1188,Log!D:D,Log!X:X,,,-1)),"")</f>
        <v/>
      </c>
    </row>
    <row r="1189" spans="3:18" hidden="1" x14ac:dyDescent="0.2">
      <c r="C1189" s="30" t="s">
        <v>2850</v>
      </c>
      <c r="D1189" s="110" t="s">
        <v>2851</v>
      </c>
      <c r="E1189" s="33" t="s">
        <v>22</v>
      </c>
      <c r="F1189" s="38"/>
      <c r="G1189" s="38"/>
      <c r="H1189" s="31"/>
      <c r="I1189" s="32"/>
      <c r="J1189" s="32"/>
      <c r="K1189" s="45" t="s">
        <v>888</v>
      </c>
      <c r="L1189" s="129"/>
      <c r="M1189" s="33" t="str">
        <f t="shared" si="18"/>
        <v/>
      </c>
      <c r="N1189" s="34" t="str">
        <f>IFERROR(IF(Tabela1[[#This Row],[Nome fantasia]]="","",_xlfn.XLOOKUP($C1189,Log!D:D,Log!B:B,,,-1)),"")</f>
        <v/>
      </c>
      <c r="O1189" s="35" t="str">
        <f>IFERROR(_xlfn.XLOOKUP($C1189,Log!D:D,Log!W:W,,,-1),"")</f>
        <v/>
      </c>
      <c r="P1189" s="35" t="str">
        <f>IFERROR(_xlfn.XLOOKUP($C1189,Log!D:D,Log!Y:Y,,,-1),"")</f>
        <v/>
      </c>
      <c r="Q1189" s="130"/>
      <c r="R1189" s="131" t="str">
        <f>IFERROR(IF(Tabela1[[#This Row],[Nome fantasia]]="","",_xlfn.XLOOKUP($C1189,Log!D:D,Log!X:X,,,-1)),"")</f>
        <v/>
      </c>
    </row>
    <row r="1190" spans="3:18" hidden="1" x14ac:dyDescent="0.2">
      <c r="C1190" s="30"/>
      <c r="D1190" s="110" t="s">
        <v>2852</v>
      </c>
      <c r="E1190" s="33" t="s">
        <v>22</v>
      </c>
      <c r="F1190" s="38"/>
      <c r="G1190" s="38"/>
      <c r="H1190" s="31"/>
      <c r="I1190" s="32"/>
      <c r="J1190" s="32"/>
      <c r="K1190" s="45" t="s">
        <v>888</v>
      </c>
      <c r="L1190" s="129"/>
      <c r="M1190" s="33" t="str">
        <f t="shared" si="18"/>
        <v/>
      </c>
      <c r="N1190" s="34" t="str">
        <f>IFERROR(IF(Tabela1[[#This Row],[Nome fantasia]]="","",_xlfn.XLOOKUP($C1190,Log!D:D,Log!B:B,,,-1)),"")</f>
        <v/>
      </c>
      <c r="O1190" s="35" t="str">
        <f>IFERROR(_xlfn.XLOOKUP($C1190,Log!D:D,Log!W:W,,,-1),"")</f>
        <v/>
      </c>
      <c r="P1190" s="35" t="str">
        <f>IFERROR(_xlfn.XLOOKUP($C1190,Log!D:D,Log!Y:Y,,,-1),"")</f>
        <v/>
      </c>
      <c r="Q1190" s="130"/>
      <c r="R1190" s="131" t="str">
        <f>IFERROR(IF(Tabela1[[#This Row],[Nome fantasia]]="","",_xlfn.XLOOKUP($C1190,Log!D:D,Log!X:X,,,-1)),"")</f>
        <v/>
      </c>
    </row>
    <row r="1191" spans="3:18" hidden="1" x14ac:dyDescent="0.2">
      <c r="C1191" s="30" t="s">
        <v>2853</v>
      </c>
      <c r="D1191" s="110" t="s">
        <v>2854</v>
      </c>
      <c r="E1191" s="33" t="s">
        <v>22</v>
      </c>
      <c r="F1191" s="38"/>
      <c r="G1191" s="38"/>
      <c r="H1191" s="31"/>
      <c r="I1191" s="32"/>
      <c r="J1191" s="32"/>
      <c r="K1191" s="45" t="s">
        <v>888</v>
      </c>
      <c r="L1191" s="129"/>
      <c r="M1191" s="33" t="str">
        <f t="shared" si="18"/>
        <v/>
      </c>
      <c r="N1191" s="34" t="str">
        <f>IFERROR(IF(Tabela1[[#This Row],[Nome fantasia]]="","",_xlfn.XLOOKUP($C1191,Log!D:D,Log!B:B,,,-1)),"")</f>
        <v/>
      </c>
      <c r="O1191" s="35" t="str">
        <f>IFERROR(_xlfn.XLOOKUP($C1191,Log!D:D,Log!W:W,,,-1),"")</f>
        <v/>
      </c>
      <c r="P1191" s="35" t="str">
        <f>IFERROR(_xlfn.XLOOKUP($C1191,Log!D:D,Log!Y:Y,,,-1),"")</f>
        <v/>
      </c>
      <c r="Q1191" s="130"/>
      <c r="R1191" s="131" t="str">
        <f>IFERROR(IF(Tabela1[[#This Row],[Nome fantasia]]="","",_xlfn.XLOOKUP($C1191,Log!D:D,Log!X:X,,,-1)),"")</f>
        <v/>
      </c>
    </row>
    <row r="1192" spans="3:18" hidden="1" x14ac:dyDescent="0.2">
      <c r="C1192" s="30" t="s">
        <v>2855</v>
      </c>
      <c r="D1192" s="110" t="s">
        <v>2856</v>
      </c>
      <c r="E1192" s="33" t="s">
        <v>46</v>
      </c>
      <c r="F1192" s="38"/>
      <c r="G1192" s="38"/>
      <c r="H1192" s="31"/>
      <c r="I1192" s="32"/>
      <c r="J1192" s="32"/>
      <c r="K1192" s="45" t="s">
        <v>888</v>
      </c>
      <c r="L1192" s="129"/>
      <c r="M1192" s="33" t="str">
        <f t="shared" si="18"/>
        <v/>
      </c>
      <c r="N1192" s="34" t="str">
        <f>IFERROR(IF(Tabela1[[#This Row],[Nome fantasia]]="","",_xlfn.XLOOKUP($C1192,Log!D:D,Log!B:B,,,-1)),"")</f>
        <v/>
      </c>
      <c r="O1192" s="35" t="str">
        <f>IFERROR(_xlfn.XLOOKUP($C1192,Log!D:D,Log!W:W,,,-1),"")</f>
        <v/>
      </c>
      <c r="P1192" s="35" t="str">
        <f>IFERROR(_xlfn.XLOOKUP($C1192,Log!D:D,Log!Y:Y,,,-1),"")</f>
        <v/>
      </c>
      <c r="Q1192" s="130"/>
      <c r="R1192" s="131" t="str">
        <f>IFERROR(IF(Tabela1[[#This Row],[Nome fantasia]]="","",_xlfn.XLOOKUP($C1192,Log!D:D,Log!X:X,,,-1)),"")</f>
        <v/>
      </c>
    </row>
    <row r="1193" spans="3:18" hidden="1" x14ac:dyDescent="0.2">
      <c r="C1193" s="30" t="s">
        <v>2857</v>
      </c>
      <c r="D1193" s="110" t="s">
        <v>2858</v>
      </c>
      <c r="E1193" s="33" t="s">
        <v>17</v>
      </c>
      <c r="F1193" s="38"/>
      <c r="G1193" s="38"/>
      <c r="H1193" s="31"/>
      <c r="I1193" s="32"/>
      <c r="J1193" s="32"/>
      <c r="K1193" s="45" t="s">
        <v>888</v>
      </c>
      <c r="L1193" s="129"/>
      <c r="M1193" s="33" t="str">
        <f t="shared" si="18"/>
        <v/>
      </c>
      <c r="N1193" s="34" t="str">
        <f>IFERROR(IF(Tabela1[[#This Row],[Nome fantasia]]="","",_xlfn.XLOOKUP($C1193,Log!D:D,Log!B:B,,,-1)),"")</f>
        <v/>
      </c>
      <c r="O1193" s="35" t="str">
        <f>IFERROR(_xlfn.XLOOKUP($C1193,Log!D:D,Log!W:W,,,-1),"")</f>
        <v/>
      </c>
      <c r="P1193" s="35" t="str">
        <f>IFERROR(_xlfn.XLOOKUP($C1193,Log!D:D,Log!Y:Y,,,-1),"")</f>
        <v/>
      </c>
      <c r="Q1193" s="130"/>
      <c r="R1193" s="131" t="str">
        <f>IFERROR(IF(Tabela1[[#This Row],[Nome fantasia]]="","",_xlfn.XLOOKUP($C1193,Log!D:D,Log!X:X,,,-1)),"")</f>
        <v/>
      </c>
    </row>
    <row r="1194" spans="3:18" hidden="1" x14ac:dyDescent="0.2">
      <c r="C1194" s="30" t="s">
        <v>2859</v>
      </c>
      <c r="D1194" s="110" t="s">
        <v>2860</v>
      </c>
      <c r="E1194" s="33" t="s">
        <v>46</v>
      </c>
      <c r="F1194" s="38"/>
      <c r="G1194" s="38"/>
      <c r="H1194" s="31"/>
      <c r="I1194" s="32"/>
      <c r="J1194" s="32"/>
      <c r="K1194" s="45" t="s">
        <v>888</v>
      </c>
      <c r="L1194" s="129"/>
      <c r="M1194" s="33" t="str">
        <f t="shared" si="18"/>
        <v/>
      </c>
      <c r="N1194" s="34" t="str">
        <f>IFERROR(IF(Tabela1[[#This Row],[Nome fantasia]]="","",_xlfn.XLOOKUP($C1194,Log!D:D,Log!B:B,,,-1)),"")</f>
        <v/>
      </c>
      <c r="O1194" s="35" t="str">
        <f>IFERROR(_xlfn.XLOOKUP($C1194,Log!D:D,Log!W:W,,,-1),"")</f>
        <v/>
      </c>
      <c r="P1194" s="35" t="str">
        <f>IFERROR(_xlfn.XLOOKUP($C1194,Log!D:D,Log!Y:Y,,,-1),"")</f>
        <v/>
      </c>
      <c r="Q1194" s="130"/>
      <c r="R1194" s="131" t="str">
        <f>IFERROR(IF(Tabela1[[#This Row],[Nome fantasia]]="","",_xlfn.XLOOKUP($C1194,Log!D:D,Log!X:X,,,-1)),"")</f>
        <v/>
      </c>
    </row>
    <row r="1195" spans="3:18" hidden="1" x14ac:dyDescent="0.2">
      <c r="C1195" s="30" t="s">
        <v>2859</v>
      </c>
      <c r="D1195" s="110" t="s">
        <v>2861</v>
      </c>
      <c r="E1195" s="33" t="s">
        <v>46</v>
      </c>
      <c r="F1195" s="38"/>
      <c r="G1195" s="38"/>
      <c r="H1195" s="31"/>
      <c r="I1195" s="32"/>
      <c r="J1195" s="32"/>
      <c r="K1195" s="45" t="s">
        <v>888</v>
      </c>
      <c r="L1195" s="129"/>
      <c r="M1195" s="33" t="str">
        <f t="shared" si="18"/>
        <v/>
      </c>
      <c r="N1195" s="34" t="str">
        <f>IFERROR(IF(Tabela1[[#This Row],[Nome fantasia]]="","",_xlfn.XLOOKUP($C1195,Log!D:D,Log!B:B,,,-1)),"")</f>
        <v/>
      </c>
      <c r="O1195" s="35" t="str">
        <f>IFERROR(_xlfn.XLOOKUP($C1195,Log!D:D,Log!W:W,,,-1),"")</f>
        <v/>
      </c>
      <c r="P1195" s="35" t="str">
        <f>IFERROR(_xlfn.XLOOKUP($C1195,Log!D:D,Log!Y:Y,,,-1),"")</f>
        <v/>
      </c>
      <c r="Q1195" s="130"/>
      <c r="R1195" s="131" t="str">
        <f>IFERROR(IF(Tabela1[[#This Row],[Nome fantasia]]="","",_xlfn.XLOOKUP($C1195,Log!D:D,Log!X:X,,,-1)),"")</f>
        <v/>
      </c>
    </row>
    <row r="1196" spans="3:18" hidden="1" x14ac:dyDescent="0.2">
      <c r="C1196" s="30" t="s">
        <v>2862</v>
      </c>
      <c r="D1196" s="110" t="s">
        <v>1282</v>
      </c>
      <c r="E1196" s="33" t="s">
        <v>22</v>
      </c>
      <c r="F1196" s="38"/>
      <c r="G1196" s="38"/>
      <c r="H1196" s="31"/>
      <c r="I1196" s="32"/>
      <c r="J1196" s="32"/>
      <c r="K1196" s="45" t="s">
        <v>888</v>
      </c>
      <c r="L1196" s="129"/>
      <c r="M1196" s="33" t="str">
        <f t="shared" si="18"/>
        <v/>
      </c>
      <c r="N1196" s="34" t="str">
        <f>IFERROR(IF(Tabela1[[#This Row],[Nome fantasia]]="","",_xlfn.XLOOKUP($C1196,Log!D:D,Log!B:B,,,-1)),"")</f>
        <v/>
      </c>
      <c r="O1196" s="35" t="str">
        <f>IFERROR(_xlfn.XLOOKUP($C1196,Log!D:D,Log!W:W,,,-1),"")</f>
        <v/>
      </c>
      <c r="P1196" s="35" t="str">
        <f>IFERROR(_xlfn.XLOOKUP($C1196,Log!D:D,Log!Y:Y,,,-1),"")</f>
        <v/>
      </c>
      <c r="Q1196" s="130"/>
      <c r="R1196" s="131" t="str">
        <f>IFERROR(IF(Tabela1[[#This Row],[Nome fantasia]]="","",_xlfn.XLOOKUP($C1196,Log!D:D,Log!X:X,,,-1)),"")</f>
        <v/>
      </c>
    </row>
    <row r="1197" spans="3:18" hidden="1" x14ac:dyDescent="0.2">
      <c r="C1197" s="30" t="s">
        <v>2863</v>
      </c>
      <c r="D1197" s="110" t="s">
        <v>2864</v>
      </c>
      <c r="E1197" s="33" t="s">
        <v>46</v>
      </c>
      <c r="F1197" s="38"/>
      <c r="G1197" s="38"/>
      <c r="H1197" s="31"/>
      <c r="I1197" s="32"/>
      <c r="J1197" s="32"/>
      <c r="K1197" s="45" t="s">
        <v>888</v>
      </c>
      <c r="L1197" s="129"/>
      <c r="M1197" s="33" t="str">
        <f t="shared" si="18"/>
        <v/>
      </c>
      <c r="N1197" s="34" t="str">
        <f>IFERROR(IF(Tabela1[[#This Row],[Nome fantasia]]="","",_xlfn.XLOOKUP($C1197,Log!D:D,Log!B:B,,,-1)),"")</f>
        <v/>
      </c>
      <c r="O1197" s="35" t="str">
        <f>IFERROR(_xlfn.XLOOKUP($C1197,Log!D:D,Log!W:W,,,-1),"")</f>
        <v/>
      </c>
      <c r="P1197" s="35" t="str">
        <f>IFERROR(_xlfn.XLOOKUP($C1197,Log!D:D,Log!Y:Y,,,-1),"")</f>
        <v/>
      </c>
      <c r="Q1197" s="130"/>
      <c r="R1197" s="131" t="str">
        <f>IFERROR(IF(Tabela1[[#This Row],[Nome fantasia]]="","",_xlfn.XLOOKUP($C1197,Log!D:D,Log!X:X,,,-1)),"")</f>
        <v/>
      </c>
    </row>
    <row r="1198" spans="3:18" hidden="1" x14ac:dyDescent="0.2">
      <c r="C1198" s="30" t="s">
        <v>2865</v>
      </c>
      <c r="D1198" s="110" t="s">
        <v>2866</v>
      </c>
      <c r="E1198" s="33" t="s">
        <v>17</v>
      </c>
      <c r="F1198" s="38"/>
      <c r="G1198" s="38"/>
      <c r="H1198" s="31"/>
      <c r="I1198" s="32"/>
      <c r="J1198" s="32"/>
      <c r="K1198" s="45" t="s">
        <v>888</v>
      </c>
      <c r="L1198" s="129"/>
      <c r="M1198" s="33" t="str">
        <f t="shared" si="18"/>
        <v/>
      </c>
      <c r="N1198" s="34" t="str">
        <f>IFERROR(IF(Tabela1[[#This Row],[Nome fantasia]]="","",_xlfn.XLOOKUP($C1198,Log!D:D,Log!B:B,,,-1)),"")</f>
        <v/>
      </c>
      <c r="O1198" s="35" t="str">
        <f>IFERROR(_xlfn.XLOOKUP($C1198,Log!D:D,Log!W:W,,,-1),"")</f>
        <v/>
      </c>
      <c r="P1198" s="35" t="str">
        <f>IFERROR(_xlfn.XLOOKUP($C1198,Log!D:D,Log!Y:Y,,,-1),"")</f>
        <v/>
      </c>
      <c r="Q1198" s="130"/>
      <c r="R1198" s="131" t="str">
        <f>IFERROR(IF(Tabela1[[#This Row],[Nome fantasia]]="","",_xlfn.XLOOKUP($C1198,Log!D:D,Log!X:X,,,-1)),"")</f>
        <v/>
      </c>
    </row>
    <row r="1199" spans="3:18" hidden="1" x14ac:dyDescent="0.2">
      <c r="C1199" s="30" t="s">
        <v>1736</v>
      </c>
      <c r="D1199" s="110" t="s">
        <v>2867</v>
      </c>
      <c r="E1199" s="33" t="s">
        <v>46</v>
      </c>
      <c r="F1199" s="38"/>
      <c r="G1199" s="38"/>
      <c r="H1199" s="31"/>
      <c r="I1199" s="32"/>
      <c r="J1199" s="32"/>
      <c r="K1199" s="45" t="s">
        <v>888</v>
      </c>
      <c r="L1199" s="129"/>
      <c r="M1199" s="33" t="str">
        <f t="shared" si="18"/>
        <v/>
      </c>
      <c r="N1199" s="34" t="str">
        <f>IFERROR(IF(Tabela1[[#This Row],[Nome fantasia]]="","",_xlfn.XLOOKUP($C1199,Log!D:D,Log!B:B,,,-1)),"")</f>
        <v/>
      </c>
      <c r="O1199" s="35" t="str">
        <f>IFERROR(_xlfn.XLOOKUP($C1199,Log!D:D,Log!W:W,,,-1),"")</f>
        <v/>
      </c>
      <c r="P1199" s="35" t="str">
        <f>IFERROR(_xlfn.XLOOKUP($C1199,Log!D:D,Log!Y:Y,,,-1),"")</f>
        <v/>
      </c>
      <c r="Q1199" s="130"/>
      <c r="R1199" s="131" t="str">
        <f>IFERROR(IF(Tabela1[[#This Row],[Nome fantasia]]="","",_xlfn.XLOOKUP($C1199,Log!D:D,Log!X:X,,,-1)),"")</f>
        <v/>
      </c>
    </row>
    <row r="1200" spans="3:18" hidden="1" x14ac:dyDescent="0.2">
      <c r="C1200" s="30" t="s">
        <v>2868</v>
      </c>
      <c r="D1200" s="110" t="s">
        <v>2869</v>
      </c>
      <c r="E1200" s="33" t="s">
        <v>46</v>
      </c>
      <c r="F1200" s="38"/>
      <c r="G1200" s="38"/>
      <c r="H1200" s="31"/>
      <c r="I1200" s="32"/>
      <c r="J1200" s="32"/>
      <c r="K1200" s="45" t="s">
        <v>888</v>
      </c>
      <c r="L1200" s="129"/>
      <c r="M1200" s="33" t="str">
        <f t="shared" si="18"/>
        <v/>
      </c>
      <c r="N1200" s="34">
        <f>IFERROR(IF(Tabela1[[#This Row],[Nome fantasia]]="","",_xlfn.XLOOKUP($C1200,Log!D:D,Log!B:B,,,-1)),"")</f>
        <v>45999</v>
      </c>
      <c r="O1200" s="35" t="str">
        <f>IFERROR(_xlfn.XLOOKUP($C1200,Log!D:D,Log!W:W,,,-1),"")</f>
        <v>EM ATENDIMENTO</v>
      </c>
      <c r="P1200" s="35" t="str">
        <f>IFERROR(_xlfn.XLOOKUP($C1200,Log!D:D,Log!Y:Y,,,-1),"")</f>
        <v>TENTEI EM TODOS OS NUMEROS POSSIVEIS, NENHUM COMPLETA A LIGAÇÃO</v>
      </c>
      <c r="Q1200" s="130"/>
      <c r="R1200" s="131">
        <f>IFERROR(IF(Tabela1[[#This Row],[Nome fantasia]]="","",_xlfn.XLOOKUP($C1200,Log!D:D,Log!X:X,,,-1)),"")</f>
        <v>46001</v>
      </c>
    </row>
    <row r="1201" spans="3:18" hidden="1" x14ac:dyDescent="0.2">
      <c r="C1201" s="30" t="s">
        <v>2870</v>
      </c>
      <c r="D1201" s="110" t="s">
        <v>2871</v>
      </c>
      <c r="E1201" s="33" t="s">
        <v>17</v>
      </c>
      <c r="F1201" s="38"/>
      <c r="G1201" s="38"/>
      <c r="H1201" s="31"/>
      <c r="I1201" s="32"/>
      <c r="J1201" s="32"/>
      <c r="K1201" s="45" t="s">
        <v>888</v>
      </c>
      <c r="L1201" s="129"/>
      <c r="M1201" s="33" t="str">
        <f t="shared" si="18"/>
        <v/>
      </c>
      <c r="N1201" s="34" t="str">
        <f>IFERROR(IF(Tabela1[[#This Row],[Nome fantasia]]="","",_xlfn.XLOOKUP($C1201,Log!D:D,Log!B:B,,,-1)),"")</f>
        <v/>
      </c>
      <c r="O1201" s="35" t="str">
        <f>IFERROR(_xlfn.XLOOKUP($C1201,Log!D:D,Log!W:W,,,-1),"")</f>
        <v/>
      </c>
      <c r="P1201" s="35" t="str">
        <f>IFERROR(_xlfn.XLOOKUP($C1201,Log!D:D,Log!Y:Y,,,-1),"")</f>
        <v/>
      </c>
      <c r="Q1201" s="130"/>
      <c r="R1201" s="131" t="str">
        <f>IFERROR(IF(Tabela1[[#This Row],[Nome fantasia]]="","",_xlfn.XLOOKUP($C1201,Log!D:D,Log!X:X,,,-1)),"")</f>
        <v/>
      </c>
    </row>
    <row r="1202" spans="3:18" hidden="1" x14ac:dyDescent="0.2">
      <c r="C1202" s="30" t="s">
        <v>2872</v>
      </c>
      <c r="D1202" s="110" t="s">
        <v>2873</v>
      </c>
      <c r="E1202" s="33" t="s">
        <v>46</v>
      </c>
      <c r="F1202" s="38"/>
      <c r="G1202" s="38"/>
      <c r="H1202" s="31"/>
      <c r="I1202" s="32"/>
      <c r="J1202" s="32"/>
      <c r="K1202" s="45" t="s">
        <v>888</v>
      </c>
      <c r="L1202" s="129"/>
      <c r="M1202" s="33" t="str">
        <f t="shared" si="18"/>
        <v/>
      </c>
      <c r="N1202" s="34" t="str">
        <f>IFERROR(IF(Tabela1[[#This Row],[Nome fantasia]]="","",_xlfn.XLOOKUP($C1202,Log!D:D,Log!B:B,,,-1)),"")</f>
        <v/>
      </c>
      <c r="O1202" s="35" t="str">
        <f>IFERROR(_xlfn.XLOOKUP($C1202,Log!D:D,Log!W:W,,,-1),"")</f>
        <v/>
      </c>
      <c r="P1202" s="35" t="str">
        <f>IFERROR(_xlfn.XLOOKUP($C1202,Log!D:D,Log!Y:Y,,,-1),"")</f>
        <v/>
      </c>
      <c r="Q1202" s="130"/>
      <c r="R1202" s="131" t="str">
        <f>IFERROR(IF(Tabela1[[#This Row],[Nome fantasia]]="","",_xlfn.XLOOKUP($C1202,Log!D:D,Log!X:X,,,-1)),"")</f>
        <v/>
      </c>
    </row>
    <row r="1203" spans="3:18" hidden="1" x14ac:dyDescent="0.2">
      <c r="C1203" s="30" t="s">
        <v>2874</v>
      </c>
      <c r="D1203" s="110" t="s">
        <v>2875</v>
      </c>
      <c r="E1203" s="33" t="s">
        <v>46</v>
      </c>
      <c r="F1203" s="38"/>
      <c r="G1203" s="38"/>
      <c r="H1203" s="31"/>
      <c r="I1203" s="32"/>
      <c r="J1203" s="32"/>
      <c r="K1203" s="45" t="s">
        <v>888</v>
      </c>
      <c r="L1203" s="129"/>
      <c r="M1203" s="33" t="str">
        <f t="shared" si="18"/>
        <v/>
      </c>
      <c r="N1203" s="34" t="str">
        <f>IFERROR(IF(Tabela1[[#This Row],[Nome fantasia]]="","",_xlfn.XLOOKUP($C1203,Log!D:D,Log!B:B,,,-1)),"")</f>
        <v/>
      </c>
      <c r="O1203" s="35" t="str">
        <f>IFERROR(_xlfn.XLOOKUP($C1203,Log!D:D,Log!W:W,,,-1),"")</f>
        <v/>
      </c>
      <c r="P1203" s="35" t="str">
        <f>IFERROR(_xlfn.XLOOKUP($C1203,Log!D:D,Log!Y:Y,,,-1),"")</f>
        <v/>
      </c>
      <c r="Q1203" s="130"/>
      <c r="R1203" s="131" t="str">
        <f>IFERROR(IF(Tabela1[[#This Row],[Nome fantasia]]="","",_xlfn.XLOOKUP($C1203,Log!D:D,Log!X:X,,,-1)),"")</f>
        <v/>
      </c>
    </row>
    <row r="1204" spans="3:18" hidden="1" x14ac:dyDescent="0.2">
      <c r="C1204" s="30" t="s">
        <v>2876</v>
      </c>
      <c r="D1204" s="110" t="s">
        <v>2877</v>
      </c>
      <c r="E1204" s="33" t="s">
        <v>46</v>
      </c>
      <c r="F1204" s="38"/>
      <c r="G1204" s="38"/>
      <c r="H1204" s="31"/>
      <c r="I1204" s="32"/>
      <c r="J1204" s="32"/>
      <c r="K1204" s="45" t="s">
        <v>888</v>
      </c>
      <c r="L1204" s="129"/>
      <c r="M1204" s="33" t="str">
        <f t="shared" si="18"/>
        <v/>
      </c>
      <c r="N1204" s="34" t="str">
        <f>IFERROR(IF(Tabela1[[#This Row],[Nome fantasia]]="","",_xlfn.XLOOKUP($C1204,Log!D:D,Log!B:B,,,-1)),"")</f>
        <v/>
      </c>
      <c r="O1204" s="35" t="str">
        <f>IFERROR(_xlfn.XLOOKUP($C1204,Log!D:D,Log!W:W,,,-1),"")</f>
        <v/>
      </c>
      <c r="P1204" s="35" t="str">
        <f>IFERROR(_xlfn.XLOOKUP($C1204,Log!D:D,Log!Y:Y,,,-1),"")</f>
        <v/>
      </c>
      <c r="Q1204" s="130"/>
      <c r="R1204" s="131" t="str">
        <f>IFERROR(IF(Tabela1[[#This Row],[Nome fantasia]]="","",_xlfn.XLOOKUP($C1204,Log!D:D,Log!X:X,,,-1)),"")</f>
        <v/>
      </c>
    </row>
    <row r="1205" spans="3:18" hidden="1" x14ac:dyDescent="0.2">
      <c r="C1205" s="30" t="s">
        <v>2878</v>
      </c>
      <c r="D1205" s="110" t="s">
        <v>2879</v>
      </c>
      <c r="E1205" s="33" t="s">
        <v>46</v>
      </c>
      <c r="F1205" s="38"/>
      <c r="G1205" s="38"/>
      <c r="H1205" s="31"/>
      <c r="I1205" s="32"/>
      <c r="J1205" s="32"/>
      <c r="K1205" s="45" t="s">
        <v>888</v>
      </c>
      <c r="L1205" s="129"/>
      <c r="M1205" s="33" t="str">
        <f t="shared" si="18"/>
        <v/>
      </c>
      <c r="N1205" s="34" t="str">
        <f>IFERROR(IF(Tabela1[[#This Row],[Nome fantasia]]="","",_xlfn.XLOOKUP($C1205,Log!D:D,Log!B:B,,,-1)),"")</f>
        <v/>
      </c>
      <c r="O1205" s="35" t="str">
        <f>IFERROR(_xlfn.XLOOKUP($C1205,Log!D:D,Log!W:W,,,-1),"")</f>
        <v/>
      </c>
      <c r="P1205" s="35" t="str">
        <f>IFERROR(_xlfn.XLOOKUP($C1205,Log!D:D,Log!Y:Y,,,-1),"")</f>
        <v/>
      </c>
      <c r="Q1205" s="130"/>
      <c r="R1205" s="131" t="str">
        <f>IFERROR(IF(Tabela1[[#This Row],[Nome fantasia]]="","",_xlfn.XLOOKUP($C1205,Log!D:D,Log!X:X,,,-1)),"")</f>
        <v/>
      </c>
    </row>
    <row r="1206" spans="3:18" hidden="1" x14ac:dyDescent="0.2">
      <c r="C1206" s="30" t="s">
        <v>2880</v>
      </c>
      <c r="D1206" s="110" t="s">
        <v>1246</v>
      </c>
      <c r="E1206" s="33" t="s">
        <v>22</v>
      </c>
      <c r="F1206" s="38"/>
      <c r="G1206" s="38"/>
      <c r="H1206" s="31"/>
      <c r="I1206" s="32"/>
      <c r="J1206" s="32"/>
      <c r="K1206" s="45" t="s">
        <v>888</v>
      </c>
      <c r="L1206" s="129"/>
      <c r="M1206" s="33" t="str">
        <f t="shared" si="18"/>
        <v/>
      </c>
      <c r="N1206" s="34" t="str">
        <f>IFERROR(IF(Tabela1[[#This Row],[Nome fantasia]]="","",_xlfn.XLOOKUP($C1206,Log!D:D,Log!B:B,,,-1)),"")</f>
        <v/>
      </c>
      <c r="O1206" s="35" t="str">
        <f>IFERROR(_xlfn.XLOOKUP($C1206,Log!D:D,Log!W:W,,,-1),"")</f>
        <v/>
      </c>
      <c r="P1206" s="35" t="str">
        <f>IFERROR(_xlfn.XLOOKUP($C1206,Log!D:D,Log!Y:Y,,,-1),"")</f>
        <v/>
      </c>
      <c r="Q1206" s="130"/>
      <c r="R1206" s="131" t="str">
        <f>IFERROR(IF(Tabela1[[#This Row],[Nome fantasia]]="","",_xlfn.XLOOKUP($C1206,Log!D:D,Log!X:X,,,-1)),"")</f>
        <v/>
      </c>
    </row>
    <row r="1207" spans="3:18" hidden="1" x14ac:dyDescent="0.2">
      <c r="C1207" s="30" t="s">
        <v>2881</v>
      </c>
      <c r="D1207" s="110" t="s">
        <v>2882</v>
      </c>
      <c r="E1207" s="33" t="s">
        <v>22</v>
      </c>
      <c r="F1207" s="38"/>
      <c r="G1207" s="38"/>
      <c r="H1207" s="31"/>
      <c r="I1207" s="32"/>
      <c r="J1207" s="32"/>
      <c r="K1207" s="45" t="s">
        <v>888</v>
      </c>
      <c r="L1207" s="129"/>
      <c r="M1207" s="33" t="str">
        <f t="shared" si="18"/>
        <v/>
      </c>
      <c r="N1207" s="34" t="str">
        <f>IFERROR(IF(Tabela1[[#This Row],[Nome fantasia]]="","",_xlfn.XLOOKUP($C1207,Log!D:D,Log!B:B,,,-1)),"")</f>
        <v/>
      </c>
      <c r="O1207" s="35" t="str">
        <f>IFERROR(_xlfn.XLOOKUP($C1207,Log!D:D,Log!W:W,,,-1),"")</f>
        <v/>
      </c>
      <c r="P1207" s="35" t="str">
        <f>IFERROR(_xlfn.XLOOKUP($C1207,Log!D:D,Log!Y:Y,,,-1),"")</f>
        <v/>
      </c>
      <c r="Q1207" s="130"/>
      <c r="R1207" s="131" t="str">
        <f>IFERROR(IF(Tabela1[[#This Row],[Nome fantasia]]="","",_xlfn.XLOOKUP($C1207,Log!D:D,Log!X:X,,,-1)),"")</f>
        <v/>
      </c>
    </row>
    <row r="1208" spans="3:18" hidden="1" x14ac:dyDescent="0.2">
      <c r="C1208" s="30" t="s">
        <v>2883</v>
      </c>
      <c r="D1208" s="110" t="s">
        <v>2884</v>
      </c>
      <c r="E1208" s="33" t="s">
        <v>46</v>
      </c>
      <c r="F1208" s="38"/>
      <c r="G1208" s="38"/>
      <c r="H1208" s="31"/>
      <c r="I1208" s="32"/>
      <c r="J1208" s="32"/>
      <c r="K1208" s="45" t="s">
        <v>888</v>
      </c>
      <c r="L1208" s="129"/>
      <c r="M1208" s="33" t="str">
        <f t="shared" si="18"/>
        <v/>
      </c>
      <c r="N1208" s="34" t="str">
        <f>IFERROR(IF(Tabela1[[#This Row],[Nome fantasia]]="","",_xlfn.XLOOKUP($C1208,Log!D:D,Log!B:B,,,-1)),"")</f>
        <v/>
      </c>
      <c r="O1208" s="35" t="str">
        <f>IFERROR(_xlfn.XLOOKUP($C1208,Log!D:D,Log!W:W,,,-1),"")</f>
        <v/>
      </c>
      <c r="P1208" s="35" t="str">
        <f>IFERROR(_xlfn.XLOOKUP($C1208,Log!D:D,Log!Y:Y,,,-1),"")</f>
        <v/>
      </c>
      <c r="Q1208" s="130"/>
      <c r="R1208" s="131" t="str">
        <f>IFERROR(IF(Tabela1[[#This Row],[Nome fantasia]]="","",_xlfn.XLOOKUP($C1208,Log!D:D,Log!X:X,,,-1)),"")</f>
        <v/>
      </c>
    </row>
    <row r="1209" spans="3:18" hidden="1" x14ac:dyDescent="0.2">
      <c r="C1209" s="30" t="s">
        <v>2885</v>
      </c>
      <c r="D1209" s="110" t="s">
        <v>2886</v>
      </c>
      <c r="E1209" s="33" t="s">
        <v>46</v>
      </c>
      <c r="F1209" s="38"/>
      <c r="G1209" s="38"/>
      <c r="H1209" s="31"/>
      <c r="I1209" s="32"/>
      <c r="J1209" s="32"/>
      <c r="K1209" s="45" t="s">
        <v>888</v>
      </c>
      <c r="L1209" s="129"/>
      <c r="M1209" s="33" t="str">
        <f t="shared" si="18"/>
        <v/>
      </c>
      <c r="N1209" s="34" t="str">
        <f>IFERROR(IF(Tabela1[[#This Row],[Nome fantasia]]="","",_xlfn.XLOOKUP($C1209,Log!D:D,Log!B:B,,,-1)),"")</f>
        <v/>
      </c>
      <c r="O1209" s="35" t="str">
        <f>IFERROR(_xlfn.XLOOKUP($C1209,Log!D:D,Log!W:W,,,-1),"")</f>
        <v/>
      </c>
      <c r="P1209" s="35" t="str">
        <f>IFERROR(_xlfn.XLOOKUP($C1209,Log!D:D,Log!Y:Y,,,-1),"")</f>
        <v/>
      </c>
      <c r="Q1209" s="130"/>
      <c r="R1209" s="131" t="str">
        <f>IFERROR(IF(Tabela1[[#This Row],[Nome fantasia]]="","",_xlfn.XLOOKUP($C1209,Log!D:D,Log!X:X,,,-1)),"")</f>
        <v/>
      </c>
    </row>
    <row r="1210" spans="3:18" hidden="1" x14ac:dyDescent="0.2">
      <c r="C1210" s="30" t="s">
        <v>2887</v>
      </c>
      <c r="D1210" s="110" t="s">
        <v>2888</v>
      </c>
      <c r="E1210" s="33" t="s">
        <v>46</v>
      </c>
      <c r="F1210" s="38"/>
      <c r="G1210" s="38"/>
      <c r="H1210" s="31"/>
      <c r="I1210" s="32"/>
      <c r="J1210" s="32"/>
      <c r="K1210" s="45" t="s">
        <v>888</v>
      </c>
      <c r="L1210" s="129"/>
      <c r="M1210" s="33" t="str">
        <f t="shared" si="18"/>
        <v/>
      </c>
      <c r="N1210" s="34" t="str">
        <f>IFERROR(IF(Tabela1[[#This Row],[Nome fantasia]]="","",_xlfn.XLOOKUP($C1210,Log!D:D,Log!B:B,,,-1)),"")</f>
        <v/>
      </c>
      <c r="O1210" s="35" t="str">
        <f>IFERROR(_xlfn.XLOOKUP($C1210,Log!D:D,Log!W:W,,,-1),"")</f>
        <v/>
      </c>
      <c r="P1210" s="35" t="str">
        <f>IFERROR(_xlfn.XLOOKUP($C1210,Log!D:D,Log!Y:Y,,,-1),"")</f>
        <v/>
      </c>
      <c r="Q1210" s="130"/>
      <c r="R1210" s="131" t="str">
        <f>IFERROR(IF(Tabela1[[#This Row],[Nome fantasia]]="","",_xlfn.XLOOKUP($C1210,Log!D:D,Log!X:X,,,-1)),"")</f>
        <v/>
      </c>
    </row>
    <row r="1211" spans="3:18" hidden="1" x14ac:dyDescent="0.2">
      <c r="C1211" s="30" t="s">
        <v>2889</v>
      </c>
      <c r="D1211" s="110" t="s">
        <v>1286</v>
      </c>
      <c r="E1211" s="33" t="s">
        <v>22</v>
      </c>
      <c r="F1211" s="38"/>
      <c r="G1211" s="38"/>
      <c r="H1211" s="31"/>
      <c r="I1211" s="32"/>
      <c r="J1211" s="32"/>
      <c r="K1211" s="45" t="s">
        <v>888</v>
      </c>
      <c r="L1211" s="129"/>
      <c r="M1211" s="33" t="str">
        <f t="shared" si="18"/>
        <v/>
      </c>
      <c r="N1211" s="34" t="str">
        <f>IFERROR(IF(Tabela1[[#This Row],[Nome fantasia]]="","",_xlfn.XLOOKUP($C1211,Log!D:D,Log!B:B,,,-1)),"")</f>
        <v/>
      </c>
      <c r="O1211" s="35" t="str">
        <f>IFERROR(_xlfn.XLOOKUP($C1211,Log!D:D,Log!W:W,,,-1),"")</f>
        <v/>
      </c>
      <c r="P1211" s="35" t="str">
        <f>IFERROR(_xlfn.XLOOKUP($C1211,Log!D:D,Log!Y:Y,,,-1),"")</f>
        <v/>
      </c>
      <c r="Q1211" s="130"/>
      <c r="R1211" s="131" t="str">
        <f>IFERROR(IF(Tabela1[[#This Row],[Nome fantasia]]="","",_xlfn.XLOOKUP($C1211,Log!D:D,Log!X:X,,,-1)),"")</f>
        <v/>
      </c>
    </row>
    <row r="1212" spans="3:18" hidden="1" x14ac:dyDescent="0.2">
      <c r="C1212" s="30" t="s">
        <v>2890</v>
      </c>
      <c r="D1212" s="110" t="s">
        <v>2891</v>
      </c>
      <c r="E1212" s="33" t="s">
        <v>46</v>
      </c>
      <c r="F1212" s="38"/>
      <c r="G1212" s="38"/>
      <c r="H1212" s="31"/>
      <c r="I1212" s="32"/>
      <c r="J1212" s="32"/>
      <c r="K1212" s="45" t="s">
        <v>888</v>
      </c>
      <c r="L1212" s="129"/>
      <c r="M1212" s="33" t="str">
        <f t="shared" si="18"/>
        <v/>
      </c>
      <c r="N1212" s="34" t="str">
        <f>IFERROR(IF(Tabela1[[#This Row],[Nome fantasia]]="","",_xlfn.XLOOKUP($C1212,Log!D:D,Log!B:B,,,-1)),"")</f>
        <v/>
      </c>
      <c r="O1212" s="35" t="str">
        <f>IFERROR(_xlfn.XLOOKUP($C1212,Log!D:D,Log!W:W,,,-1),"")</f>
        <v/>
      </c>
      <c r="P1212" s="35" t="str">
        <f>IFERROR(_xlfn.XLOOKUP($C1212,Log!D:D,Log!Y:Y,,,-1),"")</f>
        <v/>
      </c>
      <c r="Q1212" s="130"/>
      <c r="R1212" s="131" t="str">
        <f>IFERROR(IF(Tabela1[[#This Row],[Nome fantasia]]="","",_xlfn.XLOOKUP($C1212,Log!D:D,Log!X:X,,,-1)),"")</f>
        <v/>
      </c>
    </row>
    <row r="1213" spans="3:18" hidden="1" x14ac:dyDescent="0.2">
      <c r="C1213" s="30" t="s">
        <v>2892</v>
      </c>
      <c r="D1213" s="110" t="s">
        <v>2893</v>
      </c>
      <c r="E1213" s="33" t="s">
        <v>46</v>
      </c>
      <c r="F1213" s="38"/>
      <c r="G1213" s="38"/>
      <c r="H1213" s="31"/>
      <c r="I1213" s="32"/>
      <c r="J1213" s="32"/>
      <c r="K1213" s="45" t="s">
        <v>888</v>
      </c>
      <c r="L1213" s="129"/>
      <c r="M1213" s="33" t="str">
        <f t="shared" si="18"/>
        <v/>
      </c>
      <c r="N1213" s="34" t="str">
        <f>IFERROR(IF(Tabela1[[#This Row],[Nome fantasia]]="","",_xlfn.XLOOKUP($C1213,Log!D:D,Log!B:B,,,-1)),"")</f>
        <v/>
      </c>
      <c r="O1213" s="35" t="str">
        <f>IFERROR(_xlfn.XLOOKUP($C1213,Log!D:D,Log!W:W,,,-1),"")</f>
        <v/>
      </c>
      <c r="P1213" s="35" t="str">
        <f>IFERROR(_xlfn.XLOOKUP($C1213,Log!D:D,Log!Y:Y,,,-1),"")</f>
        <v/>
      </c>
      <c r="Q1213" s="130"/>
      <c r="R1213" s="131" t="str">
        <f>IFERROR(IF(Tabela1[[#This Row],[Nome fantasia]]="","",_xlfn.XLOOKUP($C1213,Log!D:D,Log!X:X,,,-1)),"")</f>
        <v/>
      </c>
    </row>
    <row r="1214" spans="3:18" hidden="1" x14ac:dyDescent="0.2">
      <c r="C1214" s="30" t="s">
        <v>2894</v>
      </c>
      <c r="D1214" s="110" t="s">
        <v>2895</v>
      </c>
      <c r="E1214" s="33" t="s">
        <v>46</v>
      </c>
      <c r="F1214" s="38"/>
      <c r="G1214" s="38"/>
      <c r="H1214" s="31"/>
      <c r="I1214" s="32"/>
      <c r="J1214" s="32"/>
      <c r="K1214" s="45" t="s">
        <v>888</v>
      </c>
      <c r="L1214" s="129"/>
      <c r="M1214" s="33" t="str">
        <f t="shared" si="18"/>
        <v/>
      </c>
      <c r="N1214" s="34" t="str">
        <f>IFERROR(IF(Tabela1[[#This Row],[Nome fantasia]]="","",_xlfn.XLOOKUP($C1214,Log!D:D,Log!B:B,,,-1)),"")</f>
        <v/>
      </c>
      <c r="O1214" s="35" t="str">
        <f>IFERROR(_xlfn.XLOOKUP($C1214,Log!D:D,Log!W:W,,,-1),"")</f>
        <v/>
      </c>
      <c r="P1214" s="35" t="str">
        <f>IFERROR(_xlfn.XLOOKUP($C1214,Log!D:D,Log!Y:Y,,,-1),"")</f>
        <v/>
      </c>
      <c r="Q1214" s="130"/>
      <c r="R1214" s="131" t="str">
        <f>IFERROR(IF(Tabela1[[#This Row],[Nome fantasia]]="","",_xlfn.XLOOKUP($C1214,Log!D:D,Log!X:X,,,-1)),"")</f>
        <v/>
      </c>
    </row>
    <row r="1215" spans="3:18" hidden="1" x14ac:dyDescent="0.2">
      <c r="C1215" s="30" t="s">
        <v>2896</v>
      </c>
      <c r="D1215" s="110" t="s">
        <v>2897</v>
      </c>
      <c r="E1215" s="33" t="s">
        <v>22</v>
      </c>
      <c r="F1215" s="38"/>
      <c r="G1215" s="38"/>
      <c r="H1215" s="31"/>
      <c r="I1215" s="32"/>
      <c r="J1215" s="32"/>
      <c r="K1215" s="45" t="s">
        <v>888</v>
      </c>
      <c r="L1215" s="129"/>
      <c r="M1215" s="33" t="str">
        <f t="shared" si="18"/>
        <v/>
      </c>
      <c r="N1215" s="34" t="str">
        <f>IFERROR(IF(Tabela1[[#This Row],[Nome fantasia]]="","",_xlfn.XLOOKUP($C1215,Log!D:D,Log!B:B,,,-1)),"")</f>
        <v/>
      </c>
      <c r="O1215" s="35" t="str">
        <f>IFERROR(_xlfn.XLOOKUP($C1215,Log!D:D,Log!W:W,,,-1),"")</f>
        <v/>
      </c>
      <c r="P1215" s="35" t="str">
        <f>IFERROR(_xlfn.XLOOKUP($C1215,Log!D:D,Log!Y:Y,,,-1),"")</f>
        <v/>
      </c>
      <c r="Q1215" s="130"/>
      <c r="R1215" s="131" t="str">
        <f>IFERROR(IF(Tabela1[[#This Row],[Nome fantasia]]="","",_xlfn.XLOOKUP($C1215,Log!D:D,Log!X:X,,,-1)),"")</f>
        <v/>
      </c>
    </row>
    <row r="1216" spans="3:18" hidden="1" x14ac:dyDescent="0.2">
      <c r="C1216" s="30" t="s">
        <v>2898</v>
      </c>
      <c r="D1216" s="110" t="s">
        <v>2899</v>
      </c>
      <c r="E1216" s="33" t="s">
        <v>17</v>
      </c>
      <c r="F1216" s="38"/>
      <c r="G1216" s="38"/>
      <c r="H1216" s="31"/>
      <c r="I1216" s="32"/>
      <c r="J1216" s="32"/>
      <c r="K1216" s="45" t="s">
        <v>888</v>
      </c>
      <c r="L1216" s="129"/>
      <c r="M1216" s="33" t="str">
        <f t="shared" si="18"/>
        <v/>
      </c>
      <c r="N1216" s="34" t="str">
        <f>IFERROR(IF(Tabela1[[#This Row],[Nome fantasia]]="","",_xlfn.XLOOKUP($C1216,Log!D:D,Log!B:B,,,-1)),"")</f>
        <v/>
      </c>
      <c r="O1216" s="35" t="str">
        <f>IFERROR(_xlfn.XLOOKUP($C1216,Log!D:D,Log!W:W,,,-1),"")</f>
        <v/>
      </c>
      <c r="P1216" s="35" t="str">
        <f>IFERROR(_xlfn.XLOOKUP($C1216,Log!D:D,Log!Y:Y,,,-1),"")</f>
        <v/>
      </c>
      <c r="Q1216" s="130"/>
      <c r="R1216" s="131" t="str">
        <f>IFERROR(IF(Tabela1[[#This Row],[Nome fantasia]]="","",_xlfn.XLOOKUP($C1216,Log!D:D,Log!X:X,,,-1)),"")</f>
        <v/>
      </c>
    </row>
    <row r="1217" spans="3:18" hidden="1" x14ac:dyDescent="0.2">
      <c r="C1217" s="30" t="s">
        <v>2900</v>
      </c>
      <c r="D1217" s="110" t="s">
        <v>2901</v>
      </c>
      <c r="E1217" s="33" t="s">
        <v>46</v>
      </c>
      <c r="F1217" s="38"/>
      <c r="G1217" s="38"/>
      <c r="H1217" s="31"/>
      <c r="I1217" s="32"/>
      <c r="J1217" s="32"/>
      <c r="K1217" s="45" t="s">
        <v>888</v>
      </c>
      <c r="L1217" s="129"/>
      <c r="M1217" s="33" t="str">
        <f t="shared" si="18"/>
        <v/>
      </c>
      <c r="N1217" s="34" t="str">
        <f>IFERROR(IF(Tabela1[[#This Row],[Nome fantasia]]="","",_xlfn.XLOOKUP($C1217,Log!D:D,Log!B:B,,,-1)),"")</f>
        <v/>
      </c>
      <c r="O1217" s="35" t="str">
        <f>IFERROR(_xlfn.XLOOKUP($C1217,Log!D:D,Log!W:W,,,-1),"")</f>
        <v/>
      </c>
      <c r="P1217" s="35" t="str">
        <f>IFERROR(_xlfn.XLOOKUP($C1217,Log!D:D,Log!Y:Y,,,-1),"")</f>
        <v/>
      </c>
      <c r="Q1217" s="130"/>
      <c r="R1217" s="131" t="str">
        <f>IFERROR(IF(Tabela1[[#This Row],[Nome fantasia]]="","",_xlfn.XLOOKUP($C1217,Log!D:D,Log!X:X,,,-1)),"")</f>
        <v/>
      </c>
    </row>
    <row r="1218" spans="3:18" hidden="1" x14ac:dyDescent="0.2">
      <c r="C1218" s="30" t="s">
        <v>2902</v>
      </c>
      <c r="D1218" s="110" t="s">
        <v>2903</v>
      </c>
      <c r="E1218" s="33" t="s">
        <v>46</v>
      </c>
      <c r="F1218" s="38"/>
      <c r="G1218" s="38"/>
      <c r="H1218" s="31"/>
      <c r="I1218" s="32"/>
      <c r="J1218" s="32"/>
      <c r="K1218" s="45" t="s">
        <v>888</v>
      </c>
      <c r="L1218" s="129"/>
      <c r="M1218" s="33" t="str">
        <f t="shared" si="18"/>
        <v/>
      </c>
      <c r="N1218" s="34" t="str">
        <f>IFERROR(IF(Tabela1[[#This Row],[Nome fantasia]]="","",_xlfn.XLOOKUP($C1218,Log!D:D,Log!B:B,,,-1)),"")</f>
        <v/>
      </c>
      <c r="O1218" s="35" t="str">
        <f>IFERROR(_xlfn.XLOOKUP($C1218,Log!D:D,Log!W:W,,,-1),"")</f>
        <v/>
      </c>
      <c r="P1218" s="35" t="str">
        <f>IFERROR(_xlfn.XLOOKUP($C1218,Log!D:D,Log!Y:Y,,,-1),"")</f>
        <v/>
      </c>
      <c r="Q1218" s="130"/>
      <c r="R1218" s="131" t="str">
        <f>IFERROR(IF(Tabela1[[#This Row],[Nome fantasia]]="","",_xlfn.XLOOKUP($C1218,Log!D:D,Log!X:X,,,-1)),"")</f>
        <v/>
      </c>
    </row>
    <row r="1219" spans="3:18" hidden="1" x14ac:dyDescent="0.2">
      <c r="C1219" s="30" t="s">
        <v>2904</v>
      </c>
      <c r="D1219" s="110" t="s">
        <v>2905</v>
      </c>
      <c r="E1219" s="33" t="s">
        <v>46</v>
      </c>
      <c r="F1219" s="38"/>
      <c r="G1219" s="38"/>
      <c r="H1219" s="31"/>
      <c r="I1219" s="32"/>
      <c r="J1219" s="32"/>
      <c r="K1219" s="45" t="s">
        <v>888</v>
      </c>
      <c r="L1219" s="129"/>
      <c r="M1219" s="33" t="str">
        <f t="shared" ref="M1219:M1282" si="19">IF(OR(J1219&lt;=0,J1219=""),"","Recompra")</f>
        <v/>
      </c>
      <c r="N1219" s="34" t="str">
        <f>IFERROR(IF(Tabela1[[#This Row],[Nome fantasia]]="","",_xlfn.XLOOKUP($C1219,Log!D:D,Log!B:B,,,-1)),"")</f>
        <v/>
      </c>
      <c r="O1219" s="35" t="str">
        <f>IFERROR(_xlfn.XLOOKUP($C1219,Log!D:D,Log!W:W,,,-1),"")</f>
        <v/>
      </c>
      <c r="P1219" s="35" t="str">
        <f>IFERROR(_xlfn.XLOOKUP($C1219,Log!D:D,Log!Y:Y,,,-1),"")</f>
        <v/>
      </c>
      <c r="Q1219" s="130"/>
      <c r="R1219" s="131" t="str">
        <f>IFERROR(IF(Tabela1[[#This Row],[Nome fantasia]]="","",_xlfn.XLOOKUP($C1219,Log!D:D,Log!X:X,,,-1)),"")</f>
        <v/>
      </c>
    </row>
    <row r="1220" spans="3:18" hidden="1" x14ac:dyDescent="0.2">
      <c r="C1220" s="30" t="s">
        <v>2906</v>
      </c>
      <c r="D1220" s="110" t="s">
        <v>2907</v>
      </c>
      <c r="E1220" s="33" t="s">
        <v>46</v>
      </c>
      <c r="F1220" s="38"/>
      <c r="G1220" s="38"/>
      <c r="H1220" s="31"/>
      <c r="I1220" s="32"/>
      <c r="J1220" s="32"/>
      <c r="K1220" s="45" t="s">
        <v>888</v>
      </c>
      <c r="L1220" s="129"/>
      <c r="M1220" s="33" t="str">
        <f t="shared" si="19"/>
        <v/>
      </c>
      <c r="N1220" s="34" t="str">
        <f>IFERROR(IF(Tabela1[[#This Row],[Nome fantasia]]="","",_xlfn.XLOOKUP($C1220,Log!D:D,Log!B:B,,,-1)),"")</f>
        <v/>
      </c>
      <c r="O1220" s="35" t="str">
        <f>IFERROR(_xlfn.XLOOKUP($C1220,Log!D:D,Log!W:W,,,-1),"")</f>
        <v/>
      </c>
      <c r="P1220" s="35" t="str">
        <f>IFERROR(_xlfn.XLOOKUP($C1220,Log!D:D,Log!Y:Y,,,-1),"")</f>
        <v/>
      </c>
      <c r="Q1220" s="130"/>
      <c r="R1220" s="131" t="str">
        <f>IFERROR(IF(Tabela1[[#This Row],[Nome fantasia]]="","",_xlfn.XLOOKUP($C1220,Log!D:D,Log!X:X,,,-1)),"")</f>
        <v/>
      </c>
    </row>
    <row r="1221" spans="3:18" hidden="1" x14ac:dyDescent="0.2">
      <c r="C1221" s="30" t="s">
        <v>2908</v>
      </c>
      <c r="D1221" s="110" t="s">
        <v>2909</v>
      </c>
      <c r="E1221" s="33" t="s">
        <v>46</v>
      </c>
      <c r="F1221" s="38"/>
      <c r="G1221" s="38"/>
      <c r="H1221" s="31"/>
      <c r="I1221" s="32"/>
      <c r="J1221" s="32"/>
      <c r="K1221" s="45" t="s">
        <v>888</v>
      </c>
      <c r="L1221" s="129"/>
      <c r="M1221" s="33" t="str">
        <f t="shared" si="19"/>
        <v/>
      </c>
      <c r="N1221" s="34" t="str">
        <f>IFERROR(IF(Tabela1[[#This Row],[Nome fantasia]]="","",_xlfn.XLOOKUP($C1221,Log!D:D,Log!B:B,,,-1)),"")</f>
        <v/>
      </c>
      <c r="O1221" s="35" t="str">
        <f>IFERROR(_xlfn.XLOOKUP($C1221,Log!D:D,Log!W:W,,,-1),"")</f>
        <v/>
      </c>
      <c r="P1221" s="35" t="str">
        <f>IFERROR(_xlfn.XLOOKUP($C1221,Log!D:D,Log!Y:Y,,,-1),"")</f>
        <v/>
      </c>
      <c r="Q1221" s="130"/>
      <c r="R1221" s="131" t="str">
        <f>IFERROR(IF(Tabela1[[#This Row],[Nome fantasia]]="","",_xlfn.XLOOKUP($C1221,Log!D:D,Log!X:X,,,-1)),"")</f>
        <v/>
      </c>
    </row>
    <row r="1222" spans="3:18" hidden="1" x14ac:dyDescent="0.2">
      <c r="C1222" s="30" t="s">
        <v>2910</v>
      </c>
      <c r="D1222" s="110" t="s">
        <v>1279</v>
      </c>
      <c r="E1222" s="33" t="s">
        <v>22</v>
      </c>
      <c r="F1222" s="38"/>
      <c r="G1222" s="38"/>
      <c r="H1222" s="31"/>
      <c r="I1222" s="32"/>
      <c r="J1222" s="32"/>
      <c r="K1222" s="45" t="s">
        <v>888</v>
      </c>
      <c r="L1222" s="129"/>
      <c r="M1222" s="33" t="str">
        <f t="shared" si="19"/>
        <v/>
      </c>
      <c r="N1222" s="34" t="str">
        <f>IFERROR(IF(Tabela1[[#This Row],[Nome fantasia]]="","",_xlfn.XLOOKUP($C1222,Log!D:D,Log!B:B,,,-1)),"")</f>
        <v/>
      </c>
      <c r="O1222" s="35" t="str">
        <f>IFERROR(_xlfn.XLOOKUP($C1222,Log!D:D,Log!W:W,,,-1),"")</f>
        <v/>
      </c>
      <c r="P1222" s="35" t="str">
        <f>IFERROR(_xlfn.XLOOKUP($C1222,Log!D:D,Log!Y:Y,,,-1),"")</f>
        <v/>
      </c>
      <c r="Q1222" s="130"/>
      <c r="R1222" s="131" t="str">
        <f>IFERROR(IF(Tabela1[[#This Row],[Nome fantasia]]="","",_xlfn.XLOOKUP($C1222,Log!D:D,Log!X:X,,,-1)),"")</f>
        <v/>
      </c>
    </row>
    <row r="1223" spans="3:18" hidden="1" x14ac:dyDescent="0.2">
      <c r="C1223" s="30" t="s">
        <v>2911</v>
      </c>
      <c r="D1223" s="110" t="s">
        <v>2912</v>
      </c>
      <c r="E1223" s="33" t="s">
        <v>22</v>
      </c>
      <c r="F1223" s="38"/>
      <c r="G1223" s="38"/>
      <c r="H1223" s="31"/>
      <c r="I1223" s="32"/>
      <c r="J1223" s="32"/>
      <c r="K1223" s="45" t="s">
        <v>888</v>
      </c>
      <c r="L1223" s="129"/>
      <c r="M1223" s="33" t="str">
        <f t="shared" si="19"/>
        <v/>
      </c>
      <c r="N1223" s="34" t="str">
        <f>IFERROR(IF(Tabela1[[#This Row],[Nome fantasia]]="","",_xlfn.XLOOKUP($C1223,Log!D:D,Log!B:B,,,-1)),"")</f>
        <v/>
      </c>
      <c r="O1223" s="35" t="str">
        <f>IFERROR(_xlfn.XLOOKUP($C1223,Log!D:D,Log!W:W,,,-1),"")</f>
        <v/>
      </c>
      <c r="P1223" s="35" t="str">
        <f>IFERROR(_xlfn.XLOOKUP($C1223,Log!D:D,Log!Y:Y,,,-1),"")</f>
        <v/>
      </c>
      <c r="Q1223" s="130"/>
      <c r="R1223" s="131" t="str">
        <f>IFERROR(IF(Tabela1[[#This Row],[Nome fantasia]]="","",_xlfn.XLOOKUP($C1223,Log!D:D,Log!X:X,,,-1)),"")</f>
        <v/>
      </c>
    </row>
    <row r="1224" spans="3:18" hidden="1" x14ac:dyDescent="0.2">
      <c r="C1224" s="30" t="s">
        <v>2913</v>
      </c>
      <c r="D1224" s="110" t="s">
        <v>2914</v>
      </c>
      <c r="E1224" s="33" t="s">
        <v>17</v>
      </c>
      <c r="F1224" s="38"/>
      <c r="G1224" s="38"/>
      <c r="H1224" s="31"/>
      <c r="I1224" s="32"/>
      <c r="J1224" s="32"/>
      <c r="K1224" s="45" t="s">
        <v>888</v>
      </c>
      <c r="L1224" s="129"/>
      <c r="M1224" s="33" t="str">
        <f t="shared" si="19"/>
        <v/>
      </c>
      <c r="N1224" s="34" t="str">
        <f>IFERROR(IF(Tabela1[[#This Row],[Nome fantasia]]="","",_xlfn.XLOOKUP($C1224,Log!D:D,Log!B:B,,,-1)),"")</f>
        <v/>
      </c>
      <c r="O1224" s="35" t="str">
        <f>IFERROR(_xlfn.XLOOKUP($C1224,Log!D:D,Log!W:W,,,-1),"")</f>
        <v/>
      </c>
      <c r="P1224" s="35" t="str">
        <f>IFERROR(_xlfn.XLOOKUP($C1224,Log!D:D,Log!Y:Y,,,-1),"")</f>
        <v/>
      </c>
      <c r="Q1224" s="130"/>
      <c r="R1224" s="131" t="str">
        <f>IFERROR(IF(Tabela1[[#This Row],[Nome fantasia]]="","",_xlfn.XLOOKUP($C1224,Log!D:D,Log!X:X,,,-1)),"")</f>
        <v/>
      </c>
    </row>
    <row r="1225" spans="3:18" hidden="1" x14ac:dyDescent="0.2">
      <c r="C1225" s="30"/>
      <c r="D1225" s="110" t="s">
        <v>2915</v>
      </c>
      <c r="E1225" s="33" t="s">
        <v>22</v>
      </c>
      <c r="F1225" s="38"/>
      <c r="G1225" s="38"/>
      <c r="H1225" s="31"/>
      <c r="I1225" s="32"/>
      <c r="J1225" s="32"/>
      <c r="K1225" s="45" t="s">
        <v>888</v>
      </c>
      <c r="L1225" s="129"/>
      <c r="M1225" s="33" t="str">
        <f t="shared" si="19"/>
        <v/>
      </c>
      <c r="N1225" s="34" t="str">
        <f>IFERROR(IF(Tabela1[[#This Row],[Nome fantasia]]="","",_xlfn.XLOOKUP($C1225,Log!D:D,Log!B:B,,,-1)),"")</f>
        <v/>
      </c>
      <c r="O1225" s="35" t="str">
        <f>IFERROR(_xlfn.XLOOKUP($C1225,Log!D:D,Log!W:W,,,-1),"")</f>
        <v/>
      </c>
      <c r="P1225" s="35" t="str">
        <f>IFERROR(_xlfn.XLOOKUP($C1225,Log!D:D,Log!Y:Y,,,-1),"")</f>
        <v/>
      </c>
      <c r="Q1225" s="130"/>
      <c r="R1225" s="131" t="str">
        <f>IFERROR(IF(Tabela1[[#This Row],[Nome fantasia]]="","",_xlfn.XLOOKUP($C1225,Log!D:D,Log!X:X,,,-1)),"")</f>
        <v/>
      </c>
    </row>
    <row r="1226" spans="3:18" hidden="1" x14ac:dyDescent="0.2">
      <c r="C1226" s="30" t="s">
        <v>2916</v>
      </c>
      <c r="D1226" s="110" t="s">
        <v>2917</v>
      </c>
      <c r="E1226" s="33" t="s">
        <v>46</v>
      </c>
      <c r="F1226" s="38"/>
      <c r="G1226" s="38"/>
      <c r="H1226" s="31"/>
      <c r="I1226" s="32"/>
      <c r="J1226" s="32"/>
      <c r="K1226" s="45" t="s">
        <v>888</v>
      </c>
      <c r="L1226" s="129"/>
      <c r="M1226" s="33" t="str">
        <f t="shared" si="19"/>
        <v/>
      </c>
      <c r="N1226" s="34" t="str">
        <f>IFERROR(IF(Tabela1[[#This Row],[Nome fantasia]]="","",_xlfn.XLOOKUP($C1226,Log!D:D,Log!B:B,,,-1)),"")</f>
        <v/>
      </c>
      <c r="O1226" s="35" t="str">
        <f>IFERROR(_xlfn.XLOOKUP($C1226,Log!D:D,Log!W:W,,,-1),"")</f>
        <v/>
      </c>
      <c r="P1226" s="35" t="str">
        <f>IFERROR(_xlfn.XLOOKUP($C1226,Log!D:D,Log!Y:Y,,,-1),"")</f>
        <v/>
      </c>
      <c r="Q1226" s="130"/>
      <c r="R1226" s="131" t="str">
        <f>IFERROR(IF(Tabela1[[#This Row],[Nome fantasia]]="","",_xlfn.XLOOKUP($C1226,Log!D:D,Log!X:X,,,-1)),"")</f>
        <v/>
      </c>
    </row>
    <row r="1227" spans="3:18" hidden="1" x14ac:dyDescent="0.2">
      <c r="C1227" s="30" t="s">
        <v>2918</v>
      </c>
      <c r="D1227" s="110" t="s">
        <v>2919</v>
      </c>
      <c r="E1227" s="33" t="s">
        <v>46</v>
      </c>
      <c r="F1227" s="38"/>
      <c r="G1227" s="38"/>
      <c r="H1227" s="31"/>
      <c r="I1227" s="32"/>
      <c r="J1227" s="32"/>
      <c r="K1227" s="45" t="s">
        <v>888</v>
      </c>
      <c r="L1227" s="129"/>
      <c r="M1227" s="33" t="str">
        <f t="shared" si="19"/>
        <v/>
      </c>
      <c r="N1227" s="34" t="str">
        <f>IFERROR(IF(Tabela1[[#This Row],[Nome fantasia]]="","",_xlfn.XLOOKUP($C1227,Log!D:D,Log!B:B,,,-1)),"")</f>
        <v/>
      </c>
      <c r="O1227" s="35" t="str">
        <f>IFERROR(_xlfn.XLOOKUP($C1227,Log!D:D,Log!W:W,,,-1),"")</f>
        <v/>
      </c>
      <c r="P1227" s="35" t="str">
        <f>IFERROR(_xlfn.XLOOKUP($C1227,Log!D:D,Log!Y:Y,,,-1),"")</f>
        <v/>
      </c>
      <c r="Q1227" s="130"/>
      <c r="R1227" s="131" t="str">
        <f>IFERROR(IF(Tabela1[[#This Row],[Nome fantasia]]="","",_xlfn.XLOOKUP($C1227,Log!D:D,Log!X:X,,,-1)),"")</f>
        <v/>
      </c>
    </row>
    <row r="1228" spans="3:18" hidden="1" x14ac:dyDescent="0.2">
      <c r="C1228" s="30" t="s">
        <v>2920</v>
      </c>
      <c r="D1228" s="110" t="s">
        <v>2921</v>
      </c>
      <c r="E1228" s="33" t="s">
        <v>46</v>
      </c>
      <c r="F1228" s="38"/>
      <c r="G1228" s="38"/>
      <c r="H1228" s="31"/>
      <c r="I1228" s="32"/>
      <c r="J1228" s="32"/>
      <c r="K1228" s="45" t="s">
        <v>888</v>
      </c>
      <c r="L1228" s="129"/>
      <c r="M1228" s="33" t="str">
        <f t="shared" si="19"/>
        <v/>
      </c>
      <c r="N1228" s="34">
        <f>IFERROR(IF(Tabela1[[#This Row],[Nome fantasia]]="","",_xlfn.XLOOKUP($C1228,Log!D:D,Log!B:B,,,-1)),"")</f>
        <v>45996</v>
      </c>
      <c r="O1228" s="35" t="str">
        <f>IFERROR(_xlfn.XLOOKUP($C1228,Log!D:D,Log!W:W,,,-1),"")</f>
        <v>EM ATENDIMENTO</v>
      </c>
      <c r="P1228" s="35" t="str">
        <f>IFERROR(_xlfn.XLOOKUP($C1228,Log!D:D,Log!Y:Y,,,-1),"")</f>
        <v>LIGAÇÃO SEM SUCESSO</v>
      </c>
      <c r="Q1228" s="130"/>
      <c r="R1228" s="131">
        <f>IFERROR(IF(Tabela1[[#This Row],[Nome fantasia]]="","",_xlfn.XLOOKUP($C1228,Log!D:D,Log!X:X,,,-1)),"")</f>
        <v>46000</v>
      </c>
    </row>
    <row r="1229" spans="3:18" hidden="1" x14ac:dyDescent="0.2">
      <c r="C1229" s="30" t="s">
        <v>2922</v>
      </c>
      <c r="D1229" s="110" t="s">
        <v>2923</v>
      </c>
      <c r="E1229" s="33" t="s">
        <v>46</v>
      </c>
      <c r="F1229" s="38"/>
      <c r="G1229" s="38"/>
      <c r="H1229" s="31"/>
      <c r="I1229" s="32"/>
      <c r="J1229" s="32"/>
      <c r="K1229" s="45" t="s">
        <v>888</v>
      </c>
      <c r="L1229" s="129"/>
      <c r="M1229" s="33" t="str">
        <f t="shared" si="19"/>
        <v/>
      </c>
      <c r="N1229" s="34" t="str">
        <f>IFERROR(IF(Tabela1[[#This Row],[Nome fantasia]]="","",_xlfn.XLOOKUP($C1229,Log!D:D,Log!B:B,,,-1)),"")</f>
        <v/>
      </c>
      <c r="O1229" s="35" t="str">
        <f>IFERROR(_xlfn.XLOOKUP($C1229,Log!D:D,Log!W:W,,,-1),"")</f>
        <v/>
      </c>
      <c r="P1229" s="35" t="str">
        <f>IFERROR(_xlfn.XLOOKUP($C1229,Log!D:D,Log!Y:Y,,,-1),"")</f>
        <v/>
      </c>
      <c r="Q1229" s="130"/>
      <c r="R1229" s="131" t="str">
        <f>IFERROR(IF(Tabela1[[#This Row],[Nome fantasia]]="","",_xlfn.XLOOKUP($C1229,Log!D:D,Log!X:X,,,-1)),"")</f>
        <v/>
      </c>
    </row>
    <row r="1230" spans="3:18" hidden="1" x14ac:dyDescent="0.2">
      <c r="C1230" s="30" t="s">
        <v>2379</v>
      </c>
      <c r="D1230" s="110" t="s">
        <v>2924</v>
      </c>
      <c r="E1230" s="33" t="s">
        <v>17</v>
      </c>
      <c r="F1230" s="38"/>
      <c r="G1230" s="38"/>
      <c r="H1230" s="31"/>
      <c r="I1230" s="32"/>
      <c r="J1230" s="32"/>
      <c r="K1230" s="45" t="s">
        <v>888</v>
      </c>
      <c r="L1230" s="129"/>
      <c r="M1230" s="33" t="str">
        <f t="shared" si="19"/>
        <v/>
      </c>
      <c r="N1230" s="34" t="str">
        <f>IFERROR(IF(Tabela1[[#This Row],[Nome fantasia]]="","",_xlfn.XLOOKUP($C1230,Log!D:D,Log!B:B,,,-1)),"")</f>
        <v/>
      </c>
      <c r="O1230" s="35" t="str">
        <f>IFERROR(_xlfn.XLOOKUP($C1230,Log!D:D,Log!W:W,,,-1),"")</f>
        <v/>
      </c>
      <c r="P1230" s="35" t="str">
        <f>IFERROR(_xlfn.XLOOKUP($C1230,Log!D:D,Log!Y:Y,,,-1),"")</f>
        <v/>
      </c>
      <c r="Q1230" s="130"/>
      <c r="R1230" s="131" t="str">
        <f>IFERROR(IF(Tabela1[[#This Row],[Nome fantasia]]="","",_xlfn.XLOOKUP($C1230,Log!D:D,Log!X:X,,,-1)),"")</f>
        <v/>
      </c>
    </row>
    <row r="1231" spans="3:18" hidden="1" x14ac:dyDescent="0.2">
      <c r="C1231" s="30" t="s">
        <v>2925</v>
      </c>
      <c r="D1231" s="110" t="s">
        <v>2926</v>
      </c>
      <c r="E1231" s="33" t="s">
        <v>17</v>
      </c>
      <c r="F1231" s="38"/>
      <c r="G1231" s="38"/>
      <c r="H1231" s="31"/>
      <c r="I1231" s="32"/>
      <c r="J1231" s="32"/>
      <c r="K1231" s="45" t="s">
        <v>888</v>
      </c>
      <c r="L1231" s="129"/>
      <c r="M1231" s="33" t="str">
        <f t="shared" si="19"/>
        <v/>
      </c>
      <c r="N1231" s="34" t="str">
        <f>IFERROR(IF(Tabela1[[#This Row],[Nome fantasia]]="","",_xlfn.XLOOKUP($C1231,Log!D:D,Log!B:B,,,-1)),"")</f>
        <v/>
      </c>
      <c r="O1231" s="35" t="str">
        <f>IFERROR(_xlfn.XLOOKUP($C1231,Log!D:D,Log!W:W,,,-1),"")</f>
        <v/>
      </c>
      <c r="P1231" s="35" t="str">
        <f>IFERROR(_xlfn.XLOOKUP($C1231,Log!D:D,Log!Y:Y,,,-1),"")</f>
        <v/>
      </c>
      <c r="Q1231" s="130"/>
      <c r="R1231" s="131" t="str">
        <f>IFERROR(IF(Tabela1[[#This Row],[Nome fantasia]]="","",_xlfn.XLOOKUP($C1231,Log!D:D,Log!X:X,,,-1)),"")</f>
        <v/>
      </c>
    </row>
    <row r="1232" spans="3:18" hidden="1" x14ac:dyDescent="0.2">
      <c r="C1232" s="30" t="s">
        <v>2927</v>
      </c>
      <c r="D1232" s="110" t="s">
        <v>2928</v>
      </c>
      <c r="E1232" s="33" t="s">
        <v>17</v>
      </c>
      <c r="F1232" s="38"/>
      <c r="G1232" s="38"/>
      <c r="H1232" s="31"/>
      <c r="I1232" s="32"/>
      <c r="J1232" s="32"/>
      <c r="K1232" s="45" t="s">
        <v>888</v>
      </c>
      <c r="L1232" s="129"/>
      <c r="M1232" s="33" t="str">
        <f t="shared" si="19"/>
        <v/>
      </c>
      <c r="N1232" s="34" t="str">
        <f>IFERROR(IF(Tabela1[[#This Row],[Nome fantasia]]="","",_xlfn.XLOOKUP($C1232,Log!D:D,Log!B:B,,,-1)),"")</f>
        <v/>
      </c>
      <c r="O1232" s="35" t="str">
        <f>IFERROR(_xlfn.XLOOKUP($C1232,Log!D:D,Log!W:W,,,-1),"")</f>
        <v/>
      </c>
      <c r="P1232" s="35" t="str">
        <f>IFERROR(_xlfn.XLOOKUP($C1232,Log!D:D,Log!Y:Y,,,-1),"")</f>
        <v/>
      </c>
      <c r="Q1232" s="130"/>
      <c r="R1232" s="131" t="str">
        <f>IFERROR(IF(Tabela1[[#This Row],[Nome fantasia]]="","",_xlfn.XLOOKUP($C1232,Log!D:D,Log!X:X,,,-1)),"")</f>
        <v/>
      </c>
    </row>
    <row r="1233" spans="3:18" hidden="1" x14ac:dyDescent="0.2">
      <c r="C1233" s="30" t="s">
        <v>2635</v>
      </c>
      <c r="D1233" s="110" t="s">
        <v>2929</v>
      </c>
      <c r="E1233" s="33" t="s">
        <v>22</v>
      </c>
      <c r="F1233" s="38"/>
      <c r="G1233" s="38"/>
      <c r="H1233" s="31"/>
      <c r="I1233" s="32"/>
      <c r="J1233" s="32"/>
      <c r="K1233" s="45" t="s">
        <v>888</v>
      </c>
      <c r="L1233" s="129"/>
      <c r="M1233" s="33" t="str">
        <f t="shared" si="19"/>
        <v/>
      </c>
      <c r="N1233" s="34">
        <f>IFERROR(IF(Tabela1[[#This Row],[Nome fantasia]]="","",_xlfn.XLOOKUP($C1233,Log!D:D,Log!B:B,,,-1)),"")</f>
        <v>45996</v>
      </c>
      <c r="O1233" s="35" t="str">
        <f>IFERROR(_xlfn.XLOOKUP($C1233,Log!D:D,Log!W:W,,,-1),"")</f>
        <v>EM ATENDIMENTO</v>
      </c>
      <c r="P1233" s="35" t="str">
        <f>IFERROR(_xlfn.XLOOKUP($C1233,Log!D:D,Log!Y:Y,,,-1),"")</f>
        <v>LIGAÇÃO SEM SUCESSO</v>
      </c>
      <c r="Q1233" s="130"/>
      <c r="R1233" s="131">
        <f>IFERROR(IF(Tabela1[[#This Row],[Nome fantasia]]="","",_xlfn.XLOOKUP($C1233,Log!D:D,Log!X:X,,,-1)),"")</f>
        <v>46000</v>
      </c>
    </row>
    <row r="1234" spans="3:18" hidden="1" x14ac:dyDescent="0.2">
      <c r="C1234" s="30" t="s">
        <v>2930</v>
      </c>
      <c r="D1234" s="110" t="s">
        <v>2931</v>
      </c>
      <c r="E1234" s="33" t="s">
        <v>46</v>
      </c>
      <c r="F1234" s="38"/>
      <c r="G1234" s="38"/>
      <c r="H1234" s="31"/>
      <c r="I1234" s="32"/>
      <c r="J1234" s="32"/>
      <c r="K1234" s="45" t="s">
        <v>888</v>
      </c>
      <c r="L1234" s="129"/>
      <c r="M1234" s="33" t="str">
        <f t="shared" si="19"/>
        <v/>
      </c>
      <c r="N1234" s="34" t="str">
        <f>IFERROR(IF(Tabela1[[#This Row],[Nome fantasia]]="","",_xlfn.XLOOKUP($C1234,Log!D:D,Log!B:B,,,-1)),"")</f>
        <v/>
      </c>
      <c r="O1234" s="35" t="str">
        <f>IFERROR(_xlfn.XLOOKUP($C1234,Log!D:D,Log!W:W,,,-1),"")</f>
        <v/>
      </c>
      <c r="P1234" s="35" t="str">
        <f>IFERROR(_xlfn.XLOOKUP($C1234,Log!D:D,Log!Y:Y,,,-1),"")</f>
        <v/>
      </c>
      <c r="Q1234" s="130"/>
      <c r="R1234" s="131" t="str">
        <f>IFERROR(IF(Tabela1[[#This Row],[Nome fantasia]]="","",_xlfn.XLOOKUP($C1234,Log!D:D,Log!X:X,,,-1)),"")</f>
        <v/>
      </c>
    </row>
    <row r="1235" spans="3:18" hidden="1" x14ac:dyDescent="0.2">
      <c r="C1235" s="30" t="s">
        <v>2932</v>
      </c>
      <c r="D1235" s="110" t="s">
        <v>2933</v>
      </c>
      <c r="E1235" s="33" t="s">
        <v>46</v>
      </c>
      <c r="F1235" s="38"/>
      <c r="G1235" s="38"/>
      <c r="H1235" s="31"/>
      <c r="I1235" s="32"/>
      <c r="J1235" s="32"/>
      <c r="K1235" s="45" t="s">
        <v>888</v>
      </c>
      <c r="L1235" s="129"/>
      <c r="M1235" s="33" t="str">
        <f t="shared" si="19"/>
        <v/>
      </c>
      <c r="N1235" s="34" t="str">
        <f>IFERROR(IF(Tabela1[[#This Row],[Nome fantasia]]="","",_xlfn.XLOOKUP($C1235,Log!D:D,Log!B:B,,,-1)),"")</f>
        <v/>
      </c>
      <c r="O1235" s="35" t="str">
        <f>IFERROR(_xlfn.XLOOKUP($C1235,Log!D:D,Log!W:W,,,-1),"")</f>
        <v/>
      </c>
      <c r="P1235" s="35" t="str">
        <f>IFERROR(_xlfn.XLOOKUP($C1235,Log!D:D,Log!Y:Y,,,-1),"")</f>
        <v/>
      </c>
      <c r="Q1235" s="130"/>
      <c r="R1235" s="131" t="str">
        <f>IFERROR(IF(Tabela1[[#This Row],[Nome fantasia]]="","",_xlfn.XLOOKUP($C1235,Log!D:D,Log!X:X,,,-1)),"")</f>
        <v/>
      </c>
    </row>
    <row r="1236" spans="3:18" hidden="1" x14ac:dyDescent="0.2">
      <c r="C1236" s="30" t="s">
        <v>2934</v>
      </c>
      <c r="D1236" s="110" t="s">
        <v>2935</v>
      </c>
      <c r="E1236" s="33" t="s">
        <v>46</v>
      </c>
      <c r="F1236" s="38"/>
      <c r="G1236" s="38"/>
      <c r="H1236" s="31"/>
      <c r="I1236" s="32"/>
      <c r="J1236" s="32"/>
      <c r="K1236" s="45" t="s">
        <v>888</v>
      </c>
      <c r="L1236" s="129"/>
      <c r="M1236" s="33" t="str">
        <f t="shared" si="19"/>
        <v/>
      </c>
      <c r="N1236" s="34" t="str">
        <f>IFERROR(IF(Tabela1[[#This Row],[Nome fantasia]]="","",_xlfn.XLOOKUP($C1236,Log!D:D,Log!B:B,,,-1)),"")</f>
        <v/>
      </c>
      <c r="O1236" s="35" t="str">
        <f>IFERROR(_xlfn.XLOOKUP($C1236,Log!D:D,Log!W:W,,,-1),"")</f>
        <v/>
      </c>
      <c r="P1236" s="35" t="str">
        <f>IFERROR(_xlfn.XLOOKUP($C1236,Log!D:D,Log!Y:Y,,,-1),"")</f>
        <v/>
      </c>
      <c r="Q1236" s="130"/>
      <c r="R1236" s="131" t="str">
        <f>IFERROR(IF(Tabela1[[#This Row],[Nome fantasia]]="","",_xlfn.XLOOKUP($C1236,Log!D:D,Log!X:X,,,-1)),"")</f>
        <v/>
      </c>
    </row>
    <row r="1237" spans="3:18" hidden="1" x14ac:dyDescent="0.2">
      <c r="C1237" s="30" t="s">
        <v>2936</v>
      </c>
      <c r="D1237" s="110" t="s">
        <v>2937</v>
      </c>
      <c r="E1237" s="33" t="s">
        <v>17</v>
      </c>
      <c r="F1237" s="38"/>
      <c r="G1237" s="38"/>
      <c r="H1237" s="31"/>
      <c r="I1237" s="32"/>
      <c r="J1237" s="32"/>
      <c r="K1237" s="45" t="s">
        <v>888</v>
      </c>
      <c r="L1237" s="129"/>
      <c r="M1237" s="33" t="str">
        <f t="shared" si="19"/>
        <v/>
      </c>
      <c r="N1237" s="34">
        <f>IFERROR(IF(Tabela1[[#This Row],[Nome fantasia]]="","",_xlfn.XLOOKUP($C1237,Log!D:D,Log!B:B,,,-1)),"")</f>
        <v>46000</v>
      </c>
      <c r="O1237" s="35" t="str">
        <f>IFERROR(_xlfn.XLOOKUP($C1237,Log!D:D,Log!W:W,,,-1),"")</f>
        <v>EM ATENDIMENTO</v>
      </c>
      <c r="P1237" s="35" t="str">
        <f>IFERROR(_xlfn.XLOOKUP($C1237,Log!D:D,Log!Y:Y,,,-1),"")</f>
        <v>LIGUEI PEDIU PARA MANDAR NO WHATSAPP AS INFORMAÇÕES E CONDIÇÕES COMERCIAIS</v>
      </c>
      <c r="Q1237" s="130"/>
      <c r="R1237" s="131">
        <f>IFERROR(IF(Tabela1[[#This Row],[Nome fantasia]]="","",_xlfn.XLOOKUP($C1237,Log!D:D,Log!X:X,,,-1)),"")</f>
        <v>46002</v>
      </c>
    </row>
    <row r="1238" spans="3:18" hidden="1" x14ac:dyDescent="0.2">
      <c r="C1238" s="30" t="s">
        <v>2938</v>
      </c>
      <c r="D1238" s="110" t="s">
        <v>2939</v>
      </c>
      <c r="E1238" s="33" t="s">
        <v>17</v>
      </c>
      <c r="F1238" s="38"/>
      <c r="G1238" s="38"/>
      <c r="H1238" s="31"/>
      <c r="I1238" s="32"/>
      <c r="J1238" s="32"/>
      <c r="K1238" s="45" t="s">
        <v>888</v>
      </c>
      <c r="L1238" s="129"/>
      <c r="M1238" s="33" t="str">
        <f t="shared" si="19"/>
        <v/>
      </c>
      <c r="N1238" s="34" t="str">
        <f>IFERROR(IF(Tabela1[[#This Row],[Nome fantasia]]="","",_xlfn.XLOOKUP($C1238,Log!D:D,Log!B:B,,,-1)),"")</f>
        <v/>
      </c>
      <c r="O1238" s="35" t="str">
        <f>IFERROR(_xlfn.XLOOKUP($C1238,Log!D:D,Log!W:W,,,-1),"")</f>
        <v/>
      </c>
      <c r="P1238" s="35" t="str">
        <f>IFERROR(_xlfn.XLOOKUP($C1238,Log!D:D,Log!Y:Y,,,-1),"")</f>
        <v/>
      </c>
      <c r="Q1238" s="130"/>
      <c r="R1238" s="131" t="str">
        <f>IFERROR(IF(Tabela1[[#This Row],[Nome fantasia]]="","",_xlfn.XLOOKUP($C1238,Log!D:D,Log!X:X,,,-1)),"")</f>
        <v/>
      </c>
    </row>
    <row r="1239" spans="3:18" hidden="1" x14ac:dyDescent="0.2">
      <c r="C1239" s="30" t="s">
        <v>2940</v>
      </c>
      <c r="D1239" s="110" t="s">
        <v>2941</v>
      </c>
      <c r="E1239" s="33" t="s">
        <v>17</v>
      </c>
      <c r="F1239" s="38"/>
      <c r="G1239" s="38"/>
      <c r="H1239" s="31"/>
      <c r="I1239" s="32"/>
      <c r="J1239" s="32"/>
      <c r="K1239" s="45" t="s">
        <v>888</v>
      </c>
      <c r="L1239" s="129"/>
      <c r="M1239" s="33" t="str">
        <f t="shared" si="19"/>
        <v/>
      </c>
      <c r="N1239" s="34" t="str">
        <f>IFERROR(IF(Tabela1[[#This Row],[Nome fantasia]]="","",_xlfn.XLOOKUP($C1239,Log!D:D,Log!B:B,,,-1)),"")</f>
        <v/>
      </c>
      <c r="O1239" s="35" t="str">
        <f>IFERROR(_xlfn.XLOOKUP($C1239,Log!D:D,Log!W:W,,,-1),"")</f>
        <v/>
      </c>
      <c r="P1239" s="35" t="str">
        <f>IFERROR(_xlfn.XLOOKUP($C1239,Log!D:D,Log!Y:Y,,,-1),"")</f>
        <v/>
      </c>
      <c r="Q1239" s="130"/>
      <c r="R1239" s="131" t="str">
        <f>IFERROR(IF(Tabela1[[#This Row],[Nome fantasia]]="","",_xlfn.XLOOKUP($C1239,Log!D:D,Log!X:X,,,-1)),"")</f>
        <v/>
      </c>
    </row>
    <row r="1240" spans="3:18" hidden="1" x14ac:dyDescent="0.2">
      <c r="C1240" s="30" t="s">
        <v>2942</v>
      </c>
      <c r="D1240" s="110" t="s">
        <v>2943</v>
      </c>
      <c r="E1240" s="33" t="s">
        <v>22</v>
      </c>
      <c r="F1240" s="38"/>
      <c r="G1240" s="38"/>
      <c r="H1240" s="31"/>
      <c r="I1240" s="32"/>
      <c r="J1240" s="32"/>
      <c r="K1240" s="45" t="s">
        <v>888</v>
      </c>
      <c r="L1240" s="129"/>
      <c r="M1240" s="33" t="str">
        <f t="shared" si="19"/>
        <v/>
      </c>
      <c r="N1240" s="34" t="str">
        <f>IFERROR(IF(Tabela1[[#This Row],[Nome fantasia]]="","",_xlfn.XLOOKUP($C1240,Log!D:D,Log!B:B,,,-1)),"")</f>
        <v/>
      </c>
      <c r="O1240" s="35" t="str">
        <f>IFERROR(_xlfn.XLOOKUP($C1240,Log!D:D,Log!W:W,,,-1),"")</f>
        <v/>
      </c>
      <c r="P1240" s="35" t="str">
        <f>IFERROR(_xlfn.XLOOKUP($C1240,Log!D:D,Log!Y:Y,,,-1),"")</f>
        <v/>
      </c>
      <c r="Q1240" s="130"/>
      <c r="R1240" s="131" t="str">
        <f>IFERROR(IF(Tabela1[[#This Row],[Nome fantasia]]="","",_xlfn.XLOOKUP($C1240,Log!D:D,Log!X:X,,,-1)),"")</f>
        <v/>
      </c>
    </row>
    <row r="1241" spans="3:18" hidden="1" x14ac:dyDescent="0.2">
      <c r="C1241" s="30" t="s">
        <v>2944</v>
      </c>
      <c r="D1241" s="110" t="s">
        <v>2945</v>
      </c>
      <c r="E1241" s="33" t="s">
        <v>46</v>
      </c>
      <c r="F1241" s="38"/>
      <c r="G1241" s="38"/>
      <c r="H1241" s="31"/>
      <c r="I1241" s="32"/>
      <c r="J1241" s="32"/>
      <c r="K1241" s="45" t="s">
        <v>888</v>
      </c>
      <c r="L1241" s="129"/>
      <c r="M1241" s="33" t="str">
        <f t="shared" si="19"/>
        <v/>
      </c>
      <c r="N1241" s="34">
        <f>IFERROR(IF(Tabela1[[#This Row],[Nome fantasia]]="","",_xlfn.XLOOKUP($C1241,Log!D:D,Log!B:B,,,-1)),"")</f>
        <v>45996</v>
      </c>
      <c r="O1241" s="35" t="str">
        <f>IFERROR(_xlfn.XLOOKUP($C1241,Log!D:D,Log!W:W,,,-1),"")</f>
        <v>EM ATENDIMENTO</v>
      </c>
      <c r="P1241" s="35" t="str">
        <f>IFERROR(_xlfn.XLOOKUP($C1241,Log!D:D,Log!Y:Y,,,-1),"")</f>
        <v>A LOJA ATENDEU, E PASSOU O NUMERO DO COMPRAS. POREM O COMPRAS NÃO ATENDE</v>
      </c>
      <c r="Q1241" s="130"/>
      <c r="R1241" s="131">
        <f>IFERROR(IF(Tabela1[[#This Row],[Nome fantasia]]="","",_xlfn.XLOOKUP($C1241,Log!D:D,Log!X:X,,,-1)),"")</f>
        <v>46000</v>
      </c>
    </row>
    <row r="1242" spans="3:18" hidden="1" x14ac:dyDescent="0.2">
      <c r="C1242" s="30" t="s">
        <v>2946</v>
      </c>
      <c r="D1242" s="110" t="s">
        <v>2947</v>
      </c>
      <c r="E1242" s="33" t="s">
        <v>22</v>
      </c>
      <c r="F1242" s="38"/>
      <c r="G1242" s="38"/>
      <c r="H1242" s="31"/>
      <c r="I1242" s="32"/>
      <c r="J1242" s="32"/>
      <c r="K1242" s="45" t="s">
        <v>888</v>
      </c>
      <c r="L1242" s="129"/>
      <c r="M1242" s="33" t="str">
        <f t="shared" si="19"/>
        <v/>
      </c>
      <c r="N1242" s="34" t="str">
        <f>IFERROR(IF(Tabela1[[#This Row],[Nome fantasia]]="","",_xlfn.XLOOKUP($C1242,Log!D:D,Log!B:B,,,-1)),"")</f>
        <v/>
      </c>
      <c r="O1242" s="35" t="str">
        <f>IFERROR(_xlfn.XLOOKUP($C1242,Log!D:D,Log!W:W,,,-1),"")</f>
        <v/>
      </c>
      <c r="P1242" s="35" t="str">
        <f>IFERROR(_xlfn.XLOOKUP($C1242,Log!D:D,Log!Y:Y,,,-1),"")</f>
        <v/>
      </c>
      <c r="Q1242" s="130"/>
      <c r="R1242" s="131" t="str">
        <f>IFERROR(IF(Tabela1[[#This Row],[Nome fantasia]]="","",_xlfn.XLOOKUP($C1242,Log!D:D,Log!X:X,,,-1)),"")</f>
        <v/>
      </c>
    </row>
    <row r="1243" spans="3:18" hidden="1" x14ac:dyDescent="0.2">
      <c r="C1243" s="30" t="s">
        <v>2948</v>
      </c>
      <c r="D1243" s="110" t="s">
        <v>2949</v>
      </c>
      <c r="E1243" s="33" t="s">
        <v>22</v>
      </c>
      <c r="F1243" s="38"/>
      <c r="G1243" s="38"/>
      <c r="H1243" s="31"/>
      <c r="I1243" s="32"/>
      <c r="J1243" s="32"/>
      <c r="K1243" s="45" t="s">
        <v>888</v>
      </c>
      <c r="L1243" s="129"/>
      <c r="M1243" s="33" t="str">
        <f t="shared" si="19"/>
        <v/>
      </c>
      <c r="N1243" s="34" t="str">
        <f>IFERROR(IF(Tabela1[[#This Row],[Nome fantasia]]="","",_xlfn.XLOOKUP($C1243,Log!D:D,Log!B:B,,,-1)),"")</f>
        <v/>
      </c>
      <c r="O1243" s="35" t="str">
        <f>IFERROR(_xlfn.XLOOKUP($C1243,Log!D:D,Log!W:W,,,-1),"")</f>
        <v/>
      </c>
      <c r="P1243" s="35" t="str">
        <f>IFERROR(_xlfn.XLOOKUP($C1243,Log!D:D,Log!Y:Y,,,-1),"")</f>
        <v/>
      </c>
      <c r="Q1243" s="130"/>
      <c r="R1243" s="131" t="str">
        <f>IFERROR(IF(Tabela1[[#This Row],[Nome fantasia]]="","",_xlfn.XLOOKUP($C1243,Log!D:D,Log!X:X,,,-1)),"")</f>
        <v/>
      </c>
    </row>
    <row r="1244" spans="3:18" hidden="1" x14ac:dyDescent="0.2">
      <c r="C1244" s="30" t="s">
        <v>2950</v>
      </c>
      <c r="D1244" s="110" t="s">
        <v>2951</v>
      </c>
      <c r="E1244" s="33" t="s">
        <v>17</v>
      </c>
      <c r="F1244" s="38"/>
      <c r="G1244" s="38"/>
      <c r="H1244" s="31"/>
      <c r="I1244" s="32"/>
      <c r="J1244" s="32"/>
      <c r="K1244" s="45" t="s">
        <v>888</v>
      </c>
      <c r="L1244" s="129"/>
      <c r="M1244" s="33" t="str">
        <f t="shared" si="19"/>
        <v/>
      </c>
      <c r="N1244" s="34" t="str">
        <f>IFERROR(IF(Tabela1[[#This Row],[Nome fantasia]]="","",_xlfn.XLOOKUP($C1244,Log!D:D,Log!B:B,,,-1)),"")</f>
        <v/>
      </c>
      <c r="O1244" s="35" t="str">
        <f>IFERROR(_xlfn.XLOOKUP($C1244,Log!D:D,Log!W:W,,,-1),"")</f>
        <v/>
      </c>
      <c r="P1244" s="35" t="str">
        <f>IFERROR(_xlfn.XLOOKUP($C1244,Log!D:D,Log!Y:Y,,,-1),"")</f>
        <v/>
      </c>
      <c r="Q1244" s="130"/>
      <c r="R1244" s="131" t="str">
        <f>IFERROR(IF(Tabela1[[#This Row],[Nome fantasia]]="","",_xlfn.XLOOKUP($C1244,Log!D:D,Log!X:X,,,-1)),"")</f>
        <v/>
      </c>
    </row>
    <row r="1245" spans="3:18" hidden="1" x14ac:dyDescent="0.2">
      <c r="C1245" s="30" t="s">
        <v>2952</v>
      </c>
      <c r="D1245" s="110" t="s">
        <v>2953</v>
      </c>
      <c r="E1245" s="33" t="s">
        <v>22</v>
      </c>
      <c r="F1245" s="38"/>
      <c r="G1245" s="38"/>
      <c r="H1245" s="31"/>
      <c r="I1245" s="32"/>
      <c r="J1245" s="32"/>
      <c r="K1245" s="45" t="s">
        <v>888</v>
      </c>
      <c r="L1245" s="129"/>
      <c r="M1245" s="33" t="str">
        <f t="shared" si="19"/>
        <v/>
      </c>
      <c r="N1245" s="34" t="str">
        <f>IFERROR(IF(Tabela1[[#This Row],[Nome fantasia]]="","",_xlfn.XLOOKUP($C1245,Log!D:D,Log!B:B,,,-1)),"")</f>
        <v/>
      </c>
      <c r="O1245" s="35" t="str">
        <f>IFERROR(_xlfn.XLOOKUP($C1245,Log!D:D,Log!W:W,,,-1),"")</f>
        <v/>
      </c>
      <c r="P1245" s="35" t="str">
        <f>IFERROR(_xlfn.XLOOKUP($C1245,Log!D:D,Log!Y:Y,,,-1),"")</f>
        <v/>
      </c>
      <c r="Q1245" s="130"/>
      <c r="R1245" s="131" t="str">
        <f>IFERROR(IF(Tabela1[[#This Row],[Nome fantasia]]="","",_xlfn.XLOOKUP($C1245,Log!D:D,Log!X:X,,,-1)),"")</f>
        <v/>
      </c>
    </row>
    <row r="1246" spans="3:18" hidden="1" x14ac:dyDescent="0.2">
      <c r="C1246" s="30" t="s">
        <v>2954</v>
      </c>
      <c r="D1246" s="110" t="s">
        <v>2955</v>
      </c>
      <c r="E1246" s="33" t="s">
        <v>46</v>
      </c>
      <c r="F1246" s="38"/>
      <c r="G1246" s="38"/>
      <c r="H1246" s="31"/>
      <c r="I1246" s="32"/>
      <c r="J1246" s="32"/>
      <c r="K1246" s="45" t="s">
        <v>888</v>
      </c>
      <c r="L1246" s="129"/>
      <c r="M1246" s="33" t="str">
        <f t="shared" si="19"/>
        <v/>
      </c>
      <c r="N1246" s="34" t="str">
        <f>IFERROR(IF(Tabela1[[#This Row],[Nome fantasia]]="","",_xlfn.XLOOKUP($C1246,Log!D:D,Log!B:B,,,-1)),"")</f>
        <v/>
      </c>
      <c r="O1246" s="35" t="str">
        <f>IFERROR(_xlfn.XLOOKUP($C1246,Log!D:D,Log!W:W,,,-1),"")</f>
        <v/>
      </c>
      <c r="P1246" s="35" t="str">
        <f>IFERROR(_xlfn.XLOOKUP($C1246,Log!D:D,Log!Y:Y,,,-1),"")</f>
        <v/>
      </c>
      <c r="Q1246" s="130"/>
      <c r="R1246" s="131" t="str">
        <f>IFERROR(IF(Tabela1[[#This Row],[Nome fantasia]]="","",_xlfn.XLOOKUP($C1246,Log!D:D,Log!X:X,,,-1)),"")</f>
        <v/>
      </c>
    </row>
    <row r="1247" spans="3:18" hidden="1" x14ac:dyDescent="0.2">
      <c r="C1247" s="30" t="s">
        <v>2956</v>
      </c>
      <c r="D1247" s="110" t="s">
        <v>2957</v>
      </c>
      <c r="E1247" s="33" t="s">
        <v>17</v>
      </c>
      <c r="F1247" s="38"/>
      <c r="G1247" s="38"/>
      <c r="H1247" s="31"/>
      <c r="I1247" s="32"/>
      <c r="J1247" s="32"/>
      <c r="K1247" s="45" t="s">
        <v>888</v>
      </c>
      <c r="L1247" s="129"/>
      <c r="M1247" s="33" t="str">
        <f t="shared" si="19"/>
        <v/>
      </c>
      <c r="N1247" s="34" t="str">
        <f>IFERROR(IF(Tabela1[[#This Row],[Nome fantasia]]="","",_xlfn.XLOOKUP($C1247,Log!D:D,Log!B:B,,,-1)),"")</f>
        <v/>
      </c>
      <c r="O1247" s="35" t="str">
        <f>IFERROR(_xlfn.XLOOKUP($C1247,Log!D:D,Log!W:W,,,-1),"")</f>
        <v/>
      </c>
      <c r="P1247" s="35" t="str">
        <f>IFERROR(_xlfn.XLOOKUP($C1247,Log!D:D,Log!Y:Y,,,-1),"")</f>
        <v/>
      </c>
      <c r="Q1247" s="130"/>
      <c r="R1247" s="131" t="str">
        <f>IFERROR(IF(Tabela1[[#This Row],[Nome fantasia]]="","",_xlfn.XLOOKUP($C1247,Log!D:D,Log!X:X,,,-1)),"")</f>
        <v/>
      </c>
    </row>
    <row r="1248" spans="3:18" hidden="1" x14ac:dyDescent="0.2">
      <c r="C1248" s="30" t="s">
        <v>2958</v>
      </c>
      <c r="D1248" s="110" t="s">
        <v>2959</v>
      </c>
      <c r="E1248" s="33" t="s">
        <v>17</v>
      </c>
      <c r="F1248" s="38"/>
      <c r="G1248" s="38"/>
      <c r="H1248" s="31"/>
      <c r="I1248" s="32"/>
      <c r="J1248" s="32"/>
      <c r="K1248" s="45" t="s">
        <v>888</v>
      </c>
      <c r="L1248" s="129"/>
      <c r="M1248" s="33" t="str">
        <f t="shared" si="19"/>
        <v/>
      </c>
      <c r="N1248" s="34" t="str">
        <f>IFERROR(IF(Tabela1[[#This Row],[Nome fantasia]]="","",_xlfn.XLOOKUP($C1248,Log!D:D,Log!B:B,,,-1)),"")</f>
        <v/>
      </c>
      <c r="O1248" s="35" t="str">
        <f>IFERROR(_xlfn.XLOOKUP($C1248,Log!D:D,Log!W:W,,,-1),"")</f>
        <v/>
      </c>
      <c r="P1248" s="35" t="str">
        <f>IFERROR(_xlfn.XLOOKUP($C1248,Log!D:D,Log!Y:Y,,,-1),"")</f>
        <v/>
      </c>
      <c r="Q1248" s="130"/>
      <c r="R1248" s="131" t="str">
        <f>IFERROR(IF(Tabela1[[#This Row],[Nome fantasia]]="","",_xlfn.XLOOKUP($C1248,Log!D:D,Log!X:X,,,-1)),"")</f>
        <v/>
      </c>
    </row>
    <row r="1249" spans="3:18" hidden="1" x14ac:dyDescent="0.2">
      <c r="C1249" s="30" t="s">
        <v>2960</v>
      </c>
      <c r="D1249" s="110" t="s">
        <v>2961</v>
      </c>
      <c r="E1249" s="33" t="s">
        <v>46</v>
      </c>
      <c r="F1249" s="38"/>
      <c r="G1249" s="38"/>
      <c r="H1249" s="31"/>
      <c r="I1249" s="32"/>
      <c r="J1249" s="32"/>
      <c r="K1249" s="45" t="s">
        <v>888</v>
      </c>
      <c r="L1249" s="129"/>
      <c r="M1249" s="33" t="str">
        <f t="shared" si="19"/>
        <v/>
      </c>
      <c r="N1249" s="34" t="str">
        <f>IFERROR(IF(Tabela1[[#This Row],[Nome fantasia]]="","",_xlfn.XLOOKUP($C1249,Log!D:D,Log!B:B,,,-1)),"")</f>
        <v/>
      </c>
      <c r="O1249" s="35" t="str">
        <f>IFERROR(_xlfn.XLOOKUP($C1249,Log!D:D,Log!W:W,,,-1),"")</f>
        <v/>
      </c>
      <c r="P1249" s="35" t="str">
        <f>IFERROR(_xlfn.XLOOKUP($C1249,Log!D:D,Log!Y:Y,,,-1),"")</f>
        <v/>
      </c>
      <c r="Q1249" s="130"/>
      <c r="R1249" s="131" t="str">
        <f>IFERROR(IF(Tabela1[[#This Row],[Nome fantasia]]="","",_xlfn.XLOOKUP($C1249,Log!D:D,Log!X:X,,,-1)),"")</f>
        <v/>
      </c>
    </row>
    <row r="1250" spans="3:18" hidden="1" x14ac:dyDescent="0.2">
      <c r="C1250" s="30" t="s">
        <v>2962</v>
      </c>
      <c r="D1250" s="110" t="s">
        <v>2963</v>
      </c>
      <c r="E1250" s="33" t="s">
        <v>46</v>
      </c>
      <c r="F1250" s="38"/>
      <c r="G1250" s="38"/>
      <c r="H1250" s="31"/>
      <c r="I1250" s="32"/>
      <c r="J1250" s="32"/>
      <c r="K1250" s="45" t="s">
        <v>888</v>
      </c>
      <c r="L1250" s="129"/>
      <c r="M1250" s="33" t="str">
        <f t="shared" si="19"/>
        <v/>
      </c>
      <c r="N1250" s="34" t="str">
        <f>IFERROR(IF(Tabela1[[#This Row],[Nome fantasia]]="","",_xlfn.XLOOKUP($C1250,Log!D:D,Log!B:B,,,-1)),"")</f>
        <v/>
      </c>
      <c r="O1250" s="35" t="str">
        <f>IFERROR(_xlfn.XLOOKUP($C1250,Log!D:D,Log!W:W,,,-1),"")</f>
        <v/>
      </c>
      <c r="P1250" s="35" t="str">
        <f>IFERROR(_xlfn.XLOOKUP($C1250,Log!D:D,Log!Y:Y,,,-1),"")</f>
        <v/>
      </c>
      <c r="Q1250" s="130"/>
      <c r="R1250" s="131" t="str">
        <f>IFERROR(IF(Tabela1[[#This Row],[Nome fantasia]]="","",_xlfn.XLOOKUP($C1250,Log!D:D,Log!X:X,,,-1)),"")</f>
        <v/>
      </c>
    </row>
    <row r="1251" spans="3:18" hidden="1" x14ac:dyDescent="0.2">
      <c r="C1251" s="30" t="s">
        <v>2964</v>
      </c>
      <c r="D1251" s="110" t="s">
        <v>2965</v>
      </c>
      <c r="E1251" s="33" t="s">
        <v>17</v>
      </c>
      <c r="F1251" s="38"/>
      <c r="G1251" s="38"/>
      <c r="H1251" s="31"/>
      <c r="I1251" s="32"/>
      <c r="J1251" s="32"/>
      <c r="K1251" s="45" t="s">
        <v>888</v>
      </c>
      <c r="L1251" s="129"/>
      <c r="M1251" s="33" t="str">
        <f t="shared" si="19"/>
        <v/>
      </c>
      <c r="N1251" s="34" t="str">
        <f>IFERROR(IF(Tabela1[[#This Row],[Nome fantasia]]="","",_xlfn.XLOOKUP($C1251,Log!D:D,Log!B:B,,,-1)),"")</f>
        <v/>
      </c>
      <c r="O1251" s="35" t="str">
        <f>IFERROR(_xlfn.XLOOKUP($C1251,Log!D:D,Log!W:W,,,-1),"")</f>
        <v/>
      </c>
      <c r="P1251" s="35" t="str">
        <f>IFERROR(_xlfn.XLOOKUP($C1251,Log!D:D,Log!Y:Y,,,-1),"")</f>
        <v/>
      </c>
      <c r="Q1251" s="130"/>
      <c r="R1251" s="131" t="str">
        <f>IFERROR(IF(Tabela1[[#This Row],[Nome fantasia]]="","",_xlfn.XLOOKUP($C1251,Log!D:D,Log!X:X,,,-1)),"")</f>
        <v/>
      </c>
    </row>
    <row r="1252" spans="3:18" hidden="1" x14ac:dyDescent="0.2">
      <c r="C1252" s="30" t="s">
        <v>2966</v>
      </c>
      <c r="D1252" s="110" t="s">
        <v>2967</v>
      </c>
      <c r="E1252" s="33" t="s">
        <v>46</v>
      </c>
      <c r="F1252" s="38"/>
      <c r="G1252" s="38"/>
      <c r="H1252" s="31"/>
      <c r="I1252" s="32"/>
      <c r="J1252" s="32"/>
      <c r="K1252" s="45" t="s">
        <v>888</v>
      </c>
      <c r="L1252" s="129"/>
      <c r="M1252" s="33" t="str">
        <f t="shared" si="19"/>
        <v/>
      </c>
      <c r="N1252" s="34" t="str">
        <f>IFERROR(IF(Tabela1[[#This Row],[Nome fantasia]]="","",_xlfn.XLOOKUP($C1252,Log!D:D,Log!B:B,,,-1)),"")</f>
        <v/>
      </c>
      <c r="O1252" s="35" t="str">
        <f>IFERROR(_xlfn.XLOOKUP($C1252,Log!D:D,Log!W:W,,,-1),"")</f>
        <v/>
      </c>
      <c r="P1252" s="35" t="str">
        <f>IFERROR(_xlfn.XLOOKUP($C1252,Log!D:D,Log!Y:Y,,,-1),"")</f>
        <v/>
      </c>
      <c r="Q1252" s="130"/>
      <c r="R1252" s="131" t="str">
        <f>IFERROR(IF(Tabela1[[#This Row],[Nome fantasia]]="","",_xlfn.XLOOKUP($C1252,Log!D:D,Log!X:X,,,-1)),"")</f>
        <v/>
      </c>
    </row>
    <row r="1253" spans="3:18" hidden="1" x14ac:dyDescent="0.2">
      <c r="C1253" s="30" t="s">
        <v>1204</v>
      </c>
      <c r="D1253" s="110" t="s">
        <v>2968</v>
      </c>
      <c r="E1253" s="33" t="s">
        <v>22</v>
      </c>
      <c r="F1253" s="38"/>
      <c r="G1253" s="38"/>
      <c r="H1253" s="31"/>
      <c r="I1253" s="32"/>
      <c r="J1253" s="32"/>
      <c r="K1253" s="45" t="s">
        <v>888</v>
      </c>
      <c r="L1253" s="129"/>
      <c r="M1253" s="33" t="str">
        <f t="shared" si="19"/>
        <v/>
      </c>
      <c r="N1253" s="34" t="str">
        <f>IFERROR(IF(Tabela1[[#This Row],[Nome fantasia]]="","",_xlfn.XLOOKUP($C1253,Log!D:D,Log!B:B,,,-1)),"")</f>
        <v/>
      </c>
      <c r="O1253" s="35" t="str">
        <f>IFERROR(_xlfn.XLOOKUP($C1253,Log!D:D,Log!W:W,,,-1),"")</f>
        <v/>
      </c>
      <c r="P1253" s="35" t="str">
        <f>IFERROR(_xlfn.XLOOKUP($C1253,Log!D:D,Log!Y:Y,,,-1),"")</f>
        <v/>
      </c>
      <c r="Q1253" s="130"/>
      <c r="R1253" s="131" t="str">
        <f>IFERROR(IF(Tabela1[[#This Row],[Nome fantasia]]="","",_xlfn.XLOOKUP($C1253,Log!D:D,Log!X:X,,,-1)),"")</f>
        <v/>
      </c>
    </row>
    <row r="1254" spans="3:18" hidden="1" x14ac:dyDescent="0.2">
      <c r="C1254" s="30" t="s">
        <v>1399</v>
      </c>
      <c r="D1254" s="110" t="s">
        <v>2969</v>
      </c>
      <c r="E1254" s="33" t="s">
        <v>46</v>
      </c>
      <c r="F1254" s="38"/>
      <c r="G1254" s="38"/>
      <c r="H1254" s="31"/>
      <c r="I1254" s="32"/>
      <c r="J1254" s="32"/>
      <c r="K1254" s="45" t="s">
        <v>888</v>
      </c>
      <c r="L1254" s="129"/>
      <c r="M1254" s="33" t="str">
        <f t="shared" si="19"/>
        <v/>
      </c>
      <c r="N1254" s="34" t="str">
        <f>IFERROR(IF(Tabela1[[#This Row],[Nome fantasia]]="","",_xlfn.XLOOKUP($C1254,Log!D:D,Log!B:B,,,-1)),"")</f>
        <v/>
      </c>
      <c r="O1254" s="35" t="str">
        <f>IFERROR(_xlfn.XLOOKUP($C1254,Log!D:D,Log!W:W,,,-1),"")</f>
        <v/>
      </c>
      <c r="P1254" s="35" t="str">
        <f>IFERROR(_xlfn.XLOOKUP($C1254,Log!D:D,Log!Y:Y,,,-1),"")</f>
        <v/>
      </c>
      <c r="Q1254" s="130"/>
      <c r="R1254" s="131" t="str">
        <f>IFERROR(IF(Tabela1[[#This Row],[Nome fantasia]]="","",_xlfn.XLOOKUP($C1254,Log!D:D,Log!X:X,,,-1)),"")</f>
        <v/>
      </c>
    </row>
    <row r="1255" spans="3:18" hidden="1" x14ac:dyDescent="0.2">
      <c r="C1255" s="30" t="s">
        <v>2970</v>
      </c>
      <c r="D1255" s="110" t="s">
        <v>2971</v>
      </c>
      <c r="E1255" s="33" t="s">
        <v>46</v>
      </c>
      <c r="F1255" s="38"/>
      <c r="G1255" s="38"/>
      <c r="H1255" s="31"/>
      <c r="I1255" s="32"/>
      <c r="J1255" s="32"/>
      <c r="K1255" s="45" t="s">
        <v>888</v>
      </c>
      <c r="L1255" s="129"/>
      <c r="M1255" s="33" t="str">
        <f t="shared" si="19"/>
        <v/>
      </c>
      <c r="N1255" s="34">
        <f>IFERROR(IF(Tabela1[[#This Row],[Nome fantasia]]="","",_xlfn.XLOOKUP($C1255,Log!D:D,Log!B:B,,,-1)),"")</f>
        <v>45994</v>
      </c>
      <c r="O1255" s="35" t="str">
        <f>IFERROR(_xlfn.XLOOKUP($C1255,Log!D:D,Log!W:W,,,-1),"")</f>
        <v>EM ATENDIMENTO</v>
      </c>
      <c r="P1255" s="35" t="str">
        <f>IFERROR(_xlfn.XLOOKUP($C1255,Log!D:D,Log!Y:Y,,,-1),"")</f>
        <v>NÃO ATENDEU, DESLIGA</v>
      </c>
      <c r="Q1255" s="130"/>
      <c r="R1255" s="131">
        <f>IFERROR(IF(Tabela1[[#This Row],[Nome fantasia]]="","",_xlfn.XLOOKUP($C1255,Log!D:D,Log!X:X,,,-1)),"")</f>
        <v>45996</v>
      </c>
    </row>
    <row r="1256" spans="3:18" hidden="1" x14ac:dyDescent="0.2">
      <c r="C1256" s="30" t="s">
        <v>2972</v>
      </c>
      <c r="D1256" s="110" t="s">
        <v>2973</v>
      </c>
      <c r="E1256" s="33" t="s">
        <v>46</v>
      </c>
      <c r="F1256" s="38"/>
      <c r="G1256" s="38"/>
      <c r="H1256" s="31"/>
      <c r="I1256" s="32"/>
      <c r="J1256" s="32"/>
      <c r="K1256" s="45" t="s">
        <v>888</v>
      </c>
      <c r="L1256" s="129"/>
      <c r="M1256" s="33" t="str">
        <f t="shared" si="19"/>
        <v/>
      </c>
      <c r="N1256" s="34" t="str">
        <f>IFERROR(IF(Tabela1[[#This Row],[Nome fantasia]]="","",_xlfn.XLOOKUP($C1256,Log!D:D,Log!B:B,,,-1)),"")</f>
        <v/>
      </c>
      <c r="O1256" s="35" t="str">
        <f>IFERROR(_xlfn.XLOOKUP($C1256,Log!D:D,Log!W:W,,,-1),"")</f>
        <v/>
      </c>
      <c r="P1256" s="35" t="str">
        <f>IFERROR(_xlfn.XLOOKUP($C1256,Log!D:D,Log!Y:Y,,,-1),"")</f>
        <v/>
      </c>
      <c r="Q1256" s="130"/>
      <c r="R1256" s="131" t="str">
        <f>IFERROR(IF(Tabela1[[#This Row],[Nome fantasia]]="","",_xlfn.XLOOKUP($C1256,Log!D:D,Log!X:X,,,-1)),"")</f>
        <v/>
      </c>
    </row>
    <row r="1257" spans="3:18" hidden="1" x14ac:dyDescent="0.2">
      <c r="C1257" s="30" t="s">
        <v>2974</v>
      </c>
      <c r="D1257" s="110" t="s">
        <v>2975</v>
      </c>
      <c r="E1257" s="33" t="s">
        <v>46</v>
      </c>
      <c r="F1257" s="38"/>
      <c r="G1257" s="38"/>
      <c r="H1257" s="31"/>
      <c r="I1257" s="32"/>
      <c r="J1257" s="32"/>
      <c r="K1257" s="45" t="s">
        <v>888</v>
      </c>
      <c r="L1257" s="129"/>
      <c r="M1257" s="33" t="str">
        <f t="shared" si="19"/>
        <v/>
      </c>
      <c r="N1257" s="34">
        <f>IFERROR(IF(Tabela1[[#This Row],[Nome fantasia]]="","",_xlfn.XLOOKUP($C1257,Log!D:D,Log!B:B,,,-1)),"")</f>
        <v>45996</v>
      </c>
      <c r="O1257" s="35" t="str">
        <f>IFERROR(_xlfn.XLOOKUP($C1257,Log!D:D,Log!W:W,,,-1),"")</f>
        <v>EM ATENDIMENTO</v>
      </c>
      <c r="P1257" s="35" t="str">
        <f>IFERROR(_xlfn.XLOOKUP($C1257,Log!D:D,Log!Y:Y,,,-1),"")</f>
        <v>LIGAÇÃO SEM SUCESSO</v>
      </c>
      <c r="Q1257" s="130"/>
      <c r="R1257" s="131">
        <f>IFERROR(IF(Tabela1[[#This Row],[Nome fantasia]]="","",_xlfn.XLOOKUP($C1257,Log!D:D,Log!X:X,,,-1)),"")</f>
        <v>46000</v>
      </c>
    </row>
    <row r="1258" spans="3:18" hidden="1" x14ac:dyDescent="0.2">
      <c r="C1258" s="30" t="s">
        <v>2976</v>
      </c>
      <c r="D1258" s="110" t="s">
        <v>2977</v>
      </c>
      <c r="E1258" s="33" t="s">
        <v>46</v>
      </c>
      <c r="F1258" s="38"/>
      <c r="G1258" s="38"/>
      <c r="H1258" s="31"/>
      <c r="I1258" s="32"/>
      <c r="J1258" s="32"/>
      <c r="K1258" s="45" t="s">
        <v>888</v>
      </c>
      <c r="L1258" s="129"/>
      <c r="M1258" s="33" t="str">
        <f t="shared" si="19"/>
        <v/>
      </c>
      <c r="N1258" s="34" t="str">
        <f>IFERROR(IF(Tabela1[[#This Row],[Nome fantasia]]="","",_xlfn.XLOOKUP($C1258,Log!D:D,Log!B:B,,,-1)),"")</f>
        <v/>
      </c>
      <c r="O1258" s="35" t="str">
        <f>IFERROR(_xlfn.XLOOKUP($C1258,Log!D:D,Log!W:W,,,-1),"")</f>
        <v/>
      </c>
      <c r="P1258" s="35" t="str">
        <f>IFERROR(_xlfn.XLOOKUP($C1258,Log!D:D,Log!Y:Y,,,-1),"")</f>
        <v/>
      </c>
      <c r="Q1258" s="130"/>
      <c r="R1258" s="131" t="str">
        <f>IFERROR(IF(Tabela1[[#This Row],[Nome fantasia]]="","",_xlfn.XLOOKUP($C1258,Log!D:D,Log!X:X,,,-1)),"")</f>
        <v/>
      </c>
    </row>
    <row r="1259" spans="3:18" hidden="1" x14ac:dyDescent="0.2">
      <c r="C1259" s="30" t="s">
        <v>2978</v>
      </c>
      <c r="D1259" s="110" t="s">
        <v>2979</v>
      </c>
      <c r="E1259" s="33" t="s">
        <v>22</v>
      </c>
      <c r="F1259" s="38"/>
      <c r="G1259" s="38"/>
      <c r="H1259" s="31"/>
      <c r="I1259" s="32"/>
      <c r="J1259" s="32"/>
      <c r="K1259" s="45" t="s">
        <v>888</v>
      </c>
      <c r="L1259" s="129"/>
      <c r="M1259" s="33" t="str">
        <f t="shared" si="19"/>
        <v/>
      </c>
      <c r="N1259" s="34" t="str">
        <f>IFERROR(IF(Tabela1[[#This Row],[Nome fantasia]]="","",_xlfn.XLOOKUP($C1259,Log!D:D,Log!B:B,,,-1)),"")</f>
        <v/>
      </c>
      <c r="O1259" s="35" t="str">
        <f>IFERROR(_xlfn.XLOOKUP($C1259,Log!D:D,Log!W:W,,,-1),"")</f>
        <v/>
      </c>
      <c r="P1259" s="35" t="str">
        <f>IFERROR(_xlfn.XLOOKUP($C1259,Log!D:D,Log!Y:Y,,,-1),"")</f>
        <v/>
      </c>
      <c r="Q1259" s="130"/>
      <c r="R1259" s="131" t="str">
        <f>IFERROR(IF(Tabela1[[#This Row],[Nome fantasia]]="","",_xlfn.XLOOKUP($C1259,Log!D:D,Log!X:X,,,-1)),"")</f>
        <v/>
      </c>
    </row>
    <row r="1260" spans="3:18" hidden="1" x14ac:dyDescent="0.2">
      <c r="C1260" s="30" t="s">
        <v>948</v>
      </c>
      <c r="D1260" s="110" t="s">
        <v>949</v>
      </c>
      <c r="E1260" s="33" t="s">
        <v>46</v>
      </c>
      <c r="F1260" s="38"/>
      <c r="G1260" s="38"/>
      <c r="H1260" s="31"/>
      <c r="I1260" s="32"/>
      <c r="J1260" s="32"/>
      <c r="K1260" s="45" t="s">
        <v>888</v>
      </c>
      <c r="L1260" s="129"/>
      <c r="M1260" s="33" t="str">
        <f t="shared" si="19"/>
        <v/>
      </c>
      <c r="N1260" s="34">
        <f>IFERROR(IF(Tabela1[[#This Row],[Nome fantasia]]="","",_xlfn.XLOOKUP($C1260,Log!D:D,Log!B:B,,,-1)),"")</f>
        <v>45922</v>
      </c>
      <c r="O1260" s="35" t="str">
        <f>IFERROR(_xlfn.XLOOKUP($C1260,Log!D:D,Log!W:W,,,-1),"")</f>
        <v>PERDA / NÃO VENDA</v>
      </c>
      <c r="P1260" s="35" t="str">
        <f>IFERROR(_xlfn.XLOOKUP($C1260,Log!D:D,Log!Y:Y,,,-1),"")</f>
        <v xml:space="preserve">CLIENTE NUNCA MAIS ATENDEU OU RESPONDEU </v>
      </c>
      <c r="Q1260" s="130"/>
      <c r="R1260" s="131" t="str">
        <f>IFERROR(IF(Tabela1[[#This Row],[Nome fantasia]]="","",_xlfn.XLOOKUP($C1260,Log!D:D,Log!X:X,,,-1)),"")</f>
        <v/>
      </c>
    </row>
    <row r="1261" spans="3:18" hidden="1" x14ac:dyDescent="0.2">
      <c r="C1261" s="30"/>
      <c r="D1261" s="110" t="s">
        <v>2980</v>
      </c>
      <c r="E1261" s="33" t="s">
        <v>22</v>
      </c>
      <c r="F1261" s="38"/>
      <c r="G1261" s="38"/>
      <c r="H1261" s="31"/>
      <c r="I1261" s="32"/>
      <c r="J1261" s="32"/>
      <c r="K1261" s="45" t="s">
        <v>888</v>
      </c>
      <c r="L1261" s="129"/>
      <c r="M1261" s="33" t="str">
        <f t="shared" si="19"/>
        <v/>
      </c>
      <c r="N1261" s="34" t="str">
        <f>IFERROR(IF(Tabela1[[#This Row],[Nome fantasia]]="","",_xlfn.XLOOKUP($C1261,Log!D:D,Log!B:B,,,-1)),"")</f>
        <v/>
      </c>
      <c r="O1261" s="35" t="str">
        <f>IFERROR(_xlfn.XLOOKUP($C1261,Log!D:D,Log!W:W,,,-1),"")</f>
        <v/>
      </c>
      <c r="P1261" s="35" t="str">
        <f>IFERROR(_xlfn.XLOOKUP($C1261,Log!D:D,Log!Y:Y,,,-1),"")</f>
        <v/>
      </c>
      <c r="Q1261" s="130"/>
      <c r="R1261" s="131" t="str">
        <f>IFERROR(IF(Tabela1[[#This Row],[Nome fantasia]]="","",_xlfn.XLOOKUP($C1261,Log!D:D,Log!X:X,,,-1)),"")</f>
        <v/>
      </c>
    </row>
    <row r="1262" spans="3:18" hidden="1" x14ac:dyDescent="0.2">
      <c r="C1262" s="30" t="s">
        <v>1853</v>
      </c>
      <c r="D1262" s="110" t="s">
        <v>2981</v>
      </c>
      <c r="E1262" s="33" t="s">
        <v>46</v>
      </c>
      <c r="F1262" s="38"/>
      <c r="G1262" s="38"/>
      <c r="H1262" s="31"/>
      <c r="I1262" s="32"/>
      <c r="J1262" s="32"/>
      <c r="K1262" s="45" t="s">
        <v>888</v>
      </c>
      <c r="L1262" s="129"/>
      <c r="M1262" s="33" t="str">
        <f t="shared" si="19"/>
        <v/>
      </c>
      <c r="N1262" s="34" t="str">
        <f>IFERROR(IF(Tabela1[[#This Row],[Nome fantasia]]="","",_xlfn.XLOOKUP($C1262,Log!D:D,Log!B:B,,,-1)),"")</f>
        <v/>
      </c>
      <c r="O1262" s="35" t="str">
        <f>IFERROR(_xlfn.XLOOKUP($C1262,Log!D:D,Log!W:W,,,-1),"")</f>
        <v/>
      </c>
      <c r="P1262" s="35" t="str">
        <f>IFERROR(_xlfn.XLOOKUP($C1262,Log!D:D,Log!Y:Y,,,-1),"")</f>
        <v/>
      </c>
      <c r="Q1262" s="130"/>
      <c r="R1262" s="131" t="str">
        <f>IFERROR(IF(Tabela1[[#This Row],[Nome fantasia]]="","",_xlfn.XLOOKUP($C1262,Log!D:D,Log!X:X,,,-1)),"")</f>
        <v/>
      </c>
    </row>
    <row r="1263" spans="3:18" hidden="1" x14ac:dyDescent="0.2">
      <c r="C1263" s="30"/>
      <c r="D1263" s="110" t="s">
        <v>2982</v>
      </c>
      <c r="E1263" s="33" t="s">
        <v>17</v>
      </c>
      <c r="F1263" s="38"/>
      <c r="G1263" s="38"/>
      <c r="H1263" s="31"/>
      <c r="I1263" s="32"/>
      <c r="J1263" s="32"/>
      <c r="K1263" s="45" t="s">
        <v>888</v>
      </c>
      <c r="L1263" s="129"/>
      <c r="M1263" s="33" t="str">
        <f t="shared" si="19"/>
        <v/>
      </c>
      <c r="N1263" s="34" t="str">
        <f>IFERROR(IF(Tabela1[[#This Row],[Nome fantasia]]="","",_xlfn.XLOOKUP($C1263,Log!D:D,Log!B:B,,,-1)),"")</f>
        <v/>
      </c>
      <c r="O1263" s="35" t="str">
        <f>IFERROR(_xlfn.XLOOKUP($C1263,Log!D:D,Log!W:W,,,-1),"")</f>
        <v/>
      </c>
      <c r="P1263" s="35" t="str">
        <f>IFERROR(_xlfn.XLOOKUP($C1263,Log!D:D,Log!Y:Y,,,-1),"")</f>
        <v/>
      </c>
      <c r="Q1263" s="130"/>
      <c r="R1263" s="131" t="str">
        <f>IFERROR(IF(Tabela1[[#This Row],[Nome fantasia]]="","",_xlfn.XLOOKUP($C1263,Log!D:D,Log!X:X,,,-1)),"")</f>
        <v/>
      </c>
    </row>
    <row r="1264" spans="3:18" hidden="1" x14ac:dyDescent="0.2">
      <c r="C1264" s="30" t="s">
        <v>1460</v>
      </c>
      <c r="D1264" s="110" t="s">
        <v>2983</v>
      </c>
      <c r="E1264" s="33" t="s">
        <v>46</v>
      </c>
      <c r="F1264" s="38"/>
      <c r="G1264" s="38"/>
      <c r="H1264" s="31"/>
      <c r="I1264" s="32"/>
      <c r="J1264" s="32"/>
      <c r="K1264" s="45" t="s">
        <v>888</v>
      </c>
      <c r="L1264" s="129"/>
      <c r="M1264" s="33" t="str">
        <f t="shared" si="19"/>
        <v/>
      </c>
      <c r="N1264" s="34" t="str">
        <f>IFERROR(IF(Tabela1[[#This Row],[Nome fantasia]]="","",_xlfn.XLOOKUP($C1264,Log!D:D,Log!B:B,,,-1)),"")</f>
        <v/>
      </c>
      <c r="O1264" s="35" t="str">
        <f>IFERROR(_xlfn.XLOOKUP($C1264,Log!D:D,Log!W:W,,,-1),"")</f>
        <v/>
      </c>
      <c r="P1264" s="35" t="str">
        <f>IFERROR(_xlfn.XLOOKUP($C1264,Log!D:D,Log!Y:Y,,,-1),"")</f>
        <v/>
      </c>
      <c r="Q1264" s="130"/>
      <c r="R1264" s="131" t="str">
        <f>IFERROR(IF(Tabela1[[#This Row],[Nome fantasia]]="","",_xlfn.XLOOKUP($C1264,Log!D:D,Log!X:X,,,-1)),"")</f>
        <v/>
      </c>
    </row>
    <row r="1265" spans="3:18" hidden="1" x14ac:dyDescent="0.2">
      <c r="C1265" s="30" t="s">
        <v>2984</v>
      </c>
      <c r="D1265" s="110" t="s">
        <v>2985</v>
      </c>
      <c r="E1265" s="33" t="s">
        <v>22</v>
      </c>
      <c r="F1265" s="38"/>
      <c r="G1265" s="38"/>
      <c r="H1265" s="31"/>
      <c r="I1265" s="32"/>
      <c r="J1265" s="32"/>
      <c r="K1265" s="45" t="s">
        <v>888</v>
      </c>
      <c r="L1265" s="129"/>
      <c r="M1265" s="33" t="str">
        <f t="shared" si="19"/>
        <v/>
      </c>
      <c r="N1265" s="34" t="str">
        <f>IFERROR(IF(Tabela1[[#This Row],[Nome fantasia]]="","",_xlfn.XLOOKUP($C1265,Log!D:D,Log!B:B,,,-1)),"")</f>
        <v/>
      </c>
      <c r="O1265" s="35" t="str">
        <f>IFERROR(_xlfn.XLOOKUP($C1265,Log!D:D,Log!W:W,,,-1),"")</f>
        <v/>
      </c>
      <c r="P1265" s="35" t="str">
        <f>IFERROR(_xlfn.XLOOKUP($C1265,Log!D:D,Log!Y:Y,,,-1),"")</f>
        <v/>
      </c>
      <c r="Q1265" s="130"/>
      <c r="R1265" s="131" t="str">
        <f>IFERROR(IF(Tabela1[[#This Row],[Nome fantasia]]="","",_xlfn.XLOOKUP($C1265,Log!D:D,Log!X:X,,,-1)),"")</f>
        <v/>
      </c>
    </row>
    <row r="1266" spans="3:18" hidden="1" x14ac:dyDescent="0.2">
      <c r="C1266" s="30" t="s">
        <v>2986</v>
      </c>
      <c r="D1266" s="110" t="s">
        <v>2987</v>
      </c>
      <c r="E1266" s="33" t="s">
        <v>17</v>
      </c>
      <c r="F1266" s="38"/>
      <c r="G1266" s="38"/>
      <c r="H1266" s="31"/>
      <c r="I1266" s="32"/>
      <c r="J1266" s="32"/>
      <c r="K1266" s="45" t="s">
        <v>888</v>
      </c>
      <c r="L1266" s="129"/>
      <c r="M1266" s="33" t="str">
        <f t="shared" si="19"/>
        <v/>
      </c>
      <c r="N1266" s="34" t="str">
        <f>IFERROR(IF(Tabela1[[#This Row],[Nome fantasia]]="","",_xlfn.XLOOKUP($C1266,Log!D:D,Log!B:B,,,-1)),"")</f>
        <v/>
      </c>
      <c r="O1266" s="35" t="str">
        <f>IFERROR(_xlfn.XLOOKUP($C1266,Log!D:D,Log!W:W,,,-1),"")</f>
        <v/>
      </c>
      <c r="P1266" s="35" t="str">
        <f>IFERROR(_xlfn.XLOOKUP($C1266,Log!D:D,Log!Y:Y,,,-1),"")</f>
        <v/>
      </c>
      <c r="Q1266" s="130"/>
      <c r="R1266" s="131" t="str">
        <f>IFERROR(IF(Tabela1[[#This Row],[Nome fantasia]]="","",_xlfn.XLOOKUP($C1266,Log!D:D,Log!X:X,,,-1)),"")</f>
        <v/>
      </c>
    </row>
    <row r="1267" spans="3:18" hidden="1" x14ac:dyDescent="0.2">
      <c r="C1267" s="30" t="s">
        <v>2988</v>
      </c>
      <c r="D1267" s="110" t="s">
        <v>2989</v>
      </c>
      <c r="E1267" s="33" t="s">
        <v>46</v>
      </c>
      <c r="F1267" s="38"/>
      <c r="G1267" s="38"/>
      <c r="H1267" s="31"/>
      <c r="I1267" s="32"/>
      <c r="J1267" s="32"/>
      <c r="K1267" s="45" t="s">
        <v>888</v>
      </c>
      <c r="L1267" s="129"/>
      <c r="M1267" s="33" t="str">
        <f t="shared" si="19"/>
        <v/>
      </c>
      <c r="N1267" s="34">
        <f>IFERROR(IF(Tabela1[[#This Row],[Nome fantasia]]="","",_xlfn.XLOOKUP($C1267,Log!D:D,Log!B:B,,,-1)),"")</f>
        <v>45996</v>
      </c>
      <c r="O1267" s="35" t="str">
        <f>IFERROR(_xlfn.XLOOKUP($C1267,Log!D:D,Log!W:W,,,-1),"")</f>
        <v>EM ATENDIMENTO</v>
      </c>
      <c r="P1267" s="35" t="str">
        <f>IFERROR(_xlfn.XLOOKUP($C1267,Log!D:D,Log!Y:Y,,,-1),"")</f>
        <v>LIGAÇÃO SEM SUCESSO</v>
      </c>
      <c r="Q1267" s="130"/>
      <c r="R1267" s="131">
        <f>IFERROR(IF(Tabela1[[#This Row],[Nome fantasia]]="","",_xlfn.XLOOKUP($C1267,Log!D:D,Log!X:X,,,-1)),"")</f>
        <v>46000</v>
      </c>
    </row>
    <row r="1268" spans="3:18" hidden="1" x14ac:dyDescent="0.2">
      <c r="C1268" s="30" t="s">
        <v>2990</v>
      </c>
      <c r="D1268" s="110" t="s">
        <v>2991</v>
      </c>
      <c r="E1268" s="33" t="s">
        <v>46</v>
      </c>
      <c r="F1268" s="38"/>
      <c r="G1268" s="38"/>
      <c r="H1268" s="31"/>
      <c r="I1268" s="32"/>
      <c r="J1268" s="32"/>
      <c r="K1268" s="45" t="s">
        <v>888</v>
      </c>
      <c r="L1268" s="129"/>
      <c r="M1268" s="33" t="str">
        <f t="shared" si="19"/>
        <v/>
      </c>
      <c r="N1268" s="34" t="str">
        <f>IFERROR(IF(Tabela1[[#This Row],[Nome fantasia]]="","",_xlfn.XLOOKUP($C1268,Log!D:D,Log!B:B,,,-1)),"")</f>
        <v/>
      </c>
      <c r="O1268" s="35" t="str">
        <f>IFERROR(_xlfn.XLOOKUP($C1268,Log!D:D,Log!W:W,,,-1),"")</f>
        <v/>
      </c>
      <c r="P1268" s="35" t="str">
        <f>IFERROR(_xlfn.XLOOKUP($C1268,Log!D:D,Log!Y:Y,,,-1),"")</f>
        <v/>
      </c>
      <c r="Q1268" s="130"/>
      <c r="R1268" s="131" t="str">
        <f>IFERROR(IF(Tabela1[[#This Row],[Nome fantasia]]="","",_xlfn.XLOOKUP($C1268,Log!D:D,Log!X:X,,,-1)),"")</f>
        <v/>
      </c>
    </row>
    <row r="1269" spans="3:18" hidden="1" x14ac:dyDescent="0.2">
      <c r="C1269" s="30" t="s">
        <v>1154</v>
      </c>
      <c r="D1269" s="110" t="s">
        <v>2992</v>
      </c>
      <c r="E1269" s="33" t="s">
        <v>46</v>
      </c>
      <c r="F1269" s="38"/>
      <c r="G1269" s="38"/>
      <c r="H1269" s="31"/>
      <c r="I1269" s="32"/>
      <c r="J1269" s="32"/>
      <c r="K1269" s="45" t="s">
        <v>888</v>
      </c>
      <c r="L1269" s="129"/>
      <c r="M1269" s="33" t="str">
        <f t="shared" si="19"/>
        <v/>
      </c>
      <c r="N1269" s="34" t="str">
        <f>IFERROR(IF(Tabela1[[#This Row],[Nome fantasia]]="","",_xlfn.XLOOKUP($C1269,Log!D:D,Log!B:B,,,-1)),"")</f>
        <v/>
      </c>
      <c r="O1269" s="35" t="str">
        <f>IFERROR(_xlfn.XLOOKUP($C1269,Log!D:D,Log!W:W,,,-1),"")</f>
        <v/>
      </c>
      <c r="P1269" s="35" t="str">
        <f>IFERROR(_xlfn.XLOOKUP($C1269,Log!D:D,Log!Y:Y,,,-1),"")</f>
        <v/>
      </c>
      <c r="Q1269" s="130"/>
      <c r="R1269" s="131" t="str">
        <f>IFERROR(IF(Tabela1[[#This Row],[Nome fantasia]]="","",_xlfn.XLOOKUP($C1269,Log!D:D,Log!X:X,,,-1)),"")</f>
        <v/>
      </c>
    </row>
    <row r="1270" spans="3:18" hidden="1" x14ac:dyDescent="0.2">
      <c r="C1270" s="30" t="s">
        <v>2993</v>
      </c>
      <c r="D1270" s="110" t="s">
        <v>2994</v>
      </c>
      <c r="E1270" s="33" t="s">
        <v>46</v>
      </c>
      <c r="F1270" s="38"/>
      <c r="G1270" s="38"/>
      <c r="H1270" s="31"/>
      <c r="I1270" s="32"/>
      <c r="J1270" s="32"/>
      <c r="K1270" s="45" t="s">
        <v>888</v>
      </c>
      <c r="L1270" s="129"/>
      <c r="M1270" s="33" t="str">
        <f t="shared" si="19"/>
        <v/>
      </c>
      <c r="N1270" s="34" t="str">
        <f>IFERROR(IF(Tabela1[[#This Row],[Nome fantasia]]="","",_xlfn.XLOOKUP($C1270,Log!D:D,Log!B:B,,,-1)),"")</f>
        <v/>
      </c>
      <c r="O1270" s="35" t="str">
        <f>IFERROR(_xlfn.XLOOKUP($C1270,Log!D:D,Log!W:W,,,-1),"")</f>
        <v/>
      </c>
      <c r="P1270" s="35" t="str">
        <f>IFERROR(_xlfn.XLOOKUP($C1270,Log!D:D,Log!Y:Y,,,-1),"")</f>
        <v/>
      </c>
      <c r="Q1270" s="130"/>
      <c r="R1270" s="131" t="str">
        <f>IFERROR(IF(Tabela1[[#This Row],[Nome fantasia]]="","",_xlfn.XLOOKUP($C1270,Log!D:D,Log!X:X,,,-1)),"")</f>
        <v/>
      </c>
    </row>
    <row r="1271" spans="3:18" hidden="1" x14ac:dyDescent="0.2">
      <c r="C1271" s="30" t="s">
        <v>2995</v>
      </c>
      <c r="D1271" s="110" t="s">
        <v>2996</v>
      </c>
      <c r="E1271" s="33" t="s">
        <v>46</v>
      </c>
      <c r="F1271" s="38"/>
      <c r="G1271" s="38"/>
      <c r="H1271" s="31"/>
      <c r="I1271" s="32"/>
      <c r="J1271" s="32"/>
      <c r="K1271" s="45" t="s">
        <v>888</v>
      </c>
      <c r="L1271" s="129"/>
      <c r="M1271" s="33" t="str">
        <f t="shared" si="19"/>
        <v/>
      </c>
      <c r="N1271" s="34" t="str">
        <f>IFERROR(IF(Tabela1[[#This Row],[Nome fantasia]]="","",_xlfn.XLOOKUP($C1271,Log!D:D,Log!B:B,,,-1)),"")</f>
        <v/>
      </c>
      <c r="O1271" s="35" t="str">
        <f>IFERROR(_xlfn.XLOOKUP($C1271,Log!D:D,Log!W:W,,,-1),"")</f>
        <v/>
      </c>
      <c r="P1271" s="35" t="str">
        <f>IFERROR(_xlfn.XLOOKUP($C1271,Log!D:D,Log!Y:Y,,,-1),"")</f>
        <v/>
      </c>
      <c r="Q1271" s="130"/>
      <c r="R1271" s="131" t="str">
        <f>IFERROR(IF(Tabela1[[#This Row],[Nome fantasia]]="","",_xlfn.XLOOKUP($C1271,Log!D:D,Log!X:X,,,-1)),"")</f>
        <v/>
      </c>
    </row>
    <row r="1272" spans="3:18" hidden="1" x14ac:dyDescent="0.2">
      <c r="C1272" s="30" t="s">
        <v>2997</v>
      </c>
      <c r="D1272" s="110" t="s">
        <v>2998</v>
      </c>
      <c r="E1272" s="33" t="s">
        <v>17</v>
      </c>
      <c r="F1272" s="38"/>
      <c r="G1272" s="38"/>
      <c r="H1272" s="31"/>
      <c r="I1272" s="32"/>
      <c r="J1272" s="32"/>
      <c r="K1272" s="45" t="s">
        <v>888</v>
      </c>
      <c r="L1272" s="129"/>
      <c r="M1272" s="33" t="str">
        <f t="shared" si="19"/>
        <v/>
      </c>
      <c r="N1272" s="34">
        <f>IFERROR(IF(Tabela1[[#This Row],[Nome fantasia]]="","",_xlfn.XLOOKUP($C1272,Log!D:D,Log!B:B,,,-1)),"")</f>
        <v>46000</v>
      </c>
      <c r="O1272" s="35" t="str">
        <f>IFERROR(_xlfn.XLOOKUP($C1272,Log!D:D,Log!W:W,,,-1),"")</f>
        <v>EM ATENDIMENTO</v>
      </c>
      <c r="P1272" s="35" t="str">
        <f>IFERROR(_xlfn.XLOOKUP($C1272,Log!D:D,Log!Y:Y,,,-1),"")</f>
        <v>NÃO ATENDE, NÃO ENCONTREI NENHUM OUTRO NUMERO</v>
      </c>
      <c r="Q1272" s="130"/>
      <c r="R1272" s="131">
        <f>IFERROR(IF(Tabela1[[#This Row],[Nome fantasia]]="","",_xlfn.XLOOKUP($C1272,Log!D:D,Log!X:X,,,-1)),"")</f>
        <v>46002</v>
      </c>
    </row>
    <row r="1273" spans="3:18" hidden="1" x14ac:dyDescent="0.2">
      <c r="C1273" s="30" t="s">
        <v>2999</v>
      </c>
      <c r="D1273" s="110" t="s">
        <v>3000</v>
      </c>
      <c r="E1273" s="33" t="s">
        <v>46</v>
      </c>
      <c r="F1273" s="38"/>
      <c r="G1273" s="38"/>
      <c r="H1273" s="31"/>
      <c r="I1273" s="32"/>
      <c r="J1273" s="32"/>
      <c r="K1273" s="45" t="s">
        <v>888</v>
      </c>
      <c r="L1273" s="129"/>
      <c r="M1273" s="33" t="str">
        <f t="shared" si="19"/>
        <v/>
      </c>
      <c r="N1273" s="34" t="str">
        <f>IFERROR(IF(Tabela1[[#This Row],[Nome fantasia]]="","",_xlfn.XLOOKUP($C1273,Log!D:D,Log!B:B,,,-1)),"")</f>
        <v/>
      </c>
      <c r="O1273" s="35" t="str">
        <f>IFERROR(_xlfn.XLOOKUP($C1273,Log!D:D,Log!W:W,,,-1),"")</f>
        <v/>
      </c>
      <c r="P1273" s="35" t="str">
        <f>IFERROR(_xlfn.XLOOKUP($C1273,Log!D:D,Log!Y:Y,,,-1),"")</f>
        <v/>
      </c>
      <c r="Q1273" s="130"/>
      <c r="R1273" s="131" t="str">
        <f>IFERROR(IF(Tabela1[[#This Row],[Nome fantasia]]="","",_xlfn.XLOOKUP($C1273,Log!D:D,Log!X:X,,,-1)),"")</f>
        <v/>
      </c>
    </row>
    <row r="1274" spans="3:18" hidden="1" x14ac:dyDescent="0.2">
      <c r="C1274" s="30" t="s">
        <v>3001</v>
      </c>
      <c r="D1274" s="110" t="s">
        <v>3002</v>
      </c>
      <c r="E1274" s="33" t="s">
        <v>46</v>
      </c>
      <c r="F1274" s="38"/>
      <c r="G1274" s="38"/>
      <c r="H1274" s="31"/>
      <c r="I1274" s="32"/>
      <c r="J1274" s="32"/>
      <c r="K1274" s="45" t="s">
        <v>888</v>
      </c>
      <c r="L1274" s="129"/>
      <c r="M1274" s="33" t="str">
        <f t="shared" si="19"/>
        <v/>
      </c>
      <c r="N1274" s="34" t="str">
        <f>IFERROR(IF(Tabela1[[#This Row],[Nome fantasia]]="","",_xlfn.XLOOKUP($C1274,Log!D:D,Log!B:B,,,-1)),"")</f>
        <v/>
      </c>
      <c r="O1274" s="35" t="str">
        <f>IFERROR(_xlfn.XLOOKUP($C1274,Log!D:D,Log!W:W,,,-1),"")</f>
        <v/>
      </c>
      <c r="P1274" s="35" t="str">
        <f>IFERROR(_xlfn.XLOOKUP($C1274,Log!D:D,Log!Y:Y,,,-1),"")</f>
        <v/>
      </c>
      <c r="Q1274" s="130"/>
      <c r="R1274" s="131" t="str">
        <f>IFERROR(IF(Tabela1[[#This Row],[Nome fantasia]]="","",_xlfn.XLOOKUP($C1274,Log!D:D,Log!X:X,,,-1)),"")</f>
        <v/>
      </c>
    </row>
    <row r="1275" spans="3:18" hidden="1" x14ac:dyDescent="0.2">
      <c r="C1275" s="30" t="s">
        <v>3003</v>
      </c>
      <c r="D1275" s="110" t="s">
        <v>3004</v>
      </c>
      <c r="E1275" s="33" t="s">
        <v>17</v>
      </c>
      <c r="F1275" s="38"/>
      <c r="G1275" s="38"/>
      <c r="H1275" s="31"/>
      <c r="I1275" s="32"/>
      <c r="J1275" s="32"/>
      <c r="K1275" s="45" t="s">
        <v>888</v>
      </c>
      <c r="L1275" s="129"/>
      <c r="M1275" s="33" t="str">
        <f t="shared" si="19"/>
        <v/>
      </c>
      <c r="N1275" s="34" t="str">
        <f>IFERROR(IF(Tabela1[[#This Row],[Nome fantasia]]="","",_xlfn.XLOOKUP($C1275,Log!D:D,Log!B:B,,,-1)),"")</f>
        <v/>
      </c>
      <c r="O1275" s="35" t="str">
        <f>IFERROR(_xlfn.XLOOKUP($C1275,Log!D:D,Log!W:W,,,-1),"")</f>
        <v/>
      </c>
      <c r="P1275" s="35" t="str">
        <f>IFERROR(_xlfn.XLOOKUP($C1275,Log!D:D,Log!Y:Y,,,-1),"")</f>
        <v/>
      </c>
      <c r="Q1275" s="130"/>
      <c r="R1275" s="131" t="str">
        <f>IFERROR(IF(Tabela1[[#This Row],[Nome fantasia]]="","",_xlfn.XLOOKUP($C1275,Log!D:D,Log!X:X,,,-1)),"")</f>
        <v/>
      </c>
    </row>
    <row r="1276" spans="3:18" hidden="1" x14ac:dyDescent="0.2">
      <c r="C1276" s="30" t="s">
        <v>3005</v>
      </c>
      <c r="D1276" s="110" t="s">
        <v>3006</v>
      </c>
      <c r="E1276" s="33" t="s">
        <v>46</v>
      </c>
      <c r="F1276" s="38"/>
      <c r="G1276" s="38"/>
      <c r="H1276" s="31"/>
      <c r="I1276" s="32"/>
      <c r="J1276" s="32"/>
      <c r="K1276" s="45" t="s">
        <v>888</v>
      </c>
      <c r="L1276" s="129"/>
      <c r="M1276" s="33" t="str">
        <f t="shared" si="19"/>
        <v/>
      </c>
      <c r="N1276" s="34" t="str">
        <f>IFERROR(IF(Tabela1[[#This Row],[Nome fantasia]]="","",_xlfn.XLOOKUP($C1276,Log!D:D,Log!B:B,,,-1)),"")</f>
        <v/>
      </c>
      <c r="O1276" s="35" t="str">
        <f>IFERROR(_xlfn.XLOOKUP($C1276,Log!D:D,Log!W:W,,,-1),"")</f>
        <v/>
      </c>
      <c r="P1276" s="35" t="str">
        <f>IFERROR(_xlfn.XLOOKUP($C1276,Log!D:D,Log!Y:Y,,,-1),"")</f>
        <v/>
      </c>
      <c r="Q1276" s="130"/>
      <c r="R1276" s="131" t="str">
        <f>IFERROR(IF(Tabela1[[#This Row],[Nome fantasia]]="","",_xlfn.XLOOKUP($C1276,Log!D:D,Log!X:X,,,-1)),"")</f>
        <v/>
      </c>
    </row>
    <row r="1277" spans="3:18" hidden="1" x14ac:dyDescent="0.2">
      <c r="C1277" s="30" t="s">
        <v>3007</v>
      </c>
      <c r="D1277" s="110" t="s">
        <v>3008</v>
      </c>
      <c r="E1277" s="33" t="s">
        <v>17</v>
      </c>
      <c r="F1277" s="38"/>
      <c r="G1277" s="38"/>
      <c r="H1277" s="31"/>
      <c r="I1277" s="32"/>
      <c r="J1277" s="32"/>
      <c r="K1277" s="45" t="s">
        <v>888</v>
      </c>
      <c r="L1277" s="129"/>
      <c r="M1277" s="33" t="str">
        <f t="shared" si="19"/>
        <v/>
      </c>
      <c r="N1277" s="34">
        <f>IFERROR(IF(Tabela1[[#This Row],[Nome fantasia]]="","",_xlfn.XLOOKUP($C1277,Log!D:D,Log!B:B,,,-1)),"")</f>
        <v>46000</v>
      </c>
      <c r="O1277" s="35" t="str">
        <f>IFERROR(_xlfn.XLOOKUP($C1277,Log!D:D,Log!W:W,,,-1),"")</f>
        <v>EM ATENDIMENTO</v>
      </c>
      <c r="P1277" s="35" t="str">
        <f>IFERROR(_xlfn.XLOOKUP($C1277,Log!D:D,Log!Y:Y,,,-1),"")</f>
        <v>PEDIU PARA MANDAR NO WHATSAPP O CATALOGO</v>
      </c>
      <c r="Q1277" s="130"/>
      <c r="R1277" s="131">
        <f>IFERROR(IF(Tabela1[[#This Row],[Nome fantasia]]="","",_xlfn.XLOOKUP($C1277,Log!D:D,Log!X:X,,,-1)),"")</f>
        <v>46002</v>
      </c>
    </row>
    <row r="1278" spans="3:18" hidden="1" x14ac:dyDescent="0.2">
      <c r="C1278" s="30" t="s">
        <v>3009</v>
      </c>
      <c r="D1278" s="110" t="s">
        <v>3010</v>
      </c>
      <c r="E1278" s="33" t="s">
        <v>46</v>
      </c>
      <c r="F1278" s="38"/>
      <c r="G1278" s="38"/>
      <c r="H1278" s="31"/>
      <c r="I1278" s="32"/>
      <c r="J1278" s="32"/>
      <c r="K1278" s="45" t="s">
        <v>888</v>
      </c>
      <c r="L1278" s="129"/>
      <c r="M1278" s="33" t="str">
        <f t="shared" si="19"/>
        <v/>
      </c>
      <c r="N1278" s="34" t="str">
        <f>IFERROR(IF(Tabela1[[#This Row],[Nome fantasia]]="","",_xlfn.XLOOKUP($C1278,Log!D:D,Log!B:B,,,-1)),"")</f>
        <v/>
      </c>
      <c r="O1278" s="35" t="str">
        <f>IFERROR(_xlfn.XLOOKUP($C1278,Log!D:D,Log!W:W,,,-1),"")</f>
        <v/>
      </c>
      <c r="P1278" s="35" t="str">
        <f>IFERROR(_xlfn.XLOOKUP($C1278,Log!D:D,Log!Y:Y,,,-1),"")</f>
        <v/>
      </c>
      <c r="Q1278" s="130"/>
      <c r="R1278" s="131" t="str">
        <f>IFERROR(IF(Tabela1[[#This Row],[Nome fantasia]]="","",_xlfn.XLOOKUP($C1278,Log!D:D,Log!X:X,,,-1)),"")</f>
        <v/>
      </c>
    </row>
    <row r="1279" spans="3:18" hidden="1" x14ac:dyDescent="0.2">
      <c r="C1279" s="30" t="s">
        <v>3011</v>
      </c>
      <c r="D1279" s="110" t="s">
        <v>3012</v>
      </c>
      <c r="E1279" s="33" t="s">
        <v>46</v>
      </c>
      <c r="F1279" s="38"/>
      <c r="G1279" s="38"/>
      <c r="H1279" s="31"/>
      <c r="I1279" s="32"/>
      <c r="J1279" s="32"/>
      <c r="K1279" s="45" t="s">
        <v>888</v>
      </c>
      <c r="L1279" s="129"/>
      <c r="M1279" s="33" t="str">
        <f t="shared" si="19"/>
        <v/>
      </c>
      <c r="N1279" s="34" t="str">
        <f>IFERROR(IF(Tabela1[[#This Row],[Nome fantasia]]="","",_xlfn.XLOOKUP($C1279,Log!D:D,Log!B:B,,,-1)),"")</f>
        <v/>
      </c>
      <c r="O1279" s="35" t="str">
        <f>IFERROR(_xlfn.XLOOKUP($C1279,Log!D:D,Log!W:W,,,-1),"")</f>
        <v/>
      </c>
      <c r="P1279" s="35" t="str">
        <f>IFERROR(_xlfn.XLOOKUP($C1279,Log!D:D,Log!Y:Y,,,-1),"")</f>
        <v/>
      </c>
      <c r="Q1279" s="130"/>
      <c r="R1279" s="131" t="str">
        <f>IFERROR(IF(Tabela1[[#This Row],[Nome fantasia]]="","",_xlfn.XLOOKUP($C1279,Log!D:D,Log!X:X,,,-1)),"")</f>
        <v/>
      </c>
    </row>
    <row r="1280" spans="3:18" hidden="1" x14ac:dyDescent="0.2">
      <c r="C1280" s="30" t="s">
        <v>3013</v>
      </c>
      <c r="D1280" s="110" t="s">
        <v>3014</v>
      </c>
      <c r="E1280" s="33" t="s">
        <v>46</v>
      </c>
      <c r="F1280" s="38"/>
      <c r="G1280" s="38"/>
      <c r="H1280" s="31"/>
      <c r="I1280" s="32"/>
      <c r="J1280" s="32"/>
      <c r="K1280" s="45" t="s">
        <v>888</v>
      </c>
      <c r="L1280" s="129"/>
      <c r="M1280" s="33" t="str">
        <f t="shared" si="19"/>
        <v/>
      </c>
      <c r="N1280" s="34" t="str">
        <f>IFERROR(IF(Tabela1[[#This Row],[Nome fantasia]]="","",_xlfn.XLOOKUP($C1280,Log!D:D,Log!B:B,,,-1)),"")</f>
        <v/>
      </c>
      <c r="O1280" s="35" t="str">
        <f>IFERROR(_xlfn.XLOOKUP($C1280,Log!D:D,Log!W:W,,,-1),"")</f>
        <v/>
      </c>
      <c r="P1280" s="35" t="str">
        <f>IFERROR(_xlfn.XLOOKUP($C1280,Log!D:D,Log!Y:Y,,,-1),"")</f>
        <v/>
      </c>
      <c r="Q1280" s="130"/>
      <c r="R1280" s="131" t="str">
        <f>IFERROR(IF(Tabela1[[#This Row],[Nome fantasia]]="","",_xlfn.XLOOKUP($C1280,Log!D:D,Log!X:X,,,-1)),"")</f>
        <v/>
      </c>
    </row>
    <row r="1281" spans="3:18" hidden="1" x14ac:dyDescent="0.2">
      <c r="C1281" s="30" t="s">
        <v>3015</v>
      </c>
      <c r="D1281" s="110" t="s">
        <v>3016</v>
      </c>
      <c r="E1281" s="33" t="s">
        <v>22</v>
      </c>
      <c r="F1281" s="38"/>
      <c r="G1281" s="38"/>
      <c r="H1281" s="31"/>
      <c r="I1281" s="32"/>
      <c r="J1281" s="32"/>
      <c r="K1281" s="45" t="s">
        <v>888</v>
      </c>
      <c r="L1281" s="129"/>
      <c r="M1281" s="33" t="str">
        <f t="shared" si="19"/>
        <v/>
      </c>
      <c r="N1281" s="34" t="str">
        <f>IFERROR(IF(Tabela1[[#This Row],[Nome fantasia]]="","",_xlfn.XLOOKUP($C1281,Log!D:D,Log!B:B,,,-1)),"")</f>
        <v/>
      </c>
      <c r="O1281" s="35" t="str">
        <f>IFERROR(_xlfn.XLOOKUP($C1281,Log!D:D,Log!W:W,,,-1),"")</f>
        <v/>
      </c>
      <c r="P1281" s="35" t="str">
        <f>IFERROR(_xlfn.XLOOKUP($C1281,Log!D:D,Log!Y:Y,,,-1),"")</f>
        <v/>
      </c>
      <c r="Q1281" s="130"/>
      <c r="R1281" s="131" t="str">
        <f>IFERROR(IF(Tabela1[[#This Row],[Nome fantasia]]="","",_xlfn.XLOOKUP($C1281,Log!D:D,Log!X:X,,,-1)),"")</f>
        <v/>
      </c>
    </row>
    <row r="1282" spans="3:18" hidden="1" x14ac:dyDescent="0.2">
      <c r="C1282" s="30" t="s">
        <v>3017</v>
      </c>
      <c r="D1282" s="110" t="s">
        <v>3018</v>
      </c>
      <c r="E1282" s="33" t="s">
        <v>46</v>
      </c>
      <c r="F1282" s="38"/>
      <c r="G1282" s="38"/>
      <c r="H1282" s="31"/>
      <c r="I1282" s="32"/>
      <c r="J1282" s="32"/>
      <c r="K1282" s="45" t="s">
        <v>888</v>
      </c>
      <c r="L1282" s="129"/>
      <c r="M1282" s="33" t="str">
        <f t="shared" si="19"/>
        <v/>
      </c>
      <c r="N1282" s="34" t="str">
        <f>IFERROR(IF(Tabela1[[#This Row],[Nome fantasia]]="","",_xlfn.XLOOKUP($C1282,Log!D:D,Log!B:B,,,-1)),"")</f>
        <v/>
      </c>
      <c r="O1282" s="35" t="str">
        <f>IFERROR(_xlfn.XLOOKUP($C1282,Log!D:D,Log!W:W,,,-1),"")</f>
        <v/>
      </c>
      <c r="P1282" s="35" t="str">
        <f>IFERROR(_xlfn.XLOOKUP($C1282,Log!D:D,Log!Y:Y,,,-1),"")</f>
        <v/>
      </c>
      <c r="Q1282" s="130"/>
      <c r="R1282" s="131" t="str">
        <f>IFERROR(IF(Tabela1[[#This Row],[Nome fantasia]]="","",_xlfn.XLOOKUP($C1282,Log!D:D,Log!X:X,,,-1)),"")</f>
        <v/>
      </c>
    </row>
    <row r="1283" spans="3:18" hidden="1" x14ac:dyDescent="0.2">
      <c r="C1283" s="30" t="s">
        <v>3019</v>
      </c>
      <c r="D1283" s="110" t="s">
        <v>3020</v>
      </c>
      <c r="E1283" s="33" t="s">
        <v>17</v>
      </c>
      <c r="F1283" s="38"/>
      <c r="G1283" s="38"/>
      <c r="H1283" s="31"/>
      <c r="I1283" s="32"/>
      <c r="J1283" s="32"/>
      <c r="K1283" s="45" t="s">
        <v>888</v>
      </c>
      <c r="L1283" s="129"/>
      <c r="M1283" s="33" t="str">
        <f t="shared" ref="M1283:M1346" si="20">IF(OR(J1283&lt;=0,J1283=""),"","Recompra")</f>
        <v/>
      </c>
      <c r="N1283" s="34" t="str">
        <f>IFERROR(IF(Tabela1[[#This Row],[Nome fantasia]]="","",_xlfn.XLOOKUP($C1283,Log!D:D,Log!B:B,,,-1)),"")</f>
        <v/>
      </c>
      <c r="O1283" s="35" t="str">
        <f>IFERROR(_xlfn.XLOOKUP($C1283,Log!D:D,Log!W:W,,,-1),"")</f>
        <v/>
      </c>
      <c r="P1283" s="35" t="str">
        <f>IFERROR(_xlfn.XLOOKUP($C1283,Log!D:D,Log!Y:Y,,,-1),"")</f>
        <v/>
      </c>
      <c r="Q1283" s="130"/>
      <c r="R1283" s="131" t="str">
        <f>IFERROR(IF(Tabela1[[#This Row],[Nome fantasia]]="","",_xlfn.XLOOKUP($C1283,Log!D:D,Log!X:X,,,-1)),"")</f>
        <v/>
      </c>
    </row>
    <row r="1284" spans="3:18" hidden="1" x14ac:dyDescent="0.2">
      <c r="C1284" s="30" t="s">
        <v>3021</v>
      </c>
      <c r="D1284" s="110" t="s">
        <v>3022</v>
      </c>
      <c r="E1284" s="33" t="s">
        <v>46</v>
      </c>
      <c r="F1284" s="38"/>
      <c r="G1284" s="38"/>
      <c r="H1284" s="31"/>
      <c r="I1284" s="32"/>
      <c r="J1284" s="32"/>
      <c r="K1284" s="45" t="s">
        <v>888</v>
      </c>
      <c r="L1284" s="129"/>
      <c r="M1284" s="33" t="str">
        <f t="shared" si="20"/>
        <v/>
      </c>
      <c r="N1284" s="34" t="str">
        <f>IFERROR(IF(Tabela1[[#This Row],[Nome fantasia]]="","",_xlfn.XLOOKUP($C1284,Log!D:D,Log!B:B,,,-1)),"")</f>
        <v/>
      </c>
      <c r="O1284" s="35" t="str">
        <f>IFERROR(_xlfn.XLOOKUP($C1284,Log!D:D,Log!W:W,,,-1),"")</f>
        <v/>
      </c>
      <c r="P1284" s="35" t="str">
        <f>IFERROR(_xlfn.XLOOKUP($C1284,Log!D:D,Log!Y:Y,,,-1),"")</f>
        <v/>
      </c>
      <c r="Q1284" s="130"/>
      <c r="R1284" s="131" t="str">
        <f>IFERROR(IF(Tabela1[[#This Row],[Nome fantasia]]="","",_xlfn.XLOOKUP($C1284,Log!D:D,Log!X:X,,,-1)),"")</f>
        <v/>
      </c>
    </row>
    <row r="1285" spans="3:18" hidden="1" x14ac:dyDescent="0.2">
      <c r="C1285" s="30" t="s">
        <v>3023</v>
      </c>
      <c r="D1285" s="110" t="s">
        <v>3024</v>
      </c>
      <c r="E1285" s="33" t="s">
        <v>46</v>
      </c>
      <c r="F1285" s="38"/>
      <c r="G1285" s="38"/>
      <c r="H1285" s="31"/>
      <c r="I1285" s="32"/>
      <c r="J1285" s="32"/>
      <c r="K1285" s="45" t="s">
        <v>888</v>
      </c>
      <c r="L1285" s="129"/>
      <c r="M1285" s="33" t="str">
        <f t="shared" si="20"/>
        <v/>
      </c>
      <c r="N1285" s="34" t="str">
        <f>IFERROR(IF(Tabela1[[#This Row],[Nome fantasia]]="","",_xlfn.XLOOKUP($C1285,Log!D:D,Log!B:B,,,-1)),"")</f>
        <v/>
      </c>
      <c r="O1285" s="35" t="str">
        <f>IFERROR(_xlfn.XLOOKUP($C1285,Log!D:D,Log!W:W,,,-1),"")</f>
        <v/>
      </c>
      <c r="P1285" s="35" t="str">
        <f>IFERROR(_xlfn.XLOOKUP($C1285,Log!D:D,Log!Y:Y,,,-1),"")</f>
        <v/>
      </c>
      <c r="Q1285" s="130"/>
      <c r="R1285" s="131" t="str">
        <f>IFERROR(IF(Tabela1[[#This Row],[Nome fantasia]]="","",_xlfn.XLOOKUP($C1285,Log!D:D,Log!X:X,,,-1)),"")</f>
        <v/>
      </c>
    </row>
    <row r="1286" spans="3:18" hidden="1" x14ac:dyDescent="0.2">
      <c r="C1286" s="30" t="s">
        <v>1862</v>
      </c>
      <c r="D1286" s="110" t="s">
        <v>3025</v>
      </c>
      <c r="E1286" s="33" t="s">
        <v>22</v>
      </c>
      <c r="F1286" s="38"/>
      <c r="G1286" s="38"/>
      <c r="H1286" s="31"/>
      <c r="I1286" s="32"/>
      <c r="J1286" s="32"/>
      <c r="K1286" s="45" t="s">
        <v>888</v>
      </c>
      <c r="L1286" s="129"/>
      <c r="M1286" s="33" t="str">
        <f t="shared" si="20"/>
        <v/>
      </c>
      <c r="N1286" s="34" t="str">
        <f>IFERROR(IF(Tabela1[[#This Row],[Nome fantasia]]="","",_xlfn.XLOOKUP($C1286,Log!D:D,Log!B:B,,,-1)),"")</f>
        <v/>
      </c>
      <c r="O1286" s="35" t="str">
        <f>IFERROR(_xlfn.XLOOKUP($C1286,Log!D:D,Log!W:W,,,-1),"")</f>
        <v/>
      </c>
      <c r="P1286" s="35" t="str">
        <f>IFERROR(_xlfn.XLOOKUP($C1286,Log!D:D,Log!Y:Y,,,-1),"")</f>
        <v/>
      </c>
      <c r="Q1286" s="130"/>
      <c r="R1286" s="131" t="str">
        <f>IFERROR(IF(Tabela1[[#This Row],[Nome fantasia]]="","",_xlfn.XLOOKUP($C1286,Log!D:D,Log!X:X,,,-1)),"")</f>
        <v/>
      </c>
    </row>
    <row r="1287" spans="3:18" hidden="1" x14ac:dyDescent="0.2">
      <c r="C1287" s="30" t="s">
        <v>3026</v>
      </c>
      <c r="D1287" s="110" t="s">
        <v>3027</v>
      </c>
      <c r="E1287" s="33" t="s">
        <v>17</v>
      </c>
      <c r="F1287" s="38"/>
      <c r="G1287" s="38"/>
      <c r="H1287" s="31"/>
      <c r="I1287" s="32"/>
      <c r="J1287" s="32"/>
      <c r="K1287" s="45" t="s">
        <v>888</v>
      </c>
      <c r="L1287" s="129"/>
      <c r="M1287" s="33" t="str">
        <f t="shared" si="20"/>
        <v/>
      </c>
      <c r="N1287" s="34" t="str">
        <f>IFERROR(IF(Tabela1[[#This Row],[Nome fantasia]]="","",_xlfn.XLOOKUP($C1287,Log!D:D,Log!B:B,,,-1)),"")</f>
        <v/>
      </c>
      <c r="O1287" s="35" t="str">
        <f>IFERROR(_xlfn.XLOOKUP($C1287,Log!D:D,Log!W:W,,,-1),"")</f>
        <v/>
      </c>
      <c r="P1287" s="35" t="str">
        <f>IFERROR(_xlfn.XLOOKUP($C1287,Log!D:D,Log!Y:Y,,,-1),"")</f>
        <v/>
      </c>
      <c r="Q1287" s="130"/>
      <c r="R1287" s="131" t="str">
        <f>IFERROR(IF(Tabela1[[#This Row],[Nome fantasia]]="","",_xlfn.XLOOKUP($C1287,Log!D:D,Log!X:X,,,-1)),"")</f>
        <v/>
      </c>
    </row>
    <row r="1288" spans="3:18" hidden="1" x14ac:dyDescent="0.2">
      <c r="C1288" s="30" t="s">
        <v>3028</v>
      </c>
      <c r="D1288" s="110" t="s">
        <v>3029</v>
      </c>
      <c r="E1288" s="33" t="s">
        <v>17</v>
      </c>
      <c r="F1288" s="38"/>
      <c r="G1288" s="38"/>
      <c r="H1288" s="31"/>
      <c r="I1288" s="32"/>
      <c r="J1288" s="32"/>
      <c r="K1288" s="45" t="s">
        <v>888</v>
      </c>
      <c r="L1288" s="129"/>
      <c r="M1288" s="33" t="str">
        <f t="shared" si="20"/>
        <v/>
      </c>
      <c r="N1288" s="34" t="str">
        <f>IFERROR(IF(Tabela1[[#This Row],[Nome fantasia]]="","",_xlfn.XLOOKUP($C1288,Log!D:D,Log!B:B,,,-1)),"")</f>
        <v/>
      </c>
      <c r="O1288" s="35" t="str">
        <f>IFERROR(_xlfn.XLOOKUP($C1288,Log!D:D,Log!W:W,,,-1),"")</f>
        <v/>
      </c>
      <c r="P1288" s="35" t="str">
        <f>IFERROR(_xlfn.XLOOKUP($C1288,Log!D:D,Log!Y:Y,,,-1),"")</f>
        <v/>
      </c>
      <c r="Q1288" s="130"/>
      <c r="R1288" s="131" t="str">
        <f>IFERROR(IF(Tabela1[[#This Row],[Nome fantasia]]="","",_xlfn.XLOOKUP($C1288,Log!D:D,Log!X:X,,,-1)),"")</f>
        <v/>
      </c>
    </row>
    <row r="1289" spans="3:18" hidden="1" x14ac:dyDescent="0.2">
      <c r="C1289" s="30" t="s">
        <v>3030</v>
      </c>
      <c r="D1289" s="110" t="s">
        <v>3031</v>
      </c>
      <c r="E1289" s="33" t="s">
        <v>22</v>
      </c>
      <c r="F1289" s="38"/>
      <c r="G1289" s="38"/>
      <c r="H1289" s="31"/>
      <c r="I1289" s="32"/>
      <c r="J1289" s="32"/>
      <c r="K1289" s="45" t="s">
        <v>888</v>
      </c>
      <c r="L1289" s="129"/>
      <c r="M1289" s="33" t="str">
        <f t="shared" si="20"/>
        <v/>
      </c>
      <c r="N1289" s="34" t="str">
        <f>IFERROR(IF(Tabela1[[#This Row],[Nome fantasia]]="","",_xlfn.XLOOKUP($C1289,Log!D:D,Log!B:B,,,-1)),"")</f>
        <v/>
      </c>
      <c r="O1289" s="35" t="str">
        <f>IFERROR(_xlfn.XLOOKUP($C1289,Log!D:D,Log!W:W,,,-1),"")</f>
        <v/>
      </c>
      <c r="P1289" s="35" t="str">
        <f>IFERROR(_xlfn.XLOOKUP($C1289,Log!D:D,Log!Y:Y,,,-1),"")</f>
        <v/>
      </c>
      <c r="Q1289" s="130"/>
      <c r="R1289" s="131" t="str">
        <f>IFERROR(IF(Tabela1[[#This Row],[Nome fantasia]]="","",_xlfn.XLOOKUP($C1289,Log!D:D,Log!X:X,,,-1)),"")</f>
        <v/>
      </c>
    </row>
    <row r="1290" spans="3:18" hidden="1" x14ac:dyDescent="0.2">
      <c r="C1290" s="30" t="s">
        <v>3032</v>
      </c>
      <c r="D1290" s="110" t="s">
        <v>3033</v>
      </c>
      <c r="E1290" s="33" t="s">
        <v>17</v>
      </c>
      <c r="F1290" s="38"/>
      <c r="G1290" s="38"/>
      <c r="H1290" s="31"/>
      <c r="I1290" s="32"/>
      <c r="J1290" s="32"/>
      <c r="K1290" s="45" t="s">
        <v>888</v>
      </c>
      <c r="L1290" s="129"/>
      <c r="M1290" s="33" t="str">
        <f t="shared" si="20"/>
        <v/>
      </c>
      <c r="N1290" s="34" t="str">
        <f>IFERROR(IF(Tabela1[[#This Row],[Nome fantasia]]="","",_xlfn.XLOOKUP($C1290,Log!D:D,Log!B:B,,,-1)),"")</f>
        <v/>
      </c>
      <c r="O1290" s="35" t="str">
        <f>IFERROR(_xlfn.XLOOKUP($C1290,Log!D:D,Log!W:W,,,-1),"")</f>
        <v/>
      </c>
      <c r="P1290" s="35" t="str">
        <f>IFERROR(_xlfn.XLOOKUP($C1290,Log!D:D,Log!Y:Y,,,-1),"")</f>
        <v/>
      </c>
      <c r="Q1290" s="130"/>
      <c r="R1290" s="131" t="str">
        <f>IFERROR(IF(Tabela1[[#This Row],[Nome fantasia]]="","",_xlfn.XLOOKUP($C1290,Log!D:D,Log!X:X,,,-1)),"")</f>
        <v/>
      </c>
    </row>
    <row r="1291" spans="3:18" hidden="1" x14ac:dyDescent="0.2">
      <c r="C1291" s="30" t="s">
        <v>3034</v>
      </c>
      <c r="D1291" s="110" t="s">
        <v>3035</v>
      </c>
      <c r="E1291" s="33" t="s">
        <v>46</v>
      </c>
      <c r="F1291" s="38"/>
      <c r="G1291" s="38"/>
      <c r="H1291" s="31"/>
      <c r="I1291" s="32"/>
      <c r="J1291" s="32"/>
      <c r="K1291" s="45" t="s">
        <v>888</v>
      </c>
      <c r="L1291" s="129"/>
      <c r="M1291" s="33" t="str">
        <f t="shared" si="20"/>
        <v/>
      </c>
      <c r="N1291" s="34" t="str">
        <f>IFERROR(IF(Tabela1[[#This Row],[Nome fantasia]]="","",_xlfn.XLOOKUP($C1291,Log!D:D,Log!B:B,,,-1)),"")</f>
        <v/>
      </c>
      <c r="O1291" s="35" t="str">
        <f>IFERROR(_xlfn.XLOOKUP($C1291,Log!D:D,Log!W:W,,,-1),"")</f>
        <v/>
      </c>
      <c r="P1291" s="35" t="str">
        <f>IFERROR(_xlfn.XLOOKUP($C1291,Log!D:D,Log!Y:Y,,,-1),"")</f>
        <v/>
      </c>
      <c r="Q1291" s="130"/>
      <c r="R1291" s="131" t="str">
        <f>IFERROR(IF(Tabela1[[#This Row],[Nome fantasia]]="","",_xlfn.XLOOKUP($C1291,Log!D:D,Log!X:X,,,-1)),"")</f>
        <v/>
      </c>
    </row>
    <row r="1292" spans="3:18" hidden="1" x14ac:dyDescent="0.2">
      <c r="C1292" s="30" t="s">
        <v>3036</v>
      </c>
      <c r="D1292" s="110" t="s">
        <v>3037</v>
      </c>
      <c r="E1292" s="33" t="s">
        <v>22</v>
      </c>
      <c r="F1292" s="38"/>
      <c r="G1292" s="38"/>
      <c r="H1292" s="31"/>
      <c r="I1292" s="32"/>
      <c r="J1292" s="32"/>
      <c r="K1292" s="45" t="s">
        <v>888</v>
      </c>
      <c r="L1292" s="129"/>
      <c r="M1292" s="33" t="str">
        <f t="shared" si="20"/>
        <v/>
      </c>
      <c r="N1292" s="34" t="str">
        <f>IFERROR(IF(Tabela1[[#This Row],[Nome fantasia]]="","",_xlfn.XLOOKUP($C1292,Log!D:D,Log!B:B,,,-1)),"")</f>
        <v/>
      </c>
      <c r="O1292" s="35" t="str">
        <f>IFERROR(_xlfn.XLOOKUP($C1292,Log!D:D,Log!W:W,,,-1),"")</f>
        <v/>
      </c>
      <c r="P1292" s="35" t="str">
        <f>IFERROR(_xlfn.XLOOKUP($C1292,Log!D:D,Log!Y:Y,,,-1),"")</f>
        <v/>
      </c>
      <c r="Q1292" s="130"/>
      <c r="R1292" s="131" t="str">
        <f>IFERROR(IF(Tabela1[[#This Row],[Nome fantasia]]="","",_xlfn.XLOOKUP($C1292,Log!D:D,Log!X:X,,,-1)),"")</f>
        <v/>
      </c>
    </row>
    <row r="1293" spans="3:18" hidden="1" x14ac:dyDescent="0.2">
      <c r="C1293" s="30" t="s">
        <v>3038</v>
      </c>
      <c r="D1293" s="110" t="s">
        <v>3039</v>
      </c>
      <c r="E1293" s="33" t="s">
        <v>46</v>
      </c>
      <c r="F1293" s="38"/>
      <c r="G1293" s="38"/>
      <c r="H1293" s="31"/>
      <c r="I1293" s="32"/>
      <c r="J1293" s="32"/>
      <c r="K1293" s="45" t="s">
        <v>888</v>
      </c>
      <c r="L1293" s="129"/>
      <c r="M1293" s="33" t="str">
        <f t="shared" si="20"/>
        <v/>
      </c>
      <c r="N1293" s="34" t="str">
        <f>IFERROR(IF(Tabela1[[#This Row],[Nome fantasia]]="","",_xlfn.XLOOKUP($C1293,Log!D:D,Log!B:B,,,-1)),"")</f>
        <v/>
      </c>
      <c r="O1293" s="35" t="str">
        <f>IFERROR(_xlfn.XLOOKUP($C1293,Log!D:D,Log!W:W,,,-1),"")</f>
        <v/>
      </c>
      <c r="P1293" s="35" t="str">
        <f>IFERROR(_xlfn.XLOOKUP($C1293,Log!D:D,Log!Y:Y,,,-1),"")</f>
        <v/>
      </c>
      <c r="Q1293" s="130"/>
      <c r="R1293" s="131" t="str">
        <f>IFERROR(IF(Tabela1[[#This Row],[Nome fantasia]]="","",_xlfn.XLOOKUP($C1293,Log!D:D,Log!X:X,,,-1)),"")</f>
        <v/>
      </c>
    </row>
    <row r="1294" spans="3:18" hidden="1" x14ac:dyDescent="0.2">
      <c r="C1294" s="30"/>
      <c r="D1294" s="110" t="s">
        <v>3040</v>
      </c>
      <c r="E1294" s="33" t="s">
        <v>46</v>
      </c>
      <c r="F1294" s="38"/>
      <c r="G1294" s="38"/>
      <c r="H1294" s="31"/>
      <c r="I1294" s="32"/>
      <c r="J1294" s="32"/>
      <c r="K1294" s="45" t="s">
        <v>888</v>
      </c>
      <c r="L1294" s="129"/>
      <c r="M1294" s="33" t="str">
        <f t="shared" si="20"/>
        <v/>
      </c>
      <c r="N1294" s="34" t="str">
        <f>IFERROR(IF(Tabela1[[#This Row],[Nome fantasia]]="","",_xlfn.XLOOKUP($C1294,Log!D:D,Log!B:B,,,-1)),"")</f>
        <v/>
      </c>
      <c r="O1294" s="35" t="str">
        <f>IFERROR(_xlfn.XLOOKUP($C1294,Log!D:D,Log!W:W,,,-1),"")</f>
        <v/>
      </c>
      <c r="P1294" s="35" t="str">
        <f>IFERROR(_xlfn.XLOOKUP($C1294,Log!D:D,Log!Y:Y,,,-1),"")</f>
        <v/>
      </c>
      <c r="Q1294" s="130"/>
      <c r="R1294" s="131" t="str">
        <f>IFERROR(IF(Tabela1[[#This Row],[Nome fantasia]]="","",_xlfn.XLOOKUP($C1294,Log!D:D,Log!X:X,,,-1)),"")</f>
        <v/>
      </c>
    </row>
    <row r="1295" spans="3:18" hidden="1" x14ac:dyDescent="0.2">
      <c r="C1295" s="30" t="s">
        <v>3041</v>
      </c>
      <c r="D1295" s="110" t="s">
        <v>3042</v>
      </c>
      <c r="E1295" s="33" t="s">
        <v>46</v>
      </c>
      <c r="F1295" s="38"/>
      <c r="G1295" s="38"/>
      <c r="H1295" s="31"/>
      <c r="I1295" s="32"/>
      <c r="J1295" s="32"/>
      <c r="K1295" s="45" t="s">
        <v>888</v>
      </c>
      <c r="L1295" s="129"/>
      <c r="M1295" s="33" t="str">
        <f t="shared" si="20"/>
        <v/>
      </c>
      <c r="N1295" s="34" t="str">
        <f>IFERROR(IF(Tabela1[[#This Row],[Nome fantasia]]="","",_xlfn.XLOOKUP($C1295,Log!D:D,Log!B:B,,,-1)),"")</f>
        <v/>
      </c>
      <c r="O1295" s="35" t="str">
        <f>IFERROR(_xlfn.XLOOKUP($C1295,Log!D:D,Log!W:W,,,-1),"")</f>
        <v/>
      </c>
      <c r="P1295" s="35" t="str">
        <f>IFERROR(_xlfn.XLOOKUP($C1295,Log!D:D,Log!Y:Y,,,-1),"")</f>
        <v/>
      </c>
      <c r="Q1295" s="130"/>
      <c r="R1295" s="131" t="str">
        <f>IFERROR(IF(Tabela1[[#This Row],[Nome fantasia]]="","",_xlfn.XLOOKUP($C1295,Log!D:D,Log!X:X,,,-1)),"")</f>
        <v/>
      </c>
    </row>
    <row r="1296" spans="3:18" hidden="1" x14ac:dyDescent="0.2">
      <c r="C1296" s="30" t="s">
        <v>3043</v>
      </c>
      <c r="D1296" s="110" t="s">
        <v>3044</v>
      </c>
      <c r="E1296" s="33" t="s">
        <v>17</v>
      </c>
      <c r="F1296" s="38"/>
      <c r="G1296" s="38"/>
      <c r="H1296" s="31"/>
      <c r="I1296" s="32"/>
      <c r="J1296" s="32"/>
      <c r="K1296" s="45" t="s">
        <v>888</v>
      </c>
      <c r="L1296" s="129"/>
      <c r="M1296" s="33" t="str">
        <f t="shared" si="20"/>
        <v/>
      </c>
      <c r="N1296" s="34" t="str">
        <f>IFERROR(IF(Tabela1[[#This Row],[Nome fantasia]]="","",_xlfn.XLOOKUP($C1296,Log!D:D,Log!B:B,,,-1)),"")</f>
        <v/>
      </c>
      <c r="O1296" s="35" t="str">
        <f>IFERROR(_xlfn.XLOOKUP($C1296,Log!D:D,Log!W:W,,,-1),"")</f>
        <v/>
      </c>
      <c r="P1296" s="35" t="str">
        <f>IFERROR(_xlfn.XLOOKUP($C1296,Log!D:D,Log!Y:Y,,,-1),"")</f>
        <v/>
      </c>
      <c r="Q1296" s="130"/>
      <c r="R1296" s="131" t="str">
        <f>IFERROR(IF(Tabela1[[#This Row],[Nome fantasia]]="","",_xlfn.XLOOKUP($C1296,Log!D:D,Log!X:X,,,-1)),"")</f>
        <v/>
      </c>
    </row>
    <row r="1297" spans="3:18" hidden="1" x14ac:dyDescent="0.2">
      <c r="C1297" s="30" t="s">
        <v>1748</v>
      </c>
      <c r="D1297" s="110" t="s">
        <v>3045</v>
      </c>
      <c r="E1297" s="33" t="s">
        <v>22</v>
      </c>
      <c r="F1297" s="38"/>
      <c r="G1297" s="38"/>
      <c r="H1297" s="31"/>
      <c r="I1297" s="32"/>
      <c r="J1297" s="32"/>
      <c r="K1297" s="45" t="s">
        <v>888</v>
      </c>
      <c r="L1297" s="129"/>
      <c r="M1297" s="33" t="str">
        <f t="shared" si="20"/>
        <v/>
      </c>
      <c r="N1297" s="34" t="str">
        <f>IFERROR(IF(Tabela1[[#This Row],[Nome fantasia]]="","",_xlfn.XLOOKUP($C1297,Log!D:D,Log!B:B,,,-1)),"")</f>
        <v/>
      </c>
      <c r="O1297" s="35" t="str">
        <f>IFERROR(_xlfn.XLOOKUP($C1297,Log!D:D,Log!W:W,,,-1),"")</f>
        <v/>
      </c>
      <c r="P1297" s="35" t="str">
        <f>IFERROR(_xlfn.XLOOKUP($C1297,Log!D:D,Log!Y:Y,,,-1),"")</f>
        <v/>
      </c>
      <c r="Q1297" s="130"/>
      <c r="R1297" s="131" t="str">
        <f>IFERROR(IF(Tabela1[[#This Row],[Nome fantasia]]="","",_xlfn.XLOOKUP($C1297,Log!D:D,Log!X:X,,,-1)),"")</f>
        <v/>
      </c>
    </row>
    <row r="1298" spans="3:18" hidden="1" x14ac:dyDescent="0.2">
      <c r="C1298" s="30" t="s">
        <v>3046</v>
      </c>
      <c r="D1298" s="110" t="s">
        <v>3047</v>
      </c>
      <c r="E1298" s="33" t="s">
        <v>17</v>
      </c>
      <c r="F1298" s="38"/>
      <c r="G1298" s="38"/>
      <c r="H1298" s="31"/>
      <c r="I1298" s="32"/>
      <c r="J1298" s="32"/>
      <c r="K1298" s="45" t="s">
        <v>888</v>
      </c>
      <c r="L1298" s="129"/>
      <c r="M1298" s="33" t="str">
        <f t="shared" si="20"/>
        <v/>
      </c>
      <c r="N1298" s="34">
        <f>IFERROR(IF(Tabela1[[#This Row],[Nome fantasia]]="","",_xlfn.XLOOKUP($C1298,Log!D:D,Log!B:B,,,-1)),"")</f>
        <v>46000</v>
      </c>
      <c r="O1298" s="35" t="str">
        <f>IFERROR(_xlfn.XLOOKUP($C1298,Log!D:D,Log!W:W,,,-1),"")</f>
        <v>EM ATENDIMENTO</v>
      </c>
      <c r="P1298" s="35" t="str">
        <f>IFERROR(_xlfn.XLOOKUP($C1298,Log!D:D,Log!Y:Y,,,-1),"")</f>
        <v>ENVIADO WHATSAPP, FUNCIONARIO PEDIU RETORNO PARA AMANHA PELA MANHA</v>
      </c>
      <c r="Q1298" s="130"/>
      <c r="R1298" s="131">
        <f>IFERROR(IF(Tabela1[[#This Row],[Nome fantasia]]="","",_xlfn.XLOOKUP($C1298,Log!D:D,Log!X:X,,,-1)),"")</f>
        <v>46002</v>
      </c>
    </row>
    <row r="1299" spans="3:18" hidden="1" x14ac:dyDescent="0.2">
      <c r="C1299" s="30"/>
      <c r="D1299" s="110" t="s">
        <v>3048</v>
      </c>
      <c r="E1299" s="33" t="s">
        <v>17</v>
      </c>
      <c r="F1299" s="38"/>
      <c r="G1299" s="38"/>
      <c r="H1299" s="31"/>
      <c r="I1299" s="32"/>
      <c r="J1299" s="32"/>
      <c r="K1299" s="45" t="s">
        <v>888</v>
      </c>
      <c r="L1299" s="129"/>
      <c r="M1299" s="33" t="str">
        <f t="shared" si="20"/>
        <v/>
      </c>
      <c r="N1299" s="34" t="str">
        <f>IFERROR(IF(Tabela1[[#This Row],[Nome fantasia]]="","",_xlfn.XLOOKUP($C1299,Log!D:D,Log!B:B,,,-1)),"")</f>
        <v/>
      </c>
      <c r="O1299" s="35" t="str">
        <f>IFERROR(_xlfn.XLOOKUP($C1299,Log!D:D,Log!W:W,,,-1),"")</f>
        <v/>
      </c>
      <c r="P1299" s="35" t="str">
        <f>IFERROR(_xlfn.XLOOKUP($C1299,Log!D:D,Log!Y:Y,,,-1),"")</f>
        <v/>
      </c>
      <c r="Q1299" s="130"/>
      <c r="R1299" s="131" t="str">
        <f>IFERROR(IF(Tabela1[[#This Row],[Nome fantasia]]="","",_xlfn.XLOOKUP($C1299,Log!D:D,Log!X:X,,,-1)),"")</f>
        <v/>
      </c>
    </row>
    <row r="1300" spans="3:18" hidden="1" x14ac:dyDescent="0.2">
      <c r="C1300" s="30" t="s">
        <v>3049</v>
      </c>
      <c r="D1300" s="110" t="s">
        <v>3050</v>
      </c>
      <c r="E1300" s="33" t="s">
        <v>17</v>
      </c>
      <c r="F1300" s="38"/>
      <c r="G1300" s="38"/>
      <c r="H1300" s="31"/>
      <c r="I1300" s="32"/>
      <c r="J1300" s="32"/>
      <c r="K1300" s="45" t="s">
        <v>888</v>
      </c>
      <c r="L1300" s="129"/>
      <c r="M1300" s="33" t="str">
        <f t="shared" si="20"/>
        <v/>
      </c>
      <c r="N1300" s="34" t="str">
        <f>IFERROR(IF(Tabela1[[#This Row],[Nome fantasia]]="","",_xlfn.XLOOKUP($C1300,Log!D:D,Log!B:B,,,-1)),"")</f>
        <v/>
      </c>
      <c r="O1300" s="35" t="str">
        <f>IFERROR(_xlfn.XLOOKUP($C1300,Log!D:D,Log!W:W,,,-1),"")</f>
        <v/>
      </c>
      <c r="P1300" s="35" t="str">
        <f>IFERROR(_xlfn.XLOOKUP($C1300,Log!D:D,Log!Y:Y,,,-1),"")</f>
        <v/>
      </c>
      <c r="Q1300" s="130"/>
      <c r="R1300" s="131" t="str">
        <f>IFERROR(IF(Tabela1[[#This Row],[Nome fantasia]]="","",_xlfn.XLOOKUP($C1300,Log!D:D,Log!X:X,,,-1)),"")</f>
        <v/>
      </c>
    </row>
    <row r="1301" spans="3:18" hidden="1" x14ac:dyDescent="0.2">
      <c r="C1301" s="30" t="s">
        <v>3051</v>
      </c>
      <c r="D1301" s="110" t="s">
        <v>3052</v>
      </c>
      <c r="E1301" s="33" t="s">
        <v>46</v>
      </c>
      <c r="F1301" s="38"/>
      <c r="G1301" s="38"/>
      <c r="H1301" s="31"/>
      <c r="I1301" s="32"/>
      <c r="J1301" s="32"/>
      <c r="K1301" s="45" t="s">
        <v>888</v>
      </c>
      <c r="L1301" s="129"/>
      <c r="M1301" s="33" t="str">
        <f t="shared" si="20"/>
        <v/>
      </c>
      <c r="N1301" s="34" t="str">
        <f>IFERROR(IF(Tabela1[[#This Row],[Nome fantasia]]="","",_xlfn.XLOOKUP($C1301,Log!D:D,Log!B:B,,,-1)),"")</f>
        <v/>
      </c>
      <c r="O1301" s="35" t="str">
        <f>IFERROR(_xlfn.XLOOKUP($C1301,Log!D:D,Log!W:W,,,-1),"")</f>
        <v/>
      </c>
      <c r="P1301" s="35" t="str">
        <f>IFERROR(_xlfn.XLOOKUP($C1301,Log!D:D,Log!Y:Y,,,-1),"")</f>
        <v/>
      </c>
      <c r="Q1301" s="130"/>
      <c r="R1301" s="131" t="str">
        <f>IFERROR(IF(Tabela1[[#This Row],[Nome fantasia]]="","",_xlfn.XLOOKUP($C1301,Log!D:D,Log!X:X,,,-1)),"")</f>
        <v/>
      </c>
    </row>
    <row r="1302" spans="3:18" hidden="1" x14ac:dyDescent="0.2">
      <c r="C1302" s="30" t="s">
        <v>3053</v>
      </c>
      <c r="D1302" s="110" t="s">
        <v>3054</v>
      </c>
      <c r="E1302" s="33" t="s">
        <v>22</v>
      </c>
      <c r="F1302" s="38"/>
      <c r="G1302" s="38"/>
      <c r="H1302" s="31"/>
      <c r="I1302" s="32"/>
      <c r="J1302" s="32"/>
      <c r="K1302" s="45" t="s">
        <v>888</v>
      </c>
      <c r="L1302" s="129"/>
      <c r="M1302" s="33" t="str">
        <f t="shared" si="20"/>
        <v/>
      </c>
      <c r="N1302" s="34" t="str">
        <f>IFERROR(IF(Tabela1[[#This Row],[Nome fantasia]]="","",_xlfn.XLOOKUP($C1302,Log!D:D,Log!B:B,,,-1)),"")</f>
        <v/>
      </c>
      <c r="O1302" s="35" t="str">
        <f>IFERROR(_xlfn.XLOOKUP($C1302,Log!D:D,Log!W:W,,,-1),"")</f>
        <v/>
      </c>
      <c r="P1302" s="35" t="str">
        <f>IFERROR(_xlfn.XLOOKUP($C1302,Log!D:D,Log!Y:Y,,,-1),"")</f>
        <v/>
      </c>
      <c r="Q1302" s="130"/>
      <c r="R1302" s="131" t="str">
        <f>IFERROR(IF(Tabela1[[#This Row],[Nome fantasia]]="","",_xlfn.XLOOKUP($C1302,Log!D:D,Log!X:X,,,-1)),"")</f>
        <v/>
      </c>
    </row>
    <row r="1303" spans="3:18" hidden="1" x14ac:dyDescent="0.2">
      <c r="C1303" s="30" t="s">
        <v>3055</v>
      </c>
      <c r="D1303" s="110" t="s">
        <v>3056</v>
      </c>
      <c r="E1303" s="33" t="s">
        <v>46</v>
      </c>
      <c r="F1303" s="38"/>
      <c r="G1303" s="38"/>
      <c r="H1303" s="31"/>
      <c r="I1303" s="32"/>
      <c r="J1303" s="32"/>
      <c r="K1303" s="45" t="s">
        <v>888</v>
      </c>
      <c r="L1303" s="129"/>
      <c r="M1303" s="33" t="str">
        <f t="shared" si="20"/>
        <v/>
      </c>
      <c r="N1303" s="34" t="str">
        <f>IFERROR(IF(Tabela1[[#This Row],[Nome fantasia]]="","",_xlfn.XLOOKUP($C1303,Log!D:D,Log!B:B,,,-1)),"")</f>
        <v/>
      </c>
      <c r="O1303" s="35" t="str">
        <f>IFERROR(_xlfn.XLOOKUP($C1303,Log!D:D,Log!W:W,,,-1),"")</f>
        <v/>
      </c>
      <c r="P1303" s="35" t="str">
        <f>IFERROR(_xlfn.XLOOKUP($C1303,Log!D:D,Log!Y:Y,,,-1),"")</f>
        <v/>
      </c>
      <c r="Q1303" s="130"/>
      <c r="R1303" s="131" t="str">
        <f>IFERROR(IF(Tabela1[[#This Row],[Nome fantasia]]="","",_xlfn.XLOOKUP($C1303,Log!D:D,Log!X:X,,,-1)),"")</f>
        <v/>
      </c>
    </row>
    <row r="1304" spans="3:18" hidden="1" x14ac:dyDescent="0.2">
      <c r="C1304" s="30" t="s">
        <v>3057</v>
      </c>
      <c r="D1304" s="110" t="s">
        <v>3058</v>
      </c>
      <c r="E1304" s="33" t="s">
        <v>46</v>
      </c>
      <c r="F1304" s="38"/>
      <c r="G1304" s="38"/>
      <c r="H1304" s="31"/>
      <c r="I1304" s="32"/>
      <c r="J1304" s="32"/>
      <c r="K1304" s="45" t="s">
        <v>888</v>
      </c>
      <c r="L1304" s="129"/>
      <c r="M1304" s="33" t="str">
        <f t="shared" si="20"/>
        <v/>
      </c>
      <c r="N1304" s="34" t="str">
        <f>IFERROR(IF(Tabela1[[#This Row],[Nome fantasia]]="","",_xlfn.XLOOKUP($C1304,Log!D:D,Log!B:B,,,-1)),"")</f>
        <v/>
      </c>
      <c r="O1304" s="35" t="str">
        <f>IFERROR(_xlfn.XLOOKUP($C1304,Log!D:D,Log!W:W,,,-1),"")</f>
        <v/>
      </c>
      <c r="P1304" s="35" t="str">
        <f>IFERROR(_xlfn.XLOOKUP($C1304,Log!D:D,Log!Y:Y,,,-1),"")</f>
        <v/>
      </c>
      <c r="Q1304" s="130"/>
      <c r="R1304" s="131" t="str">
        <f>IFERROR(IF(Tabela1[[#This Row],[Nome fantasia]]="","",_xlfn.XLOOKUP($C1304,Log!D:D,Log!X:X,,,-1)),"")</f>
        <v/>
      </c>
    </row>
    <row r="1305" spans="3:18" hidden="1" x14ac:dyDescent="0.2">
      <c r="C1305" s="30" t="s">
        <v>3059</v>
      </c>
      <c r="D1305" s="110" t="s">
        <v>3060</v>
      </c>
      <c r="E1305" s="33" t="s">
        <v>46</v>
      </c>
      <c r="F1305" s="38"/>
      <c r="G1305" s="38"/>
      <c r="H1305" s="31"/>
      <c r="I1305" s="32"/>
      <c r="J1305" s="32"/>
      <c r="K1305" s="45" t="s">
        <v>888</v>
      </c>
      <c r="L1305" s="129"/>
      <c r="M1305" s="33" t="str">
        <f t="shared" si="20"/>
        <v/>
      </c>
      <c r="N1305" s="34" t="str">
        <f>IFERROR(IF(Tabela1[[#This Row],[Nome fantasia]]="","",_xlfn.XLOOKUP($C1305,Log!D:D,Log!B:B,,,-1)),"")</f>
        <v/>
      </c>
      <c r="O1305" s="35" t="str">
        <f>IFERROR(_xlfn.XLOOKUP($C1305,Log!D:D,Log!W:W,,,-1),"")</f>
        <v/>
      </c>
      <c r="P1305" s="35" t="str">
        <f>IFERROR(_xlfn.XLOOKUP($C1305,Log!D:D,Log!Y:Y,,,-1),"")</f>
        <v/>
      </c>
      <c r="Q1305" s="130"/>
      <c r="R1305" s="131" t="str">
        <f>IFERROR(IF(Tabela1[[#This Row],[Nome fantasia]]="","",_xlfn.XLOOKUP($C1305,Log!D:D,Log!X:X,,,-1)),"")</f>
        <v/>
      </c>
    </row>
    <row r="1306" spans="3:18" hidden="1" x14ac:dyDescent="0.2">
      <c r="C1306" s="30" t="s">
        <v>3061</v>
      </c>
      <c r="D1306" s="110" t="s">
        <v>3062</v>
      </c>
      <c r="E1306" s="33" t="s">
        <v>22</v>
      </c>
      <c r="F1306" s="38"/>
      <c r="G1306" s="38"/>
      <c r="H1306" s="31"/>
      <c r="I1306" s="32"/>
      <c r="J1306" s="32"/>
      <c r="K1306" s="45" t="s">
        <v>888</v>
      </c>
      <c r="L1306" s="129"/>
      <c r="M1306" s="33" t="str">
        <f t="shared" si="20"/>
        <v/>
      </c>
      <c r="N1306" s="34" t="str">
        <f>IFERROR(IF(Tabela1[[#This Row],[Nome fantasia]]="","",_xlfn.XLOOKUP($C1306,Log!D:D,Log!B:B,,,-1)),"")</f>
        <v/>
      </c>
      <c r="O1306" s="35" t="str">
        <f>IFERROR(_xlfn.XLOOKUP($C1306,Log!D:D,Log!W:W,,,-1),"")</f>
        <v/>
      </c>
      <c r="P1306" s="35" t="str">
        <f>IFERROR(_xlfn.XLOOKUP($C1306,Log!D:D,Log!Y:Y,,,-1),"")</f>
        <v/>
      </c>
      <c r="Q1306" s="130"/>
      <c r="R1306" s="131" t="str">
        <f>IFERROR(IF(Tabela1[[#This Row],[Nome fantasia]]="","",_xlfn.XLOOKUP($C1306,Log!D:D,Log!X:X,,,-1)),"")</f>
        <v/>
      </c>
    </row>
    <row r="1307" spans="3:18" hidden="1" x14ac:dyDescent="0.2">
      <c r="C1307" s="30" t="s">
        <v>3063</v>
      </c>
      <c r="D1307" s="110" t="s">
        <v>3064</v>
      </c>
      <c r="E1307" s="33" t="s">
        <v>46</v>
      </c>
      <c r="F1307" s="38"/>
      <c r="G1307" s="38"/>
      <c r="H1307" s="31"/>
      <c r="I1307" s="32"/>
      <c r="J1307" s="32"/>
      <c r="K1307" s="45" t="s">
        <v>888</v>
      </c>
      <c r="L1307" s="129"/>
      <c r="M1307" s="33" t="str">
        <f t="shared" si="20"/>
        <v/>
      </c>
      <c r="N1307" s="34" t="str">
        <f>IFERROR(IF(Tabela1[[#This Row],[Nome fantasia]]="","",_xlfn.XLOOKUP($C1307,Log!D:D,Log!B:B,,,-1)),"")</f>
        <v/>
      </c>
      <c r="O1307" s="35" t="str">
        <f>IFERROR(_xlfn.XLOOKUP($C1307,Log!D:D,Log!W:W,,,-1),"")</f>
        <v/>
      </c>
      <c r="P1307" s="35" t="str">
        <f>IFERROR(_xlfn.XLOOKUP($C1307,Log!D:D,Log!Y:Y,,,-1),"")</f>
        <v/>
      </c>
      <c r="Q1307" s="130"/>
      <c r="R1307" s="131" t="str">
        <f>IFERROR(IF(Tabela1[[#This Row],[Nome fantasia]]="","",_xlfn.XLOOKUP($C1307,Log!D:D,Log!X:X,,,-1)),"")</f>
        <v/>
      </c>
    </row>
    <row r="1308" spans="3:18" hidden="1" x14ac:dyDescent="0.2">
      <c r="C1308" s="30" t="s">
        <v>3065</v>
      </c>
      <c r="D1308" s="110" t="s">
        <v>3066</v>
      </c>
      <c r="E1308" s="33" t="s">
        <v>46</v>
      </c>
      <c r="F1308" s="38"/>
      <c r="G1308" s="38"/>
      <c r="H1308" s="31"/>
      <c r="I1308" s="32"/>
      <c r="J1308" s="32"/>
      <c r="K1308" s="45" t="s">
        <v>888</v>
      </c>
      <c r="L1308" s="129"/>
      <c r="M1308" s="33" t="str">
        <f t="shared" si="20"/>
        <v/>
      </c>
      <c r="N1308" s="34" t="str">
        <f>IFERROR(IF(Tabela1[[#This Row],[Nome fantasia]]="","",_xlfn.XLOOKUP($C1308,Log!D:D,Log!B:B,,,-1)),"")</f>
        <v/>
      </c>
      <c r="O1308" s="35" t="str">
        <f>IFERROR(_xlfn.XLOOKUP($C1308,Log!D:D,Log!W:W,,,-1),"")</f>
        <v/>
      </c>
      <c r="P1308" s="35" t="str">
        <f>IFERROR(_xlfn.XLOOKUP($C1308,Log!D:D,Log!Y:Y,,,-1),"")</f>
        <v/>
      </c>
      <c r="Q1308" s="130"/>
      <c r="R1308" s="131" t="str">
        <f>IFERROR(IF(Tabela1[[#This Row],[Nome fantasia]]="","",_xlfn.XLOOKUP($C1308,Log!D:D,Log!X:X,,,-1)),"")</f>
        <v/>
      </c>
    </row>
    <row r="1309" spans="3:18" hidden="1" x14ac:dyDescent="0.2">
      <c r="C1309" s="30" t="s">
        <v>3067</v>
      </c>
      <c r="D1309" s="110" t="s">
        <v>3068</v>
      </c>
      <c r="E1309" s="33" t="s">
        <v>17</v>
      </c>
      <c r="F1309" s="38"/>
      <c r="G1309" s="38"/>
      <c r="H1309" s="31"/>
      <c r="I1309" s="32"/>
      <c r="J1309" s="32"/>
      <c r="K1309" s="45" t="s">
        <v>888</v>
      </c>
      <c r="L1309" s="129"/>
      <c r="M1309" s="33" t="str">
        <f t="shared" si="20"/>
        <v/>
      </c>
      <c r="N1309" s="34" t="str">
        <f>IFERROR(IF(Tabela1[[#This Row],[Nome fantasia]]="","",_xlfn.XLOOKUP($C1309,Log!D:D,Log!B:B,,,-1)),"")</f>
        <v/>
      </c>
      <c r="O1309" s="35" t="str">
        <f>IFERROR(_xlfn.XLOOKUP($C1309,Log!D:D,Log!W:W,,,-1),"")</f>
        <v/>
      </c>
      <c r="P1309" s="35" t="str">
        <f>IFERROR(_xlfn.XLOOKUP($C1309,Log!D:D,Log!Y:Y,,,-1),"")</f>
        <v/>
      </c>
      <c r="Q1309" s="130"/>
      <c r="R1309" s="131" t="str">
        <f>IFERROR(IF(Tabela1[[#This Row],[Nome fantasia]]="","",_xlfn.XLOOKUP($C1309,Log!D:D,Log!X:X,,,-1)),"")</f>
        <v/>
      </c>
    </row>
    <row r="1310" spans="3:18" hidden="1" x14ac:dyDescent="0.2">
      <c r="C1310" s="30" t="s">
        <v>3069</v>
      </c>
      <c r="D1310" s="110" t="s">
        <v>3070</v>
      </c>
      <c r="E1310" s="33" t="s">
        <v>46</v>
      </c>
      <c r="F1310" s="38"/>
      <c r="G1310" s="38"/>
      <c r="H1310" s="31"/>
      <c r="I1310" s="32"/>
      <c r="J1310" s="32"/>
      <c r="K1310" s="45" t="s">
        <v>888</v>
      </c>
      <c r="L1310" s="129"/>
      <c r="M1310" s="33" t="str">
        <f t="shared" si="20"/>
        <v/>
      </c>
      <c r="N1310" s="34" t="str">
        <f>IFERROR(IF(Tabela1[[#This Row],[Nome fantasia]]="","",_xlfn.XLOOKUP($C1310,Log!D:D,Log!B:B,,,-1)),"")</f>
        <v/>
      </c>
      <c r="O1310" s="35" t="str">
        <f>IFERROR(_xlfn.XLOOKUP($C1310,Log!D:D,Log!W:W,,,-1),"")</f>
        <v/>
      </c>
      <c r="P1310" s="35" t="str">
        <f>IFERROR(_xlfn.XLOOKUP($C1310,Log!D:D,Log!Y:Y,,,-1),"")</f>
        <v/>
      </c>
      <c r="Q1310" s="130"/>
      <c r="R1310" s="131" t="str">
        <f>IFERROR(IF(Tabela1[[#This Row],[Nome fantasia]]="","",_xlfn.XLOOKUP($C1310,Log!D:D,Log!X:X,,,-1)),"")</f>
        <v/>
      </c>
    </row>
    <row r="1311" spans="3:18" hidden="1" x14ac:dyDescent="0.2">
      <c r="C1311" s="30" t="s">
        <v>3071</v>
      </c>
      <c r="D1311" s="110" t="s">
        <v>3072</v>
      </c>
      <c r="E1311" s="33" t="s">
        <v>17</v>
      </c>
      <c r="F1311" s="38"/>
      <c r="G1311" s="38"/>
      <c r="H1311" s="31"/>
      <c r="I1311" s="32"/>
      <c r="J1311" s="32"/>
      <c r="K1311" s="45" t="s">
        <v>888</v>
      </c>
      <c r="L1311" s="129"/>
      <c r="M1311" s="33" t="str">
        <f t="shared" si="20"/>
        <v/>
      </c>
      <c r="N1311" s="34" t="str">
        <f>IFERROR(IF(Tabela1[[#This Row],[Nome fantasia]]="","",_xlfn.XLOOKUP($C1311,Log!D:D,Log!B:B,,,-1)),"")</f>
        <v/>
      </c>
      <c r="O1311" s="35" t="str">
        <f>IFERROR(_xlfn.XLOOKUP($C1311,Log!D:D,Log!W:W,,,-1),"")</f>
        <v/>
      </c>
      <c r="P1311" s="35" t="str">
        <f>IFERROR(_xlfn.XLOOKUP($C1311,Log!D:D,Log!Y:Y,,,-1),"")</f>
        <v/>
      </c>
      <c r="Q1311" s="130"/>
      <c r="R1311" s="131" t="str">
        <f>IFERROR(IF(Tabela1[[#This Row],[Nome fantasia]]="","",_xlfn.XLOOKUP($C1311,Log!D:D,Log!X:X,,,-1)),"")</f>
        <v/>
      </c>
    </row>
    <row r="1312" spans="3:18" hidden="1" x14ac:dyDescent="0.2">
      <c r="C1312" s="30" t="s">
        <v>3073</v>
      </c>
      <c r="D1312" s="110" t="s">
        <v>3074</v>
      </c>
      <c r="E1312" s="33" t="s">
        <v>46</v>
      </c>
      <c r="F1312" s="38"/>
      <c r="G1312" s="38"/>
      <c r="H1312" s="31"/>
      <c r="I1312" s="32"/>
      <c r="J1312" s="32"/>
      <c r="K1312" s="45" t="s">
        <v>888</v>
      </c>
      <c r="L1312" s="129"/>
      <c r="M1312" s="33" t="str">
        <f t="shared" si="20"/>
        <v/>
      </c>
      <c r="N1312" s="34" t="str">
        <f>IFERROR(IF(Tabela1[[#This Row],[Nome fantasia]]="","",_xlfn.XLOOKUP($C1312,Log!D:D,Log!B:B,,,-1)),"")</f>
        <v/>
      </c>
      <c r="O1312" s="35" t="str">
        <f>IFERROR(_xlfn.XLOOKUP($C1312,Log!D:D,Log!W:W,,,-1),"")</f>
        <v/>
      </c>
      <c r="P1312" s="35" t="str">
        <f>IFERROR(_xlfn.XLOOKUP($C1312,Log!D:D,Log!Y:Y,,,-1),"")</f>
        <v/>
      </c>
      <c r="Q1312" s="130"/>
      <c r="R1312" s="131" t="str">
        <f>IFERROR(IF(Tabela1[[#This Row],[Nome fantasia]]="","",_xlfn.XLOOKUP($C1312,Log!D:D,Log!X:X,,,-1)),"")</f>
        <v/>
      </c>
    </row>
    <row r="1313" spans="3:18" hidden="1" x14ac:dyDescent="0.2">
      <c r="C1313" s="30" t="s">
        <v>3075</v>
      </c>
      <c r="D1313" s="110" t="s">
        <v>3076</v>
      </c>
      <c r="E1313" s="33" t="s">
        <v>22</v>
      </c>
      <c r="F1313" s="38"/>
      <c r="G1313" s="38"/>
      <c r="H1313" s="31"/>
      <c r="I1313" s="32"/>
      <c r="J1313" s="32"/>
      <c r="K1313" s="45" t="s">
        <v>888</v>
      </c>
      <c r="L1313" s="129"/>
      <c r="M1313" s="33" t="str">
        <f t="shared" si="20"/>
        <v/>
      </c>
      <c r="N1313" s="34" t="str">
        <f>IFERROR(IF(Tabela1[[#This Row],[Nome fantasia]]="","",_xlfn.XLOOKUP($C1313,Log!D:D,Log!B:B,,,-1)),"")</f>
        <v/>
      </c>
      <c r="O1313" s="35" t="str">
        <f>IFERROR(_xlfn.XLOOKUP($C1313,Log!D:D,Log!W:W,,,-1),"")</f>
        <v/>
      </c>
      <c r="P1313" s="35" t="str">
        <f>IFERROR(_xlfn.XLOOKUP($C1313,Log!D:D,Log!Y:Y,,,-1),"")</f>
        <v/>
      </c>
      <c r="Q1313" s="130"/>
      <c r="R1313" s="131" t="str">
        <f>IFERROR(IF(Tabela1[[#This Row],[Nome fantasia]]="","",_xlfn.XLOOKUP($C1313,Log!D:D,Log!X:X,,,-1)),"")</f>
        <v/>
      </c>
    </row>
    <row r="1314" spans="3:18" hidden="1" x14ac:dyDescent="0.2">
      <c r="C1314" s="30" t="s">
        <v>3077</v>
      </c>
      <c r="D1314" s="110" t="s">
        <v>3078</v>
      </c>
      <c r="E1314" s="33" t="s">
        <v>46</v>
      </c>
      <c r="F1314" s="38"/>
      <c r="G1314" s="38"/>
      <c r="H1314" s="31"/>
      <c r="I1314" s="32"/>
      <c r="J1314" s="32"/>
      <c r="K1314" s="45" t="s">
        <v>888</v>
      </c>
      <c r="L1314" s="129"/>
      <c r="M1314" s="33" t="str">
        <f t="shared" si="20"/>
        <v/>
      </c>
      <c r="N1314" s="34" t="str">
        <f>IFERROR(IF(Tabela1[[#This Row],[Nome fantasia]]="","",_xlfn.XLOOKUP($C1314,Log!D:D,Log!B:B,,,-1)),"")</f>
        <v/>
      </c>
      <c r="O1314" s="35" t="str">
        <f>IFERROR(_xlfn.XLOOKUP($C1314,Log!D:D,Log!W:W,,,-1),"")</f>
        <v/>
      </c>
      <c r="P1314" s="35" t="str">
        <f>IFERROR(_xlfn.XLOOKUP($C1314,Log!D:D,Log!Y:Y,,,-1),"")</f>
        <v/>
      </c>
      <c r="Q1314" s="130"/>
      <c r="R1314" s="131" t="str">
        <f>IFERROR(IF(Tabela1[[#This Row],[Nome fantasia]]="","",_xlfn.XLOOKUP($C1314,Log!D:D,Log!X:X,,,-1)),"")</f>
        <v/>
      </c>
    </row>
    <row r="1315" spans="3:18" hidden="1" x14ac:dyDescent="0.2">
      <c r="C1315" s="30" t="s">
        <v>3079</v>
      </c>
      <c r="D1315" s="110" t="s">
        <v>3080</v>
      </c>
      <c r="E1315" s="33" t="s">
        <v>46</v>
      </c>
      <c r="F1315" s="38"/>
      <c r="G1315" s="38"/>
      <c r="H1315" s="31"/>
      <c r="I1315" s="32"/>
      <c r="J1315" s="32"/>
      <c r="K1315" s="45" t="s">
        <v>888</v>
      </c>
      <c r="L1315" s="129"/>
      <c r="M1315" s="33" t="str">
        <f t="shared" si="20"/>
        <v/>
      </c>
      <c r="N1315" s="34" t="str">
        <f>IFERROR(IF(Tabela1[[#This Row],[Nome fantasia]]="","",_xlfn.XLOOKUP($C1315,Log!D:D,Log!B:B,,,-1)),"")</f>
        <v/>
      </c>
      <c r="O1315" s="35" t="str">
        <f>IFERROR(_xlfn.XLOOKUP($C1315,Log!D:D,Log!W:W,,,-1),"")</f>
        <v/>
      </c>
      <c r="P1315" s="35" t="str">
        <f>IFERROR(_xlfn.XLOOKUP($C1315,Log!D:D,Log!Y:Y,,,-1),"")</f>
        <v/>
      </c>
      <c r="Q1315" s="130"/>
      <c r="R1315" s="131" t="str">
        <f>IFERROR(IF(Tabela1[[#This Row],[Nome fantasia]]="","",_xlfn.XLOOKUP($C1315,Log!D:D,Log!X:X,,,-1)),"")</f>
        <v/>
      </c>
    </row>
    <row r="1316" spans="3:18" hidden="1" x14ac:dyDescent="0.2">
      <c r="C1316" s="30" t="s">
        <v>50</v>
      </c>
      <c r="D1316" s="110" t="s">
        <v>3081</v>
      </c>
      <c r="E1316" s="33" t="s">
        <v>46</v>
      </c>
      <c r="F1316" s="38"/>
      <c r="G1316" s="38"/>
      <c r="H1316" s="31"/>
      <c r="I1316" s="32"/>
      <c r="J1316" s="32"/>
      <c r="K1316" s="45" t="s">
        <v>888</v>
      </c>
      <c r="L1316" s="129"/>
      <c r="M1316" s="33" t="str">
        <f t="shared" si="20"/>
        <v/>
      </c>
      <c r="N1316" s="34">
        <f>IFERROR(IF(Tabela1[[#This Row],[Nome fantasia]]="","",_xlfn.XLOOKUP($C1316,Log!D:D,Log!B:B,,,-1)),"")</f>
        <v>45903</v>
      </c>
      <c r="O1316" s="35" t="str">
        <f>IFERROR(_xlfn.XLOOKUP($C1316,Log!D:D,Log!W:W,,,-1),"")</f>
        <v>VENDA</v>
      </c>
      <c r="P1316" s="35" t="str">
        <f>IFERROR(_xlfn.XLOOKUP($C1316,Log!D:D,Log!Y:Y,,,-1),"")</f>
        <v xml:space="preserve">RECOMPRA </v>
      </c>
      <c r="Q1316" s="130"/>
      <c r="R1316" s="131">
        <f>IFERROR(IF(Tabela1[[#This Row],[Nome fantasia]]="","",_xlfn.XLOOKUP($C1316,Log!D:D,Log!X:X,,,-1)),"")</f>
        <v>45966</v>
      </c>
    </row>
    <row r="1317" spans="3:18" hidden="1" x14ac:dyDescent="0.2">
      <c r="C1317" s="30" t="s">
        <v>3082</v>
      </c>
      <c r="D1317" s="110" t="s">
        <v>3083</v>
      </c>
      <c r="E1317" s="33" t="s">
        <v>46</v>
      </c>
      <c r="F1317" s="38"/>
      <c r="G1317" s="38"/>
      <c r="H1317" s="31"/>
      <c r="I1317" s="32"/>
      <c r="J1317" s="32"/>
      <c r="K1317" s="45" t="s">
        <v>888</v>
      </c>
      <c r="L1317" s="129"/>
      <c r="M1317" s="33" t="str">
        <f t="shared" si="20"/>
        <v/>
      </c>
      <c r="N1317" s="34">
        <f>IFERROR(IF(Tabela1[[#This Row],[Nome fantasia]]="","",_xlfn.XLOOKUP($C1317,Log!D:D,Log!B:B,,,-1)),"")</f>
        <v>45999</v>
      </c>
      <c r="O1317" s="35" t="str">
        <f>IFERROR(_xlfn.XLOOKUP($C1317,Log!D:D,Log!W:W,,,-1),"")</f>
        <v>EM ATENDIMENTO</v>
      </c>
      <c r="P1317" s="35" t="str">
        <f>IFERROR(_xlfn.XLOOKUP($C1317,Log!D:D,Log!Y:Y,,,-1),"")</f>
        <v>TENTEI EM TODOS OS NUMEROS POSSIVEIS, NENHUM COMPLETA A LIGAÇÃO</v>
      </c>
      <c r="Q1317" s="130"/>
      <c r="R1317" s="131">
        <f>IFERROR(IF(Tabela1[[#This Row],[Nome fantasia]]="","",_xlfn.XLOOKUP($C1317,Log!D:D,Log!X:X,,,-1)),"")</f>
        <v>46001</v>
      </c>
    </row>
    <row r="1318" spans="3:18" hidden="1" x14ac:dyDescent="0.2">
      <c r="C1318" s="30" t="s">
        <v>3084</v>
      </c>
      <c r="D1318" s="110" t="s">
        <v>3085</v>
      </c>
      <c r="E1318" s="33" t="s">
        <v>46</v>
      </c>
      <c r="F1318" s="38"/>
      <c r="G1318" s="38"/>
      <c r="H1318" s="31"/>
      <c r="I1318" s="32"/>
      <c r="J1318" s="32"/>
      <c r="K1318" s="45" t="s">
        <v>888</v>
      </c>
      <c r="L1318" s="129"/>
      <c r="M1318" s="33" t="str">
        <f t="shared" si="20"/>
        <v/>
      </c>
      <c r="N1318" s="34" t="str">
        <f>IFERROR(IF(Tabela1[[#This Row],[Nome fantasia]]="","",_xlfn.XLOOKUP($C1318,Log!D:D,Log!B:B,,,-1)),"")</f>
        <v/>
      </c>
      <c r="O1318" s="35" t="str">
        <f>IFERROR(_xlfn.XLOOKUP($C1318,Log!D:D,Log!W:W,,,-1),"")</f>
        <v/>
      </c>
      <c r="P1318" s="35" t="str">
        <f>IFERROR(_xlfn.XLOOKUP($C1318,Log!D:D,Log!Y:Y,,,-1),"")</f>
        <v/>
      </c>
      <c r="Q1318" s="130"/>
      <c r="R1318" s="131" t="str">
        <f>IFERROR(IF(Tabela1[[#This Row],[Nome fantasia]]="","",_xlfn.XLOOKUP($C1318,Log!D:D,Log!X:X,,,-1)),"")</f>
        <v/>
      </c>
    </row>
    <row r="1319" spans="3:18" hidden="1" x14ac:dyDescent="0.2">
      <c r="C1319" s="30" t="s">
        <v>3086</v>
      </c>
      <c r="D1319" s="110" t="s">
        <v>3087</v>
      </c>
      <c r="E1319" s="33" t="s">
        <v>46</v>
      </c>
      <c r="F1319" s="38"/>
      <c r="G1319" s="38"/>
      <c r="H1319" s="31"/>
      <c r="I1319" s="32"/>
      <c r="J1319" s="32"/>
      <c r="K1319" s="45" t="s">
        <v>888</v>
      </c>
      <c r="L1319" s="129"/>
      <c r="M1319" s="33" t="str">
        <f t="shared" si="20"/>
        <v/>
      </c>
      <c r="N1319" s="34" t="str">
        <f>IFERROR(IF(Tabela1[[#This Row],[Nome fantasia]]="","",_xlfn.XLOOKUP($C1319,Log!D:D,Log!B:B,,,-1)),"")</f>
        <v/>
      </c>
      <c r="O1319" s="35" t="str">
        <f>IFERROR(_xlfn.XLOOKUP($C1319,Log!D:D,Log!W:W,,,-1),"")</f>
        <v/>
      </c>
      <c r="P1319" s="35" t="str">
        <f>IFERROR(_xlfn.XLOOKUP($C1319,Log!D:D,Log!Y:Y,,,-1),"")</f>
        <v/>
      </c>
      <c r="Q1319" s="130"/>
      <c r="R1319" s="131" t="str">
        <f>IFERROR(IF(Tabela1[[#This Row],[Nome fantasia]]="","",_xlfn.XLOOKUP($C1319,Log!D:D,Log!X:X,,,-1)),"")</f>
        <v/>
      </c>
    </row>
    <row r="1320" spans="3:18" hidden="1" x14ac:dyDescent="0.2">
      <c r="C1320" s="30" t="s">
        <v>3088</v>
      </c>
      <c r="D1320" s="110" t="s">
        <v>3089</v>
      </c>
      <c r="E1320" s="33" t="s">
        <v>46</v>
      </c>
      <c r="F1320" s="38"/>
      <c r="G1320" s="38"/>
      <c r="H1320" s="31"/>
      <c r="I1320" s="32"/>
      <c r="J1320" s="32"/>
      <c r="K1320" s="45" t="s">
        <v>888</v>
      </c>
      <c r="L1320" s="129"/>
      <c r="M1320" s="33" t="str">
        <f t="shared" si="20"/>
        <v/>
      </c>
      <c r="N1320" s="34" t="str">
        <f>IFERROR(IF(Tabela1[[#This Row],[Nome fantasia]]="","",_xlfn.XLOOKUP($C1320,Log!D:D,Log!B:B,,,-1)),"")</f>
        <v/>
      </c>
      <c r="O1320" s="35" t="str">
        <f>IFERROR(_xlfn.XLOOKUP($C1320,Log!D:D,Log!W:W,,,-1),"")</f>
        <v/>
      </c>
      <c r="P1320" s="35" t="str">
        <f>IFERROR(_xlfn.XLOOKUP($C1320,Log!D:D,Log!Y:Y,,,-1),"")</f>
        <v/>
      </c>
      <c r="Q1320" s="130"/>
      <c r="R1320" s="131" t="str">
        <f>IFERROR(IF(Tabela1[[#This Row],[Nome fantasia]]="","",_xlfn.XLOOKUP($C1320,Log!D:D,Log!X:X,,,-1)),"")</f>
        <v/>
      </c>
    </row>
    <row r="1321" spans="3:18" hidden="1" x14ac:dyDescent="0.2">
      <c r="C1321" s="30" t="s">
        <v>3090</v>
      </c>
      <c r="D1321" s="110" t="s">
        <v>3091</v>
      </c>
      <c r="E1321" s="33" t="s">
        <v>22</v>
      </c>
      <c r="F1321" s="38"/>
      <c r="G1321" s="38"/>
      <c r="H1321" s="31"/>
      <c r="I1321" s="32"/>
      <c r="J1321" s="32"/>
      <c r="K1321" s="45" t="s">
        <v>888</v>
      </c>
      <c r="L1321" s="129"/>
      <c r="M1321" s="33" t="str">
        <f t="shared" si="20"/>
        <v/>
      </c>
      <c r="N1321" s="34" t="str">
        <f>IFERROR(IF(Tabela1[[#This Row],[Nome fantasia]]="","",_xlfn.XLOOKUP($C1321,Log!D:D,Log!B:B,,,-1)),"")</f>
        <v/>
      </c>
      <c r="O1321" s="35" t="str">
        <f>IFERROR(_xlfn.XLOOKUP($C1321,Log!D:D,Log!W:W,,,-1),"")</f>
        <v/>
      </c>
      <c r="P1321" s="35" t="str">
        <f>IFERROR(_xlfn.XLOOKUP($C1321,Log!D:D,Log!Y:Y,,,-1),"")</f>
        <v/>
      </c>
      <c r="Q1321" s="130"/>
      <c r="R1321" s="131" t="str">
        <f>IFERROR(IF(Tabela1[[#This Row],[Nome fantasia]]="","",_xlfn.XLOOKUP($C1321,Log!D:D,Log!X:X,,,-1)),"")</f>
        <v/>
      </c>
    </row>
    <row r="1322" spans="3:18" hidden="1" x14ac:dyDescent="0.2">
      <c r="C1322" s="30" t="s">
        <v>709</v>
      </c>
      <c r="D1322" s="110" t="s">
        <v>3092</v>
      </c>
      <c r="E1322" s="33" t="s">
        <v>17</v>
      </c>
      <c r="F1322" s="38"/>
      <c r="G1322" s="38"/>
      <c r="H1322" s="31"/>
      <c r="I1322" s="32"/>
      <c r="J1322" s="32"/>
      <c r="K1322" s="45" t="s">
        <v>888</v>
      </c>
      <c r="L1322" s="129"/>
      <c r="M1322" s="33" t="str">
        <f t="shared" si="20"/>
        <v/>
      </c>
      <c r="N1322" s="34" t="str">
        <f>IFERROR(IF(Tabela1[[#This Row],[Nome fantasia]]="","",_xlfn.XLOOKUP($C1322,Log!D:D,Log!B:B,,,-1)),"")</f>
        <v/>
      </c>
      <c r="O1322" s="35" t="str">
        <f>IFERROR(_xlfn.XLOOKUP($C1322,Log!D:D,Log!W:W,,,-1),"")</f>
        <v/>
      </c>
      <c r="P1322" s="35" t="str">
        <f>IFERROR(_xlfn.XLOOKUP($C1322,Log!D:D,Log!Y:Y,,,-1),"")</f>
        <v/>
      </c>
      <c r="Q1322" s="130"/>
      <c r="R1322" s="131" t="str">
        <f>IFERROR(IF(Tabela1[[#This Row],[Nome fantasia]]="","",_xlfn.XLOOKUP($C1322,Log!D:D,Log!X:X,,,-1)),"")</f>
        <v/>
      </c>
    </row>
    <row r="1323" spans="3:18" hidden="1" x14ac:dyDescent="0.2">
      <c r="C1323" s="30" t="s">
        <v>3093</v>
      </c>
      <c r="D1323" s="110" t="s">
        <v>3094</v>
      </c>
      <c r="E1323" s="33" t="s">
        <v>22</v>
      </c>
      <c r="F1323" s="38"/>
      <c r="G1323" s="38"/>
      <c r="H1323" s="31"/>
      <c r="I1323" s="32"/>
      <c r="J1323" s="32"/>
      <c r="K1323" s="45" t="s">
        <v>888</v>
      </c>
      <c r="L1323" s="129"/>
      <c r="M1323" s="33" t="str">
        <f t="shared" si="20"/>
        <v/>
      </c>
      <c r="N1323" s="34" t="str">
        <f>IFERROR(IF(Tabela1[[#This Row],[Nome fantasia]]="","",_xlfn.XLOOKUP($C1323,Log!D:D,Log!B:B,,,-1)),"")</f>
        <v/>
      </c>
      <c r="O1323" s="35" t="str">
        <f>IFERROR(_xlfn.XLOOKUP($C1323,Log!D:D,Log!W:W,,,-1),"")</f>
        <v/>
      </c>
      <c r="P1323" s="35" t="str">
        <f>IFERROR(_xlfn.XLOOKUP($C1323,Log!D:D,Log!Y:Y,,,-1),"")</f>
        <v/>
      </c>
      <c r="Q1323" s="130"/>
      <c r="R1323" s="131" t="str">
        <f>IFERROR(IF(Tabela1[[#This Row],[Nome fantasia]]="","",_xlfn.XLOOKUP($C1323,Log!D:D,Log!X:X,,,-1)),"")</f>
        <v/>
      </c>
    </row>
    <row r="1324" spans="3:18" hidden="1" x14ac:dyDescent="0.2">
      <c r="C1324" s="30" t="s">
        <v>3095</v>
      </c>
      <c r="D1324" s="110" t="s">
        <v>3096</v>
      </c>
      <c r="E1324" s="33" t="s">
        <v>46</v>
      </c>
      <c r="F1324" s="38"/>
      <c r="G1324" s="38"/>
      <c r="H1324" s="31"/>
      <c r="I1324" s="32"/>
      <c r="J1324" s="32"/>
      <c r="K1324" s="45" t="s">
        <v>888</v>
      </c>
      <c r="L1324" s="129"/>
      <c r="M1324" s="33" t="str">
        <f t="shared" si="20"/>
        <v/>
      </c>
      <c r="N1324" s="34" t="str">
        <f>IFERROR(IF(Tabela1[[#This Row],[Nome fantasia]]="","",_xlfn.XLOOKUP($C1324,Log!D:D,Log!B:B,,,-1)),"")</f>
        <v/>
      </c>
      <c r="O1324" s="35" t="str">
        <f>IFERROR(_xlfn.XLOOKUP($C1324,Log!D:D,Log!W:W,,,-1),"")</f>
        <v/>
      </c>
      <c r="P1324" s="35" t="str">
        <f>IFERROR(_xlfn.XLOOKUP($C1324,Log!D:D,Log!Y:Y,,,-1),"")</f>
        <v/>
      </c>
      <c r="Q1324" s="130"/>
      <c r="R1324" s="131" t="str">
        <f>IFERROR(IF(Tabela1[[#This Row],[Nome fantasia]]="","",_xlfn.XLOOKUP($C1324,Log!D:D,Log!X:X,,,-1)),"")</f>
        <v/>
      </c>
    </row>
    <row r="1325" spans="3:18" hidden="1" x14ac:dyDescent="0.2">
      <c r="C1325" s="30" t="s">
        <v>3097</v>
      </c>
      <c r="D1325" s="110" t="s">
        <v>3098</v>
      </c>
      <c r="E1325" s="33" t="s">
        <v>46</v>
      </c>
      <c r="F1325" s="38"/>
      <c r="G1325" s="38"/>
      <c r="H1325" s="31"/>
      <c r="I1325" s="32"/>
      <c r="J1325" s="32"/>
      <c r="K1325" s="45" t="s">
        <v>888</v>
      </c>
      <c r="L1325" s="129"/>
      <c r="M1325" s="33" t="str">
        <f t="shared" si="20"/>
        <v/>
      </c>
      <c r="N1325" s="34" t="str">
        <f>IFERROR(IF(Tabela1[[#This Row],[Nome fantasia]]="","",_xlfn.XLOOKUP($C1325,Log!D:D,Log!B:B,,,-1)),"")</f>
        <v/>
      </c>
      <c r="O1325" s="35" t="str">
        <f>IFERROR(_xlfn.XLOOKUP($C1325,Log!D:D,Log!W:W,,,-1),"")</f>
        <v/>
      </c>
      <c r="P1325" s="35" t="str">
        <f>IFERROR(_xlfn.XLOOKUP($C1325,Log!D:D,Log!Y:Y,,,-1),"")</f>
        <v/>
      </c>
      <c r="Q1325" s="130"/>
      <c r="R1325" s="131" t="str">
        <f>IFERROR(IF(Tabela1[[#This Row],[Nome fantasia]]="","",_xlfn.XLOOKUP($C1325,Log!D:D,Log!X:X,,,-1)),"")</f>
        <v/>
      </c>
    </row>
    <row r="1326" spans="3:18" hidden="1" x14ac:dyDescent="0.2">
      <c r="C1326" s="30" t="s">
        <v>3099</v>
      </c>
      <c r="D1326" s="110" t="s">
        <v>3100</v>
      </c>
      <c r="E1326" s="33" t="s">
        <v>22</v>
      </c>
      <c r="F1326" s="38"/>
      <c r="G1326" s="38"/>
      <c r="H1326" s="31"/>
      <c r="I1326" s="32"/>
      <c r="J1326" s="32"/>
      <c r="K1326" s="45" t="s">
        <v>888</v>
      </c>
      <c r="L1326" s="129"/>
      <c r="M1326" s="33" t="str">
        <f t="shared" si="20"/>
        <v/>
      </c>
      <c r="N1326" s="34" t="str">
        <f>IFERROR(IF(Tabela1[[#This Row],[Nome fantasia]]="","",_xlfn.XLOOKUP($C1326,Log!D:D,Log!B:B,,,-1)),"")</f>
        <v/>
      </c>
      <c r="O1326" s="35" t="str">
        <f>IFERROR(_xlfn.XLOOKUP($C1326,Log!D:D,Log!W:W,,,-1),"")</f>
        <v/>
      </c>
      <c r="P1326" s="35" t="str">
        <f>IFERROR(_xlfn.XLOOKUP($C1326,Log!D:D,Log!Y:Y,,,-1),"")</f>
        <v/>
      </c>
      <c r="Q1326" s="130"/>
      <c r="R1326" s="131" t="str">
        <f>IFERROR(IF(Tabela1[[#This Row],[Nome fantasia]]="","",_xlfn.XLOOKUP($C1326,Log!D:D,Log!X:X,,,-1)),"")</f>
        <v/>
      </c>
    </row>
    <row r="1327" spans="3:18" hidden="1" x14ac:dyDescent="0.2">
      <c r="C1327" s="30" t="s">
        <v>3101</v>
      </c>
      <c r="D1327" s="110" t="s">
        <v>3102</v>
      </c>
      <c r="E1327" s="33" t="s">
        <v>22</v>
      </c>
      <c r="F1327" s="38"/>
      <c r="G1327" s="38"/>
      <c r="H1327" s="31"/>
      <c r="I1327" s="32"/>
      <c r="J1327" s="32"/>
      <c r="K1327" s="45" t="s">
        <v>888</v>
      </c>
      <c r="L1327" s="129"/>
      <c r="M1327" s="33" t="str">
        <f t="shared" si="20"/>
        <v/>
      </c>
      <c r="N1327" s="34" t="str">
        <f>IFERROR(IF(Tabela1[[#This Row],[Nome fantasia]]="","",_xlfn.XLOOKUP($C1327,Log!D:D,Log!B:B,,,-1)),"")</f>
        <v/>
      </c>
      <c r="O1327" s="35" t="str">
        <f>IFERROR(_xlfn.XLOOKUP($C1327,Log!D:D,Log!W:W,,,-1),"")</f>
        <v/>
      </c>
      <c r="P1327" s="35" t="str">
        <f>IFERROR(_xlfn.XLOOKUP($C1327,Log!D:D,Log!Y:Y,,,-1),"")</f>
        <v/>
      </c>
      <c r="Q1327" s="130"/>
      <c r="R1327" s="131" t="str">
        <f>IFERROR(IF(Tabela1[[#This Row],[Nome fantasia]]="","",_xlfn.XLOOKUP($C1327,Log!D:D,Log!X:X,,,-1)),"")</f>
        <v/>
      </c>
    </row>
    <row r="1328" spans="3:18" hidden="1" x14ac:dyDescent="0.2">
      <c r="C1328" s="30" t="s">
        <v>2723</v>
      </c>
      <c r="D1328" s="110" t="s">
        <v>3103</v>
      </c>
      <c r="E1328" s="33" t="s">
        <v>22</v>
      </c>
      <c r="F1328" s="38"/>
      <c r="G1328" s="38"/>
      <c r="H1328" s="31"/>
      <c r="I1328" s="32"/>
      <c r="J1328" s="32"/>
      <c r="K1328" s="45" t="s">
        <v>888</v>
      </c>
      <c r="L1328" s="129"/>
      <c r="M1328" s="33" t="str">
        <f t="shared" si="20"/>
        <v/>
      </c>
      <c r="N1328" s="34" t="str">
        <f>IFERROR(IF(Tabela1[[#This Row],[Nome fantasia]]="","",_xlfn.XLOOKUP($C1328,Log!D:D,Log!B:B,,,-1)),"")</f>
        <v/>
      </c>
      <c r="O1328" s="35" t="str">
        <f>IFERROR(_xlfn.XLOOKUP($C1328,Log!D:D,Log!W:W,,,-1),"")</f>
        <v/>
      </c>
      <c r="P1328" s="35" t="str">
        <f>IFERROR(_xlfn.XLOOKUP($C1328,Log!D:D,Log!Y:Y,,,-1),"")</f>
        <v/>
      </c>
      <c r="Q1328" s="130"/>
      <c r="R1328" s="131" t="str">
        <f>IFERROR(IF(Tabela1[[#This Row],[Nome fantasia]]="","",_xlfn.XLOOKUP($C1328,Log!D:D,Log!X:X,,,-1)),"")</f>
        <v/>
      </c>
    </row>
    <row r="1329" spans="3:18" hidden="1" x14ac:dyDescent="0.2">
      <c r="C1329" s="30" t="s">
        <v>3104</v>
      </c>
      <c r="D1329" s="110" t="s">
        <v>3105</v>
      </c>
      <c r="E1329" s="33" t="s">
        <v>22</v>
      </c>
      <c r="F1329" s="38"/>
      <c r="G1329" s="38"/>
      <c r="H1329" s="31"/>
      <c r="I1329" s="32"/>
      <c r="J1329" s="32"/>
      <c r="K1329" s="45" t="s">
        <v>888</v>
      </c>
      <c r="L1329" s="129"/>
      <c r="M1329" s="33" t="str">
        <f t="shared" si="20"/>
        <v/>
      </c>
      <c r="N1329" s="34" t="str">
        <f>IFERROR(IF(Tabela1[[#This Row],[Nome fantasia]]="","",_xlfn.XLOOKUP($C1329,Log!D:D,Log!B:B,,,-1)),"")</f>
        <v/>
      </c>
      <c r="O1329" s="35" t="str">
        <f>IFERROR(_xlfn.XLOOKUP($C1329,Log!D:D,Log!W:W,,,-1),"")</f>
        <v/>
      </c>
      <c r="P1329" s="35" t="str">
        <f>IFERROR(_xlfn.XLOOKUP($C1329,Log!D:D,Log!Y:Y,,,-1),"")</f>
        <v/>
      </c>
      <c r="Q1329" s="130"/>
      <c r="R1329" s="131" t="str">
        <f>IFERROR(IF(Tabela1[[#This Row],[Nome fantasia]]="","",_xlfn.XLOOKUP($C1329,Log!D:D,Log!X:X,,,-1)),"")</f>
        <v/>
      </c>
    </row>
    <row r="1330" spans="3:18" hidden="1" x14ac:dyDescent="0.2">
      <c r="C1330" s="30" t="s">
        <v>3106</v>
      </c>
      <c r="D1330" s="110" t="s">
        <v>3107</v>
      </c>
      <c r="E1330" s="33" t="s">
        <v>22</v>
      </c>
      <c r="F1330" s="38"/>
      <c r="G1330" s="38"/>
      <c r="H1330" s="31"/>
      <c r="I1330" s="32"/>
      <c r="J1330" s="32"/>
      <c r="K1330" s="45" t="s">
        <v>888</v>
      </c>
      <c r="L1330" s="129"/>
      <c r="M1330" s="33" t="str">
        <f t="shared" si="20"/>
        <v/>
      </c>
      <c r="N1330" s="34" t="str">
        <f>IFERROR(IF(Tabela1[[#This Row],[Nome fantasia]]="","",_xlfn.XLOOKUP($C1330,Log!D:D,Log!B:B,,,-1)),"")</f>
        <v/>
      </c>
      <c r="O1330" s="35" t="str">
        <f>IFERROR(_xlfn.XLOOKUP($C1330,Log!D:D,Log!W:W,,,-1),"")</f>
        <v/>
      </c>
      <c r="P1330" s="35" t="str">
        <f>IFERROR(_xlfn.XLOOKUP($C1330,Log!D:D,Log!Y:Y,,,-1),"")</f>
        <v/>
      </c>
      <c r="Q1330" s="130"/>
      <c r="R1330" s="131" t="str">
        <f>IFERROR(IF(Tabela1[[#This Row],[Nome fantasia]]="","",_xlfn.XLOOKUP($C1330,Log!D:D,Log!X:X,,,-1)),"")</f>
        <v/>
      </c>
    </row>
    <row r="1331" spans="3:18" hidden="1" x14ac:dyDescent="0.2">
      <c r="C1331" s="30" t="s">
        <v>3108</v>
      </c>
      <c r="D1331" s="110" t="s">
        <v>3109</v>
      </c>
      <c r="E1331" s="33" t="s">
        <v>22</v>
      </c>
      <c r="F1331" s="38"/>
      <c r="G1331" s="38"/>
      <c r="H1331" s="31"/>
      <c r="I1331" s="32"/>
      <c r="J1331" s="32"/>
      <c r="K1331" s="45" t="s">
        <v>888</v>
      </c>
      <c r="L1331" s="129"/>
      <c r="M1331" s="33" t="str">
        <f t="shared" si="20"/>
        <v/>
      </c>
      <c r="N1331" s="34" t="str">
        <f>IFERROR(IF(Tabela1[[#This Row],[Nome fantasia]]="","",_xlfn.XLOOKUP($C1331,Log!D:D,Log!B:B,,,-1)),"")</f>
        <v/>
      </c>
      <c r="O1331" s="35" t="str">
        <f>IFERROR(_xlfn.XLOOKUP($C1331,Log!D:D,Log!W:W,,,-1),"")</f>
        <v/>
      </c>
      <c r="P1331" s="35" t="str">
        <f>IFERROR(_xlfn.XLOOKUP($C1331,Log!D:D,Log!Y:Y,,,-1),"")</f>
        <v/>
      </c>
      <c r="Q1331" s="130"/>
      <c r="R1331" s="131" t="str">
        <f>IFERROR(IF(Tabela1[[#This Row],[Nome fantasia]]="","",_xlfn.XLOOKUP($C1331,Log!D:D,Log!X:X,,,-1)),"")</f>
        <v/>
      </c>
    </row>
    <row r="1332" spans="3:18" hidden="1" x14ac:dyDescent="0.2">
      <c r="C1332" s="30" t="s">
        <v>3110</v>
      </c>
      <c r="D1332" s="110" t="s">
        <v>3111</v>
      </c>
      <c r="E1332" s="33" t="s">
        <v>22</v>
      </c>
      <c r="F1332" s="38"/>
      <c r="G1332" s="38"/>
      <c r="H1332" s="31"/>
      <c r="I1332" s="32"/>
      <c r="J1332" s="32"/>
      <c r="K1332" s="45" t="s">
        <v>888</v>
      </c>
      <c r="L1332" s="129"/>
      <c r="M1332" s="33" t="str">
        <f t="shared" si="20"/>
        <v/>
      </c>
      <c r="N1332" s="34" t="str">
        <f>IFERROR(IF(Tabela1[[#This Row],[Nome fantasia]]="","",_xlfn.XLOOKUP($C1332,Log!D:D,Log!B:B,,,-1)),"")</f>
        <v/>
      </c>
      <c r="O1332" s="35" t="str">
        <f>IFERROR(_xlfn.XLOOKUP($C1332,Log!D:D,Log!W:W,,,-1),"")</f>
        <v/>
      </c>
      <c r="P1332" s="35" t="str">
        <f>IFERROR(_xlfn.XLOOKUP($C1332,Log!D:D,Log!Y:Y,,,-1),"")</f>
        <v/>
      </c>
      <c r="Q1332" s="130"/>
      <c r="R1332" s="131" t="str">
        <f>IFERROR(IF(Tabela1[[#This Row],[Nome fantasia]]="","",_xlfn.XLOOKUP($C1332,Log!D:D,Log!X:X,,,-1)),"")</f>
        <v/>
      </c>
    </row>
    <row r="1333" spans="3:18" hidden="1" x14ac:dyDescent="0.2">
      <c r="C1333" s="30" t="s">
        <v>3112</v>
      </c>
      <c r="D1333" s="110" t="s">
        <v>3113</v>
      </c>
      <c r="E1333" s="33" t="s">
        <v>22</v>
      </c>
      <c r="F1333" s="38"/>
      <c r="G1333" s="38"/>
      <c r="H1333" s="31"/>
      <c r="I1333" s="32"/>
      <c r="J1333" s="32"/>
      <c r="K1333" s="45" t="s">
        <v>888</v>
      </c>
      <c r="L1333" s="129"/>
      <c r="M1333" s="33" t="str">
        <f t="shared" si="20"/>
        <v/>
      </c>
      <c r="N1333" s="34" t="str">
        <f>IFERROR(IF(Tabela1[[#This Row],[Nome fantasia]]="","",_xlfn.XLOOKUP($C1333,Log!D:D,Log!B:B,,,-1)),"")</f>
        <v/>
      </c>
      <c r="O1333" s="35" t="str">
        <f>IFERROR(_xlfn.XLOOKUP($C1333,Log!D:D,Log!W:W,,,-1),"")</f>
        <v/>
      </c>
      <c r="P1333" s="35" t="str">
        <f>IFERROR(_xlfn.XLOOKUP($C1333,Log!D:D,Log!Y:Y,,,-1),"")</f>
        <v/>
      </c>
      <c r="Q1333" s="130"/>
      <c r="R1333" s="131" t="str">
        <f>IFERROR(IF(Tabela1[[#This Row],[Nome fantasia]]="","",_xlfn.XLOOKUP($C1333,Log!D:D,Log!X:X,,,-1)),"")</f>
        <v/>
      </c>
    </row>
    <row r="1334" spans="3:18" hidden="1" x14ac:dyDescent="0.2">
      <c r="C1334" s="30" t="s">
        <v>3114</v>
      </c>
      <c r="D1334" s="110" t="s">
        <v>3115</v>
      </c>
      <c r="E1334" s="33" t="s">
        <v>46</v>
      </c>
      <c r="F1334" s="38"/>
      <c r="G1334" s="38"/>
      <c r="H1334" s="31"/>
      <c r="I1334" s="32"/>
      <c r="J1334" s="32"/>
      <c r="K1334" s="45" t="s">
        <v>888</v>
      </c>
      <c r="L1334" s="129"/>
      <c r="M1334" s="33" t="str">
        <f t="shared" si="20"/>
        <v/>
      </c>
      <c r="N1334" s="34" t="str">
        <f>IFERROR(IF(Tabela1[[#This Row],[Nome fantasia]]="","",_xlfn.XLOOKUP($C1334,Log!D:D,Log!B:B,,,-1)),"")</f>
        <v/>
      </c>
      <c r="O1334" s="35" t="str">
        <f>IFERROR(_xlfn.XLOOKUP($C1334,Log!D:D,Log!W:W,,,-1),"")</f>
        <v/>
      </c>
      <c r="P1334" s="35" t="str">
        <f>IFERROR(_xlfn.XLOOKUP($C1334,Log!D:D,Log!Y:Y,,,-1),"")</f>
        <v/>
      </c>
      <c r="Q1334" s="130"/>
      <c r="R1334" s="131" t="str">
        <f>IFERROR(IF(Tabela1[[#This Row],[Nome fantasia]]="","",_xlfn.XLOOKUP($C1334,Log!D:D,Log!X:X,,,-1)),"")</f>
        <v/>
      </c>
    </row>
    <row r="1335" spans="3:18" hidden="1" x14ac:dyDescent="0.2">
      <c r="C1335" s="30" t="s">
        <v>3116</v>
      </c>
      <c r="D1335" s="110" t="s">
        <v>3117</v>
      </c>
      <c r="E1335" s="33" t="s">
        <v>22</v>
      </c>
      <c r="F1335" s="38"/>
      <c r="G1335" s="38"/>
      <c r="H1335" s="31"/>
      <c r="I1335" s="32"/>
      <c r="J1335" s="32"/>
      <c r="K1335" s="45" t="s">
        <v>888</v>
      </c>
      <c r="L1335" s="129"/>
      <c r="M1335" s="33" t="str">
        <f t="shared" si="20"/>
        <v/>
      </c>
      <c r="N1335" s="34" t="str">
        <f>IFERROR(IF(Tabela1[[#This Row],[Nome fantasia]]="","",_xlfn.XLOOKUP($C1335,Log!D:D,Log!B:B,,,-1)),"")</f>
        <v/>
      </c>
      <c r="O1335" s="35" t="str">
        <f>IFERROR(_xlfn.XLOOKUP($C1335,Log!D:D,Log!W:W,,,-1),"")</f>
        <v/>
      </c>
      <c r="P1335" s="35" t="str">
        <f>IFERROR(_xlfn.XLOOKUP($C1335,Log!D:D,Log!Y:Y,,,-1),"")</f>
        <v/>
      </c>
      <c r="Q1335" s="130"/>
      <c r="R1335" s="131" t="str">
        <f>IFERROR(IF(Tabela1[[#This Row],[Nome fantasia]]="","",_xlfn.XLOOKUP($C1335,Log!D:D,Log!X:X,,,-1)),"")</f>
        <v/>
      </c>
    </row>
    <row r="1336" spans="3:18" hidden="1" x14ac:dyDescent="0.2">
      <c r="C1336" s="30" t="s">
        <v>3118</v>
      </c>
      <c r="D1336" s="110" t="s">
        <v>1023</v>
      </c>
      <c r="E1336" s="33" t="s">
        <v>22</v>
      </c>
      <c r="F1336" s="38"/>
      <c r="G1336" s="38"/>
      <c r="H1336" s="31"/>
      <c r="I1336" s="32"/>
      <c r="J1336" s="32"/>
      <c r="K1336" s="45" t="s">
        <v>888</v>
      </c>
      <c r="L1336" s="129"/>
      <c r="M1336" s="33" t="str">
        <f t="shared" si="20"/>
        <v/>
      </c>
      <c r="N1336" s="34" t="str">
        <f>IFERROR(IF(Tabela1[[#This Row],[Nome fantasia]]="","",_xlfn.XLOOKUP($C1336,Log!D:D,Log!B:B,,,-1)),"")</f>
        <v/>
      </c>
      <c r="O1336" s="35" t="str">
        <f>IFERROR(_xlfn.XLOOKUP($C1336,Log!D:D,Log!W:W,,,-1),"")</f>
        <v/>
      </c>
      <c r="P1336" s="35" t="str">
        <f>IFERROR(_xlfn.XLOOKUP($C1336,Log!D:D,Log!Y:Y,,,-1),"")</f>
        <v/>
      </c>
      <c r="Q1336" s="130"/>
      <c r="R1336" s="131" t="str">
        <f>IFERROR(IF(Tabela1[[#This Row],[Nome fantasia]]="","",_xlfn.XLOOKUP($C1336,Log!D:D,Log!X:X,,,-1)),"")</f>
        <v/>
      </c>
    </row>
    <row r="1337" spans="3:18" hidden="1" x14ac:dyDescent="0.2">
      <c r="C1337" s="30" t="s">
        <v>3119</v>
      </c>
      <c r="D1337" s="110" t="s">
        <v>3120</v>
      </c>
      <c r="E1337" s="33" t="s">
        <v>17</v>
      </c>
      <c r="F1337" s="38"/>
      <c r="G1337" s="38"/>
      <c r="H1337" s="31"/>
      <c r="I1337" s="32"/>
      <c r="J1337" s="32"/>
      <c r="K1337" s="45" t="s">
        <v>888</v>
      </c>
      <c r="L1337" s="129"/>
      <c r="M1337" s="33" t="str">
        <f t="shared" si="20"/>
        <v/>
      </c>
      <c r="N1337" s="34">
        <f>IFERROR(IF(Tabela1[[#This Row],[Nome fantasia]]="","",_xlfn.XLOOKUP($C1337,Log!D:D,Log!B:B,,,-1)),"")</f>
        <v>46001</v>
      </c>
      <c r="O1337" s="35" t="str">
        <f>IFERROR(_xlfn.XLOOKUP($C1337,Log!D:D,Log!W:W,,,-1),"")</f>
        <v>EM ATENDIMENTO</v>
      </c>
      <c r="P1337" s="35" t="str">
        <f>IFERROR(_xlfn.XLOOKUP($C1337,Log!D:D,Log!Y:Y,,,-1),"")</f>
        <v>ENVIADO PRIMEIRA MENSAGEM PARA RELACIONAMENTO</v>
      </c>
      <c r="Q1337" s="130"/>
      <c r="R1337" s="131">
        <f>IFERROR(IF(Tabela1[[#This Row],[Nome fantasia]]="","",_xlfn.XLOOKUP($C1337,Log!D:D,Log!X:X,,,-1)),"")</f>
        <v>46003</v>
      </c>
    </row>
    <row r="1338" spans="3:18" hidden="1" x14ac:dyDescent="0.2">
      <c r="C1338" s="30" t="s">
        <v>3121</v>
      </c>
      <c r="D1338" s="110" t="s">
        <v>3122</v>
      </c>
      <c r="E1338" s="33" t="s">
        <v>46</v>
      </c>
      <c r="F1338" s="38"/>
      <c r="G1338" s="38"/>
      <c r="H1338" s="31"/>
      <c r="I1338" s="32"/>
      <c r="J1338" s="32"/>
      <c r="K1338" s="45" t="s">
        <v>888</v>
      </c>
      <c r="L1338" s="129"/>
      <c r="M1338" s="33" t="str">
        <f t="shared" si="20"/>
        <v/>
      </c>
      <c r="N1338" s="34" t="str">
        <f>IFERROR(IF(Tabela1[[#This Row],[Nome fantasia]]="","",_xlfn.XLOOKUP($C1338,Log!D:D,Log!B:B,,,-1)),"")</f>
        <v/>
      </c>
      <c r="O1338" s="35" t="str">
        <f>IFERROR(_xlfn.XLOOKUP($C1338,Log!D:D,Log!W:W,,,-1),"")</f>
        <v/>
      </c>
      <c r="P1338" s="35" t="str">
        <f>IFERROR(_xlfn.XLOOKUP($C1338,Log!D:D,Log!Y:Y,,,-1),"")</f>
        <v/>
      </c>
      <c r="Q1338" s="130"/>
      <c r="R1338" s="131" t="str">
        <f>IFERROR(IF(Tabela1[[#This Row],[Nome fantasia]]="","",_xlfn.XLOOKUP($C1338,Log!D:D,Log!X:X,,,-1)),"")</f>
        <v/>
      </c>
    </row>
    <row r="1339" spans="3:18" hidden="1" x14ac:dyDescent="0.2">
      <c r="C1339" s="30" t="s">
        <v>3123</v>
      </c>
      <c r="D1339" s="110" t="s">
        <v>3124</v>
      </c>
      <c r="E1339" s="33" t="s">
        <v>22</v>
      </c>
      <c r="F1339" s="38"/>
      <c r="G1339" s="38"/>
      <c r="H1339" s="31"/>
      <c r="I1339" s="32"/>
      <c r="J1339" s="32"/>
      <c r="K1339" s="45" t="s">
        <v>888</v>
      </c>
      <c r="L1339" s="129"/>
      <c r="M1339" s="33" t="str">
        <f t="shared" si="20"/>
        <v/>
      </c>
      <c r="N1339" s="34" t="str">
        <f>IFERROR(IF(Tabela1[[#This Row],[Nome fantasia]]="","",_xlfn.XLOOKUP($C1339,Log!D:D,Log!B:B,,,-1)),"")</f>
        <v/>
      </c>
      <c r="O1339" s="35" t="str">
        <f>IFERROR(_xlfn.XLOOKUP($C1339,Log!D:D,Log!W:W,,,-1),"")</f>
        <v/>
      </c>
      <c r="P1339" s="35" t="str">
        <f>IFERROR(_xlfn.XLOOKUP($C1339,Log!D:D,Log!Y:Y,,,-1),"")</f>
        <v/>
      </c>
      <c r="Q1339" s="130"/>
      <c r="R1339" s="131" t="str">
        <f>IFERROR(IF(Tabela1[[#This Row],[Nome fantasia]]="","",_xlfn.XLOOKUP($C1339,Log!D:D,Log!X:X,,,-1)),"")</f>
        <v/>
      </c>
    </row>
    <row r="1340" spans="3:18" hidden="1" x14ac:dyDescent="0.2">
      <c r="C1340" s="30" t="s">
        <v>1614</v>
      </c>
      <c r="D1340" s="110" t="s">
        <v>3125</v>
      </c>
      <c r="E1340" s="33" t="s">
        <v>46</v>
      </c>
      <c r="F1340" s="38"/>
      <c r="G1340" s="38"/>
      <c r="H1340" s="31"/>
      <c r="I1340" s="32"/>
      <c r="J1340" s="32"/>
      <c r="K1340" s="45" t="s">
        <v>888</v>
      </c>
      <c r="L1340" s="129"/>
      <c r="M1340" s="33" t="str">
        <f t="shared" si="20"/>
        <v/>
      </c>
      <c r="N1340" s="34" t="str">
        <f>IFERROR(IF(Tabela1[[#This Row],[Nome fantasia]]="","",_xlfn.XLOOKUP($C1340,Log!D:D,Log!B:B,,,-1)),"")</f>
        <v/>
      </c>
      <c r="O1340" s="35" t="str">
        <f>IFERROR(_xlfn.XLOOKUP($C1340,Log!D:D,Log!W:W,,,-1),"")</f>
        <v/>
      </c>
      <c r="P1340" s="35" t="str">
        <f>IFERROR(_xlfn.XLOOKUP($C1340,Log!D:D,Log!Y:Y,,,-1),"")</f>
        <v/>
      </c>
      <c r="Q1340" s="130"/>
      <c r="R1340" s="131" t="str">
        <f>IFERROR(IF(Tabela1[[#This Row],[Nome fantasia]]="","",_xlfn.XLOOKUP($C1340,Log!D:D,Log!X:X,,,-1)),"")</f>
        <v/>
      </c>
    </row>
    <row r="1341" spans="3:18" hidden="1" x14ac:dyDescent="0.2">
      <c r="C1341" s="30" t="s">
        <v>3126</v>
      </c>
      <c r="D1341" s="110" t="s">
        <v>3127</v>
      </c>
      <c r="E1341" s="33" t="s">
        <v>46</v>
      </c>
      <c r="F1341" s="38"/>
      <c r="G1341" s="38"/>
      <c r="H1341" s="31"/>
      <c r="I1341" s="32"/>
      <c r="J1341" s="32"/>
      <c r="K1341" s="45" t="s">
        <v>888</v>
      </c>
      <c r="L1341" s="129"/>
      <c r="M1341" s="33" t="str">
        <f t="shared" si="20"/>
        <v/>
      </c>
      <c r="N1341" s="34" t="str">
        <f>IFERROR(IF(Tabela1[[#This Row],[Nome fantasia]]="","",_xlfn.XLOOKUP($C1341,Log!D:D,Log!B:B,,,-1)),"")</f>
        <v/>
      </c>
      <c r="O1341" s="35" t="str">
        <f>IFERROR(_xlfn.XLOOKUP($C1341,Log!D:D,Log!W:W,,,-1),"")</f>
        <v/>
      </c>
      <c r="P1341" s="35" t="str">
        <f>IFERROR(_xlfn.XLOOKUP($C1341,Log!D:D,Log!Y:Y,,,-1),"")</f>
        <v/>
      </c>
      <c r="Q1341" s="130"/>
      <c r="R1341" s="131" t="str">
        <f>IFERROR(IF(Tabela1[[#This Row],[Nome fantasia]]="","",_xlfn.XLOOKUP($C1341,Log!D:D,Log!X:X,,,-1)),"")</f>
        <v/>
      </c>
    </row>
    <row r="1342" spans="3:18" hidden="1" x14ac:dyDescent="0.2">
      <c r="C1342" s="30" t="s">
        <v>3128</v>
      </c>
      <c r="D1342" s="110" t="s">
        <v>3129</v>
      </c>
      <c r="E1342" s="33" t="s">
        <v>46</v>
      </c>
      <c r="F1342" s="38"/>
      <c r="G1342" s="38"/>
      <c r="H1342" s="31"/>
      <c r="I1342" s="32"/>
      <c r="J1342" s="32"/>
      <c r="K1342" s="45" t="s">
        <v>888</v>
      </c>
      <c r="L1342" s="129"/>
      <c r="M1342" s="33" t="str">
        <f t="shared" si="20"/>
        <v/>
      </c>
      <c r="N1342" s="34" t="str">
        <f>IFERROR(IF(Tabela1[[#This Row],[Nome fantasia]]="","",_xlfn.XLOOKUP($C1342,Log!D:D,Log!B:B,,,-1)),"")</f>
        <v/>
      </c>
      <c r="O1342" s="35" t="str">
        <f>IFERROR(_xlfn.XLOOKUP($C1342,Log!D:D,Log!W:W,,,-1),"")</f>
        <v/>
      </c>
      <c r="P1342" s="35" t="str">
        <f>IFERROR(_xlfn.XLOOKUP($C1342,Log!D:D,Log!Y:Y,,,-1),"")</f>
        <v/>
      </c>
      <c r="Q1342" s="130"/>
      <c r="R1342" s="131" t="str">
        <f>IFERROR(IF(Tabela1[[#This Row],[Nome fantasia]]="","",_xlfn.XLOOKUP($C1342,Log!D:D,Log!X:X,,,-1)),"")</f>
        <v/>
      </c>
    </row>
    <row r="1343" spans="3:18" hidden="1" x14ac:dyDescent="0.2">
      <c r="C1343" s="30" t="s">
        <v>3130</v>
      </c>
      <c r="D1343" s="110" t="s">
        <v>3131</v>
      </c>
      <c r="E1343" s="33" t="s">
        <v>22</v>
      </c>
      <c r="F1343" s="38"/>
      <c r="G1343" s="38"/>
      <c r="H1343" s="31"/>
      <c r="I1343" s="32"/>
      <c r="J1343" s="32"/>
      <c r="K1343" s="45" t="s">
        <v>888</v>
      </c>
      <c r="L1343" s="129"/>
      <c r="M1343" s="33" t="str">
        <f t="shared" si="20"/>
        <v/>
      </c>
      <c r="N1343" s="34" t="str">
        <f>IFERROR(IF(Tabela1[[#This Row],[Nome fantasia]]="","",_xlfn.XLOOKUP($C1343,Log!D:D,Log!B:B,,,-1)),"")</f>
        <v/>
      </c>
      <c r="O1343" s="35" t="str">
        <f>IFERROR(_xlfn.XLOOKUP($C1343,Log!D:D,Log!W:W,,,-1),"")</f>
        <v/>
      </c>
      <c r="P1343" s="35" t="str">
        <f>IFERROR(_xlfn.XLOOKUP($C1343,Log!D:D,Log!Y:Y,,,-1),"")</f>
        <v/>
      </c>
      <c r="Q1343" s="130"/>
      <c r="R1343" s="131" t="str">
        <f>IFERROR(IF(Tabela1[[#This Row],[Nome fantasia]]="","",_xlfn.XLOOKUP($C1343,Log!D:D,Log!X:X,,,-1)),"")</f>
        <v/>
      </c>
    </row>
    <row r="1344" spans="3:18" hidden="1" x14ac:dyDescent="0.2">
      <c r="C1344" s="30" t="s">
        <v>3132</v>
      </c>
      <c r="D1344" s="110" t="s">
        <v>3133</v>
      </c>
      <c r="E1344" s="33" t="s">
        <v>46</v>
      </c>
      <c r="F1344" s="38"/>
      <c r="G1344" s="38"/>
      <c r="H1344" s="31"/>
      <c r="I1344" s="32"/>
      <c r="J1344" s="32"/>
      <c r="K1344" s="45" t="s">
        <v>888</v>
      </c>
      <c r="L1344" s="129"/>
      <c r="M1344" s="33" t="str">
        <f t="shared" si="20"/>
        <v/>
      </c>
      <c r="N1344" s="34" t="str">
        <f>IFERROR(IF(Tabela1[[#This Row],[Nome fantasia]]="","",_xlfn.XLOOKUP($C1344,Log!D:D,Log!B:B,,,-1)),"")</f>
        <v/>
      </c>
      <c r="O1344" s="35" t="str">
        <f>IFERROR(_xlfn.XLOOKUP($C1344,Log!D:D,Log!W:W,,,-1),"")</f>
        <v/>
      </c>
      <c r="P1344" s="35" t="str">
        <f>IFERROR(_xlfn.XLOOKUP($C1344,Log!D:D,Log!Y:Y,,,-1),"")</f>
        <v/>
      </c>
      <c r="Q1344" s="130"/>
      <c r="R1344" s="131" t="str">
        <f>IFERROR(IF(Tabela1[[#This Row],[Nome fantasia]]="","",_xlfn.XLOOKUP($C1344,Log!D:D,Log!X:X,,,-1)),"")</f>
        <v/>
      </c>
    </row>
    <row r="1345" spans="3:18" hidden="1" x14ac:dyDescent="0.2">
      <c r="C1345" s="30" t="s">
        <v>3134</v>
      </c>
      <c r="D1345" s="110" t="s">
        <v>3135</v>
      </c>
      <c r="E1345" s="33" t="s">
        <v>17</v>
      </c>
      <c r="F1345" s="38"/>
      <c r="G1345" s="38"/>
      <c r="H1345" s="31"/>
      <c r="I1345" s="32"/>
      <c r="J1345" s="32"/>
      <c r="K1345" s="45" t="s">
        <v>888</v>
      </c>
      <c r="L1345" s="129"/>
      <c r="M1345" s="33" t="str">
        <f t="shared" si="20"/>
        <v/>
      </c>
      <c r="N1345" s="34" t="str">
        <f>IFERROR(IF(Tabela1[[#This Row],[Nome fantasia]]="","",_xlfn.XLOOKUP($C1345,Log!D:D,Log!B:B,,,-1)),"")</f>
        <v/>
      </c>
      <c r="O1345" s="35" t="str">
        <f>IFERROR(_xlfn.XLOOKUP($C1345,Log!D:D,Log!W:W,,,-1),"")</f>
        <v/>
      </c>
      <c r="P1345" s="35" t="str">
        <f>IFERROR(_xlfn.XLOOKUP($C1345,Log!D:D,Log!Y:Y,,,-1),"")</f>
        <v/>
      </c>
      <c r="Q1345" s="130"/>
      <c r="R1345" s="131" t="str">
        <f>IFERROR(IF(Tabela1[[#This Row],[Nome fantasia]]="","",_xlfn.XLOOKUP($C1345,Log!D:D,Log!X:X,,,-1)),"")</f>
        <v/>
      </c>
    </row>
    <row r="1346" spans="3:18" hidden="1" x14ac:dyDescent="0.2">
      <c r="C1346" s="30" t="s">
        <v>3136</v>
      </c>
      <c r="D1346" s="110" t="s">
        <v>3137</v>
      </c>
      <c r="E1346" s="33" t="s">
        <v>46</v>
      </c>
      <c r="F1346" s="38"/>
      <c r="G1346" s="38"/>
      <c r="H1346" s="31"/>
      <c r="I1346" s="32"/>
      <c r="J1346" s="32"/>
      <c r="K1346" s="45" t="s">
        <v>888</v>
      </c>
      <c r="L1346" s="129"/>
      <c r="M1346" s="33" t="str">
        <f t="shared" si="20"/>
        <v/>
      </c>
      <c r="N1346" s="34" t="str">
        <f>IFERROR(IF(Tabela1[[#This Row],[Nome fantasia]]="","",_xlfn.XLOOKUP($C1346,Log!D:D,Log!B:B,,,-1)),"")</f>
        <v/>
      </c>
      <c r="O1346" s="35" t="str">
        <f>IFERROR(_xlfn.XLOOKUP($C1346,Log!D:D,Log!W:W,,,-1),"")</f>
        <v/>
      </c>
      <c r="P1346" s="35" t="str">
        <f>IFERROR(_xlfn.XLOOKUP($C1346,Log!D:D,Log!Y:Y,,,-1),"")</f>
        <v/>
      </c>
      <c r="Q1346" s="130"/>
      <c r="R1346" s="131" t="str">
        <f>IFERROR(IF(Tabela1[[#This Row],[Nome fantasia]]="","",_xlfn.XLOOKUP($C1346,Log!D:D,Log!X:X,,,-1)),"")</f>
        <v/>
      </c>
    </row>
    <row r="1347" spans="3:18" hidden="1" x14ac:dyDescent="0.2">
      <c r="C1347" s="30" t="s">
        <v>2110</v>
      </c>
      <c r="D1347" s="110" t="s">
        <v>3138</v>
      </c>
      <c r="E1347" s="33" t="s">
        <v>46</v>
      </c>
      <c r="F1347" s="38"/>
      <c r="G1347" s="38"/>
      <c r="H1347" s="31"/>
      <c r="I1347" s="32"/>
      <c r="J1347" s="32"/>
      <c r="K1347" s="45" t="s">
        <v>888</v>
      </c>
      <c r="L1347" s="129"/>
      <c r="M1347" s="33" t="str">
        <f t="shared" ref="M1347:M1410" si="21">IF(OR(J1347&lt;=0,J1347=""),"","Recompra")</f>
        <v/>
      </c>
      <c r="N1347" s="34" t="str">
        <f>IFERROR(IF(Tabela1[[#This Row],[Nome fantasia]]="","",_xlfn.XLOOKUP($C1347,Log!D:D,Log!B:B,,,-1)),"")</f>
        <v/>
      </c>
      <c r="O1347" s="35" t="str">
        <f>IFERROR(_xlfn.XLOOKUP($C1347,Log!D:D,Log!W:W,,,-1),"")</f>
        <v/>
      </c>
      <c r="P1347" s="35" t="str">
        <f>IFERROR(_xlfn.XLOOKUP($C1347,Log!D:D,Log!Y:Y,,,-1),"")</f>
        <v/>
      </c>
      <c r="Q1347" s="130"/>
      <c r="R1347" s="131" t="str">
        <f>IFERROR(IF(Tabela1[[#This Row],[Nome fantasia]]="","",_xlfn.XLOOKUP($C1347,Log!D:D,Log!X:X,,,-1)),"")</f>
        <v/>
      </c>
    </row>
    <row r="1348" spans="3:18" hidden="1" x14ac:dyDescent="0.2">
      <c r="C1348" s="30" t="s">
        <v>3139</v>
      </c>
      <c r="D1348" s="110" t="s">
        <v>3140</v>
      </c>
      <c r="E1348" s="33" t="s">
        <v>46</v>
      </c>
      <c r="F1348" s="38"/>
      <c r="G1348" s="38"/>
      <c r="H1348" s="31"/>
      <c r="I1348" s="32"/>
      <c r="J1348" s="32"/>
      <c r="K1348" s="45" t="s">
        <v>888</v>
      </c>
      <c r="L1348" s="129"/>
      <c r="M1348" s="33" t="str">
        <f t="shared" si="21"/>
        <v/>
      </c>
      <c r="N1348" s="34" t="str">
        <f>IFERROR(IF(Tabela1[[#This Row],[Nome fantasia]]="","",_xlfn.XLOOKUP($C1348,Log!D:D,Log!B:B,,,-1)),"")</f>
        <v/>
      </c>
      <c r="O1348" s="35" t="str">
        <f>IFERROR(_xlfn.XLOOKUP($C1348,Log!D:D,Log!W:W,,,-1),"")</f>
        <v/>
      </c>
      <c r="P1348" s="35" t="str">
        <f>IFERROR(_xlfn.XLOOKUP($C1348,Log!D:D,Log!Y:Y,,,-1),"")</f>
        <v/>
      </c>
      <c r="Q1348" s="130"/>
      <c r="R1348" s="131" t="str">
        <f>IFERROR(IF(Tabela1[[#This Row],[Nome fantasia]]="","",_xlfn.XLOOKUP($C1348,Log!D:D,Log!X:X,,,-1)),"")</f>
        <v/>
      </c>
    </row>
    <row r="1349" spans="3:18" hidden="1" x14ac:dyDescent="0.2">
      <c r="C1349" s="30" t="s">
        <v>3141</v>
      </c>
      <c r="D1349" s="110" t="s">
        <v>3142</v>
      </c>
      <c r="E1349" s="33" t="s">
        <v>46</v>
      </c>
      <c r="F1349" s="38"/>
      <c r="G1349" s="38"/>
      <c r="H1349" s="31"/>
      <c r="I1349" s="32"/>
      <c r="J1349" s="32"/>
      <c r="K1349" s="45" t="s">
        <v>888</v>
      </c>
      <c r="L1349" s="129"/>
      <c r="M1349" s="33" t="str">
        <f t="shared" si="21"/>
        <v/>
      </c>
      <c r="N1349" s="34" t="str">
        <f>IFERROR(IF(Tabela1[[#This Row],[Nome fantasia]]="","",_xlfn.XLOOKUP($C1349,Log!D:D,Log!B:B,,,-1)),"")</f>
        <v/>
      </c>
      <c r="O1349" s="35" t="str">
        <f>IFERROR(_xlfn.XLOOKUP($C1349,Log!D:D,Log!W:W,,,-1),"")</f>
        <v/>
      </c>
      <c r="P1349" s="35" t="str">
        <f>IFERROR(_xlfn.XLOOKUP($C1349,Log!D:D,Log!Y:Y,,,-1),"")</f>
        <v/>
      </c>
      <c r="Q1349" s="130"/>
      <c r="R1349" s="131" t="str">
        <f>IFERROR(IF(Tabela1[[#This Row],[Nome fantasia]]="","",_xlfn.XLOOKUP($C1349,Log!D:D,Log!X:X,,,-1)),"")</f>
        <v/>
      </c>
    </row>
    <row r="1350" spans="3:18" hidden="1" x14ac:dyDescent="0.2">
      <c r="C1350" s="30"/>
      <c r="D1350" s="110" t="s">
        <v>3143</v>
      </c>
      <c r="E1350" s="33" t="s">
        <v>22</v>
      </c>
      <c r="F1350" s="38"/>
      <c r="G1350" s="38"/>
      <c r="H1350" s="31"/>
      <c r="I1350" s="32"/>
      <c r="J1350" s="32"/>
      <c r="K1350" s="45" t="s">
        <v>888</v>
      </c>
      <c r="L1350" s="129"/>
      <c r="M1350" s="33" t="str">
        <f t="shared" si="21"/>
        <v/>
      </c>
      <c r="N1350" s="34" t="str">
        <f>IFERROR(IF(Tabela1[[#This Row],[Nome fantasia]]="","",_xlfn.XLOOKUP($C1350,Log!D:D,Log!B:B,,,-1)),"")</f>
        <v/>
      </c>
      <c r="O1350" s="35" t="str">
        <f>IFERROR(_xlfn.XLOOKUP($C1350,Log!D:D,Log!W:W,,,-1),"")</f>
        <v/>
      </c>
      <c r="P1350" s="35" t="str">
        <f>IFERROR(_xlfn.XLOOKUP($C1350,Log!D:D,Log!Y:Y,,,-1),"")</f>
        <v/>
      </c>
      <c r="Q1350" s="130"/>
      <c r="R1350" s="131" t="str">
        <f>IFERROR(IF(Tabela1[[#This Row],[Nome fantasia]]="","",_xlfn.XLOOKUP($C1350,Log!D:D,Log!X:X,,,-1)),"")</f>
        <v/>
      </c>
    </row>
    <row r="1351" spans="3:18" hidden="1" x14ac:dyDescent="0.2">
      <c r="C1351" s="30" t="s">
        <v>3144</v>
      </c>
      <c r="D1351" s="110" t="s">
        <v>3145</v>
      </c>
      <c r="E1351" s="33" t="s">
        <v>46</v>
      </c>
      <c r="F1351" s="38"/>
      <c r="G1351" s="38"/>
      <c r="H1351" s="31"/>
      <c r="I1351" s="32"/>
      <c r="J1351" s="32"/>
      <c r="K1351" s="45" t="s">
        <v>888</v>
      </c>
      <c r="L1351" s="129"/>
      <c r="M1351" s="33" t="str">
        <f t="shared" si="21"/>
        <v/>
      </c>
      <c r="N1351" s="34" t="str">
        <f>IFERROR(IF(Tabela1[[#This Row],[Nome fantasia]]="","",_xlfn.XLOOKUP($C1351,Log!D:D,Log!B:B,,,-1)),"")</f>
        <v/>
      </c>
      <c r="O1351" s="35" t="str">
        <f>IFERROR(_xlfn.XLOOKUP($C1351,Log!D:D,Log!W:W,,,-1),"")</f>
        <v/>
      </c>
      <c r="P1351" s="35" t="str">
        <f>IFERROR(_xlfn.XLOOKUP($C1351,Log!D:D,Log!Y:Y,,,-1),"")</f>
        <v/>
      </c>
      <c r="Q1351" s="130"/>
      <c r="R1351" s="131" t="str">
        <f>IFERROR(IF(Tabela1[[#This Row],[Nome fantasia]]="","",_xlfn.XLOOKUP($C1351,Log!D:D,Log!X:X,,,-1)),"")</f>
        <v/>
      </c>
    </row>
    <row r="1352" spans="3:18" hidden="1" x14ac:dyDescent="0.2">
      <c r="C1352" s="30" t="s">
        <v>3146</v>
      </c>
      <c r="D1352" s="110" t="s">
        <v>3147</v>
      </c>
      <c r="E1352" s="33" t="s">
        <v>46</v>
      </c>
      <c r="F1352" s="38"/>
      <c r="G1352" s="38"/>
      <c r="H1352" s="31"/>
      <c r="I1352" s="32"/>
      <c r="J1352" s="32"/>
      <c r="K1352" s="45" t="s">
        <v>888</v>
      </c>
      <c r="L1352" s="129"/>
      <c r="M1352" s="33" t="str">
        <f t="shared" si="21"/>
        <v/>
      </c>
      <c r="N1352" s="34" t="str">
        <f>IFERROR(IF(Tabela1[[#This Row],[Nome fantasia]]="","",_xlfn.XLOOKUP($C1352,Log!D:D,Log!B:B,,,-1)),"")</f>
        <v/>
      </c>
      <c r="O1352" s="35" t="str">
        <f>IFERROR(_xlfn.XLOOKUP($C1352,Log!D:D,Log!W:W,,,-1),"")</f>
        <v/>
      </c>
      <c r="P1352" s="35" t="str">
        <f>IFERROR(_xlfn.XLOOKUP($C1352,Log!D:D,Log!Y:Y,,,-1),"")</f>
        <v/>
      </c>
      <c r="Q1352" s="130"/>
      <c r="R1352" s="131" t="str">
        <f>IFERROR(IF(Tabela1[[#This Row],[Nome fantasia]]="","",_xlfn.XLOOKUP($C1352,Log!D:D,Log!X:X,,,-1)),"")</f>
        <v/>
      </c>
    </row>
    <row r="1353" spans="3:18" hidden="1" x14ac:dyDescent="0.2">
      <c r="C1353" s="30" t="s">
        <v>3148</v>
      </c>
      <c r="D1353" s="110" t="s">
        <v>3149</v>
      </c>
      <c r="E1353" s="33" t="s">
        <v>46</v>
      </c>
      <c r="F1353" s="38"/>
      <c r="G1353" s="38"/>
      <c r="H1353" s="31"/>
      <c r="I1353" s="32"/>
      <c r="J1353" s="32"/>
      <c r="K1353" s="45" t="s">
        <v>888</v>
      </c>
      <c r="L1353" s="129"/>
      <c r="M1353" s="33" t="str">
        <f t="shared" si="21"/>
        <v/>
      </c>
      <c r="N1353" s="34" t="str">
        <f>IFERROR(IF(Tabela1[[#This Row],[Nome fantasia]]="","",_xlfn.XLOOKUP($C1353,Log!D:D,Log!B:B,,,-1)),"")</f>
        <v/>
      </c>
      <c r="O1353" s="35" t="str">
        <f>IFERROR(_xlfn.XLOOKUP($C1353,Log!D:D,Log!W:W,,,-1),"")</f>
        <v/>
      </c>
      <c r="P1353" s="35" t="str">
        <f>IFERROR(_xlfn.XLOOKUP($C1353,Log!D:D,Log!Y:Y,,,-1),"")</f>
        <v/>
      </c>
      <c r="Q1353" s="130"/>
      <c r="R1353" s="131" t="str">
        <f>IFERROR(IF(Tabela1[[#This Row],[Nome fantasia]]="","",_xlfn.XLOOKUP($C1353,Log!D:D,Log!X:X,,,-1)),"")</f>
        <v/>
      </c>
    </row>
    <row r="1354" spans="3:18" hidden="1" x14ac:dyDescent="0.2">
      <c r="C1354" s="30" t="s">
        <v>3150</v>
      </c>
      <c r="D1354" s="110" t="s">
        <v>3151</v>
      </c>
      <c r="E1354" s="33" t="s">
        <v>46</v>
      </c>
      <c r="F1354" s="38"/>
      <c r="G1354" s="38"/>
      <c r="H1354" s="31"/>
      <c r="I1354" s="32"/>
      <c r="J1354" s="32"/>
      <c r="K1354" s="45" t="s">
        <v>888</v>
      </c>
      <c r="L1354" s="129"/>
      <c r="M1354" s="33" t="str">
        <f t="shared" si="21"/>
        <v/>
      </c>
      <c r="N1354" s="34" t="str">
        <f>IFERROR(IF(Tabela1[[#This Row],[Nome fantasia]]="","",_xlfn.XLOOKUP($C1354,Log!D:D,Log!B:B,,,-1)),"")</f>
        <v/>
      </c>
      <c r="O1354" s="35" t="str">
        <f>IFERROR(_xlfn.XLOOKUP($C1354,Log!D:D,Log!W:W,,,-1),"")</f>
        <v/>
      </c>
      <c r="P1354" s="35" t="str">
        <f>IFERROR(_xlfn.XLOOKUP($C1354,Log!D:D,Log!Y:Y,,,-1),"")</f>
        <v/>
      </c>
      <c r="Q1354" s="130"/>
      <c r="R1354" s="131" t="str">
        <f>IFERROR(IF(Tabela1[[#This Row],[Nome fantasia]]="","",_xlfn.XLOOKUP($C1354,Log!D:D,Log!X:X,,,-1)),"")</f>
        <v/>
      </c>
    </row>
    <row r="1355" spans="3:18" hidden="1" x14ac:dyDescent="0.2">
      <c r="C1355" s="30" t="s">
        <v>3152</v>
      </c>
      <c r="D1355" s="110" t="s">
        <v>3153</v>
      </c>
      <c r="E1355" s="33" t="s">
        <v>46</v>
      </c>
      <c r="F1355" s="38"/>
      <c r="G1355" s="38"/>
      <c r="H1355" s="31"/>
      <c r="I1355" s="32"/>
      <c r="J1355" s="32"/>
      <c r="K1355" s="45" t="s">
        <v>888</v>
      </c>
      <c r="L1355" s="129"/>
      <c r="M1355" s="33" t="str">
        <f t="shared" si="21"/>
        <v/>
      </c>
      <c r="N1355" s="34" t="str">
        <f>IFERROR(IF(Tabela1[[#This Row],[Nome fantasia]]="","",_xlfn.XLOOKUP($C1355,Log!D:D,Log!B:B,,,-1)),"")</f>
        <v/>
      </c>
      <c r="O1355" s="35" t="str">
        <f>IFERROR(_xlfn.XLOOKUP($C1355,Log!D:D,Log!W:W,,,-1),"")</f>
        <v/>
      </c>
      <c r="P1355" s="35" t="str">
        <f>IFERROR(_xlfn.XLOOKUP($C1355,Log!D:D,Log!Y:Y,,,-1),"")</f>
        <v/>
      </c>
      <c r="Q1355" s="130"/>
      <c r="R1355" s="131" t="str">
        <f>IFERROR(IF(Tabela1[[#This Row],[Nome fantasia]]="","",_xlfn.XLOOKUP($C1355,Log!D:D,Log!X:X,,,-1)),"")</f>
        <v/>
      </c>
    </row>
    <row r="1356" spans="3:18" hidden="1" x14ac:dyDescent="0.2">
      <c r="C1356" s="30" t="s">
        <v>3154</v>
      </c>
      <c r="D1356" s="110" t="s">
        <v>3155</v>
      </c>
      <c r="E1356" s="33" t="s">
        <v>46</v>
      </c>
      <c r="F1356" s="38"/>
      <c r="G1356" s="38"/>
      <c r="H1356" s="31"/>
      <c r="I1356" s="32"/>
      <c r="J1356" s="32"/>
      <c r="K1356" s="45" t="s">
        <v>888</v>
      </c>
      <c r="L1356" s="129"/>
      <c r="M1356" s="33" t="str">
        <f t="shared" si="21"/>
        <v/>
      </c>
      <c r="N1356" s="34" t="str">
        <f>IFERROR(IF(Tabela1[[#This Row],[Nome fantasia]]="","",_xlfn.XLOOKUP($C1356,Log!D:D,Log!B:B,,,-1)),"")</f>
        <v/>
      </c>
      <c r="O1356" s="35" t="str">
        <f>IFERROR(_xlfn.XLOOKUP($C1356,Log!D:D,Log!W:W,,,-1),"")</f>
        <v/>
      </c>
      <c r="P1356" s="35" t="str">
        <f>IFERROR(_xlfn.XLOOKUP($C1356,Log!D:D,Log!Y:Y,,,-1),"")</f>
        <v/>
      </c>
      <c r="Q1356" s="130"/>
      <c r="R1356" s="131" t="str">
        <f>IFERROR(IF(Tabela1[[#This Row],[Nome fantasia]]="","",_xlfn.XLOOKUP($C1356,Log!D:D,Log!X:X,,,-1)),"")</f>
        <v/>
      </c>
    </row>
    <row r="1357" spans="3:18" hidden="1" x14ac:dyDescent="0.2">
      <c r="C1357" s="30" t="s">
        <v>3156</v>
      </c>
      <c r="D1357" s="110" t="s">
        <v>3157</v>
      </c>
      <c r="E1357" s="33" t="s">
        <v>22</v>
      </c>
      <c r="F1357" s="38"/>
      <c r="G1357" s="38"/>
      <c r="H1357" s="31"/>
      <c r="I1357" s="32"/>
      <c r="J1357" s="32"/>
      <c r="K1357" s="45" t="s">
        <v>888</v>
      </c>
      <c r="L1357" s="129"/>
      <c r="M1357" s="33" t="str">
        <f t="shared" si="21"/>
        <v/>
      </c>
      <c r="N1357" s="34" t="str">
        <f>IFERROR(IF(Tabela1[[#This Row],[Nome fantasia]]="","",_xlfn.XLOOKUP($C1357,Log!D:D,Log!B:B,,,-1)),"")</f>
        <v/>
      </c>
      <c r="O1357" s="35" t="str">
        <f>IFERROR(_xlfn.XLOOKUP($C1357,Log!D:D,Log!W:W,,,-1),"")</f>
        <v/>
      </c>
      <c r="P1357" s="35" t="str">
        <f>IFERROR(_xlfn.XLOOKUP($C1357,Log!D:D,Log!Y:Y,,,-1),"")</f>
        <v/>
      </c>
      <c r="Q1357" s="130"/>
      <c r="R1357" s="131" t="str">
        <f>IFERROR(IF(Tabela1[[#This Row],[Nome fantasia]]="","",_xlfn.XLOOKUP($C1357,Log!D:D,Log!X:X,,,-1)),"")</f>
        <v/>
      </c>
    </row>
    <row r="1358" spans="3:18" hidden="1" x14ac:dyDescent="0.2">
      <c r="C1358" s="30"/>
      <c r="D1358" s="110" t="s">
        <v>3158</v>
      </c>
      <c r="E1358" s="33" t="s">
        <v>17</v>
      </c>
      <c r="F1358" s="38"/>
      <c r="G1358" s="38"/>
      <c r="H1358" s="31"/>
      <c r="I1358" s="32"/>
      <c r="J1358" s="32"/>
      <c r="K1358" s="45" t="s">
        <v>888</v>
      </c>
      <c r="L1358" s="129"/>
      <c r="M1358" s="33" t="str">
        <f t="shared" si="21"/>
        <v/>
      </c>
      <c r="N1358" s="34" t="str">
        <f>IFERROR(IF(Tabela1[[#This Row],[Nome fantasia]]="","",_xlfn.XLOOKUP($C1358,Log!D:D,Log!B:B,,,-1)),"")</f>
        <v/>
      </c>
      <c r="O1358" s="35" t="str">
        <f>IFERROR(_xlfn.XLOOKUP($C1358,Log!D:D,Log!W:W,,,-1),"")</f>
        <v/>
      </c>
      <c r="P1358" s="35" t="str">
        <f>IFERROR(_xlfn.XLOOKUP($C1358,Log!D:D,Log!Y:Y,,,-1),"")</f>
        <v/>
      </c>
      <c r="Q1358" s="130"/>
      <c r="R1358" s="131" t="str">
        <f>IFERROR(IF(Tabela1[[#This Row],[Nome fantasia]]="","",_xlfn.XLOOKUP($C1358,Log!D:D,Log!X:X,,,-1)),"")</f>
        <v/>
      </c>
    </row>
    <row r="1359" spans="3:18" hidden="1" x14ac:dyDescent="0.2">
      <c r="C1359" s="30" t="s">
        <v>3159</v>
      </c>
      <c r="D1359" s="110" t="s">
        <v>3160</v>
      </c>
      <c r="E1359" s="33" t="s">
        <v>46</v>
      </c>
      <c r="F1359" s="38"/>
      <c r="G1359" s="38"/>
      <c r="H1359" s="31"/>
      <c r="I1359" s="32"/>
      <c r="J1359" s="32"/>
      <c r="K1359" s="45" t="s">
        <v>888</v>
      </c>
      <c r="L1359" s="129"/>
      <c r="M1359" s="33" t="str">
        <f t="shared" si="21"/>
        <v/>
      </c>
      <c r="N1359" s="34" t="str">
        <f>IFERROR(IF(Tabela1[[#This Row],[Nome fantasia]]="","",_xlfn.XLOOKUP($C1359,Log!D:D,Log!B:B,,,-1)),"")</f>
        <v/>
      </c>
      <c r="O1359" s="35" t="str">
        <f>IFERROR(_xlfn.XLOOKUP($C1359,Log!D:D,Log!W:W,,,-1),"")</f>
        <v/>
      </c>
      <c r="P1359" s="35" t="str">
        <f>IFERROR(_xlfn.XLOOKUP($C1359,Log!D:D,Log!Y:Y,,,-1),"")</f>
        <v/>
      </c>
      <c r="Q1359" s="130"/>
      <c r="R1359" s="131" t="str">
        <f>IFERROR(IF(Tabela1[[#This Row],[Nome fantasia]]="","",_xlfn.XLOOKUP($C1359,Log!D:D,Log!X:X,,,-1)),"")</f>
        <v/>
      </c>
    </row>
    <row r="1360" spans="3:18" hidden="1" x14ac:dyDescent="0.2">
      <c r="C1360" s="30" t="s">
        <v>1703</v>
      </c>
      <c r="D1360" s="110" t="s">
        <v>3161</v>
      </c>
      <c r="E1360" s="33" t="s">
        <v>22</v>
      </c>
      <c r="F1360" s="38"/>
      <c r="G1360" s="38"/>
      <c r="H1360" s="31"/>
      <c r="I1360" s="32"/>
      <c r="J1360" s="32"/>
      <c r="K1360" s="45" t="s">
        <v>888</v>
      </c>
      <c r="L1360" s="129"/>
      <c r="M1360" s="33" t="str">
        <f t="shared" si="21"/>
        <v/>
      </c>
      <c r="N1360" s="34" t="str">
        <f>IFERROR(IF(Tabela1[[#This Row],[Nome fantasia]]="","",_xlfn.XLOOKUP($C1360,Log!D:D,Log!B:B,,,-1)),"")</f>
        <v/>
      </c>
      <c r="O1360" s="35" t="str">
        <f>IFERROR(_xlfn.XLOOKUP($C1360,Log!D:D,Log!W:W,,,-1),"")</f>
        <v/>
      </c>
      <c r="P1360" s="35" t="str">
        <f>IFERROR(_xlfn.XLOOKUP($C1360,Log!D:D,Log!Y:Y,,,-1),"")</f>
        <v/>
      </c>
      <c r="Q1360" s="130"/>
      <c r="R1360" s="131" t="str">
        <f>IFERROR(IF(Tabela1[[#This Row],[Nome fantasia]]="","",_xlfn.XLOOKUP($C1360,Log!D:D,Log!X:X,,,-1)),"")</f>
        <v/>
      </c>
    </row>
    <row r="1361" spans="3:18" hidden="1" x14ac:dyDescent="0.2">
      <c r="C1361" s="30" t="s">
        <v>1703</v>
      </c>
      <c r="D1361" s="110" t="s">
        <v>3162</v>
      </c>
      <c r="E1361" s="33" t="s">
        <v>22</v>
      </c>
      <c r="F1361" s="38"/>
      <c r="G1361" s="38"/>
      <c r="H1361" s="31"/>
      <c r="I1361" s="32"/>
      <c r="J1361" s="32"/>
      <c r="K1361" s="45" t="s">
        <v>888</v>
      </c>
      <c r="L1361" s="129"/>
      <c r="M1361" s="33" t="str">
        <f t="shared" si="21"/>
        <v/>
      </c>
      <c r="N1361" s="34" t="str">
        <f>IFERROR(IF(Tabela1[[#This Row],[Nome fantasia]]="","",_xlfn.XLOOKUP($C1361,Log!D:D,Log!B:B,,,-1)),"")</f>
        <v/>
      </c>
      <c r="O1361" s="35" t="str">
        <f>IFERROR(_xlfn.XLOOKUP($C1361,Log!D:D,Log!W:W,,,-1),"")</f>
        <v/>
      </c>
      <c r="P1361" s="35" t="str">
        <f>IFERROR(_xlfn.XLOOKUP($C1361,Log!D:D,Log!Y:Y,,,-1),"")</f>
        <v/>
      </c>
      <c r="Q1361" s="130"/>
      <c r="R1361" s="131" t="str">
        <f>IFERROR(IF(Tabela1[[#This Row],[Nome fantasia]]="","",_xlfn.XLOOKUP($C1361,Log!D:D,Log!X:X,,,-1)),"")</f>
        <v/>
      </c>
    </row>
    <row r="1362" spans="3:18" hidden="1" x14ac:dyDescent="0.2">
      <c r="C1362" s="30" t="s">
        <v>3163</v>
      </c>
      <c r="D1362" s="110" t="s">
        <v>3164</v>
      </c>
      <c r="E1362" s="33" t="s">
        <v>22</v>
      </c>
      <c r="F1362" s="38"/>
      <c r="G1362" s="38"/>
      <c r="H1362" s="31"/>
      <c r="I1362" s="32"/>
      <c r="J1362" s="32"/>
      <c r="K1362" s="45" t="s">
        <v>888</v>
      </c>
      <c r="L1362" s="129"/>
      <c r="M1362" s="33" t="str">
        <f t="shared" si="21"/>
        <v/>
      </c>
      <c r="N1362" s="34" t="str">
        <f>IFERROR(IF(Tabela1[[#This Row],[Nome fantasia]]="","",_xlfn.XLOOKUP($C1362,Log!D:D,Log!B:B,,,-1)),"")</f>
        <v/>
      </c>
      <c r="O1362" s="35" t="str">
        <f>IFERROR(_xlfn.XLOOKUP($C1362,Log!D:D,Log!W:W,,,-1),"")</f>
        <v/>
      </c>
      <c r="P1362" s="35" t="str">
        <f>IFERROR(_xlfn.XLOOKUP($C1362,Log!D:D,Log!Y:Y,,,-1),"")</f>
        <v/>
      </c>
      <c r="Q1362" s="130"/>
      <c r="R1362" s="131" t="str">
        <f>IFERROR(IF(Tabela1[[#This Row],[Nome fantasia]]="","",_xlfn.XLOOKUP($C1362,Log!D:D,Log!X:X,,,-1)),"")</f>
        <v/>
      </c>
    </row>
    <row r="1363" spans="3:18" hidden="1" x14ac:dyDescent="0.2">
      <c r="C1363" s="30" t="s">
        <v>1849</v>
      </c>
      <c r="D1363" s="110" t="s">
        <v>3165</v>
      </c>
      <c r="E1363" s="33" t="s">
        <v>46</v>
      </c>
      <c r="F1363" s="38"/>
      <c r="G1363" s="38"/>
      <c r="H1363" s="31"/>
      <c r="I1363" s="32"/>
      <c r="J1363" s="32"/>
      <c r="K1363" s="45" t="s">
        <v>888</v>
      </c>
      <c r="L1363" s="129"/>
      <c r="M1363" s="33" t="str">
        <f t="shared" si="21"/>
        <v/>
      </c>
      <c r="N1363" s="34" t="str">
        <f>IFERROR(IF(Tabela1[[#This Row],[Nome fantasia]]="","",_xlfn.XLOOKUP($C1363,Log!D:D,Log!B:B,,,-1)),"")</f>
        <v/>
      </c>
      <c r="O1363" s="35" t="str">
        <f>IFERROR(_xlfn.XLOOKUP($C1363,Log!D:D,Log!W:W,,,-1),"")</f>
        <v/>
      </c>
      <c r="P1363" s="35" t="str">
        <f>IFERROR(_xlfn.XLOOKUP($C1363,Log!D:D,Log!Y:Y,,,-1),"")</f>
        <v/>
      </c>
      <c r="Q1363" s="130"/>
      <c r="R1363" s="131" t="str">
        <f>IFERROR(IF(Tabela1[[#This Row],[Nome fantasia]]="","",_xlfn.XLOOKUP($C1363,Log!D:D,Log!X:X,,,-1)),"")</f>
        <v/>
      </c>
    </row>
    <row r="1364" spans="3:18" hidden="1" x14ac:dyDescent="0.2">
      <c r="C1364" s="30" t="s">
        <v>3166</v>
      </c>
      <c r="D1364" s="110" t="s">
        <v>3167</v>
      </c>
      <c r="E1364" s="33" t="s">
        <v>46</v>
      </c>
      <c r="F1364" s="38"/>
      <c r="G1364" s="38"/>
      <c r="H1364" s="31"/>
      <c r="I1364" s="32"/>
      <c r="J1364" s="32"/>
      <c r="K1364" s="45" t="s">
        <v>888</v>
      </c>
      <c r="L1364" s="129"/>
      <c r="M1364" s="33" t="str">
        <f t="shared" si="21"/>
        <v/>
      </c>
      <c r="N1364" s="34" t="str">
        <f>IFERROR(IF(Tabela1[[#This Row],[Nome fantasia]]="","",_xlfn.XLOOKUP($C1364,Log!D:D,Log!B:B,,,-1)),"")</f>
        <v/>
      </c>
      <c r="O1364" s="35" t="str">
        <f>IFERROR(_xlfn.XLOOKUP($C1364,Log!D:D,Log!W:W,,,-1),"")</f>
        <v/>
      </c>
      <c r="P1364" s="35" t="str">
        <f>IFERROR(_xlfn.XLOOKUP($C1364,Log!D:D,Log!Y:Y,,,-1),"")</f>
        <v/>
      </c>
      <c r="Q1364" s="130"/>
      <c r="R1364" s="131" t="str">
        <f>IFERROR(IF(Tabela1[[#This Row],[Nome fantasia]]="","",_xlfn.XLOOKUP($C1364,Log!D:D,Log!X:X,,,-1)),"")</f>
        <v/>
      </c>
    </row>
    <row r="1365" spans="3:18" hidden="1" x14ac:dyDescent="0.2">
      <c r="C1365" s="30" t="s">
        <v>3168</v>
      </c>
      <c r="D1365" s="110" t="s">
        <v>3169</v>
      </c>
      <c r="E1365" s="33" t="s">
        <v>46</v>
      </c>
      <c r="F1365" s="38"/>
      <c r="G1365" s="38"/>
      <c r="H1365" s="31"/>
      <c r="I1365" s="32"/>
      <c r="J1365" s="32"/>
      <c r="K1365" s="45" t="s">
        <v>888</v>
      </c>
      <c r="L1365" s="129"/>
      <c r="M1365" s="33" t="str">
        <f t="shared" si="21"/>
        <v/>
      </c>
      <c r="N1365" s="34" t="str">
        <f>IFERROR(IF(Tabela1[[#This Row],[Nome fantasia]]="","",_xlfn.XLOOKUP($C1365,Log!D:D,Log!B:B,,,-1)),"")</f>
        <v/>
      </c>
      <c r="O1365" s="35" t="str">
        <f>IFERROR(_xlfn.XLOOKUP($C1365,Log!D:D,Log!W:W,,,-1),"")</f>
        <v/>
      </c>
      <c r="P1365" s="35" t="str">
        <f>IFERROR(_xlfn.XLOOKUP($C1365,Log!D:D,Log!Y:Y,,,-1),"")</f>
        <v/>
      </c>
      <c r="Q1365" s="130"/>
      <c r="R1365" s="131" t="str">
        <f>IFERROR(IF(Tabela1[[#This Row],[Nome fantasia]]="","",_xlfn.XLOOKUP($C1365,Log!D:D,Log!X:X,,,-1)),"")</f>
        <v/>
      </c>
    </row>
    <row r="1366" spans="3:18" hidden="1" x14ac:dyDescent="0.2">
      <c r="C1366" s="30"/>
      <c r="D1366" s="110" t="s">
        <v>3170</v>
      </c>
      <c r="E1366" s="33" t="s">
        <v>46</v>
      </c>
      <c r="F1366" s="38"/>
      <c r="G1366" s="38"/>
      <c r="H1366" s="31"/>
      <c r="I1366" s="32"/>
      <c r="J1366" s="32"/>
      <c r="K1366" s="45" t="s">
        <v>888</v>
      </c>
      <c r="L1366" s="129"/>
      <c r="M1366" s="33" t="str">
        <f t="shared" si="21"/>
        <v/>
      </c>
      <c r="N1366" s="34" t="str">
        <f>IFERROR(IF(Tabela1[[#This Row],[Nome fantasia]]="","",_xlfn.XLOOKUP($C1366,Log!D:D,Log!B:B,,,-1)),"")</f>
        <v/>
      </c>
      <c r="O1366" s="35" t="str">
        <f>IFERROR(_xlfn.XLOOKUP($C1366,Log!D:D,Log!W:W,,,-1),"")</f>
        <v/>
      </c>
      <c r="P1366" s="35" t="str">
        <f>IFERROR(_xlfn.XLOOKUP($C1366,Log!D:D,Log!Y:Y,,,-1),"")</f>
        <v/>
      </c>
      <c r="Q1366" s="130"/>
      <c r="R1366" s="131" t="str">
        <f>IFERROR(IF(Tabela1[[#This Row],[Nome fantasia]]="","",_xlfn.XLOOKUP($C1366,Log!D:D,Log!X:X,,,-1)),"")</f>
        <v/>
      </c>
    </row>
    <row r="1367" spans="3:18" hidden="1" x14ac:dyDescent="0.2">
      <c r="C1367" s="30" t="s">
        <v>3171</v>
      </c>
      <c r="D1367" s="110" t="s">
        <v>3172</v>
      </c>
      <c r="E1367" s="33" t="s">
        <v>46</v>
      </c>
      <c r="F1367" s="38"/>
      <c r="G1367" s="38"/>
      <c r="H1367" s="31"/>
      <c r="I1367" s="32"/>
      <c r="J1367" s="32"/>
      <c r="K1367" s="45" t="s">
        <v>888</v>
      </c>
      <c r="L1367" s="129"/>
      <c r="M1367" s="33" t="str">
        <f t="shared" si="21"/>
        <v/>
      </c>
      <c r="N1367" s="34" t="str">
        <f>IFERROR(IF(Tabela1[[#This Row],[Nome fantasia]]="","",_xlfn.XLOOKUP($C1367,Log!D:D,Log!B:B,,,-1)),"")</f>
        <v/>
      </c>
      <c r="O1367" s="35" t="str">
        <f>IFERROR(_xlfn.XLOOKUP($C1367,Log!D:D,Log!W:W,,,-1),"")</f>
        <v/>
      </c>
      <c r="P1367" s="35" t="str">
        <f>IFERROR(_xlfn.XLOOKUP($C1367,Log!D:D,Log!Y:Y,,,-1),"")</f>
        <v/>
      </c>
      <c r="Q1367" s="130"/>
      <c r="R1367" s="131" t="str">
        <f>IFERROR(IF(Tabela1[[#This Row],[Nome fantasia]]="","",_xlfn.XLOOKUP($C1367,Log!D:D,Log!X:X,,,-1)),"")</f>
        <v/>
      </c>
    </row>
    <row r="1368" spans="3:18" hidden="1" x14ac:dyDescent="0.2">
      <c r="C1368" s="30" t="s">
        <v>3173</v>
      </c>
      <c r="D1368" s="110" t="s">
        <v>3174</v>
      </c>
      <c r="E1368" s="33" t="s">
        <v>46</v>
      </c>
      <c r="F1368" s="38"/>
      <c r="G1368" s="38"/>
      <c r="H1368" s="31"/>
      <c r="I1368" s="32"/>
      <c r="J1368" s="32"/>
      <c r="K1368" s="45" t="s">
        <v>888</v>
      </c>
      <c r="L1368" s="129"/>
      <c r="M1368" s="33" t="str">
        <f t="shared" si="21"/>
        <v/>
      </c>
      <c r="N1368" s="34" t="str">
        <f>IFERROR(IF(Tabela1[[#This Row],[Nome fantasia]]="","",_xlfn.XLOOKUP($C1368,Log!D:D,Log!B:B,,,-1)),"")</f>
        <v/>
      </c>
      <c r="O1368" s="35" t="str">
        <f>IFERROR(_xlfn.XLOOKUP($C1368,Log!D:D,Log!W:W,,,-1),"")</f>
        <v/>
      </c>
      <c r="P1368" s="35" t="str">
        <f>IFERROR(_xlfn.XLOOKUP($C1368,Log!D:D,Log!Y:Y,,,-1),"")</f>
        <v/>
      </c>
      <c r="Q1368" s="130"/>
      <c r="R1368" s="131" t="str">
        <f>IFERROR(IF(Tabela1[[#This Row],[Nome fantasia]]="","",_xlfn.XLOOKUP($C1368,Log!D:D,Log!X:X,,,-1)),"")</f>
        <v/>
      </c>
    </row>
    <row r="1369" spans="3:18" hidden="1" x14ac:dyDescent="0.2">
      <c r="C1369" s="30" t="s">
        <v>3175</v>
      </c>
      <c r="D1369" s="110" t="s">
        <v>3176</v>
      </c>
      <c r="E1369" s="33" t="s">
        <v>22</v>
      </c>
      <c r="F1369" s="38"/>
      <c r="G1369" s="38"/>
      <c r="H1369" s="31"/>
      <c r="I1369" s="32"/>
      <c r="J1369" s="32"/>
      <c r="K1369" s="45" t="s">
        <v>888</v>
      </c>
      <c r="L1369" s="129"/>
      <c r="M1369" s="33" t="str">
        <f t="shared" si="21"/>
        <v/>
      </c>
      <c r="N1369" s="34" t="str">
        <f>IFERROR(IF(Tabela1[[#This Row],[Nome fantasia]]="","",_xlfn.XLOOKUP($C1369,Log!D:D,Log!B:B,,,-1)),"")</f>
        <v/>
      </c>
      <c r="O1369" s="35" t="str">
        <f>IFERROR(_xlfn.XLOOKUP($C1369,Log!D:D,Log!W:W,,,-1),"")</f>
        <v/>
      </c>
      <c r="P1369" s="35" t="str">
        <f>IFERROR(_xlfn.XLOOKUP($C1369,Log!D:D,Log!Y:Y,,,-1),"")</f>
        <v/>
      </c>
      <c r="Q1369" s="130"/>
      <c r="R1369" s="131" t="str">
        <f>IFERROR(IF(Tabela1[[#This Row],[Nome fantasia]]="","",_xlfn.XLOOKUP($C1369,Log!D:D,Log!X:X,,,-1)),"")</f>
        <v/>
      </c>
    </row>
    <row r="1370" spans="3:18" hidden="1" x14ac:dyDescent="0.2">
      <c r="C1370" s="30" t="s">
        <v>3177</v>
      </c>
      <c r="D1370" s="110" t="s">
        <v>3178</v>
      </c>
      <c r="E1370" s="33" t="s">
        <v>17</v>
      </c>
      <c r="F1370" s="38"/>
      <c r="G1370" s="38"/>
      <c r="H1370" s="31"/>
      <c r="I1370" s="32"/>
      <c r="J1370" s="32"/>
      <c r="K1370" s="45" t="s">
        <v>888</v>
      </c>
      <c r="L1370" s="129"/>
      <c r="M1370" s="33" t="str">
        <f t="shared" si="21"/>
        <v/>
      </c>
      <c r="N1370" s="34" t="str">
        <f>IFERROR(IF(Tabela1[[#This Row],[Nome fantasia]]="","",_xlfn.XLOOKUP($C1370,Log!D:D,Log!B:B,,,-1)),"")</f>
        <v/>
      </c>
      <c r="O1370" s="35" t="str">
        <f>IFERROR(_xlfn.XLOOKUP($C1370,Log!D:D,Log!W:W,,,-1),"")</f>
        <v/>
      </c>
      <c r="P1370" s="35" t="str">
        <f>IFERROR(_xlfn.XLOOKUP($C1370,Log!D:D,Log!Y:Y,,,-1),"")</f>
        <v/>
      </c>
      <c r="Q1370" s="130"/>
      <c r="R1370" s="131" t="str">
        <f>IFERROR(IF(Tabela1[[#This Row],[Nome fantasia]]="","",_xlfn.XLOOKUP($C1370,Log!D:D,Log!X:X,,,-1)),"")</f>
        <v/>
      </c>
    </row>
    <row r="1371" spans="3:18" hidden="1" x14ac:dyDescent="0.2">
      <c r="C1371" s="30" t="s">
        <v>3179</v>
      </c>
      <c r="D1371" s="110" t="s">
        <v>3180</v>
      </c>
      <c r="E1371" s="33" t="s">
        <v>46</v>
      </c>
      <c r="F1371" s="38"/>
      <c r="G1371" s="38"/>
      <c r="H1371" s="31"/>
      <c r="I1371" s="32"/>
      <c r="J1371" s="32"/>
      <c r="K1371" s="45" t="s">
        <v>888</v>
      </c>
      <c r="L1371" s="129"/>
      <c r="M1371" s="33" t="str">
        <f t="shared" si="21"/>
        <v/>
      </c>
      <c r="N1371" s="34" t="str">
        <f>IFERROR(IF(Tabela1[[#This Row],[Nome fantasia]]="","",_xlfn.XLOOKUP($C1371,Log!D:D,Log!B:B,,,-1)),"")</f>
        <v/>
      </c>
      <c r="O1371" s="35" t="str">
        <f>IFERROR(_xlfn.XLOOKUP($C1371,Log!D:D,Log!W:W,,,-1),"")</f>
        <v/>
      </c>
      <c r="P1371" s="35" t="str">
        <f>IFERROR(_xlfn.XLOOKUP($C1371,Log!D:D,Log!Y:Y,,,-1),"")</f>
        <v/>
      </c>
      <c r="Q1371" s="130"/>
      <c r="R1371" s="131" t="str">
        <f>IFERROR(IF(Tabela1[[#This Row],[Nome fantasia]]="","",_xlfn.XLOOKUP($C1371,Log!D:D,Log!X:X,,,-1)),"")</f>
        <v/>
      </c>
    </row>
    <row r="1372" spans="3:18" hidden="1" x14ac:dyDescent="0.2">
      <c r="C1372" s="30" t="s">
        <v>3181</v>
      </c>
      <c r="D1372" s="110" t="s">
        <v>3182</v>
      </c>
      <c r="E1372" s="33" t="s">
        <v>46</v>
      </c>
      <c r="F1372" s="38"/>
      <c r="G1372" s="38"/>
      <c r="H1372" s="31"/>
      <c r="I1372" s="32"/>
      <c r="J1372" s="32"/>
      <c r="K1372" s="45" t="s">
        <v>888</v>
      </c>
      <c r="L1372" s="129"/>
      <c r="M1372" s="33" t="str">
        <f t="shared" si="21"/>
        <v/>
      </c>
      <c r="N1372" s="34" t="str">
        <f>IFERROR(IF(Tabela1[[#This Row],[Nome fantasia]]="","",_xlfn.XLOOKUP($C1372,Log!D:D,Log!B:B,,,-1)),"")</f>
        <v/>
      </c>
      <c r="O1372" s="35" t="str">
        <f>IFERROR(_xlfn.XLOOKUP($C1372,Log!D:D,Log!W:W,,,-1),"")</f>
        <v/>
      </c>
      <c r="P1372" s="35" t="str">
        <f>IFERROR(_xlfn.XLOOKUP($C1372,Log!D:D,Log!Y:Y,,,-1),"")</f>
        <v/>
      </c>
      <c r="Q1372" s="130"/>
      <c r="R1372" s="131" t="str">
        <f>IFERROR(IF(Tabela1[[#This Row],[Nome fantasia]]="","",_xlfn.XLOOKUP($C1372,Log!D:D,Log!X:X,,,-1)),"")</f>
        <v/>
      </c>
    </row>
    <row r="1373" spans="3:18" hidden="1" x14ac:dyDescent="0.2">
      <c r="C1373" s="30" t="s">
        <v>3183</v>
      </c>
      <c r="D1373" s="110" t="s">
        <v>3184</v>
      </c>
      <c r="E1373" s="33" t="s">
        <v>17</v>
      </c>
      <c r="F1373" s="38"/>
      <c r="G1373" s="38"/>
      <c r="H1373" s="31"/>
      <c r="I1373" s="32"/>
      <c r="J1373" s="32"/>
      <c r="K1373" s="45" t="s">
        <v>888</v>
      </c>
      <c r="L1373" s="129"/>
      <c r="M1373" s="33" t="str">
        <f t="shared" si="21"/>
        <v/>
      </c>
      <c r="N1373" s="34" t="str">
        <f>IFERROR(IF(Tabela1[[#This Row],[Nome fantasia]]="","",_xlfn.XLOOKUP($C1373,Log!D:D,Log!B:B,,,-1)),"")</f>
        <v/>
      </c>
      <c r="O1373" s="35" t="str">
        <f>IFERROR(_xlfn.XLOOKUP($C1373,Log!D:D,Log!W:W,,,-1),"")</f>
        <v/>
      </c>
      <c r="P1373" s="35" t="str">
        <f>IFERROR(_xlfn.XLOOKUP($C1373,Log!D:D,Log!Y:Y,,,-1),"")</f>
        <v/>
      </c>
      <c r="Q1373" s="130"/>
      <c r="R1373" s="131" t="str">
        <f>IFERROR(IF(Tabela1[[#This Row],[Nome fantasia]]="","",_xlfn.XLOOKUP($C1373,Log!D:D,Log!X:X,,,-1)),"")</f>
        <v/>
      </c>
    </row>
    <row r="1374" spans="3:18" hidden="1" x14ac:dyDescent="0.2">
      <c r="C1374" s="30" t="s">
        <v>3185</v>
      </c>
      <c r="D1374" s="110" t="s">
        <v>3186</v>
      </c>
      <c r="E1374" s="33" t="s">
        <v>46</v>
      </c>
      <c r="F1374" s="38"/>
      <c r="G1374" s="38"/>
      <c r="H1374" s="31"/>
      <c r="I1374" s="32"/>
      <c r="J1374" s="32"/>
      <c r="K1374" s="45" t="s">
        <v>888</v>
      </c>
      <c r="L1374" s="129"/>
      <c r="M1374" s="33" t="str">
        <f t="shared" si="21"/>
        <v/>
      </c>
      <c r="N1374" s="34">
        <f>IFERROR(IF(Tabela1[[#This Row],[Nome fantasia]]="","",_xlfn.XLOOKUP($C1374,Log!D:D,Log!B:B,,,-1)),"")</f>
        <v>45999</v>
      </c>
      <c r="O1374" s="35" t="str">
        <f>IFERROR(_xlfn.XLOOKUP($C1374,Log!D:D,Log!W:W,,,-1),"")</f>
        <v>EM ATENDIMENTO</v>
      </c>
      <c r="P1374" s="35" t="str">
        <f>IFERROR(_xlfn.XLOOKUP($C1374,Log!D:D,Log!Y:Y,,,-1),"")</f>
        <v>DEU RETORNO SOBRE INTERESSE EM NOSSOS PRODUTOS</v>
      </c>
      <c r="Q1374" s="130"/>
      <c r="R1374" s="131">
        <f>IFERROR(IF(Tabela1[[#This Row],[Nome fantasia]]="","",_xlfn.XLOOKUP($C1374,Log!D:D,Log!X:X,,,-1)),"")</f>
        <v>46001</v>
      </c>
    </row>
    <row r="1375" spans="3:18" hidden="1" x14ac:dyDescent="0.2">
      <c r="C1375" s="30" t="s">
        <v>3187</v>
      </c>
      <c r="D1375" s="110" t="s">
        <v>3188</v>
      </c>
      <c r="E1375" s="33" t="s">
        <v>46</v>
      </c>
      <c r="F1375" s="38"/>
      <c r="G1375" s="38"/>
      <c r="H1375" s="31"/>
      <c r="I1375" s="32"/>
      <c r="J1375" s="32"/>
      <c r="K1375" s="45" t="s">
        <v>888</v>
      </c>
      <c r="L1375" s="129"/>
      <c r="M1375" s="33" t="str">
        <f t="shared" si="21"/>
        <v/>
      </c>
      <c r="N1375" s="34" t="str">
        <f>IFERROR(IF(Tabela1[[#This Row],[Nome fantasia]]="","",_xlfn.XLOOKUP($C1375,Log!D:D,Log!B:B,,,-1)),"")</f>
        <v/>
      </c>
      <c r="O1375" s="35" t="str">
        <f>IFERROR(_xlfn.XLOOKUP($C1375,Log!D:D,Log!W:W,,,-1),"")</f>
        <v/>
      </c>
      <c r="P1375" s="35" t="str">
        <f>IFERROR(_xlfn.XLOOKUP($C1375,Log!D:D,Log!Y:Y,,,-1),"")</f>
        <v/>
      </c>
      <c r="Q1375" s="130"/>
      <c r="R1375" s="131" t="str">
        <f>IFERROR(IF(Tabela1[[#This Row],[Nome fantasia]]="","",_xlfn.XLOOKUP($C1375,Log!D:D,Log!X:X,,,-1)),"")</f>
        <v/>
      </c>
    </row>
    <row r="1376" spans="3:18" hidden="1" x14ac:dyDescent="0.2">
      <c r="C1376" s="30" t="s">
        <v>3189</v>
      </c>
      <c r="D1376" s="110" t="s">
        <v>3190</v>
      </c>
      <c r="E1376" s="33" t="s">
        <v>46</v>
      </c>
      <c r="F1376" s="38"/>
      <c r="G1376" s="38"/>
      <c r="H1376" s="31"/>
      <c r="I1376" s="32"/>
      <c r="J1376" s="32"/>
      <c r="K1376" s="45" t="s">
        <v>888</v>
      </c>
      <c r="L1376" s="129"/>
      <c r="M1376" s="33" t="str">
        <f t="shared" si="21"/>
        <v/>
      </c>
      <c r="N1376" s="34" t="str">
        <f>IFERROR(IF(Tabela1[[#This Row],[Nome fantasia]]="","",_xlfn.XLOOKUP($C1376,Log!D:D,Log!B:B,,,-1)),"")</f>
        <v/>
      </c>
      <c r="O1376" s="35" t="str">
        <f>IFERROR(_xlfn.XLOOKUP($C1376,Log!D:D,Log!W:W,,,-1),"")</f>
        <v/>
      </c>
      <c r="P1376" s="35" t="str">
        <f>IFERROR(_xlfn.XLOOKUP($C1376,Log!D:D,Log!Y:Y,,,-1),"")</f>
        <v/>
      </c>
      <c r="Q1376" s="130"/>
      <c r="R1376" s="131" t="str">
        <f>IFERROR(IF(Tabela1[[#This Row],[Nome fantasia]]="","",_xlfn.XLOOKUP($C1376,Log!D:D,Log!X:X,,,-1)),"")</f>
        <v/>
      </c>
    </row>
    <row r="1377" spans="3:18" hidden="1" x14ac:dyDescent="0.2">
      <c r="C1377" s="30" t="s">
        <v>3191</v>
      </c>
      <c r="D1377" s="110" t="s">
        <v>3192</v>
      </c>
      <c r="E1377" s="33" t="s">
        <v>22</v>
      </c>
      <c r="F1377" s="38"/>
      <c r="G1377" s="38"/>
      <c r="H1377" s="31"/>
      <c r="I1377" s="32"/>
      <c r="J1377" s="32"/>
      <c r="K1377" s="45" t="s">
        <v>888</v>
      </c>
      <c r="L1377" s="129"/>
      <c r="M1377" s="33" t="str">
        <f t="shared" si="21"/>
        <v/>
      </c>
      <c r="N1377" s="34" t="str">
        <f>IFERROR(IF(Tabela1[[#This Row],[Nome fantasia]]="","",_xlfn.XLOOKUP($C1377,Log!D:D,Log!B:B,,,-1)),"")</f>
        <v/>
      </c>
      <c r="O1377" s="35" t="str">
        <f>IFERROR(_xlfn.XLOOKUP($C1377,Log!D:D,Log!W:W,,,-1),"")</f>
        <v/>
      </c>
      <c r="P1377" s="35" t="str">
        <f>IFERROR(_xlfn.XLOOKUP($C1377,Log!D:D,Log!Y:Y,,,-1),"")</f>
        <v/>
      </c>
      <c r="Q1377" s="130"/>
      <c r="R1377" s="131" t="str">
        <f>IFERROR(IF(Tabela1[[#This Row],[Nome fantasia]]="","",_xlfn.XLOOKUP($C1377,Log!D:D,Log!X:X,,,-1)),"")</f>
        <v/>
      </c>
    </row>
    <row r="1378" spans="3:18" hidden="1" x14ac:dyDescent="0.2">
      <c r="C1378" s="30" t="s">
        <v>3193</v>
      </c>
      <c r="D1378" s="110" t="s">
        <v>3194</v>
      </c>
      <c r="E1378" s="33" t="s">
        <v>22</v>
      </c>
      <c r="F1378" s="38"/>
      <c r="G1378" s="38"/>
      <c r="H1378" s="31"/>
      <c r="I1378" s="32"/>
      <c r="J1378" s="32"/>
      <c r="K1378" s="45" t="s">
        <v>888</v>
      </c>
      <c r="L1378" s="129"/>
      <c r="M1378" s="33" t="str">
        <f t="shared" si="21"/>
        <v/>
      </c>
      <c r="N1378" s="34" t="str">
        <f>IFERROR(IF(Tabela1[[#This Row],[Nome fantasia]]="","",_xlfn.XLOOKUP($C1378,Log!D:D,Log!B:B,,,-1)),"")</f>
        <v/>
      </c>
      <c r="O1378" s="35" t="str">
        <f>IFERROR(_xlfn.XLOOKUP($C1378,Log!D:D,Log!W:W,,,-1),"")</f>
        <v/>
      </c>
      <c r="P1378" s="35" t="str">
        <f>IFERROR(_xlfn.XLOOKUP($C1378,Log!D:D,Log!Y:Y,,,-1),"")</f>
        <v/>
      </c>
      <c r="Q1378" s="130"/>
      <c r="R1378" s="131" t="str">
        <f>IFERROR(IF(Tabela1[[#This Row],[Nome fantasia]]="","",_xlfn.XLOOKUP($C1378,Log!D:D,Log!X:X,,,-1)),"")</f>
        <v/>
      </c>
    </row>
    <row r="1379" spans="3:18" hidden="1" x14ac:dyDescent="0.2">
      <c r="C1379" s="30" t="s">
        <v>3195</v>
      </c>
      <c r="D1379" s="110" t="s">
        <v>3196</v>
      </c>
      <c r="E1379" s="33" t="s">
        <v>46</v>
      </c>
      <c r="F1379" s="38"/>
      <c r="G1379" s="38"/>
      <c r="H1379" s="31"/>
      <c r="I1379" s="32"/>
      <c r="J1379" s="32"/>
      <c r="K1379" s="45" t="s">
        <v>888</v>
      </c>
      <c r="L1379" s="129"/>
      <c r="M1379" s="33" t="str">
        <f t="shared" si="21"/>
        <v/>
      </c>
      <c r="N1379" s="34" t="str">
        <f>IFERROR(IF(Tabela1[[#This Row],[Nome fantasia]]="","",_xlfn.XLOOKUP($C1379,Log!D:D,Log!B:B,,,-1)),"")</f>
        <v/>
      </c>
      <c r="O1379" s="35" t="str">
        <f>IFERROR(_xlfn.XLOOKUP($C1379,Log!D:D,Log!W:W,,,-1),"")</f>
        <v/>
      </c>
      <c r="P1379" s="35" t="str">
        <f>IFERROR(_xlfn.XLOOKUP($C1379,Log!D:D,Log!Y:Y,,,-1),"")</f>
        <v/>
      </c>
      <c r="Q1379" s="130"/>
      <c r="R1379" s="131" t="str">
        <f>IFERROR(IF(Tabela1[[#This Row],[Nome fantasia]]="","",_xlfn.XLOOKUP($C1379,Log!D:D,Log!X:X,,,-1)),"")</f>
        <v/>
      </c>
    </row>
    <row r="1380" spans="3:18" hidden="1" x14ac:dyDescent="0.2">
      <c r="C1380" s="30" t="s">
        <v>3197</v>
      </c>
      <c r="D1380" s="110" t="s">
        <v>3198</v>
      </c>
      <c r="E1380" s="33" t="s">
        <v>46</v>
      </c>
      <c r="F1380" s="38"/>
      <c r="G1380" s="38"/>
      <c r="H1380" s="31"/>
      <c r="I1380" s="32"/>
      <c r="J1380" s="32"/>
      <c r="K1380" s="45" t="s">
        <v>888</v>
      </c>
      <c r="L1380" s="129"/>
      <c r="M1380" s="33" t="str">
        <f t="shared" si="21"/>
        <v/>
      </c>
      <c r="N1380" s="34" t="str">
        <f>IFERROR(IF(Tabela1[[#This Row],[Nome fantasia]]="","",_xlfn.XLOOKUP($C1380,Log!D:D,Log!B:B,,,-1)),"")</f>
        <v/>
      </c>
      <c r="O1380" s="35" t="str">
        <f>IFERROR(_xlfn.XLOOKUP($C1380,Log!D:D,Log!W:W,,,-1),"")</f>
        <v/>
      </c>
      <c r="P1380" s="35" t="str">
        <f>IFERROR(_xlfn.XLOOKUP($C1380,Log!D:D,Log!Y:Y,,,-1),"")</f>
        <v/>
      </c>
      <c r="Q1380" s="130"/>
      <c r="R1380" s="131" t="str">
        <f>IFERROR(IF(Tabela1[[#This Row],[Nome fantasia]]="","",_xlfn.XLOOKUP($C1380,Log!D:D,Log!X:X,,,-1)),"")</f>
        <v/>
      </c>
    </row>
    <row r="1381" spans="3:18" hidden="1" x14ac:dyDescent="0.2">
      <c r="C1381" s="30" t="s">
        <v>3199</v>
      </c>
      <c r="D1381" s="110" t="s">
        <v>3200</v>
      </c>
      <c r="E1381" s="33" t="s">
        <v>46</v>
      </c>
      <c r="F1381" s="38"/>
      <c r="G1381" s="38"/>
      <c r="H1381" s="31"/>
      <c r="I1381" s="32"/>
      <c r="J1381" s="32"/>
      <c r="K1381" s="45" t="s">
        <v>888</v>
      </c>
      <c r="L1381" s="129"/>
      <c r="M1381" s="33" t="str">
        <f t="shared" si="21"/>
        <v/>
      </c>
      <c r="N1381" s="34" t="str">
        <f>IFERROR(IF(Tabela1[[#This Row],[Nome fantasia]]="","",_xlfn.XLOOKUP($C1381,Log!D:D,Log!B:B,,,-1)),"")</f>
        <v/>
      </c>
      <c r="O1381" s="35" t="str">
        <f>IFERROR(_xlfn.XLOOKUP($C1381,Log!D:D,Log!W:W,,,-1),"")</f>
        <v/>
      </c>
      <c r="P1381" s="35" t="str">
        <f>IFERROR(_xlfn.XLOOKUP($C1381,Log!D:D,Log!Y:Y,,,-1),"")</f>
        <v/>
      </c>
      <c r="Q1381" s="130"/>
      <c r="R1381" s="131" t="str">
        <f>IFERROR(IF(Tabela1[[#This Row],[Nome fantasia]]="","",_xlfn.XLOOKUP($C1381,Log!D:D,Log!X:X,,,-1)),"")</f>
        <v/>
      </c>
    </row>
    <row r="1382" spans="3:18" hidden="1" x14ac:dyDescent="0.2">
      <c r="C1382" s="30" t="s">
        <v>3201</v>
      </c>
      <c r="D1382" s="110" t="s">
        <v>3202</v>
      </c>
      <c r="E1382" s="33" t="s">
        <v>22</v>
      </c>
      <c r="F1382" s="38"/>
      <c r="G1382" s="38"/>
      <c r="H1382" s="31"/>
      <c r="I1382" s="32"/>
      <c r="J1382" s="32"/>
      <c r="K1382" s="45" t="s">
        <v>888</v>
      </c>
      <c r="L1382" s="129"/>
      <c r="M1382" s="33" t="str">
        <f t="shared" si="21"/>
        <v/>
      </c>
      <c r="N1382" s="34" t="str">
        <f>IFERROR(IF(Tabela1[[#This Row],[Nome fantasia]]="","",_xlfn.XLOOKUP($C1382,Log!D:D,Log!B:B,,,-1)),"")</f>
        <v/>
      </c>
      <c r="O1382" s="35" t="str">
        <f>IFERROR(_xlfn.XLOOKUP($C1382,Log!D:D,Log!W:W,,,-1),"")</f>
        <v/>
      </c>
      <c r="P1382" s="35" t="str">
        <f>IFERROR(_xlfn.XLOOKUP($C1382,Log!D:D,Log!Y:Y,,,-1),"")</f>
        <v/>
      </c>
      <c r="Q1382" s="130"/>
      <c r="R1382" s="131" t="str">
        <f>IFERROR(IF(Tabela1[[#This Row],[Nome fantasia]]="","",_xlfn.XLOOKUP($C1382,Log!D:D,Log!X:X,,,-1)),"")</f>
        <v/>
      </c>
    </row>
    <row r="1383" spans="3:18" hidden="1" x14ac:dyDescent="0.2">
      <c r="C1383" s="30" t="s">
        <v>3203</v>
      </c>
      <c r="D1383" s="110" t="s">
        <v>3204</v>
      </c>
      <c r="E1383" s="33" t="s">
        <v>46</v>
      </c>
      <c r="F1383" s="38"/>
      <c r="G1383" s="38"/>
      <c r="H1383" s="31"/>
      <c r="I1383" s="32"/>
      <c r="J1383" s="32"/>
      <c r="K1383" s="45" t="s">
        <v>888</v>
      </c>
      <c r="L1383" s="129"/>
      <c r="M1383" s="33" t="str">
        <f t="shared" si="21"/>
        <v/>
      </c>
      <c r="N1383" s="34">
        <f>IFERROR(IF(Tabela1[[#This Row],[Nome fantasia]]="","",_xlfn.XLOOKUP($C1383,Log!D:D,Log!B:B,,,-1)),"")</f>
        <v>45999</v>
      </c>
      <c r="O1383" s="35" t="str">
        <f>IFERROR(_xlfn.XLOOKUP($C1383,Log!D:D,Log!W:W,,,-1),"")</f>
        <v>EM ATENDIMENTO</v>
      </c>
      <c r="P1383" s="35" t="str">
        <f>IFERROR(_xlfn.XLOOKUP($C1383,Log!D:D,Log!Y:Y,,,-1),"")</f>
        <v>CLIENTE ATENDEU E PEDIU PARA ENVIAR O CATALOGO PARA ELA</v>
      </c>
      <c r="Q1383" s="130"/>
      <c r="R1383" s="131">
        <f>IFERROR(IF(Tabela1[[#This Row],[Nome fantasia]]="","",_xlfn.XLOOKUP($C1383,Log!D:D,Log!X:X,,,-1)),"")</f>
        <v>46001</v>
      </c>
    </row>
    <row r="1384" spans="3:18" hidden="1" x14ac:dyDescent="0.2">
      <c r="C1384" s="30" t="s">
        <v>3205</v>
      </c>
      <c r="D1384" s="110" t="s">
        <v>3206</v>
      </c>
      <c r="E1384" s="33" t="s">
        <v>22</v>
      </c>
      <c r="F1384" s="38"/>
      <c r="G1384" s="38"/>
      <c r="H1384" s="31"/>
      <c r="I1384" s="32"/>
      <c r="J1384" s="32"/>
      <c r="K1384" s="45" t="s">
        <v>888</v>
      </c>
      <c r="L1384" s="129"/>
      <c r="M1384" s="33" t="str">
        <f t="shared" si="21"/>
        <v/>
      </c>
      <c r="N1384" s="34" t="str">
        <f>IFERROR(IF(Tabela1[[#This Row],[Nome fantasia]]="","",_xlfn.XLOOKUP($C1384,Log!D:D,Log!B:B,,,-1)),"")</f>
        <v/>
      </c>
      <c r="O1384" s="35" t="str">
        <f>IFERROR(_xlfn.XLOOKUP($C1384,Log!D:D,Log!W:W,,,-1),"")</f>
        <v/>
      </c>
      <c r="P1384" s="35" t="str">
        <f>IFERROR(_xlfn.XLOOKUP($C1384,Log!D:D,Log!Y:Y,,,-1),"")</f>
        <v/>
      </c>
      <c r="Q1384" s="130"/>
      <c r="R1384" s="131" t="str">
        <f>IFERROR(IF(Tabela1[[#This Row],[Nome fantasia]]="","",_xlfn.XLOOKUP($C1384,Log!D:D,Log!X:X,,,-1)),"")</f>
        <v/>
      </c>
    </row>
    <row r="1385" spans="3:18" hidden="1" x14ac:dyDescent="0.2">
      <c r="C1385" s="30" t="s">
        <v>3205</v>
      </c>
      <c r="D1385" s="110" t="s">
        <v>3206</v>
      </c>
      <c r="E1385" s="33" t="s">
        <v>22</v>
      </c>
      <c r="F1385" s="38"/>
      <c r="G1385" s="38"/>
      <c r="H1385" s="31"/>
      <c r="I1385" s="32"/>
      <c r="J1385" s="32"/>
      <c r="K1385" s="45" t="s">
        <v>888</v>
      </c>
      <c r="L1385" s="129"/>
      <c r="M1385" s="33" t="str">
        <f t="shared" si="21"/>
        <v/>
      </c>
      <c r="N1385" s="34" t="str">
        <f>IFERROR(IF(Tabela1[[#This Row],[Nome fantasia]]="","",_xlfn.XLOOKUP($C1385,Log!D:D,Log!B:B,,,-1)),"")</f>
        <v/>
      </c>
      <c r="O1385" s="35" t="str">
        <f>IFERROR(_xlfn.XLOOKUP($C1385,Log!D:D,Log!W:W,,,-1),"")</f>
        <v/>
      </c>
      <c r="P1385" s="35" t="str">
        <f>IFERROR(_xlfn.XLOOKUP($C1385,Log!D:D,Log!Y:Y,,,-1),"")</f>
        <v/>
      </c>
      <c r="Q1385" s="130"/>
      <c r="R1385" s="131" t="str">
        <f>IFERROR(IF(Tabela1[[#This Row],[Nome fantasia]]="","",_xlfn.XLOOKUP($C1385,Log!D:D,Log!X:X,,,-1)),"")</f>
        <v/>
      </c>
    </row>
    <row r="1386" spans="3:18" hidden="1" x14ac:dyDescent="0.2">
      <c r="C1386" s="30" t="s">
        <v>3207</v>
      </c>
      <c r="D1386" s="110" t="s">
        <v>3208</v>
      </c>
      <c r="E1386" s="33" t="s">
        <v>46</v>
      </c>
      <c r="F1386" s="38"/>
      <c r="G1386" s="38"/>
      <c r="H1386" s="31"/>
      <c r="I1386" s="32"/>
      <c r="J1386" s="32"/>
      <c r="K1386" s="45" t="s">
        <v>888</v>
      </c>
      <c r="L1386" s="129"/>
      <c r="M1386" s="33" t="str">
        <f t="shared" si="21"/>
        <v/>
      </c>
      <c r="N1386" s="34" t="str">
        <f>IFERROR(IF(Tabela1[[#This Row],[Nome fantasia]]="","",_xlfn.XLOOKUP($C1386,Log!D:D,Log!B:B,,,-1)),"")</f>
        <v/>
      </c>
      <c r="O1386" s="35" t="str">
        <f>IFERROR(_xlfn.XLOOKUP($C1386,Log!D:D,Log!W:W,,,-1),"")</f>
        <v/>
      </c>
      <c r="P1386" s="35" t="str">
        <f>IFERROR(_xlfn.XLOOKUP($C1386,Log!D:D,Log!Y:Y,,,-1),"")</f>
        <v/>
      </c>
      <c r="Q1386" s="130"/>
      <c r="R1386" s="131" t="str">
        <f>IFERROR(IF(Tabela1[[#This Row],[Nome fantasia]]="","",_xlfn.XLOOKUP($C1386,Log!D:D,Log!X:X,,,-1)),"")</f>
        <v/>
      </c>
    </row>
    <row r="1387" spans="3:18" hidden="1" x14ac:dyDescent="0.2">
      <c r="C1387" s="30" t="s">
        <v>3209</v>
      </c>
      <c r="D1387" s="110" t="s">
        <v>3210</v>
      </c>
      <c r="E1387" s="33" t="s">
        <v>46</v>
      </c>
      <c r="F1387" s="38"/>
      <c r="G1387" s="38"/>
      <c r="H1387" s="31"/>
      <c r="I1387" s="32"/>
      <c r="J1387" s="32"/>
      <c r="K1387" s="45" t="s">
        <v>888</v>
      </c>
      <c r="L1387" s="129"/>
      <c r="M1387" s="33" t="str">
        <f t="shared" si="21"/>
        <v/>
      </c>
      <c r="N1387" s="34" t="str">
        <f>IFERROR(IF(Tabela1[[#This Row],[Nome fantasia]]="","",_xlfn.XLOOKUP($C1387,Log!D:D,Log!B:B,,,-1)),"")</f>
        <v/>
      </c>
      <c r="O1387" s="35" t="str">
        <f>IFERROR(_xlfn.XLOOKUP($C1387,Log!D:D,Log!W:W,,,-1),"")</f>
        <v/>
      </c>
      <c r="P1387" s="35" t="str">
        <f>IFERROR(_xlfn.XLOOKUP($C1387,Log!D:D,Log!Y:Y,,,-1),"")</f>
        <v/>
      </c>
      <c r="Q1387" s="130"/>
      <c r="R1387" s="131" t="str">
        <f>IFERROR(IF(Tabela1[[#This Row],[Nome fantasia]]="","",_xlfn.XLOOKUP($C1387,Log!D:D,Log!X:X,,,-1)),"")</f>
        <v/>
      </c>
    </row>
    <row r="1388" spans="3:18" hidden="1" x14ac:dyDescent="0.2">
      <c r="C1388" s="30" t="s">
        <v>3211</v>
      </c>
      <c r="D1388" s="110" t="s">
        <v>1287</v>
      </c>
      <c r="E1388" s="33" t="s">
        <v>22</v>
      </c>
      <c r="F1388" s="38"/>
      <c r="G1388" s="38"/>
      <c r="H1388" s="31"/>
      <c r="I1388" s="32"/>
      <c r="J1388" s="32"/>
      <c r="K1388" s="45" t="s">
        <v>888</v>
      </c>
      <c r="L1388" s="129"/>
      <c r="M1388" s="33" t="str">
        <f t="shared" si="21"/>
        <v/>
      </c>
      <c r="N1388" s="34" t="str">
        <f>IFERROR(IF(Tabela1[[#This Row],[Nome fantasia]]="","",_xlfn.XLOOKUP($C1388,Log!D:D,Log!B:B,,,-1)),"")</f>
        <v/>
      </c>
      <c r="O1388" s="35" t="str">
        <f>IFERROR(_xlfn.XLOOKUP($C1388,Log!D:D,Log!W:W,,,-1),"")</f>
        <v/>
      </c>
      <c r="P1388" s="35" t="str">
        <f>IFERROR(_xlfn.XLOOKUP($C1388,Log!D:D,Log!Y:Y,,,-1),"")</f>
        <v/>
      </c>
      <c r="Q1388" s="130"/>
      <c r="R1388" s="131" t="str">
        <f>IFERROR(IF(Tabela1[[#This Row],[Nome fantasia]]="","",_xlfn.XLOOKUP($C1388,Log!D:D,Log!X:X,,,-1)),"")</f>
        <v/>
      </c>
    </row>
    <row r="1389" spans="3:18" hidden="1" x14ac:dyDescent="0.2">
      <c r="C1389" s="30" t="s">
        <v>3212</v>
      </c>
      <c r="D1389" s="110" t="s">
        <v>3213</v>
      </c>
      <c r="E1389" s="33" t="s">
        <v>46</v>
      </c>
      <c r="F1389" s="38"/>
      <c r="G1389" s="38"/>
      <c r="H1389" s="31"/>
      <c r="I1389" s="32"/>
      <c r="J1389" s="32"/>
      <c r="K1389" s="45" t="s">
        <v>888</v>
      </c>
      <c r="L1389" s="129"/>
      <c r="M1389" s="33" t="str">
        <f t="shared" si="21"/>
        <v/>
      </c>
      <c r="N1389" s="34" t="str">
        <f>IFERROR(IF(Tabela1[[#This Row],[Nome fantasia]]="","",_xlfn.XLOOKUP($C1389,Log!D:D,Log!B:B,,,-1)),"")</f>
        <v/>
      </c>
      <c r="O1389" s="35" t="str">
        <f>IFERROR(_xlfn.XLOOKUP($C1389,Log!D:D,Log!W:W,,,-1),"")</f>
        <v/>
      </c>
      <c r="P1389" s="35" t="str">
        <f>IFERROR(_xlfn.XLOOKUP($C1389,Log!D:D,Log!Y:Y,,,-1),"")</f>
        <v/>
      </c>
      <c r="Q1389" s="130"/>
      <c r="R1389" s="131" t="str">
        <f>IFERROR(IF(Tabela1[[#This Row],[Nome fantasia]]="","",_xlfn.XLOOKUP($C1389,Log!D:D,Log!X:X,,,-1)),"")</f>
        <v/>
      </c>
    </row>
    <row r="1390" spans="3:18" hidden="1" x14ac:dyDescent="0.2">
      <c r="C1390" s="30" t="s">
        <v>2220</v>
      </c>
      <c r="D1390" s="110" t="s">
        <v>3214</v>
      </c>
      <c r="E1390" s="33" t="s">
        <v>22</v>
      </c>
      <c r="F1390" s="38"/>
      <c r="G1390" s="38"/>
      <c r="H1390" s="31"/>
      <c r="I1390" s="32"/>
      <c r="J1390" s="32"/>
      <c r="K1390" s="45" t="s">
        <v>888</v>
      </c>
      <c r="L1390" s="129"/>
      <c r="M1390" s="33" t="str">
        <f t="shared" si="21"/>
        <v/>
      </c>
      <c r="N1390" s="34" t="str">
        <f>IFERROR(IF(Tabela1[[#This Row],[Nome fantasia]]="","",_xlfn.XLOOKUP($C1390,Log!D:D,Log!B:B,,,-1)),"")</f>
        <v/>
      </c>
      <c r="O1390" s="35" t="str">
        <f>IFERROR(_xlfn.XLOOKUP($C1390,Log!D:D,Log!W:W,,,-1),"")</f>
        <v/>
      </c>
      <c r="P1390" s="35" t="str">
        <f>IFERROR(_xlfn.XLOOKUP($C1390,Log!D:D,Log!Y:Y,,,-1),"")</f>
        <v/>
      </c>
      <c r="Q1390" s="130"/>
      <c r="R1390" s="131" t="str">
        <f>IFERROR(IF(Tabela1[[#This Row],[Nome fantasia]]="","",_xlfn.XLOOKUP($C1390,Log!D:D,Log!X:X,,,-1)),"")</f>
        <v/>
      </c>
    </row>
    <row r="1391" spans="3:18" hidden="1" x14ac:dyDescent="0.2">
      <c r="C1391" s="30" t="s">
        <v>3215</v>
      </c>
      <c r="D1391" s="110" t="s">
        <v>3216</v>
      </c>
      <c r="E1391" s="33" t="s">
        <v>22</v>
      </c>
      <c r="F1391" s="38"/>
      <c r="G1391" s="38"/>
      <c r="H1391" s="31"/>
      <c r="I1391" s="32"/>
      <c r="J1391" s="32"/>
      <c r="K1391" s="45" t="s">
        <v>888</v>
      </c>
      <c r="L1391" s="129"/>
      <c r="M1391" s="33" t="str">
        <f t="shared" si="21"/>
        <v/>
      </c>
      <c r="N1391" s="34" t="str">
        <f>IFERROR(IF(Tabela1[[#This Row],[Nome fantasia]]="","",_xlfn.XLOOKUP($C1391,Log!D:D,Log!B:B,,,-1)),"")</f>
        <v/>
      </c>
      <c r="O1391" s="35" t="str">
        <f>IFERROR(_xlfn.XLOOKUP($C1391,Log!D:D,Log!W:W,,,-1),"")</f>
        <v/>
      </c>
      <c r="P1391" s="35" t="str">
        <f>IFERROR(_xlfn.XLOOKUP($C1391,Log!D:D,Log!Y:Y,,,-1),"")</f>
        <v/>
      </c>
      <c r="Q1391" s="130"/>
      <c r="R1391" s="131" t="str">
        <f>IFERROR(IF(Tabela1[[#This Row],[Nome fantasia]]="","",_xlfn.XLOOKUP($C1391,Log!D:D,Log!X:X,,,-1)),"")</f>
        <v/>
      </c>
    </row>
    <row r="1392" spans="3:18" hidden="1" x14ac:dyDescent="0.2">
      <c r="C1392" s="30" t="s">
        <v>3217</v>
      </c>
      <c r="D1392" s="110" t="s">
        <v>3218</v>
      </c>
      <c r="E1392" s="33" t="s">
        <v>46</v>
      </c>
      <c r="F1392" s="38"/>
      <c r="G1392" s="38"/>
      <c r="H1392" s="31"/>
      <c r="I1392" s="32"/>
      <c r="J1392" s="32"/>
      <c r="K1392" s="45" t="s">
        <v>888</v>
      </c>
      <c r="L1392" s="129"/>
      <c r="M1392" s="33" t="str">
        <f t="shared" si="21"/>
        <v/>
      </c>
      <c r="N1392" s="34" t="str">
        <f>IFERROR(IF(Tabela1[[#This Row],[Nome fantasia]]="","",_xlfn.XLOOKUP($C1392,Log!D:D,Log!B:B,,,-1)),"")</f>
        <v/>
      </c>
      <c r="O1392" s="35" t="str">
        <f>IFERROR(_xlfn.XLOOKUP($C1392,Log!D:D,Log!W:W,,,-1),"")</f>
        <v/>
      </c>
      <c r="P1392" s="35" t="str">
        <f>IFERROR(_xlfn.XLOOKUP($C1392,Log!D:D,Log!Y:Y,,,-1),"")</f>
        <v/>
      </c>
      <c r="Q1392" s="130"/>
      <c r="R1392" s="131" t="str">
        <f>IFERROR(IF(Tabela1[[#This Row],[Nome fantasia]]="","",_xlfn.XLOOKUP($C1392,Log!D:D,Log!X:X,,,-1)),"")</f>
        <v/>
      </c>
    </row>
    <row r="1393" spans="3:18" hidden="1" x14ac:dyDescent="0.2">
      <c r="C1393" s="30" t="s">
        <v>3219</v>
      </c>
      <c r="D1393" s="110" t="s">
        <v>3220</v>
      </c>
      <c r="E1393" s="33" t="s">
        <v>46</v>
      </c>
      <c r="F1393" s="38"/>
      <c r="G1393" s="38"/>
      <c r="H1393" s="31"/>
      <c r="I1393" s="32"/>
      <c r="J1393" s="32"/>
      <c r="K1393" s="45" t="s">
        <v>888</v>
      </c>
      <c r="L1393" s="129"/>
      <c r="M1393" s="33" t="str">
        <f t="shared" si="21"/>
        <v/>
      </c>
      <c r="N1393" s="34" t="str">
        <f>IFERROR(IF(Tabela1[[#This Row],[Nome fantasia]]="","",_xlfn.XLOOKUP($C1393,Log!D:D,Log!B:B,,,-1)),"")</f>
        <v/>
      </c>
      <c r="O1393" s="35" t="str">
        <f>IFERROR(_xlfn.XLOOKUP($C1393,Log!D:D,Log!W:W,,,-1),"")</f>
        <v/>
      </c>
      <c r="P1393" s="35" t="str">
        <f>IFERROR(_xlfn.XLOOKUP($C1393,Log!D:D,Log!Y:Y,,,-1),"")</f>
        <v/>
      </c>
      <c r="Q1393" s="130"/>
      <c r="R1393" s="131" t="str">
        <f>IFERROR(IF(Tabela1[[#This Row],[Nome fantasia]]="","",_xlfn.XLOOKUP($C1393,Log!D:D,Log!X:X,,,-1)),"")</f>
        <v/>
      </c>
    </row>
    <row r="1394" spans="3:18" hidden="1" x14ac:dyDescent="0.2">
      <c r="C1394" s="30" t="s">
        <v>3221</v>
      </c>
      <c r="D1394" s="110" t="s">
        <v>3222</v>
      </c>
      <c r="E1394" s="33" t="s">
        <v>46</v>
      </c>
      <c r="F1394" s="38"/>
      <c r="G1394" s="38"/>
      <c r="H1394" s="31"/>
      <c r="I1394" s="32"/>
      <c r="J1394" s="32"/>
      <c r="K1394" s="45" t="s">
        <v>888</v>
      </c>
      <c r="L1394" s="129"/>
      <c r="M1394" s="33" t="str">
        <f t="shared" si="21"/>
        <v/>
      </c>
      <c r="N1394" s="34" t="str">
        <f>IFERROR(IF(Tabela1[[#This Row],[Nome fantasia]]="","",_xlfn.XLOOKUP($C1394,Log!D:D,Log!B:B,,,-1)),"")</f>
        <v/>
      </c>
      <c r="O1394" s="35" t="str">
        <f>IFERROR(_xlfn.XLOOKUP($C1394,Log!D:D,Log!W:W,,,-1),"")</f>
        <v/>
      </c>
      <c r="P1394" s="35" t="str">
        <f>IFERROR(_xlfn.XLOOKUP($C1394,Log!D:D,Log!Y:Y,,,-1),"")</f>
        <v/>
      </c>
      <c r="Q1394" s="130"/>
      <c r="R1394" s="131" t="str">
        <f>IFERROR(IF(Tabela1[[#This Row],[Nome fantasia]]="","",_xlfn.XLOOKUP($C1394,Log!D:D,Log!X:X,,,-1)),"")</f>
        <v/>
      </c>
    </row>
    <row r="1395" spans="3:18" hidden="1" x14ac:dyDescent="0.2">
      <c r="C1395" s="30" t="s">
        <v>3223</v>
      </c>
      <c r="D1395" s="110" t="s">
        <v>3224</v>
      </c>
      <c r="E1395" s="33" t="s">
        <v>46</v>
      </c>
      <c r="F1395" s="38"/>
      <c r="G1395" s="38"/>
      <c r="H1395" s="31"/>
      <c r="I1395" s="32"/>
      <c r="J1395" s="32"/>
      <c r="K1395" s="45" t="s">
        <v>888</v>
      </c>
      <c r="L1395" s="129"/>
      <c r="M1395" s="33" t="str">
        <f t="shared" si="21"/>
        <v/>
      </c>
      <c r="N1395" s="34" t="str">
        <f>IFERROR(IF(Tabela1[[#This Row],[Nome fantasia]]="","",_xlfn.XLOOKUP($C1395,Log!D:D,Log!B:B,,,-1)),"")</f>
        <v/>
      </c>
      <c r="O1395" s="35" t="str">
        <f>IFERROR(_xlfn.XLOOKUP($C1395,Log!D:D,Log!W:W,,,-1),"")</f>
        <v/>
      </c>
      <c r="P1395" s="35" t="str">
        <f>IFERROR(_xlfn.XLOOKUP($C1395,Log!D:D,Log!Y:Y,,,-1),"")</f>
        <v/>
      </c>
      <c r="Q1395" s="130"/>
      <c r="R1395" s="131" t="str">
        <f>IFERROR(IF(Tabela1[[#This Row],[Nome fantasia]]="","",_xlfn.XLOOKUP($C1395,Log!D:D,Log!X:X,,,-1)),"")</f>
        <v/>
      </c>
    </row>
    <row r="1396" spans="3:18" hidden="1" x14ac:dyDescent="0.2">
      <c r="C1396" s="30" t="s">
        <v>3225</v>
      </c>
      <c r="D1396" s="110" t="s">
        <v>3226</v>
      </c>
      <c r="E1396" s="33" t="s">
        <v>22</v>
      </c>
      <c r="F1396" s="38"/>
      <c r="G1396" s="38"/>
      <c r="H1396" s="31"/>
      <c r="I1396" s="32"/>
      <c r="J1396" s="32"/>
      <c r="K1396" s="45" t="s">
        <v>888</v>
      </c>
      <c r="L1396" s="129"/>
      <c r="M1396" s="33" t="str">
        <f t="shared" si="21"/>
        <v/>
      </c>
      <c r="N1396" s="34" t="str">
        <f>IFERROR(IF(Tabela1[[#This Row],[Nome fantasia]]="","",_xlfn.XLOOKUP($C1396,Log!D:D,Log!B:B,,,-1)),"")</f>
        <v/>
      </c>
      <c r="O1396" s="35" t="str">
        <f>IFERROR(_xlfn.XLOOKUP($C1396,Log!D:D,Log!W:W,,,-1),"")</f>
        <v/>
      </c>
      <c r="P1396" s="35" t="str">
        <f>IFERROR(_xlfn.XLOOKUP($C1396,Log!D:D,Log!Y:Y,,,-1),"")</f>
        <v/>
      </c>
      <c r="Q1396" s="130"/>
      <c r="R1396" s="131" t="str">
        <f>IFERROR(IF(Tabela1[[#This Row],[Nome fantasia]]="","",_xlfn.XLOOKUP($C1396,Log!D:D,Log!X:X,,,-1)),"")</f>
        <v/>
      </c>
    </row>
    <row r="1397" spans="3:18" hidden="1" x14ac:dyDescent="0.2">
      <c r="C1397" s="30" t="s">
        <v>1656</v>
      </c>
      <c r="D1397" s="110" t="s">
        <v>3227</v>
      </c>
      <c r="E1397" s="33" t="s">
        <v>46</v>
      </c>
      <c r="F1397" s="38"/>
      <c r="G1397" s="38"/>
      <c r="H1397" s="31"/>
      <c r="I1397" s="32"/>
      <c r="J1397" s="32"/>
      <c r="K1397" s="45" t="s">
        <v>888</v>
      </c>
      <c r="L1397" s="129"/>
      <c r="M1397" s="33" t="str">
        <f t="shared" si="21"/>
        <v/>
      </c>
      <c r="N1397" s="34" t="str">
        <f>IFERROR(IF(Tabela1[[#This Row],[Nome fantasia]]="","",_xlfn.XLOOKUP($C1397,Log!D:D,Log!B:B,,,-1)),"")</f>
        <v/>
      </c>
      <c r="O1397" s="35" t="str">
        <f>IFERROR(_xlfn.XLOOKUP($C1397,Log!D:D,Log!W:W,,,-1),"")</f>
        <v/>
      </c>
      <c r="P1397" s="35" t="str">
        <f>IFERROR(_xlfn.XLOOKUP($C1397,Log!D:D,Log!Y:Y,,,-1),"")</f>
        <v/>
      </c>
      <c r="Q1397" s="130"/>
      <c r="R1397" s="131" t="str">
        <f>IFERROR(IF(Tabela1[[#This Row],[Nome fantasia]]="","",_xlfn.XLOOKUP($C1397,Log!D:D,Log!X:X,,,-1)),"")</f>
        <v/>
      </c>
    </row>
    <row r="1398" spans="3:18" hidden="1" x14ac:dyDescent="0.2">
      <c r="C1398" s="30" t="s">
        <v>3228</v>
      </c>
      <c r="D1398" s="110" t="s">
        <v>3229</v>
      </c>
      <c r="E1398" s="33" t="s">
        <v>22</v>
      </c>
      <c r="F1398" s="38"/>
      <c r="G1398" s="38"/>
      <c r="H1398" s="31"/>
      <c r="I1398" s="32"/>
      <c r="J1398" s="32"/>
      <c r="K1398" s="45" t="s">
        <v>888</v>
      </c>
      <c r="L1398" s="129"/>
      <c r="M1398" s="33" t="str">
        <f t="shared" si="21"/>
        <v/>
      </c>
      <c r="N1398" s="34" t="str">
        <f>IFERROR(IF(Tabela1[[#This Row],[Nome fantasia]]="","",_xlfn.XLOOKUP($C1398,Log!D:D,Log!B:B,,,-1)),"")</f>
        <v/>
      </c>
      <c r="O1398" s="35" t="str">
        <f>IFERROR(_xlfn.XLOOKUP($C1398,Log!D:D,Log!W:W,,,-1),"")</f>
        <v/>
      </c>
      <c r="P1398" s="35" t="str">
        <f>IFERROR(_xlfn.XLOOKUP($C1398,Log!D:D,Log!Y:Y,,,-1),"")</f>
        <v/>
      </c>
      <c r="Q1398" s="130"/>
      <c r="R1398" s="131" t="str">
        <f>IFERROR(IF(Tabela1[[#This Row],[Nome fantasia]]="","",_xlfn.XLOOKUP($C1398,Log!D:D,Log!X:X,,,-1)),"")</f>
        <v/>
      </c>
    </row>
    <row r="1399" spans="3:18" hidden="1" x14ac:dyDescent="0.2">
      <c r="C1399" s="30" t="s">
        <v>3230</v>
      </c>
      <c r="D1399" s="110" t="s">
        <v>3231</v>
      </c>
      <c r="E1399" s="33" t="s">
        <v>22</v>
      </c>
      <c r="F1399" s="38"/>
      <c r="G1399" s="38"/>
      <c r="H1399" s="31"/>
      <c r="I1399" s="32"/>
      <c r="J1399" s="32"/>
      <c r="K1399" s="45" t="s">
        <v>888</v>
      </c>
      <c r="L1399" s="129"/>
      <c r="M1399" s="33" t="str">
        <f t="shared" si="21"/>
        <v/>
      </c>
      <c r="N1399" s="34" t="str">
        <f>IFERROR(IF(Tabela1[[#This Row],[Nome fantasia]]="","",_xlfn.XLOOKUP($C1399,Log!D:D,Log!B:B,,,-1)),"")</f>
        <v/>
      </c>
      <c r="O1399" s="35" t="str">
        <f>IFERROR(_xlfn.XLOOKUP($C1399,Log!D:D,Log!W:W,,,-1),"")</f>
        <v/>
      </c>
      <c r="P1399" s="35" t="str">
        <f>IFERROR(_xlfn.XLOOKUP($C1399,Log!D:D,Log!Y:Y,,,-1),"")</f>
        <v/>
      </c>
      <c r="Q1399" s="130"/>
      <c r="R1399" s="131" t="str">
        <f>IFERROR(IF(Tabela1[[#This Row],[Nome fantasia]]="","",_xlfn.XLOOKUP($C1399,Log!D:D,Log!X:X,,,-1)),"")</f>
        <v/>
      </c>
    </row>
    <row r="1400" spans="3:18" hidden="1" x14ac:dyDescent="0.2">
      <c r="C1400" s="30" t="s">
        <v>3232</v>
      </c>
      <c r="D1400" s="110" t="s">
        <v>3233</v>
      </c>
      <c r="E1400" s="33" t="s">
        <v>46</v>
      </c>
      <c r="F1400" s="38"/>
      <c r="G1400" s="38"/>
      <c r="H1400" s="31"/>
      <c r="I1400" s="32"/>
      <c r="J1400" s="32"/>
      <c r="K1400" s="45" t="s">
        <v>888</v>
      </c>
      <c r="L1400" s="129"/>
      <c r="M1400" s="33" t="str">
        <f t="shared" si="21"/>
        <v/>
      </c>
      <c r="N1400" s="34">
        <f>IFERROR(IF(Tabela1[[#This Row],[Nome fantasia]]="","",_xlfn.XLOOKUP($C1400,Log!D:D,Log!B:B,,,-1)),"")</f>
        <v>45994</v>
      </c>
      <c r="O1400" s="35" t="str">
        <f>IFERROR(_xlfn.XLOOKUP($C1400,Log!D:D,Log!W:W,,,-1),"")</f>
        <v>EM ATENDIMENTO</v>
      </c>
      <c r="P1400" s="35" t="str">
        <f>IFERROR(_xlfn.XLOOKUP($C1400,Log!D:D,Log!Y:Y,,,-1),"")</f>
        <v>PEDIU LINK DO PORTAL PARA DAR UMA OLHADA NAS PROMOÇÕES</v>
      </c>
      <c r="Q1400" s="130"/>
      <c r="R1400" s="131">
        <f>IFERROR(IF(Tabela1[[#This Row],[Nome fantasia]]="","",_xlfn.XLOOKUP($C1400,Log!D:D,Log!X:X,,,-1)),"")</f>
        <v>45996</v>
      </c>
    </row>
    <row r="1401" spans="3:18" hidden="1" x14ac:dyDescent="0.2">
      <c r="C1401" s="30" t="s">
        <v>3234</v>
      </c>
      <c r="D1401" s="110" t="s">
        <v>3235</v>
      </c>
      <c r="E1401" s="33" t="s">
        <v>46</v>
      </c>
      <c r="F1401" s="38"/>
      <c r="G1401" s="38"/>
      <c r="H1401" s="31"/>
      <c r="I1401" s="32"/>
      <c r="J1401" s="32"/>
      <c r="K1401" s="45" t="s">
        <v>888</v>
      </c>
      <c r="L1401" s="129"/>
      <c r="M1401" s="33" t="str">
        <f t="shared" si="21"/>
        <v/>
      </c>
      <c r="N1401" s="34" t="str">
        <f>IFERROR(IF(Tabela1[[#This Row],[Nome fantasia]]="","",_xlfn.XLOOKUP($C1401,Log!D:D,Log!B:B,,,-1)),"")</f>
        <v/>
      </c>
      <c r="O1401" s="35" t="str">
        <f>IFERROR(_xlfn.XLOOKUP($C1401,Log!D:D,Log!W:W,,,-1),"")</f>
        <v/>
      </c>
      <c r="P1401" s="35" t="str">
        <f>IFERROR(_xlfn.XLOOKUP($C1401,Log!D:D,Log!Y:Y,,,-1),"")</f>
        <v/>
      </c>
      <c r="Q1401" s="130"/>
      <c r="R1401" s="131" t="str">
        <f>IFERROR(IF(Tabela1[[#This Row],[Nome fantasia]]="","",_xlfn.XLOOKUP($C1401,Log!D:D,Log!X:X,,,-1)),"")</f>
        <v/>
      </c>
    </row>
    <row r="1402" spans="3:18" hidden="1" x14ac:dyDescent="0.2">
      <c r="C1402" s="30" t="s">
        <v>3236</v>
      </c>
      <c r="D1402" s="110" t="s">
        <v>3237</v>
      </c>
      <c r="E1402" s="33" t="s">
        <v>46</v>
      </c>
      <c r="F1402" s="38"/>
      <c r="G1402" s="38"/>
      <c r="H1402" s="31"/>
      <c r="I1402" s="32"/>
      <c r="J1402" s="32"/>
      <c r="K1402" s="45" t="s">
        <v>888</v>
      </c>
      <c r="L1402" s="129"/>
      <c r="M1402" s="33" t="str">
        <f t="shared" si="21"/>
        <v/>
      </c>
      <c r="N1402" s="34" t="str">
        <f>IFERROR(IF(Tabela1[[#This Row],[Nome fantasia]]="","",_xlfn.XLOOKUP($C1402,Log!D:D,Log!B:B,,,-1)),"")</f>
        <v/>
      </c>
      <c r="O1402" s="35" t="str">
        <f>IFERROR(_xlfn.XLOOKUP($C1402,Log!D:D,Log!W:W,,,-1),"")</f>
        <v/>
      </c>
      <c r="P1402" s="35" t="str">
        <f>IFERROR(_xlfn.XLOOKUP($C1402,Log!D:D,Log!Y:Y,,,-1),"")</f>
        <v/>
      </c>
      <c r="Q1402" s="130"/>
      <c r="R1402" s="131" t="str">
        <f>IFERROR(IF(Tabela1[[#This Row],[Nome fantasia]]="","",_xlfn.XLOOKUP($C1402,Log!D:D,Log!X:X,,,-1)),"")</f>
        <v/>
      </c>
    </row>
    <row r="1403" spans="3:18" hidden="1" x14ac:dyDescent="0.2">
      <c r="C1403" s="30" t="s">
        <v>3238</v>
      </c>
      <c r="D1403" s="110" t="s">
        <v>3239</v>
      </c>
      <c r="E1403" s="33" t="s">
        <v>17</v>
      </c>
      <c r="F1403" s="38"/>
      <c r="G1403" s="38"/>
      <c r="H1403" s="31"/>
      <c r="I1403" s="32"/>
      <c r="J1403" s="32"/>
      <c r="K1403" s="45" t="s">
        <v>888</v>
      </c>
      <c r="L1403" s="129"/>
      <c r="M1403" s="33" t="str">
        <f t="shared" si="21"/>
        <v/>
      </c>
      <c r="N1403" s="34" t="str">
        <f>IFERROR(IF(Tabela1[[#This Row],[Nome fantasia]]="","",_xlfn.XLOOKUP($C1403,Log!D:D,Log!B:B,,,-1)),"")</f>
        <v/>
      </c>
      <c r="O1403" s="35" t="str">
        <f>IFERROR(_xlfn.XLOOKUP($C1403,Log!D:D,Log!W:W,,,-1),"")</f>
        <v/>
      </c>
      <c r="P1403" s="35" t="str">
        <f>IFERROR(_xlfn.XLOOKUP($C1403,Log!D:D,Log!Y:Y,,,-1),"")</f>
        <v/>
      </c>
      <c r="Q1403" s="130"/>
      <c r="R1403" s="131" t="str">
        <f>IFERROR(IF(Tabela1[[#This Row],[Nome fantasia]]="","",_xlfn.XLOOKUP($C1403,Log!D:D,Log!X:X,,,-1)),"")</f>
        <v/>
      </c>
    </row>
    <row r="1404" spans="3:18" hidden="1" x14ac:dyDescent="0.2">
      <c r="C1404" s="30" t="s">
        <v>3240</v>
      </c>
      <c r="D1404" s="110" t="s">
        <v>3241</v>
      </c>
      <c r="E1404" s="33" t="s">
        <v>17</v>
      </c>
      <c r="F1404" s="38"/>
      <c r="G1404" s="38"/>
      <c r="H1404" s="31"/>
      <c r="I1404" s="32"/>
      <c r="J1404" s="32"/>
      <c r="K1404" s="45" t="s">
        <v>888</v>
      </c>
      <c r="L1404" s="129"/>
      <c r="M1404" s="33" t="str">
        <f t="shared" si="21"/>
        <v/>
      </c>
      <c r="N1404" s="34" t="str">
        <f>IFERROR(IF(Tabela1[[#This Row],[Nome fantasia]]="","",_xlfn.XLOOKUP($C1404,Log!D:D,Log!B:B,,,-1)),"")</f>
        <v/>
      </c>
      <c r="O1404" s="35" t="str">
        <f>IFERROR(_xlfn.XLOOKUP($C1404,Log!D:D,Log!W:W,,,-1),"")</f>
        <v/>
      </c>
      <c r="P1404" s="35" t="str">
        <f>IFERROR(_xlfn.XLOOKUP($C1404,Log!D:D,Log!Y:Y,,,-1),"")</f>
        <v/>
      </c>
      <c r="Q1404" s="130"/>
      <c r="R1404" s="131" t="str">
        <f>IFERROR(IF(Tabela1[[#This Row],[Nome fantasia]]="","",_xlfn.XLOOKUP($C1404,Log!D:D,Log!X:X,,,-1)),"")</f>
        <v/>
      </c>
    </row>
    <row r="1405" spans="3:18" hidden="1" x14ac:dyDescent="0.2">
      <c r="C1405" s="30" t="s">
        <v>3242</v>
      </c>
      <c r="D1405" s="110" t="s">
        <v>3243</v>
      </c>
      <c r="E1405" s="33" t="s">
        <v>46</v>
      </c>
      <c r="F1405" s="38"/>
      <c r="G1405" s="38"/>
      <c r="H1405" s="31"/>
      <c r="I1405" s="32"/>
      <c r="J1405" s="32"/>
      <c r="K1405" s="45" t="s">
        <v>888</v>
      </c>
      <c r="L1405" s="129"/>
      <c r="M1405" s="33" t="str">
        <f t="shared" si="21"/>
        <v/>
      </c>
      <c r="N1405" s="34" t="str">
        <f>IFERROR(IF(Tabela1[[#This Row],[Nome fantasia]]="","",_xlfn.XLOOKUP($C1405,Log!D:D,Log!B:B,,,-1)),"")</f>
        <v/>
      </c>
      <c r="O1405" s="35" t="str">
        <f>IFERROR(_xlfn.XLOOKUP($C1405,Log!D:D,Log!W:W,,,-1),"")</f>
        <v/>
      </c>
      <c r="P1405" s="35" t="str">
        <f>IFERROR(_xlfn.XLOOKUP($C1405,Log!D:D,Log!Y:Y,,,-1),"")</f>
        <v/>
      </c>
      <c r="Q1405" s="130"/>
      <c r="R1405" s="131" t="str">
        <f>IFERROR(IF(Tabela1[[#This Row],[Nome fantasia]]="","",_xlfn.XLOOKUP($C1405,Log!D:D,Log!X:X,,,-1)),"")</f>
        <v/>
      </c>
    </row>
    <row r="1406" spans="3:18" hidden="1" x14ac:dyDescent="0.2">
      <c r="C1406" s="30" t="s">
        <v>3244</v>
      </c>
      <c r="D1406" s="110" t="s">
        <v>3245</v>
      </c>
      <c r="E1406" s="33" t="s">
        <v>17</v>
      </c>
      <c r="F1406" s="38"/>
      <c r="G1406" s="38"/>
      <c r="H1406" s="31"/>
      <c r="I1406" s="32"/>
      <c r="J1406" s="32"/>
      <c r="K1406" s="45" t="s">
        <v>888</v>
      </c>
      <c r="L1406" s="129"/>
      <c r="M1406" s="33" t="str">
        <f t="shared" si="21"/>
        <v/>
      </c>
      <c r="N1406" s="34" t="str">
        <f>IFERROR(IF(Tabela1[[#This Row],[Nome fantasia]]="","",_xlfn.XLOOKUP($C1406,Log!D:D,Log!B:B,,,-1)),"")</f>
        <v/>
      </c>
      <c r="O1406" s="35" t="str">
        <f>IFERROR(_xlfn.XLOOKUP($C1406,Log!D:D,Log!W:W,,,-1),"")</f>
        <v/>
      </c>
      <c r="P1406" s="35" t="str">
        <f>IFERROR(_xlfn.XLOOKUP($C1406,Log!D:D,Log!Y:Y,,,-1),"")</f>
        <v/>
      </c>
      <c r="Q1406" s="130"/>
      <c r="R1406" s="131" t="str">
        <f>IFERROR(IF(Tabela1[[#This Row],[Nome fantasia]]="","",_xlfn.XLOOKUP($C1406,Log!D:D,Log!X:X,,,-1)),"")</f>
        <v/>
      </c>
    </row>
    <row r="1407" spans="3:18" hidden="1" x14ac:dyDescent="0.2">
      <c r="C1407" s="30" t="s">
        <v>3246</v>
      </c>
      <c r="D1407" s="110" t="s">
        <v>3247</v>
      </c>
      <c r="E1407" s="33" t="s">
        <v>46</v>
      </c>
      <c r="F1407" s="38"/>
      <c r="G1407" s="38"/>
      <c r="H1407" s="31"/>
      <c r="I1407" s="32"/>
      <c r="J1407" s="32"/>
      <c r="K1407" s="45" t="s">
        <v>888</v>
      </c>
      <c r="L1407" s="129"/>
      <c r="M1407" s="33" t="str">
        <f t="shared" si="21"/>
        <v/>
      </c>
      <c r="N1407" s="34" t="str">
        <f>IFERROR(IF(Tabela1[[#This Row],[Nome fantasia]]="","",_xlfn.XLOOKUP($C1407,Log!D:D,Log!B:B,,,-1)),"")</f>
        <v/>
      </c>
      <c r="O1407" s="35" t="str">
        <f>IFERROR(_xlfn.XLOOKUP($C1407,Log!D:D,Log!W:W,,,-1),"")</f>
        <v/>
      </c>
      <c r="P1407" s="35" t="str">
        <f>IFERROR(_xlfn.XLOOKUP($C1407,Log!D:D,Log!Y:Y,,,-1),"")</f>
        <v/>
      </c>
      <c r="Q1407" s="130"/>
      <c r="R1407" s="131" t="str">
        <f>IFERROR(IF(Tabela1[[#This Row],[Nome fantasia]]="","",_xlfn.XLOOKUP($C1407,Log!D:D,Log!X:X,,,-1)),"")</f>
        <v/>
      </c>
    </row>
    <row r="1408" spans="3:18" hidden="1" x14ac:dyDescent="0.2">
      <c r="C1408" s="30" t="s">
        <v>3248</v>
      </c>
      <c r="D1408" s="110" t="s">
        <v>3249</v>
      </c>
      <c r="E1408" s="33" t="s">
        <v>22</v>
      </c>
      <c r="F1408" s="38"/>
      <c r="G1408" s="38"/>
      <c r="H1408" s="31"/>
      <c r="I1408" s="32"/>
      <c r="J1408" s="32"/>
      <c r="K1408" s="45" t="s">
        <v>888</v>
      </c>
      <c r="L1408" s="129"/>
      <c r="M1408" s="33" t="str">
        <f t="shared" si="21"/>
        <v/>
      </c>
      <c r="N1408" s="34" t="str">
        <f>IFERROR(IF(Tabela1[[#This Row],[Nome fantasia]]="","",_xlfn.XLOOKUP($C1408,Log!D:D,Log!B:B,,,-1)),"")</f>
        <v/>
      </c>
      <c r="O1408" s="35" t="str">
        <f>IFERROR(_xlfn.XLOOKUP($C1408,Log!D:D,Log!W:W,,,-1),"")</f>
        <v/>
      </c>
      <c r="P1408" s="35" t="str">
        <f>IFERROR(_xlfn.XLOOKUP($C1408,Log!D:D,Log!Y:Y,,,-1),"")</f>
        <v/>
      </c>
      <c r="Q1408" s="130"/>
      <c r="R1408" s="131" t="str">
        <f>IFERROR(IF(Tabela1[[#This Row],[Nome fantasia]]="","",_xlfn.XLOOKUP($C1408,Log!D:D,Log!X:X,,,-1)),"")</f>
        <v/>
      </c>
    </row>
    <row r="1409" spans="3:18" hidden="1" x14ac:dyDescent="0.2">
      <c r="C1409" s="30" t="s">
        <v>3250</v>
      </c>
      <c r="D1409" s="110" t="s">
        <v>3251</v>
      </c>
      <c r="E1409" s="33" t="s">
        <v>22</v>
      </c>
      <c r="F1409" s="38"/>
      <c r="G1409" s="38"/>
      <c r="H1409" s="31"/>
      <c r="I1409" s="32"/>
      <c r="J1409" s="32"/>
      <c r="K1409" s="45" t="s">
        <v>888</v>
      </c>
      <c r="L1409" s="129"/>
      <c r="M1409" s="33" t="str">
        <f t="shared" si="21"/>
        <v/>
      </c>
      <c r="N1409" s="34" t="str">
        <f>IFERROR(IF(Tabela1[[#This Row],[Nome fantasia]]="","",_xlfn.XLOOKUP($C1409,Log!D:D,Log!B:B,,,-1)),"")</f>
        <v/>
      </c>
      <c r="O1409" s="35" t="str">
        <f>IFERROR(_xlfn.XLOOKUP($C1409,Log!D:D,Log!W:W,,,-1),"")</f>
        <v/>
      </c>
      <c r="P1409" s="35" t="str">
        <f>IFERROR(_xlfn.XLOOKUP($C1409,Log!D:D,Log!Y:Y,,,-1),"")</f>
        <v/>
      </c>
      <c r="Q1409" s="130"/>
      <c r="R1409" s="131" t="str">
        <f>IFERROR(IF(Tabela1[[#This Row],[Nome fantasia]]="","",_xlfn.XLOOKUP($C1409,Log!D:D,Log!X:X,,,-1)),"")</f>
        <v/>
      </c>
    </row>
    <row r="1410" spans="3:18" hidden="1" x14ac:dyDescent="0.2">
      <c r="C1410" s="30" t="s">
        <v>3252</v>
      </c>
      <c r="D1410" s="110" t="s">
        <v>3253</v>
      </c>
      <c r="E1410" s="33" t="s">
        <v>17</v>
      </c>
      <c r="F1410" s="38"/>
      <c r="G1410" s="38"/>
      <c r="H1410" s="31"/>
      <c r="I1410" s="32"/>
      <c r="J1410" s="32"/>
      <c r="K1410" s="45" t="s">
        <v>888</v>
      </c>
      <c r="L1410" s="129"/>
      <c r="M1410" s="33" t="str">
        <f t="shared" si="21"/>
        <v/>
      </c>
      <c r="N1410" s="34" t="str">
        <f>IFERROR(IF(Tabela1[[#This Row],[Nome fantasia]]="","",_xlfn.XLOOKUP($C1410,Log!D:D,Log!B:B,,,-1)),"")</f>
        <v/>
      </c>
      <c r="O1410" s="35" t="str">
        <f>IFERROR(_xlfn.XLOOKUP($C1410,Log!D:D,Log!W:W,,,-1),"")</f>
        <v/>
      </c>
      <c r="P1410" s="35" t="str">
        <f>IFERROR(_xlfn.XLOOKUP($C1410,Log!D:D,Log!Y:Y,,,-1),"")</f>
        <v/>
      </c>
      <c r="Q1410" s="130"/>
      <c r="R1410" s="131" t="str">
        <f>IFERROR(IF(Tabela1[[#This Row],[Nome fantasia]]="","",_xlfn.XLOOKUP($C1410,Log!D:D,Log!X:X,,,-1)),"")</f>
        <v/>
      </c>
    </row>
    <row r="1411" spans="3:18" hidden="1" x14ac:dyDescent="0.2">
      <c r="C1411" s="30" t="s">
        <v>3254</v>
      </c>
      <c r="D1411" s="110" t="s">
        <v>3255</v>
      </c>
      <c r="E1411" s="33" t="s">
        <v>17</v>
      </c>
      <c r="F1411" s="38"/>
      <c r="G1411" s="38"/>
      <c r="H1411" s="31"/>
      <c r="I1411" s="32"/>
      <c r="J1411" s="32"/>
      <c r="K1411" s="45" t="s">
        <v>888</v>
      </c>
      <c r="L1411" s="129"/>
      <c r="M1411" s="33" t="str">
        <f t="shared" ref="M1411:M1474" si="22">IF(OR(J1411&lt;=0,J1411=""),"","Recompra")</f>
        <v/>
      </c>
      <c r="N1411" s="34" t="str">
        <f>IFERROR(IF(Tabela1[[#This Row],[Nome fantasia]]="","",_xlfn.XLOOKUP($C1411,Log!D:D,Log!B:B,,,-1)),"")</f>
        <v/>
      </c>
      <c r="O1411" s="35" t="str">
        <f>IFERROR(_xlfn.XLOOKUP($C1411,Log!D:D,Log!W:W,,,-1),"")</f>
        <v/>
      </c>
      <c r="P1411" s="35" t="str">
        <f>IFERROR(_xlfn.XLOOKUP($C1411,Log!D:D,Log!Y:Y,,,-1),"")</f>
        <v/>
      </c>
      <c r="Q1411" s="130"/>
      <c r="R1411" s="131" t="str">
        <f>IFERROR(IF(Tabela1[[#This Row],[Nome fantasia]]="","",_xlfn.XLOOKUP($C1411,Log!D:D,Log!X:X,,,-1)),"")</f>
        <v/>
      </c>
    </row>
    <row r="1412" spans="3:18" hidden="1" x14ac:dyDescent="0.2">
      <c r="C1412" s="30" t="s">
        <v>3256</v>
      </c>
      <c r="D1412" s="110" t="s">
        <v>3257</v>
      </c>
      <c r="E1412" s="33" t="s">
        <v>46</v>
      </c>
      <c r="F1412" s="38"/>
      <c r="G1412" s="38"/>
      <c r="H1412" s="31"/>
      <c r="I1412" s="32"/>
      <c r="J1412" s="32"/>
      <c r="K1412" s="45" t="s">
        <v>888</v>
      </c>
      <c r="L1412" s="129"/>
      <c r="M1412" s="33" t="str">
        <f t="shared" si="22"/>
        <v/>
      </c>
      <c r="N1412" s="34">
        <f>IFERROR(IF(Tabela1[[#This Row],[Nome fantasia]]="","",_xlfn.XLOOKUP($C1412,Log!D:D,Log!B:B,,,-1)),"")</f>
        <v>45996</v>
      </c>
      <c r="O1412" s="35" t="str">
        <f>IFERROR(_xlfn.XLOOKUP($C1412,Log!D:D,Log!W:W,,,-1),"")</f>
        <v>EM ATENDIMENTO</v>
      </c>
      <c r="P1412" s="35" t="str">
        <f>IFERROR(_xlfn.XLOOKUP($C1412,Log!D:D,Log!Y:Y,,,-1),"")</f>
        <v>LIGAÇÃO SEM SUCESSO</v>
      </c>
      <c r="Q1412" s="130"/>
      <c r="R1412" s="131">
        <f>IFERROR(IF(Tabela1[[#This Row],[Nome fantasia]]="","",_xlfn.XLOOKUP($C1412,Log!D:D,Log!X:X,,,-1)),"")</f>
        <v>46000</v>
      </c>
    </row>
    <row r="1413" spans="3:18" hidden="1" x14ac:dyDescent="0.2">
      <c r="C1413" s="30"/>
      <c r="D1413" s="110" t="s">
        <v>3258</v>
      </c>
      <c r="E1413" s="33" t="s">
        <v>22</v>
      </c>
      <c r="F1413" s="38"/>
      <c r="G1413" s="38"/>
      <c r="H1413" s="31"/>
      <c r="I1413" s="32"/>
      <c r="J1413" s="32"/>
      <c r="K1413" s="45" t="s">
        <v>888</v>
      </c>
      <c r="L1413" s="129"/>
      <c r="M1413" s="33" t="str">
        <f t="shared" si="22"/>
        <v/>
      </c>
      <c r="N1413" s="34" t="str">
        <f>IFERROR(IF(Tabela1[[#This Row],[Nome fantasia]]="","",_xlfn.XLOOKUP($C1413,Log!D:D,Log!B:B,,,-1)),"")</f>
        <v/>
      </c>
      <c r="O1413" s="35" t="str">
        <f>IFERROR(_xlfn.XLOOKUP($C1413,Log!D:D,Log!W:W,,,-1),"")</f>
        <v/>
      </c>
      <c r="P1413" s="35" t="str">
        <f>IFERROR(_xlfn.XLOOKUP($C1413,Log!D:D,Log!Y:Y,,,-1),"")</f>
        <v/>
      </c>
      <c r="Q1413" s="130"/>
      <c r="R1413" s="131" t="str">
        <f>IFERROR(IF(Tabela1[[#This Row],[Nome fantasia]]="","",_xlfn.XLOOKUP($C1413,Log!D:D,Log!X:X,,,-1)),"")</f>
        <v/>
      </c>
    </row>
    <row r="1414" spans="3:18" hidden="1" x14ac:dyDescent="0.2">
      <c r="C1414" s="30"/>
      <c r="D1414" s="110" t="s">
        <v>3259</v>
      </c>
      <c r="E1414" s="33" t="s">
        <v>22</v>
      </c>
      <c r="F1414" s="38"/>
      <c r="G1414" s="38"/>
      <c r="H1414" s="31"/>
      <c r="I1414" s="32"/>
      <c r="J1414" s="32"/>
      <c r="K1414" s="45" t="s">
        <v>888</v>
      </c>
      <c r="L1414" s="129"/>
      <c r="M1414" s="33" t="str">
        <f t="shared" si="22"/>
        <v/>
      </c>
      <c r="N1414" s="34" t="str">
        <f>IFERROR(IF(Tabela1[[#This Row],[Nome fantasia]]="","",_xlfn.XLOOKUP($C1414,Log!D:D,Log!B:B,,,-1)),"")</f>
        <v/>
      </c>
      <c r="O1414" s="35" t="str">
        <f>IFERROR(_xlfn.XLOOKUP($C1414,Log!D:D,Log!W:W,,,-1),"")</f>
        <v/>
      </c>
      <c r="P1414" s="35" t="str">
        <f>IFERROR(_xlfn.XLOOKUP($C1414,Log!D:D,Log!Y:Y,,,-1),"")</f>
        <v/>
      </c>
      <c r="Q1414" s="130"/>
      <c r="R1414" s="131" t="str">
        <f>IFERROR(IF(Tabela1[[#This Row],[Nome fantasia]]="","",_xlfn.XLOOKUP($C1414,Log!D:D,Log!X:X,,,-1)),"")</f>
        <v/>
      </c>
    </row>
    <row r="1415" spans="3:18" hidden="1" x14ac:dyDescent="0.2">
      <c r="C1415" s="30" t="s">
        <v>3260</v>
      </c>
      <c r="D1415" s="110" t="s">
        <v>3261</v>
      </c>
      <c r="E1415" s="33" t="s">
        <v>22</v>
      </c>
      <c r="F1415" s="38"/>
      <c r="G1415" s="38"/>
      <c r="H1415" s="31"/>
      <c r="I1415" s="32"/>
      <c r="J1415" s="32"/>
      <c r="K1415" s="45" t="s">
        <v>888</v>
      </c>
      <c r="L1415" s="129"/>
      <c r="M1415" s="33" t="str">
        <f t="shared" si="22"/>
        <v/>
      </c>
      <c r="N1415" s="34" t="str">
        <f>IFERROR(IF(Tabela1[[#This Row],[Nome fantasia]]="","",_xlfn.XLOOKUP($C1415,Log!D:D,Log!B:B,,,-1)),"")</f>
        <v/>
      </c>
      <c r="O1415" s="35" t="str">
        <f>IFERROR(_xlfn.XLOOKUP($C1415,Log!D:D,Log!W:W,,,-1),"")</f>
        <v/>
      </c>
      <c r="P1415" s="35" t="str">
        <f>IFERROR(_xlfn.XLOOKUP($C1415,Log!D:D,Log!Y:Y,,,-1),"")</f>
        <v/>
      </c>
      <c r="Q1415" s="130"/>
      <c r="R1415" s="131" t="str">
        <f>IFERROR(IF(Tabela1[[#This Row],[Nome fantasia]]="","",_xlfn.XLOOKUP($C1415,Log!D:D,Log!X:X,,,-1)),"")</f>
        <v/>
      </c>
    </row>
    <row r="1416" spans="3:18" hidden="1" x14ac:dyDescent="0.2">
      <c r="C1416" s="30" t="s">
        <v>3262</v>
      </c>
      <c r="D1416" s="110" t="s">
        <v>3263</v>
      </c>
      <c r="E1416" s="33" t="s">
        <v>22</v>
      </c>
      <c r="F1416" s="38"/>
      <c r="G1416" s="38"/>
      <c r="H1416" s="31"/>
      <c r="I1416" s="32"/>
      <c r="J1416" s="32"/>
      <c r="K1416" s="45" t="s">
        <v>888</v>
      </c>
      <c r="L1416" s="129"/>
      <c r="M1416" s="33" t="str">
        <f t="shared" si="22"/>
        <v/>
      </c>
      <c r="N1416" s="34" t="str">
        <f>IFERROR(IF(Tabela1[[#This Row],[Nome fantasia]]="","",_xlfn.XLOOKUP($C1416,Log!D:D,Log!B:B,,,-1)),"")</f>
        <v/>
      </c>
      <c r="O1416" s="35" t="str">
        <f>IFERROR(_xlfn.XLOOKUP($C1416,Log!D:D,Log!W:W,,,-1),"")</f>
        <v/>
      </c>
      <c r="P1416" s="35" t="str">
        <f>IFERROR(_xlfn.XLOOKUP($C1416,Log!D:D,Log!Y:Y,,,-1),"")</f>
        <v/>
      </c>
      <c r="Q1416" s="130"/>
      <c r="R1416" s="131" t="str">
        <f>IFERROR(IF(Tabela1[[#This Row],[Nome fantasia]]="","",_xlfn.XLOOKUP($C1416,Log!D:D,Log!X:X,,,-1)),"")</f>
        <v/>
      </c>
    </row>
    <row r="1417" spans="3:18" hidden="1" x14ac:dyDescent="0.2">
      <c r="C1417" s="30" t="s">
        <v>3264</v>
      </c>
      <c r="D1417" s="110" t="s">
        <v>3265</v>
      </c>
      <c r="E1417" s="33" t="s">
        <v>22</v>
      </c>
      <c r="F1417" s="38"/>
      <c r="G1417" s="38"/>
      <c r="H1417" s="31"/>
      <c r="I1417" s="32"/>
      <c r="J1417" s="32"/>
      <c r="K1417" s="45" t="s">
        <v>888</v>
      </c>
      <c r="L1417" s="129"/>
      <c r="M1417" s="33" t="str">
        <f t="shared" si="22"/>
        <v/>
      </c>
      <c r="N1417" s="34" t="str">
        <f>IFERROR(IF(Tabela1[[#This Row],[Nome fantasia]]="","",_xlfn.XLOOKUP($C1417,Log!D:D,Log!B:B,,,-1)),"")</f>
        <v/>
      </c>
      <c r="O1417" s="35" t="str">
        <f>IFERROR(_xlfn.XLOOKUP($C1417,Log!D:D,Log!W:W,,,-1),"")</f>
        <v/>
      </c>
      <c r="P1417" s="35" t="str">
        <f>IFERROR(_xlfn.XLOOKUP($C1417,Log!D:D,Log!Y:Y,,,-1),"")</f>
        <v/>
      </c>
      <c r="Q1417" s="130"/>
      <c r="R1417" s="131" t="str">
        <f>IFERROR(IF(Tabela1[[#This Row],[Nome fantasia]]="","",_xlfn.XLOOKUP($C1417,Log!D:D,Log!X:X,,,-1)),"")</f>
        <v/>
      </c>
    </row>
    <row r="1418" spans="3:18" hidden="1" x14ac:dyDescent="0.2">
      <c r="C1418" s="30" t="s">
        <v>3266</v>
      </c>
      <c r="D1418" s="110" t="s">
        <v>3267</v>
      </c>
      <c r="E1418" s="33" t="s">
        <v>46</v>
      </c>
      <c r="F1418" s="38"/>
      <c r="G1418" s="38"/>
      <c r="H1418" s="31"/>
      <c r="I1418" s="32"/>
      <c r="J1418" s="32"/>
      <c r="K1418" s="45" t="s">
        <v>888</v>
      </c>
      <c r="L1418" s="129"/>
      <c r="M1418" s="33" t="str">
        <f t="shared" si="22"/>
        <v/>
      </c>
      <c r="N1418" s="34" t="str">
        <f>IFERROR(IF(Tabela1[[#This Row],[Nome fantasia]]="","",_xlfn.XLOOKUP($C1418,Log!D:D,Log!B:B,,,-1)),"")</f>
        <v/>
      </c>
      <c r="O1418" s="35" t="str">
        <f>IFERROR(_xlfn.XLOOKUP($C1418,Log!D:D,Log!W:W,,,-1),"")</f>
        <v/>
      </c>
      <c r="P1418" s="35" t="str">
        <f>IFERROR(_xlfn.XLOOKUP($C1418,Log!D:D,Log!Y:Y,,,-1),"")</f>
        <v/>
      </c>
      <c r="Q1418" s="130"/>
      <c r="R1418" s="131" t="str">
        <f>IFERROR(IF(Tabela1[[#This Row],[Nome fantasia]]="","",_xlfn.XLOOKUP($C1418,Log!D:D,Log!X:X,,,-1)),"")</f>
        <v/>
      </c>
    </row>
    <row r="1419" spans="3:18" hidden="1" x14ac:dyDescent="0.2">
      <c r="C1419" s="30" t="s">
        <v>3268</v>
      </c>
      <c r="D1419" s="110" t="s">
        <v>3269</v>
      </c>
      <c r="E1419" s="33" t="s">
        <v>22</v>
      </c>
      <c r="F1419" s="38"/>
      <c r="G1419" s="38"/>
      <c r="H1419" s="31"/>
      <c r="I1419" s="32"/>
      <c r="J1419" s="32"/>
      <c r="K1419" s="45" t="s">
        <v>888</v>
      </c>
      <c r="L1419" s="129"/>
      <c r="M1419" s="33" t="str">
        <f t="shared" si="22"/>
        <v/>
      </c>
      <c r="N1419" s="34" t="str">
        <f>IFERROR(IF(Tabela1[[#This Row],[Nome fantasia]]="","",_xlfn.XLOOKUP($C1419,Log!D:D,Log!B:B,,,-1)),"")</f>
        <v/>
      </c>
      <c r="O1419" s="35" t="str">
        <f>IFERROR(_xlfn.XLOOKUP($C1419,Log!D:D,Log!W:W,,,-1),"")</f>
        <v/>
      </c>
      <c r="P1419" s="35" t="str">
        <f>IFERROR(_xlfn.XLOOKUP($C1419,Log!D:D,Log!Y:Y,,,-1),"")</f>
        <v/>
      </c>
      <c r="Q1419" s="130"/>
      <c r="R1419" s="131" t="str">
        <f>IFERROR(IF(Tabela1[[#This Row],[Nome fantasia]]="","",_xlfn.XLOOKUP($C1419,Log!D:D,Log!X:X,,,-1)),"")</f>
        <v/>
      </c>
    </row>
    <row r="1420" spans="3:18" hidden="1" x14ac:dyDescent="0.2">
      <c r="C1420" s="30" t="s">
        <v>3270</v>
      </c>
      <c r="D1420" s="110" t="s">
        <v>3271</v>
      </c>
      <c r="E1420" s="33" t="s">
        <v>22</v>
      </c>
      <c r="F1420" s="38"/>
      <c r="G1420" s="38"/>
      <c r="H1420" s="31"/>
      <c r="I1420" s="32"/>
      <c r="J1420" s="32"/>
      <c r="K1420" s="45" t="s">
        <v>888</v>
      </c>
      <c r="L1420" s="129"/>
      <c r="M1420" s="33" t="str">
        <f t="shared" si="22"/>
        <v/>
      </c>
      <c r="N1420" s="34" t="str">
        <f>IFERROR(IF(Tabela1[[#This Row],[Nome fantasia]]="","",_xlfn.XLOOKUP($C1420,Log!D:D,Log!B:B,,,-1)),"")</f>
        <v/>
      </c>
      <c r="O1420" s="35" t="str">
        <f>IFERROR(_xlfn.XLOOKUP($C1420,Log!D:D,Log!W:W,,,-1),"")</f>
        <v/>
      </c>
      <c r="P1420" s="35" t="str">
        <f>IFERROR(_xlfn.XLOOKUP($C1420,Log!D:D,Log!Y:Y,,,-1),"")</f>
        <v/>
      </c>
      <c r="Q1420" s="130"/>
      <c r="R1420" s="131" t="str">
        <f>IFERROR(IF(Tabela1[[#This Row],[Nome fantasia]]="","",_xlfn.XLOOKUP($C1420,Log!D:D,Log!X:X,,,-1)),"")</f>
        <v/>
      </c>
    </row>
    <row r="1421" spans="3:18" hidden="1" x14ac:dyDescent="0.2">
      <c r="C1421" s="30" t="s">
        <v>3272</v>
      </c>
      <c r="D1421" s="110" t="s">
        <v>3273</v>
      </c>
      <c r="E1421" s="33" t="s">
        <v>22</v>
      </c>
      <c r="F1421" s="38"/>
      <c r="G1421" s="38"/>
      <c r="H1421" s="31"/>
      <c r="I1421" s="32"/>
      <c r="J1421" s="32"/>
      <c r="K1421" s="45" t="s">
        <v>888</v>
      </c>
      <c r="L1421" s="129"/>
      <c r="M1421" s="33" t="str">
        <f t="shared" si="22"/>
        <v/>
      </c>
      <c r="N1421" s="34" t="str">
        <f>IFERROR(IF(Tabela1[[#This Row],[Nome fantasia]]="","",_xlfn.XLOOKUP($C1421,Log!D:D,Log!B:B,,,-1)),"")</f>
        <v/>
      </c>
      <c r="O1421" s="35" t="str">
        <f>IFERROR(_xlfn.XLOOKUP($C1421,Log!D:D,Log!W:W,,,-1),"")</f>
        <v/>
      </c>
      <c r="P1421" s="35" t="str">
        <f>IFERROR(_xlfn.XLOOKUP($C1421,Log!D:D,Log!Y:Y,,,-1),"")</f>
        <v/>
      </c>
      <c r="Q1421" s="130"/>
      <c r="R1421" s="131" t="str">
        <f>IFERROR(IF(Tabela1[[#This Row],[Nome fantasia]]="","",_xlfn.XLOOKUP($C1421,Log!D:D,Log!X:X,,,-1)),"")</f>
        <v/>
      </c>
    </row>
    <row r="1422" spans="3:18" hidden="1" x14ac:dyDescent="0.2">
      <c r="C1422" s="30" t="s">
        <v>3274</v>
      </c>
      <c r="D1422" s="110" t="s">
        <v>3275</v>
      </c>
      <c r="E1422" s="33" t="s">
        <v>46</v>
      </c>
      <c r="F1422" s="38"/>
      <c r="G1422" s="38"/>
      <c r="H1422" s="31"/>
      <c r="I1422" s="32"/>
      <c r="J1422" s="32"/>
      <c r="K1422" s="45" t="s">
        <v>888</v>
      </c>
      <c r="L1422" s="129"/>
      <c r="M1422" s="33" t="str">
        <f t="shared" si="22"/>
        <v/>
      </c>
      <c r="N1422" s="34" t="str">
        <f>IFERROR(IF(Tabela1[[#This Row],[Nome fantasia]]="","",_xlfn.XLOOKUP($C1422,Log!D:D,Log!B:B,,,-1)),"")</f>
        <v/>
      </c>
      <c r="O1422" s="35" t="str">
        <f>IFERROR(_xlfn.XLOOKUP($C1422,Log!D:D,Log!W:W,,,-1),"")</f>
        <v/>
      </c>
      <c r="P1422" s="35" t="str">
        <f>IFERROR(_xlfn.XLOOKUP($C1422,Log!D:D,Log!Y:Y,,,-1),"")</f>
        <v/>
      </c>
      <c r="Q1422" s="130"/>
      <c r="R1422" s="131" t="str">
        <f>IFERROR(IF(Tabela1[[#This Row],[Nome fantasia]]="","",_xlfn.XLOOKUP($C1422,Log!D:D,Log!X:X,,,-1)),"")</f>
        <v/>
      </c>
    </row>
    <row r="1423" spans="3:18" hidden="1" x14ac:dyDescent="0.2">
      <c r="C1423" s="30" t="s">
        <v>3276</v>
      </c>
      <c r="D1423" s="110" t="s">
        <v>3277</v>
      </c>
      <c r="E1423" s="33" t="s">
        <v>22</v>
      </c>
      <c r="F1423" s="38"/>
      <c r="G1423" s="38"/>
      <c r="H1423" s="31"/>
      <c r="I1423" s="32"/>
      <c r="J1423" s="32"/>
      <c r="K1423" s="45" t="s">
        <v>888</v>
      </c>
      <c r="L1423" s="129"/>
      <c r="M1423" s="33" t="str">
        <f t="shared" si="22"/>
        <v/>
      </c>
      <c r="N1423" s="34" t="str">
        <f>IFERROR(IF(Tabela1[[#This Row],[Nome fantasia]]="","",_xlfn.XLOOKUP($C1423,Log!D:D,Log!B:B,,,-1)),"")</f>
        <v/>
      </c>
      <c r="O1423" s="35" t="str">
        <f>IFERROR(_xlfn.XLOOKUP($C1423,Log!D:D,Log!W:W,,,-1),"")</f>
        <v/>
      </c>
      <c r="P1423" s="35" t="str">
        <f>IFERROR(_xlfn.XLOOKUP($C1423,Log!D:D,Log!Y:Y,,,-1),"")</f>
        <v/>
      </c>
      <c r="Q1423" s="130"/>
      <c r="R1423" s="131" t="str">
        <f>IFERROR(IF(Tabela1[[#This Row],[Nome fantasia]]="","",_xlfn.XLOOKUP($C1423,Log!D:D,Log!X:X,,,-1)),"")</f>
        <v/>
      </c>
    </row>
    <row r="1424" spans="3:18" hidden="1" x14ac:dyDescent="0.2">
      <c r="C1424" s="30" t="s">
        <v>3278</v>
      </c>
      <c r="D1424" s="110" t="s">
        <v>3279</v>
      </c>
      <c r="E1424" s="33" t="s">
        <v>22</v>
      </c>
      <c r="F1424" s="38"/>
      <c r="G1424" s="38"/>
      <c r="H1424" s="31"/>
      <c r="I1424" s="32"/>
      <c r="J1424" s="32"/>
      <c r="K1424" s="45" t="s">
        <v>888</v>
      </c>
      <c r="L1424" s="129"/>
      <c r="M1424" s="33" t="str">
        <f t="shared" si="22"/>
        <v/>
      </c>
      <c r="N1424" s="34" t="str">
        <f>IFERROR(IF(Tabela1[[#This Row],[Nome fantasia]]="","",_xlfn.XLOOKUP($C1424,Log!D:D,Log!B:B,,,-1)),"")</f>
        <v/>
      </c>
      <c r="O1424" s="35" t="str">
        <f>IFERROR(_xlfn.XLOOKUP($C1424,Log!D:D,Log!W:W,,,-1),"")</f>
        <v/>
      </c>
      <c r="P1424" s="35" t="str">
        <f>IFERROR(_xlfn.XLOOKUP($C1424,Log!D:D,Log!Y:Y,,,-1),"")</f>
        <v/>
      </c>
      <c r="Q1424" s="130"/>
      <c r="R1424" s="131" t="str">
        <f>IFERROR(IF(Tabela1[[#This Row],[Nome fantasia]]="","",_xlfn.XLOOKUP($C1424,Log!D:D,Log!X:X,,,-1)),"")</f>
        <v/>
      </c>
    </row>
    <row r="1425" spans="3:18" hidden="1" x14ac:dyDescent="0.2">
      <c r="C1425" s="30" t="s">
        <v>2231</v>
      </c>
      <c r="D1425" s="110" t="s">
        <v>3280</v>
      </c>
      <c r="E1425" s="33" t="s">
        <v>22</v>
      </c>
      <c r="F1425" s="38"/>
      <c r="G1425" s="38"/>
      <c r="H1425" s="31"/>
      <c r="I1425" s="32"/>
      <c r="J1425" s="32"/>
      <c r="K1425" s="45" t="s">
        <v>888</v>
      </c>
      <c r="L1425" s="129"/>
      <c r="M1425" s="33" t="str">
        <f t="shared" si="22"/>
        <v/>
      </c>
      <c r="N1425" s="34" t="str">
        <f>IFERROR(IF(Tabela1[[#This Row],[Nome fantasia]]="","",_xlfn.XLOOKUP($C1425,Log!D:D,Log!B:B,,,-1)),"")</f>
        <v/>
      </c>
      <c r="O1425" s="35" t="str">
        <f>IFERROR(_xlfn.XLOOKUP($C1425,Log!D:D,Log!W:W,,,-1),"")</f>
        <v/>
      </c>
      <c r="P1425" s="35" t="str">
        <f>IFERROR(_xlfn.XLOOKUP($C1425,Log!D:D,Log!Y:Y,,,-1),"")</f>
        <v/>
      </c>
      <c r="Q1425" s="130"/>
      <c r="R1425" s="131" t="str">
        <f>IFERROR(IF(Tabela1[[#This Row],[Nome fantasia]]="","",_xlfn.XLOOKUP($C1425,Log!D:D,Log!X:X,,,-1)),"")</f>
        <v/>
      </c>
    </row>
    <row r="1426" spans="3:18" hidden="1" x14ac:dyDescent="0.2">
      <c r="C1426" s="30" t="s">
        <v>3281</v>
      </c>
      <c r="D1426" s="110" t="s">
        <v>3282</v>
      </c>
      <c r="E1426" s="33" t="s">
        <v>22</v>
      </c>
      <c r="F1426" s="38"/>
      <c r="G1426" s="38"/>
      <c r="H1426" s="31"/>
      <c r="I1426" s="32"/>
      <c r="J1426" s="32"/>
      <c r="K1426" s="45" t="s">
        <v>888</v>
      </c>
      <c r="L1426" s="129"/>
      <c r="M1426" s="33" t="str">
        <f t="shared" si="22"/>
        <v/>
      </c>
      <c r="N1426" s="34" t="str">
        <f>IFERROR(IF(Tabela1[[#This Row],[Nome fantasia]]="","",_xlfn.XLOOKUP($C1426,Log!D:D,Log!B:B,,,-1)),"")</f>
        <v/>
      </c>
      <c r="O1426" s="35" t="str">
        <f>IFERROR(_xlfn.XLOOKUP($C1426,Log!D:D,Log!W:W,,,-1),"")</f>
        <v/>
      </c>
      <c r="P1426" s="35" t="str">
        <f>IFERROR(_xlfn.XLOOKUP($C1426,Log!D:D,Log!Y:Y,,,-1),"")</f>
        <v/>
      </c>
      <c r="Q1426" s="130"/>
      <c r="R1426" s="131" t="str">
        <f>IFERROR(IF(Tabela1[[#This Row],[Nome fantasia]]="","",_xlfn.XLOOKUP($C1426,Log!D:D,Log!X:X,,,-1)),"")</f>
        <v/>
      </c>
    </row>
    <row r="1427" spans="3:18" hidden="1" x14ac:dyDescent="0.2">
      <c r="C1427" s="30" t="s">
        <v>3283</v>
      </c>
      <c r="D1427" s="110" t="s">
        <v>3284</v>
      </c>
      <c r="E1427" s="33" t="s">
        <v>17</v>
      </c>
      <c r="F1427" s="38"/>
      <c r="G1427" s="38"/>
      <c r="H1427" s="31"/>
      <c r="I1427" s="32"/>
      <c r="J1427" s="32"/>
      <c r="K1427" s="45" t="s">
        <v>888</v>
      </c>
      <c r="L1427" s="129"/>
      <c r="M1427" s="33" t="str">
        <f t="shared" si="22"/>
        <v/>
      </c>
      <c r="N1427" s="34" t="str">
        <f>IFERROR(IF(Tabela1[[#This Row],[Nome fantasia]]="","",_xlfn.XLOOKUP($C1427,Log!D:D,Log!B:B,,,-1)),"")</f>
        <v/>
      </c>
      <c r="O1427" s="35" t="str">
        <f>IFERROR(_xlfn.XLOOKUP($C1427,Log!D:D,Log!W:W,,,-1),"")</f>
        <v/>
      </c>
      <c r="P1427" s="35" t="str">
        <f>IFERROR(_xlfn.XLOOKUP($C1427,Log!D:D,Log!Y:Y,,,-1),"")</f>
        <v/>
      </c>
      <c r="Q1427" s="130"/>
      <c r="R1427" s="131" t="str">
        <f>IFERROR(IF(Tabela1[[#This Row],[Nome fantasia]]="","",_xlfn.XLOOKUP($C1427,Log!D:D,Log!X:X,,,-1)),"")</f>
        <v/>
      </c>
    </row>
    <row r="1428" spans="3:18" hidden="1" x14ac:dyDescent="0.2">
      <c r="C1428" s="30" t="s">
        <v>3285</v>
      </c>
      <c r="D1428" s="110" t="s">
        <v>3286</v>
      </c>
      <c r="E1428" s="33" t="s">
        <v>17</v>
      </c>
      <c r="F1428" s="38"/>
      <c r="G1428" s="38"/>
      <c r="H1428" s="31"/>
      <c r="I1428" s="32"/>
      <c r="J1428" s="32"/>
      <c r="K1428" s="45" t="s">
        <v>888</v>
      </c>
      <c r="L1428" s="129"/>
      <c r="M1428" s="33" t="str">
        <f t="shared" si="22"/>
        <v/>
      </c>
      <c r="N1428" s="34" t="str">
        <f>IFERROR(IF(Tabela1[[#This Row],[Nome fantasia]]="","",_xlfn.XLOOKUP($C1428,Log!D:D,Log!B:B,,,-1)),"")</f>
        <v/>
      </c>
      <c r="O1428" s="35" t="str">
        <f>IFERROR(_xlfn.XLOOKUP($C1428,Log!D:D,Log!W:W,,,-1),"")</f>
        <v/>
      </c>
      <c r="P1428" s="35" t="str">
        <f>IFERROR(_xlfn.XLOOKUP($C1428,Log!D:D,Log!Y:Y,,,-1),"")</f>
        <v/>
      </c>
      <c r="Q1428" s="130"/>
      <c r="R1428" s="131" t="str">
        <f>IFERROR(IF(Tabela1[[#This Row],[Nome fantasia]]="","",_xlfn.XLOOKUP($C1428,Log!D:D,Log!X:X,,,-1)),"")</f>
        <v/>
      </c>
    </row>
    <row r="1429" spans="3:18" hidden="1" x14ac:dyDescent="0.2">
      <c r="C1429" s="30" t="s">
        <v>1862</v>
      </c>
      <c r="D1429" s="110" t="s">
        <v>3287</v>
      </c>
      <c r="E1429" s="33" t="s">
        <v>22</v>
      </c>
      <c r="F1429" s="38"/>
      <c r="G1429" s="38"/>
      <c r="H1429" s="31"/>
      <c r="I1429" s="32"/>
      <c r="J1429" s="32"/>
      <c r="K1429" s="45" t="s">
        <v>888</v>
      </c>
      <c r="L1429" s="129"/>
      <c r="M1429" s="33" t="str">
        <f t="shared" si="22"/>
        <v/>
      </c>
      <c r="N1429" s="34" t="str">
        <f>IFERROR(IF(Tabela1[[#This Row],[Nome fantasia]]="","",_xlfn.XLOOKUP($C1429,Log!D:D,Log!B:B,,,-1)),"")</f>
        <v/>
      </c>
      <c r="O1429" s="35" t="str">
        <f>IFERROR(_xlfn.XLOOKUP($C1429,Log!D:D,Log!W:W,,,-1),"")</f>
        <v/>
      </c>
      <c r="P1429" s="35" t="str">
        <f>IFERROR(_xlfn.XLOOKUP($C1429,Log!D:D,Log!Y:Y,,,-1),"")</f>
        <v/>
      </c>
      <c r="Q1429" s="130"/>
      <c r="R1429" s="131" t="str">
        <f>IFERROR(IF(Tabela1[[#This Row],[Nome fantasia]]="","",_xlfn.XLOOKUP($C1429,Log!D:D,Log!X:X,,,-1)),"")</f>
        <v/>
      </c>
    </row>
    <row r="1430" spans="3:18" hidden="1" x14ac:dyDescent="0.2">
      <c r="C1430" s="30" t="s">
        <v>1862</v>
      </c>
      <c r="D1430" s="110" t="s">
        <v>3288</v>
      </c>
      <c r="E1430" s="33" t="s">
        <v>22</v>
      </c>
      <c r="F1430" s="38"/>
      <c r="G1430" s="38"/>
      <c r="H1430" s="31"/>
      <c r="I1430" s="32"/>
      <c r="J1430" s="32"/>
      <c r="K1430" s="45" t="s">
        <v>888</v>
      </c>
      <c r="L1430" s="129"/>
      <c r="M1430" s="33" t="str">
        <f t="shared" si="22"/>
        <v/>
      </c>
      <c r="N1430" s="34" t="str">
        <f>IFERROR(IF(Tabela1[[#This Row],[Nome fantasia]]="","",_xlfn.XLOOKUP($C1430,Log!D:D,Log!B:B,,,-1)),"")</f>
        <v/>
      </c>
      <c r="O1430" s="35" t="str">
        <f>IFERROR(_xlfn.XLOOKUP($C1430,Log!D:D,Log!W:W,,,-1),"")</f>
        <v/>
      </c>
      <c r="P1430" s="35" t="str">
        <f>IFERROR(_xlfn.XLOOKUP($C1430,Log!D:D,Log!Y:Y,,,-1),"")</f>
        <v/>
      </c>
      <c r="Q1430" s="130"/>
      <c r="R1430" s="131" t="str">
        <f>IFERROR(IF(Tabela1[[#This Row],[Nome fantasia]]="","",_xlfn.XLOOKUP($C1430,Log!D:D,Log!X:X,,,-1)),"")</f>
        <v/>
      </c>
    </row>
    <row r="1431" spans="3:18" hidden="1" x14ac:dyDescent="0.2">
      <c r="C1431" s="30" t="s">
        <v>3289</v>
      </c>
      <c r="D1431" s="110" t="s">
        <v>3290</v>
      </c>
      <c r="E1431" s="33" t="s">
        <v>22</v>
      </c>
      <c r="F1431" s="38"/>
      <c r="G1431" s="38"/>
      <c r="H1431" s="31"/>
      <c r="I1431" s="32"/>
      <c r="J1431" s="32"/>
      <c r="K1431" s="45" t="s">
        <v>888</v>
      </c>
      <c r="L1431" s="129"/>
      <c r="M1431" s="33" t="str">
        <f t="shared" si="22"/>
        <v/>
      </c>
      <c r="N1431" s="34" t="str">
        <f>IFERROR(IF(Tabela1[[#This Row],[Nome fantasia]]="","",_xlfn.XLOOKUP($C1431,Log!D:D,Log!B:B,,,-1)),"")</f>
        <v/>
      </c>
      <c r="O1431" s="35" t="str">
        <f>IFERROR(_xlfn.XLOOKUP($C1431,Log!D:D,Log!W:W,,,-1),"")</f>
        <v/>
      </c>
      <c r="P1431" s="35" t="str">
        <f>IFERROR(_xlfn.XLOOKUP($C1431,Log!D:D,Log!Y:Y,,,-1),"")</f>
        <v/>
      </c>
      <c r="Q1431" s="130"/>
      <c r="R1431" s="131" t="str">
        <f>IFERROR(IF(Tabela1[[#This Row],[Nome fantasia]]="","",_xlfn.XLOOKUP($C1431,Log!D:D,Log!X:X,,,-1)),"")</f>
        <v/>
      </c>
    </row>
    <row r="1432" spans="3:18" hidden="1" x14ac:dyDescent="0.2">
      <c r="C1432" s="30" t="s">
        <v>1862</v>
      </c>
      <c r="D1432" s="110" t="s">
        <v>3291</v>
      </c>
      <c r="E1432" s="33" t="s">
        <v>22</v>
      </c>
      <c r="F1432" s="38"/>
      <c r="G1432" s="38"/>
      <c r="H1432" s="31"/>
      <c r="I1432" s="32"/>
      <c r="J1432" s="32"/>
      <c r="K1432" s="45" t="s">
        <v>888</v>
      </c>
      <c r="L1432" s="129"/>
      <c r="M1432" s="33" t="str">
        <f t="shared" si="22"/>
        <v/>
      </c>
      <c r="N1432" s="34" t="str">
        <f>IFERROR(IF(Tabela1[[#This Row],[Nome fantasia]]="","",_xlfn.XLOOKUP($C1432,Log!D:D,Log!B:B,,,-1)),"")</f>
        <v/>
      </c>
      <c r="O1432" s="35" t="str">
        <f>IFERROR(_xlfn.XLOOKUP($C1432,Log!D:D,Log!W:W,,,-1),"")</f>
        <v/>
      </c>
      <c r="P1432" s="35" t="str">
        <f>IFERROR(_xlfn.XLOOKUP($C1432,Log!D:D,Log!Y:Y,,,-1),"")</f>
        <v/>
      </c>
      <c r="Q1432" s="130"/>
      <c r="R1432" s="131" t="str">
        <f>IFERROR(IF(Tabela1[[#This Row],[Nome fantasia]]="","",_xlfn.XLOOKUP($C1432,Log!D:D,Log!X:X,,,-1)),"")</f>
        <v/>
      </c>
    </row>
    <row r="1433" spans="3:18" hidden="1" x14ac:dyDescent="0.2">
      <c r="C1433" s="30" t="s">
        <v>3292</v>
      </c>
      <c r="D1433" s="110" t="s">
        <v>3293</v>
      </c>
      <c r="E1433" s="33" t="s">
        <v>46</v>
      </c>
      <c r="F1433" s="38"/>
      <c r="G1433" s="38"/>
      <c r="H1433" s="31"/>
      <c r="I1433" s="32"/>
      <c r="J1433" s="32"/>
      <c r="K1433" s="45" t="s">
        <v>888</v>
      </c>
      <c r="L1433" s="129"/>
      <c r="M1433" s="33" t="str">
        <f t="shared" si="22"/>
        <v/>
      </c>
      <c r="N1433" s="34" t="str">
        <f>IFERROR(IF(Tabela1[[#This Row],[Nome fantasia]]="","",_xlfn.XLOOKUP($C1433,Log!D:D,Log!B:B,,,-1)),"")</f>
        <v/>
      </c>
      <c r="O1433" s="35" t="str">
        <f>IFERROR(_xlfn.XLOOKUP($C1433,Log!D:D,Log!W:W,,,-1),"")</f>
        <v/>
      </c>
      <c r="P1433" s="35" t="str">
        <f>IFERROR(_xlfn.XLOOKUP($C1433,Log!D:D,Log!Y:Y,,,-1),"")</f>
        <v/>
      </c>
      <c r="Q1433" s="130"/>
      <c r="R1433" s="131" t="str">
        <f>IFERROR(IF(Tabela1[[#This Row],[Nome fantasia]]="","",_xlfn.XLOOKUP($C1433,Log!D:D,Log!X:X,,,-1)),"")</f>
        <v/>
      </c>
    </row>
    <row r="1434" spans="3:18" hidden="1" x14ac:dyDescent="0.2">
      <c r="C1434" s="30" t="s">
        <v>3294</v>
      </c>
      <c r="D1434" s="110" t="s">
        <v>3295</v>
      </c>
      <c r="E1434" s="33" t="s">
        <v>22</v>
      </c>
      <c r="F1434" s="38"/>
      <c r="G1434" s="38"/>
      <c r="H1434" s="31"/>
      <c r="I1434" s="32"/>
      <c r="J1434" s="32"/>
      <c r="K1434" s="45" t="s">
        <v>888</v>
      </c>
      <c r="L1434" s="129"/>
      <c r="M1434" s="33" t="str">
        <f t="shared" si="22"/>
        <v/>
      </c>
      <c r="N1434" s="34" t="str">
        <f>IFERROR(IF(Tabela1[[#This Row],[Nome fantasia]]="","",_xlfn.XLOOKUP($C1434,Log!D:D,Log!B:B,,,-1)),"")</f>
        <v/>
      </c>
      <c r="O1434" s="35" t="str">
        <f>IFERROR(_xlfn.XLOOKUP($C1434,Log!D:D,Log!W:W,,,-1),"")</f>
        <v/>
      </c>
      <c r="P1434" s="35" t="str">
        <f>IFERROR(_xlfn.XLOOKUP($C1434,Log!D:D,Log!Y:Y,,,-1),"")</f>
        <v/>
      </c>
      <c r="Q1434" s="130"/>
      <c r="R1434" s="131" t="str">
        <f>IFERROR(IF(Tabela1[[#This Row],[Nome fantasia]]="","",_xlfn.XLOOKUP($C1434,Log!D:D,Log!X:X,,,-1)),"")</f>
        <v/>
      </c>
    </row>
    <row r="1435" spans="3:18" hidden="1" x14ac:dyDescent="0.2">
      <c r="C1435" s="30" t="s">
        <v>3296</v>
      </c>
      <c r="D1435" s="110" t="s">
        <v>3297</v>
      </c>
      <c r="E1435" s="33" t="s">
        <v>17</v>
      </c>
      <c r="F1435" s="38"/>
      <c r="G1435" s="38"/>
      <c r="H1435" s="31"/>
      <c r="I1435" s="32"/>
      <c r="J1435" s="32"/>
      <c r="K1435" s="45" t="s">
        <v>888</v>
      </c>
      <c r="L1435" s="129"/>
      <c r="M1435" s="33" t="str">
        <f t="shared" si="22"/>
        <v/>
      </c>
      <c r="N1435" s="34" t="str">
        <f>IFERROR(IF(Tabela1[[#This Row],[Nome fantasia]]="","",_xlfn.XLOOKUP($C1435,Log!D:D,Log!B:B,,,-1)),"")</f>
        <v/>
      </c>
      <c r="O1435" s="35" t="str">
        <f>IFERROR(_xlfn.XLOOKUP($C1435,Log!D:D,Log!W:W,,,-1),"")</f>
        <v/>
      </c>
      <c r="P1435" s="35" t="str">
        <f>IFERROR(_xlfn.XLOOKUP($C1435,Log!D:D,Log!Y:Y,,,-1),"")</f>
        <v/>
      </c>
      <c r="Q1435" s="130"/>
      <c r="R1435" s="131" t="str">
        <f>IFERROR(IF(Tabela1[[#This Row],[Nome fantasia]]="","",_xlfn.XLOOKUP($C1435,Log!D:D,Log!X:X,,,-1)),"")</f>
        <v/>
      </c>
    </row>
    <row r="1436" spans="3:18" hidden="1" x14ac:dyDescent="0.2">
      <c r="C1436" s="30" t="s">
        <v>3298</v>
      </c>
      <c r="D1436" s="110" t="s">
        <v>3299</v>
      </c>
      <c r="E1436" s="33" t="s">
        <v>46</v>
      </c>
      <c r="F1436" s="38"/>
      <c r="G1436" s="38"/>
      <c r="H1436" s="31"/>
      <c r="I1436" s="32"/>
      <c r="J1436" s="32"/>
      <c r="K1436" s="45" t="s">
        <v>888</v>
      </c>
      <c r="L1436" s="129"/>
      <c r="M1436" s="33" t="str">
        <f t="shared" si="22"/>
        <v/>
      </c>
      <c r="N1436" s="34" t="str">
        <f>IFERROR(IF(Tabela1[[#This Row],[Nome fantasia]]="","",_xlfn.XLOOKUP($C1436,Log!D:D,Log!B:B,,,-1)),"")</f>
        <v/>
      </c>
      <c r="O1436" s="35" t="str">
        <f>IFERROR(_xlfn.XLOOKUP($C1436,Log!D:D,Log!W:W,,,-1),"")</f>
        <v/>
      </c>
      <c r="P1436" s="35" t="str">
        <f>IFERROR(_xlfn.XLOOKUP($C1436,Log!D:D,Log!Y:Y,,,-1),"")</f>
        <v/>
      </c>
      <c r="Q1436" s="130"/>
      <c r="R1436" s="131" t="str">
        <f>IFERROR(IF(Tabela1[[#This Row],[Nome fantasia]]="","",_xlfn.XLOOKUP($C1436,Log!D:D,Log!X:X,,,-1)),"")</f>
        <v/>
      </c>
    </row>
    <row r="1437" spans="3:18" hidden="1" x14ac:dyDescent="0.2">
      <c r="C1437" s="30" t="s">
        <v>3300</v>
      </c>
      <c r="D1437" s="110" t="s">
        <v>3301</v>
      </c>
      <c r="E1437" s="33" t="s">
        <v>22</v>
      </c>
      <c r="F1437" s="38"/>
      <c r="G1437" s="38"/>
      <c r="H1437" s="31"/>
      <c r="I1437" s="32"/>
      <c r="J1437" s="32"/>
      <c r="K1437" s="45" t="s">
        <v>888</v>
      </c>
      <c r="L1437" s="129"/>
      <c r="M1437" s="33" t="str">
        <f t="shared" si="22"/>
        <v/>
      </c>
      <c r="N1437" s="34" t="str">
        <f>IFERROR(IF(Tabela1[[#This Row],[Nome fantasia]]="","",_xlfn.XLOOKUP($C1437,Log!D:D,Log!B:B,,,-1)),"")</f>
        <v/>
      </c>
      <c r="O1437" s="35" t="str">
        <f>IFERROR(_xlfn.XLOOKUP($C1437,Log!D:D,Log!W:W,,,-1),"")</f>
        <v/>
      </c>
      <c r="P1437" s="35" t="str">
        <f>IFERROR(_xlfn.XLOOKUP($C1437,Log!D:D,Log!Y:Y,,,-1),"")</f>
        <v/>
      </c>
      <c r="Q1437" s="130"/>
      <c r="R1437" s="131" t="str">
        <f>IFERROR(IF(Tabela1[[#This Row],[Nome fantasia]]="","",_xlfn.XLOOKUP($C1437,Log!D:D,Log!X:X,,,-1)),"")</f>
        <v/>
      </c>
    </row>
    <row r="1438" spans="3:18" hidden="1" x14ac:dyDescent="0.2">
      <c r="C1438" s="30"/>
      <c r="D1438" s="110" t="s">
        <v>3302</v>
      </c>
      <c r="E1438" s="33" t="s">
        <v>22</v>
      </c>
      <c r="F1438" s="38"/>
      <c r="G1438" s="38"/>
      <c r="H1438" s="31"/>
      <c r="I1438" s="32"/>
      <c r="J1438" s="32"/>
      <c r="K1438" s="45" t="s">
        <v>888</v>
      </c>
      <c r="L1438" s="129"/>
      <c r="M1438" s="33" t="str">
        <f t="shared" si="22"/>
        <v/>
      </c>
      <c r="N1438" s="34" t="str">
        <f>IFERROR(IF(Tabela1[[#This Row],[Nome fantasia]]="","",_xlfn.XLOOKUP($C1438,Log!D:D,Log!B:B,,,-1)),"")</f>
        <v/>
      </c>
      <c r="O1438" s="35" t="str">
        <f>IFERROR(_xlfn.XLOOKUP($C1438,Log!D:D,Log!W:W,,,-1),"")</f>
        <v/>
      </c>
      <c r="P1438" s="35" t="str">
        <f>IFERROR(_xlfn.XLOOKUP($C1438,Log!D:D,Log!Y:Y,,,-1),"")</f>
        <v/>
      </c>
      <c r="Q1438" s="130"/>
      <c r="R1438" s="131" t="str">
        <f>IFERROR(IF(Tabela1[[#This Row],[Nome fantasia]]="","",_xlfn.XLOOKUP($C1438,Log!D:D,Log!X:X,,,-1)),"")</f>
        <v/>
      </c>
    </row>
    <row r="1439" spans="3:18" hidden="1" x14ac:dyDescent="0.2">
      <c r="C1439" s="30" t="s">
        <v>3303</v>
      </c>
      <c r="D1439" s="110" t="s">
        <v>3304</v>
      </c>
      <c r="E1439" s="33" t="s">
        <v>46</v>
      </c>
      <c r="F1439" s="38"/>
      <c r="G1439" s="38"/>
      <c r="H1439" s="31"/>
      <c r="I1439" s="32"/>
      <c r="J1439" s="32"/>
      <c r="K1439" s="45" t="s">
        <v>888</v>
      </c>
      <c r="L1439" s="129"/>
      <c r="M1439" s="33" t="str">
        <f t="shared" si="22"/>
        <v/>
      </c>
      <c r="N1439" s="34" t="str">
        <f>IFERROR(IF(Tabela1[[#This Row],[Nome fantasia]]="","",_xlfn.XLOOKUP($C1439,Log!D:D,Log!B:B,,,-1)),"")</f>
        <v/>
      </c>
      <c r="O1439" s="35" t="str">
        <f>IFERROR(_xlfn.XLOOKUP($C1439,Log!D:D,Log!W:W,,,-1),"")</f>
        <v/>
      </c>
      <c r="P1439" s="35" t="str">
        <f>IFERROR(_xlfn.XLOOKUP($C1439,Log!D:D,Log!Y:Y,,,-1),"")</f>
        <v/>
      </c>
      <c r="Q1439" s="130"/>
      <c r="R1439" s="131" t="str">
        <f>IFERROR(IF(Tabela1[[#This Row],[Nome fantasia]]="","",_xlfn.XLOOKUP($C1439,Log!D:D,Log!X:X,,,-1)),"")</f>
        <v/>
      </c>
    </row>
    <row r="1440" spans="3:18" hidden="1" x14ac:dyDescent="0.2">
      <c r="C1440" s="30" t="s">
        <v>3305</v>
      </c>
      <c r="D1440" s="110" t="s">
        <v>3306</v>
      </c>
      <c r="E1440" s="33" t="s">
        <v>46</v>
      </c>
      <c r="F1440" s="38"/>
      <c r="G1440" s="38"/>
      <c r="H1440" s="31"/>
      <c r="I1440" s="32"/>
      <c r="J1440" s="32"/>
      <c r="K1440" s="45" t="s">
        <v>888</v>
      </c>
      <c r="L1440" s="129"/>
      <c r="M1440" s="33" t="str">
        <f t="shared" si="22"/>
        <v/>
      </c>
      <c r="N1440" s="34" t="str">
        <f>IFERROR(IF(Tabela1[[#This Row],[Nome fantasia]]="","",_xlfn.XLOOKUP($C1440,Log!D:D,Log!B:B,,,-1)),"")</f>
        <v/>
      </c>
      <c r="O1440" s="35" t="str">
        <f>IFERROR(_xlfn.XLOOKUP($C1440,Log!D:D,Log!W:W,,,-1),"")</f>
        <v/>
      </c>
      <c r="P1440" s="35" t="str">
        <f>IFERROR(_xlfn.XLOOKUP($C1440,Log!D:D,Log!Y:Y,,,-1),"")</f>
        <v/>
      </c>
      <c r="Q1440" s="130"/>
      <c r="R1440" s="131" t="str">
        <f>IFERROR(IF(Tabela1[[#This Row],[Nome fantasia]]="","",_xlfn.XLOOKUP($C1440,Log!D:D,Log!X:X,,,-1)),"")</f>
        <v/>
      </c>
    </row>
    <row r="1441" spans="3:18" hidden="1" x14ac:dyDescent="0.2">
      <c r="C1441" s="30" t="s">
        <v>3307</v>
      </c>
      <c r="D1441" s="110" t="s">
        <v>3308</v>
      </c>
      <c r="E1441" s="33" t="s">
        <v>46</v>
      </c>
      <c r="F1441" s="38"/>
      <c r="G1441" s="38"/>
      <c r="H1441" s="31"/>
      <c r="I1441" s="32"/>
      <c r="J1441" s="32"/>
      <c r="K1441" s="45" t="s">
        <v>888</v>
      </c>
      <c r="L1441" s="129"/>
      <c r="M1441" s="33" t="str">
        <f t="shared" si="22"/>
        <v/>
      </c>
      <c r="N1441" s="34" t="str">
        <f>IFERROR(IF(Tabela1[[#This Row],[Nome fantasia]]="","",_xlfn.XLOOKUP($C1441,Log!D:D,Log!B:B,,,-1)),"")</f>
        <v/>
      </c>
      <c r="O1441" s="35" t="str">
        <f>IFERROR(_xlfn.XLOOKUP($C1441,Log!D:D,Log!W:W,,,-1),"")</f>
        <v/>
      </c>
      <c r="P1441" s="35" t="str">
        <f>IFERROR(_xlfn.XLOOKUP($C1441,Log!D:D,Log!Y:Y,,,-1),"")</f>
        <v/>
      </c>
      <c r="Q1441" s="130"/>
      <c r="R1441" s="131" t="str">
        <f>IFERROR(IF(Tabela1[[#This Row],[Nome fantasia]]="","",_xlfn.XLOOKUP($C1441,Log!D:D,Log!X:X,,,-1)),"")</f>
        <v/>
      </c>
    </row>
    <row r="1442" spans="3:18" hidden="1" x14ac:dyDescent="0.2">
      <c r="C1442" s="30" t="s">
        <v>3309</v>
      </c>
      <c r="D1442" s="110" t="s">
        <v>3310</v>
      </c>
      <c r="E1442" s="33" t="s">
        <v>22</v>
      </c>
      <c r="F1442" s="38"/>
      <c r="G1442" s="38"/>
      <c r="H1442" s="31"/>
      <c r="I1442" s="32"/>
      <c r="J1442" s="32"/>
      <c r="K1442" s="45" t="s">
        <v>888</v>
      </c>
      <c r="L1442" s="129"/>
      <c r="M1442" s="33" t="str">
        <f t="shared" si="22"/>
        <v/>
      </c>
      <c r="N1442" s="34" t="str">
        <f>IFERROR(IF(Tabela1[[#This Row],[Nome fantasia]]="","",_xlfn.XLOOKUP($C1442,Log!D:D,Log!B:B,,,-1)),"")</f>
        <v/>
      </c>
      <c r="O1442" s="35" t="str">
        <f>IFERROR(_xlfn.XLOOKUP($C1442,Log!D:D,Log!W:W,,,-1),"")</f>
        <v/>
      </c>
      <c r="P1442" s="35" t="str">
        <f>IFERROR(_xlfn.XLOOKUP($C1442,Log!D:D,Log!Y:Y,,,-1),"")</f>
        <v/>
      </c>
      <c r="Q1442" s="130"/>
      <c r="R1442" s="131" t="str">
        <f>IFERROR(IF(Tabela1[[#This Row],[Nome fantasia]]="","",_xlfn.XLOOKUP($C1442,Log!D:D,Log!X:X,,,-1)),"")</f>
        <v/>
      </c>
    </row>
    <row r="1443" spans="3:18" hidden="1" x14ac:dyDescent="0.2">
      <c r="C1443" s="30" t="s">
        <v>3311</v>
      </c>
      <c r="D1443" s="110" t="s">
        <v>3312</v>
      </c>
      <c r="E1443" s="33" t="s">
        <v>17</v>
      </c>
      <c r="F1443" s="38"/>
      <c r="G1443" s="38"/>
      <c r="H1443" s="31"/>
      <c r="I1443" s="32"/>
      <c r="J1443" s="32"/>
      <c r="K1443" s="45" t="s">
        <v>888</v>
      </c>
      <c r="L1443" s="129"/>
      <c r="M1443" s="33" t="str">
        <f t="shared" si="22"/>
        <v/>
      </c>
      <c r="N1443" s="34" t="str">
        <f>IFERROR(IF(Tabela1[[#This Row],[Nome fantasia]]="","",_xlfn.XLOOKUP($C1443,Log!D:D,Log!B:B,,,-1)),"")</f>
        <v/>
      </c>
      <c r="O1443" s="35" t="str">
        <f>IFERROR(_xlfn.XLOOKUP($C1443,Log!D:D,Log!W:W,,,-1),"")</f>
        <v/>
      </c>
      <c r="P1443" s="35" t="str">
        <f>IFERROR(_xlfn.XLOOKUP($C1443,Log!D:D,Log!Y:Y,,,-1),"")</f>
        <v/>
      </c>
      <c r="Q1443" s="130"/>
      <c r="R1443" s="131" t="str">
        <f>IFERROR(IF(Tabela1[[#This Row],[Nome fantasia]]="","",_xlfn.XLOOKUP($C1443,Log!D:D,Log!X:X,,,-1)),"")</f>
        <v/>
      </c>
    </row>
    <row r="1444" spans="3:18" hidden="1" x14ac:dyDescent="0.2">
      <c r="C1444" s="30" t="s">
        <v>3313</v>
      </c>
      <c r="D1444" s="110" t="s">
        <v>3314</v>
      </c>
      <c r="E1444" s="33" t="s">
        <v>17</v>
      </c>
      <c r="F1444" s="38"/>
      <c r="G1444" s="38"/>
      <c r="H1444" s="31"/>
      <c r="I1444" s="32"/>
      <c r="J1444" s="32"/>
      <c r="K1444" s="45" t="s">
        <v>888</v>
      </c>
      <c r="L1444" s="129"/>
      <c r="M1444" s="33" t="str">
        <f t="shared" si="22"/>
        <v/>
      </c>
      <c r="N1444" s="34" t="str">
        <f>IFERROR(IF(Tabela1[[#This Row],[Nome fantasia]]="","",_xlfn.XLOOKUP($C1444,Log!D:D,Log!B:B,,,-1)),"")</f>
        <v/>
      </c>
      <c r="O1444" s="35" t="str">
        <f>IFERROR(_xlfn.XLOOKUP($C1444,Log!D:D,Log!W:W,,,-1),"")</f>
        <v/>
      </c>
      <c r="P1444" s="35" t="str">
        <f>IFERROR(_xlfn.XLOOKUP($C1444,Log!D:D,Log!Y:Y,,,-1),"")</f>
        <v/>
      </c>
      <c r="Q1444" s="130"/>
      <c r="R1444" s="131" t="str">
        <f>IFERROR(IF(Tabela1[[#This Row],[Nome fantasia]]="","",_xlfn.XLOOKUP($C1444,Log!D:D,Log!X:X,,,-1)),"")</f>
        <v/>
      </c>
    </row>
    <row r="1445" spans="3:18" hidden="1" x14ac:dyDescent="0.2">
      <c r="C1445" s="30" t="s">
        <v>2235</v>
      </c>
      <c r="D1445" s="110" t="s">
        <v>3315</v>
      </c>
      <c r="E1445" s="33" t="s">
        <v>46</v>
      </c>
      <c r="F1445" s="38"/>
      <c r="G1445" s="38"/>
      <c r="H1445" s="31"/>
      <c r="I1445" s="32"/>
      <c r="J1445" s="32"/>
      <c r="K1445" s="45" t="s">
        <v>888</v>
      </c>
      <c r="L1445" s="129"/>
      <c r="M1445" s="33" t="str">
        <f t="shared" si="22"/>
        <v/>
      </c>
      <c r="N1445" s="34" t="str">
        <f>IFERROR(IF(Tabela1[[#This Row],[Nome fantasia]]="","",_xlfn.XLOOKUP($C1445,Log!D:D,Log!B:B,,,-1)),"")</f>
        <v/>
      </c>
      <c r="O1445" s="35" t="str">
        <f>IFERROR(_xlfn.XLOOKUP($C1445,Log!D:D,Log!W:W,,,-1),"")</f>
        <v/>
      </c>
      <c r="P1445" s="35" t="str">
        <f>IFERROR(_xlfn.XLOOKUP($C1445,Log!D:D,Log!Y:Y,,,-1),"")</f>
        <v/>
      </c>
      <c r="Q1445" s="130"/>
      <c r="R1445" s="131" t="str">
        <f>IFERROR(IF(Tabela1[[#This Row],[Nome fantasia]]="","",_xlfn.XLOOKUP($C1445,Log!D:D,Log!X:X,,,-1)),"")</f>
        <v/>
      </c>
    </row>
    <row r="1446" spans="3:18" hidden="1" x14ac:dyDescent="0.2">
      <c r="C1446" s="30" t="s">
        <v>1862</v>
      </c>
      <c r="D1446" s="110" t="s">
        <v>3316</v>
      </c>
      <c r="E1446" s="33" t="s">
        <v>22</v>
      </c>
      <c r="F1446" s="38"/>
      <c r="G1446" s="38"/>
      <c r="H1446" s="31"/>
      <c r="I1446" s="32"/>
      <c r="J1446" s="32"/>
      <c r="K1446" s="45" t="s">
        <v>888</v>
      </c>
      <c r="L1446" s="129"/>
      <c r="M1446" s="33" t="str">
        <f t="shared" si="22"/>
        <v/>
      </c>
      <c r="N1446" s="34" t="str">
        <f>IFERROR(IF(Tabela1[[#This Row],[Nome fantasia]]="","",_xlfn.XLOOKUP($C1446,Log!D:D,Log!B:B,,,-1)),"")</f>
        <v/>
      </c>
      <c r="O1446" s="35" t="str">
        <f>IFERROR(_xlfn.XLOOKUP($C1446,Log!D:D,Log!W:W,,,-1),"")</f>
        <v/>
      </c>
      <c r="P1446" s="35" t="str">
        <f>IFERROR(_xlfn.XLOOKUP($C1446,Log!D:D,Log!Y:Y,,,-1),"")</f>
        <v/>
      </c>
      <c r="Q1446" s="130"/>
      <c r="R1446" s="131" t="str">
        <f>IFERROR(IF(Tabela1[[#This Row],[Nome fantasia]]="","",_xlfn.XLOOKUP($C1446,Log!D:D,Log!X:X,,,-1)),"")</f>
        <v/>
      </c>
    </row>
    <row r="1447" spans="3:18" hidden="1" x14ac:dyDescent="0.2">
      <c r="C1447" s="30" t="s">
        <v>3317</v>
      </c>
      <c r="D1447" s="110" t="s">
        <v>3318</v>
      </c>
      <c r="E1447" s="33" t="s">
        <v>17</v>
      </c>
      <c r="F1447" s="38"/>
      <c r="G1447" s="38"/>
      <c r="H1447" s="31"/>
      <c r="I1447" s="32"/>
      <c r="J1447" s="32"/>
      <c r="K1447" s="45" t="s">
        <v>888</v>
      </c>
      <c r="L1447" s="129"/>
      <c r="M1447" s="33" t="str">
        <f t="shared" si="22"/>
        <v/>
      </c>
      <c r="N1447" s="34" t="str">
        <f>IFERROR(IF(Tabela1[[#This Row],[Nome fantasia]]="","",_xlfn.XLOOKUP($C1447,Log!D:D,Log!B:B,,,-1)),"")</f>
        <v/>
      </c>
      <c r="O1447" s="35" t="str">
        <f>IFERROR(_xlfn.XLOOKUP($C1447,Log!D:D,Log!W:W,,,-1),"")</f>
        <v/>
      </c>
      <c r="P1447" s="35" t="str">
        <f>IFERROR(_xlfn.XLOOKUP($C1447,Log!D:D,Log!Y:Y,,,-1),"")</f>
        <v/>
      </c>
      <c r="Q1447" s="130"/>
      <c r="R1447" s="131" t="str">
        <f>IFERROR(IF(Tabela1[[#This Row],[Nome fantasia]]="","",_xlfn.XLOOKUP($C1447,Log!D:D,Log!X:X,,,-1)),"")</f>
        <v/>
      </c>
    </row>
    <row r="1448" spans="3:18" hidden="1" x14ac:dyDescent="0.2">
      <c r="C1448" s="30" t="s">
        <v>3319</v>
      </c>
      <c r="D1448" s="110" t="s">
        <v>3320</v>
      </c>
      <c r="E1448" s="33" t="s">
        <v>46</v>
      </c>
      <c r="F1448" s="38"/>
      <c r="G1448" s="38"/>
      <c r="H1448" s="31"/>
      <c r="I1448" s="32"/>
      <c r="J1448" s="32"/>
      <c r="K1448" s="45" t="s">
        <v>888</v>
      </c>
      <c r="L1448" s="129"/>
      <c r="M1448" s="33" t="str">
        <f t="shared" si="22"/>
        <v/>
      </c>
      <c r="N1448" s="34" t="str">
        <f>IFERROR(IF(Tabela1[[#This Row],[Nome fantasia]]="","",_xlfn.XLOOKUP($C1448,Log!D:D,Log!B:B,,,-1)),"")</f>
        <v/>
      </c>
      <c r="O1448" s="35" t="str">
        <f>IFERROR(_xlfn.XLOOKUP($C1448,Log!D:D,Log!W:W,,,-1),"")</f>
        <v/>
      </c>
      <c r="P1448" s="35" t="str">
        <f>IFERROR(_xlfn.XLOOKUP($C1448,Log!D:D,Log!Y:Y,,,-1),"")</f>
        <v/>
      </c>
      <c r="Q1448" s="130"/>
      <c r="R1448" s="131" t="str">
        <f>IFERROR(IF(Tabela1[[#This Row],[Nome fantasia]]="","",_xlfn.XLOOKUP($C1448,Log!D:D,Log!X:X,,,-1)),"")</f>
        <v/>
      </c>
    </row>
    <row r="1449" spans="3:18" hidden="1" x14ac:dyDescent="0.2">
      <c r="C1449" s="30" t="s">
        <v>3321</v>
      </c>
      <c r="D1449" s="110" t="s">
        <v>3322</v>
      </c>
      <c r="E1449" s="33" t="s">
        <v>22</v>
      </c>
      <c r="F1449" s="38"/>
      <c r="G1449" s="38"/>
      <c r="H1449" s="31"/>
      <c r="I1449" s="32"/>
      <c r="J1449" s="32"/>
      <c r="K1449" s="45" t="s">
        <v>888</v>
      </c>
      <c r="L1449" s="129"/>
      <c r="M1449" s="33" t="str">
        <f t="shared" si="22"/>
        <v/>
      </c>
      <c r="N1449" s="34" t="str">
        <f>IFERROR(IF(Tabela1[[#This Row],[Nome fantasia]]="","",_xlfn.XLOOKUP($C1449,Log!D:D,Log!B:B,,,-1)),"")</f>
        <v/>
      </c>
      <c r="O1449" s="35" t="str">
        <f>IFERROR(_xlfn.XLOOKUP($C1449,Log!D:D,Log!W:W,,,-1),"")</f>
        <v/>
      </c>
      <c r="P1449" s="35" t="str">
        <f>IFERROR(_xlfn.XLOOKUP($C1449,Log!D:D,Log!Y:Y,,,-1),"")</f>
        <v/>
      </c>
      <c r="Q1449" s="130"/>
      <c r="R1449" s="131" t="str">
        <f>IFERROR(IF(Tabela1[[#This Row],[Nome fantasia]]="","",_xlfn.XLOOKUP($C1449,Log!D:D,Log!X:X,,,-1)),"")</f>
        <v/>
      </c>
    </row>
    <row r="1450" spans="3:18" hidden="1" x14ac:dyDescent="0.2">
      <c r="C1450" s="30" t="s">
        <v>3323</v>
      </c>
      <c r="D1450" s="110" t="s">
        <v>3324</v>
      </c>
      <c r="E1450" s="33" t="s">
        <v>17</v>
      </c>
      <c r="F1450" s="38"/>
      <c r="G1450" s="38"/>
      <c r="H1450" s="31"/>
      <c r="I1450" s="32"/>
      <c r="J1450" s="32"/>
      <c r="K1450" s="45" t="s">
        <v>888</v>
      </c>
      <c r="L1450" s="129"/>
      <c r="M1450" s="33" t="str">
        <f t="shared" si="22"/>
        <v/>
      </c>
      <c r="N1450" s="34" t="str">
        <f>IFERROR(IF(Tabela1[[#This Row],[Nome fantasia]]="","",_xlfn.XLOOKUP($C1450,Log!D:D,Log!B:B,,,-1)),"")</f>
        <v/>
      </c>
      <c r="O1450" s="35" t="str">
        <f>IFERROR(_xlfn.XLOOKUP($C1450,Log!D:D,Log!W:W,,,-1),"")</f>
        <v/>
      </c>
      <c r="P1450" s="35" t="str">
        <f>IFERROR(_xlfn.XLOOKUP($C1450,Log!D:D,Log!Y:Y,,,-1),"")</f>
        <v/>
      </c>
      <c r="Q1450" s="130"/>
      <c r="R1450" s="131" t="str">
        <f>IFERROR(IF(Tabela1[[#This Row],[Nome fantasia]]="","",_xlfn.XLOOKUP($C1450,Log!D:D,Log!X:X,,,-1)),"")</f>
        <v/>
      </c>
    </row>
    <row r="1451" spans="3:18" hidden="1" x14ac:dyDescent="0.2">
      <c r="C1451" s="30" t="s">
        <v>3325</v>
      </c>
      <c r="D1451" s="110" t="s">
        <v>3326</v>
      </c>
      <c r="E1451" s="33" t="s">
        <v>22</v>
      </c>
      <c r="F1451" s="38"/>
      <c r="G1451" s="38"/>
      <c r="H1451" s="31"/>
      <c r="I1451" s="32"/>
      <c r="J1451" s="32"/>
      <c r="K1451" s="45" t="s">
        <v>888</v>
      </c>
      <c r="L1451" s="129"/>
      <c r="M1451" s="33" t="str">
        <f t="shared" si="22"/>
        <v/>
      </c>
      <c r="N1451" s="34" t="str">
        <f>IFERROR(IF(Tabela1[[#This Row],[Nome fantasia]]="","",_xlfn.XLOOKUP($C1451,Log!D:D,Log!B:B,,,-1)),"")</f>
        <v/>
      </c>
      <c r="O1451" s="35" t="str">
        <f>IFERROR(_xlfn.XLOOKUP($C1451,Log!D:D,Log!W:W,,,-1),"")</f>
        <v/>
      </c>
      <c r="P1451" s="35" t="str">
        <f>IFERROR(_xlfn.XLOOKUP($C1451,Log!D:D,Log!Y:Y,,,-1),"")</f>
        <v/>
      </c>
      <c r="Q1451" s="130"/>
      <c r="R1451" s="131" t="str">
        <f>IFERROR(IF(Tabela1[[#This Row],[Nome fantasia]]="","",_xlfn.XLOOKUP($C1451,Log!D:D,Log!X:X,,,-1)),"")</f>
        <v/>
      </c>
    </row>
    <row r="1452" spans="3:18" hidden="1" x14ac:dyDescent="0.2">
      <c r="C1452" s="30" t="s">
        <v>3327</v>
      </c>
      <c r="D1452" s="110" t="s">
        <v>3328</v>
      </c>
      <c r="E1452" s="33" t="s">
        <v>46</v>
      </c>
      <c r="F1452" s="38"/>
      <c r="G1452" s="38"/>
      <c r="H1452" s="31"/>
      <c r="I1452" s="32"/>
      <c r="J1452" s="32"/>
      <c r="K1452" s="45" t="s">
        <v>888</v>
      </c>
      <c r="L1452" s="129"/>
      <c r="M1452" s="33" t="str">
        <f t="shared" si="22"/>
        <v/>
      </c>
      <c r="N1452" s="34" t="str">
        <f>IFERROR(IF(Tabela1[[#This Row],[Nome fantasia]]="","",_xlfn.XLOOKUP($C1452,Log!D:D,Log!B:B,,,-1)),"")</f>
        <v/>
      </c>
      <c r="O1452" s="35" t="str">
        <f>IFERROR(_xlfn.XLOOKUP($C1452,Log!D:D,Log!W:W,,,-1),"")</f>
        <v/>
      </c>
      <c r="P1452" s="35" t="str">
        <f>IFERROR(_xlfn.XLOOKUP($C1452,Log!D:D,Log!Y:Y,,,-1),"")</f>
        <v/>
      </c>
      <c r="Q1452" s="130"/>
      <c r="R1452" s="131" t="str">
        <f>IFERROR(IF(Tabela1[[#This Row],[Nome fantasia]]="","",_xlfn.XLOOKUP($C1452,Log!D:D,Log!X:X,,,-1)),"")</f>
        <v/>
      </c>
    </row>
    <row r="1453" spans="3:18" hidden="1" x14ac:dyDescent="0.2">
      <c r="C1453" s="30" t="s">
        <v>3329</v>
      </c>
      <c r="D1453" s="110" t="s">
        <v>3330</v>
      </c>
      <c r="E1453" s="33" t="s">
        <v>46</v>
      </c>
      <c r="F1453" s="38"/>
      <c r="G1453" s="38"/>
      <c r="H1453" s="31"/>
      <c r="I1453" s="32"/>
      <c r="J1453" s="32"/>
      <c r="K1453" s="45" t="s">
        <v>888</v>
      </c>
      <c r="L1453" s="129"/>
      <c r="M1453" s="33" t="str">
        <f t="shared" si="22"/>
        <v/>
      </c>
      <c r="N1453" s="34" t="str">
        <f>IFERROR(IF(Tabela1[[#This Row],[Nome fantasia]]="","",_xlfn.XLOOKUP($C1453,Log!D:D,Log!B:B,,,-1)),"")</f>
        <v/>
      </c>
      <c r="O1453" s="35" t="str">
        <f>IFERROR(_xlfn.XLOOKUP($C1453,Log!D:D,Log!W:W,,,-1),"")</f>
        <v/>
      </c>
      <c r="P1453" s="35" t="str">
        <f>IFERROR(_xlfn.XLOOKUP($C1453,Log!D:D,Log!Y:Y,,,-1),"")</f>
        <v/>
      </c>
      <c r="Q1453" s="130"/>
      <c r="R1453" s="131" t="str">
        <f>IFERROR(IF(Tabela1[[#This Row],[Nome fantasia]]="","",_xlfn.XLOOKUP($C1453,Log!D:D,Log!X:X,,,-1)),"")</f>
        <v/>
      </c>
    </row>
    <row r="1454" spans="3:18" hidden="1" x14ac:dyDescent="0.2">
      <c r="C1454" s="30" t="s">
        <v>3331</v>
      </c>
      <c r="D1454" s="110" t="s">
        <v>3332</v>
      </c>
      <c r="E1454" s="33" t="s">
        <v>46</v>
      </c>
      <c r="F1454" s="38"/>
      <c r="G1454" s="38"/>
      <c r="H1454" s="31"/>
      <c r="I1454" s="32"/>
      <c r="J1454" s="32"/>
      <c r="K1454" s="45" t="s">
        <v>888</v>
      </c>
      <c r="L1454" s="129"/>
      <c r="M1454" s="33" t="str">
        <f t="shared" si="22"/>
        <v/>
      </c>
      <c r="N1454" s="34" t="str">
        <f>IFERROR(IF(Tabela1[[#This Row],[Nome fantasia]]="","",_xlfn.XLOOKUP($C1454,Log!D:D,Log!B:B,,,-1)),"")</f>
        <v/>
      </c>
      <c r="O1454" s="35" t="str">
        <f>IFERROR(_xlfn.XLOOKUP($C1454,Log!D:D,Log!W:W,,,-1),"")</f>
        <v/>
      </c>
      <c r="P1454" s="35" t="str">
        <f>IFERROR(_xlfn.XLOOKUP($C1454,Log!D:D,Log!Y:Y,,,-1),"")</f>
        <v/>
      </c>
      <c r="Q1454" s="130"/>
      <c r="R1454" s="131" t="str">
        <f>IFERROR(IF(Tabela1[[#This Row],[Nome fantasia]]="","",_xlfn.XLOOKUP($C1454,Log!D:D,Log!X:X,,,-1)),"")</f>
        <v/>
      </c>
    </row>
    <row r="1455" spans="3:18" hidden="1" x14ac:dyDescent="0.2">
      <c r="C1455" s="30" t="s">
        <v>3333</v>
      </c>
      <c r="D1455" s="110" t="s">
        <v>3334</v>
      </c>
      <c r="E1455" s="33" t="s">
        <v>46</v>
      </c>
      <c r="F1455" s="38"/>
      <c r="G1455" s="38"/>
      <c r="H1455" s="31"/>
      <c r="I1455" s="32"/>
      <c r="J1455" s="32"/>
      <c r="K1455" s="45" t="s">
        <v>888</v>
      </c>
      <c r="L1455" s="129"/>
      <c r="M1455" s="33" t="str">
        <f t="shared" si="22"/>
        <v/>
      </c>
      <c r="N1455" s="34" t="str">
        <f>IFERROR(IF(Tabela1[[#This Row],[Nome fantasia]]="","",_xlfn.XLOOKUP($C1455,Log!D:D,Log!B:B,,,-1)),"")</f>
        <v/>
      </c>
      <c r="O1455" s="35" t="str">
        <f>IFERROR(_xlfn.XLOOKUP($C1455,Log!D:D,Log!W:W,,,-1),"")</f>
        <v/>
      </c>
      <c r="P1455" s="35" t="str">
        <f>IFERROR(_xlfn.XLOOKUP($C1455,Log!D:D,Log!Y:Y,,,-1),"")</f>
        <v/>
      </c>
      <c r="Q1455" s="130"/>
      <c r="R1455" s="131" t="str">
        <f>IFERROR(IF(Tabela1[[#This Row],[Nome fantasia]]="","",_xlfn.XLOOKUP($C1455,Log!D:D,Log!X:X,,,-1)),"")</f>
        <v/>
      </c>
    </row>
    <row r="1456" spans="3:18" hidden="1" x14ac:dyDescent="0.2">
      <c r="C1456" s="30" t="s">
        <v>3335</v>
      </c>
      <c r="D1456" s="110" t="s">
        <v>3336</v>
      </c>
      <c r="E1456" s="33" t="s">
        <v>17</v>
      </c>
      <c r="F1456" s="38"/>
      <c r="G1456" s="38"/>
      <c r="H1456" s="31"/>
      <c r="I1456" s="32"/>
      <c r="J1456" s="32"/>
      <c r="K1456" s="45" t="s">
        <v>888</v>
      </c>
      <c r="L1456" s="129"/>
      <c r="M1456" s="33" t="str">
        <f t="shared" si="22"/>
        <v/>
      </c>
      <c r="N1456" s="34" t="str">
        <f>IFERROR(IF(Tabela1[[#This Row],[Nome fantasia]]="","",_xlfn.XLOOKUP($C1456,Log!D:D,Log!B:B,,,-1)),"")</f>
        <v/>
      </c>
      <c r="O1456" s="35" t="str">
        <f>IFERROR(_xlfn.XLOOKUP($C1456,Log!D:D,Log!W:W,,,-1),"")</f>
        <v/>
      </c>
      <c r="P1456" s="35" t="str">
        <f>IFERROR(_xlfn.XLOOKUP($C1456,Log!D:D,Log!Y:Y,,,-1),"")</f>
        <v/>
      </c>
      <c r="Q1456" s="130"/>
      <c r="R1456" s="131" t="str">
        <f>IFERROR(IF(Tabela1[[#This Row],[Nome fantasia]]="","",_xlfn.XLOOKUP($C1456,Log!D:D,Log!X:X,,,-1)),"")</f>
        <v/>
      </c>
    </row>
    <row r="1457" spans="3:18" hidden="1" x14ac:dyDescent="0.2">
      <c r="C1457" s="30" t="s">
        <v>3337</v>
      </c>
      <c r="D1457" s="110" t="s">
        <v>3338</v>
      </c>
      <c r="E1457" s="33" t="s">
        <v>46</v>
      </c>
      <c r="F1457" s="38"/>
      <c r="G1457" s="38"/>
      <c r="H1457" s="31"/>
      <c r="I1457" s="32"/>
      <c r="J1457" s="32"/>
      <c r="K1457" s="45" t="s">
        <v>888</v>
      </c>
      <c r="L1457" s="129"/>
      <c r="M1457" s="33" t="str">
        <f t="shared" si="22"/>
        <v/>
      </c>
      <c r="N1457" s="34" t="str">
        <f>IFERROR(IF(Tabela1[[#This Row],[Nome fantasia]]="","",_xlfn.XLOOKUP($C1457,Log!D:D,Log!B:B,,,-1)),"")</f>
        <v/>
      </c>
      <c r="O1457" s="35" t="str">
        <f>IFERROR(_xlfn.XLOOKUP($C1457,Log!D:D,Log!W:W,,,-1),"")</f>
        <v/>
      </c>
      <c r="P1457" s="35" t="str">
        <f>IFERROR(_xlfn.XLOOKUP($C1457,Log!D:D,Log!Y:Y,,,-1),"")</f>
        <v/>
      </c>
      <c r="Q1457" s="130"/>
      <c r="R1457" s="131" t="str">
        <f>IFERROR(IF(Tabela1[[#This Row],[Nome fantasia]]="","",_xlfn.XLOOKUP($C1457,Log!D:D,Log!X:X,,,-1)),"")</f>
        <v/>
      </c>
    </row>
    <row r="1458" spans="3:18" hidden="1" x14ac:dyDescent="0.2">
      <c r="C1458" s="30" t="s">
        <v>3339</v>
      </c>
      <c r="D1458" s="110" t="s">
        <v>3340</v>
      </c>
      <c r="E1458" s="33" t="s">
        <v>46</v>
      </c>
      <c r="F1458" s="38"/>
      <c r="G1458" s="38"/>
      <c r="H1458" s="31"/>
      <c r="I1458" s="32"/>
      <c r="J1458" s="32"/>
      <c r="K1458" s="45" t="s">
        <v>888</v>
      </c>
      <c r="L1458" s="129"/>
      <c r="M1458" s="33" t="str">
        <f t="shared" si="22"/>
        <v/>
      </c>
      <c r="N1458" s="34" t="str">
        <f>IFERROR(IF(Tabela1[[#This Row],[Nome fantasia]]="","",_xlfn.XLOOKUP($C1458,Log!D:D,Log!B:B,,,-1)),"")</f>
        <v/>
      </c>
      <c r="O1458" s="35" t="str">
        <f>IFERROR(_xlfn.XLOOKUP($C1458,Log!D:D,Log!W:W,,,-1),"")</f>
        <v/>
      </c>
      <c r="P1458" s="35" t="str">
        <f>IFERROR(_xlfn.XLOOKUP($C1458,Log!D:D,Log!Y:Y,,,-1),"")</f>
        <v/>
      </c>
      <c r="Q1458" s="130"/>
      <c r="R1458" s="131" t="str">
        <f>IFERROR(IF(Tabela1[[#This Row],[Nome fantasia]]="","",_xlfn.XLOOKUP($C1458,Log!D:D,Log!X:X,,,-1)),"")</f>
        <v/>
      </c>
    </row>
    <row r="1459" spans="3:18" hidden="1" x14ac:dyDescent="0.2">
      <c r="C1459" s="30" t="s">
        <v>3341</v>
      </c>
      <c r="D1459" s="110" t="s">
        <v>1094</v>
      </c>
      <c r="E1459" s="33" t="s">
        <v>46</v>
      </c>
      <c r="F1459" s="38"/>
      <c r="G1459" s="38"/>
      <c r="H1459" s="31"/>
      <c r="I1459" s="32"/>
      <c r="J1459" s="32"/>
      <c r="K1459" s="45" t="s">
        <v>888</v>
      </c>
      <c r="L1459" s="129"/>
      <c r="M1459" s="33" t="str">
        <f t="shared" si="22"/>
        <v/>
      </c>
      <c r="N1459" s="34" t="str">
        <f>IFERROR(IF(Tabela1[[#This Row],[Nome fantasia]]="","",_xlfn.XLOOKUP($C1459,Log!D:D,Log!B:B,,,-1)),"")</f>
        <v/>
      </c>
      <c r="O1459" s="35" t="str">
        <f>IFERROR(_xlfn.XLOOKUP($C1459,Log!D:D,Log!W:W,,,-1),"")</f>
        <v/>
      </c>
      <c r="P1459" s="35" t="str">
        <f>IFERROR(_xlfn.XLOOKUP($C1459,Log!D:D,Log!Y:Y,,,-1),"")</f>
        <v/>
      </c>
      <c r="Q1459" s="130"/>
      <c r="R1459" s="131" t="str">
        <f>IFERROR(IF(Tabela1[[#This Row],[Nome fantasia]]="","",_xlfn.XLOOKUP($C1459,Log!D:D,Log!X:X,,,-1)),"")</f>
        <v/>
      </c>
    </row>
    <row r="1460" spans="3:18" hidden="1" x14ac:dyDescent="0.2">
      <c r="C1460" s="30" t="s">
        <v>3342</v>
      </c>
      <c r="D1460" s="110" t="s">
        <v>3343</v>
      </c>
      <c r="E1460" s="33" t="s">
        <v>22</v>
      </c>
      <c r="F1460" s="38"/>
      <c r="G1460" s="38"/>
      <c r="H1460" s="31"/>
      <c r="I1460" s="32"/>
      <c r="J1460" s="32"/>
      <c r="K1460" s="45" t="s">
        <v>888</v>
      </c>
      <c r="L1460" s="129"/>
      <c r="M1460" s="33" t="str">
        <f t="shared" si="22"/>
        <v/>
      </c>
      <c r="N1460" s="34" t="str">
        <f>IFERROR(IF(Tabela1[[#This Row],[Nome fantasia]]="","",_xlfn.XLOOKUP($C1460,Log!D:D,Log!B:B,,,-1)),"")</f>
        <v/>
      </c>
      <c r="O1460" s="35" t="str">
        <f>IFERROR(_xlfn.XLOOKUP($C1460,Log!D:D,Log!W:W,,,-1),"")</f>
        <v/>
      </c>
      <c r="P1460" s="35" t="str">
        <f>IFERROR(_xlfn.XLOOKUP($C1460,Log!D:D,Log!Y:Y,,,-1),"")</f>
        <v/>
      </c>
      <c r="Q1460" s="130"/>
      <c r="R1460" s="131" t="str">
        <f>IFERROR(IF(Tabela1[[#This Row],[Nome fantasia]]="","",_xlfn.XLOOKUP($C1460,Log!D:D,Log!X:X,,,-1)),"")</f>
        <v/>
      </c>
    </row>
    <row r="1461" spans="3:18" hidden="1" x14ac:dyDescent="0.2">
      <c r="C1461" s="30" t="s">
        <v>3344</v>
      </c>
      <c r="D1461" s="110" t="s">
        <v>3345</v>
      </c>
      <c r="E1461" s="33" t="s">
        <v>46</v>
      </c>
      <c r="F1461" s="38"/>
      <c r="G1461" s="38"/>
      <c r="H1461" s="31"/>
      <c r="I1461" s="32"/>
      <c r="J1461" s="32"/>
      <c r="K1461" s="45" t="s">
        <v>888</v>
      </c>
      <c r="L1461" s="129"/>
      <c r="M1461" s="33" t="str">
        <f t="shared" si="22"/>
        <v/>
      </c>
      <c r="N1461" s="34" t="str">
        <f>IFERROR(IF(Tabela1[[#This Row],[Nome fantasia]]="","",_xlfn.XLOOKUP($C1461,Log!D:D,Log!B:B,,,-1)),"")</f>
        <v/>
      </c>
      <c r="O1461" s="35" t="str">
        <f>IFERROR(_xlfn.XLOOKUP($C1461,Log!D:D,Log!W:W,,,-1),"")</f>
        <v/>
      </c>
      <c r="P1461" s="35" t="str">
        <f>IFERROR(_xlfn.XLOOKUP($C1461,Log!D:D,Log!Y:Y,,,-1),"")</f>
        <v/>
      </c>
      <c r="Q1461" s="130"/>
      <c r="R1461" s="131" t="str">
        <f>IFERROR(IF(Tabela1[[#This Row],[Nome fantasia]]="","",_xlfn.XLOOKUP($C1461,Log!D:D,Log!X:X,,,-1)),"")</f>
        <v/>
      </c>
    </row>
    <row r="1462" spans="3:18" hidden="1" x14ac:dyDescent="0.2">
      <c r="C1462" s="30" t="s">
        <v>3346</v>
      </c>
      <c r="D1462" s="110" t="s">
        <v>3347</v>
      </c>
      <c r="E1462" s="33" t="s">
        <v>46</v>
      </c>
      <c r="F1462" s="38"/>
      <c r="G1462" s="38"/>
      <c r="H1462" s="31"/>
      <c r="I1462" s="32"/>
      <c r="J1462" s="32"/>
      <c r="K1462" s="45" t="s">
        <v>888</v>
      </c>
      <c r="L1462" s="129"/>
      <c r="M1462" s="33" t="str">
        <f t="shared" si="22"/>
        <v/>
      </c>
      <c r="N1462" s="34" t="str">
        <f>IFERROR(IF(Tabela1[[#This Row],[Nome fantasia]]="","",_xlfn.XLOOKUP($C1462,Log!D:D,Log!B:B,,,-1)),"")</f>
        <v/>
      </c>
      <c r="O1462" s="35" t="str">
        <f>IFERROR(_xlfn.XLOOKUP($C1462,Log!D:D,Log!W:W,,,-1),"")</f>
        <v/>
      </c>
      <c r="P1462" s="35" t="str">
        <f>IFERROR(_xlfn.XLOOKUP($C1462,Log!D:D,Log!Y:Y,,,-1),"")</f>
        <v/>
      </c>
      <c r="Q1462" s="130"/>
      <c r="R1462" s="131" t="str">
        <f>IFERROR(IF(Tabela1[[#This Row],[Nome fantasia]]="","",_xlfn.XLOOKUP($C1462,Log!D:D,Log!X:X,,,-1)),"")</f>
        <v/>
      </c>
    </row>
    <row r="1463" spans="3:18" hidden="1" x14ac:dyDescent="0.2">
      <c r="C1463" s="30" t="s">
        <v>3348</v>
      </c>
      <c r="D1463" s="110" t="s">
        <v>3349</v>
      </c>
      <c r="E1463" s="33" t="s">
        <v>46</v>
      </c>
      <c r="F1463" s="38"/>
      <c r="G1463" s="38"/>
      <c r="H1463" s="31"/>
      <c r="I1463" s="32"/>
      <c r="J1463" s="32"/>
      <c r="K1463" s="45" t="s">
        <v>888</v>
      </c>
      <c r="L1463" s="129"/>
      <c r="M1463" s="33" t="str">
        <f t="shared" si="22"/>
        <v/>
      </c>
      <c r="N1463" s="34" t="str">
        <f>IFERROR(IF(Tabela1[[#This Row],[Nome fantasia]]="","",_xlfn.XLOOKUP($C1463,Log!D:D,Log!B:B,,,-1)),"")</f>
        <v/>
      </c>
      <c r="O1463" s="35" t="str">
        <f>IFERROR(_xlfn.XLOOKUP($C1463,Log!D:D,Log!W:W,,,-1),"")</f>
        <v/>
      </c>
      <c r="P1463" s="35" t="str">
        <f>IFERROR(_xlfn.XLOOKUP($C1463,Log!D:D,Log!Y:Y,,,-1),"")</f>
        <v/>
      </c>
      <c r="Q1463" s="130"/>
      <c r="R1463" s="131" t="str">
        <f>IFERROR(IF(Tabela1[[#This Row],[Nome fantasia]]="","",_xlfn.XLOOKUP($C1463,Log!D:D,Log!X:X,,,-1)),"")</f>
        <v/>
      </c>
    </row>
    <row r="1464" spans="3:18" hidden="1" x14ac:dyDescent="0.2">
      <c r="C1464" s="30" t="s">
        <v>3350</v>
      </c>
      <c r="D1464" s="110" t="s">
        <v>3351</v>
      </c>
      <c r="E1464" s="33" t="s">
        <v>46</v>
      </c>
      <c r="F1464" s="38"/>
      <c r="G1464" s="38"/>
      <c r="H1464" s="31"/>
      <c r="I1464" s="32"/>
      <c r="J1464" s="32"/>
      <c r="K1464" s="45" t="s">
        <v>888</v>
      </c>
      <c r="L1464" s="129"/>
      <c r="M1464" s="33" t="str">
        <f t="shared" si="22"/>
        <v/>
      </c>
      <c r="N1464" s="34" t="str">
        <f>IFERROR(IF(Tabela1[[#This Row],[Nome fantasia]]="","",_xlfn.XLOOKUP($C1464,Log!D:D,Log!B:B,,,-1)),"")</f>
        <v/>
      </c>
      <c r="O1464" s="35" t="str">
        <f>IFERROR(_xlfn.XLOOKUP($C1464,Log!D:D,Log!W:W,,,-1),"")</f>
        <v/>
      </c>
      <c r="P1464" s="35" t="str">
        <f>IFERROR(_xlfn.XLOOKUP($C1464,Log!D:D,Log!Y:Y,,,-1),"")</f>
        <v/>
      </c>
      <c r="Q1464" s="130"/>
      <c r="R1464" s="131" t="str">
        <f>IFERROR(IF(Tabela1[[#This Row],[Nome fantasia]]="","",_xlfn.XLOOKUP($C1464,Log!D:D,Log!X:X,,,-1)),"")</f>
        <v/>
      </c>
    </row>
    <row r="1465" spans="3:18" hidden="1" x14ac:dyDescent="0.2">
      <c r="C1465" s="30" t="s">
        <v>3352</v>
      </c>
      <c r="D1465" s="110" t="s">
        <v>3353</v>
      </c>
      <c r="E1465" s="33" t="s">
        <v>17</v>
      </c>
      <c r="F1465" s="38"/>
      <c r="G1465" s="38"/>
      <c r="H1465" s="31"/>
      <c r="I1465" s="32"/>
      <c r="J1465" s="32"/>
      <c r="K1465" s="45" t="s">
        <v>888</v>
      </c>
      <c r="L1465" s="129"/>
      <c r="M1465" s="33" t="str">
        <f t="shared" si="22"/>
        <v/>
      </c>
      <c r="N1465" s="34" t="str">
        <f>IFERROR(IF(Tabela1[[#This Row],[Nome fantasia]]="","",_xlfn.XLOOKUP($C1465,Log!D:D,Log!B:B,,,-1)),"")</f>
        <v/>
      </c>
      <c r="O1465" s="35" t="str">
        <f>IFERROR(_xlfn.XLOOKUP($C1465,Log!D:D,Log!W:W,,,-1),"")</f>
        <v/>
      </c>
      <c r="P1465" s="35" t="str">
        <f>IFERROR(_xlfn.XLOOKUP($C1465,Log!D:D,Log!Y:Y,,,-1),"")</f>
        <v/>
      </c>
      <c r="Q1465" s="130"/>
      <c r="R1465" s="131" t="str">
        <f>IFERROR(IF(Tabela1[[#This Row],[Nome fantasia]]="","",_xlfn.XLOOKUP($C1465,Log!D:D,Log!X:X,,,-1)),"")</f>
        <v/>
      </c>
    </row>
    <row r="1466" spans="3:18" hidden="1" x14ac:dyDescent="0.2">
      <c r="C1466" s="30" t="s">
        <v>3354</v>
      </c>
      <c r="D1466" s="110" t="s">
        <v>3355</v>
      </c>
      <c r="E1466" s="33" t="s">
        <v>46</v>
      </c>
      <c r="F1466" s="38"/>
      <c r="G1466" s="38"/>
      <c r="H1466" s="31"/>
      <c r="I1466" s="32"/>
      <c r="J1466" s="32"/>
      <c r="K1466" s="45" t="s">
        <v>888</v>
      </c>
      <c r="L1466" s="129"/>
      <c r="M1466" s="33" t="str">
        <f t="shared" si="22"/>
        <v/>
      </c>
      <c r="N1466" s="34" t="str">
        <f>IFERROR(IF(Tabela1[[#This Row],[Nome fantasia]]="","",_xlfn.XLOOKUP($C1466,Log!D:D,Log!B:B,,,-1)),"")</f>
        <v/>
      </c>
      <c r="O1466" s="35" t="str">
        <f>IFERROR(_xlfn.XLOOKUP($C1466,Log!D:D,Log!W:W,,,-1),"")</f>
        <v/>
      </c>
      <c r="P1466" s="35" t="str">
        <f>IFERROR(_xlfn.XLOOKUP($C1466,Log!D:D,Log!Y:Y,,,-1),"")</f>
        <v/>
      </c>
      <c r="Q1466" s="130"/>
      <c r="R1466" s="131" t="str">
        <f>IFERROR(IF(Tabela1[[#This Row],[Nome fantasia]]="","",_xlfn.XLOOKUP($C1466,Log!D:D,Log!X:X,,,-1)),"")</f>
        <v/>
      </c>
    </row>
    <row r="1467" spans="3:18" hidden="1" x14ac:dyDescent="0.2">
      <c r="C1467" s="30" t="s">
        <v>3356</v>
      </c>
      <c r="D1467" s="110" t="s">
        <v>3357</v>
      </c>
      <c r="E1467" s="33" t="s">
        <v>46</v>
      </c>
      <c r="F1467" s="38"/>
      <c r="G1467" s="38"/>
      <c r="H1467" s="31"/>
      <c r="I1467" s="32"/>
      <c r="J1467" s="32"/>
      <c r="K1467" s="45" t="s">
        <v>888</v>
      </c>
      <c r="L1467" s="129"/>
      <c r="M1467" s="33" t="str">
        <f t="shared" si="22"/>
        <v/>
      </c>
      <c r="N1467" s="34" t="str">
        <f>IFERROR(IF(Tabela1[[#This Row],[Nome fantasia]]="","",_xlfn.XLOOKUP($C1467,Log!D:D,Log!B:B,,,-1)),"")</f>
        <v/>
      </c>
      <c r="O1467" s="35" t="str">
        <f>IFERROR(_xlfn.XLOOKUP($C1467,Log!D:D,Log!W:W,,,-1),"")</f>
        <v/>
      </c>
      <c r="P1467" s="35" t="str">
        <f>IFERROR(_xlfn.XLOOKUP($C1467,Log!D:D,Log!Y:Y,,,-1),"")</f>
        <v/>
      </c>
      <c r="Q1467" s="130"/>
      <c r="R1467" s="131" t="str">
        <f>IFERROR(IF(Tabela1[[#This Row],[Nome fantasia]]="","",_xlfn.XLOOKUP($C1467,Log!D:D,Log!X:X,,,-1)),"")</f>
        <v/>
      </c>
    </row>
    <row r="1468" spans="3:18" hidden="1" x14ac:dyDescent="0.2">
      <c r="C1468" s="30" t="s">
        <v>3358</v>
      </c>
      <c r="D1468" s="110" t="s">
        <v>3359</v>
      </c>
      <c r="E1468" s="33" t="s">
        <v>46</v>
      </c>
      <c r="F1468" s="38"/>
      <c r="G1468" s="38"/>
      <c r="H1468" s="31"/>
      <c r="I1468" s="32"/>
      <c r="J1468" s="32"/>
      <c r="K1468" s="45" t="s">
        <v>888</v>
      </c>
      <c r="L1468" s="129"/>
      <c r="M1468" s="33" t="str">
        <f t="shared" si="22"/>
        <v/>
      </c>
      <c r="N1468" s="34" t="str">
        <f>IFERROR(IF(Tabela1[[#This Row],[Nome fantasia]]="","",_xlfn.XLOOKUP($C1468,Log!D:D,Log!B:B,,,-1)),"")</f>
        <v/>
      </c>
      <c r="O1468" s="35" t="str">
        <f>IFERROR(_xlfn.XLOOKUP($C1468,Log!D:D,Log!W:W,,,-1),"")</f>
        <v/>
      </c>
      <c r="P1468" s="35" t="str">
        <f>IFERROR(_xlfn.XLOOKUP($C1468,Log!D:D,Log!Y:Y,,,-1),"")</f>
        <v/>
      </c>
      <c r="Q1468" s="130"/>
      <c r="R1468" s="131" t="str">
        <f>IFERROR(IF(Tabela1[[#This Row],[Nome fantasia]]="","",_xlfn.XLOOKUP($C1468,Log!D:D,Log!X:X,,,-1)),"")</f>
        <v/>
      </c>
    </row>
    <row r="1469" spans="3:18" hidden="1" x14ac:dyDescent="0.2">
      <c r="C1469" s="30" t="s">
        <v>3360</v>
      </c>
      <c r="D1469" s="110" t="s">
        <v>3361</v>
      </c>
      <c r="E1469" s="33" t="s">
        <v>46</v>
      </c>
      <c r="F1469" s="38"/>
      <c r="G1469" s="38"/>
      <c r="H1469" s="31"/>
      <c r="I1469" s="32"/>
      <c r="J1469" s="32"/>
      <c r="K1469" s="45" t="s">
        <v>888</v>
      </c>
      <c r="L1469" s="129"/>
      <c r="M1469" s="33" t="str">
        <f t="shared" si="22"/>
        <v/>
      </c>
      <c r="N1469" s="34" t="str">
        <f>IFERROR(IF(Tabela1[[#This Row],[Nome fantasia]]="","",_xlfn.XLOOKUP($C1469,Log!D:D,Log!B:B,,,-1)),"")</f>
        <v/>
      </c>
      <c r="O1469" s="35" t="str">
        <f>IFERROR(_xlfn.XLOOKUP($C1469,Log!D:D,Log!W:W,,,-1),"")</f>
        <v/>
      </c>
      <c r="P1469" s="35" t="str">
        <f>IFERROR(_xlfn.XLOOKUP($C1469,Log!D:D,Log!Y:Y,,,-1),"")</f>
        <v/>
      </c>
      <c r="Q1469" s="130"/>
      <c r="R1469" s="131" t="str">
        <f>IFERROR(IF(Tabela1[[#This Row],[Nome fantasia]]="","",_xlfn.XLOOKUP($C1469,Log!D:D,Log!X:X,,,-1)),"")</f>
        <v/>
      </c>
    </row>
    <row r="1470" spans="3:18" hidden="1" x14ac:dyDescent="0.2">
      <c r="C1470" s="30" t="s">
        <v>3362</v>
      </c>
      <c r="D1470" s="110" t="s">
        <v>3363</v>
      </c>
      <c r="E1470" s="33" t="s">
        <v>46</v>
      </c>
      <c r="F1470" s="38"/>
      <c r="G1470" s="38"/>
      <c r="H1470" s="31"/>
      <c r="I1470" s="32"/>
      <c r="J1470" s="32"/>
      <c r="K1470" s="45" t="s">
        <v>888</v>
      </c>
      <c r="L1470" s="129"/>
      <c r="M1470" s="33" t="str">
        <f t="shared" si="22"/>
        <v/>
      </c>
      <c r="N1470" s="34" t="str">
        <f>IFERROR(IF(Tabela1[[#This Row],[Nome fantasia]]="","",_xlfn.XLOOKUP($C1470,Log!D:D,Log!B:B,,,-1)),"")</f>
        <v/>
      </c>
      <c r="O1470" s="35" t="str">
        <f>IFERROR(_xlfn.XLOOKUP($C1470,Log!D:D,Log!W:W,,,-1),"")</f>
        <v/>
      </c>
      <c r="P1470" s="35" t="str">
        <f>IFERROR(_xlfn.XLOOKUP($C1470,Log!D:D,Log!Y:Y,,,-1),"")</f>
        <v/>
      </c>
      <c r="Q1470" s="130"/>
      <c r="R1470" s="131" t="str">
        <f>IFERROR(IF(Tabela1[[#This Row],[Nome fantasia]]="","",_xlfn.XLOOKUP($C1470,Log!D:D,Log!X:X,,,-1)),"")</f>
        <v/>
      </c>
    </row>
    <row r="1471" spans="3:18" hidden="1" x14ac:dyDescent="0.2">
      <c r="C1471" s="30" t="s">
        <v>3364</v>
      </c>
      <c r="D1471" s="110" t="s">
        <v>3365</v>
      </c>
      <c r="E1471" s="33" t="s">
        <v>46</v>
      </c>
      <c r="F1471" s="38"/>
      <c r="G1471" s="38"/>
      <c r="H1471" s="31"/>
      <c r="I1471" s="32"/>
      <c r="J1471" s="32"/>
      <c r="K1471" s="45" t="s">
        <v>888</v>
      </c>
      <c r="L1471" s="129"/>
      <c r="M1471" s="33" t="str">
        <f t="shared" si="22"/>
        <v/>
      </c>
      <c r="N1471" s="34" t="str">
        <f>IFERROR(IF(Tabela1[[#This Row],[Nome fantasia]]="","",_xlfn.XLOOKUP($C1471,Log!D:D,Log!B:B,,,-1)),"")</f>
        <v/>
      </c>
      <c r="O1471" s="35" t="str">
        <f>IFERROR(_xlfn.XLOOKUP($C1471,Log!D:D,Log!W:W,,,-1),"")</f>
        <v/>
      </c>
      <c r="P1471" s="35" t="str">
        <f>IFERROR(_xlfn.XLOOKUP($C1471,Log!D:D,Log!Y:Y,,,-1),"")</f>
        <v/>
      </c>
      <c r="Q1471" s="130"/>
      <c r="R1471" s="131" t="str">
        <f>IFERROR(IF(Tabela1[[#This Row],[Nome fantasia]]="","",_xlfn.XLOOKUP($C1471,Log!D:D,Log!X:X,,,-1)),"")</f>
        <v/>
      </c>
    </row>
    <row r="1472" spans="3:18" hidden="1" x14ac:dyDescent="0.2">
      <c r="C1472" s="30" t="s">
        <v>3366</v>
      </c>
      <c r="D1472" s="110" t="s">
        <v>3367</v>
      </c>
      <c r="E1472" s="33" t="s">
        <v>46</v>
      </c>
      <c r="F1472" s="38"/>
      <c r="G1472" s="38"/>
      <c r="H1472" s="31"/>
      <c r="I1472" s="32"/>
      <c r="J1472" s="32"/>
      <c r="K1472" s="45" t="s">
        <v>888</v>
      </c>
      <c r="L1472" s="129"/>
      <c r="M1472" s="33" t="str">
        <f t="shared" si="22"/>
        <v/>
      </c>
      <c r="N1472" s="34" t="str">
        <f>IFERROR(IF(Tabela1[[#This Row],[Nome fantasia]]="","",_xlfn.XLOOKUP($C1472,Log!D:D,Log!B:B,,,-1)),"")</f>
        <v/>
      </c>
      <c r="O1472" s="35" t="str">
        <f>IFERROR(_xlfn.XLOOKUP($C1472,Log!D:D,Log!W:W,,,-1),"")</f>
        <v/>
      </c>
      <c r="P1472" s="35" t="str">
        <f>IFERROR(_xlfn.XLOOKUP($C1472,Log!D:D,Log!Y:Y,,,-1),"")</f>
        <v/>
      </c>
      <c r="Q1472" s="130"/>
      <c r="R1472" s="131" t="str">
        <f>IFERROR(IF(Tabela1[[#This Row],[Nome fantasia]]="","",_xlfn.XLOOKUP($C1472,Log!D:D,Log!X:X,,,-1)),"")</f>
        <v/>
      </c>
    </row>
    <row r="1473" spans="3:18" hidden="1" x14ac:dyDescent="0.2">
      <c r="C1473" s="30" t="s">
        <v>3368</v>
      </c>
      <c r="D1473" s="110" t="s">
        <v>3369</v>
      </c>
      <c r="E1473" s="33" t="s">
        <v>17</v>
      </c>
      <c r="F1473" s="38"/>
      <c r="G1473" s="38"/>
      <c r="H1473" s="31"/>
      <c r="I1473" s="32"/>
      <c r="J1473" s="32"/>
      <c r="K1473" s="45" t="s">
        <v>888</v>
      </c>
      <c r="L1473" s="129"/>
      <c r="M1473" s="33" t="str">
        <f t="shared" si="22"/>
        <v/>
      </c>
      <c r="N1473" s="34" t="str">
        <f>IFERROR(IF(Tabela1[[#This Row],[Nome fantasia]]="","",_xlfn.XLOOKUP($C1473,Log!D:D,Log!B:B,,,-1)),"")</f>
        <v/>
      </c>
      <c r="O1473" s="35" t="str">
        <f>IFERROR(_xlfn.XLOOKUP($C1473,Log!D:D,Log!W:W,,,-1),"")</f>
        <v/>
      </c>
      <c r="P1473" s="35" t="str">
        <f>IFERROR(_xlfn.XLOOKUP($C1473,Log!D:D,Log!Y:Y,,,-1),"")</f>
        <v/>
      </c>
      <c r="Q1473" s="130"/>
      <c r="R1473" s="131" t="str">
        <f>IFERROR(IF(Tabela1[[#This Row],[Nome fantasia]]="","",_xlfn.XLOOKUP($C1473,Log!D:D,Log!X:X,,,-1)),"")</f>
        <v/>
      </c>
    </row>
    <row r="1474" spans="3:18" hidden="1" x14ac:dyDescent="0.2">
      <c r="C1474" s="30" t="s">
        <v>3370</v>
      </c>
      <c r="D1474" s="110" t="s">
        <v>3371</v>
      </c>
      <c r="E1474" s="33" t="s">
        <v>17</v>
      </c>
      <c r="F1474" s="38"/>
      <c r="G1474" s="38"/>
      <c r="H1474" s="31"/>
      <c r="I1474" s="32"/>
      <c r="J1474" s="32"/>
      <c r="K1474" s="45" t="s">
        <v>888</v>
      </c>
      <c r="L1474" s="129"/>
      <c r="M1474" s="33" t="str">
        <f t="shared" si="22"/>
        <v/>
      </c>
      <c r="N1474" s="34" t="str">
        <f>IFERROR(IF(Tabela1[[#This Row],[Nome fantasia]]="","",_xlfn.XLOOKUP($C1474,Log!D:D,Log!B:B,,,-1)),"")</f>
        <v/>
      </c>
      <c r="O1474" s="35" t="str">
        <f>IFERROR(_xlfn.XLOOKUP($C1474,Log!D:D,Log!W:W,,,-1),"")</f>
        <v/>
      </c>
      <c r="P1474" s="35" t="str">
        <f>IFERROR(_xlfn.XLOOKUP($C1474,Log!D:D,Log!Y:Y,,,-1),"")</f>
        <v/>
      </c>
      <c r="Q1474" s="130"/>
      <c r="R1474" s="131" t="str">
        <f>IFERROR(IF(Tabela1[[#This Row],[Nome fantasia]]="","",_xlfn.XLOOKUP($C1474,Log!D:D,Log!X:X,,,-1)),"")</f>
        <v/>
      </c>
    </row>
    <row r="1475" spans="3:18" hidden="1" x14ac:dyDescent="0.2">
      <c r="C1475" s="30" t="s">
        <v>1853</v>
      </c>
      <c r="D1475" s="110" t="s">
        <v>3372</v>
      </c>
      <c r="E1475" s="33" t="s">
        <v>17</v>
      </c>
      <c r="F1475" s="38"/>
      <c r="G1475" s="38"/>
      <c r="H1475" s="31"/>
      <c r="I1475" s="32"/>
      <c r="J1475" s="32"/>
      <c r="K1475" s="45" t="s">
        <v>888</v>
      </c>
      <c r="L1475" s="129"/>
      <c r="M1475" s="33" t="str">
        <f t="shared" ref="M1475:M1538" si="23">IF(OR(J1475&lt;=0,J1475=""),"","Recompra")</f>
        <v/>
      </c>
      <c r="N1475" s="34" t="str">
        <f>IFERROR(IF(Tabela1[[#This Row],[Nome fantasia]]="","",_xlfn.XLOOKUP($C1475,Log!D:D,Log!B:B,,,-1)),"")</f>
        <v/>
      </c>
      <c r="O1475" s="35" t="str">
        <f>IFERROR(_xlfn.XLOOKUP($C1475,Log!D:D,Log!W:W,,,-1),"")</f>
        <v/>
      </c>
      <c r="P1475" s="35" t="str">
        <f>IFERROR(_xlfn.XLOOKUP($C1475,Log!D:D,Log!Y:Y,,,-1),"")</f>
        <v/>
      </c>
      <c r="Q1475" s="130"/>
      <c r="R1475" s="131" t="str">
        <f>IFERROR(IF(Tabela1[[#This Row],[Nome fantasia]]="","",_xlfn.XLOOKUP($C1475,Log!D:D,Log!X:X,,,-1)),"")</f>
        <v/>
      </c>
    </row>
    <row r="1476" spans="3:18" hidden="1" x14ac:dyDescent="0.2">
      <c r="C1476" s="30" t="s">
        <v>3373</v>
      </c>
      <c r="D1476" s="110" t="s">
        <v>3374</v>
      </c>
      <c r="E1476" s="33" t="s">
        <v>22</v>
      </c>
      <c r="F1476" s="38"/>
      <c r="G1476" s="38"/>
      <c r="H1476" s="31"/>
      <c r="I1476" s="32"/>
      <c r="J1476" s="32"/>
      <c r="K1476" s="45" t="s">
        <v>888</v>
      </c>
      <c r="L1476" s="129"/>
      <c r="M1476" s="33" t="str">
        <f t="shared" si="23"/>
        <v/>
      </c>
      <c r="N1476" s="34" t="str">
        <f>IFERROR(IF(Tabela1[[#This Row],[Nome fantasia]]="","",_xlfn.XLOOKUP($C1476,Log!D:D,Log!B:B,,,-1)),"")</f>
        <v/>
      </c>
      <c r="O1476" s="35" t="str">
        <f>IFERROR(_xlfn.XLOOKUP($C1476,Log!D:D,Log!W:W,,,-1),"")</f>
        <v/>
      </c>
      <c r="P1476" s="35" t="str">
        <f>IFERROR(_xlfn.XLOOKUP($C1476,Log!D:D,Log!Y:Y,,,-1),"")</f>
        <v/>
      </c>
      <c r="Q1476" s="130"/>
      <c r="R1476" s="131" t="str">
        <f>IFERROR(IF(Tabela1[[#This Row],[Nome fantasia]]="","",_xlfn.XLOOKUP($C1476,Log!D:D,Log!X:X,,,-1)),"")</f>
        <v/>
      </c>
    </row>
    <row r="1477" spans="3:18" hidden="1" x14ac:dyDescent="0.2">
      <c r="C1477" s="30" t="s">
        <v>3375</v>
      </c>
      <c r="D1477" s="110" t="s">
        <v>3376</v>
      </c>
      <c r="E1477" s="33" t="s">
        <v>17</v>
      </c>
      <c r="F1477" s="38"/>
      <c r="G1477" s="38"/>
      <c r="H1477" s="31"/>
      <c r="I1477" s="32"/>
      <c r="J1477" s="32"/>
      <c r="K1477" s="45" t="s">
        <v>888</v>
      </c>
      <c r="L1477" s="129"/>
      <c r="M1477" s="33" t="str">
        <f t="shared" si="23"/>
        <v/>
      </c>
      <c r="N1477" s="34" t="str">
        <f>IFERROR(IF(Tabela1[[#This Row],[Nome fantasia]]="","",_xlfn.XLOOKUP($C1477,Log!D:D,Log!B:B,,,-1)),"")</f>
        <v/>
      </c>
      <c r="O1477" s="35" t="str">
        <f>IFERROR(_xlfn.XLOOKUP($C1477,Log!D:D,Log!W:W,,,-1),"")</f>
        <v/>
      </c>
      <c r="P1477" s="35" t="str">
        <f>IFERROR(_xlfn.XLOOKUP($C1477,Log!D:D,Log!Y:Y,,,-1),"")</f>
        <v/>
      </c>
      <c r="Q1477" s="130"/>
      <c r="R1477" s="131" t="str">
        <f>IFERROR(IF(Tabela1[[#This Row],[Nome fantasia]]="","",_xlfn.XLOOKUP($C1477,Log!D:D,Log!X:X,,,-1)),"")</f>
        <v/>
      </c>
    </row>
    <row r="1478" spans="3:18" hidden="1" x14ac:dyDescent="0.2">
      <c r="C1478" s="30" t="s">
        <v>3377</v>
      </c>
      <c r="D1478" s="110" t="s">
        <v>3378</v>
      </c>
      <c r="E1478" s="33" t="s">
        <v>46</v>
      </c>
      <c r="F1478" s="38"/>
      <c r="G1478" s="38"/>
      <c r="H1478" s="31"/>
      <c r="I1478" s="32"/>
      <c r="J1478" s="32"/>
      <c r="K1478" s="45" t="s">
        <v>888</v>
      </c>
      <c r="L1478" s="129"/>
      <c r="M1478" s="33" t="str">
        <f t="shared" si="23"/>
        <v/>
      </c>
      <c r="N1478" s="34" t="str">
        <f>IFERROR(IF(Tabela1[[#This Row],[Nome fantasia]]="","",_xlfn.XLOOKUP($C1478,Log!D:D,Log!B:B,,,-1)),"")</f>
        <v/>
      </c>
      <c r="O1478" s="35" t="str">
        <f>IFERROR(_xlfn.XLOOKUP($C1478,Log!D:D,Log!W:W,,,-1),"")</f>
        <v/>
      </c>
      <c r="P1478" s="35" t="str">
        <f>IFERROR(_xlfn.XLOOKUP($C1478,Log!D:D,Log!Y:Y,,,-1),"")</f>
        <v/>
      </c>
      <c r="Q1478" s="130"/>
      <c r="R1478" s="131" t="str">
        <f>IFERROR(IF(Tabela1[[#This Row],[Nome fantasia]]="","",_xlfn.XLOOKUP($C1478,Log!D:D,Log!X:X,,,-1)),"")</f>
        <v/>
      </c>
    </row>
    <row r="1479" spans="3:18" hidden="1" x14ac:dyDescent="0.2">
      <c r="C1479" s="30"/>
      <c r="D1479" s="110" t="s">
        <v>3379</v>
      </c>
      <c r="E1479" s="33" t="s">
        <v>17</v>
      </c>
      <c r="F1479" s="38"/>
      <c r="G1479" s="38"/>
      <c r="H1479" s="31"/>
      <c r="I1479" s="32"/>
      <c r="J1479" s="32"/>
      <c r="K1479" s="45" t="s">
        <v>888</v>
      </c>
      <c r="L1479" s="129"/>
      <c r="M1479" s="33" t="str">
        <f t="shared" si="23"/>
        <v/>
      </c>
      <c r="N1479" s="34" t="str">
        <f>IFERROR(IF(Tabela1[[#This Row],[Nome fantasia]]="","",_xlfn.XLOOKUP($C1479,Log!D:D,Log!B:B,,,-1)),"")</f>
        <v/>
      </c>
      <c r="O1479" s="35" t="str">
        <f>IFERROR(_xlfn.XLOOKUP($C1479,Log!D:D,Log!W:W,,,-1),"")</f>
        <v/>
      </c>
      <c r="P1479" s="35" t="str">
        <f>IFERROR(_xlfn.XLOOKUP($C1479,Log!D:D,Log!Y:Y,,,-1),"")</f>
        <v/>
      </c>
      <c r="Q1479" s="130"/>
      <c r="R1479" s="131" t="str">
        <f>IFERROR(IF(Tabela1[[#This Row],[Nome fantasia]]="","",_xlfn.XLOOKUP($C1479,Log!D:D,Log!X:X,,,-1)),"")</f>
        <v/>
      </c>
    </row>
    <row r="1480" spans="3:18" hidden="1" x14ac:dyDescent="0.2">
      <c r="C1480" s="30" t="s">
        <v>3380</v>
      </c>
      <c r="D1480" s="110" t="s">
        <v>3381</v>
      </c>
      <c r="E1480" s="33" t="s">
        <v>46</v>
      </c>
      <c r="F1480" s="38"/>
      <c r="G1480" s="38"/>
      <c r="H1480" s="31"/>
      <c r="I1480" s="32"/>
      <c r="J1480" s="32"/>
      <c r="K1480" s="45" t="s">
        <v>888</v>
      </c>
      <c r="L1480" s="129"/>
      <c r="M1480" s="33" t="str">
        <f t="shared" si="23"/>
        <v/>
      </c>
      <c r="N1480" s="34" t="str">
        <f>IFERROR(IF(Tabela1[[#This Row],[Nome fantasia]]="","",_xlfn.XLOOKUP($C1480,Log!D:D,Log!B:B,,,-1)),"")</f>
        <v/>
      </c>
      <c r="O1480" s="35" t="str">
        <f>IFERROR(_xlfn.XLOOKUP($C1480,Log!D:D,Log!W:W,,,-1),"")</f>
        <v/>
      </c>
      <c r="P1480" s="35" t="str">
        <f>IFERROR(_xlfn.XLOOKUP($C1480,Log!D:D,Log!Y:Y,,,-1),"")</f>
        <v/>
      </c>
      <c r="Q1480" s="130"/>
      <c r="R1480" s="131" t="str">
        <f>IFERROR(IF(Tabela1[[#This Row],[Nome fantasia]]="","",_xlfn.XLOOKUP($C1480,Log!D:D,Log!X:X,,,-1)),"")</f>
        <v/>
      </c>
    </row>
    <row r="1481" spans="3:18" hidden="1" x14ac:dyDescent="0.2">
      <c r="C1481" s="30" t="s">
        <v>3382</v>
      </c>
      <c r="D1481" s="110" t="s">
        <v>3383</v>
      </c>
      <c r="E1481" s="33" t="s">
        <v>22</v>
      </c>
      <c r="F1481" s="38"/>
      <c r="G1481" s="38"/>
      <c r="H1481" s="31"/>
      <c r="I1481" s="32"/>
      <c r="J1481" s="32"/>
      <c r="K1481" s="45" t="s">
        <v>888</v>
      </c>
      <c r="L1481" s="129"/>
      <c r="M1481" s="33" t="str">
        <f t="shared" si="23"/>
        <v/>
      </c>
      <c r="N1481" s="34" t="str">
        <f>IFERROR(IF(Tabela1[[#This Row],[Nome fantasia]]="","",_xlfn.XLOOKUP($C1481,Log!D:D,Log!B:B,,,-1)),"")</f>
        <v/>
      </c>
      <c r="O1481" s="35" t="str">
        <f>IFERROR(_xlfn.XLOOKUP($C1481,Log!D:D,Log!W:W,,,-1),"")</f>
        <v/>
      </c>
      <c r="P1481" s="35" t="str">
        <f>IFERROR(_xlfn.XLOOKUP($C1481,Log!D:D,Log!Y:Y,,,-1),"")</f>
        <v/>
      </c>
      <c r="Q1481" s="130"/>
      <c r="R1481" s="131" t="str">
        <f>IFERROR(IF(Tabela1[[#This Row],[Nome fantasia]]="","",_xlfn.XLOOKUP($C1481,Log!D:D,Log!X:X,,,-1)),"")</f>
        <v/>
      </c>
    </row>
    <row r="1482" spans="3:18" hidden="1" x14ac:dyDescent="0.2">
      <c r="C1482" s="30" t="s">
        <v>2122</v>
      </c>
      <c r="D1482" s="110" t="s">
        <v>3384</v>
      </c>
      <c r="E1482" s="33" t="s">
        <v>22</v>
      </c>
      <c r="F1482" s="38"/>
      <c r="G1482" s="38"/>
      <c r="H1482" s="31"/>
      <c r="I1482" s="32"/>
      <c r="J1482" s="32"/>
      <c r="K1482" s="45" t="s">
        <v>888</v>
      </c>
      <c r="L1482" s="129"/>
      <c r="M1482" s="33" t="str">
        <f t="shared" si="23"/>
        <v/>
      </c>
      <c r="N1482" s="34" t="str">
        <f>IFERROR(IF(Tabela1[[#This Row],[Nome fantasia]]="","",_xlfn.XLOOKUP($C1482,Log!D:D,Log!B:B,,,-1)),"")</f>
        <v/>
      </c>
      <c r="O1482" s="35" t="str">
        <f>IFERROR(_xlfn.XLOOKUP($C1482,Log!D:D,Log!W:W,,,-1),"")</f>
        <v/>
      </c>
      <c r="P1482" s="35" t="str">
        <f>IFERROR(_xlfn.XLOOKUP($C1482,Log!D:D,Log!Y:Y,,,-1),"")</f>
        <v/>
      </c>
      <c r="Q1482" s="130"/>
      <c r="R1482" s="131" t="str">
        <f>IFERROR(IF(Tabela1[[#This Row],[Nome fantasia]]="","",_xlfn.XLOOKUP($C1482,Log!D:D,Log!X:X,,,-1)),"")</f>
        <v/>
      </c>
    </row>
    <row r="1483" spans="3:18" hidden="1" x14ac:dyDescent="0.2">
      <c r="C1483" s="30" t="s">
        <v>3385</v>
      </c>
      <c r="D1483" s="110" t="s">
        <v>3386</v>
      </c>
      <c r="E1483" s="33" t="s">
        <v>22</v>
      </c>
      <c r="F1483" s="38"/>
      <c r="G1483" s="38"/>
      <c r="H1483" s="31"/>
      <c r="I1483" s="32"/>
      <c r="J1483" s="32"/>
      <c r="K1483" s="45" t="s">
        <v>888</v>
      </c>
      <c r="L1483" s="129"/>
      <c r="M1483" s="33" t="str">
        <f t="shared" si="23"/>
        <v/>
      </c>
      <c r="N1483" s="34" t="str">
        <f>IFERROR(IF(Tabela1[[#This Row],[Nome fantasia]]="","",_xlfn.XLOOKUP($C1483,Log!D:D,Log!B:B,,,-1)),"")</f>
        <v/>
      </c>
      <c r="O1483" s="35" t="str">
        <f>IFERROR(_xlfn.XLOOKUP($C1483,Log!D:D,Log!W:W,,,-1),"")</f>
        <v/>
      </c>
      <c r="P1483" s="35" t="str">
        <f>IFERROR(_xlfn.XLOOKUP($C1483,Log!D:D,Log!Y:Y,,,-1),"")</f>
        <v/>
      </c>
      <c r="Q1483" s="130"/>
      <c r="R1483" s="131" t="str">
        <f>IFERROR(IF(Tabela1[[#This Row],[Nome fantasia]]="","",_xlfn.XLOOKUP($C1483,Log!D:D,Log!X:X,,,-1)),"")</f>
        <v/>
      </c>
    </row>
    <row r="1484" spans="3:18" hidden="1" x14ac:dyDescent="0.2">
      <c r="C1484" s="30" t="s">
        <v>3387</v>
      </c>
      <c r="D1484" s="110" t="s">
        <v>1323</v>
      </c>
      <c r="E1484" s="33" t="s">
        <v>22</v>
      </c>
      <c r="F1484" s="38"/>
      <c r="G1484" s="38"/>
      <c r="H1484" s="31"/>
      <c r="I1484" s="32"/>
      <c r="J1484" s="32"/>
      <c r="K1484" s="45" t="s">
        <v>888</v>
      </c>
      <c r="L1484" s="129"/>
      <c r="M1484" s="33" t="str">
        <f t="shared" si="23"/>
        <v/>
      </c>
      <c r="N1484" s="34" t="str">
        <f>IFERROR(IF(Tabela1[[#This Row],[Nome fantasia]]="","",_xlfn.XLOOKUP($C1484,Log!D:D,Log!B:B,,,-1)),"")</f>
        <v/>
      </c>
      <c r="O1484" s="35" t="str">
        <f>IFERROR(_xlfn.XLOOKUP($C1484,Log!D:D,Log!W:W,,,-1),"")</f>
        <v/>
      </c>
      <c r="P1484" s="35" t="str">
        <f>IFERROR(_xlfn.XLOOKUP($C1484,Log!D:D,Log!Y:Y,,,-1),"")</f>
        <v/>
      </c>
      <c r="Q1484" s="130"/>
      <c r="R1484" s="131" t="str">
        <f>IFERROR(IF(Tabela1[[#This Row],[Nome fantasia]]="","",_xlfn.XLOOKUP($C1484,Log!D:D,Log!X:X,,,-1)),"")</f>
        <v/>
      </c>
    </row>
    <row r="1485" spans="3:18" hidden="1" x14ac:dyDescent="0.2">
      <c r="C1485" s="30" t="s">
        <v>3388</v>
      </c>
      <c r="D1485" s="110" t="s">
        <v>3389</v>
      </c>
      <c r="E1485" s="33" t="s">
        <v>22</v>
      </c>
      <c r="F1485" s="38"/>
      <c r="G1485" s="38"/>
      <c r="H1485" s="31"/>
      <c r="I1485" s="32"/>
      <c r="J1485" s="32"/>
      <c r="K1485" s="45" t="s">
        <v>888</v>
      </c>
      <c r="L1485" s="129"/>
      <c r="M1485" s="33" t="str">
        <f t="shared" si="23"/>
        <v/>
      </c>
      <c r="N1485" s="34" t="str">
        <f>IFERROR(IF(Tabela1[[#This Row],[Nome fantasia]]="","",_xlfn.XLOOKUP($C1485,Log!D:D,Log!B:B,,,-1)),"")</f>
        <v/>
      </c>
      <c r="O1485" s="35" t="str">
        <f>IFERROR(_xlfn.XLOOKUP($C1485,Log!D:D,Log!W:W,,,-1),"")</f>
        <v/>
      </c>
      <c r="P1485" s="35" t="str">
        <f>IFERROR(_xlfn.XLOOKUP($C1485,Log!D:D,Log!Y:Y,,,-1),"")</f>
        <v/>
      </c>
      <c r="Q1485" s="130"/>
      <c r="R1485" s="131" t="str">
        <f>IFERROR(IF(Tabela1[[#This Row],[Nome fantasia]]="","",_xlfn.XLOOKUP($C1485,Log!D:D,Log!X:X,,,-1)),"")</f>
        <v/>
      </c>
    </row>
    <row r="1486" spans="3:18" hidden="1" x14ac:dyDescent="0.2">
      <c r="C1486" s="30" t="s">
        <v>3390</v>
      </c>
      <c r="D1486" s="110" t="s">
        <v>3391</v>
      </c>
      <c r="E1486" s="33" t="s">
        <v>46</v>
      </c>
      <c r="F1486" s="38"/>
      <c r="G1486" s="38"/>
      <c r="H1486" s="31"/>
      <c r="I1486" s="32"/>
      <c r="J1486" s="32"/>
      <c r="K1486" s="45" t="s">
        <v>888</v>
      </c>
      <c r="L1486" s="129"/>
      <c r="M1486" s="33" t="str">
        <f t="shared" si="23"/>
        <v/>
      </c>
      <c r="N1486" s="34" t="str">
        <f>IFERROR(IF(Tabela1[[#This Row],[Nome fantasia]]="","",_xlfn.XLOOKUP($C1486,Log!D:D,Log!B:B,,,-1)),"")</f>
        <v/>
      </c>
      <c r="O1486" s="35" t="str">
        <f>IFERROR(_xlfn.XLOOKUP($C1486,Log!D:D,Log!W:W,,,-1),"")</f>
        <v/>
      </c>
      <c r="P1486" s="35" t="str">
        <f>IFERROR(_xlfn.XLOOKUP($C1486,Log!D:D,Log!Y:Y,,,-1),"")</f>
        <v/>
      </c>
      <c r="Q1486" s="130"/>
      <c r="R1486" s="131" t="str">
        <f>IFERROR(IF(Tabela1[[#This Row],[Nome fantasia]]="","",_xlfn.XLOOKUP($C1486,Log!D:D,Log!X:X,,,-1)),"")</f>
        <v/>
      </c>
    </row>
    <row r="1487" spans="3:18" hidden="1" x14ac:dyDescent="0.2">
      <c r="C1487" s="30" t="s">
        <v>3392</v>
      </c>
      <c r="D1487" s="110" t="s">
        <v>3393</v>
      </c>
      <c r="E1487" s="33" t="s">
        <v>46</v>
      </c>
      <c r="F1487" s="38"/>
      <c r="G1487" s="38"/>
      <c r="H1487" s="31"/>
      <c r="I1487" s="32"/>
      <c r="J1487" s="32"/>
      <c r="K1487" s="45" t="s">
        <v>888</v>
      </c>
      <c r="L1487" s="129"/>
      <c r="M1487" s="33" t="str">
        <f t="shared" si="23"/>
        <v/>
      </c>
      <c r="N1487" s="34" t="str">
        <f>IFERROR(IF(Tabela1[[#This Row],[Nome fantasia]]="","",_xlfn.XLOOKUP($C1487,Log!D:D,Log!B:B,,,-1)),"")</f>
        <v/>
      </c>
      <c r="O1487" s="35" t="str">
        <f>IFERROR(_xlfn.XLOOKUP($C1487,Log!D:D,Log!W:W,,,-1),"")</f>
        <v/>
      </c>
      <c r="P1487" s="35" t="str">
        <f>IFERROR(_xlfn.XLOOKUP($C1487,Log!D:D,Log!Y:Y,,,-1),"")</f>
        <v/>
      </c>
      <c r="Q1487" s="130"/>
      <c r="R1487" s="131" t="str">
        <f>IFERROR(IF(Tabela1[[#This Row],[Nome fantasia]]="","",_xlfn.XLOOKUP($C1487,Log!D:D,Log!X:X,,,-1)),"")</f>
        <v/>
      </c>
    </row>
    <row r="1488" spans="3:18" hidden="1" x14ac:dyDescent="0.2">
      <c r="C1488" s="30" t="s">
        <v>3394</v>
      </c>
      <c r="D1488" s="110" t="s">
        <v>3395</v>
      </c>
      <c r="E1488" s="33" t="s">
        <v>46</v>
      </c>
      <c r="F1488" s="38"/>
      <c r="G1488" s="38"/>
      <c r="H1488" s="31"/>
      <c r="I1488" s="32"/>
      <c r="J1488" s="32"/>
      <c r="K1488" s="45" t="s">
        <v>888</v>
      </c>
      <c r="L1488" s="129"/>
      <c r="M1488" s="33" t="str">
        <f t="shared" si="23"/>
        <v/>
      </c>
      <c r="N1488" s="34" t="str">
        <f>IFERROR(IF(Tabela1[[#This Row],[Nome fantasia]]="","",_xlfn.XLOOKUP($C1488,Log!D:D,Log!B:B,,,-1)),"")</f>
        <v/>
      </c>
      <c r="O1488" s="35" t="str">
        <f>IFERROR(_xlfn.XLOOKUP($C1488,Log!D:D,Log!W:W,,,-1),"")</f>
        <v/>
      </c>
      <c r="P1488" s="35" t="str">
        <f>IFERROR(_xlfn.XLOOKUP($C1488,Log!D:D,Log!Y:Y,,,-1),"")</f>
        <v/>
      </c>
      <c r="Q1488" s="130"/>
      <c r="R1488" s="131" t="str">
        <f>IFERROR(IF(Tabela1[[#This Row],[Nome fantasia]]="","",_xlfn.XLOOKUP($C1488,Log!D:D,Log!X:X,,,-1)),"")</f>
        <v/>
      </c>
    </row>
    <row r="1489" spans="3:18" hidden="1" x14ac:dyDescent="0.2">
      <c r="C1489" s="30" t="s">
        <v>3396</v>
      </c>
      <c r="D1489" s="110" t="s">
        <v>3397</v>
      </c>
      <c r="E1489" s="33" t="s">
        <v>17</v>
      </c>
      <c r="F1489" s="38"/>
      <c r="G1489" s="38"/>
      <c r="H1489" s="31"/>
      <c r="I1489" s="32"/>
      <c r="J1489" s="32"/>
      <c r="K1489" s="45" t="s">
        <v>888</v>
      </c>
      <c r="L1489" s="129"/>
      <c r="M1489" s="33" t="str">
        <f t="shared" si="23"/>
        <v/>
      </c>
      <c r="N1489" s="34" t="str">
        <f>IFERROR(IF(Tabela1[[#This Row],[Nome fantasia]]="","",_xlfn.XLOOKUP($C1489,Log!D:D,Log!B:B,,,-1)),"")</f>
        <v/>
      </c>
      <c r="O1489" s="35" t="str">
        <f>IFERROR(_xlfn.XLOOKUP($C1489,Log!D:D,Log!W:W,,,-1),"")</f>
        <v/>
      </c>
      <c r="P1489" s="35" t="str">
        <f>IFERROR(_xlfn.XLOOKUP($C1489,Log!D:D,Log!Y:Y,,,-1),"")</f>
        <v/>
      </c>
      <c r="Q1489" s="130"/>
      <c r="R1489" s="131" t="str">
        <f>IFERROR(IF(Tabela1[[#This Row],[Nome fantasia]]="","",_xlfn.XLOOKUP($C1489,Log!D:D,Log!X:X,,,-1)),"")</f>
        <v/>
      </c>
    </row>
    <row r="1490" spans="3:18" hidden="1" x14ac:dyDescent="0.2">
      <c r="C1490" s="30" t="s">
        <v>3398</v>
      </c>
      <c r="D1490" s="110" t="s">
        <v>3399</v>
      </c>
      <c r="E1490" s="33" t="s">
        <v>46</v>
      </c>
      <c r="F1490" s="38"/>
      <c r="G1490" s="38"/>
      <c r="H1490" s="31"/>
      <c r="I1490" s="32"/>
      <c r="J1490" s="32"/>
      <c r="K1490" s="45" t="s">
        <v>888</v>
      </c>
      <c r="L1490" s="129"/>
      <c r="M1490" s="33" t="str">
        <f t="shared" si="23"/>
        <v/>
      </c>
      <c r="N1490" s="34" t="str">
        <f>IFERROR(IF(Tabela1[[#This Row],[Nome fantasia]]="","",_xlfn.XLOOKUP($C1490,Log!D:D,Log!B:B,,,-1)),"")</f>
        <v/>
      </c>
      <c r="O1490" s="35" t="str">
        <f>IFERROR(_xlfn.XLOOKUP($C1490,Log!D:D,Log!W:W,,,-1),"")</f>
        <v/>
      </c>
      <c r="P1490" s="35" t="str">
        <f>IFERROR(_xlfn.XLOOKUP($C1490,Log!D:D,Log!Y:Y,,,-1),"")</f>
        <v/>
      </c>
      <c r="Q1490" s="130"/>
      <c r="R1490" s="131" t="str">
        <f>IFERROR(IF(Tabela1[[#This Row],[Nome fantasia]]="","",_xlfn.XLOOKUP($C1490,Log!D:D,Log!X:X,,,-1)),"")</f>
        <v/>
      </c>
    </row>
    <row r="1491" spans="3:18" hidden="1" x14ac:dyDescent="0.2">
      <c r="C1491" s="30" t="s">
        <v>3400</v>
      </c>
      <c r="D1491" s="110" t="s">
        <v>3401</v>
      </c>
      <c r="E1491" s="33" t="s">
        <v>46</v>
      </c>
      <c r="F1491" s="38"/>
      <c r="G1491" s="38"/>
      <c r="H1491" s="31"/>
      <c r="I1491" s="32"/>
      <c r="J1491" s="32"/>
      <c r="K1491" s="45" t="s">
        <v>888</v>
      </c>
      <c r="L1491" s="129"/>
      <c r="M1491" s="33" t="str">
        <f t="shared" si="23"/>
        <v/>
      </c>
      <c r="N1491" s="34" t="str">
        <f>IFERROR(IF(Tabela1[[#This Row],[Nome fantasia]]="","",_xlfn.XLOOKUP($C1491,Log!D:D,Log!B:B,,,-1)),"")</f>
        <v/>
      </c>
      <c r="O1491" s="35" t="str">
        <f>IFERROR(_xlfn.XLOOKUP($C1491,Log!D:D,Log!W:W,,,-1),"")</f>
        <v/>
      </c>
      <c r="P1491" s="35" t="str">
        <f>IFERROR(_xlfn.XLOOKUP($C1491,Log!D:D,Log!Y:Y,,,-1),"")</f>
        <v/>
      </c>
      <c r="Q1491" s="130"/>
      <c r="R1491" s="131" t="str">
        <f>IFERROR(IF(Tabela1[[#This Row],[Nome fantasia]]="","",_xlfn.XLOOKUP($C1491,Log!D:D,Log!X:X,,,-1)),"")</f>
        <v/>
      </c>
    </row>
    <row r="1492" spans="3:18" hidden="1" x14ac:dyDescent="0.2">
      <c r="C1492" s="30" t="s">
        <v>3402</v>
      </c>
      <c r="D1492" s="110" t="s">
        <v>3403</v>
      </c>
      <c r="E1492" s="33" t="s">
        <v>46</v>
      </c>
      <c r="F1492" s="38"/>
      <c r="G1492" s="38"/>
      <c r="H1492" s="31"/>
      <c r="I1492" s="32"/>
      <c r="J1492" s="32"/>
      <c r="K1492" s="45" t="s">
        <v>888</v>
      </c>
      <c r="L1492" s="129"/>
      <c r="M1492" s="33" t="str">
        <f t="shared" si="23"/>
        <v/>
      </c>
      <c r="N1492" s="34" t="str">
        <f>IFERROR(IF(Tabela1[[#This Row],[Nome fantasia]]="","",_xlfn.XLOOKUP($C1492,Log!D:D,Log!B:B,,,-1)),"")</f>
        <v/>
      </c>
      <c r="O1492" s="35" t="str">
        <f>IFERROR(_xlfn.XLOOKUP($C1492,Log!D:D,Log!W:W,,,-1),"")</f>
        <v/>
      </c>
      <c r="P1492" s="35" t="str">
        <f>IFERROR(_xlfn.XLOOKUP($C1492,Log!D:D,Log!Y:Y,,,-1),"")</f>
        <v/>
      </c>
      <c r="Q1492" s="130"/>
      <c r="R1492" s="131" t="str">
        <f>IFERROR(IF(Tabela1[[#This Row],[Nome fantasia]]="","",_xlfn.XLOOKUP($C1492,Log!D:D,Log!X:X,,,-1)),"")</f>
        <v/>
      </c>
    </row>
    <row r="1493" spans="3:18" hidden="1" x14ac:dyDescent="0.2">
      <c r="C1493" s="30" t="s">
        <v>3404</v>
      </c>
      <c r="D1493" s="110" t="s">
        <v>3405</v>
      </c>
      <c r="E1493" s="33" t="s">
        <v>22</v>
      </c>
      <c r="F1493" s="38"/>
      <c r="G1493" s="38"/>
      <c r="H1493" s="31"/>
      <c r="I1493" s="32"/>
      <c r="J1493" s="32"/>
      <c r="K1493" s="45" t="s">
        <v>888</v>
      </c>
      <c r="L1493" s="129"/>
      <c r="M1493" s="33" t="str">
        <f t="shared" si="23"/>
        <v/>
      </c>
      <c r="N1493" s="34" t="str">
        <f>IFERROR(IF(Tabela1[[#This Row],[Nome fantasia]]="","",_xlfn.XLOOKUP($C1493,Log!D:D,Log!B:B,,,-1)),"")</f>
        <v/>
      </c>
      <c r="O1493" s="35" t="str">
        <f>IFERROR(_xlfn.XLOOKUP($C1493,Log!D:D,Log!W:W,,,-1),"")</f>
        <v/>
      </c>
      <c r="P1493" s="35" t="str">
        <f>IFERROR(_xlfn.XLOOKUP($C1493,Log!D:D,Log!Y:Y,,,-1),"")</f>
        <v/>
      </c>
      <c r="Q1493" s="130"/>
      <c r="R1493" s="131" t="str">
        <f>IFERROR(IF(Tabela1[[#This Row],[Nome fantasia]]="","",_xlfn.XLOOKUP($C1493,Log!D:D,Log!X:X,,,-1)),"")</f>
        <v/>
      </c>
    </row>
    <row r="1494" spans="3:18" hidden="1" x14ac:dyDescent="0.2">
      <c r="C1494" s="30" t="s">
        <v>3406</v>
      </c>
      <c r="D1494" s="110" t="s">
        <v>3407</v>
      </c>
      <c r="E1494" s="33" t="s">
        <v>22</v>
      </c>
      <c r="F1494" s="38"/>
      <c r="G1494" s="38"/>
      <c r="H1494" s="31"/>
      <c r="I1494" s="32"/>
      <c r="J1494" s="32"/>
      <c r="K1494" s="45" t="s">
        <v>888</v>
      </c>
      <c r="L1494" s="129"/>
      <c r="M1494" s="33" t="str">
        <f t="shared" si="23"/>
        <v/>
      </c>
      <c r="N1494" s="34" t="str">
        <f>IFERROR(IF(Tabela1[[#This Row],[Nome fantasia]]="","",_xlfn.XLOOKUP($C1494,Log!D:D,Log!B:B,,,-1)),"")</f>
        <v/>
      </c>
      <c r="O1494" s="35" t="str">
        <f>IFERROR(_xlfn.XLOOKUP($C1494,Log!D:D,Log!W:W,,,-1),"")</f>
        <v/>
      </c>
      <c r="P1494" s="35" t="str">
        <f>IFERROR(_xlfn.XLOOKUP($C1494,Log!D:D,Log!Y:Y,,,-1),"")</f>
        <v/>
      </c>
      <c r="Q1494" s="130"/>
      <c r="R1494" s="131" t="str">
        <f>IFERROR(IF(Tabela1[[#This Row],[Nome fantasia]]="","",_xlfn.XLOOKUP($C1494,Log!D:D,Log!X:X,,,-1)),"")</f>
        <v/>
      </c>
    </row>
    <row r="1495" spans="3:18" hidden="1" x14ac:dyDescent="0.2">
      <c r="C1495" s="30" t="s">
        <v>3408</v>
      </c>
      <c r="D1495" s="110" t="s">
        <v>3409</v>
      </c>
      <c r="E1495" s="33" t="s">
        <v>46</v>
      </c>
      <c r="F1495" s="38"/>
      <c r="G1495" s="38"/>
      <c r="H1495" s="31"/>
      <c r="I1495" s="32"/>
      <c r="J1495" s="32"/>
      <c r="K1495" s="45" t="s">
        <v>888</v>
      </c>
      <c r="L1495" s="129"/>
      <c r="M1495" s="33" t="str">
        <f t="shared" si="23"/>
        <v/>
      </c>
      <c r="N1495" s="34" t="str">
        <f>IFERROR(IF(Tabela1[[#This Row],[Nome fantasia]]="","",_xlfn.XLOOKUP($C1495,Log!D:D,Log!B:B,,,-1)),"")</f>
        <v/>
      </c>
      <c r="O1495" s="35" t="str">
        <f>IFERROR(_xlfn.XLOOKUP($C1495,Log!D:D,Log!W:W,,,-1),"")</f>
        <v/>
      </c>
      <c r="P1495" s="35" t="str">
        <f>IFERROR(_xlfn.XLOOKUP($C1495,Log!D:D,Log!Y:Y,,,-1),"")</f>
        <v/>
      </c>
      <c r="Q1495" s="130"/>
      <c r="R1495" s="131" t="str">
        <f>IFERROR(IF(Tabela1[[#This Row],[Nome fantasia]]="","",_xlfn.XLOOKUP($C1495,Log!D:D,Log!X:X,,,-1)),"")</f>
        <v/>
      </c>
    </row>
    <row r="1496" spans="3:18" hidden="1" x14ac:dyDescent="0.2">
      <c r="C1496" s="30" t="s">
        <v>3410</v>
      </c>
      <c r="D1496" s="110" t="s">
        <v>3411</v>
      </c>
      <c r="E1496" s="33" t="s">
        <v>46</v>
      </c>
      <c r="F1496" s="38"/>
      <c r="G1496" s="38"/>
      <c r="H1496" s="31"/>
      <c r="I1496" s="32"/>
      <c r="J1496" s="32"/>
      <c r="K1496" s="45" t="s">
        <v>888</v>
      </c>
      <c r="L1496" s="129"/>
      <c r="M1496" s="33" t="str">
        <f t="shared" si="23"/>
        <v/>
      </c>
      <c r="N1496" s="34" t="str">
        <f>IFERROR(IF(Tabela1[[#This Row],[Nome fantasia]]="","",_xlfn.XLOOKUP($C1496,Log!D:D,Log!B:B,,,-1)),"")</f>
        <v/>
      </c>
      <c r="O1496" s="35" t="str">
        <f>IFERROR(_xlfn.XLOOKUP($C1496,Log!D:D,Log!W:W,,,-1),"")</f>
        <v/>
      </c>
      <c r="P1496" s="35" t="str">
        <f>IFERROR(_xlfn.XLOOKUP($C1496,Log!D:D,Log!Y:Y,,,-1),"")</f>
        <v/>
      </c>
      <c r="Q1496" s="130"/>
      <c r="R1496" s="131" t="str">
        <f>IFERROR(IF(Tabela1[[#This Row],[Nome fantasia]]="","",_xlfn.XLOOKUP($C1496,Log!D:D,Log!X:X,,,-1)),"")</f>
        <v/>
      </c>
    </row>
    <row r="1497" spans="3:18" hidden="1" x14ac:dyDescent="0.2">
      <c r="C1497" s="30" t="s">
        <v>3412</v>
      </c>
      <c r="D1497" s="110" t="s">
        <v>3413</v>
      </c>
      <c r="E1497" s="33" t="s">
        <v>22</v>
      </c>
      <c r="F1497" s="38"/>
      <c r="G1497" s="38"/>
      <c r="H1497" s="31"/>
      <c r="I1497" s="32"/>
      <c r="J1497" s="32"/>
      <c r="K1497" s="45" t="s">
        <v>888</v>
      </c>
      <c r="L1497" s="129"/>
      <c r="M1497" s="33" t="str">
        <f t="shared" si="23"/>
        <v/>
      </c>
      <c r="N1497" s="34" t="str">
        <f>IFERROR(IF(Tabela1[[#This Row],[Nome fantasia]]="","",_xlfn.XLOOKUP($C1497,Log!D:D,Log!B:B,,,-1)),"")</f>
        <v/>
      </c>
      <c r="O1497" s="35" t="str">
        <f>IFERROR(_xlfn.XLOOKUP($C1497,Log!D:D,Log!W:W,,,-1),"")</f>
        <v/>
      </c>
      <c r="P1497" s="35" t="str">
        <f>IFERROR(_xlfn.XLOOKUP($C1497,Log!D:D,Log!Y:Y,,,-1),"")</f>
        <v/>
      </c>
      <c r="Q1497" s="130"/>
      <c r="R1497" s="131" t="str">
        <f>IFERROR(IF(Tabela1[[#This Row],[Nome fantasia]]="","",_xlfn.XLOOKUP($C1497,Log!D:D,Log!X:X,,,-1)),"")</f>
        <v/>
      </c>
    </row>
    <row r="1498" spans="3:18" hidden="1" x14ac:dyDescent="0.2">
      <c r="C1498" s="30" t="s">
        <v>3414</v>
      </c>
      <c r="D1498" s="110" t="s">
        <v>3415</v>
      </c>
      <c r="E1498" s="33" t="s">
        <v>46</v>
      </c>
      <c r="F1498" s="38"/>
      <c r="G1498" s="38"/>
      <c r="H1498" s="31"/>
      <c r="I1498" s="32"/>
      <c r="J1498" s="32"/>
      <c r="K1498" s="45" t="s">
        <v>888</v>
      </c>
      <c r="L1498" s="129"/>
      <c r="M1498" s="33" t="str">
        <f t="shared" si="23"/>
        <v/>
      </c>
      <c r="N1498" s="34" t="str">
        <f>IFERROR(IF(Tabela1[[#This Row],[Nome fantasia]]="","",_xlfn.XLOOKUP($C1498,Log!D:D,Log!B:B,,,-1)),"")</f>
        <v/>
      </c>
      <c r="O1498" s="35" t="str">
        <f>IFERROR(_xlfn.XLOOKUP($C1498,Log!D:D,Log!W:W,,,-1),"")</f>
        <v/>
      </c>
      <c r="P1498" s="35" t="str">
        <f>IFERROR(_xlfn.XLOOKUP($C1498,Log!D:D,Log!Y:Y,,,-1),"")</f>
        <v/>
      </c>
      <c r="Q1498" s="130"/>
      <c r="R1498" s="131" t="str">
        <f>IFERROR(IF(Tabela1[[#This Row],[Nome fantasia]]="","",_xlfn.XLOOKUP($C1498,Log!D:D,Log!X:X,,,-1)),"")</f>
        <v/>
      </c>
    </row>
    <row r="1499" spans="3:18" hidden="1" x14ac:dyDescent="0.2">
      <c r="C1499" s="30" t="s">
        <v>3416</v>
      </c>
      <c r="D1499" s="110" t="s">
        <v>1326</v>
      </c>
      <c r="E1499" s="33" t="s">
        <v>22</v>
      </c>
      <c r="F1499" s="38"/>
      <c r="G1499" s="38"/>
      <c r="H1499" s="31"/>
      <c r="I1499" s="32"/>
      <c r="J1499" s="32"/>
      <c r="K1499" s="45" t="s">
        <v>888</v>
      </c>
      <c r="L1499" s="129"/>
      <c r="M1499" s="33" t="str">
        <f t="shared" si="23"/>
        <v/>
      </c>
      <c r="N1499" s="34" t="str">
        <f>IFERROR(IF(Tabela1[[#This Row],[Nome fantasia]]="","",_xlfn.XLOOKUP($C1499,Log!D:D,Log!B:B,,,-1)),"")</f>
        <v/>
      </c>
      <c r="O1499" s="35" t="str">
        <f>IFERROR(_xlfn.XLOOKUP($C1499,Log!D:D,Log!W:W,,,-1),"")</f>
        <v/>
      </c>
      <c r="P1499" s="35" t="str">
        <f>IFERROR(_xlfn.XLOOKUP($C1499,Log!D:D,Log!Y:Y,,,-1),"")</f>
        <v/>
      </c>
      <c r="Q1499" s="130"/>
      <c r="R1499" s="131" t="str">
        <f>IFERROR(IF(Tabela1[[#This Row],[Nome fantasia]]="","",_xlfn.XLOOKUP($C1499,Log!D:D,Log!X:X,,,-1)),"")</f>
        <v/>
      </c>
    </row>
    <row r="1500" spans="3:18" hidden="1" x14ac:dyDescent="0.2">
      <c r="C1500" s="30" t="s">
        <v>3417</v>
      </c>
      <c r="D1500" s="110" t="s">
        <v>3418</v>
      </c>
      <c r="E1500" s="33" t="s">
        <v>22</v>
      </c>
      <c r="F1500" s="38"/>
      <c r="G1500" s="38"/>
      <c r="H1500" s="31"/>
      <c r="I1500" s="32"/>
      <c r="J1500" s="32"/>
      <c r="K1500" s="45" t="s">
        <v>888</v>
      </c>
      <c r="L1500" s="129"/>
      <c r="M1500" s="33" t="str">
        <f t="shared" si="23"/>
        <v/>
      </c>
      <c r="N1500" s="34" t="str">
        <f>IFERROR(IF(Tabela1[[#This Row],[Nome fantasia]]="","",_xlfn.XLOOKUP($C1500,Log!D:D,Log!B:B,,,-1)),"")</f>
        <v/>
      </c>
      <c r="O1500" s="35" t="str">
        <f>IFERROR(_xlfn.XLOOKUP($C1500,Log!D:D,Log!W:W,,,-1),"")</f>
        <v/>
      </c>
      <c r="P1500" s="35" t="str">
        <f>IFERROR(_xlfn.XLOOKUP($C1500,Log!D:D,Log!Y:Y,,,-1),"")</f>
        <v/>
      </c>
      <c r="Q1500" s="130"/>
      <c r="R1500" s="131" t="str">
        <f>IFERROR(IF(Tabela1[[#This Row],[Nome fantasia]]="","",_xlfn.XLOOKUP($C1500,Log!D:D,Log!X:X,,,-1)),"")</f>
        <v/>
      </c>
    </row>
    <row r="1501" spans="3:18" hidden="1" x14ac:dyDescent="0.2">
      <c r="C1501" s="30" t="s">
        <v>3419</v>
      </c>
      <c r="D1501" s="110" t="s">
        <v>1328</v>
      </c>
      <c r="E1501" s="33" t="s">
        <v>22</v>
      </c>
      <c r="F1501" s="38"/>
      <c r="G1501" s="38"/>
      <c r="H1501" s="31"/>
      <c r="I1501" s="32"/>
      <c r="J1501" s="32"/>
      <c r="K1501" s="45" t="s">
        <v>888</v>
      </c>
      <c r="L1501" s="129"/>
      <c r="M1501" s="33" t="str">
        <f t="shared" si="23"/>
        <v/>
      </c>
      <c r="N1501" s="34" t="str">
        <f>IFERROR(IF(Tabela1[[#This Row],[Nome fantasia]]="","",_xlfn.XLOOKUP($C1501,Log!D:D,Log!B:B,,,-1)),"")</f>
        <v/>
      </c>
      <c r="O1501" s="35" t="str">
        <f>IFERROR(_xlfn.XLOOKUP($C1501,Log!D:D,Log!W:W,,,-1),"")</f>
        <v/>
      </c>
      <c r="P1501" s="35" t="str">
        <f>IFERROR(_xlfn.XLOOKUP($C1501,Log!D:D,Log!Y:Y,,,-1),"")</f>
        <v/>
      </c>
      <c r="Q1501" s="130"/>
      <c r="R1501" s="131" t="str">
        <f>IFERROR(IF(Tabela1[[#This Row],[Nome fantasia]]="","",_xlfn.XLOOKUP($C1501,Log!D:D,Log!X:X,,,-1)),"")</f>
        <v/>
      </c>
    </row>
    <row r="1502" spans="3:18" hidden="1" x14ac:dyDescent="0.2">
      <c r="C1502" s="30" t="s">
        <v>3420</v>
      </c>
      <c r="D1502" s="110" t="s">
        <v>3421</v>
      </c>
      <c r="E1502" s="33" t="s">
        <v>17</v>
      </c>
      <c r="F1502" s="38"/>
      <c r="G1502" s="38"/>
      <c r="H1502" s="31"/>
      <c r="I1502" s="32"/>
      <c r="J1502" s="32"/>
      <c r="K1502" s="45" t="s">
        <v>888</v>
      </c>
      <c r="L1502" s="129"/>
      <c r="M1502" s="33" t="str">
        <f t="shared" si="23"/>
        <v/>
      </c>
      <c r="N1502" s="34" t="str">
        <f>IFERROR(IF(Tabela1[[#This Row],[Nome fantasia]]="","",_xlfn.XLOOKUP($C1502,Log!D:D,Log!B:B,,,-1)),"")</f>
        <v/>
      </c>
      <c r="O1502" s="35" t="str">
        <f>IFERROR(_xlfn.XLOOKUP($C1502,Log!D:D,Log!W:W,,,-1),"")</f>
        <v/>
      </c>
      <c r="P1502" s="35" t="str">
        <f>IFERROR(_xlfn.XLOOKUP($C1502,Log!D:D,Log!Y:Y,,,-1),"")</f>
        <v/>
      </c>
      <c r="Q1502" s="130"/>
      <c r="R1502" s="131" t="str">
        <f>IFERROR(IF(Tabela1[[#This Row],[Nome fantasia]]="","",_xlfn.XLOOKUP($C1502,Log!D:D,Log!X:X,,,-1)),"")</f>
        <v/>
      </c>
    </row>
    <row r="1503" spans="3:18" hidden="1" x14ac:dyDescent="0.2">
      <c r="C1503" s="30" t="s">
        <v>3422</v>
      </c>
      <c r="D1503" s="110" t="s">
        <v>3423</v>
      </c>
      <c r="E1503" s="33" t="s">
        <v>46</v>
      </c>
      <c r="F1503" s="38"/>
      <c r="G1503" s="38"/>
      <c r="H1503" s="31"/>
      <c r="I1503" s="32"/>
      <c r="J1503" s="32"/>
      <c r="K1503" s="45" t="s">
        <v>888</v>
      </c>
      <c r="L1503" s="129"/>
      <c r="M1503" s="33" t="str">
        <f t="shared" si="23"/>
        <v/>
      </c>
      <c r="N1503" s="34" t="str">
        <f>IFERROR(IF(Tabela1[[#This Row],[Nome fantasia]]="","",_xlfn.XLOOKUP($C1503,Log!D:D,Log!B:B,,,-1)),"")</f>
        <v/>
      </c>
      <c r="O1503" s="35" t="str">
        <f>IFERROR(_xlfn.XLOOKUP($C1503,Log!D:D,Log!W:W,,,-1),"")</f>
        <v/>
      </c>
      <c r="P1503" s="35" t="str">
        <f>IFERROR(_xlfn.XLOOKUP($C1503,Log!D:D,Log!Y:Y,,,-1),"")</f>
        <v/>
      </c>
      <c r="Q1503" s="130"/>
      <c r="R1503" s="131" t="str">
        <f>IFERROR(IF(Tabela1[[#This Row],[Nome fantasia]]="","",_xlfn.XLOOKUP($C1503,Log!D:D,Log!X:X,,,-1)),"")</f>
        <v/>
      </c>
    </row>
    <row r="1504" spans="3:18" hidden="1" x14ac:dyDescent="0.2">
      <c r="C1504" s="30" t="s">
        <v>3424</v>
      </c>
      <c r="D1504" s="110" t="s">
        <v>3425</v>
      </c>
      <c r="E1504" s="33" t="s">
        <v>46</v>
      </c>
      <c r="F1504" s="38"/>
      <c r="G1504" s="38"/>
      <c r="H1504" s="31"/>
      <c r="I1504" s="32"/>
      <c r="J1504" s="32"/>
      <c r="K1504" s="45" t="s">
        <v>888</v>
      </c>
      <c r="L1504" s="129"/>
      <c r="M1504" s="33" t="str">
        <f t="shared" si="23"/>
        <v/>
      </c>
      <c r="N1504" s="34" t="str">
        <f>IFERROR(IF(Tabela1[[#This Row],[Nome fantasia]]="","",_xlfn.XLOOKUP($C1504,Log!D:D,Log!B:B,,,-1)),"")</f>
        <v/>
      </c>
      <c r="O1504" s="35" t="str">
        <f>IFERROR(_xlfn.XLOOKUP($C1504,Log!D:D,Log!W:W,,,-1),"")</f>
        <v/>
      </c>
      <c r="P1504" s="35" t="str">
        <f>IFERROR(_xlfn.XLOOKUP($C1504,Log!D:D,Log!Y:Y,,,-1),"")</f>
        <v/>
      </c>
      <c r="Q1504" s="130"/>
      <c r="R1504" s="131" t="str">
        <f>IFERROR(IF(Tabela1[[#This Row],[Nome fantasia]]="","",_xlfn.XLOOKUP($C1504,Log!D:D,Log!X:X,,,-1)),"")</f>
        <v/>
      </c>
    </row>
    <row r="1505" spans="3:18" hidden="1" x14ac:dyDescent="0.2">
      <c r="C1505" s="30" t="s">
        <v>3426</v>
      </c>
      <c r="D1505" s="110" t="s">
        <v>3427</v>
      </c>
      <c r="E1505" s="33" t="s">
        <v>22</v>
      </c>
      <c r="F1505" s="38"/>
      <c r="G1505" s="38"/>
      <c r="H1505" s="31"/>
      <c r="I1505" s="32"/>
      <c r="J1505" s="32"/>
      <c r="K1505" s="45" t="s">
        <v>888</v>
      </c>
      <c r="L1505" s="129"/>
      <c r="M1505" s="33" t="str">
        <f t="shared" si="23"/>
        <v/>
      </c>
      <c r="N1505" s="34" t="str">
        <f>IFERROR(IF(Tabela1[[#This Row],[Nome fantasia]]="","",_xlfn.XLOOKUP($C1505,Log!D:D,Log!B:B,,,-1)),"")</f>
        <v/>
      </c>
      <c r="O1505" s="35" t="str">
        <f>IFERROR(_xlfn.XLOOKUP($C1505,Log!D:D,Log!W:W,,,-1),"")</f>
        <v/>
      </c>
      <c r="P1505" s="35" t="str">
        <f>IFERROR(_xlfn.XLOOKUP($C1505,Log!D:D,Log!Y:Y,,,-1),"")</f>
        <v/>
      </c>
      <c r="Q1505" s="130"/>
      <c r="R1505" s="131" t="str">
        <f>IFERROR(IF(Tabela1[[#This Row],[Nome fantasia]]="","",_xlfn.XLOOKUP($C1505,Log!D:D,Log!X:X,,,-1)),"")</f>
        <v/>
      </c>
    </row>
    <row r="1506" spans="3:18" hidden="1" x14ac:dyDescent="0.2">
      <c r="C1506" s="30" t="s">
        <v>3428</v>
      </c>
      <c r="D1506" s="110" t="s">
        <v>3429</v>
      </c>
      <c r="E1506" s="33" t="s">
        <v>17</v>
      </c>
      <c r="F1506" s="38"/>
      <c r="G1506" s="38"/>
      <c r="H1506" s="31"/>
      <c r="I1506" s="32"/>
      <c r="J1506" s="32"/>
      <c r="K1506" s="45" t="s">
        <v>888</v>
      </c>
      <c r="L1506" s="129"/>
      <c r="M1506" s="33" t="str">
        <f t="shared" si="23"/>
        <v/>
      </c>
      <c r="N1506" s="34" t="str">
        <f>IFERROR(IF(Tabela1[[#This Row],[Nome fantasia]]="","",_xlfn.XLOOKUP($C1506,Log!D:D,Log!B:B,,,-1)),"")</f>
        <v/>
      </c>
      <c r="O1506" s="35" t="str">
        <f>IFERROR(_xlfn.XLOOKUP($C1506,Log!D:D,Log!W:W,,,-1),"")</f>
        <v/>
      </c>
      <c r="P1506" s="35" t="str">
        <f>IFERROR(_xlfn.XLOOKUP($C1506,Log!D:D,Log!Y:Y,,,-1),"")</f>
        <v/>
      </c>
      <c r="Q1506" s="130"/>
      <c r="R1506" s="131" t="str">
        <f>IFERROR(IF(Tabela1[[#This Row],[Nome fantasia]]="","",_xlfn.XLOOKUP($C1506,Log!D:D,Log!X:X,,,-1)),"")</f>
        <v/>
      </c>
    </row>
    <row r="1507" spans="3:18" hidden="1" x14ac:dyDescent="0.2">
      <c r="C1507" s="30" t="s">
        <v>3430</v>
      </c>
      <c r="D1507" s="110" t="s">
        <v>3431</v>
      </c>
      <c r="E1507" s="33" t="s">
        <v>46</v>
      </c>
      <c r="F1507" s="38"/>
      <c r="G1507" s="38"/>
      <c r="H1507" s="31"/>
      <c r="I1507" s="32"/>
      <c r="J1507" s="32"/>
      <c r="K1507" s="45" t="s">
        <v>888</v>
      </c>
      <c r="L1507" s="129"/>
      <c r="M1507" s="33" t="str">
        <f t="shared" si="23"/>
        <v/>
      </c>
      <c r="N1507" s="34">
        <f>IFERROR(IF(Tabela1[[#This Row],[Nome fantasia]]="","",_xlfn.XLOOKUP($C1507,Log!D:D,Log!B:B,,,-1)),"")</f>
        <v>45993</v>
      </c>
      <c r="O1507" s="35" t="str">
        <f>IFERROR(_xlfn.XLOOKUP($C1507,Log!D:D,Log!W:W,,,-1),"")</f>
        <v>EM ATENDIMENTO</v>
      </c>
      <c r="P1507" s="35" t="str">
        <f>IFERROR(_xlfn.XLOOKUP($C1507,Log!D:D,Log!Y:Y,,,-1),"")</f>
        <v>CLIENTE COMPRA COM DISTRIBUIDOR</v>
      </c>
      <c r="Q1507" s="130"/>
      <c r="R1507" s="131">
        <f>IFERROR(IF(Tabela1[[#This Row],[Nome fantasia]]="","",_xlfn.XLOOKUP($C1507,Log!D:D,Log!X:X,,,-1)),"")</f>
        <v>45995</v>
      </c>
    </row>
    <row r="1508" spans="3:18" hidden="1" x14ac:dyDescent="0.2">
      <c r="C1508" s="30" t="s">
        <v>3432</v>
      </c>
      <c r="D1508" s="110" t="s">
        <v>3433</v>
      </c>
      <c r="E1508" s="33" t="s">
        <v>46</v>
      </c>
      <c r="F1508" s="38"/>
      <c r="G1508" s="38"/>
      <c r="H1508" s="31"/>
      <c r="I1508" s="32"/>
      <c r="J1508" s="32"/>
      <c r="K1508" s="45" t="s">
        <v>888</v>
      </c>
      <c r="L1508" s="129"/>
      <c r="M1508" s="33" t="str">
        <f t="shared" si="23"/>
        <v/>
      </c>
      <c r="N1508" s="34" t="str">
        <f>IFERROR(IF(Tabela1[[#This Row],[Nome fantasia]]="","",_xlfn.XLOOKUP($C1508,Log!D:D,Log!B:B,,,-1)),"")</f>
        <v/>
      </c>
      <c r="O1508" s="35" t="str">
        <f>IFERROR(_xlfn.XLOOKUP($C1508,Log!D:D,Log!W:W,,,-1),"")</f>
        <v/>
      </c>
      <c r="P1508" s="35" t="str">
        <f>IFERROR(_xlfn.XLOOKUP($C1508,Log!D:D,Log!Y:Y,,,-1),"")</f>
        <v/>
      </c>
      <c r="Q1508" s="130"/>
      <c r="R1508" s="131" t="str">
        <f>IFERROR(IF(Tabela1[[#This Row],[Nome fantasia]]="","",_xlfn.XLOOKUP($C1508,Log!D:D,Log!X:X,,,-1)),"")</f>
        <v/>
      </c>
    </row>
    <row r="1509" spans="3:18" hidden="1" x14ac:dyDescent="0.2">
      <c r="C1509" s="30" t="s">
        <v>3434</v>
      </c>
      <c r="D1509" s="110" t="s">
        <v>3435</v>
      </c>
      <c r="E1509" s="33" t="s">
        <v>46</v>
      </c>
      <c r="F1509" s="38"/>
      <c r="G1509" s="38"/>
      <c r="H1509" s="31"/>
      <c r="I1509" s="32"/>
      <c r="J1509" s="32"/>
      <c r="K1509" s="45" t="s">
        <v>888</v>
      </c>
      <c r="L1509" s="129"/>
      <c r="M1509" s="33" t="str">
        <f t="shared" si="23"/>
        <v/>
      </c>
      <c r="N1509" s="34" t="str">
        <f>IFERROR(IF(Tabela1[[#This Row],[Nome fantasia]]="","",_xlfn.XLOOKUP($C1509,Log!D:D,Log!B:B,,,-1)),"")</f>
        <v/>
      </c>
      <c r="O1509" s="35" t="str">
        <f>IFERROR(_xlfn.XLOOKUP($C1509,Log!D:D,Log!W:W,,,-1),"")</f>
        <v/>
      </c>
      <c r="P1509" s="35" t="str">
        <f>IFERROR(_xlfn.XLOOKUP($C1509,Log!D:D,Log!Y:Y,,,-1),"")</f>
        <v/>
      </c>
      <c r="Q1509" s="130"/>
      <c r="R1509" s="131" t="str">
        <f>IFERROR(IF(Tabela1[[#This Row],[Nome fantasia]]="","",_xlfn.XLOOKUP($C1509,Log!D:D,Log!X:X,,,-1)),"")</f>
        <v/>
      </c>
    </row>
    <row r="1510" spans="3:18" hidden="1" x14ac:dyDescent="0.2">
      <c r="C1510" s="30" t="s">
        <v>3436</v>
      </c>
      <c r="D1510" s="110" t="s">
        <v>3437</v>
      </c>
      <c r="E1510" s="33" t="s">
        <v>46</v>
      </c>
      <c r="F1510" s="38"/>
      <c r="G1510" s="38"/>
      <c r="H1510" s="31"/>
      <c r="I1510" s="32"/>
      <c r="J1510" s="32"/>
      <c r="K1510" s="45" t="s">
        <v>888</v>
      </c>
      <c r="L1510" s="129"/>
      <c r="M1510" s="33" t="str">
        <f t="shared" si="23"/>
        <v/>
      </c>
      <c r="N1510" s="34" t="str">
        <f>IFERROR(IF(Tabela1[[#This Row],[Nome fantasia]]="","",_xlfn.XLOOKUP($C1510,Log!D:D,Log!B:B,,,-1)),"")</f>
        <v/>
      </c>
      <c r="O1510" s="35" t="str">
        <f>IFERROR(_xlfn.XLOOKUP($C1510,Log!D:D,Log!W:W,,,-1),"")</f>
        <v/>
      </c>
      <c r="P1510" s="35" t="str">
        <f>IFERROR(_xlfn.XLOOKUP($C1510,Log!D:D,Log!Y:Y,,,-1),"")</f>
        <v/>
      </c>
      <c r="Q1510" s="130"/>
      <c r="R1510" s="131" t="str">
        <f>IFERROR(IF(Tabela1[[#This Row],[Nome fantasia]]="","",_xlfn.XLOOKUP($C1510,Log!D:D,Log!X:X,,,-1)),"")</f>
        <v/>
      </c>
    </row>
    <row r="1511" spans="3:18" hidden="1" x14ac:dyDescent="0.2">
      <c r="C1511" s="30" t="s">
        <v>3438</v>
      </c>
      <c r="D1511" s="110" t="s">
        <v>3439</v>
      </c>
      <c r="E1511" s="33" t="s">
        <v>22</v>
      </c>
      <c r="F1511" s="38"/>
      <c r="G1511" s="38"/>
      <c r="H1511" s="31"/>
      <c r="I1511" s="32"/>
      <c r="J1511" s="32"/>
      <c r="K1511" s="45" t="s">
        <v>888</v>
      </c>
      <c r="L1511" s="129"/>
      <c r="M1511" s="33" t="str">
        <f t="shared" si="23"/>
        <v/>
      </c>
      <c r="N1511" s="34" t="str">
        <f>IFERROR(IF(Tabela1[[#This Row],[Nome fantasia]]="","",_xlfn.XLOOKUP($C1511,Log!D:D,Log!B:B,,,-1)),"")</f>
        <v/>
      </c>
      <c r="O1511" s="35" t="str">
        <f>IFERROR(_xlfn.XLOOKUP($C1511,Log!D:D,Log!W:W,,,-1),"")</f>
        <v/>
      </c>
      <c r="P1511" s="35" t="str">
        <f>IFERROR(_xlfn.XLOOKUP($C1511,Log!D:D,Log!Y:Y,,,-1),"")</f>
        <v/>
      </c>
      <c r="Q1511" s="130"/>
      <c r="R1511" s="131" t="str">
        <f>IFERROR(IF(Tabela1[[#This Row],[Nome fantasia]]="","",_xlfn.XLOOKUP($C1511,Log!D:D,Log!X:X,,,-1)),"")</f>
        <v/>
      </c>
    </row>
    <row r="1512" spans="3:18" hidden="1" x14ac:dyDescent="0.2">
      <c r="C1512" s="30" t="s">
        <v>3440</v>
      </c>
      <c r="D1512" s="110" t="s">
        <v>3441</v>
      </c>
      <c r="E1512" s="33" t="s">
        <v>46</v>
      </c>
      <c r="F1512" s="38"/>
      <c r="G1512" s="38"/>
      <c r="H1512" s="31"/>
      <c r="I1512" s="32"/>
      <c r="J1512" s="32"/>
      <c r="K1512" s="45" t="s">
        <v>888</v>
      </c>
      <c r="L1512" s="129"/>
      <c r="M1512" s="33" t="str">
        <f t="shared" si="23"/>
        <v/>
      </c>
      <c r="N1512" s="34" t="str">
        <f>IFERROR(IF(Tabela1[[#This Row],[Nome fantasia]]="","",_xlfn.XLOOKUP($C1512,Log!D:D,Log!B:B,,,-1)),"")</f>
        <v/>
      </c>
      <c r="O1512" s="35" t="str">
        <f>IFERROR(_xlfn.XLOOKUP($C1512,Log!D:D,Log!W:W,,,-1),"")</f>
        <v/>
      </c>
      <c r="P1512" s="35" t="str">
        <f>IFERROR(_xlfn.XLOOKUP($C1512,Log!D:D,Log!Y:Y,,,-1),"")</f>
        <v/>
      </c>
      <c r="Q1512" s="130"/>
      <c r="R1512" s="131" t="str">
        <f>IFERROR(IF(Tabela1[[#This Row],[Nome fantasia]]="","",_xlfn.XLOOKUP($C1512,Log!D:D,Log!X:X,,,-1)),"")</f>
        <v/>
      </c>
    </row>
    <row r="1513" spans="3:18" hidden="1" x14ac:dyDescent="0.2">
      <c r="C1513" s="30" t="s">
        <v>3442</v>
      </c>
      <c r="D1513" s="110" t="s">
        <v>3443</v>
      </c>
      <c r="E1513" s="33" t="s">
        <v>46</v>
      </c>
      <c r="F1513" s="38"/>
      <c r="G1513" s="38"/>
      <c r="H1513" s="31"/>
      <c r="I1513" s="32"/>
      <c r="J1513" s="32"/>
      <c r="K1513" s="45" t="s">
        <v>888</v>
      </c>
      <c r="L1513" s="129"/>
      <c r="M1513" s="33" t="str">
        <f t="shared" si="23"/>
        <v/>
      </c>
      <c r="N1513" s="34" t="str">
        <f>IFERROR(IF(Tabela1[[#This Row],[Nome fantasia]]="","",_xlfn.XLOOKUP($C1513,Log!D:D,Log!B:B,,,-1)),"")</f>
        <v/>
      </c>
      <c r="O1513" s="35" t="str">
        <f>IFERROR(_xlfn.XLOOKUP($C1513,Log!D:D,Log!W:W,,,-1),"")</f>
        <v/>
      </c>
      <c r="P1513" s="35" t="str">
        <f>IFERROR(_xlfn.XLOOKUP($C1513,Log!D:D,Log!Y:Y,,,-1),"")</f>
        <v/>
      </c>
      <c r="Q1513" s="130"/>
      <c r="R1513" s="131" t="str">
        <f>IFERROR(IF(Tabela1[[#This Row],[Nome fantasia]]="","",_xlfn.XLOOKUP($C1513,Log!D:D,Log!X:X,,,-1)),"")</f>
        <v/>
      </c>
    </row>
    <row r="1514" spans="3:18" hidden="1" x14ac:dyDescent="0.2">
      <c r="C1514" s="30" t="s">
        <v>3444</v>
      </c>
      <c r="D1514" s="110" t="s">
        <v>3445</v>
      </c>
      <c r="E1514" s="33" t="s">
        <v>22</v>
      </c>
      <c r="F1514" s="38"/>
      <c r="G1514" s="38"/>
      <c r="H1514" s="31"/>
      <c r="I1514" s="32"/>
      <c r="J1514" s="32"/>
      <c r="K1514" s="45" t="s">
        <v>888</v>
      </c>
      <c r="L1514" s="129"/>
      <c r="M1514" s="33" t="str">
        <f t="shared" si="23"/>
        <v/>
      </c>
      <c r="N1514" s="34" t="str">
        <f>IFERROR(IF(Tabela1[[#This Row],[Nome fantasia]]="","",_xlfn.XLOOKUP($C1514,Log!D:D,Log!B:B,,,-1)),"")</f>
        <v/>
      </c>
      <c r="O1514" s="35" t="str">
        <f>IFERROR(_xlfn.XLOOKUP($C1514,Log!D:D,Log!W:W,,,-1),"")</f>
        <v/>
      </c>
      <c r="P1514" s="35" t="str">
        <f>IFERROR(_xlfn.XLOOKUP($C1514,Log!D:D,Log!Y:Y,,,-1),"")</f>
        <v/>
      </c>
      <c r="Q1514" s="130"/>
      <c r="R1514" s="131" t="str">
        <f>IFERROR(IF(Tabela1[[#This Row],[Nome fantasia]]="","",_xlfn.XLOOKUP($C1514,Log!D:D,Log!X:X,,,-1)),"")</f>
        <v/>
      </c>
    </row>
    <row r="1515" spans="3:18" hidden="1" x14ac:dyDescent="0.2">
      <c r="C1515" s="30" t="s">
        <v>3446</v>
      </c>
      <c r="D1515" s="110" t="s">
        <v>3447</v>
      </c>
      <c r="E1515" s="33" t="s">
        <v>17</v>
      </c>
      <c r="F1515" s="38"/>
      <c r="G1515" s="38"/>
      <c r="H1515" s="31"/>
      <c r="I1515" s="32"/>
      <c r="J1515" s="32"/>
      <c r="K1515" s="45" t="s">
        <v>888</v>
      </c>
      <c r="L1515" s="129"/>
      <c r="M1515" s="33" t="str">
        <f t="shared" si="23"/>
        <v/>
      </c>
      <c r="N1515" s="34" t="str">
        <f>IFERROR(IF(Tabela1[[#This Row],[Nome fantasia]]="","",_xlfn.XLOOKUP($C1515,Log!D:D,Log!B:B,,,-1)),"")</f>
        <v/>
      </c>
      <c r="O1515" s="35" t="str">
        <f>IFERROR(_xlfn.XLOOKUP($C1515,Log!D:D,Log!W:W,,,-1),"")</f>
        <v/>
      </c>
      <c r="P1515" s="35" t="str">
        <f>IFERROR(_xlfn.XLOOKUP($C1515,Log!D:D,Log!Y:Y,,,-1),"")</f>
        <v/>
      </c>
      <c r="Q1515" s="130"/>
      <c r="R1515" s="131" t="str">
        <f>IFERROR(IF(Tabela1[[#This Row],[Nome fantasia]]="","",_xlfn.XLOOKUP($C1515,Log!D:D,Log!X:X,,,-1)),"")</f>
        <v/>
      </c>
    </row>
    <row r="1516" spans="3:18" hidden="1" x14ac:dyDescent="0.2">
      <c r="C1516" s="30" t="s">
        <v>3448</v>
      </c>
      <c r="D1516" s="110" t="s">
        <v>3449</v>
      </c>
      <c r="E1516" s="33" t="s">
        <v>22</v>
      </c>
      <c r="F1516" s="38"/>
      <c r="G1516" s="38"/>
      <c r="H1516" s="31"/>
      <c r="I1516" s="32"/>
      <c r="J1516" s="32"/>
      <c r="K1516" s="45" t="s">
        <v>888</v>
      </c>
      <c r="L1516" s="129"/>
      <c r="M1516" s="33" t="str">
        <f t="shared" si="23"/>
        <v/>
      </c>
      <c r="N1516" s="34" t="str">
        <f>IFERROR(IF(Tabela1[[#This Row],[Nome fantasia]]="","",_xlfn.XLOOKUP($C1516,Log!D:D,Log!B:B,,,-1)),"")</f>
        <v/>
      </c>
      <c r="O1516" s="35" t="str">
        <f>IFERROR(_xlfn.XLOOKUP($C1516,Log!D:D,Log!W:W,,,-1),"")</f>
        <v/>
      </c>
      <c r="P1516" s="35" t="str">
        <f>IFERROR(_xlfn.XLOOKUP($C1516,Log!D:D,Log!Y:Y,,,-1),"")</f>
        <v/>
      </c>
      <c r="Q1516" s="130"/>
      <c r="R1516" s="131" t="str">
        <f>IFERROR(IF(Tabela1[[#This Row],[Nome fantasia]]="","",_xlfn.XLOOKUP($C1516,Log!D:D,Log!X:X,,,-1)),"")</f>
        <v/>
      </c>
    </row>
    <row r="1517" spans="3:18" hidden="1" x14ac:dyDescent="0.2">
      <c r="C1517" s="30" t="s">
        <v>3450</v>
      </c>
      <c r="D1517" s="110" t="s">
        <v>3451</v>
      </c>
      <c r="E1517" s="33" t="s">
        <v>22</v>
      </c>
      <c r="F1517" s="38"/>
      <c r="G1517" s="38"/>
      <c r="H1517" s="31"/>
      <c r="I1517" s="32"/>
      <c r="J1517" s="32"/>
      <c r="K1517" s="45" t="s">
        <v>888</v>
      </c>
      <c r="L1517" s="129"/>
      <c r="M1517" s="33" t="str">
        <f t="shared" si="23"/>
        <v/>
      </c>
      <c r="N1517" s="34" t="str">
        <f>IFERROR(IF(Tabela1[[#This Row],[Nome fantasia]]="","",_xlfn.XLOOKUP($C1517,Log!D:D,Log!B:B,,,-1)),"")</f>
        <v/>
      </c>
      <c r="O1517" s="35" t="str">
        <f>IFERROR(_xlfn.XLOOKUP($C1517,Log!D:D,Log!W:W,,,-1),"")</f>
        <v/>
      </c>
      <c r="P1517" s="35" t="str">
        <f>IFERROR(_xlfn.XLOOKUP($C1517,Log!D:D,Log!Y:Y,,,-1),"")</f>
        <v/>
      </c>
      <c r="Q1517" s="130"/>
      <c r="R1517" s="131" t="str">
        <f>IFERROR(IF(Tabela1[[#This Row],[Nome fantasia]]="","",_xlfn.XLOOKUP($C1517,Log!D:D,Log!X:X,,,-1)),"")</f>
        <v/>
      </c>
    </row>
    <row r="1518" spans="3:18" hidden="1" x14ac:dyDescent="0.2">
      <c r="C1518" s="30" t="s">
        <v>3452</v>
      </c>
      <c r="D1518" s="110" t="s">
        <v>3453</v>
      </c>
      <c r="E1518" s="33" t="s">
        <v>46</v>
      </c>
      <c r="F1518" s="38"/>
      <c r="G1518" s="38"/>
      <c r="H1518" s="31"/>
      <c r="I1518" s="32"/>
      <c r="J1518" s="32"/>
      <c r="K1518" s="45" t="s">
        <v>888</v>
      </c>
      <c r="L1518" s="129"/>
      <c r="M1518" s="33" t="str">
        <f t="shared" si="23"/>
        <v/>
      </c>
      <c r="N1518" s="34" t="str">
        <f>IFERROR(IF(Tabela1[[#This Row],[Nome fantasia]]="","",_xlfn.XLOOKUP($C1518,Log!D:D,Log!B:B,,,-1)),"")</f>
        <v/>
      </c>
      <c r="O1518" s="35" t="str">
        <f>IFERROR(_xlfn.XLOOKUP($C1518,Log!D:D,Log!W:W,,,-1),"")</f>
        <v/>
      </c>
      <c r="P1518" s="35" t="str">
        <f>IFERROR(_xlfn.XLOOKUP($C1518,Log!D:D,Log!Y:Y,,,-1),"")</f>
        <v/>
      </c>
      <c r="Q1518" s="130"/>
      <c r="R1518" s="131" t="str">
        <f>IFERROR(IF(Tabela1[[#This Row],[Nome fantasia]]="","",_xlfn.XLOOKUP($C1518,Log!D:D,Log!X:X,,,-1)),"")</f>
        <v/>
      </c>
    </row>
    <row r="1519" spans="3:18" hidden="1" x14ac:dyDescent="0.2">
      <c r="C1519" s="30" t="s">
        <v>3454</v>
      </c>
      <c r="D1519" s="110" t="s">
        <v>3455</v>
      </c>
      <c r="E1519" s="33" t="s">
        <v>46</v>
      </c>
      <c r="F1519" s="38"/>
      <c r="G1519" s="38"/>
      <c r="H1519" s="31"/>
      <c r="I1519" s="32"/>
      <c r="J1519" s="32"/>
      <c r="K1519" s="45" t="s">
        <v>888</v>
      </c>
      <c r="L1519" s="129"/>
      <c r="M1519" s="33" t="str">
        <f t="shared" si="23"/>
        <v/>
      </c>
      <c r="N1519" s="34" t="str">
        <f>IFERROR(IF(Tabela1[[#This Row],[Nome fantasia]]="","",_xlfn.XLOOKUP($C1519,Log!D:D,Log!B:B,,,-1)),"")</f>
        <v/>
      </c>
      <c r="O1519" s="35" t="str">
        <f>IFERROR(_xlfn.XLOOKUP($C1519,Log!D:D,Log!W:W,,,-1),"")</f>
        <v/>
      </c>
      <c r="P1519" s="35" t="str">
        <f>IFERROR(_xlfn.XLOOKUP($C1519,Log!D:D,Log!Y:Y,,,-1),"")</f>
        <v/>
      </c>
      <c r="Q1519" s="130"/>
      <c r="R1519" s="131" t="str">
        <f>IFERROR(IF(Tabela1[[#This Row],[Nome fantasia]]="","",_xlfn.XLOOKUP($C1519,Log!D:D,Log!X:X,,,-1)),"")</f>
        <v/>
      </c>
    </row>
    <row r="1520" spans="3:18" hidden="1" x14ac:dyDescent="0.2">
      <c r="C1520" s="30" t="s">
        <v>3456</v>
      </c>
      <c r="D1520" s="110" t="s">
        <v>3457</v>
      </c>
      <c r="E1520" s="33" t="s">
        <v>22</v>
      </c>
      <c r="F1520" s="38"/>
      <c r="G1520" s="38"/>
      <c r="H1520" s="31"/>
      <c r="I1520" s="32"/>
      <c r="J1520" s="32"/>
      <c r="K1520" s="45" t="s">
        <v>888</v>
      </c>
      <c r="L1520" s="129"/>
      <c r="M1520" s="33" t="str">
        <f t="shared" si="23"/>
        <v/>
      </c>
      <c r="N1520" s="34" t="str">
        <f>IFERROR(IF(Tabela1[[#This Row],[Nome fantasia]]="","",_xlfn.XLOOKUP($C1520,Log!D:D,Log!B:B,,,-1)),"")</f>
        <v/>
      </c>
      <c r="O1520" s="35" t="str">
        <f>IFERROR(_xlfn.XLOOKUP($C1520,Log!D:D,Log!W:W,,,-1),"")</f>
        <v/>
      </c>
      <c r="P1520" s="35" t="str">
        <f>IFERROR(_xlfn.XLOOKUP($C1520,Log!D:D,Log!Y:Y,,,-1),"")</f>
        <v/>
      </c>
      <c r="Q1520" s="130"/>
      <c r="R1520" s="131" t="str">
        <f>IFERROR(IF(Tabela1[[#This Row],[Nome fantasia]]="","",_xlfn.XLOOKUP($C1520,Log!D:D,Log!X:X,,,-1)),"")</f>
        <v/>
      </c>
    </row>
    <row r="1521" spans="3:18" hidden="1" x14ac:dyDescent="0.2">
      <c r="C1521" s="30" t="s">
        <v>3458</v>
      </c>
      <c r="D1521" s="110" t="s">
        <v>3459</v>
      </c>
      <c r="E1521" s="33" t="s">
        <v>46</v>
      </c>
      <c r="F1521" s="38"/>
      <c r="G1521" s="38"/>
      <c r="H1521" s="31"/>
      <c r="I1521" s="32"/>
      <c r="J1521" s="32"/>
      <c r="K1521" s="45" t="s">
        <v>888</v>
      </c>
      <c r="L1521" s="129"/>
      <c r="M1521" s="33" t="str">
        <f t="shared" si="23"/>
        <v/>
      </c>
      <c r="N1521" s="34" t="str">
        <f>IFERROR(IF(Tabela1[[#This Row],[Nome fantasia]]="","",_xlfn.XLOOKUP($C1521,Log!D:D,Log!B:B,,,-1)),"")</f>
        <v/>
      </c>
      <c r="O1521" s="35" t="str">
        <f>IFERROR(_xlfn.XLOOKUP($C1521,Log!D:D,Log!W:W,,,-1),"")</f>
        <v/>
      </c>
      <c r="P1521" s="35" t="str">
        <f>IFERROR(_xlfn.XLOOKUP($C1521,Log!D:D,Log!Y:Y,,,-1),"")</f>
        <v/>
      </c>
      <c r="Q1521" s="130"/>
      <c r="R1521" s="131" t="str">
        <f>IFERROR(IF(Tabela1[[#This Row],[Nome fantasia]]="","",_xlfn.XLOOKUP($C1521,Log!D:D,Log!X:X,,,-1)),"")</f>
        <v/>
      </c>
    </row>
    <row r="1522" spans="3:18" hidden="1" x14ac:dyDescent="0.2">
      <c r="C1522" s="30" t="s">
        <v>3460</v>
      </c>
      <c r="D1522" s="110" t="s">
        <v>3461</v>
      </c>
      <c r="E1522" s="33" t="s">
        <v>46</v>
      </c>
      <c r="F1522" s="38"/>
      <c r="G1522" s="38"/>
      <c r="H1522" s="31"/>
      <c r="I1522" s="32"/>
      <c r="J1522" s="32"/>
      <c r="K1522" s="45" t="s">
        <v>888</v>
      </c>
      <c r="L1522" s="129"/>
      <c r="M1522" s="33" t="str">
        <f t="shared" si="23"/>
        <v/>
      </c>
      <c r="N1522" s="34" t="str">
        <f>IFERROR(IF(Tabela1[[#This Row],[Nome fantasia]]="","",_xlfn.XLOOKUP($C1522,Log!D:D,Log!B:B,,,-1)),"")</f>
        <v/>
      </c>
      <c r="O1522" s="35" t="str">
        <f>IFERROR(_xlfn.XLOOKUP($C1522,Log!D:D,Log!W:W,,,-1),"")</f>
        <v/>
      </c>
      <c r="P1522" s="35" t="str">
        <f>IFERROR(_xlfn.XLOOKUP($C1522,Log!D:D,Log!Y:Y,,,-1),"")</f>
        <v/>
      </c>
      <c r="Q1522" s="130"/>
      <c r="R1522" s="131" t="str">
        <f>IFERROR(IF(Tabela1[[#This Row],[Nome fantasia]]="","",_xlfn.XLOOKUP($C1522,Log!D:D,Log!X:X,,,-1)),"")</f>
        <v/>
      </c>
    </row>
    <row r="1523" spans="3:18" hidden="1" x14ac:dyDescent="0.2">
      <c r="C1523" s="30"/>
      <c r="D1523" s="110" t="s">
        <v>3462</v>
      </c>
      <c r="E1523" s="33" t="s">
        <v>22</v>
      </c>
      <c r="F1523" s="38"/>
      <c r="G1523" s="38"/>
      <c r="H1523" s="31"/>
      <c r="I1523" s="32"/>
      <c r="J1523" s="32"/>
      <c r="K1523" s="45" t="s">
        <v>888</v>
      </c>
      <c r="L1523" s="129"/>
      <c r="M1523" s="33" t="str">
        <f t="shared" si="23"/>
        <v/>
      </c>
      <c r="N1523" s="34" t="str">
        <f>IFERROR(IF(Tabela1[[#This Row],[Nome fantasia]]="","",_xlfn.XLOOKUP($C1523,Log!D:D,Log!B:B,,,-1)),"")</f>
        <v/>
      </c>
      <c r="O1523" s="35" t="str">
        <f>IFERROR(_xlfn.XLOOKUP($C1523,Log!D:D,Log!W:W,,,-1),"")</f>
        <v/>
      </c>
      <c r="P1523" s="35" t="str">
        <f>IFERROR(_xlfn.XLOOKUP($C1523,Log!D:D,Log!Y:Y,,,-1),"")</f>
        <v/>
      </c>
      <c r="Q1523" s="130"/>
      <c r="R1523" s="131" t="str">
        <f>IFERROR(IF(Tabela1[[#This Row],[Nome fantasia]]="","",_xlfn.XLOOKUP($C1523,Log!D:D,Log!X:X,,,-1)),"")</f>
        <v/>
      </c>
    </row>
    <row r="1524" spans="3:18" hidden="1" x14ac:dyDescent="0.2">
      <c r="C1524" s="30" t="s">
        <v>3289</v>
      </c>
      <c r="D1524" s="110" t="s">
        <v>3463</v>
      </c>
      <c r="E1524" s="33" t="s">
        <v>22</v>
      </c>
      <c r="F1524" s="38"/>
      <c r="G1524" s="38"/>
      <c r="H1524" s="31"/>
      <c r="I1524" s="32"/>
      <c r="J1524" s="32"/>
      <c r="K1524" s="45" t="s">
        <v>888</v>
      </c>
      <c r="L1524" s="129"/>
      <c r="M1524" s="33" t="str">
        <f t="shared" si="23"/>
        <v/>
      </c>
      <c r="N1524" s="34" t="str">
        <f>IFERROR(IF(Tabela1[[#This Row],[Nome fantasia]]="","",_xlfn.XLOOKUP($C1524,Log!D:D,Log!B:B,,,-1)),"")</f>
        <v/>
      </c>
      <c r="O1524" s="35" t="str">
        <f>IFERROR(_xlfn.XLOOKUP($C1524,Log!D:D,Log!W:W,,,-1),"")</f>
        <v/>
      </c>
      <c r="P1524" s="35" t="str">
        <f>IFERROR(_xlfn.XLOOKUP($C1524,Log!D:D,Log!Y:Y,,,-1),"")</f>
        <v/>
      </c>
      <c r="Q1524" s="130"/>
      <c r="R1524" s="131" t="str">
        <f>IFERROR(IF(Tabela1[[#This Row],[Nome fantasia]]="","",_xlfn.XLOOKUP($C1524,Log!D:D,Log!X:X,,,-1)),"")</f>
        <v/>
      </c>
    </row>
    <row r="1525" spans="3:18" hidden="1" x14ac:dyDescent="0.2">
      <c r="C1525" s="30" t="s">
        <v>3464</v>
      </c>
      <c r="D1525" s="110" t="s">
        <v>3465</v>
      </c>
      <c r="E1525" s="33" t="s">
        <v>46</v>
      </c>
      <c r="F1525" s="38"/>
      <c r="G1525" s="38"/>
      <c r="H1525" s="31"/>
      <c r="I1525" s="32"/>
      <c r="J1525" s="32"/>
      <c r="K1525" s="45" t="s">
        <v>888</v>
      </c>
      <c r="L1525" s="129"/>
      <c r="M1525" s="33" t="str">
        <f t="shared" si="23"/>
        <v/>
      </c>
      <c r="N1525" s="34" t="str">
        <f>IFERROR(IF(Tabela1[[#This Row],[Nome fantasia]]="","",_xlfn.XLOOKUP($C1525,Log!D:D,Log!B:B,,,-1)),"")</f>
        <v/>
      </c>
      <c r="O1525" s="35" t="str">
        <f>IFERROR(_xlfn.XLOOKUP($C1525,Log!D:D,Log!W:W,,,-1),"")</f>
        <v/>
      </c>
      <c r="P1525" s="35" t="str">
        <f>IFERROR(_xlfn.XLOOKUP($C1525,Log!D:D,Log!Y:Y,,,-1),"")</f>
        <v/>
      </c>
      <c r="Q1525" s="130"/>
      <c r="R1525" s="131" t="str">
        <f>IFERROR(IF(Tabela1[[#This Row],[Nome fantasia]]="","",_xlfn.XLOOKUP($C1525,Log!D:D,Log!X:X,,,-1)),"")</f>
        <v/>
      </c>
    </row>
    <row r="1526" spans="3:18" hidden="1" x14ac:dyDescent="0.2">
      <c r="C1526" s="30" t="s">
        <v>1373</v>
      </c>
      <c r="D1526" s="110" t="s">
        <v>3466</v>
      </c>
      <c r="E1526" s="33" t="s">
        <v>46</v>
      </c>
      <c r="F1526" s="38"/>
      <c r="G1526" s="38"/>
      <c r="H1526" s="31"/>
      <c r="I1526" s="32"/>
      <c r="J1526" s="32"/>
      <c r="K1526" s="45" t="s">
        <v>888</v>
      </c>
      <c r="L1526" s="129"/>
      <c r="M1526" s="33" t="str">
        <f t="shared" si="23"/>
        <v/>
      </c>
      <c r="N1526" s="34" t="str">
        <f>IFERROR(IF(Tabela1[[#This Row],[Nome fantasia]]="","",_xlfn.XLOOKUP($C1526,Log!D:D,Log!B:B,,,-1)),"")</f>
        <v/>
      </c>
      <c r="O1526" s="35" t="str">
        <f>IFERROR(_xlfn.XLOOKUP($C1526,Log!D:D,Log!W:W,,,-1),"")</f>
        <v/>
      </c>
      <c r="P1526" s="35" t="str">
        <f>IFERROR(_xlfn.XLOOKUP($C1526,Log!D:D,Log!Y:Y,,,-1),"")</f>
        <v/>
      </c>
      <c r="Q1526" s="130"/>
      <c r="R1526" s="131" t="str">
        <f>IFERROR(IF(Tabela1[[#This Row],[Nome fantasia]]="","",_xlfn.XLOOKUP($C1526,Log!D:D,Log!X:X,,,-1)),"")</f>
        <v/>
      </c>
    </row>
    <row r="1527" spans="3:18" hidden="1" x14ac:dyDescent="0.2">
      <c r="C1527" s="30" t="s">
        <v>1373</v>
      </c>
      <c r="D1527" s="110" t="s">
        <v>3467</v>
      </c>
      <c r="E1527" s="33" t="s">
        <v>46</v>
      </c>
      <c r="F1527" s="38"/>
      <c r="G1527" s="38"/>
      <c r="H1527" s="31"/>
      <c r="I1527" s="32"/>
      <c r="J1527" s="32"/>
      <c r="K1527" s="45" t="s">
        <v>888</v>
      </c>
      <c r="L1527" s="129"/>
      <c r="M1527" s="33" t="str">
        <f t="shared" si="23"/>
        <v/>
      </c>
      <c r="N1527" s="34" t="str">
        <f>IFERROR(IF(Tabela1[[#This Row],[Nome fantasia]]="","",_xlfn.XLOOKUP($C1527,Log!D:D,Log!B:B,,,-1)),"")</f>
        <v/>
      </c>
      <c r="O1527" s="35" t="str">
        <f>IFERROR(_xlfn.XLOOKUP($C1527,Log!D:D,Log!W:W,,,-1),"")</f>
        <v/>
      </c>
      <c r="P1527" s="35" t="str">
        <f>IFERROR(_xlfn.XLOOKUP($C1527,Log!D:D,Log!Y:Y,,,-1),"")</f>
        <v/>
      </c>
      <c r="Q1527" s="130"/>
      <c r="R1527" s="131" t="str">
        <f>IFERROR(IF(Tabela1[[#This Row],[Nome fantasia]]="","",_xlfn.XLOOKUP($C1527,Log!D:D,Log!X:X,,,-1)),"")</f>
        <v/>
      </c>
    </row>
    <row r="1528" spans="3:18" hidden="1" x14ac:dyDescent="0.2">
      <c r="C1528" s="30" t="s">
        <v>3468</v>
      </c>
      <c r="D1528" s="110" t="s">
        <v>3469</v>
      </c>
      <c r="E1528" s="33" t="s">
        <v>17</v>
      </c>
      <c r="F1528" s="38"/>
      <c r="G1528" s="38"/>
      <c r="H1528" s="31"/>
      <c r="I1528" s="32"/>
      <c r="J1528" s="32"/>
      <c r="K1528" s="45" t="s">
        <v>888</v>
      </c>
      <c r="L1528" s="129"/>
      <c r="M1528" s="33" t="str">
        <f t="shared" si="23"/>
        <v/>
      </c>
      <c r="N1528" s="34" t="str">
        <f>IFERROR(IF(Tabela1[[#This Row],[Nome fantasia]]="","",_xlfn.XLOOKUP($C1528,Log!D:D,Log!B:B,,,-1)),"")</f>
        <v/>
      </c>
      <c r="O1528" s="35" t="str">
        <f>IFERROR(_xlfn.XLOOKUP($C1528,Log!D:D,Log!W:W,,,-1),"")</f>
        <v/>
      </c>
      <c r="P1528" s="35" t="str">
        <f>IFERROR(_xlfn.XLOOKUP($C1528,Log!D:D,Log!Y:Y,,,-1),"")</f>
        <v/>
      </c>
      <c r="Q1528" s="130"/>
      <c r="R1528" s="131" t="str">
        <f>IFERROR(IF(Tabela1[[#This Row],[Nome fantasia]]="","",_xlfn.XLOOKUP($C1528,Log!D:D,Log!X:X,,,-1)),"")</f>
        <v/>
      </c>
    </row>
    <row r="1529" spans="3:18" hidden="1" x14ac:dyDescent="0.2">
      <c r="C1529" s="30" t="s">
        <v>3470</v>
      </c>
      <c r="D1529" s="110" t="s">
        <v>3471</v>
      </c>
      <c r="E1529" s="33" t="s">
        <v>46</v>
      </c>
      <c r="F1529" s="38"/>
      <c r="G1529" s="38"/>
      <c r="H1529" s="31"/>
      <c r="I1529" s="32"/>
      <c r="J1529" s="32"/>
      <c r="K1529" s="45" t="s">
        <v>888</v>
      </c>
      <c r="L1529" s="129"/>
      <c r="M1529" s="33" t="str">
        <f t="shared" si="23"/>
        <v/>
      </c>
      <c r="N1529" s="34" t="str">
        <f>IFERROR(IF(Tabela1[[#This Row],[Nome fantasia]]="","",_xlfn.XLOOKUP($C1529,Log!D:D,Log!B:B,,,-1)),"")</f>
        <v/>
      </c>
      <c r="O1529" s="35" t="str">
        <f>IFERROR(_xlfn.XLOOKUP($C1529,Log!D:D,Log!W:W,,,-1),"")</f>
        <v/>
      </c>
      <c r="P1529" s="35" t="str">
        <f>IFERROR(_xlfn.XLOOKUP($C1529,Log!D:D,Log!Y:Y,,,-1),"")</f>
        <v/>
      </c>
      <c r="Q1529" s="130"/>
      <c r="R1529" s="131" t="str">
        <f>IFERROR(IF(Tabela1[[#This Row],[Nome fantasia]]="","",_xlfn.XLOOKUP($C1529,Log!D:D,Log!X:X,,,-1)),"")</f>
        <v/>
      </c>
    </row>
    <row r="1530" spans="3:18" hidden="1" x14ac:dyDescent="0.2">
      <c r="C1530" s="30" t="s">
        <v>3472</v>
      </c>
      <c r="D1530" s="110" t="s">
        <v>3473</v>
      </c>
      <c r="E1530" s="33" t="s">
        <v>46</v>
      </c>
      <c r="F1530" s="38"/>
      <c r="G1530" s="38"/>
      <c r="H1530" s="31"/>
      <c r="I1530" s="32"/>
      <c r="J1530" s="32"/>
      <c r="K1530" s="45" t="s">
        <v>888</v>
      </c>
      <c r="L1530" s="129"/>
      <c r="M1530" s="33" t="str">
        <f t="shared" si="23"/>
        <v/>
      </c>
      <c r="N1530" s="34" t="str">
        <f>IFERROR(IF(Tabela1[[#This Row],[Nome fantasia]]="","",_xlfn.XLOOKUP($C1530,Log!D:D,Log!B:B,,,-1)),"")</f>
        <v/>
      </c>
      <c r="O1530" s="35" t="str">
        <f>IFERROR(_xlfn.XLOOKUP($C1530,Log!D:D,Log!W:W,,,-1),"")</f>
        <v/>
      </c>
      <c r="P1530" s="35" t="str">
        <f>IFERROR(_xlfn.XLOOKUP($C1530,Log!D:D,Log!Y:Y,,,-1),"")</f>
        <v/>
      </c>
      <c r="Q1530" s="130"/>
      <c r="R1530" s="131" t="str">
        <f>IFERROR(IF(Tabela1[[#This Row],[Nome fantasia]]="","",_xlfn.XLOOKUP($C1530,Log!D:D,Log!X:X,,,-1)),"")</f>
        <v/>
      </c>
    </row>
    <row r="1531" spans="3:18" hidden="1" x14ac:dyDescent="0.2">
      <c r="C1531" s="30" t="s">
        <v>3474</v>
      </c>
      <c r="D1531" s="110" t="s">
        <v>3475</v>
      </c>
      <c r="E1531" s="33" t="s">
        <v>46</v>
      </c>
      <c r="F1531" s="38"/>
      <c r="G1531" s="38"/>
      <c r="H1531" s="31"/>
      <c r="I1531" s="32"/>
      <c r="J1531" s="32"/>
      <c r="K1531" s="45" t="s">
        <v>888</v>
      </c>
      <c r="L1531" s="129"/>
      <c r="M1531" s="33" t="str">
        <f t="shared" si="23"/>
        <v/>
      </c>
      <c r="N1531" s="34" t="str">
        <f>IFERROR(IF(Tabela1[[#This Row],[Nome fantasia]]="","",_xlfn.XLOOKUP($C1531,Log!D:D,Log!B:B,,,-1)),"")</f>
        <v/>
      </c>
      <c r="O1531" s="35" t="str">
        <f>IFERROR(_xlfn.XLOOKUP($C1531,Log!D:D,Log!W:W,,,-1),"")</f>
        <v/>
      </c>
      <c r="P1531" s="35" t="str">
        <f>IFERROR(_xlfn.XLOOKUP($C1531,Log!D:D,Log!Y:Y,,,-1),"")</f>
        <v/>
      </c>
      <c r="Q1531" s="130"/>
      <c r="R1531" s="131" t="str">
        <f>IFERROR(IF(Tabela1[[#This Row],[Nome fantasia]]="","",_xlfn.XLOOKUP($C1531,Log!D:D,Log!X:X,,,-1)),"")</f>
        <v/>
      </c>
    </row>
    <row r="1532" spans="3:18" hidden="1" x14ac:dyDescent="0.2">
      <c r="C1532" s="30" t="s">
        <v>3476</v>
      </c>
      <c r="D1532" s="110" t="s">
        <v>3477</v>
      </c>
      <c r="E1532" s="33" t="s">
        <v>46</v>
      </c>
      <c r="F1532" s="38"/>
      <c r="G1532" s="38"/>
      <c r="H1532" s="31"/>
      <c r="I1532" s="32"/>
      <c r="J1532" s="32"/>
      <c r="K1532" s="45" t="s">
        <v>888</v>
      </c>
      <c r="L1532" s="129"/>
      <c r="M1532" s="33" t="str">
        <f t="shared" si="23"/>
        <v/>
      </c>
      <c r="N1532" s="34" t="str">
        <f>IFERROR(IF(Tabela1[[#This Row],[Nome fantasia]]="","",_xlfn.XLOOKUP($C1532,Log!D:D,Log!B:B,,,-1)),"")</f>
        <v/>
      </c>
      <c r="O1532" s="35" t="str">
        <f>IFERROR(_xlfn.XLOOKUP($C1532,Log!D:D,Log!W:W,,,-1),"")</f>
        <v/>
      </c>
      <c r="P1532" s="35" t="str">
        <f>IFERROR(_xlfn.XLOOKUP($C1532,Log!D:D,Log!Y:Y,,,-1),"")</f>
        <v/>
      </c>
      <c r="Q1532" s="130"/>
      <c r="R1532" s="131" t="str">
        <f>IFERROR(IF(Tabela1[[#This Row],[Nome fantasia]]="","",_xlfn.XLOOKUP($C1532,Log!D:D,Log!X:X,,,-1)),"")</f>
        <v/>
      </c>
    </row>
    <row r="1533" spans="3:18" hidden="1" x14ac:dyDescent="0.2">
      <c r="C1533" s="30" t="s">
        <v>3478</v>
      </c>
      <c r="D1533" s="110" t="s">
        <v>3479</v>
      </c>
      <c r="E1533" s="33" t="s">
        <v>46</v>
      </c>
      <c r="F1533" s="38"/>
      <c r="G1533" s="38"/>
      <c r="H1533" s="31"/>
      <c r="I1533" s="32"/>
      <c r="J1533" s="32"/>
      <c r="K1533" s="45" t="s">
        <v>888</v>
      </c>
      <c r="L1533" s="129"/>
      <c r="M1533" s="33" t="str">
        <f t="shared" si="23"/>
        <v/>
      </c>
      <c r="N1533" s="34" t="str">
        <f>IFERROR(IF(Tabela1[[#This Row],[Nome fantasia]]="","",_xlfn.XLOOKUP($C1533,Log!D:D,Log!B:B,,,-1)),"")</f>
        <v/>
      </c>
      <c r="O1533" s="35" t="str">
        <f>IFERROR(_xlfn.XLOOKUP($C1533,Log!D:D,Log!W:W,,,-1),"")</f>
        <v/>
      </c>
      <c r="P1533" s="35" t="str">
        <f>IFERROR(_xlfn.XLOOKUP($C1533,Log!D:D,Log!Y:Y,,,-1),"")</f>
        <v/>
      </c>
      <c r="Q1533" s="130"/>
      <c r="R1533" s="131" t="str">
        <f>IFERROR(IF(Tabela1[[#This Row],[Nome fantasia]]="","",_xlfn.XLOOKUP($C1533,Log!D:D,Log!X:X,,,-1)),"")</f>
        <v/>
      </c>
    </row>
    <row r="1534" spans="3:18" hidden="1" x14ac:dyDescent="0.2">
      <c r="C1534" s="30" t="s">
        <v>3480</v>
      </c>
      <c r="D1534" s="110" t="s">
        <v>3481</v>
      </c>
      <c r="E1534" s="33" t="s">
        <v>17</v>
      </c>
      <c r="F1534" s="38"/>
      <c r="G1534" s="38"/>
      <c r="H1534" s="31"/>
      <c r="I1534" s="32"/>
      <c r="J1534" s="32"/>
      <c r="K1534" s="45" t="s">
        <v>888</v>
      </c>
      <c r="L1534" s="129"/>
      <c r="M1534" s="33" t="str">
        <f t="shared" si="23"/>
        <v/>
      </c>
      <c r="N1534" s="34" t="str">
        <f>IFERROR(IF(Tabela1[[#This Row],[Nome fantasia]]="","",_xlfn.XLOOKUP($C1534,Log!D:D,Log!B:B,,,-1)),"")</f>
        <v/>
      </c>
      <c r="O1534" s="35" t="str">
        <f>IFERROR(_xlfn.XLOOKUP($C1534,Log!D:D,Log!W:W,,,-1),"")</f>
        <v/>
      </c>
      <c r="P1534" s="35" t="str">
        <f>IFERROR(_xlfn.XLOOKUP($C1534,Log!D:D,Log!Y:Y,,,-1),"")</f>
        <v/>
      </c>
      <c r="Q1534" s="130"/>
      <c r="R1534" s="131" t="str">
        <f>IFERROR(IF(Tabela1[[#This Row],[Nome fantasia]]="","",_xlfn.XLOOKUP($C1534,Log!D:D,Log!X:X,,,-1)),"")</f>
        <v/>
      </c>
    </row>
    <row r="1535" spans="3:18" hidden="1" x14ac:dyDescent="0.2">
      <c r="C1535" s="30" t="s">
        <v>3482</v>
      </c>
      <c r="D1535" s="110" t="s">
        <v>3483</v>
      </c>
      <c r="E1535" s="33" t="s">
        <v>46</v>
      </c>
      <c r="F1535" s="38"/>
      <c r="G1535" s="38"/>
      <c r="H1535" s="31"/>
      <c r="I1535" s="32"/>
      <c r="J1535" s="32"/>
      <c r="K1535" s="45" t="s">
        <v>888</v>
      </c>
      <c r="L1535" s="129"/>
      <c r="M1535" s="33" t="str">
        <f t="shared" si="23"/>
        <v/>
      </c>
      <c r="N1535" s="34">
        <f>IFERROR(IF(Tabela1[[#This Row],[Nome fantasia]]="","",_xlfn.XLOOKUP($C1535,Log!D:D,Log!B:B,,,-1)),"")</f>
        <v>45999</v>
      </c>
      <c r="O1535" s="35" t="str">
        <f>IFERROR(_xlfn.XLOOKUP($C1535,Log!D:D,Log!W:W,,,-1),"")</f>
        <v>EM ATENDIMENTO</v>
      </c>
      <c r="P1535" s="35" t="str">
        <f>IFERROR(_xlfn.XLOOKUP($C1535,Log!D:D,Log!Y:Y,,,-1),"")</f>
        <v>CLIENTE ATENDEU E PEDIU PARA ENVIAR O CATALOGO PARA ELA</v>
      </c>
      <c r="Q1535" s="130"/>
      <c r="R1535" s="131">
        <f>IFERROR(IF(Tabela1[[#This Row],[Nome fantasia]]="","",_xlfn.XLOOKUP($C1535,Log!D:D,Log!X:X,,,-1)),"")</f>
        <v>46001</v>
      </c>
    </row>
    <row r="1536" spans="3:18" hidden="1" x14ac:dyDescent="0.2">
      <c r="C1536" s="30" t="s">
        <v>3484</v>
      </c>
      <c r="D1536" s="110" t="s">
        <v>3485</v>
      </c>
      <c r="E1536" s="33" t="s">
        <v>46</v>
      </c>
      <c r="F1536" s="38"/>
      <c r="G1536" s="38"/>
      <c r="H1536" s="31"/>
      <c r="I1536" s="32"/>
      <c r="J1536" s="32"/>
      <c r="K1536" s="45" t="s">
        <v>888</v>
      </c>
      <c r="L1536" s="129"/>
      <c r="M1536" s="33" t="str">
        <f t="shared" si="23"/>
        <v/>
      </c>
      <c r="N1536" s="34" t="str">
        <f>IFERROR(IF(Tabela1[[#This Row],[Nome fantasia]]="","",_xlfn.XLOOKUP($C1536,Log!D:D,Log!B:B,,,-1)),"")</f>
        <v/>
      </c>
      <c r="O1536" s="35" t="str">
        <f>IFERROR(_xlfn.XLOOKUP($C1536,Log!D:D,Log!W:W,,,-1),"")</f>
        <v/>
      </c>
      <c r="P1536" s="35" t="str">
        <f>IFERROR(_xlfn.XLOOKUP($C1536,Log!D:D,Log!Y:Y,,,-1),"")</f>
        <v/>
      </c>
      <c r="Q1536" s="130"/>
      <c r="R1536" s="131" t="str">
        <f>IFERROR(IF(Tabela1[[#This Row],[Nome fantasia]]="","",_xlfn.XLOOKUP($C1536,Log!D:D,Log!X:X,,,-1)),"")</f>
        <v/>
      </c>
    </row>
    <row r="1537" spans="3:18" hidden="1" x14ac:dyDescent="0.2">
      <c r="C1537" s="30" t="s">
        <v>3486</v>
      </c>
      <c r="D1537" s="110" t="s">
        <v>3487</v>
      </c>
      <c r="E1537" s="33" t="s">
        <v>46</v>
      </c>
      <c r="F1537" s="38"/>
      <c r="G1537" s="38"/>
      <c r="H1537" s="31"/>
      <c r="I1537" s="32"/>
      <c r="J1537" s="32"/>
      <c r="K1537" s="45" t="s">
        <v>888</v>
      </c>
      <c r="L1537" s="129"/>
      <c r="M1537" s="33" t="str">
        <f t="shared" si="23"/>
        <v/>
      </c>
      <c r="N1537" s="34" t="str">
        <f>IFERROR(IF(Tabela1[[#This Row],[Nome fantasia]]="","",_xlfn.XLOOKUP($C1537,Log!D:D,Log!B:B,,,-1)),"")</f>
        <v/>
      </c>
      <c r="O1537" s="35" t="str">
        <f>IFERROR(_xlfn.XLOOKUP($C1537,Log!D:D,Log!W:W,,,-1),"")</f>
        <v/>
      </c>
      <c r="P1537" s="35" t="str">
        <f>IFERROR(_xlfn.XLOOKUP($C1537,Log!D:D,Log!Y:Y,,,-1),"")</f>
        <v/>
      </c>
      <c r="Q1537" s="130"/>
      <c r="R1537" s="131" t="str">
        <f>IFERROR(IF(Tabela1[[#This Row],[Nome fantasia]]="","",_xlfn.XLOOKUP($C1537,Log!D:D,Log!X:X,,,-1)),"")</f>
        <v/>
      </c>
    </row>
    <row r="1538" spans="3:18" hidden="1" x14ac:dyDescent="0.2">
      <c r="C1538" s="30" t="s">
        <v>3488</v>
      </c>
      <c r="D1538" s="110" t="s">
        <v>3489</v>
      </c>
      <c r="E1538" s="33" t="s">
        <v>46</v>
      </c>
      <c r="F1538" s="38"/>
      <c r="G1538" s="38"/>
      <c r="H1538" s="31"/>
      <c r="I1538" s="32"/>
      <c r="J1538" s="32"/>
      <c r="K1538" s="45" t="s">
        <v>888</v>
      </c>
      <c r="L1538" s="129"/>
      <c r="M1538" s="33" t="str">
        <f t="shared" si="23"/>
        <v/>
      </c>
      <c r="N1538" s="34" t="str">
        <f>IFERROR(IF(Tabela1[[#This Row],[Nome fantasia]]="","",_xlfn.XLOOKUP($C1538,Log!D:D,Log!B:B,,,-1)),"")</f>
        <v/>
      </c>
      <c r="O1538" s="35" t="str">
        <f>IFERROR(_xlfn.XLOOKUP($C1538,Log!D:D,Log!W:W,,,-1),"")</f>
        <v/>
      </c>
      <c r="P1538" s="35" t="str">
        <f>IFERROR(_xlfn.XLOOKUP($C1538,Log!D:D,Log!Y:Y,,,-1),"")</f>
        <v/>
      </c>
      <c r="Q1538" s="130"/>
      <c r="R1538" s="131" t="str">
        <f>IFERROR(IF(Tabela1[[#This Row],[Nome fantasia]]="","",_xlfn.XLOOKUP($C1538,Log!D:D,Log!X:X,,,-1)),"")</f>
        <v/>
      </c>
    </row>
    <row r="1539" spans="3:18" hidden="1" x14ac:dyDescent="0.2">
      <c r="C1539" s="30" t="s">
        <v>3490</v>
      </c>
      <c r="D1539" s="110" t="s">
        <v>3491</v>
      </c>
      <c r="E1539" s="33" t="s">
        <v>22</v>
      </c>
      <c r="F1539" s="38"/>
      <c r="G1539" s="38"/>
      <c r="H1539" s="31"/>
      <c r="I1539" s="32"/>
      <c r="J1539" s="32"/>
      <c r="K1539" s="45" t="s">
        <v>888</v>
      </c>
      <c r="L1539" s="129"/>
      <c r="M1539" s="33" t="str">
        <f t="shared" ref="M1539:M1602" si="24">IF(OR(J1539&lt;=0,J1539=""),"","Recompra")</f>
        <v/>
      </c>
      <c r="N1539" s="34" t="str">
        <f>IFERROR(IF(Tabela1[[#This Row],[Nome fantasia]]="","",_xlfn.XLOOKUP($C1539,Log!D:D,Log!B:B,,,-1)),"")</f>
        <v/>
      </c>
      <c r="O1539" s="35" t="str">
        <f>IFERROR(_xlfn.XLOOKUP($C1539,Log!D:D,Log!W:W,,,-1),"")</f>
        <v/>
      </c>
      <c r="P1539" s="35" t="str">
        <f>IFERROR(_xlfn.XLOOKUP($C1539,Log!D:D,Log!Y:Y,,,-1),"")</f>
        <v/>
      </c>
      <c r="Q1539" s="130"/>
      <c r="R1539" s="131" t="str">
        <f>IFERROR(IF(Tabela1[[#This Row],[Nome fantasia]]="","",_xlfn.XLOOKUP($C1539,Log!D:D,Log!X:X,,,-1)),"")</f>
        <v/>
      </c>
    </row>
    <row r="1540" spans="3:18" hidden="1" x14ac:dyDescent="0.2">
      <c r="C1540" s="30" t="s">
        <v>3492</v>
      </c>
      <c r="D1540" s="110" t="s">
        <v>3493</v>
      </c>
      <c r="E1540" s="33" t="s">
        <v>22</v>
      </c>
      <c r="F1540" s="38"/>
      <c r="G1540" s="38"/>
      <c r="H1540" s="31"/>
      <c r="I1540" s="32"/>
      <c r="J1540" s="32"/>
      <c r="K1540" s="45" t="s">
        <v>888</v>
      </c>
      <c r="L1540" s="129"/>
      <c r="M1540" s="33" t="str">
        <f t="shared" si="24"/>
        <v/>
      </c>
      <c r="N1540" s="34" t="str">
        <f>IFERROR(IF(Tabela1[[#This Row],[Nome fantasia]]="","",_xlfn.XLOOKUP($C1540,Log!D:D,Log!B:B,,,-1)),"")</f>
        <v/>
      </c>
      <c r="O1540" s="35" t="str">
        <f>IFERROR(_xlfn.XLOOKUP($C1540,Log!D:D,Log!W:W,,,-1),"")</f>
        <v/>
      </c>
      <c r="P1540" s="35" t="str">
        <f>IFERROR(_xlfn.XLOOKUP($C1540,Log!D:D,Log!Y:Y,,,-1),"")</f>
        <v/>
      </c>
      <c r="Q1540" s="130"/>
      <c r="R1540" s="131" t="str">
        <f>IFERROR(IF(Tabela1[[#This Row],[Nome fantasia]]="","",_xlfn.XLOOKUP($C1540,Log!D:D,Log!X:X,,,-1)),"")</f>
        <v/>
      </c>
    </row>
    <row r="1541" spans="3:18" hidden="1" x14ac:dyDescent="0.2">
      <c r="C1541" s="30" t="s">
        <v>3494</v>
      </c>
      <c r="D1541" s="110" t="s">
        <v>3495</v>
      </c>
      <c r="E1541" s="33" t="s">
        <v>46</v>
      </c>
      <c r="F1541" s="38"/>
      <c r="G1541" s="38"/>
      <c r="H1541" s="31"/>
      <c r="I1541" s="32"/>
      <c r="J1541" s="32"/>
      <c r="K1541" s="45" t="s">
        <v>888</v>
      </c>
      <c r="L1541" s="129"/>
      <c r="M1541" s="33" t="str">
        <f t="shared" si="24"/>
        <v/>
      </c>
      <c r="N1541" s="34" t="str">
        <f>IFERROR(IF(Tabela1[[#This Row],[Nome fantasia]]="","",_xlfn.XLOOKUP($C1541,Log!D:D,Log!B:B,,,-1)),"")</f>
        <v/>
      </c>
      <c r="O1541" s="35" t="str">
        <f>IFERROR(_xlfn.XLOOKUP($C1541,Log!D:D,Log!W:W,,,-1),"")</f>
        <v/>
      </c>
      <c r="P1541" s="35" t="str">
        <f>IFERROR(_xlfn.XLOOKUP($C1541,Log!D:D,Log!Y:Y,,,-1),"")</f>
        <v/>
      </c>
      <c r="Q1541" s="130"/>
      <c r="R1541" s="131" t="str">
        <f>IFERROR(IF(Tabela1[[#This Row],[Nome fantasia]]="","",_xlfn.XLOOKUP($C1541,Log!D:D,Log!X:X,,,-1)),"")</f>
        <v/>
      </c>
    </row>
    <row r="1542" spans="3:18" hidden="1" x14ac:dyDescent="0.2">
      <c r="C1542" s="30" t="s">
        <v>3484</v>
      </c>
      <c r="D1542" s="110" t="s">
        <v>3496</v>
      </c>
      <c r="E1542" s="33" t="s">
        <v>46</v>
      </c>
      <c r="F1542" s="38"/>
      <c r="G1542" s="38"/>
      <c r="H1542" s="31"/>
      <c r="I1542" s="32"/>
      <c r="J1542" s="32"/>
      <c r="K1542" s="45" t="s">
        <v>888</v>
      </c>
      <c r="L1542" s="129"/>
      <c r="M1542" s="33" t="str">
        <f t="shared" si="24"/>
        <v/>
      </c>
      <c r="N1542" s="34" t="str">
        <f>IFERROR(IF(Tabela1[[#This Row],[Nome fantasia]]="","",_xlfn.XLOOKUP($C1542,Log!D:D,Log!B:B,,,-1)),"")</f>
        <v/>
      </c>
      <c r="O1542" s="35" t="str">
        <f>IFERROR(_xlfn.XLOOKUP($C1542,Log!D:D,Log!W:W,,,-1),"")</f>
        <v/>
      </c>
      <c r="P1542" s="35" t="str">
        <f>IFERROR(_xlfn.XLOOKUP($C1542,Log!D:D,Log!Y:Y,,,-1),"")</f>
        <v/>
      </c>
      <c r="Q1542" s="130"/>
      <c r="R1542" s="131" t="str">
        <f>IFERROR(IF(Tabela1[[#This Row],[Nome fantasia]]="","",_xlfn.XLOOKUP($C1542,Log!D:D,Log!X:X,,,-1)),"")</f>
        <v/>
      </c>
    </row>
    <row r="1543" spans="3:18" hidden="1" x14ac:dyDescent="0.2">
      <c r="C1543" s="30" t="s">
        <v>3497</v>
      </c>
      <c r="D1543" s="110" t="s">
        <v>3498</v>
      </c>
      <c r="E1543" s="33" t="s">
        <v>46</v>
      </c>
      <c r="F1543" s="38"/>
      <c r="G1543" s="38"/>
      <c r="H1543" s="31"/>
      <c r="I1543" s="32"/>
      <c r="J1543" s="32"/>
      <c r="K1543" s="45" t="s">
        <v>888</v>
      </c>
      <c r="L1543" s="129"/>
      <c r="M1543" s="33" t="str">
        <f t="shared" si="24"/>
        <v/>
      </c>
      <c r="N1543" s="34" t="str">
        <f>IFERROR(IF(Tabela1[[#This Row],[Nome fantasia]]="","",_xlfn.XLOOKUP($C1543,Log!D:D,Log!B:B,,,-1)),"")</f>
        <v/>
      </c>
      <c r="O1543" s="35" t="str">
        <f>IFERROR(_xlfn.XLOOKUP($C1543,Log!D:D,Log!W:W,,,-1),"")</f>
        <v/>
      </c>
      <c r="P1543" s="35" t="str">
        <f>IFERROR(_xlfn.XLOOKUP($C1543,Log!D:D,Log!Y:Y,,,-1),"")</f>
        <v/>
      </c>
      <c r="Q1543" s="130"/>
      <c r="R1543" s="131" t="str">
        <f>IFERROR(IF(Tabela1[[#This Row],[Nome fantasia]]="","",_xlfn.XLOOKUP($C1543,Log!D:D,Log!X:X,,,-1)),"")</f>
        <v/>
      </c>
    </row>
    <row r="1544" spans="3:18" hidden="1" x14ac:dyDescent="0.2">
      <c r="C1544" s="30" t="s">
        <v>3499</v>
      </c>
      <c r="D1544" s="110" t="s">
        <v>3500</v>
      </c>
      <c r="E1544" s="33" t="s">
        <v>22</v>
      </c>
      <c r="F1544" s="38"/>
      <c r="G1544" s="38"/>
      <c r="H1544" s="31"/>
      <c r="I1544" s="32"/>
      <c r="J1544" s="32"/>
      <c r="K1544" s="45" t="s">
        <v>888</v>
      </c>
      <c r="L1544" s="129"/>
      <c r="M1544" s="33" t="str">
        <f t="shared" si="24"/>
        <v/>
      </c>
      <c r="N1544" s="34" t="str">
        <f>IFERROR(IF(Tabela1[[#This Row],[Nome fantasia]]="","",_xlfn.XLOOKUP($C1544,Log!D:D,Log!B:B,,,-1)),"")</f>
        <v/>
      </c>
      <c r="O1544" s="35" t="str">
        <f>IFERROR(_xlfn.XLOOKUP($C1544,Log!D:D,Log!W:W,,,-1),"")</f>
        <v/>
      </c>
      <c r="P1544" s="35" t="str">
        <f>IFERROR(_xlfn.XLOOKUP($C1544,Log!D:D,Log!Y:Y,,,-1),"")</f>
        <v/>
      </c>
      <c r="Q1544" s="130"/>
      <c r="R1544" s="131" t="str">
        <f>IFERROR(IF(Tabela1[[#This Row],[Nome fantasia]]="","",_xlfn.XLOOKUP($C1544,Log!D:D,Log!X:X,,,-1)),"")</f>
        <v/>
      </c>
    </row>
    <row r="1545" spans="3:18" hidden="1" x14ac:dyDescent="0.2">
      <c r="C1545" s="30" t="s">
        <v>3501</v>
      </c>
      <c r="D1545" s="110" t="s">
        <v>3502</v>
      </c>
      <c r="E1545" s="33" t="s">
        <v>22</v>
      </c>
      <c r="F1545" s="38"/>
      <c r="G1545" s="38"/>
      <c r="H1545" s="31"/>
      <c r="I1545" s="32"/>
      <c r="J1545" s="32"/>
      <c r="K1545" s="45" t="s">
        <v>888</v>
      </c>
      <c r="L1545" s="129"/>
      <c r="M1545" s="33" t="str">
        <f t="shared" si="24"/>
        <v/>
      </c>
      <c r="N1545" s="34" t="str">
        <f>IFERROR(IF(Tabela1[[#This Row],[Nome fantasia]]="","",_xlfn.XLOOKUP($C1545,Log!D:D,Log!B:B,,,-1)),"")</f>
        <v/>
      </c>
      <c r="O1545" s="35" t="str">
        <f>IFERROR(_xlfn.XLOOKUP($C1545,Log!D:D,Log!W:W,,,-1),"")</f>
        <v/>
      </c>
      <c r="P1545" s="35" t="str">
        <f>IFERROR(_xlfn.XLOOKUP($C1545,Log!D:D,Log!Y:Y,,,-1),"")</f>
        <v/>
      </c>
      <c r="Q1545" s="130"/>
      <c r="R1545" s="131" t="str">
        <f>IFERROR(IF(Tabela1[[#This Row],[Nome fantasia]]="","",_xlfn.XLOOKUP($C1545,Log!D:D,Log!X:X,,,-1)),"")</f>
        <v/>
      </c>
    </row>
    <row r="1546" spans="3:18" hidden="1" x14ac:dyDescent="0.2">
      <c r="C1546" s="30" t="s">
        <v>3503</v>
      </c>
      <c r="D1546" s="110" t="s">
        <v>3504</v>
      </c>
      <c r="E1546" s="33" t="s">
        <v>22</v>
      </c>
      <c r="F1546" s="38"/>
      <c r="G1546" s="38"/>
      <c r="H1546" s="31"/>
      <c r="I1546" s="32"/>
      <c r="J1546" s="32"/>
      <c r="K1546" s="45" t="s">
        <v>888</v>
      </c>
      <c r="L1546" s="129"/>
      <c r="M1546" s="33" t="str">
        <f t="shared" si="24"/>
        <v/>
      </c>
      <c r="N1546" s="34" t="str">
        <f>IFERROR(IF(Tabela1[[#This Row],[Nome fantasia]]="","",_xlfn.XLOOKUP($C1546,Log!D:D,Log!B:B,,,-1)),"")</f>
        <v/>
      </c>
      <c r="O1546" s="35" t="str">
        <f>IFERROR(_xlfn.XLOOKUP($C1546,Log!D:D,Log!W:W,,,-1),"")</f>
        <v/>
      </c>
      <c r="P1546" s="35" t="str">
        <f>IFERROR(_xlfn.XLOOKUP($C1546,Log!D:D,Log!Y:Y,,,-1),"")</f>
        <v/>
      </c>
      <c r="Q1546" s="130"/>
      <c r="R1546" s="131" t="str">
        <f>IFERROR(IF(Tabela1[[#This Row],[Nome fantasia]]="","",_xlfn.XLOOKUP($C1546,Log!D:D,Log!X:X,,,-1)),"")</f>
        <v/>
      </c>
    </row>
    <row r="1547" spans="3:18" hidden="1" x14ac:dyDescent="0.2">
      <c r="C1547" s="30" t="s">
        <v>3505</v>
      </c>
      <c r="D1547" s="110" t="s">
        <v>3506</v>
      </c>
      <c r="E1547" s="33" t="s">
        <v>22</v>
      </c>
      <c r="F1547" s="38"/>
      <c r="G1547" s="38"/>
      <c r="H1547" s="31"/>
      <c r="I1547" s="32"/>
      <c r="J1547" s="32"/>
      <c r="K1547" s="45" t="s">
        <v>888</v>
      </c>
      <c r="L1547" s="129"/>
      <c r="M1547" s="33" t="str">
        <f t="shared" si="24"/>
        <v/>
      </c>
      <c r="N1547" s="34" t="str">
        <f>IFERROR(IF(Tabela1[[#This Row],[Nome fantasia]]="","",_xlfn.XLOOKUP($C1547,Log!D:D,Log!B:B,,,-1)),"")</f>
        <v/>
      </c>
      <c r="O1547" s="35" t="str">
        <f>IFERROR(_xlfn.XLOOKUP($C1547,Log!D:D,Log!W:W,,,-1),"")</f>
        <v/>
      </c>
      <c r="P1547" s="35" t="str">
        <f>IFERROR(_xlfn.XLOOKUP($C1547,Log!D:D,Log!Y:Y,,,-1),"")</f>
        <v/>
      </c>
      <c r="Q1547" s="130"/>
      <c r="R1547" s="131" t="str">
        <f>IFERROR(IF(Tabela1[[#This Row],[Nome fantasia]]="","",_xlfn.XLOOKUP($C1547,Log!D:D,Log!X:X,,,-1)),"")</f>
        <v/>
      </c>
    </row>
    <row r="1548" spans="3:18" hidden="1" x14ac:dyDescent="0.2">
      <c r="C1548" s="30" t="s">
        <v>3507</v>
      </c>
      <c r="D1548" s="110" t="s">
        <v>3508</v>
      </c>
      <c r="E1548" s="33" t="s">
        <v>17</v>
      </c>
      <c r="F1548" s="38"/>
      <c r="G1548" s="38"/>
      <c r="H1548" s="31"/>
      <c r="I1548" s="32"/>
      <c r="J1548" s="32"/>
      <c r="K1548" s="45" t="s">
        <v>888</v>
      </c>
      <c r="L1548" s="129"/>
      <c r="M1548" s="33" t="str">
        <f t="shared" si="24"/>
        <v/>
      </c>
      <c r="N1548" s="34" t="str">
        <f>IFERROR(IF(Tabela1[[#This Row],[Nome fantasia]]="","",_xlfn.XLOOKUP($C1548,Log!D:D,Log!B:B,,,-1)),"")</f>
        <v/>
      </c>
      <c r="O1548" s="35" t="str">
        <f>IFERROR(_xlfn.XLOOKUP($C1548,Log!D:D,Log!W:W,,,-1),"")</f>
        <v/>
      </c>
      <c r="P1548" s="35" t="str">
        <f>IFERROR(_xlfn.XLOOKUP($C1548,Log!D:D,Log!Y:Y,,,-1),"")</f>
        <v/>
      </c>
      <c r="Q1548" s="130"/>
      <c r="R1548" s="131" t="str">
        <f>IFERROR(IF(Tabela1[[#This Row],[Nome fantasia]]="","",_xlfn.XLOOKUP($C1548,Log!D:D,Log!X:X,,,-1)),"")</f>
        <v/>
      </c>
    </row>
    <row r="1549" spans="3:18" hidden="1" x14ac:dyDescent="0.2">
      <c r="C1549" s="30"/>
      <c r="D1549" s="110" t="s">
        <v>3509</v>
      </c>
      <c r="E1549" s="33" t="s">
        <v>46</v>
      </c>
      <c r="F1549" s="38"/>
      <c r="G1549" s="38"/>
      <c r="H1549" s="31"/>
      <c r="I1549" s="32"/>
      <c r="J1549" s="32"/>
      <c r="K1549" s="45" t="s">
        <v>888</v>
      </c>
      <c r="L1549" s="129"/>
      <c r="M1549" s="33" t="str">
        <f t="shared" si="24"/>
        <v/>
      </c>
      <c r="N1549" s="34" t="str">
        <f>IFERROR(IF(Tabela1[[#This Row],[Nome fantasia]]="","",_xlfn.XLOOKUP($C1549,Log!D:D,Log!B:B,,,-1)),"")</f>
        <v/>
      </c>
      <c r="O1549" s="35" t="str">
        <f>IFERROR(_xlfn.XLOOKUP($C1549,Log!D:D,Log!W:W,,,-1),"")</f>
        <v/>
      </c>
      <c r="P1549" s="35" t="str">
        <f>IFERROR(_xlfn.XLOOKUP($C1549,Log!D:D,Log!Y:Y,,,-1),"")</f>
        <v/>
      </c>
      <c r="Q1549" s="130"/>
      <c r="R1549" s="131" t="str">
        <f>IFERROR(IF(Tabela1[[#This Row],[Nome fantasia]]="","",_xlfn.XLOOKUP($C1549,Log!D:D,Log!X:X,,,-1)),"")</f>
        <v/>
      </c>
    </row>
    <row r="1550" spans="3:18" hidden="1" x14ac:dyDescent="0.2">
      <c r="C1550" s="30" t="s">
        <v>3510</v>
      </c>
      <c r="D1550" s="110" t="s">
        <v>3511</v>
      </c>
      <c r="E1550" s="33" t="s">
        <v>22</v>
      </c>
      <c r="F1550" s="38"/>
      <c r="G1550" s="38"/>
      <c r="H1550" s="31"/>
      <c r="I1550" s="32"/>
      <c r="J1550" s="32"/>
      <c r="K1550" s="45" t="s">
        <v>888</v>
      </c>
      <c r="L1550" s="129"/>
      <c r="M1550" s="33" t="str">
        <f t="shared" si="24"/>
        <v/>
      </c>
      <c r="N1550" s="34" t="str">
        <f>IFERROR(IF(Tabela1[[#This Row],[Nome fantasia]]="","",_xlfn.XLOOKUP($C1550,Log!D:D,Log!B:B,,,-1)),"")</f>
        <v/>
      </c>
      <c r="O1550" s="35" t="str">
        <f>IFERROR(_xlfn.XLOOKUP($C1550,Log!D:D,Log!W:W,,,-1),"")</f>
        <v/>
      </c>
      <c r="P1550" s="35" t="str">
        <f>IFERROR(_xlfn.XLOOKUP($C1550,Log!D:D,Log!Y:Y,,,-1),"")</f>
        <v/>
      </c>
      <c r="Q1550" s="130"/>
      <c r="R1550" s="131" t="str">
        <f>IFERROR(IF(Tabela1[[#This Row],[Nome fantasia]]="","",_xlfn.XLOOKUP($C1550,Log!D:D,Log!X:X,,,-1)),"")</f>
        <v/>
      </c>
    </row>
    <row r="1551" spans="3:18" hidden="1" x14ac:dyDescent="0.2">
      <c r="C1551" s="30" t="s">
        <v>3512</v>
      </c>
      <c r="D1551" s="110" t="s">
        <v>3513</v>
      </c>
      <c r="E1551" s="33" t="s">
        <v>46</v>
      </c>
      <c r="F1551" s="38"/>
      <c r="G1551" s="38"/>
      <c r="H1551" s="31"/>
      <c r="I1551" s="32"/>
      <c r="J1551" s="32"/>
      <c r="K1551" s="45" t="s">
        <v>888</v>
      </c>
      <c r="L1551" s="129"/>
      <c r="M1551" s="33" t="str">
        <f t="shared" si="24"/>
        <v/>
      </c>
      <c r="N1551" s="34" t="str">
        <f>IFERROR(IF(Tabela1[[#This Row],[Nome fantasia]]="","",_xlfn.XLOOKUP($C1551,Log!D:D,Log!B:B,,,-1)),"")</f>
        <v/>
      </c>
      <c r="O1551" s="35" t="str">
        <f>IFERROR(_xlfn.XLOOKUP($C1551,Log!D:D,Log!W:W,,,-1),"")</f>
        <v/>
      </c>
      <c r="P1551" s="35" t="str">
        <f>IFERROR(_xlfn.XLOOKUP($C1551,Log!D:D,Log!Y:Y,,,-1),"")</f>
        <v/>
      </c>
      <c r="Q1551" s="130"/>
      <c r="R1551" s="131" t="str">
        <f>IFERROR(IF(Tabela1[[#This Row],[Nome fantasia]]="","",_xlfn.XLOOKUP($C1551,Log!D:D,Log!X:X,,,-1)),"")</f>
        <v/>
      </c>
    </row>
    <row r="1552" spans="3:18" hidden="1" x14ac:dyDescent="0.2">
      <c r="C1552" s="30" t="s">
        <v>1154</v>
      </c>
      <c r="D1552" s="110" t="s">
        <v>3514</v>
      </c>
      <c r="E1552" s="33" t="s">
        <v>46</v>
      </c>
      <c r="F1552" s="38"/>
      <c r="G1552" s="38"/>
      <c r="H1552" s="31"/>
      <c r="I1552" s="32"/>
      <c r="J1552" s="32"/>
      <c r="K1552" s="45" t="s">
        <v>888</v>
      </c>
      <c r="L1552" s="129"/>
      <c r="M1552" s="33" t="str">
        <f t="shared" si="24"/>
        <v/>
      </c>
      <c r="N1552" s="34" t="str">
        <f>IFERROR(IF(Tabela1[[#This Row],[Nome fantasia]]="","",_xlfn.XLOOKUP($C1552,Log!D:D,Log!B:B,,,-1)),"")</f>
        <v/>
      </c>
      <c r="O1552" s="35" t="str">
        <f>IFERROR(_xlfn.XLOOKUP($C1552,Log!D:D,Log!W:W,,,-1),"")</f>
        <v/>
      </c>
      <c r="P1552" s="35" t="str">
        <f>IFERROR(_xlfn.XLOOKUP($C1552,Log!D:D,Log!Y:Y,,,-1),"")</f>
        <v/>
      </c>
      <c r="Q1552" s="130"/>
      <c r="R1552" s="131" t="str">
        <f>IFERROR(IF(Tabela1[[#This Row],[Nome fantasia]]="","",_xlfn.XLOOKUP($C1552,Log!D:D,Log!X:X,,,-1)),"")</f>
        <v/>
      </c>
    </row>
    <row r="1553" spans="3:18" hidden="1" x14ac:dyDescent="0.2">
      <c r="C1553" s="30" t="s">
        <v>3515</v>
      </c>
      <c r="D1553" s="110" t="s">
        <v>3516</v>
      </c>
      <c r="E1553" s="33" t="s">
        <v>46</v>
      </c>
      <c r="F1553" s="38"/>
      <c r="G1553" s="38"/>
      <c r="H1553" s="31"/>
      <c r="I1553" s="32"/>
      <c r="J1553" s="32"/>
      <c r="K1553" s="45" t="s">
        <v>888</v>
      </c>
      <c r="L1553" s="129"/>
      <c r="M1553" s="33" t="str">
        <f t="shared" si="24"/>
        <v/>
      </c>
      <c r="N1553" s="34" t="str">
        <f>IFERROR(IF(Tabela1[[#This Row],[Nome fantasia]]="","",_xlfn.XLOOKUP($C1553,Log!D:D,Log!B:B,,,-1)),"")</f>
        <v/>
      </c>
      <c r="O1553" s="35" t="str">
        <f>IFERROR(_xlfn.XLOOKUP($C1553,Log!D:D,Log!W:W,,,-1),"")</f>
        <v/>
      </c>
      <c r="P1553" s="35" t="str">
        <f>IFERROR(_xlfn.XLOOKUP($C1553,Log!D:D,Log!Y:Y,,,-1),"")</f>
        <v/>
      </c>
      <c r="Q1553" s="130"/>
      <c r="R1553" s="131" t="str">
        <f>IFERROR(IF(Tabela1[[#This Row],[Nome fantasia]]="","",_xlfn.XLOOKUP($C1553,Log!D:D,Log!X:X,,,-1)),"")</f>
        <v/>
      </c>
    </row>
    <row r="1554" spans="3:18" hidden="1" x14ac:dyDescent="0.2">
      <c r="C1554" s="30" t="s">
        <v>3517</v>
      </c>
      <c r="D1554" s="110" t="s">
        <v>3518</v>
      </c>
      <c r="E1554" s="33" t="s">
        <v>22</v>
      </c>
      <c r="F1554" s="38"/>
      <c r="G1554" s="38"/>
      <c r="H1554" s="31"/>
      <c r="I1554" s="32"/>
      <c r="J1554" s="32"/>
      <c r="K1554" s="45" t="s">
        <v>888</v>
      </c>
      <c r="L1554" s="129"/>
      <c r="M1554" s="33" t="str">
        <f t="shared" si="24"/>
        <v/>
      </c>
      <c r="N1554" s="34" t="str">
        <f>IFERROR(IF(Tabela1[[#This Row],[Nome fantasia]]="","",_xlfn.XLOOKUP($C1554,Log!D:D,Log!B:B,,,-1)),"")</f>
        <v/>
      </c>
      <c r="O1554" s="35" t="str">
        <f>IFERROR(_xlfn.XLOOKUP($C1554,Log!D:D,Log!W:W,,,-1),"")</f>
        <v/>
      </c>
      <c r="P1554" s="35" t="str">
        <f>IFERROR(_xlfn.XLOOKUP($C1554,Log!D:D,Log!Y:Y,,,-1),"")</f>
        <v/>
      </c>
      <c r="Q1554" s="130"/>
      <c r="R1554" s="131" t="str">
        <f>IFERROR(IF(Tabela1[[#This Row],[Nome fantasia]]="","",_xlfn.XLOOKUP($C1554,Log!D:D,Log!X:X,,,-1)),"")</f>
        <v/>
      </c>
    </row>
    <row r="1555" spans="3:18" hidden="1" x14ac:dyDescent="0.2">
      <c r="C1555" s="30" t="s">
        <v>3519</v>
      </c>
      <c r="D1555" s="110" t="s">
        <v>3520</v>
      </c>
      <c r="E1555" s="33" t="s">
        <v>46</v>
      </c>
      <c r="F1555" s="38"/>
      <c r="G1555" s="38"/>
      <c r="H1555" s="31"/>
      <c r="I1555" s="32"/>
      <c r="J1555" s="32"/>
      <c r="K1555" s="45" t="s">
        <v>888</v>
      </c>
      <c r="L1555" s="129"/>
      <c r="M1555" s="33" t="str">
        <f t="shared" si="24"/>
        <v/>
      </c>
      <c r="N1555" s="34" t="str">
        <f>IFERROR(IF(Tabela1[[#This Row],[Nome fantasia]]="","",_xlfn.XLOOKUP($C1555,Log!D:D,Log!B:B,,,-1)),"")</f>
        <v/>
      </c>
      <c r="O1555" s="35" t="str">
        <f>IFERROR(_xlfn.XLOOKUP($C1555,Log!D:D,Log!W:W,,,-1),"")</f>
        <v/>
      </c>
      <c r="P1555" s="35" t="str">
        <f>IFERROR(_xlfn.XLOOKUP($C1555,Log!D:D,Log!Y:Y,,,-1),"")</f>
        <v/>
      </c>
      <c r="Q1555" s="130"/>
      <c r="R1555" s="131" t="str">
        <f>IFERROR(IF(Tabela1[[#This Row],[Nome fantasia]]="","",_xlfn.XLOOKUP($C1555,Log!D:D,Log!X:X,,,-1)),"")</f>
        <v/>
      </c>
    </row>
    <row r="1556" spans="3:18" hidden="1" x14ac:dyDescent="0.2">
      <c r="C1556" s="30" t="s">
        <v>3521</v>
      </c>
      <c r="D1556" s="110" t="s">
        <v>3522</v>
      </c>
      <c r="E1556" s="33" t="s">
        <v>17</v>
      </c>
      <c r="F1556" s="38"/>
      <c r="G1556" s="38"/>
      <c r="H1556" s="31"/>
      <c r="I1556" s="32"/>
      <c r="J1556" s="32"/>
      <c r="K1556" s="45" t="s">
        <v>888</v>
      </c>
      <c r="L1556" s="129"/>
      <c r="M1556" s="33" t="str">
        <f t="shared" si="24"/>
        <v/>
      </c>
      <c r="N1556" s="34" t="str">
        <f>IFERROR(IF(Tabela1[[#This Row],[Nome fantasia]]="","",_xlfn.XLOOKUP($C1556,Log!D:D,Log!B:B,,,-1)),"")</f>
        <v/>
      </c>
      <c r="O1556" s="35" t="str">
        <f>IFERROR(_xlfn.XLOOKUP($C1556,Log!D:D,Log!W:W,,,-1),"")</f>
        <v/>
      </c>
      <c r="P1556" s="35" t="str">
        <f>IFERROR(_xlfn.XLOOKUP($C1556,Log!D:D,Log!Y:Y,,,-1),"")</f>
        <v/>
      </c>
      <c r="Q1556" s="130"/>
      <c r="R1556" s="131" t="str">
        <f>IFERROR(IF(Tabela1[[#This Row],[Nome fantasia]]="","",_xlfn.XLOOKUP($C1556,Log!D:D,Log!X:X,,,-1)),"")</f>
        <v/>
      </c>
    </row>
    <row r="1557" spans="3:18" hidden="1" x14ac:dyDescent="0.2">
      <c r="C1557" s="30" t="s">
        <v>3523</v>
      </c>
      <c r="D1557" s="110" t="s">
        <v>3524</v>
      </c>
      <c r="E1557" s="33" t="s">
        <v>46</v>
      </c>
      <c r="F1557" s="38"/>
      <c r="G1557" s="38"/>
      <c r="H1557" s="31"/>
      <c r="I1557" s="32"/>
      <c r="J1557" s="32"/>
      <c r="K1557" s="45" t="s">
        <v>888</v>
      </c>
      <c r="L1557" s="129"/>
      <c r="M1557" s="33" t="str">
        <f t="shared" si="24"/>
        <v/>
      </c>
      <c r="N1557" s="34" t="str">
        <f>IFERROR(IF(Tabela1[[#This Row],[Nome fantasia]]="","",_xlfn.XLOOKUP($C1557,Log!D:D,Log!B:B,,,-1)),"")</f>
        <v/>
      </c>
      <c r="O1557" s="35" t="str">
        <f>IFERROR(_xlfn.XLOOKUP($C1557,Log!D:D,Log!W:W,,,-1),"")</f>
        <v/>
      </c>
      <c r="P1557" s="35" t="str">
        <f>IFERROR(_xlfn.XLOOKUP($C1557,Log!D:D,Log!Y:Y,,,-1),"")</f>
        <v/>
      </c>
      <c r="Q1557" s="130"/>
      <c r="R1557" s="131" t="str">
        <f>IFERROR(IF(Tabela1[[#This Row],[Nome fantasia]]="","",_xlfn.XLOOKUP($C1557,Log!D:D,Log!X:X,,,-1)),"")</f>
        <v/>
      </c>
    </row>
    <row r="1558" spans="3:18" hidden="1" x14ac:dyDescent="0.2">
      <c r="C1558" s="30" t="s">
        <v>3525</v>
      </c>
      <c r="D1558" s="110" t="s">
        <v>3526</v>
      </c>
      <c r="E1558" s="33" t="s">
        <v>46</v>
      </c>
      <c r="F1558" s="38"/>
      <c r="G1558" s="38"/>
      <c r="H1558" s="31"/>
      <c r="I1558" s="32"/>
      <c r="J1558" s="32"/>
      <c r="K1558" s="45" t="s">
        <v>888</v>
      </c>
      <c r="L1558" s="129"/>
      <c r="M1558" s="33" t="str">
        <f t="shared" si="24"/>
        <v/>
      </c>
      <c r="N1558" s="34" t="str">
        <f>IFERROR(IF(Tabela1[[#This Row],[Nome fantasia]]="","",_xlfn.XLOOKUP($C1558,Log!D:D,Log!B:B,,,-1)),"")</f>
        <v/>
      </c>
      <c r="O1558" s="35" t="str">
        <f>IFERROR(_xlfn.XLOOKUP($C1558,Log!D:D,Log!W:W,,,-1),"")</f>
        <v/>
      </c>
      <c r="P1558" s="35" t="str">
        <f>IFERROR(_xlfn.XLOOKUP($C1558,Log!D:D,Log!Y:Y,,,-1),"")</f>
        <v/>
      </c>
      <c r="Q1558" s="130"/>
      <c r="R1558" s="131" t="str">
        <f>IFERROR(IF(Tabela1[[#This Row],[Nome fantasia]]="","",_xlfn.XLOOKUP($C1558,Log!D:D,Log!X:X,,,-1)),"")</f>
        <v/>
      </c>
    </row>
    <row r="1559" spans="3:18" hidden="1" x14ac:dyDescent="0.2">
      <c r="C1559" s="30" t="s">
        <v>1154</v>
      </c>
      <c r="D1559" s="110" t="s">
        <v>3527</v>
      </c>
      <c r="E1559" s="33" t="s">
        <v>46</v>
      </c>
      <c r="F1559" s="38"/>
      <c r="G1559" s="38"/>
      <c r="H1559" s="31"/>
      <c r="I1559" s="32"/>
      <c r="J1559" s="32"/>
      <c r="K1559" s="45" t="s">
        <v>888</v>
      </c>
      <c r="L1559" s="129"/>
      <c r="M1559" s="33" t="str">
        <f t="shared" si="24"/>
        <v/>
      </c>
      <c r="N1559" s="34" t="str">
        <f>IFERROR(IF(Tabela1[[#This Row],[Nome fantasia]]="","",_xlfn.XLOOKUP($C1559,Log!D:D,Log!B:B,,,-1)),"")</f>
        <v/>
      </c>
      <c r="O1559" s="35" t="str">
        <f>IFERROR(_xlfn.XLOOKUP($C1559,Log!D:D,Log!W:W,,,-1),"")</f>
        <v/>
      </c>
      <c r="P1559" s="35" t="str">
        <f>IFERROR(_xlfn.XLOOKUP($C1559,Log!D:D,Log!Y:Y,,,-1),"")</f>
        <v/>
      </c>
      <c r="Q1559" s="130"/>
      <c r="R1559" s="131" t="str">
        <f>IFERROR(IF(Tabela1[[#This Row],[Nome fantasia]]="","",_xlfn.XLOOKUP($C1559,Log!D:D,Log!X:X,,,-1)),"")</f>
        <v/>
      </c>
    </row>
    <row r="1560" spans="3:18" hidden="1" x14ac:dyDescent="0.2">
      <c r="C1560" s="30" t="s">
        <v>3528</v>
      </c>
      <c r="D1560" s="110" t="s">
        <v>3529</v>
      </c>
      <c r="E1560" s="33" t="s">
        <v>46</v>
      </c>
      <c r="F1560" s="38"/>
      <c r="G1560" s="38"/>
      <c r="H1560" s="31"/>
      <c r="I1560" s="32"/>
      <c r="J1560" s="32"/>
      <c r="K1560" s="45" t="s">
        <v>888</v>
      </c>
      <c r="L1560" s="129"/>
      <c r="M1560" s="33" t="str">
        <f t="shared" si="24"/>
        <v/>
      </c>
      <c r="N1560" s="34" t="str">
        <f>IFERROR(IF(Tabela1[[#This Row],[Nome fantasia]]="","",_xlfn.XLOOKUP($C1560,Log!D:D,Log!B:B,,,-1)),"")</f>
        <v/>
      </c>
      <c r="O1560" s="35" t="str">
        <f>IFERROR(_xlfn.XLOOKUP($C1560,Log!D:D,Log!W:W,,,-1),"")</f>
        <v/>
      </c>
      <c r="P1560" s="35" t="str">
        <f>IFERROR(_xlfn.XLOOKUP($C1560,Log!D:D,Log!Y:Y,,,-1),"")</f>
        <v/>
      </c>
      <c r="Q1560" s="130"/>
      <c r="R1560" s="131" t="str">
        <f>IFERROR(IF(Tabela1[[#This Row],[Nome fantasia]]="","",_xlfn.XLOOKUP($C1560,Log!D:D,Log!X:X,,,-1)),"")</f>
        <v/>
      </c>
    </row>
    <row r="1561" spans="3:18" hidden="1" x14ac:dyDescent="0.2">
      <c r="C1561" s="30" t="s">
        <v>3530</v>
      </c>
      <c r="D1561" s="110" t="s">
        <v>3531</v>
      </c>
      <c r="E1561" s="33" t="s">
        <v>22</v>
      </c>
      <c r="F1561" s="38"/>
      <c r="G1561" s="38"/>
      <c r="H1561" s="31"/>
      <c r="I1561" s="32"/>
      <c r="J1561" s="32"/>
      <c r="K1561" s="45" t="s">
        <v>888</v>
      </c>
      <c r="L1561" s="129"/>
      <c r="M1561" s="33" t="str">
        <f t="shared" si="24"/>
        <v/>
      </c>
      <c r="N1561" s="34" t="str">
        <f>IFERROR(IF(Tabela1[[#This Row],[Nome fantasia]]="","",_xlfn.XLOOKUP($C1561,Log!D:D,Log!B:B,,,-1)),"")</f>
        <v/>
      </c>
      <c r="O1561" s="35" t="str">
        <f>IFERROR(_xlfn.XLOOKUP($C1561,Log!D:D,Log!W:W,,,-1),"")</f>
        <v/>
      </c>
      <c r="P1561" s="35" t="str">
        <f>IFERROR(_xlfn.XLOOKUP($C1561,Log!D:D,Log!Y:Y,,,-1),"")</f>
        <v/>
      </c>
      <c r="Q1561" s="130"/>
      <c r="R1561" s="131" t="str">
        <f>IFERROR(IF(Tabela1[[#This Row],[Nome fantasia]]="","",_xlfn.XLOOKUP($C1561,Log!D:D,Log!X:X,,,-1)),"")</f>
        <v/>
      </c>
    </row>
    <row r="1562" spans="3:18" hidden="1" x14ac:dyDescent="0.2">
      <c r="C1562" s="30" t="s">
        <v>3532</v>
      </c>
      <c r="D1562" s="110" t="s">
        <v>3533</v>
      </c>
      <c r="E1562" s="33" t="s">
        <v>22</v>
      </c>
      <c r="F1562" s="38"/>
      <c r="G1562" s="38"/>
      <c r="H1562" s="31"/>
      <c r="I1562" s="32"/>
      <c r="J1562" s="32"/>
      <c r="K1562" s="45" t="s">
        <v>888</v>
      </c>
      <c r="L1562" s="129"/>
      <c r="M1562" s="33" t="str">
        <f t="shared" si="24"/>
        <v/>
      </c>
      <c r="N1562" s="34" t="str">
        <f>IFERROR(IF(Tabela1[[#This Row],[Nome fantasia]]="","",_xlfn.XLOOKUP($C1562,Log!D:D,Log!B:B,,,-1)),"")</f>
        <v/>
      </c>
      <c r="O1562" s="35" t="str">
        <f>IFERROR(_xlfn.XLOOKUP($C1562,Log!D:D,Log!W:W,,,-1),"")</f>
        <v/>
      </c>
      <c r="P1562" s="35" t="str">
        <f>IFERROR(_xlfn.XLOOKUP($C1562,Log!D:D,Log!Y:Y,,,-1),"")</f>
        <v/>
      </c>
      <c r="Q1562" s="130"/>
      <c r="R1562" s="131" t="str">
        <f>IFERROR(IF(Tabela1[[#This Row],[Nome fantasia]]="","",_xlfn.XLOOKUP($C1562,Log!D:D,Log!X:X,,,-1)),"")</f>
        <v/>
      </c>
    </row>
    <row r="1563" spans="3:18" hidden="1" x14ac:dyDescent="0.2">
      <c r="C1563" s="30" t="s">
        <v>3534</v>
      </c>
      <c r="D1563" s="110" t="s">
        <v>3535</v>
      </c>
      <c r="E1563" s="33" t="s">
        <v>46</v>
      </c>
      <c r="F1563" s="38"/>
      <c r="G1563" s="38"/>
      <c r="H1563" s="31"/>
      <c r="I1563" s="32"/>
      <c r="J1563" s="32"/>
      <c r="K1563" s="45" t="s">
        <v>888</v>
      </c>
      <c r="L1563" s="129"/>
      <c r="M1563" s="33" t="str">
        <f t="shared" si="24"/>
        <v/>
      </c>
      <c r="N1563" s="34" t="str">
        <f>IFERROR(IF(Tabela1[[#This Row],[Nome fantasia]]="","",_xlfn.XLOOKUP($C1563,Log!D:D,Log!B:B,,,-1)),"")</f>
        <v/>
      </c>
      <c r="O1563" s="35" t="str">
        <f>IFERROR(_xlfn.XLOOKUP($C1563,Log!D:D,Log!W:W,,,-1),"")</f>
        <v/>
      </c>
      <c r="P1563" s="35" t="str">
        <f>IFERROR(_xlfn.XLOOKUP($C1563,Log!D:D,Log!Y:Y,,,-1),"")</f>
        <v/>
      </c>
      <c r="Q1563" s="130"/>
      <c r="R1563" s="131" t="str">
        <f>IFERROR(IF(Tabela1[[#This Row],[Nome fantasia]]="","",_xlfn.XLOOKUP($C1563,Log!D:D,Log!X:X,,,-1)),"")</f>
        <v/>
      </c>
    </row>
    <row r="1564" spans="3:18" hidden="1" x14ac:dyDescent="0.2">
      <c r="C1564" s="30" t="s">
        <v>3536</v>
      </c>
      <c r="D1564" s="110" t="s">
        <v>3537</v>
      </c>
      <c r="E1564" s="33" t="s">
        <v>46</v>
      </c>
      <c r="F1564" s="38"/>
      <c r="G1564" s="38"/>
      <c r="H1564" s="31"/>
      <c r="I1564" s="32"/>
      <c r="J1564" s="32"/>
      <c r="K1564" s="45" t="s">
        <v>888</v>
      </c>
      <c r="L1564" s="129"/>
      <c r="M1564" s="33" t="str">
        <f t="shared" si="24"/>
        <v/>
      </c>
      <c r="N1564" s="34" t="str">
        <f>IFERROR(IF(Tabela1[[#This Row],[Nome fantasia]]="","",_xlfn.XLOOKUP($C1564,Log!D:D,Log!B:B,,,-1)),"")</f>
        <v/>
      </c>
      <c r="O1564" s="35" t="str">
        <f>IFERROR(_xlfn.XLOOKUP($C1564,Log!D:D,Log!W:W,,,-1),"")</f>
        <v/>
      </c>
      <c r="P1564" s="35" t="str">
        <f>IFERROR(_xlfn.XLOOKUP($C1564,Log!D:D,Log!Y:Y,,,-1),"")</f>
        <v/>
      </c>
      <c r="Q1564" s="130"/>
      <c r="R1564" s="131" t="str">
        <f>IFERROR(IF(Tabela1[[#This Row],[Nome fantasia]]="","",_xlfn.XLOOKUP($C1564,Log!D:D,Log!X:X,,,-1)),"")</f>
        <v/>
      </c>
    </row>
    <row r="1565" spans="3:18" hidden="1" x14ac:dyDescent="0.2">
      <c r="C1565" s="30" t="s">
        <v>3538</v>
      </c>
      <c r="D1565" s="110" t="s">
        <v>3539</v>
      </c>
      <c r="E1565" s="33" t="s">
        <v>22</v>
      </c>
      <c r="F1565" s="38"/>
      <c r="G1565" s="38"/>
      <c r="H1565" s="31"/>
      <c r="I1565" s="32"/>
      <c r="J1565" s="32"/>
      <c r="K1565" s="45" t="s">
        <v>888</v>
      </c>
      <c r="L1565" s="129"/>
      <c r="M1565" s="33" t="str">
        <f t="shared" si="24"/>
        <v/>
      </c>
      <c r="N1565" s="34" t="str">
        <f>IFERROR(IF(Tabela1[[#This Row],[Nome fantasia]]="","",_xlfn.XLOOKUP($C1565,Log!D:D,Log!B:B,,,-1)),"")</f>
        <v/>
      </c>
      <c r="O1565" s="35" t="str">
        <f>IFERROR(_xlfn.XLOOKUP($C1565,Log!D:D,Log!W:W,,,-1),"")</f>
        <v/>
      </c>
      <c r="P1565" s="35" t="str">
        <f>IFERROR(_xlfn.XLOOKUP($C1565,Log!D:D,Log!Y:Y,,,-1),"")</f>
        <v/>
      </c>
      <c r="Q1565" s="130"/>
      <c r="R1565" s="131" t="str">
        <f>IFERROR(IF(Tabela1[[#This Row],[Nome fantasia]]="","",_xlfn.XLOOKUP($C1565,Log!D:D,Log!X:X,,,-1)),"")</f>
        <v/>
      </c>
    </row>
    <row r="1566" spans="3:18" hidden="1" x14ac:dyDescent="0.2">
      <c r="C1566" s="30" t="s">
        <v>3540</v>
      </c>
      <c r="D1566" s="110" t="s">
        <v>3541</v>
      </c>
      <c r="E1566" s="33" t="s">
        <v>46</v>
      </c>
      <c r="F1566" s="38"/>
      <c r="G1566" s="38"/>
      <c r="H1566" s="31"/>
      <c r="I1566" s="32"/>
      <c r="J1566" s="32"/>
      <c r="K1566" s="45" t="s">
        <v>888</v>
      </c>
      <c r="L1566" s="129"/>
      <c r="M1566" s="33" t="str">
        <f t="shared" si="24"/>
        <v/>
      </c>
      <c r="N1566" s="34" t="str">
        <f>IFERROR(IF(Tabela1[[#This Row],[Nome fantasia]]="","",_xlfn.XLOOKUP($C1566,Log!D:D,Log!B:B,,,-1)),"")</f>
        <v/>
      </c>
      <c r="O1566" s="35" t="str">
        <f>IFERROR(_xlfn.XLOOKUP($C1566,Log!D:D,Log!W:W,,,-1),"")</f>
        <v/>
      </c>
      <c r="P1566" s="35" t="str">
        <f>IFERROR(_xlfn.XLOOKUP($C1566,Log!D:D,Log!Y:Y,,,-1),"")</f>
        <v/>
      </c>
      <c r="Q1566" s="130"/>
      <c r="R1566" s="131" t="str">
        <f>IFERROR(IF(Tabela1[[#This Row],[Nome fantasia]]="","",_xlfn.XLOOKUP($C1566,Log!D:D,Log!X:X,,,-1)),"")</f>
        <v/>
      </c>
    </row>
    <row r="1567" spans="3:18" hidden="1" x14ac:dyDescent="0.2">
      <c r="C1567" s="30" t="s">
        <v>3542</v>
      </c>
      <c r="D1567" s="110" t="s">
        <v>3543</v>
      </c>
      <c r="E1567" s="33" t="s">
        <v>46</v>
      </c>
      <c r="F1567" s="38"/>
      <c r="G1567" s="38"/>
      <c r="H1567" s="31"/>
      <c r="I1567" s="32"/>
      <c r="J1567" s="32"/>
      <c r="K1567" s="45" t="s">
        <v>888</v>
      </c>
      <c r="L1567" s="129"/>
      <c r="M1567" s="33" t="str">
        <f t="shared" si="24"/>
        <v/>
      </c>
      <c r="N1567" s="34" t="str">
        <f>IFERROR(IF(Tabela1[[#This Row],[Nome fantasia]]="","",_xlfn.XLOOKUP($C1567,Log!D:D,Log!B:B,,,-1)),"")</f>
        <v/>
      </c>
      <c r="O1567" s="35" t="str">
        <f>IFERROR(_xlfn.XLOOKUP($C1567,Log!D:D,Log!W:W,,,-1),"")</f>
        <v/>
      </c>
      <c r="P1567" s="35" t="str">
        <f>IFERROR(_xlfn.XLOOKUP($C1567,Log!D:D,Log!Y:Y,,,-1),"")</f>
        <v/>
      </c>
      <c r="Q1567" s="130"/>
      <c r="R1567" s="131" t="str">
        <f>IFERROR(IF(Tabela1[[#This Row],[Nome fantasia]]="","",_xlfn.XLOOKUP($C1567,Log!D:D,Log!X:X,,,-1)),"")</f>
        <v/>
      </c>
    </row>
    <row r="1568" spans="3:18" hidden="1" x14ac:dyDescent="0.2">
      <c r="C1568" s="30" t="s">
        <v>3544</v>
      </c>
      <c r="D1568" s="110" t="s">
        <v>3545</v>
      </c>
      <c r="E1568" s="33" t="s">
        <v>46</v>
      </c>
      <c r="F1568" s="38"/>
      <c r="G1568" s="38"/>
      <c r="H1568" s="31"/>
      <c r="I1568" s="32"/>
      <c r="J1568" s="32"/>
      <c r="K1568" s="45" t="s">
        <v>888</v>
      </c>
      <c r="L1568" s="129"/>
      <c r="M1568" s="33" t="str">
        <f t="shared" si="24"/>
        <v/>
      </c>
      <c r="N1568" s="34" t="str">
        <f>IFERROR(IF(Tabela1[[#This Row],[Nome fantasia]]="","",_xlfn.XLOOKUP($C1568,Log!D:D,Log!B:B,,,-1)),"")</f>
        <v/>
      </c>
      <c r="O1568" s="35" t="str">
        <f>IFERROR(_xlfn.XLOOKUP($C1568,Log!D:D,Log!W:W,,,-1),"")</f>
        <v/>
      </c>
      <c r="P1568" s="35" t="str">
        <f>IFERROR(_xlfn.XLOOKUP($C1568,Log!D:D,Log!Y:Y,,,-1),"")</f>
        <v/>
      </c>
      <c r="Q1568" s="130"/>
      <c r="R1568" s="131" t="str">
        <f>IFERROR(IF(Tabela1[[#This Row],[Nome fantasia]]="","",_xlfn.XLOOKUP($C1568,Log!D:D,Log!X:X,,,-1)),"")</f>
        <v/>
      </c>
    </row>
    <row r="1569" spans="3:18" hidden="1" x14ac:dyDescent="0.2">
      <c r="C1569" s="30" t="s">
        <v>3546</v>
      </c>
      <c r="D1569" s="110" t="s">
        <v>3547</v>
      </c>
      <c r="E1569" s="33" t="s">
        <v>46</v>
      </c>
      <c r="F1569" s="38"/>
      <c r="G1569" s="38"/>
      <c r="H1569" s="31"/>
      <c r="I1569" s="32"/>
      <c r="J1569" s="32"/>
      <c r="K1569" s="45" t="s">
        <v>888</v>
      </c>
      <c r="L1569" s="129"/>
      <c r="M1569" s="33" t="str">
        <f t="shared" si="24"/>
        <v/>
      </c>
      <c r="N1569" s="34" t="str">
        <f>IFERROR(IF(Tabela1[[#This Row],[Nome fantasia]]="","",_xlfn.XLOOKUP($C1569,Log!D:D,Log!B:B,,,-1)),"")</f>
        <v/>
      </c>
      <c r="O1569" s="35" t="str">
        <f>IFERROR(_xlfn.XLOOKUP($C1569,Log!D:D,Log!W:W,,,-1),"")</f>
        <v/>
      </c>
      <c r="P1569" s="35" t="str">
        <f>IFERROR(_xlfn.XLOOKUP($C1569,Log!D:D,Log!Y:Y,,,-1),"")</f>
        <v/>
      </c>
      <c r="Q1569" s="130"/>
      <c r="R1569" s="131" t="str">
        <f>IFERROR(IF(Tabela1[[#This Row],[Nome fantasia]]="","",_xlfn.XLOOKUP($C1569,Log!D:D,Log!X:X,,,-1)),"")</f>
        <v/>
      </c>
    </row>
    <row r="1570" spans="3:18" hidden="1" x14ac:dyDescent="0.2">
      <c r="C1570" s="30" t="s">
        <v>3548</v>
      </c>
      <c r="D1570" s="110" t="s">
        <v>3549</v>
      </c>
      <c r="E1570" s="33" t="s">
        <v>46</v>
      </c>
      <c r="F1570" s="38"/>
      <c r="G1570" s="38"/>
      <c r="H1570" s="31"/>
      <c r="I1570" s="32"/>
      <c r="J1570" s="32"/>
      <c r="K1570" s="45" t="s">
        <v>888</v>
      </c>
      <c r="L1570" s="129"/>
      <c r="M1570" s="33" t="str">
        <f t="shared" si="24"/>
        <v/>
      </c>
      <c r="N1570" s="34" t="str">
        <f>IFERROR(IF(Tabela1[[#This Row],[Nome fantasia]]="","",_xlfn.XLOOKUP($C1570,Log!D:D,Log!B:B,,,-1)),"")</f>
        <v/>
      </c>
      <c r="O1570" s="35" t="str">
        <f>IFERROR(_xlfn.XLOOKUP($C1570,Log!D:D,Log!W:W,,,-1),"")</f>
        <v/>
      </c>
      <c r="P1570" s="35" t="str">
        <f>IFERROR(_xlfn.XLOOKUP($C1570,Log!D:D,Log!Y:Y,,,-1),"")</f>
        <v/>
      </c>
      <c r="Q1570" s="130"/>
      <c r="R1570" s="131" t="str">
        <f>IFERROR(IF(Tabela1[[#This Row],[Nome fantasia]]="","",_xlfn.XLOOKUP($C1570,Log!D:D,Log!X:X,,,-1)),"")</f>
        <v/>
      </c>
    </row>
    <row r="1571" spans="3:18" hidden="1" x14ac:dyDescent="0.2">
      <c r="C1571" s="30" t="s">
        <v>3550</v>
      </c>
      <c r="D1571" s="110" t="s">
        <v>3551</v>
      </c>
      <c r="E1571" s="33" t="s">
        <v>46</v>
      </c>
      <c r="F1571" s="38"/>
      <c r="G1571" s="38"/>
      <c r="H1571" s="31"/>
      <c r="I1571" s="32"/>
      <c r="J1571" s="32"/>
      <c r="K1571" s="45" t="s">
        <v>888</v>
      </c>
      <c r="L1571" s="129"/>
      <c r="M1571" s="33" t="str">
        <f t="shared" si="24"/>
        <v/>
      </c>
      <c r="N1571" s="34" t="str">
        <f>IFERROR(IF(Tabela1[[#This Row],[Nome fantasia]]="","",_xlfn.XLOOKUP($C1571,Log!D:D,Log!B:B,,,-1)),"")</f>
        <v/>
      </c>
      <c r="O1571" s="35" t="str">
        <f>IFERROR(_xlfn.XLOOKUP($C1571,Log!D:D,Log!W:W,,,-1),"")</f>
        <v/>
      </c>
      <c r="P1571" s="35" t="str">
        <f>IFERROR(_xlfn.XLOOKUP($C1571,Log!D:D,Log!Y:Y,,,-1),"")</f>
        <v/>
      </c>
      <c r="Q1571" s="130"/>
      <c r="R1571" s="131" t="str">
        <f>IFERROR(IF(Tabela1[[#This Row],[Nome fantasia]]="","",_xlfn.XLOOKUP($C1571,Log!D:D,Log!X:X,,,-1)),"")</f>
        <v/>
      </c>
    </row>
    <row r="1572" spans="3:18" hidden="1" x14ac:dyDescent="0.2">
      <c r="C1572" s="30" t="s">
        <v>3552</v>
      </c>
      <c r="D1572" s="110" t="s">
        <v>3553</v>
      </c>
      <c r="E1572" s="33" t="s">
        <v>22</v>
      </c>
      <c r="F1572" s="38"/>
      <c r="G1572" s="38"/>
      <c r="H1572" s="31"/>
      <c r="I1572" s="32"/>
      <c r="J1572" s="32"/>
      <c r="K1572" s="45" t="s">
        <v>888</v>
      </c>
      <c r="L1572" s="129"/>
      <c r="M1572" s="33" t="str">
        <f t="shared" si="24"/>
        <v/>
      </c>
      <c r="N1572" s="34" t="str">
        <f>IFERROR(IF(Tabela1[[#This Row],[Nome fantasia]]="","",_xlfn.XLOOKUP($C1572,Log!D:D,Log!B:B,,,-1)),"")</f>
        <v/>
      </c>
      <c r="O1572" s="35" t="str">
        <f>IFERROR(_xlfn.XLOOKUP($C1572,Log!D:D,Log!W:W,,,-1),"")</f>
        <v/>
      </c>
      <c r="P1572" s="35" t="str">
        <f>IFERROR(_xlfn.XLOOKUP($C1572,Log!D:D,Log!Y:Y,,,-1),"")</f>
        <v/>
      </c>
      <c r="Q1572" s="130"/>
      <c r="R1572" s="131" t="str">
        <f>IFERROR(IF(Tabela1[[#This Row],[Nome fantasia]]="","",_xlfn.XLOOKUP($C1572,Log!D:D,Log!X:X,,,-1)),"")</f>
        <v/>
      </c>
    </row>
    <row r="1573" spans="3:18" hidden="1" x14ac:dyDescent="0.2">
      <c r="C1573" s="30" t="s">
        <v>3554</v>
      </c>
      <c r="D1573" s="110" t="s">
        <v>3555</v>
      </c>
      <c r="E1573" s="33" t="s">
        <v>22</v>
      </c>
      <c r="F1573" s="38"/>
      <c r="G1573" s="38"/>
      <c r="H1573" s="31"/>
      <c r="I1573" s="32"/>
      <c r="J1573" s="32"/>
      <c r="K1573" s="45" t="s">
        <v>888</v>
      </c>
      <c r="L1573" s="129"/>
      <c r="M1573" s="33" t="str">
        <f t="shared" si="24"/>
        <v/>
      </c>
      <c r="N1573" s="34" t="str">
        <f>IFERROR(IF(Tabela1[[#This Row],[Nome fantasia]]="","",_xlfn.XLOOKUP($C1573,Log!D:D,Log!B:B,,,-1)),"")</f>
        <v/>
      </c>
      <c r="O1573" s="35" t="str">
        <f>IFERROR(_xlfn.XLOOKUP($C1573,Log!D:D,Log!W:W,,,-1),"")</f>
        <v/>
      </c>
      <c r="P1573" s="35" t="str">
        <f>IFERROR(_xlfn.XLOOKUP($C1573,Log!D:D,Log!Y:Y,,,-1),"")</f>
        <v/>
      </c>
      <c r="Q1573" s="130"/>
      <c r="R1573" s="131" t="str">
        <f>IFERROR(IF(Tabela1[[#This Row],[Nome fantasia]]="","",_xlfn.XLOOKUP($C1573,Log!D:D,Log!X:X,,,-1)),"")</f>
        <v/>
      </c>
    </row>
    <row r="1574" spans="3:18" hidden="1" x14ac:dyDescent="0.2">
      <c r="C1574" s="30" t="s">
        <v>3556</v>
      </c>
      <c r="D1574" s="110" t="s">
        <v>3557</v>
      </c>
      <c r="E1574" s="33" t="s">
        <v>17</v>
      </c>
      <c r="F1574" s="38"/>
      <c r="G1574" s="38"/>
      <c r="H1574" s="31"/>
      <c r="I1574" s="32"/>
      <c r="J1574" s="32"/>
      <c r="K1574" s="45" t="s">
        <v>888</v>
      </c>
      <c r="L1574" s="129"/>
      <c r="M1574" s="33" t="str">
        <f t="shared" si="24"/>
        <v/>
      </c>
      <c r="N1574" s="34" t="str">
        <f>IFERROR(IF(Tabela1[[#This Row],[Nome fantasia]]="","",_xlfn.XLOOKUP($C1574,Log!D:D,Log!B:B,,,-1)),"")</f>
        <v/>
      </c>
      <c r="O1574" s="35" t="str">
        <f>IFERROR(_xlfn.XLOOKUP($C1574,Log!D:D,Log!W:W,,,-1),"")</f>
        <v/>
      </c>
      <c r="P1574" s="35" t="str">
        <f>IFERROR(_xlfn.XLOOKUP($C1574,Log!D:D,Log!Y:Y,,,-1),"")</f>
        <v/>
      </c>
      <c r="Q1574" s="130"/>
      <c r="R1574" s="131" t="str">
        <f>IFERROR(IF(Tabela1[[#This Row],[Nome fantasia]]="","",_xlfn.XLOOKUP($C1574,Log!D:D,Log!X:X,,,-1)),"")</f>
        <v/>
      </c>
    </row>
    <row r="1575" spans="3:18" hidden="1" x14ac:dyDescent="0.2">
      <c r="C1575" s="30" t="s">
        <v>3558</v>
      </c>
      <c r="D1575" s="110" t="s">
        <v>3559</v>
      </c>
      <c r="E1575" s="33" t="s">
        <v>46</v>
      </c>
      <c r="F1575" s="38"/>
      <c r="G1575" s="38"/>
      <c r="H1575" s="31"/>
      <c r="I1575" s="32"/>
      <c r="J1575" s="32"/>
      <c r="K1575" s="45" t="s">
        <v>888</v>
      </c>
      <c r="L1575" s="129"/>
      <c r="M1575" s="33" t="str">
        <f t="shared" si="24"/>
        <v/>
      </c>
      <c r="N1575" s="34" t="str">
        <f>IFERROR(IF(Tabela1[[#This Row],[Nome fantasia]]="","",_xlfn.XLOOKUP($C1575,Log!D:D,Log!B:B,,,-1)),"")</f>
        <v/>
      </c>
      <c r="O1575" s="35" t="str">
        <f>IFERROR(_xlfn.XLOOKUP($C1575,Log!D:D,Log!W:W,,,-1),"")</f>
        <v/>
      </c>
      <c r="P1575" s="35" t="str">
        <f>IFERROR(_xlfn.XLOOKUP($C1575,Log!D:D,Log!Y:Y,,,-1),"")</f>
        <v/>
      </c>
      <c r="Q1575" s="130"/>
      <c r="R1575" s="131" t="str">
        <f>IFERROR(IF(Tabela1[[#This Row],[Nome fantasia]]="","",_xlfn.XLOOKUP($C1575,Log!D:D,Log!X:X,,,-1)),"")</f>
        <v/>
      </c>
    </row>
    <row r="1576" spans="3:18" hidden="1" x14ac:dyDescent="0.2">
      <c r="C1576" s="30" t="s">
        <v>3560</v>
      </c>
      <c r="D1576" s="110" t="s">
        <v>3561</v>
      </c>
      <c r="E1576" s="33" t="s">
        <v>22</v>
      </c>
      <c r="F1576" s="38"/>
      <c r="G1576" s="38"/>
      <c r="H1576" s="31"/>
      <c r="I1576" s="32"/>
      <c r="J1576" s="32"/>
      <c r="K1576" s="45" t="s">
        <v>888</v>
      </c>
      <c r="L1576" s="129"/>
      <c r="M1576" s="33" t="str">
        <f t="shared" si="24"/>
        <v/>
      </c>
      <c r="N1576" s="34" t="str">
        <f>IFERROR(IF(Tabela1[[#This Row],[Nome fantasia]]="","",_xlfn.XLOOKUP($C1576,Log!D:D,Log!B:B,,,-1)),"")</f>
        <v/>
      </c>
      <c r="O1576" s="35" t="str">
        <f>IFERROR(_xlfn.XLOOKUP($C1576,Log!D:D,Log!W:W,,,-1),"")</f>
        <v/>
      </c>
      <c r="P1576" s="35" t="str">
        <f>IFERROR(_xlfn.XLOOKUP($C1576,Log!D:D,Log!Y:Y,,,-1),"")</f>
        <v/>
      </c>
      <c r="Q1576" s="130"/>
      <c r="R1576" s="131" t="str">
        <f>IFERROR(IF(Tabela1[[#This Row],[Nome fantasia]]="","",_xlfn.XLOOKUP($C1576,Log!D:D,Log!X:X,,,-1)),"")</f>
        <v/>
      </c>
    </row>
    <row r="1577" spans="3:18" hidden="1" x14ac:dyDescent="0.2">
      <c r="C1577" s="30" t="s">
        <v>3562</v>
      </c>
      <c r="D1577" s="110" t="s">
        <v>3563</v>
      </c>
      <c r="E1577" s="33" t="s">
        <v>46</v>
      </c>
      <c r="F1577" s="38"/>
      <c r="G1577" s="38"/>
      <c r="H1577" s="31"/>
      <c r="I1577" s="32"/>
      <c r="J1577" s="32"/>
      <c r="K1577" s="45" t="s">
        <v>888</v>
      </c>
      <c r="L1577" s="129"/>
      <c r="M1577" s="33" t="str">
        <f t="shared" si="24"/>
        <v/>
      </c>
      <c r="N1577" s="34" t="str">
        <f>IFERROR(IF(Tabela1[[#This Row],[Nome fantasia]]="","",_xlfn.XLOOKUP($C1577,Log!D:D,Log!B:B,,,-1)),"")</f>
        <v/>
      </c>
      <c r="O1577" s="35" t="str">
        <f>IFERROR(_xlfn.XLOOKUP($C1577,Log!D:D,Log!W:W,,,-1),"")</f>
        <v/>
      </c>
      <c r="P1577" s="35" t="str">
        <f>IFERROR(_xlfn.XLOOKUP($C1577,Log!D:D,Log!Y:Y,,,-1),"")</f>
        <v/>
      </c>
      <c r="Q1577" s="130"/>
      <c r="R1577" s="131" t="str">
        <f>IFERROR(IF(Tabela1[[#This Row],[Nome fantasia]]="","",_xlfn.XLOOKUP($C1577,Log!D:D,Log!X:X,,,-1)),"")</f>
        <v/>
      </c>
    </row>
    <row r="1578" spans="3:18" hidden="1" x14ac:dyDescent="0.2">
      <c r="C1578" s="30" t="s">
        <v>3564</v>
      </c>
      <c r="D1578" s="110" t="s">
        <v>3565</v>
      </c>
      <c r="E1578" s="33" t="s">
        <v>17</v>
      </c>
      <c r="F1578" s="38"/>
      <c r="G1578" s="38"/>
      <c r="H1578" s="31"/>
      <c r="I1578" s="32"/>
      <c r="J1578" s="32"/>
      <c r="K1578" s="45" t="s">
        <v>888</v>
      </c>
      <c r="L1578" s="129"/>
      <c r="M1578" s="33" t="str">
        <f t="shared" si="24"/>
        <v/>
      </c>
      <c r="N1578" s="34" t="str">
        <f>IFERROR(IF(Tabela1[[#This Row],[Nome fantasia]]="","",_xlfn.XLOOKUP($C1578,Log!D:D,Log!B:B,,,-1)),"")</f>
        <v/>
      </c>
      <c r="O1578" s="35" t="str">
        <f>IFERROR(_xlfn.XLOOKUP($C1578,Log!D:D,Log!W:W,,,-1),"")</f>
        <v/>
      </c>
      <c r="P1578" s="35" t="str">
        <f>IFERROR(_xlfn.XLOOKUP($C1578,Log!D:D,Log!Y:Y,,,-1),"")</f>
        <v/>
      </c>
      <c r="Q1578" s="130"/>
      <c r="R1578" s="131" t="str">
        <f>IFERROR(IF(Tabela1[[#This Row],[Nome fantasia]]="","",_xlfn.XLOOKUP($C1578,Log!D:D,Log!X:X,,,-1)),"")</f>
        <v/>
      </c>
    </row>
    <row r="1579" spans="3:18" hidden="1" x14ac:dyDescent="0.2">
      <c r="C1579" s="30" t="s">
        <v>3566</v>
      </c>
      <c r="D1579" s="110" t="s">
        <v>3567</v>
      </c>
      <c r="E1579" s="33" t="s">
        <v>17</v>
      </c>
      <c r="F1579" s="38"/>
      <c r="G1579" s="38"/>
      <c r="H1579" s="31"/>
      <c r="I1579" s="32"/>
      <c r="J1579" s="32"/>
      <c r="K1579" s="45" t="s">
        <v>888</v>
      </c>
      <c r="L1579" s="129"/>
      <c r="M1579" s="33" t="str">
        <f t="shared" si="24"/>
        <v/>
      </c>
      <c r="N1579" s="34" t="str">
        <f>IFERROR(IF(Tabela1[[#This Row],[Nome fantasia]]="","",_xlfn.XLOOKUP($C1579,Log!D:D,Log!B:B,,,-1)),"")</f>
        <v/>
      </c>
      <c r="O1579" s="35" t="str">
        <f>IFERROR(_xlfn.XLOOKUP($C1579,Log!D:D,Log!W:W,,,-1),"")</f>
        <v/>
      </c>
      <c r="P1579" s="35" t="str">
        <f>IFERROR(_xlfn.XLOOKUP($C1579,Log!D:D,Log!Y:Y,,,-1),"")</f>
        <v/>
      </c>
      <c r="Q1579" s="130"/>
      <c r="R1579" s="131" t="str">
        <f>IFERROR(IF(Tabela1[[#This Row],[Nome fantasia]]="","",_xlfn.XLOOKUP($C1579,Log!D:D,Log!X:X,,,-1)),"")</f>
        <v/>
      </c>
    </row>
    <row r="1580" spans="3:18" hidden="1" x14ac:dyDescent="0.2">
      <c r="C1580" s="30" t="s">
        <v>3568</v>
      </c>
      <c r="D1580" s="110" t="s">
        <v>3569</v>
      </c>
      <c r="E1580" s="33" t="s">
        <v>46</v>
      </c>
      <c r="F1580" s="38"/>
      <c r="G1580" s="38"/>
      <c r="H1580" s="31"/>
      <c r="I1580" s="32"/>
      <c r="J1580" s="32"/>
      <c r="K1580" s="45" t="s">
        <v>888</v>
      </c>
      <c r="L1580" s="129"/>
      <c r="M1580" s="33" t="str">
        <f t="shared" si="24"/>
        <v/>
      </c>
      <c r="N1580" s="34" t="str">
        <f>IFERROR(IF(Tabela1[[#This Row],[Nome fantasia]]="","",_xlfn.XLOOKUP($C1580,Log!D:D,Log!B:B,,,-1)),"")</f>
        <v/>
      </c>
      <c r="O1580" s="35" t="str">
        <f>IFERROR(_xlfn.XLOOKUP($C1580,Log!D:D,Log!W:W,,,-1),"")</f>
        <v/>
      </c>
      <c r="P1580" s="35" t="str">
        <f>IFERROR(_xlfn.XLOOKUP($C1580,Log!D:D,Log!Y:Y,,,-1),"")</f>
        <v/>
      </c>
      <c r="Q1580" s="130"/>
      <c r="R1580" s="131" t="str">
        <f>IFERROR(IF(Tabela1[[#This Row],[Nome fantasia]]="","",_xlfn.XLOOKUP($C1580,Log!D:D,Log!X:X,,,-1)),"")</f>
        <v/>
      </c>
    </row>
    <row r="1581" spans="3:18" hidden="1" x14ac:dyDescent="0.2">
      <c r="C1581" s="30" t="s">
        <v>2848</v>
      </c>
      <c r="D1581" s="110" t="s">
        <v>3570</v>
      </c>
      <c r="E1581" s="33" t="s">
        <v>46</v>
      </c>
      <c r="F1581" s="38"/>
      <c r="G1581" s="38"/>
      <c r="H1581" s="31"/>
      <c r="I1581" s="32"/>
      <c r="J1581" s="32"/>
      <c r="K1581" s="45" t="s">
        <v>888</v>
      </c>
      <c r="L1581" s="129"/>
      <c r="M1581" s="33" t="str">
        <f t="shared" si="24"/>
        <v/>
      </c>
      <c r="N1581" s="34" t="str">
        <f>IFERROR(IF(Tabela1[[#This Row],[Nome fantasia]]="","",_xlfn.XLOOKUP($C1581,Log!D:D,Log!B:B,,,-1)),"")</f>
        <v/>
      </c>
      <c r="O1581" s="35" t="str">
        <f>IFERROR(_xlfn.XLOOKUP($C1581,Log!D:D,Log!W:W,,,-1),"")</f>
        <v/>
      </c>
      <c r="P1581" s="35" t="str">
        <f>IFERROR(_xlfn.XLOOKUP($C1581,Log!D:D,Log!Y:Y,,,-1),"")</f>
        <v/>
      </c>
      <c r="Q1581" s="130"/>
      <c r="R1581" s="131" t="str">
        <f>IFERROR(IF(Tabela1[[#This Row],[Nome fantasia]]="","",_xlfn.XLOOKUP($C1581,Log!D:D,Log!X:X,,,-1)),"")</f>
        <v/>
      </c>
    </row>
    <row r="1582" spans="3:18" hidden="1" x14ac:dyDescent="0.2">
      <c r="C1582" s="30" t="s">
        <v>3571</v>
      </c>
      <c r="D1582" s="110" t="s">
        <v>3572</v>
      </c>
      <c r="E1582" s="33" t="s">
        <v>46</v>
      </c>
      <c r="F1582" s="38"/>
      <c r="G1582" s="38"/>
      <c r="H1582" s="31"/>
      <c r="I1582" s="32"/>
      <c r="J1582" s="32"/>
      <c r="K1582" s="45" t="s">
        <v>888</v>
      </c>
      <c r="L1582" s="129"/>
      <c r="M1582" s="33" t="str">
        <f t="shared" si="24"/>
        <v/>
      </c>
      <c r="N1582" s="34" t="str">
        <f>IFERROR(IF(Tabela1[[#This Row],[Nome fantasia]]="","",_xlfn.XLOOKUP($C1582,Log!D:D,Log!B:B,,,-1)),"")</f>
        <v/>
      </c>
      <c r="O1582" s="35" t="str">
        <f>IFERROR(_xlfn.XLOOKUP($C1582,Log!D:D,Log!W:W,,,-1),"")</f>
        <v/>
      </c>
      <c r="P1582" s="35" t="str">
        <f>IFERROR(_xlfn.XLOOKUP($C1582,Log!D:D,Log!Y:Y,,,-1),"")</f>
        <v/>
      </c>
      <c r="Q1582" s="130"/>
      <c r="R1582" s="131" t="str">
        <f>IFERROR(IF(Tabela1[[#This Row],[Nome fantasia]]="","",_xlfn.XLOOKUP($C1582,Log!D:D,Log!X:X,,,-1)),"")</f>
        <v/>
      </c>
    </row>
    <row r="1583" spans="3:18" hidden="1" x14ac:dyDescent="0.2">
      <c r="C1583" s="30" t="s">
        <v>3574</v>
      </c>
      <c r="D1583" s="110" t="s">
        <v>3575</v>
      </c>
      <c r="E1583" s="33" t="s">
        <v>17</v>
      </c>
      <c r="F1583" s="38"/>
      <c r="G1583" s="38"/>
      <c r="H1583" s="31"/>
      <c r="I1583" s="32"/>
      <c r="J1583" s="32"/>
      <c r="K1583" s="45" t="s">
        <v>888</v>
      </c>
      <c r="L1583" s="129"/>
      <c r="M1583" s="33" t="str">
        <f t="shared" si="24"/>
        <v/>
      </c>
      <c r="N1583" s="34" t="str">
        <f>IFERROR(IF(Tabela1[[#This Row],[Nome fantasia]]="","",_xlfn.XLOOKUP($C1583,Log!D:D,Log!B:B,,,-1)),"")</f>
        <v/>
      </c>
      <c r="O1583" s="35" t="str">
        <f>IFERROR(_xlfn.XLOOKUP($C1583,Log!D:D,Log!W:W,,,-1),"")</f>
        <v/>
      </c>
      <c r="P1583" s="35" t="str">
        <f>IFERROR(_xlfn.XLOOKUP($C1583,Log!D:D,Log!Y:Y,,,-1),"")</f>
        <v/>
      </c>
      <c r="Q1583" s="130"/>
      <c r="R1583" s="131" t="str">
        <f>IFERROR(IF(Tabela1[[#This Row],[Nome fantasia]]="","",_xlfn.XLOOKUP($C1583,Log!D:D,Log!X:X,,,-1)),"")</f>
        <v/>
      </c>
    </row>
    <row r="1584" spans="3:18" hidden="1" x14ac:dyDescent="0.2">
      <c r="C1584" s="30" t="s">
        <v>3576</v>
      </c>
      <c r="D1584" s="110" t="s">
        <v>3577</v>
      </c>
      <c r="E1584" s="33" t="s">
        <v>46</v>
      </c>
      <c r="F1584" s="38"/>
      <c r="G1584" s="38"/>
      <c r="H1584" s="31"/>
      <c r="I1584" s="32"/>
      <c r="J1584" s="32"/>
      <c r="K1584" s="45" t="s">
        <v>888</v>
      </c>
      <c r="L1584" s="129"/>
      <c r="M1584" s="33" t="str">
        <f t="shared" si="24"/>
        <v/>
      </c>
      <c r="N1584" s="34" t="str">
        <f>IFERROR(IF(Tabela1[[#This Row],[Nome fantasia]]="","",_xlfn.XLOOKUP($C1584,Log!D:D,Log!B:B,,,-1)),"")</f>
        <v/>
      </c>
      <c r="O1584" s="35" t="str">
        <f>IFERROR(_xlfn.XLOOKUP($C1584,Log!D:D,Log!W:W,,,-1),"")</f>
        <v/>
      </c>
      <c r="P1584" s="35" t="str">
        <f>IFERROR(_xlfn.XLOOKUP($C1584,Log!D:D,Log!Y:Y,,,-1),"")</f>
        <v/>
      </c>
      <c r="Q1584" s="130"/>
      <c r="R1584" s="131" t="str">
        <f>IFERROR(IF(Tabela1[[#This Row],[Nome fantasia]]="","",_xlfn.XLOOKUP($C1584,Log!D:D,Log!X:X,,,-1)),"")</f>
        <v/>
      </c>
    </row>
    <row r="1585" spans="3:18" hidden="1" x14ac:dyDescent="0.2">
      <c r="C1585" s="30" t="s">
        <v>1862</v>
      </c>
      <c r="D1585" s="110" t="s">
        <v>3578</v>
      </c>
      <c r="E1585" s="33" t="s">
        <v>22</v>
      </c>
      <c r="F1585" s="38"/>
      <c r="G1585" s="38"/>
      <c r="H1585" s="31"/>
      <c r="I1585" s="32"/>
      <c r="J1585" s="32"/>
      <c r="K1585" s="45" t="s">
        <v>888</v>
      </c>
      <c r="L1585" s="129"/>
      <c r="M1585" s="33" t="str">
        <f t="shared" si="24"/>
        <v/>
      </c>
      <c r="N1585" s="34" t="str">
        <f>IFERROR(IF(Tabela1[[#This Row],[Nome fantasia]]="","",_xlfn.XLOOKUP($C1585,Log!D:D,Log!B:B,,,-1)),"")</f>
        <v/>
      </c>
      <c r="O1585" s="35" t="str">
        <f>IFERROR(_xlfn.XLOOKUP($C1585,Log!D:D,Log!W:W,,,-1),"")</f>
        <v/>
      </c>
      <c r="P1585" s="35" t="str">
        <f>IFERROR(_xlfn.XLOOKUP($C1585,Log!D:D,Log!Y:Y,,,-1),"")</f>
        <v/>
      </c>
      <c r="Q1585" s="130"/>
      <c r="R1585" s="131" t="str">
        <f>IFERROR(IF(Tabela1[[#This Row],[Nome fantasia]]="","",_xlfn.XLOOKUP($C1585,Log!D:D,Log!X:X,,,-1)),"")</f>
        <v/>
      </c>
    </row>
    <row r="1586" spans="3:18" hidden="1" x14ac:dyDescent="0.2">
      <c r="C1586" s="30" t="s">
        <v>3579</v>
      </c>
      <c r="D1586" s="110" t="s">
        <v>3580</v>
      </c>
      <c r="E1586" s="33" t="s">
        <v>46</v>
      </c>
      <c r="F1586" s="38"/>
      <c r="G1586" s="38"/>
      <c r="H1586" s="31"/>
      <c r="I1586" s="32"/>
      <c r="J1586" s="32"/>
      <c r="K1586" s="45" t="s">
        <v>888</v>
      </c>
      <c r="L1586" s="129"/>
      <c r="M1586" s="33" t="str">
        <f t="shared" si="24"/>
        <v/>
      </c>
      <c r="N1586" s="34" t="str">
        <f>IFERROR(IF(Tabela1[[#This Row],[Nome fantasia]]="","",_xlfn.XLOOKUP($C1586,Log!D:D,Log!B:B,,,-1)),"")</f>
        <v/>
      </c>
      <c r="O1586" s="35" t="str">
        <f>IFERROR(_xlfn.XLOOKUP($C1586,Log!D:D,Log!W:W,,,-1),"")</f>
        <v/>
      </c>
      <c r="P1586" s="35" t="str">
        <f>IFERROR(_xlfn.XLOOKUP($C1586,Log!D:D,Log!Y:Y,,,-1),"")</f>
        <v/>
      </c>
      <c r="Q1586" s="130"/>
      <c r="R1586" s="131" t="str">
        <f>IFERROR(IF(Tabela1[[#This Row],[Nome fantasia]]="","",_xlfn.XLOOKUP($C1586,Log!D:D,Log!X:X,,,-1)),"")</f>
        <v/>
      </c>
    </row>
    <row r="1587" spans="3:18" hidden="1" x14ac:dyDescent="0.2">
      <c r="C1587" s="30" t="s">
        <v>3581</v>
      </c>
      <c r="D1587" s="110" t="s">
        <v>1281</v>
      </c>
      <c r="E1587" s="33" t="s">
        <v>22</v>
      </c>
      <c r="F1587" s="38"/>
      <c r="G1587" s="38"/>
      <c r="H1587" s="31"/>
      <c r="I1587" s="32"/>
      <c r="J1587" s="32"/>
      <c r="K1587" s="45" t="s">
        <v>888</v>
      </c>
      <c r="L1587" s="129"/>
      <c r="M1587" s="33" t="str">
        <f t="shared" si="24"/>
        <v/>
      </c>
      <c r="N1587" s="34" t="str">
        <f>IFERROR(IF(Tabela1[[#This Row],[Nome fantasia]]="","",_xlfn.XLOOKUP($C1587,Log!D:D,Log!B:B,,,-1)),"")</f>
        <v/>
      </c>
      <c r="O1587" s="35" t="str">
        <f>IFERROR(_xlfn.XLOOKUP($C1587,Log!D:D,Log!W:W,,,-1),"")</f>
        <v/>
      </c>
      <c r="P1587" s="35" t="str">
        <f>IFERROR(_xlfn.XLOOKUP($C1587,Log!D:D,Log!Y:Y,,,-1),"")</f>
        <v/>
      </c>
      <c r="Q1587" s="130"/>
      <c r="R1587" s="131" t="str">
        <f>IFERROR(IF(Tabela1[[#This Row],[Nome fantasia]]="","",_xlfn.XLOOKUP($C1587,Log!D:D,Log!X:X,,,-1)),"")</f>
        <v/>
      </c>
    </row>
    <row r="1588" spans="3:18" hidden="1" x14ac:dyDescent="0.2">
      <c r="C1588" s="30" t="s">
        <v>3582</v>
      </c>
      <c r="D1588" s="110" t="s">
        <v>3583</v>
      </c>
      <c r="E1588" s="33" t="s">
        <v>46</v>
      </c>
      <c r="F1588" s="38"/>
      <c r="G1588" s="38"/>
      <c r="H1588" s="31"/>
      <c r="I1588" s="32"/>
      <c r="J1588" s="32"/>
      <c r="K1588" s="45" t="s">
        <v>888</v>
      </c>
      <c r="L1588" s="129"/>
      <c r="M1588" s="33" t="str">
        <f t="shared" si="24"/>
        <v/>
      </c>
      <c r="N1588" s="34" t="str">
        <f>IFERROR(IF(Tabela1[[#This Row],[Nome fantasia]]="","",_xlfn.XLOOKUP($C1588,Log!D:D,Log!B:B,,,-1)),"")</f>
        <v/>
      </c>
      <c r="O1588" s="35" t="str">
        <f>IFERROR(_xlfn.XLOOKUP($C1588,Log!D:D,Log!W:W,,,-1),"")</f>
        <v/>
      </c>
      <c r="P1588" s="35" t="str">
        <f>IFERROR(_xlfn.XLOOKUP($C1588,Log!D:D,Log!Y:Y,,,-1),"")</f>
        <v/>
      </c>
      <c r="Q1588" s="130"/>
      <c r="R1588" s="131" t="str">
        <f>IFERROR(IF(Tabela1[[#This Row],[Nome fantasia]]="","",_xlfn.XLOOKUP($C1588,Log!D:D,Log!X:X,,,-1)),"")</f>
        <v/>
      </c>
    </row>
    <row r="1589" spans="3:18" hidden="1" x14ac:dyDescent="0.2">
      <c r="C1589" s="30" t="s">
        <v>3584</v>
      </c>
      <c r="D1589" s="110" t="s">
        <v>3585</v>
      </c>
      <c r="E1589" s="33" t="s">
        <v>46</v>
      </c>
      <c r="F1589" s="38"/>
      <c r="G1589" s="38"/>
      <c r="H1589" s="31"/>
      <c r="I1589" s="32"/>
      <c r="J1589" s="32"/>
      <c r="K1589" s="45" t="s">
        <v>888</v>
      </c>
      <c r="L1589" s="129"/>
      <c r="M1589" s="33" t="str">
        <f t="shared" si="24"/>
        <v/>
      </c>
      <c r="N1589" s="34" t="str">
        <f>IFERROR(IF(Tabela1[[#This Row],[Nome fantasia]]="","",_xlfn.XLOOKUP($C1589,Log!D:D,Log!B:B,,,-1)),"")</f>
        <v/>
      </c>
      <c r="O1589" s="35" t="str">
        <f>IFERROR(_xlfn.XLOOKUP($C1589,Log!D:D,Log!W:W,,,-1),"")</f>
        <v/>
      </c>
      <c r="P1589" s="35" t="str">
        <f>IFERROR(_xlfn.XLOOKUP($C1589,Log!D:D,Log!Y:Y,,,-1),"")</f>
        <v/>
      </c>
      <c r="Q1589" s="130"/>
      <c r="R1589" s="131" t="str">
        <f>IFERROR(IF(Tabela1[[#This Row],[Nome fantasia]]="","",_xlfn.XLOOKUP($C1589,Log!D:D,Log!X:X,,,-1)),"")</f>
        <v/>
      </c>
    </row>
    <row r="1590" spans="3:18" hidden="1" x14ac:dyDescent="0.2">
      <c r="C1590" s="30" t="s">
        <v>3586</v>
      </c>
      <c r="D1590" s="110" t="s">
        <v>3587</v>
      </c>
      <c r="E1590" s="33" t="s">
        <v>17</v>
      </c>
      <c r="F1590" s="38"/>
      <c r="G1590" s="38"/>
      <c r="H1590" s="31"/>
      <c r="I1590" s="32"/>
      <c r="J1590" s="32"/>
      <c r="K1590" s="45" t="s">
        <v>888</v>
      </c>
      <c r="L1590" s="129"/>
      <c r="M1590" s="33" t="str">
        <f t="shared" si="24"/>
        <v/>
      </c>
      <c r="N1590" s="34" t="str">
        <f>IFERROR(IF(Tabela1[[#This Row],[Nome fantasia]]="","",_xlfn.XLOOKUP($C1590,Log!D:D,Log!B:B,,,-1)),"")</f>
        <v/>
      </c>
      <c r="O1590" s="35" t="str">
        <f>IFERROR(_xlfn.XLOOKUP($C1590,Log!D:D,Log!W:W,,,-1),"")</f>
        <v/>
      </c>
      <c r="P1590" s="35" t="str">
        <f>IFERROR(_xlfn.XLOOKUP($C1590,Log!D:D,Log!Y:Y,,,-1),"")</f>
        <v/>
      </c>
      <c r="Q1590" s="130"/>
      <c r="R1590" s="131" t="str">
        <f>IFERROR(IF(Tabela1[[#This Row],[Nome fantasia]]="","",_xlfn.XLOOKUP($C1590,Log!D:D,Log!X:X,,,-1)),"")</f>
        <v/>
      </c>
    </row>
    <row r="1591" spans="3:18" hidden="1" x14ac:dyDescent="0.2">
      <c r="C1591" s="30" t="s">
        <v>3588</v>
      </c>
      <c r="D1591" s="110" t="s">
        <v>3589</v>
      </c>
      <c r="E1591" s="33" t="s">
        <v>46</v>
      </c>
      <c r="F1591" s="38"/>
      <c r="G1591" s="38"/>
      <c r="H1591" s="31"/>
      <c r="I1591" s="32"/>
      <c r="J1591" s="32"/>
      <c r="K1591" s="45" t="s">
        <v>888</v>
      </c>
      <c r="L1591" s="129"/>
      <c r="M1591" s="33" t="str">
        <f t="shared" si="24"/>
        <v/>
      </c>
      <c r="N1591" s="34" t="str">
        <f>IFERROR(IF(Tabela1[[#This Row],[Nome fantasia]]="","",_xlfn.XLOOKUP($C1591,Log!D:D,Log!B:B,,,-1)),"")</f>
        <v/>
      </c>
      <c r="O1591" s="35" t="str">
        <f>IFERROR(_xlfn.XLOOKUP($C1591,Log!D:D,Log!W:W,,,-1),"")</f>
        <v/>
      </c>
      <c r="P1591" s="35" t="str">
        <f>IFERROR(_xlfn.XLOOKUP($C1591,Log!D:D,Log!Y:Y,,,-1),"")</f>
        <v/>
      </c>
      <c r="Q1591" s="130"/>
      <c r="R1591" s="131" t="str">
        <f>IFERROR(IF(Tabela1[[#This Row],[Nome fantasia]]="","",_xlfn.XLOOKUP($C1591,Log!D:D,Log!X:X,,,-1)),"")</f>
        <v/>
      </c>
    </row>
    <row r="1592" spans="3:18" hidden="1" x14ac:dyDescent="0.2">
      <c r="C1592" s="30" t="s">
        <v>3590</v>
      </c>
      <c r="D1592" s="110" t="s">
        <v>3591</v>
      </c>
      <c r="E1592" s="33" t="s">
        <v>46</v>
      </c>
      <c r="F1592" s="38"/>
      <c r="G1592" s="38"/>
      <c r="H1592" s="31"/>
      <c r="I1592" s="32"/>
      <c r="J1592" s="32"/>
      <c r="K1592" s="45" t="s">
        <v>888</v>
      </c>
      <c r="L1592" s="129"/>
      <c r="M1592" s="33" t="str">
        <f t="shared" si="24"/>
        <v/>
      </c>
      <c r="N1592" s="34" t="str">
        <f>IFERROR(IF(Tabela1[[#This Row],[Nome fantasia]]="","",_xlfn.XLOOKUP($C1592,Log!D:D,Log!B:B,,,-1)),"")</f>
        <v/>
      </c>
      <c r="O1592" s="35" t="str">
        <f>IFERROR(_xlfn.XLOOKUP($C1592,Log!D:D,Log!W:W,,,-1),"")</f>
        <v/>
      </c>
      <c r="P1592" s="35" t="str">
        <f>IFERROR(_xlfn.XLOOKUP($C1592,Log!D:D,Log!Y:Y,,,-1),"")</f>
        <v/>
      </c>
      <c r="Q1592" s="130"/>
      <c r="R1592" s="131" t="str">
        <f>IFERROR(IF(Tabela1[[#This Row],[Nome fantasia]]="","",_xlfn.XLOOKUP($C1592,Log!D:D,Log!X:X,,,-1)),"")</f>
        <v/>
      </c>
    </row>
    <row r="1593" spans="3:18" hidden="1" x14ac:dyDescent="0.2">
      <c r="C1593" s="30" t="s">
        <v>3592</v>
      </c>
      <c r="D1593" s="110" t="s">
        <v>3593</v>
      </c>
      <c r="E1593" s="33" t="s">
        <v>46</v>
      </c>
      <c r="F1593" s="38"/>
      <c r="G1593" s="38"/>
      <c r="H1593" s="31"/>
      <c r="I1593" s="32"/>
      <c r="J1593" s="32"/>
      <c r="K1593" s="45" t="s">
        <v>888</v>
      </c>
      <c r="L1593" s="129"/>
      <c r="M1593" s="33" t="str">
        <f t="shared" si="24"/>
        <v/>
      </c>
      <c r="N1593" s="34" t="str">
        <f>IFERROR(IF(Tabela1[[#This Row],[Nome fantasia]]="","",_xlfn.XLOOKUP($C1593,Log!D:D,Log!B:B,,,-1)),"")</f>
        <v/>
      </c>
      <c r="O1593" s="35" t="str">
        <f>IFERROR(_xlfn.XLOOKUP($C1593,Log!D:D,Log!W:W,,,-1),"")</f>
        <v/>
      </c>
      <c r="P1593" s="35" t="str">
        <f>IFERROR(_xlfn.XLOOKUP($C1593,Log!D:D,Log!Y:Y,,,-1),"")</f>
        <v/>
      </c>
      <c r="Q1593" s="130"/>
      <c r="R1593" s="131" t="str">
        <f>IFERROR(IF(Tabela1[[#This Row],[Nome fantasia]]="","",_xlfn.XLOOKUP($C1593,Log!D:D,Log!X:X,,,-1)),"")</f>
        <v/>
      </c>
    </row>
    <row r="1594" spans="3:18" hidden="1" x14ac:dyDescent="0.2">
      <c r="C1594" s="30" t="s">
        <v>3592</v>
      </c>
      <c r="D1594" s="110" t="s">
        <v>3594</v>
      </c>
      <c r="E1594" s="33" t="s">
        <v>22</v>
      </c>
      <c r="F1594" s="38"/>
      <c r="G1594" s="38"/>
      <c r="H1594" s="31"/>
      <c r="I1594" s="32"/>
      <c r="J1594" s="32"/>
      <c r="K1594" s="45" t="s">
        <v>888</v>
      </c>
      <c r="L1594" s="129"/>
      <c r="M1594" s="33" t="str">
        <f t="shared" si="24"/>
        <v/>
      </c>
      <c r="N1594" s="34" t="str">
        <f>IFERROR(IF(Tabela1[[#This Row],[Nome fantasia]]="","",_xlfn.XLOOKUP($C1594,Log!D:D,Log!B:B,,,-1)),"")</f>
        <v/>
      </c>
      <c r="O1594" s="35" t="str">
        <f>IFERROR(_xlfn.XLOOKUP($C1594,Log!D:D,Log!W:W,,,-1),"")</f>
        <v/>
      </c>
      <c r="P1594" s="35" t="str">
        <f>IFERROR(_xlfn.XLOOKUP($C1594,Log!D:D,Log!Y:Y,,,-1),"")</f>
        <v/>
      </c>
      <c r="Q1594" s="130"/>
      <c r="R1594" s="131" t="str">
        <f>IFERROR(IF(Tabela1[[#This Row],[Nome fantasia]]="","",_xlfn.XLOOKUP($C1594,Log!D:D,Log!X:X,,,-1)),"")</f>
        <v/>
      </c>
    </row>
    <row r="1595" spans="3:18" hidden="1" x14ac:dyDescent="0.2">
      <c r="C1595" s="30"/>
      <c r="D1595" s="110"/>
      <c r="E1595" s="33" t="s">
        <v>17</v>
      </c>
      <c r="F1595" s="38"/>
      <c r="G1595" s="38"/>
      <c r="H1595" s="31"/>
      <c r="I1595" s="32"/>
      <c r="J1595" s="32"/>
      <c r="K1595" s="45" t="s">
        <v>888</v>
      </c>
      <c r="L1595" s="129"/>
      <c r="M1595" s="33" t="str">
        <f t="shared" si="24"/>
        <v/>
      </c>
      <c r="N1595" s="34" t="str">
        <f>IFERROR(IF(Tabela1[[#This Row],[Nome fantasia]]="","",_xlfn.XLOOKUP($C1595,Log!D:D,Log!B:B,,,-1)),"")</f>
        <v/>
      </c>
      <c r="O1595" s="35" t="str">
        <f>IFERROR(_xlfn.XLOOKUP($C1595,Log!D:D,Log!W:W,,,-1),"")</f>
        <v/>
      </c>
      <c r="P1595" s="35" t="str">
        <f>IFERROR(_xlfn.XLOOKUP($C1595,Log!D:D,Log!Y:Y,,,-1),"")</f>
        <v/>
      </c>
      <c r="Q1595" s="130"/>
      <c r="R1595" s="131" t="str">
        <f>IFERROR(IF(Tabela1[[#This Row],[Nome fantasia]]="","",_xlfn.XLOOKUP($C1595,Log!D:D,Log!X:X,,,-1)),"")</f>
        <v/>
      </c>
    </row>
    <row r="1596" spans="3:18" hidden="1" x14ac:dyDescent="0.2">
      <c r="C1596" s="30" t="s">
        <v>3595</v>
      </c>
      <c r="D1596" s="110" t="s">
        <v>3596</v>
      </c>
      <c r="E1596" s="33" t="s">
        <v>22</v>
      </c>
      <c r="F1596" s="38"/>
      <c r="G1596" s="38"/>
      <c r="H1596" s="31"/>
      <c r="I1596" s="32"/>
      <c r="J1596" s="32"/>
      <c r="K1596" s="45" t="s">
        <v>888</v>
      </c>
      <c r="L1596" s="129"/>
      <c r="M1596" s="33" t="str">
        <f t="shared" si="24"/>
        <v/>
      </c>
      <c r="N1596" s="34" t="str">
        <f>IFERROR(IF(Tabela1[[#This Row],[Nome fantasia]]="","",_xlfn.XLOOKUP($C1596,Log!D:D,Log!B:B,,,-1)),"")</f>
        <v/>
      </c>
      <c r="O1596" s="35" t="str">
        <f>IFERROR(_xlfn.XLOOKUP($C1596,Log!D:D,Log!W:W,,,-1),"")</f>
        <v/>
      </c>
      <c r="P1596" s="35" t="str">
        <f>IFERROR(_xlfn.XLOOKUP($C1596,Log!D:D,Log!Y:Y,,,-1),"")</f>
        <v/>
      </c>
      <c r="Q1596" s="130"/>
      <c r="R1596" s="131" t="str">
        <f>IFERROR(IF(Tabela1[[#This Row],[Nome fantasia]]="","",_xlfn.XLOOKUP($C1596,Log!D:D,Log!X:X,,,-1)),"")</f>
        <v/>
      </c>
    </row>
    <row r="1597" spans="3:18" hidden="1" x14ac:dyDescent="0.2">
      <c r="C1597" s="30" t="s">
        <v>3597</v>
      </c>
      <c r="D1597" s="110" t="s">
        <v>3598</v>
      </c>
      <c r="E1597" s="33" t="s">
        <v>22</v>
      </c>
      <c r="F1597" s="38"/>
      <c r="G1597" s="38"/>
      <c r="H1597" s="31"/>
      <c r="I1597" s="32"/>
      <c r="J1597" s="32"/>
      <c r="K1597" s="45" t="s">
        <v>888</v>
      </c>
      <c r="L1597" s="129"/>
      <c r="M1597" s="33" t="str">
        <f t="shared" si="24"/>
        <v/>
      </c>
      <c r="N1597" s="34" t="str">
        <f>IFERROR(IF(Tabela1[[#This Row],[Nome fantasia]]="","",_xlfn.XLOOKUP($C1597,Log!D:D,Log!B:B,,,-1)),"")</f>
        <v/>
      </c>
      <c r="O1597" s="35" t="str">
        <f>IFERROR(_xlfn.XLOOKUP($C1597,Log!D:D,Log!W:W,,,-1),"")</f>
        <v/>
      </c>
      <c r="P1597" s="35" t="str">
        <f>IFERROR(_xlfn.XLOOKUP($C1597,Log!D:D,Log!Y:Y,,,-1),"")</f>
        <v/>
      </c>
      <c r="Q1597" s="130"/>
      <c r="R1597" s="131" t="str">
        <f>IFERROR(IF(Tabela1[[#This Row],[Nome fantasia]]="","",_xlfn.XLOOKUP($C1597,Log!D:D,Log!X:X,,,-1)),"")</f>
        <v/>
      </c>
    </row>
    <row r="1598" spans="3:18" hidden="1" x14ac:dyDescent="0.2">
      <c r="C1598" s="30" t="s">
        <v>3599</v>
      </c>
      <c r="D1598" s="110" t="s">
        <v>3600</v>
      </c>
      <c r="E1598" s="33" t="s">
        <v>46</v>
      </c>
      <c r="F1598" s="38"/>
      <c r="G1598" s="38"/>
      <c r="H1598" s="31"/>
      <c r="I1598" s="32"/>
      <c r="J1598" s="32"/>
      <c r="K1598" s="45" t="s">
        <v>888</v>
      </c>
      <c r="L1598" s="129"/>
      <c r="M1598" s="33" t="str">
        <f t="shared" si="24"/>
        <v/>
      </c>
      <c r="N1598" s="34" t="str">
        <f>IFERROR(IF(Tabela1[[#This Row],[Nome fantasia]]="","",_xlfn.XLOOKUP($C1598,Log!D:D,Log!B:B,,,-1)),"")</f>
        <v/>
      </c>
      <c r="O1598" s="35" t="str">
        <f>IFERROR(_xlfn.XLOOKUP($C1598,Log!D:D,Log!W:W,,,-1),"")</f>
        <v/>
      </c>
      <c r="P1598" s="35" t="str">
        <f>IFERROR(_xlfn.XLOOKUP($C1598,Log!D:D,Log!Y:Y,,,-1),"")</f>
        <v/>
      </c>
      <c r="Q1598" s="130"/>
      <c r="R1598" s="131" t="str">
        <f>IFERROR(IF(Tabela1[[#This Row],[Nome fantasia]]="","",_xlfn.XLOOKUP($C1598,Log!D:D,Log!X:X,,,-1)),"")</f>
        <v/>
      </c>
    </row>
    <row r="1599" spans="3:18" hidden="1" x14ac:dyDescent="0.2">
      <c r="C1599" s="30" t="s">
        <v>3601</v>
      </c>
      <c r="D1599" s="110" t="s">
        <v>1247</v>
      </c>
      <c r="E1599" s="33" t="s">
        <v>22</v>
      </c>
      <c r="F1599" s="38"/>
      <c r="G1599" s="38"/>
      <c r="H1599" s="31"/>
      <c r="I1599" s="32"/>
      <c r="J1599" s="32"/>
      <c r="K1599" s="45" t="s">
        <v>888</v>
      </c>
      <c r="L1599" s="129"/>
      <c r="M1599" s="33" t="str">
        <f t="shared" si="24"/>
        <v/>
      </c>
      <c r="N1599" s="34" t="str">
        <f>IFERROR(IF(Tabela1[[#This Row],[Nome fantasia]]="","",_xlfn.XLOOKUP($C1599,Log!D:D,Log!B:B,,,-1)),"")</f>
        <v/>
      </c>
      <c r="O1599" s="35" t="str">
        <f>IFERROR(_xlfn.XLOOKUP($C1599,Log!D:D,Log!W:W,,,-1),"")</f>
        <v/>
      </c>
      <c r="P1599" s="35" t="str">
        <f>IFERROR(_xlfn.XLOOKUP($C1599,Log!D:D,Log!Y:Y,,,-1),"")</f>
        <v/>
      </c>
      <c r="Q1599" s="130"/>
      <c r="R1599" s="131" t="str">
        <f>IFERROR(IF(Tabela1[[#This Row],[Nome fantasia]]="","",_xlfn.XLOOKUP($C1599,Log!D:D,Log!X:X,,,-1)),"")</f>
        <v/>
      </c>
    </row>
    <row r="1600" spans="3:18" hidden="1" x14ac:dyDescent="0.2">
      <c r="C1600" s="30" t="s">
        <v>3602</v>
      </c>
      <c r="D1600" s="110" t="s">
        <v>3603</v>
      </c>
      <c r="E1600" s="33" t="s">
        <v>46</v>
      </c>
      <c r="F1600" s="38"/>
      <c r="G1600" s="38"/>
      <c r="H1600" s="31"/>
      <c r="I1600" s="32"/>
      <c r="J1600" s="32"/>
      <c r="K1600" s="45" t="s">
        <v>888</v>
      </c>
      <c r="L1600" s="129"/>
      <c r="M1600" s="33" t="str">
        <f t="shared" si="24"/>
        <v/>
      </c>
      <c r="N1600" s="34" t="str">
        <f>IFERROR(IF(Tabela1[[#This Row],[Nome fantasia]]="","",_xlfn.XLOOKUP($C1600,Log!D:D,Log!B:B,,,-1)),"")</f>
        <v/>
      </c>
      <c r="O1600" s="35" t="str">
        <f>IFERROR(_xlfn.XLOOKUP($C1600,Log!D:D,Log!W:W,,,-1),"")</f>
        <v/>
      </c>
      <c r="P1600" s="35" t="str">
        <f>IFERROR(_xlfn.XLOOKUP($C1600,Log!D:D,Log!Y:Y,,,-1),"")</f>
        <v/>
      </c>
      <c r="Q1600" s="130"/>
      <c r="R1600" s="131" t="str">
        <f>IFERROR(IF(Tabela1[[#This Row],[Nome fantasia]]="","",_xlfn.XLOOKUP($C1600,Log!D:D,Log!X:X,,,-1)),"")</f>
        <v/>
      </c>
    </row>
    <row r="1601" spans="3:18" hidden="1" x14ac:dyDescent="0.2">
      <c r="C1601" s="30" t="s">
        <v>549</v>
      </c>
      <c r="D1601" s="110" t="s">
        <v>3604</v>
      </c>
      <c r="E1601" s="33" t="s">
        <v>22</v>
      </c>
      <c r="F1601" s="38"/>
      <c r="G1601" s="38"/>
      <c r="H1601" s="31"/>
      <c r="I1601" s="32"/>
      <c r="J1601" s="32"/>
      <c r="K1601" s="45" t="s">
        <v>888</v>
      </c>
      <c r="L1601" s="129"/>
      <c r="M1601" s="33" t="str">
        <f t="shared" si="24"/>
        <v/>
      </c>
      <c r="N1601" s="34">
        <f>IFERROR(IF(Tabela1[[#This Row],[Nome fantasia]]="","",_xlfn.XLOOKUP($C1601,Log!D:D,Log!B:B,,,-1)),"")</f>
        <v>45999</v>
      </c>
      <c r="O1601" s="35" t="str">
        <f>IFERROR(_xlfn.XLOOKUP($C1601,Log!D:D,Log!W:W,,,-1),"")</f>
        <v>EM ATENDIMENTO</v>
      </c>
      <c r="P1601" s="35" t="str">
        <f>IFERROR(_xlfn.XLOOKUP($C1601,Log!D:D,Log!Y:Y,,,-1),"")</f>
        <v>MANDEI WHATSAPP, NUMERO DE TELEFONE NÃO ATENDE</v>
      </c>
      <c r="Q1601" s="130"/>
      <c r="R1601" s="131">
        <f>IFERROR(IF(Tabela1[[#This Row],[Nome fantasia]]="","",_xlfn.XLOOKUP($C1601,Log!D:D,Log!X:X,,,-1)),"")</f>
        <v>46001</v>
      </c>
    </row>
    <row r="1602" spans="3:18" hidden="1" x14ac:dyDescent="0.2">
      <c r="C1602" s="30" t="s">
        <v>3605</v>
      </c>
      <c r="D1602" s="110" t="s">
        <v>3606</v>
      </c>
      <c r="E1602" s="33" t="s">
        <v>46</v>
      </c>
      <c r="F1602" s="38"/>
      <c r="G1602" s="38"/>
      <c r="H1602" s="31"/>
      <c r="I1602" s="32"/>
      <c r="J1602" s="32"/>
      <c r="K1602" s="45" t="s">
        <v>888</v>
      </c>
      <c r="L1602" s="129"/>
      <c r="M1602" s="33" t="str">
        <f t="shared" si="24"/>
        <v/>
      </c>
      <c r="N1602" s="34" t="str">
        <f>IFERROR(IF(Tabela1[[#This Row],[Nome fantasia]]="","",_xlfn.XLOOKUP($C1602,Log!D:D,Log!B:B,,,-1)),"")</f>
        <v/>
      </c>
      <c r="O1602" s="35" t="str">
        <f>IFERROR(_xlfn.XLOOKUP($C1602,Log!D:D,Log!W:W,,,-1),"")</f>
        <v/>
      </c>
      <c r="P1602" s="35" t="str">
        <f>IFERROR(_xlfn.XLOOKUP($C1602,Log!D:D,Log!Y:Y,,,-1),"")</f>
        <v/>
      </c>
      <c r="Q1602" s="130"/>
      <c r="R1602" s="131" t="str">
        <f>IFERROR(IF(Tabela1[[#This Row],[Nome fantasia]]="","",_xlfn.XLOOKUP($C1602,Log!D:D,Log!X:X,,,-1)),"")</f>
        <v/>
      </c>
    </row>
    <row r="1603" spans="3:18" hidden="1" x14ac:dyDescent="0.2">
      <c r="C1603" s="30"/>
      <c r="D1603" s="110" t="s">
        <v>3607</v>
      </c>
      <c r="E1603" s="33" t="s">
        <v>46</v>
      </c>
      <c r="F1603" s="38"/>
      <c r="G1603" s="38"/>
      <c r="H1603" s="31"/>
      <c r="I1603" s="32"/>
      <c r="J1603" s="32"/>
      <c r="K1603" s="45" t="s">
        <v>888</v>
      </c>
      <c r="L1603" s="129"/>
      <c r="M1603" s="33" t="str">
        <f t="shared" ref="M1603:M1666" si="25">IF(OR(J1603&lt;=0,J1603=""),"","Recompra")</f>
        <v/>
      </c>
      <c r="N1603" s="34" t="str">
        <f>IFERROR(IF(Tabela1[[#This Row],[Nome fantasia]]="","",_xlfn.XLOOKUP($C1603,Log!D:D,Log!B:B,,,-1)),"")</f>
        <v/>
      </c>
      <c r="O1603" s="35" t="str">
        <f>IFERROR(_xlfn.XLOOKUP($C1603,Log!D:D,Log!W:W,,,-1),"")</f>
        <v/>
      </c>
      <c r="P1603" s="35" t="str">
        <f>IFERROR(_xlfn.XLOOKUP($C1603,Log!D:D,Log!Y:Y,,,-1),"")</f>
        <v/>
      </c>
      <c r="Q1603" s="130"/>
      <c r="R1603" s="131" t="str">
        <f>IFERROR(IF(Tabela1[[#This Row],[Nome fantasia]]="","",_xlfn.XLOOKUP($C1603,Log!D:D,Log!X:X,,,-1)),"")</f>
        <v/>
      </c>
    </row>
    <row r="1604" spans="3:18" hidden="1" x14ac:dyDescent="0.2">
      <c r="C1604" s="30"/>
      <c r="D1604" s="110" t="s">
        <v>1020</v>
      </c>
      <c r="E1604" s="33" t="s">
        <v>46</v>
      </c>
      <c r="F1604" s="38"/>
      <c r="G1604" s="38"/>
      <c r="H1604" s="31"/>
      <c r="I1604" s="32"/>
      <c r="J1604" s="32"/>
      <c r="K1604" s="45" t="s">
        <v>888</v>
      </c>
      <c r="L1604" s="129"/>
      <c r="M1604" s="33" t="str">
        <f t="shared" si="25"/>
        <v/>
      </c>
      <c r="N1604" s="34" t="str">
        <f>IFERROR(IF(Tabela1[[#This Row],[Nome fantasia]]="","",_xlfn.XLOOKUP($C1604,Log!D:D,Log!B:B,,,-1)),"")</f>
        <v/>
      </c>
      <c r="O1604" s="35" t="str">
        <f>IFERROR(_xlfn.XLOOKUP($C1604,Log!D:D,Log!W:W,,,-1),"")</f>
        <v/>
      </c>
      <c r="P1604" s="35" t="str">
        <f>IFERROR(_xlfn.XLOOKUP($C1604,Log!D:D,Log!Y:Y,,,-1),"")</f>
        <v/>
      </c>
      <c r="Q1604" s="130"/>
      <c r="R1604" s="131" t="str">
        <f>IFERROR(IF(Tabela1[[#This Row],[Nome fantasia]]="","",_xlfn.XLOOKUP($C1604,Log!D:D,Log!X:X,,,-1)),"")</f>
        <v/>
      </c>
    </row>
    <row r="1605" spans="3:18" hidden="1" x14ac:dyDescent="0.2">
      <c r="C1605" s="30" t="s">
        <v>3608</v>
      </c>
      <c r="D1605" s="110" t="s">
        <v>3609</v>
      </c>
      <c r="E1605" s="33" t="s">
        <v>46</v>
      </c>
      <c r="F1605" s="38"/>
      <c r="G1605" s="38"/>
      <c r="H1605" s="31"/>
      <c r="I1605" s="32"/>
      <c r="J1605" s="32"/>
      <c r="K1605" s="45" t="s">
        <v>888</v>
      </c>
      <c r="L1605" s="129"/>
      <c r="M1605" s="33" t="str">
        <f t="shared" si="25"/>
        <v/>
      </c>
      <c r="N1605" s="34" t="str">
        <f>IFERROR(IF(Tabela1[[#This Row],[Nome fantasia]]="","",_xlfn.XLOOKUP($C1605,Log!D:D,Log!B:B,,,-1)),"")</f>
        <v/>
      </c>
      <c r="O1605" s="35" t="str">
        <f>IFERROR(_xlfn.XLOOKUP($C1605,Log!D:D,Log!W:W,,,-1),"")</f>
        <v/>
      </c>
      <c r="P1605" s="35" t="str">
        <f>IFERROR(_xlfn.XLOOKUP($C1605,Log!D:D,Log!Y:Y,,,-1),"")</f>
        <v/>
      </c>
      <c r="Q1605" s="130"/>
      <c r="R1605" s="131" t="str">
        <f>IFERROR(IF(Tabela1[[#This Row],[Nome fantasia]]="","",_xlfn.XLOOKUP($C1605,Log!D:D,Log!X:X,,,-1)),"")</f>
        <v/>
      </c>
    </row>
    <row r="1606" spans="3:18" hidden="1" x14ac:dyDescent="0.2">
      <c r="C1606" s="30" t="s">
        <v>3610</v>
      </c>
      <c r="D1606" s="110" t="s">
        <v>3611</v>
      </c>
      <c r="E1606" s="33" t="s">
        <v>22</v>
      </c>
      <c r="F1606" s="38"/>
      <c r="G1606" s="38"/>
      <c r="H1606" s="31"/>
      <c r="I1606" s="32"/>
      <c r="J1606" s="32"/>
      <c r="K1606" s="45" t="s">
        <v>888</v>
      </c>
      <c r="L1606" s="129"/>
      <c r="M1606" s="33" t="str">
        <f t="shared" si="25"/>
        <v/>
      </c>
      <c r="N1606" s="34" t="str">
        <f>IFERROR(IF(Tabela1[[#This Row],[Nome fantasia]]="","",_xlfn.XLOOKUP($C1606,Log!D:D,Log!B:B,,,-1)),"")</f>
        <v/>
      </c>
      <c r="O1606" s="35" t="str">
        <f>IFERROR(_xlfn.XLOOKUP($C1606,Log!D:D,Log!W:W,,,-1),"")</f>
        <v/>
      </c>
      <c r="P1606" s="35" t="str">
        <f>IFERROR(_xlfn.XLOOKUP($C1606,Log!D:D,Log!Y:Y,,,-1),"")</f>
        <v/>
      </c>
      <c r="Q1606" s="130"/>
      <c r="R1606" s="131" t="str">
        <f>IFERROR(IF(Tabela1[[#This Row],[Nome fantasia]]="","",_xlfn.XLOOKUP($C1606,Log!D:D,Log!X:X,,,-1)),"")</f>
        <v/>
      </c>
    </row>
    <row r="1607" spans="3:18" hidden="1" x14ac:dyDescent="0.2">
      <c r="C1607" s="30" t="s">
        <v>3612</v>
      </c>
      <c r="D1607" s="110" t="s">
        <v>3613</v>
      </c>
      <c r="E1607" s="33" t="s">
        <v>46</v>
      </c>
      <c r="F1607" s="38"/>
      <c r="G1607" s="38"/>
      <c r="H1607" s="31"/>
      <c r="I1607" s="32"/>
      <c r="J1607" s="32"/>
      <c r="K1607" s="45" t="s">
        <v>888</v>
      </c>
      <c r="L1607" s="129"/>
      <c r="M1607" s="33" t="str">
        <f t="shared" si="25"/>
        <v/>
      </c>
      <c r="N1607" s="34" t="str">
        <f>IFERROR(IF(Tabela1[[#This Row],[Nome fantasia]]="","",_xlfn.XLOOKUP($C1607,Log!D:D,Log!B:B,,,-1)),"")</f>
        <v/>
      </c>
      <c r="O1607" s="35" t="str">
        <f>IFERROR(_xlfn.XLOOKUP($C1607,Log!D:D,Log!W:W,,,-1),"")</f>
        <v/>
      </c>
      <c r="P1607" s="35" t="str">
        <f>IFERROR(_xlfn.XLOOKUP($C1607,Log!D:D,Log!Y:Y,,,-1),"")</f>
        <v/>
      </c>
      <c r="Q1607" s="130"/>
      <c r="R1607" s="131" t="str">
        <f>IFERROR(IF(Tabela1[[#This Row],[Nome fantasia]]="","",_xlfn.XLOOKUP($C1607,Log!D:D,Log!X:X,,,-1)),"")</f>
        <v/>
      </c>
    </row>
    <row r="1608" spans="3:18" hidden="1" x14ac:dyDescent="0.2">
      <c r="C1608" s="30" t="s">
        <v>3614</v>
      </c>
      <c r="D1608" s="110" t="s">
        <v>3615</v>
      </c>
      <c r="E1608" s="33" t="s">
        <v>17</v>
      </c>
      <c r="F1608" s="38"/>
      <c r="G1608" s="38"/>
      <c r="H1608" s="31"/>
      <c r="I1608" s="32"/>
      <c r="J1608" s="32"/>
      <c r="K1608" s="45" t="s">
        <v>888</v>
      </c>
      <c r="L1608" s="129"/>
      <c r="M1608" s="33" t="str">
        <f t="shared" si="25"/>
        <v/>
      </c>
      <c r="N1608" s="34" t="str">
        <f>IFERROR(IF(Tabela1[[#This Row],[Nome fantasia]]="","",_xlfn.XLOOKUP($C1608,Log!D:D,Log!B:B,,,-1)),"")</f>
        <v/>
      </c>
      <c r="O1608" s="35" t="str">
        <f>IFERROR(_xlfn.XLOOKUP($C1608,Log!D:D,Log!W:W,,,-1),"")</f>
        <v/>
      </c>
      <c r="P1608" s="35" t="str">
        <f>IFERROR(_xlfn.XLOOKUP($C1608,Log!D:D,Log!Y:Y,,,-1),"")</f>
        <v/>
      </c>
      <c r="Q1608" s="130"/>
      <c r="R1608" s="131" t="str">
        <f>IFERROR(IF(Tabela1[[#This Row],[Nome fantasia]]="","",_xlfn.XLOOKUP($C1608,Log!D:D,Log!X:X,,,-1)),"")</f>
        <v/>
      </c>
    </row>
    <row r="1609" spans="3:18" hidden="1" x14ac:dyDescent="0.2">
      <c r="C1609" s="30" t="s">
        <v>3614</v>
      </c>
      <c r="D1609" s="110" t="s">
        <v>3616</v>
      </c>
      <c r="E1609" s="33" t="s">
        <v>46</v>
      </c>
      <c r="F1609" s="38"/>
      <c r="G1609" s="38"/>
      <c r="H1609" s="31"/>
      <c r="I1609" s="32"/>
      <c r="J1609" s="32"/>
      <c r="K1609" s="45" t="s">
        <v>888</v>
      </c>
      <c r="L1609" s="129"/>
      <c r="M1609" s="33" t="str">
        <f t="shared" si="25"/>
        <v/>
      </c>
      <c r="N1609" s="34" t="str">
        <f>IFERROR(IF(Tabela1[[#This Row],[Nome fantasia]]="","",_xlfn.XLOOKUP($C1609,Log!D:D,Log!B:B,,,-1)),"")</f>
        <v/>
      </c>
      <c r="O1609" s="35" t="str">
        <f>IFERROR(_xlfn.XLOOKUP($C1609,Log!D:D,Log!W:W,,,-1),"")</f>
        <v/>
      </c>
      <c r="P1609" s="35" t="str">
        <f>IFERROR(_xlfn.XLOOKUP($C1609,Log!D:D,Log!Y:Y,,,-1),"")</f>
        <v/>
      </c>
      <c r="Q1609" s="130"/>
      <c r="R1609" s="131" t="str">
        <f>IFERROR(IF(Tabela1[[#This Row],[Nome fantasia]]="","",_xlfn.XLOOKUP($C1609,Log!D:D,Log!X:X,,,-1)),"")</f>
        <v/>
      </c>
    </row>
    <row r="1610" spans="3:18" hidden="1" x14ac:dyDescent="0.2">
      <c r="C1610" s="30" t="s">
        <v>3617</v>
      </c>
      <c r="D1610" s="110" t="s">
        <v>3618</v>
      </c>
      <c r="E1610" s="33" t="s">
        <v>46</v>
      </c>
      <c r="F1610" s="38"/>
      <c r="G1610" s="38"/>
      <c r="H1610" s="31"/>
      <c r="I1610" s="32"/>
      <c r="J1610" s="32"/>
      <c r="K1610" s="45" t="s">
        <v>888</v>
      </c>
      <c r="L1610" s="129"/>
      <c r="M1610" s="33" t="str">
        <f t="shared" si="25"/>
        <v/>
      </c>
      <c r="N1610" s="34" t="str">
        <f>IFERROR(IF(Tabela1[[#This Row],[Nome fantasia]]="","",_xlfn.XLOOKUP($C1610,Log!D:D,Log!B:B,,,-1)),"")</f>
        <v/>
      </c>
      <c r="O1610" s="35" t="str">
        <f>IFERROR(_xlfn.XLOOKUP($C1610,Log!D:D,Log!W:W,,,-1),"")</f>
        <v/>
      </c>
      <c r="P1610" s="35" t="str">
        <f>IFERROR(_xlfn.XLOOKUP($C1610,Log!D:D,Log!Y:Y,,,-1),"")</f>
        <v/>
      </c>
      <c r="Q1610" s="130"/>
      <c r="R1610" s="131" t="str">
        <f>IFERROR(IF(Tabela1[[#This Row],[Nome fantasia]]="","",_xlfn.XLOOKUP($C1610,Log!D:D,Log!X:X,,,-1)),"")</f>
        <v/>
      </c>
    </row>
    <row r="1611" spans="3:18" hidden="1" x14ac:dyDescent="0.2">
      <c r="C1611" s="30" t="s">
        <v>3619</v>
      </c>
      <c r="D1611" s="110" t="s">
        <v>3620</v>
      </c>
      <c r="E1611" s="33" t="s">
        <v>17</v>
      </c>
      <c r="F1611" s="38"/>
      <c r="G1611" s="38"/>
      <c r="H1611" s="31"/>
      <c r="I1611" s="32"/>
      <c r="J1611" s="32"/>
      <c r="K1611" s="45" t="s">
        <v>888</v>
      </c>
      <c r="L1611" s="129"/>
      <c r="M1611" s="33" t="str">
        <f t="shared" si="25"/>
        <v/>
      </c>
      <c r="N1611" s="34" t="str">
        <f>IFERROR(IF(Tabela1[[#This Row],[Nome fantasia]]="","",_xlfn.XLOOKUP($C1611,Log!D:D,Log!B:B,,,-1)),"")</f>
        <v/>
      </c>
      <c r="O1611" s="35" t="str">
        <f>IFERROR(_xlfn.XLOOKUP($C1611,Log!D:D,Log!W:W,,,-1),"")</f>
        <v/>
      </c>
      <c r="P1611" s="35" t="str">
        <f>IFERROR(_xlfn.XLOOKUP($C1611,Log!D:D,Log!Y:Y,,,-1),"")</f>
        <v/>
      </c>
      <c r="Q1611" s="130"/>
      <c r="R1611" s="131" t="str">
        <f>IFERROR(IF(Tabela1[[#This Row],[Nome fantasia]]="","",_xlfn.XLOOKUP($C1611,Log!D:D,Log!X:X,,,-1)),"")</f>
        <v/>
      </c>
    </row>
    <row r="1612" spans="3:18" hidden="1" x14ac:dyDescent="0.2">
      <c r="C1612" s="30" t="s">
        <v>3621</v>
      </c>
      <c r="D1612" s="110" t="s">
        <v>3622</v>
      </c>
      <c r="E1612" s="33" t="s">
        <v>22</v>
      </c>
      <c r="F1612" s="38"/>
      <c r="G1612" s="38"/>
      <c r="H1612" s="31"/>
      <c r="I1612" s="32"/>
      <c r="J1612" s="32"/>
      <c r="K1612" s="45" t="s">
        <v>888</v>
      </c>
      <c r="L1612" s="129"/>
      <c r="M1612" s="33" t="str">
        <f t="shared" si="25"/>
        <v/>
      </c>
      <c r="N1612" s="34" t="str">
        <f>IFERROR(IF(Tabela1[[#This Row],[Nome fantasia]]="","",_xlfn.XLOOKUP($C1612,Log!D:D,Log!B:B,,,-1)),"")</f>
        <v/>
      </c>
      <c r="O1612" s="35" t="str">
        <f>IFERROR(_xlfn.XLOOKUP($C1612,Log!D:D,Log!W:W,,,-1),"")</f>
        <v/>
      </c>
      <c r="P1612" s="35" t="str">
        <f>IFERROR(_xlfn.XLOOKUP($C1612,Log!D:D,Log!Y:Y,,,-1),"")</f>
        <v/>
      </c>
      <c r="Q1612" s="130"/>
      <c r="R1612" s="131" t="str">
        <f>IFERROR(IF(Tabela1[[#This Row],[Nome fantasia]]="","",_xlfn.XLOOKUP($C1612,Log!D:D,Log!X:X,,,-1)),"")</f>
        <v/>
      </c>
    </row>
    <row r="1613" spans="3:18" hidden="1" x14ac:dyDescent="0.2">
      <c r="C1613" s="30" t="s">
        <v>3623</v>
      </c>
      <c r="D1613" s="110" t="s">
        <v>3624</v>
      </c>
      <c r="E1613" s="33" t="s">
        <v>46</v>
      </c>
      <c r="F1613" s="38"/>
      <c r="G1613" s="38"/>
      <c r="H1613" s="31"/>
      <c r="I1613" s="32"/>
      <c r="J1613" s="32"/>
      <c r="K1613" s="45" t="s">
        <v>888</v>
      </c>
      <c r="L1613" s="129"/>
      <c r="M1613" s="33" t="str">
        <f t="shared" si="25"/>
        <v/>
      </c>
      <c r="N1613" s="34" t="str">
        <f>IFERROR(IF(Tabela1[[#This Row],[Nome fantasia]]="","",_xlfn.XLOOKUP($C1613,Log!D:D,Log!B:B,,,-1)),"")</f>
        <v/>
      </c>
      <c r="O1613" s="35" t="str">
        <f>IFERROR(_xlfn.XLOOKUP($C1613,Log!D:D,Log!W:W,,,-1),"")</f>
        <v/>
      </c>
      <c r="P1613" s="35" t="str">
        <f>IFERROR(_xlfn.XLOOKUP($C1613,Log!D:D,Log!Y:Y,,,-1),"")</f>
        <v/>
      </c>
      <c r="Q1613" s="130"/>
      <c r="R1613" s="131" t="str">
        <f>IFERROR(IF(Tabela1[[#This Row],[Nome fantasia]]="","",_xlfn.XLOOKUP($C1613,Log!D:D,Log!X:X,,,-1)),"")</f>
        <v/>
      </c>
    </row>
    <row r="1614" spans="3:18" hidden="1" x14ac:dyDescent="0.2">
      <c r="C1614" s="30" t="s">
        <v>3625</v>
      </c>
      <c r="D1614" s="110" t="s">
        <v>3626</v>
      </c>
      <c r="E1614" s="33" t="s">
        <v>22</v>
      </c>
      <c r="F1614" s="38"/>
      <c r="G1614" s="38"/>
      <c r="H1614" s="31"/>
      <c r="I1614" s="32"/>
      <c r="J1614" s="32"/>
      <c r="K1614" s="45" t="s">
        <v>888</v>
      </c>
      <c r="L1614" s="129"/>
      <c r="M1614" s="33" t="str">
        <f t="shared" si="25"/>
        <v/>
      </c>
      <c r="N1614" s="34" t="str">
        <f>IFERROR(IF(Tabela1[[#This Row],[Nome fantasia]]="","",_xlfn.XLOOKUP($C1614,Log!D:D,Log!B:B,,,-1)),"")</f>
        <v/>
      </c>
      <c r="O1614" s="35" t="str">
        <f>IFERROR(_xlfn.XLOOKUP($C1614,Log!D:D,Log!W:W,,,-1),"")</f>
        <v/>
      </c>
      <c r="P1614" s="35" t="str">
        <f>IFERROR(_xlfn.XLOOKUP($C1614,Log!D:D,Log!Y:Y,,,-1),"")</f>
        <v/>
      </c>
      <c r="Q1614" s="130"/>
      <c r="R1614" s="131" t="str">
        <f>IFERROR(IF(Tabela1[[#This Row],[Nome fantasia]]="","",_xlfn.XLOOKUP($C1614,Log!D:D,Log!X:X,,,-1)),"")</f>
        <v/>
      </c>
    </row>
    <row r="1615" spans="3:18" hidden="1" x14ac:dyDescent="0.2">
      <c r="C1615" s="30" t="s">
        <v>3625</v>
      </c>
      <c r="D1615" s="110" t="s">
        <v>3626</v>
      </c>
      <c r="E1615" s="33" t="s">
        <v>22</v>
      </c>
      <c r="F1615" s="38"/>
      <c r="G1615" s="38"/>
      <c r="H1615" s="31"/>
      <c r="I1615" s="32"/>
      <c r="J1615" s="32"/>
      <c r="K1615" s="45" t="s">
        <v>888</v>
      </c>
      <c r="L1615" s="129"/>
      <c r="M1615" s="33" t="str">
        <f t="shared" si="25"/>
        <v/>
      </c>
      <c r="N1615" s="34" t="str">
        <f>IFERROR(IF(Tabela1[[#This Row],[Nome fantasia]]="","",_xlfn.XLOOKUP($C1615,Log!D:D,Log!B:B,,,-1)),"")</f>
        <v/>
      </c>
      <c r="O1615" s="35" t="str">
        <f>IFERROR(_xlfn.XLOOKUP($C1615,Log!D:D,Log!W:W,,,-1),"")</f>
        <v/>
      </c>
      <c r="P1615" s="35" t="str">
        <f>IFERROR(_xlfn.XLOOKUP($C1615,Log!D:D,Log!Y:Y,,,-1),"")</f>
        <v/>
      </c>
      <c r="Q1615" s="130"/>
      <c r="R1615" s="131" t="str">
        <f>IFERROR(IF(Tabela1[[#This Row],[Nome fantasia]]="","",_xlfn.XLOOKUP($C1615,Log!D:D,Log!X:X,,,-1)),"")</f>
        <v/>
      </c>
    </row>
    <row r="1616" spans="3:18" hidden="1" x14ac:dyDescent="0.2">
      <c r="C1616" s="30" t="s">
        <v>3627</v>
      </c>
      <c r="D1616" s="110" t="s">
        <v>3628</v>
      </c>
      <c r="E1616" s="33" t="s">
        <v>22</v>
      </c>
      <c r="F1616" s="38"/>
      <c r="G1616" s="38"/>
      <c r="H1616" s="31"/>
      <c r="I1616" s="32"/>
      <c r="J1616" s="32"/>
      <c r="K1616" s="45" t="s">
        <v>888</v>
      </c>
      <c r="L1616" s="129"/>
      <c r="M1616" s="33" t="str">
        <f t="shared" si="25"/>
        <v/>
      </c>
      <c r="N1616" s="34" t="str">
        <f>IFERROR(IF(Tabela1[[#This Row],[Nome fantasia]]="","",_xlfn.XLOOKUP($C1616,Log!D:D,Log!B:B,,,-1)),"")</f>
        <v/>
      </c>
      <c r="O1616" s="35" t="str">
        <f>IFERROR(_xlfn.XLOOKUP($C1616,Log!D:D,Log!W:W,,,-1),"")</f>
        <v/>
      </c>
      <c r="P1616" s="35" t="str">
        <f>IFERROR(_xlfn.XLOOKUP($C1616,Log!D:D,Log!Y:Y,,,-1),"")</f>
        <v/>
      </c>
      <c r="Q1616" s="130"/>
      <c r="R1616" s="131" t="str">
        <f>IFERROR(IF(Tabela1[[#This Row],[Nome fantasia]]="","",_xlfn.XLOOKUP($C1616,Log!D:D,Log!X:X,,,-1)),"")</f>
        <v/>
      </c>
    </row>
    <row r="1617" spans="3:18" hidden="1" x14ac:dyDescent="0.2">
      <c r="C1617" s="30" t="s">
        <v>3629</v>
      </c>
      <c r="D1617" s="110" t="s">
        <v>3630</v>
      </c>
      <c r="E1617" s="33" t="s">
        <v>46</v>
      </c>
      <c r="F1617" s="38"/>
      <c r="G1617" s="38"/>
      <c r="H1617" s="31"/>
      <c r="I1617" s="32"/>
      <c r="J1617" s="32"/>
      <c r="K1617" s="45" t="s">
        <v>888</v>
      </c>
      <c r="L1617" s="129"/>
      <c r="M1617" s="33" t="str">
        <f t="shared" si="25"/>
        <v/>
      </c>
      <c r="N1617" s="34" t="str">
        <f>IFERROR(IF(Tabela1[[#This Row],[Nome fantasia]]="","",_xlfn.XLOOKUP($C1617,Log!D:D,Log!B:B,,,-1)),"")</f>
        <v/>
      </c>
      <c r="O1617" s="35" t="str">
        <f>IFERROR(_xlfn.XLOOKUP($C1617,Log!D:D,Log!W:W,,,-1),"")</f>
        <v/>
      </c>
      <c r="P1617" s="35" t="str">
        <f>IFERROR(_xlfn.XLOOKUP($C1617,Log!D:D,Log!Y:Y,,,-1),"")</f>
        <v/>
      </c>
      <c r="Q1617" s="130"/>
      <c r="R1617" s="131" t="str">
        <f>IFERROR(IF(Tabela1[[#This Row],[Nome fantasia]]="","",_xlfn.XLOOKUP($C1617,Log!D:D,Log!X:X,,,-1)),"")</f>
        <v/>
      </c>
    </row>
    <row r="1618" spans="3:18" hidden="1" x14ac:dyDescent="0.2">
      <c r="C1618" s="30" t="s">
        <v>3631</v>
      </c>
      <c r="D1618" s="110" t="s">
        <v>3632</v>
      </c>
      <c r="E1618" s="33" t="s">
        <v>46</v>
      </c>
      <c r="F1618" s="38"/>
      <c r="G1618" s="38"/>
      <c r="H1618" s="31"/>
      <c r="I1618" s="32"/>
      <c r="J1618" s="32"/>
      <c r="K1618" s="45" t="s">
        <v>888</v>
      </c>
      <c r="L1618" s="129"/>
      <c r="M1618" s="33" t="str">
        <f t="shared" si="25"/>
        <v/>
      </c>
      <c r="N1618" s="34" t="str">
        <f>IFERROR(IF(Tabela1[[#This Row],[Nome fantasia]]="","",_xlfn.XLOOKUP($C1618,Log!D:D,Log!B:B,,,-1)),"")</f>
        <v/>
      </c>
      <c r="O1618" s="35" t="str">
        <f>IFERROR(_xlfn.XLOOKUP($C1618,Log!D:D,Log!W:W,,,-1),"")</f>
        <v/>
      </c>
      <c r="P1618" s="35" t="str">
        <f>IFERROR(_xlfn.XLOOKUP($C1618,Log!D:D,Log!Y:Y,,,-1),"")</f>
        <v/>
      </c>
      <c r="Q1618" s="130"/>
      <c r="R1618" s="131" t="str">
        <f>IFERROR(IF(Tabela1[[#This Row],[Nome fantasia]]="","",_xlfn.XLOOKUP($C1618,Log!D:D,Log!X:X,,,-1)),"")</f>
        <v/>
      </c>
    </row>
    <row r="1619" spans="3:18" hidden="1" x14ac:dyDescent="0.2">
      <c r="C1619" s="30" t="s">
        <v>3633</v>
      </c>
      <c r="D1619" s="110" t="s">
        <v>3634</v>
      </c>
      <c r="E1619" s="33" t="s">
        <v>46</v>
      </c>
      <c r="F1619" s="38"/>
      <c r="G1619" s="38"/>
      <c r="H1619" s="31"/>
      <c r="I1619" s="32"/>
      <c r="J1619" s="32"/>
      <c r="K1619" s="45" t="s">
        <v>888</v>
      </c>
      <c r="L1619" s="129"/>
      <c r="M1619" s="33" t="str">
        <f t="shared" si="25"/>
        <v/>
      </c>
      <c r="N1619" s="34" t="str">
        <f>IFERROR(IF(Tabela1[[#This Row],[Nome fantasia]]="","",_xlfn.XLOOKUP($C1619,Log!D:D,Log!B:B,,,-1)),"")</f>
        <v/>
      </c>
      <c r="O1619" s="35" t="str">
        <f>IFERROR(_xlfn.XLOOKUP($C1619,Log!D:D,Log!W:W,,,-1),"")</f>
        <v/>
      </c>
      <c r="P1619" s="35" t="str">
        <f>IFERROR(_xlfn.XLOOKUP($C1619,Log!D:D,Log!Y:Y,,,-1),"")</f>
        <v/>
      </c>
      <c r="Q1619" s="130"/>
      <c r="R1619" s="131" t="str">
        <f>IFERROR(IF(Tabela1[[#This Row],[Nome fantasia]]="","",_xlfn.XLOOKUP($C1619,Log!D:D,Log!X:X,,,-1)),"")</f>
        <v/>
      </c>
    </row>
    <row r="1620" spans="3:18" hidden="1" x14ac:dyDescent="0.2">
      <c r="C1620" s="30" t="s">
        <v>3635</v>
      </c>
      <c r="D1620" s="110" t="s">
        <v>3636</v>
      </c>
      <c r="E1620" s="33" t="s">
        <v>46</v>
      </c>
      <c r="F1620" s="38"/>
      <c r="G1620" s="38"/>
      <c r="H1620" s="31"/>
      <c r="I1620" s="32"/>
      <c r="J1620" s="32"/>
      <c r="K1620" s="45" t="s">
        <v>888</v>
      </c>
      <c r="L1620" s="129"/>
      <c r="M1620" s="33" t="str">
        <f t="shared" si="25"/>
        <v/>
      </c>
      <c r="N1620" s="34" t="str">
        <f>IFERROR(IF(Tabela1[[#This Row],[Nome fantasia]]="","",_xlfn.XLOOKUP($C1620,Log!D:D,Log!B:B,,,-1)),"")</f>
        <v/>
      </c>
      <c r="O1620" s="35" t="str">
        <f>IFERROR(_xlfn.XLOOKUP($C1620,Log!D:D,Log!W:W,,,-1),"")</f>
        <v/>
      </c>
      <c r="P1620" s="35" t="str">
        <f>IFERROR(_xlfn.XLOOKUP($C1620,Log!D:D,Log!Y:Y,,,-1),"")</f>
        <v/>
      </c>
      <c r="Q1620" s="130"/>
      <c r="R1620" s="131" t="str">
        <f>IFERROR(IF(Tabela1[[#This Row],[Nome fantasia]]="","",_xlfn.XLOOKUP($C1620,Log!D:D,Log!X:X,,,-1)),"")</f>
        <v/>
      </c>
    </row>
    <row r="1621" spans="3:18" hidden="1" x14ac:dyDescent="0.2">
      <c r="C1621" s="30" t="s">
        <v>3637</v>
      </c>
      <c r="D1621" s="110" t="s">
        <v>3638</v>
      </c>
      <c r="E1621" s="33" t="s">
        <v>17</v>
      </c>
      <c r="F1621" s="38"/>
      <c r="G1621" s="38"/>
      <c r="H1621" s="31"/>
      <c r="I1621" s="32"/>
      <c r="J1621" s="32"/>
      <c r="K1621" s="45" t="s">
        <v>888</v>
      </c>
      <c r="L1621" s="129"/>
      <c r="M1621" s="33" t="str">
        <f t="shared" si="25"/>
        <v/>
      </c>
      <c r="N1621" s="34" t="str">
        <f>IFERROR(IF(Tabela1[[#This Row],[Nome fantasia]]="","",_xlfn.XLOOKUP($C1621,Log!D:D,Log!B:B,,,-1)),"")</f>
        <v/>
      </c>
      <c r="O1621" s="35" t="str">
        <f>IFERROR(_xlfn.XLOOKUP($C1621,Log!D:D,Log!W:W,,,-1),"")</f>
        <v/>
      </c>
      <c r="P1621" s="35" t="str">
        <f>IFERROR(_xlfn.XLOOKUP($C1621,Log!D:D,Log!Y:Y,,,-1),"")</f>
        <v/>
      </c>
      <c r="Q1621" s="130"/>
      <c r="R1621" s="131" t="str">
        <f>IFERROR(IF(Tabela1[[#This Row],[Nome fantasia]]="","",_xlfn.XLOOKUP($C1621,Log!D:D,Log!X:X,,,-1)),"")</f>
        <v/>
      </c>
    </row>
    <row r="1622" spans="3:18" hidden="1" x14ac:dyDescent="0.2">
      <c r="C1622" s="30" t="s">
        <v>3639</v>
      </c>
      <c r="D1622" s="110" t="s">
        <v>3640</v>
      </c>
      <c r="E1622" s="33" t="s">
        <v>46</v>
      </c>
      <c r="F1622" s="38"/>
      <c r="G1622" s="38"/>
      <c r="H1622" s="31"/>
      <c r="I1622" s="32"/>
      <c r="J1622" s="32"/>
      <c r="K1622" s="45" t="s">
        <v>888</v>
      </c>
      <c r="L1622" s="129"/>
      <c r="M1622" s="33" t="str">
        <f t="shared" si="25"/>
        <v/>
      </c>
      <c r="N1622" s="34" t="str">
        <f>IFERROR(IF(Tabela1[[#This Row],[Nome fantasia]]="","",_xlfn.XLOOKUP($C1622,Log!D:D,Log!B:B,,,-1)),"")</f>
        <v/>
      </c>
      <c r="O1622" s="35" t="str">
        <f>IFERROR(_xlfn.XLOOKUP($C1622,Log!D:D,Log!W:W,,,-1),"")</f>
        <v/>
      </c>
      <c r="P1622" s="35" t="str">
        <f>IFERROR(_xlfn.XLOOKUP($C1622,Log!D:D,Log!Y:Y,,,-1),"")</f>
        <v/>
      </c>
      <c r="Q1622" s="130"/>
      <c r="R1622" s="131" t="str">
        <f>IFERROR(IF(Tabela1[[#This Row],[Nome fantasia]]="","",_xlfn.XLOOKUP($C1622,Log!D:D,Log!X:X,,,-1)),"")</f>
        <v/>
      </c>
    </row>
    <row r="1623" spans="3:18" hidden="1" x14ac:dyDescent="0.2">
      <c r="C1623" s="30" t="s">
        <v>3641</v>
      </c>
      <c r="D1623" s="110" t="s">
        <v>3642</v>
      </c>
      <c r="E1623" s="33" t="s">
        <v>46</v>
      </c>
      <c r="F1623" s="38"/>
      <c r="G1623" s="38"/>
      <c r="H1623" s="31"/>
      <c r="I1623" s="32"/>
      <c r="J1623" s="32"/>
      <c r="K1623" s="45" t="s">
        <v>888</v>
      </c>
      <c r="L1623" s="129"/>
      <c r="M1623" s="33" t="str">
        <f t="shared" si="25"/>
        <v/>
      </c>
      <c r="N1623" s="34" t="str">
        <f>IFERROR(IF(Tabela1[[#This Row],[Nome fantasia]]="","",_xlfn.XLOOKUP($C1623,Log!D:D,Log!B:B,,,-1)),"")</f>
        <v/>
      </c>
      <c r="O1623" s="35" t="str">
        <f>IFERROR(_xlfn.XLOOKUP($C1623,Log!D:D,Log!W:W,,,-1),"")</f>
        <v/>
      </c>
      <c r="P1623" s="35" t="str">
        <f>IFERROR(_xlfn.XLOOKUP($C1623,Log!D:D,Log!Y:Y,,,-1),"")</f>
        <v/>
      </c>
      <c r="Q1623" s="130"/>
      <c r="R1623" s="131" t="str">
        <f>IFERROR(IF(Tabela1[[#This Row],[Nome fantasia]]="","",_xlfn.XLOOKUP($C1623,Log!D:D,Log!X:X,,,-1)),"")</f>
        <v/>
      </c>
    </row>
    <row r="1624" spans="3:18" hidden="1" x14ac:dyDescent="0.2">
      <c r="C1624" s="30" t="s">
        <v>3643</v>
      </c>
      <c r="D1624" s="110" t="s">
        <v>3644</v>
      </c>
      <c r="E1624" s="33" t="s">
        <v>46</v>
      </c>
      <c r="F1624" s="38"/>
      <c r="G1624" s="38"/>
      <c r="H1624" s="31"/>
      <c r="I1624" s="32"/>
      <c r="J1624" s="32"/>
      <c r="K1624" s="45" t="s">
        <v>888</v>
      </c>
      <c r="L1624" s="129"/>
      <c r="M1624" s="33" t="str">
        <f t="shared" si="25"/>
        <v/>
      </c>
      <c r="N1624" s="34" t="str">
        <f>IFERROR(IF(Tabela1[[#This Row],[Nome fantasia]]="","",_xlfn.XLOOKUP($C1624,Log!D:D,Log!B:B,,,-1)),"")</f>
        <v/>
      </c>
      <c r="O1624" s="35" t="str">
        <f>IFERROR(_xlfn.XLOOKUP($C1624,Log!D:D,Log!W:W,,,-1),"")</f>
        <v/>
      </c>
      <c r="P1624" s="35" t="str">
        <f>IFERROR(_xlfn.XLOOKUP($C1624,Log!D:D,Log!Y:Y,,,-1),"")</f>
        <v/>
      </c>
      <c r="Q1624" s="130"/>
      <c r="R1624" s="131" t="str">
        <f>IFERROR(IF(Tabela1[[#This Row],[Nome fantasia]]="","",_xlfn.XLOOKUP($C1624,Log!D:D,Log!X:X,,,-1)),"")</f>
        <v/>
      </c>
    </row>
    <row r="1625" spans="3:18" hidden="1" x14ac:dyDescent="0.2">
      <c r="C1625" s="30" t="s">
        <v>3645</v>
      </c>
      <c r="D1625" s="110" t="s">
        <v>3646</v>
      </c>
      <c r="E1625" s="33" t="s">
        <v>22</v>
      </c>
      <c r="F1625" s="38"/>
      <c r="G1625" s="38"/>
      <c r="H1625" s="31"/>
      <c r="I1625" s="32"/>
      <c r="J1625" s="32"/>
      <c r="K1625" s="45" t="s">
        <v>888</v>
      </c>
      <c r="L1625" s="129"/>
      <c r="M1625" s="33" t="str">
        <f t="shared" si="25"/>
        <v/>
      </c>
      <c r="N1625" s="34" t="str">
        <f>IFERROR(IF(Tabela1[[#This Row],[Nome fantasia]]="","",_xlfn.XLOOKUP($C1625,Log!D:D,Log!B:B,,,-1)),"")</f>
        <v/>
      </c>
      <c r="O1625" s="35" t="str">
        <f>IFERROR(_xlfn.XLOOKUP($C1625,Log!D:D,Log!W:W,,,-1),"")</f>
        <v/>
      </c>
      <c r="P1625" s="35" t="str">
        <f>IFERROR(_xlfn.XLOOKUP($C1625,Log!D:D,Log!Y:Y,,,-1),"")</f>
        <v/>
      </c>
      <c r="Q1625" s="130"/>
      <c r="R1625" s="131" t="str">
        <f>IFERROR(IF(Tabela1[[#This Row],[Nome fantasia]]="","",_xlfn.XLOOKUP($C1625,Log!D:D,Log!X:X,,,-1)),"")</f>
        <v/>
      </c>
    </row>
    <row r="1626" spans="3:18" hidden="1" x14ac:dyDescent="0.2">
      <c r="C1626" s="30" t="s">
        <v>3647</v>
      </c>
      <c r="D1626" s="110" t="s">
        <v>3648</v>
      </c>
      <c r="E1626" s="33" t="s">
        <v>22</v>
      </c>
      <c r="F1626" s="38"/>
      <c r="G1626" s="38"/>
      <c r="H1626" s="31"/>
      <c r="I1626" s="32"/>
      <c r="J1626" s="32"/>
      <c r="K1626" s="45" t="s">
        <v>888</v>
      </c>
      <c r="L1626" s="129"/>
      <c r="M1626" s="33" t="str">
        <f t="shared" si="25"/>
        <v/>
      </c>
      <c r="N1626" s="34" t="str">
        <f>IFERROR(IF(Tabela1[[#This Row],[Nome fantasia]]="","",_xlfn.XLOOKUP($C1626,Log!D:D,Log!B:B,,,-1)),"")</f>
        <v/>
      </c>
      <c r="O1626" s="35" t="str">
        <f>IFERROR(_xlfn.XLOOKUP($C1626,Log!D:D,Log!W:W,,,-1),"")</f>
        <v/>
      </c>
      <c r="P1626" s="35" t="str">
        <f>IFERROR(_xlfn.XLOOKUP($C1626,Log!D:D,Log!Y:Y,,,-1),"")</f>
        <v/>
      </c>
      <c r="Q1626" s="130"/>
      <c r="R1626" s="131" t="str">
        <f>IFERROR(IF(Tabela1[[#This Row],[Nome fantasia]]="","",_xlfn.XLOOKUP($C1626,Log!D:D,Log!X:X,,,-1)),"")</f>
        <v/>
      </c>
    </row>
    <row r="1627" spans="3:18" hidden="1" x14ac:dyDescent="0.2">
      <c r="C1627" s="30" t="s">
        <v>154</v>
      </c>
      <c r="D1627" s="110" t="s">
        <v>3649</v>
      </c>
      <c r="E1627" s="33" t="s">
        <v>22</v>
      </c>
      <c r="F1627" s="38"/>
      <c r="G1627" s="38"/>
      <c r="H1627" s="31"/>
      <c r="I1627" s="32"/>
      <c r="J1627" s="32"/>
      <c r="K1627" s="45" t="s">
        <v>888</v>
      </c>
      <c r="L1627" s="129"/>
      <c r="M1627" s="33" t="str">
        <f t="shared" si="25"/>
        <v/>
      </c>
      <c r="N1627" s="34">
        <f>IFERROR(IF(Tabela1[[#This Row],[Nome fantasia]]="","",_xlfn.XLOOKUP($C1627,Log!D:D,Log!B:B,,,-1)),"")</f>
        <v>45891</v>
      </c>
      <c r="O1627" s="35" t="str">
        <f>IFERROR(_xlfn.XLOOKUP($C1627,Log!D:D,Log!W:W,,,-1),"")</f>
        <v>VENDA</v>
      </c>
      <c r="P1627" s="35" t="str">
        <f>IFERROR(_xlfn.XLOOKUP($C1627,Log!D:D,Log!Y:Y,,,-1),"")</f>
        <v xml:space="preserve">RECOMPRA </v>
      </c>
      <c r="Q1627" s="130"/>
      <c r="R1627" s="131">
        <f>IFERROR(IF(Tabela1[[#This Row],[Nome fantasia]]="","",_xlfn.XLOOKUP($C1627,Log!D:D,Log!X:X,,,-1)),"")</f>
        <v>45954</v>
      </c>
    </row>
    <row r="1628" spans="3:18" hidden="1" x14ac:dyDescent="0.2">
      <c r="C1628" s="30" t="s">
        <v>3650</v>
      </c>
      <c r="D1628" s="110" t="s">
        <v>3651</v>
      </c>
      <c r="E1628" s="33" t="s">
        <v>46</v>
      </c>
      <c r="F1628" s="38"/>
      <c r="G1628" s="38"/>
      <c r="H1628" s="31"/>
      <c r="I1628" s="32"/>
      <c r="J1628" s="32"/>
      <c r="K1628" s="45" t="s">
        <v>888</v>
      </c>
      <c r="L1628" s="129"/>
      <c r="M1628" s="33" t="str">
        <f t="shared" si="25"/>
        <v/>
      </c>
      <c r="N1628" s="34" t="str">
        <f>IFERROR(IF(Tabela1[[#This Row],[Nome fantasia]]="","",_xlfn.XLOOKUP($C1628,Log!D:D,Log!B:B,,,-1)),"")</f>
        <v/>
      </c>
      <c r="O1628" s="35" t="str">
        <f>IFERROR(_xlfn.XLOOKUP($C1628,Log!D:D,Log!W:W,,,-1),"")</f>
        <v/>
      </c>
      <c r="P1628" s="35" t="str">
        <f>IFERROR(_xlfn.XLOOKUP($C1628,Log!D:D,Log!Y:Y,,,-1),"")</f>
        <v/>
      </c>
      <c r="Q1628" s="130"/>
      <c r="R1628" s="131" t="str">
        <f>IFERROR(IF(Tabela1[[#This Row],[Nome fantasia]]="","",_xlfn.XLOOKUP($C1628,Log!D:D,Log!X:X,,,-1)),"")</f>
        <v/>
      </c>
    </row>
    <row r="1629" spans="3:18" hidden="1" x14ac:dyDescent="0.2">
      <c r="C1629" s="30" t="s">
        <v>3652</v>
      </c>
      <c r="D1629" s="110" t="s">
        <v>3653</v>
      </c>
      <c r="E1629" s="33" t="s">
        <v>22</v>
      </c>
      <c r="F1629" s="38"/>
      <c r="G1629" s="38"/>
      <c r="H1629" s="31"/>
      <c r="I1629" s="32"/>
      <c r="J1629" s="32"/>
      <c r="K1629" s="45" t="s">
        <v>888</v>
      </c>
      <c r="L1629" s="129"/>
      <c r="M1629" s="33" t="str">
        <f t="shared" si="25"/>
        <v/>
      </c>
      <c r="N1629" s="34" t="str">
        <f>IFERROR(IF(Tabela1[[#This Row],[Nome fantasia]]="","",_xlfn.XLOOKUP($C1629,Log!D:D,Log!B:B,,,-1)),"")</f>
        <v/>
      </c>
      <c r="O1629" s="35" t="str">
        <f>IFERROR(_xlfn.XLOOKUP($C1629,Log!D:D,Log!W:W,,,-1),"")</f>
        <v/>
      </c>
      <c r="P1629" s="35" t="str">
        <f>IFERROR(_xlfn.XLOOKUP($C1629,Log!D:D,Log!Y:Y,,,-1),"")</f>
        <v/>
      </c>
      <c r="Q1629" s="130"/>
      <c r="R1629" s="131" t="str">
        <f>IFERROR(IF(Tabela1[[#This Row],[Nome fantasia]]="","",_xlfn.XLOOKUP($C1629,Log!D:D,Log!X:X,,,-1)),"")</f>
        <v/>
      </c>
    </row>
    <row r="1630" spans="3:18" hidden="1" x14ac:dyDescent="0.2">
      <c r="C1630" s="30" t="s">
        <v>3654</v>
      </c>
      <c r="D1630" s="110" t="s">
        <v>3655</v>
      </c>
      <c r="E1630" s="33" t="s">
        <v>46</v>
      </c>
      <c r="F1630" s="38"/>
      <c r="G1630" s="38"/>
      <c r="H1630" s="31"/>
      <c r="I1630" s="32"/>
      <c r="J1630" s="32"/>
      <c r="K1630" s="45" t="s">
        <v>888</v>
      </c>
      <c r="L1630" s="129"/>
      <c r="M1630" s="33" t="str">
        <f t="shared" si="25"/>
        <v/>
      </c>
      <c r="N1630" s="34" t="str">
        <f>IFERROR(IF(Tabela1[[#This Row],[Nome fantasia]]="","",_xlfn.XLOOKUP($C1630,Log!D:D,Log!B:B,,,-1)),"")</f>
        <v/>
      </c>
      <c r="O1630" s="35" t="str">
        <f>IFERROR(_xlfn.XLOOKUP($C1630,Log!D:D,Log!W:W,,,-1),"")</f>
        <v/>
      </c>
      <c r="P1630" s="35" t="str">
        <f>IFERROR(_xlfn.XLOOKUP($C1630,Log!D:D,Log!Y:Y,,,-1),"")</f>
        <v/>
      </c>
      <c r="Q1630" s="130"/>
      <c r="R1630" s="131" t="str">
        <f>IFERROR(IF(Tabela1[[#This Row],[Nome fantasia]]="","",_xlfn.XLOOKUP($C1630,Log!D:D,Log!X:X,,,-1)),"")</f>
        <v/>
      </c>
    </row>
    <row r="1631" spans="3:18" hidden="1" x14ac:dyDescent="0.2">
      <c r="C1631" s="30" t="s">
        <v>3656</v>
      </c>
      <c r="D1631" s="110" t="s">
        <v>3657</v>
      </c>
      <c r="E1631" s="33" t="s">
        <v>46</v>
      </c>
      <c r="F1631" s="38"/>
      <c r="G1631" s="38"/>
      <c r="H1631" s="31"/>
      <c r="I1631" s="32"/>
      <c r="J1631" s="32"/>
      <c r="K1631" s="45" t="s">
        <v>888</v>
      </c>
      <c r="L1631" s="129"/>
      <c r="M1631" s="33" t="str">
        <f t="shared" si="25"/>
        <v/>
      </c>
      <c r="N1631" s="34" t="str">
        <f>IFERROR(IF(Tabela1[[#This Row],[Nome fantasia]]="","",_xlfn.XLOOKUP($C1631,Log!D:D,Log!B:B,,,-1)),"")</f>
        <v/>
      </c>
      <c r="O1631" s="35" t="str">
        <f>IFERROR(_xlfn.XLOOKUP($C1631,Log!D:D,Log!W:W,,,-1),"")</f>
        <v/>
      </c>
      <c r="P1631" s="35" t="str">
        <f>IFERROR(_xlfn.XLOOKUP($C1631,Log!D:D,Log!Y:Y,,,-1),"")</f>
        <v/>
      </c>
      <c r="Q1631" s="130"/>
      <c r="R1631" s="131" t="str">
        <f>IFERROR(IF(Tabela1[[#This Row],[Nome fantasia]]="","",_xlfn.XLOOKUP($C1631,Log!D:D,Log!X:X,,,-1)),"")</f>
        <v/>
      </c>
    </row>
    <row r="1632" spans="3:18" hidden="1" x14ac:dyDescent="0.2">
      <c r="C1632" s="30"/>
      <c r="D1632" s="110" t="s">
        <v>3658</v>
      </c>
      <c r="E1632" s="33" t="s">
        <v>46</v>
      </c>
      <c r="F1632" s="38"/>
      <c r="G1632" s="38"/>
      <c r="H1632" s="31"/>
      <c r="I1632" s="32"/>
      <c r="J1632" s="32"/>
      <c r="K1632" s="45" t="s">
        <v>888</v>
      </c>
      <c r="L1632" s="129"/>
      <c r="M1632" s="33" t="str">
        <f t="shared" si="25"/>
        <v/>
      </c>
      <c r="N1632" s="34" t="str">
        <f>IFERROR(IF(Tabela1[[#This Row],[Nome fantasia]]="","",_xlfn.XLOOKUP($C1632,Log!D:D,Log!B:B,,,-1)),"")</f>
        <v/>
      </c>
      <c r="O1632" s="35" t="str">
        <f>IFERROR(_xlfn.XLOOKUP($C1632,Log!D:D,Log!W:W,,,-1),"")</f>
        <v/>
      </c>
      <c r="P1632" s="35" t="str">
        <f>IFERROR(_xlfn.XLOOKUP($C1632,Log!D:D,Log!Y:Y,,,-1),"")</f>
        <v/>
      </c>
      <c r="Q1632" s="130"/>
      <c r="R1632" s="131" t="str">
        <f>IFERROR(IF(Tabela1[[#This Row],[Nome fantasia]]="","",_xlfn.XLOOKUP($C1632,Log!D:D,Log!X:X,,,-1)),"")</f>
        <v/>
      </c>
    </row>
    <row r="1633" spans="3:18" hidden="1" x14ac:dyDescent="0.2">
      <c r="C1633" s="30"/>
      <c r="D1633" s="110" t="s">
        <v>3659</v>
      </c>
      <c r="E1633" s="33" t="s">
        <v>46</v>
      </c>
      <c r="F1633" s="38"/>
      <c r="G1633" s="38"/>
      <c r="H1633" s="31"/>
      <c r="I1633" s="32"/>
      <c r="J1633" s="32"/>
      <c r="K1633" s="45" t="s">
        <v>888</v>
      </c>
      <c r="L1633" s="129"/>
      <c r="M1633" s="33" t="str">
        <f t="shared" si="25"/>
        <v/>
      </c>
      <c r="N1633" s="34" t="str">
        <f>IFERROR(IF(Tabela1[[#This Row],[Nome fantasia]]="","",_xlfn.XLOOKUP($C1633,Log!D:D,Log!B:B,,,-1)),"")</f>
        <v/>
      </c>
      <c r="O1633" s="35" t="str">
        <f>IFERROR(_xlfn.XLOOKUP($C1633,Log!D:D,Log!W:W,,,-1),"")</f>
        <v/>
      </c>
      <c r="P1633" s="35" t="str">
        <f>IFERROR(_xlfn.XLOOKUP($C1633,Log!D:D,Log!Y:Y,,,-1),"")</f>
        <v/>
      </c>
      <c r="Q1633" s="130"/>
      <c r="R1633" s="131" t="str">
        <f>IFERROR(IF(Tabela1[[#This Row],[Nome fantasia]]="","",_xlfn.XLOOKUP($C1633,Log!D:D,Log!X:X,,,-1)),"")</f>
        <v/>
      </c>
    </row>
    <row r="1634" spans="3:18" hidden="1" x14ac:dyDescent="0.2">
      <c r="C1634" s="30"/>
      <c r="D1634" s="110"/>
      <c r="E1634" s="33" t="s">
        <v>46</v>
      </c>
      <c r="F1634" s="38"/>
      <c r="G1634" s="38"/>
      <c r="H1634" s="31"/>
      <c r="I1634" s="32"/>
      <c r="J1634" s="32"/>
      <c r="K1634" s="45" t="s">
        <v>888</v>
      </c>
      <c r="L1634" s="129"/>
      <c r="M1634" s="33" t="str">
        <f t="shared" si="25"/>
        <v/>
      </c>
      <c r="N1634" s="34" t="str">
        <f>IFERROR(IF(Tabela1[[#This Row],[Nome fantasia]]="","",_xlfn.XLOOKUP($C1634,Log!D:D,Log!B:B,,,-1)),"")</f>
        <v/>
      </c>
      <c r="O1634" s="35" t="str">
        <f>IFERROR(_xlfn.XLOOKUP($C1634,Log!D:D,Log!W:W,,,-1),"")</f>
        <v/>
      </c>
      <c r="P1634" s="35" t="str">
        <f>IFERROR(_xlfn.XLOOKUP($C1634,Log!D:D,Log!Y:Y,,,-1),"")</f>
        <v/>
      </c>
      <c r="Q1634" s="130"/>
      <c r="R1634" s="131" t="str">
        <f>IFERROR(IF(Tabela1[[#This Row],[Nome fantasia]]="","",_xlfn.XLOOKUP($C1634,Log!D:D,Log!X:X,,,-1)),"")</f>
        <v/>
      </c>
    </row>
    <row r="1635" spans="3:18" hidden="1" x14ac:dyDescent="0.2">
      <c r="C1635" s="30" t="s">
        <v>3660</v>
      </c>
      <c r="D1635" s="110" t="s">
        <v>3661</v>
      </c>
      <c r="E1635" s="33" t="s">
        <v>17</v>
      </c>
      <c r="F1635" s="38"/>
      <c r="G1635" s="38"/>
      <c r="H1635" s="31"/>
      <c r="I1635" s="32"/>
      <c r="J1635" s="32"/>
      <c r="K1635" s="45" t="s">
        <v>888</v>
      </c>
      <c r="L1635" s="129"/>
      <c r="M1635" s="33" t="str">
        <f t="shared" si="25"/>
        <v/>
      </c>
      <c r="N1635" s="34" t="str">
        <f>IFERROR(IF(Tabela1[[#This Row],[Nome fantasia]]="","",_xlfn.XLOOKUP($C1635,Log!D:D,Log!B:B,,,-1)),"")</f>
        <v/>
      </c>
      <c r="O1635" s="35" t="str">
        <f>IFERROR(_xlfn.XLOOKUP($C1635,Log!D:D,Log!W:W,,,-1),"")</f>
        <v/>
      </c>
      <c r="P1635" s="35" t="str">
        <f>IFERROR(_xlfn.XLOOKUP($C1635,Log!D:D,Log!Y:Y,,,-1),"")</f>
        <v/>
      </c>
      <c r="Q1635" s="130"/>
      <c r="R1635" s="131" t="str">
        <f>IFERROR(IF(Tabela1[[#This Row],[Nome fantasia]]="","",_xlfn.XLOOKUP($C1635,Log!D:D,Log!X:X,,,-1)),"")</f>
        <v/>
      </c>
    </row>
    <row r="1636" spans="3:18" hidden="1" x14ac:dyDescent="0.2">
      <c r="C1636" s="30" t="s">
        <v>3662</v>
      </c>
      <c r="D1636" s="110" t="s">
        <v>3663</v>
      </c>
      <c r="E1636" s="33" t="s">
        <v>46</v>
      </c>
      <c r="F1636" s="38"/>
      <c r="G1636" s="38"/>
      <c r="H1636" s="31"/>
      <c r="I1636" s="32"/>
      <c r="J1636" s="32"/>
      <c r="K1636" s="45" t="s">
        <v>888</v>
      </c>
      <c r="L1636" s="129"/>
      <c r="M1636" s="33" t="str">
        <f t="shared" si="25"/>
        <v/>
      </c>
      <c r="N1636" s="34" t="str">
        <f>IFERROR(IF(Tabela1[[#This Row],[Nome fantasia]]="","",_xlfn.XLOOKUP($C1636,Log!D:D,Log!B:B,,,-1)),"")</f>
        <v/>
      </c>
      <c r="O1636" s="35" t="str">
        <f>IFERROR(_xlfn.XLOOKUP($C1636,Log!D:D,Log!W:W,,,-1),"")</f>
        <v/>
      </c>
      <c r="P1636" s="35" t="str">
        <f>IFERROR(_xlfn.XLOOKUP($C1636,Log!D:D,Log!Y:Y,,,-1),"")</f>
        <v/>
      </c>
      <c r="Q1636" s="130"/>
      <c r="R1636" s="131" t="str">
        <f>IFERROR(IF(Tabela1[[#This Row],[Nome fantasia]]="","",_xlfn.XLOOKUP($C1636,Log!D:D,Log!X:X,,,-1)),"")</f>
        <v/>
      </c>
    </row>
    <row r="1637" spans="3:18" hidden="1" x14ac:dyDescent="0.2">
      <c r="C1637" s="30"/>
      <c r="D1637" s="110" t="s">
        <v>3664</v>
      </c>
      <c r="E1637" s="33" t="s">
        <v>46</v>
      </c>
      <c r="F1637" s="38"/>
      <c r="G1637" s="38"/>
      <c r="H1637" s="31"/>
      <c r="I1637" s="32"/>
      <c r="J1637" s="32"/>
      <c r="K1637" s="45" t="s">
        <v>888</v>
      </c>
      <c r="L1637" s="129"/>
      <c r="M1637" s="33" t="str">
        <f t="shared" si="25"/>
        <v/>
      </c>
      <c r="N1637" s="34" t="str">
        <f>IFERROR(IF(Tabela1[[#This Row],[Nome fantasia]]="","",_xlfn.XLOOKUP($C1637,Log!D:D,Log!B:B,,,-1)),"")</f>
        <v/>
      </c>
      <c r="O1637" s="35" t="str">
        <f>IFERROR(_xlfn.XLOOKUP($C1637,Log!D:D,Log!W:W,,,-1),"")</f>
        <v/>
      </c>
      <c r="P1637" s="35" t="str">
        <f>IFERROR(_xlfn.XLOOKUP($C1637,Log!D:D,Log!Y:Y,,,-1),"")</f>
        <v/>
      </c>
      <c r="Q1637" s="130"/>
      <c r="R1637" s="131" t="str">
        <f>IFERROR(IF(Tabela1[[#This Row],[Nome fantasia]]="","",_xlfn.XLOOKUP($C1637,Log!D:D,Log!X:X,,,-1)),"")</f>
        <v/>
      </c>
    </row>
    <row r="1638" spans="3:18" hidden="1" x14ac:dyDescent="0.2">
      <c r="C1638" s="30" t="s">
        <v>3665</v>
      </c>
      <c r="D1638" s="110" t="s">
        <v>3666</v>
      </c>
      <c r="E1638" s="33" t="s">
        <v>46</v>
      </c>
      <c r="F1638" s="38"/>
      <c r="G1638" s="38"/>
      <c r="H1638" s="31"/>
      <c r="I1638" s="32"/>
      <c r="J1638" s="32"/>
      <c r="K1638" s="45" t="s">
        <v>888</v>
      </c>
      <c r="L1638" s="129"/>
      <c r="M1638" s="33" t="str">
        <f t="shared" si="25"/>
        <v/>
      </c>
      <c r="N1638" s="34" t="str">
        <f>IFERROR(IF(Tabela1[[#This Row],[Nome fantasia]]="","",_xlfn.XLOOKUP($C1638,Log!D:D,Log!B:B,,,-1)),"")</f>
        <v/>
      </c>
      <c r="O1638" s="35" t="str">
        <f>IFERROR(_xlfn.XLOOKUP($C1638,Log!D:D,Log!W:W,,,-1),"")</f>
        <v/>
      </c>
      <c r="P1638" s="35" t="str">
        <f>IFERROR(_xlfn.XLOOKUP($C1638,Log!D:D,Log!Y:Y,,,-1),"")</f>
        <v/>
      </c>
      <c r="Q1638" s="130"/>
      <c r="R1638" s="131" t="str">
        <f>IFERROR(IF(Tabela1[[#This Row],[Nome fantasia]]="","",_xlfn.XLOOKUP($C1638,Log!D:D,Log!X:X,,,-1)),"")</f>
        <v/>
      </c>
    </row>
    <row r="1639" spans="3:18" hidden="1" x14ac:dyDescent="0.2">
      <c r="C1639" s="30" t="s">
        <v>3667</v>
      </c>
      <c r="D1639" s="110" t="s">
        <v>3668</v>
      </c>
      <c r="E1639" s="33" t="s">
        <v>46</v>
      </c>
      <c r="F1639" s="38"/>
      <c r="G1639" s="38"/>
      <c r="H1639" s="31"/>
      <c r="I1639" s="32"/>
      <c r="J1639" s="32"/>
      <c r="K1639" s="45" t="s">
        <v>888</v>
      </c>
      <c r="L1639" s="129"/>
      <c r="M1639" s="33" t="str">
        <f t="shared" si="25"/>
        <v/>
      </c>
      <c r="N1639" s="34" t="str">
        <f>IFERROR(IF(Tabela1[[#This Row],[Nome fantasia]]="","",_xlfn.XLOOKUP($C1639,Log!D:D,Log!B:B,,,-1)),"")</f>
        <v/>
      </c>
      <c r="O1639" s="35" t="str">
        <f>IFERROR(_xlfn.XLOOKUP($C1639,Log!D:D,Log!W:W,,,-1),"")</f>
        <v/>
      </c>
      <c r="P1639" s="35" t="str">
        <f>IFERROR(_xlfn.XLOOKUP($C1639,Log!D:D,Log!Y:Y,,,-1),"")</f>
        <v/>
      </c>
      <c r="Q1639" s="130"/>
      <c r="R1639" s="131" t="str">
        <f>IFERROR(IF(Tabela1[[#This Row],[Nome fantasia]]="","",_xlfn.XLOOKUP($C1639,Log!D:D,Log!X:X,,,-1)),"")</f>
        <v/>
      </c>
    </row>
    <row r="1640" spans="3:18" hidden="1" x14ac:dyDescent="0.2">
      <c r="C1640" s="30" t="s">
        <v>3669</v>
      </c>
      <c r="D1640" s="110" t="s">
        <v>3670</v>
      </c>
      <c r="E1640" s="33" t="s">
        <v>17</v>
      </c>
      <c r="F1640" s="38"/>
      <c r="G1640" s="38"/>
      <c r="H1640" s="31"/>
      <c r="I1640" s="32"/>
      <c r="J1640" s="32"/>
      <c r="K1640" s="45" t="s">
        <v>888</v>
      </c>
      <c r="L1640" s="129"/>
      <c r="M1640" s="33" t="str">
        <f t="shared" si="25"/>
        <v/>
      </c>
      <c r="N1640" s="34" t="str">
        <f>IFERROR(IF(Tabela1[[#This Row],[Nome fantasia]]="","",_xlfn.XLOOKUP($C1640,Log!D:D,Log!B:B,,,-1)),"")</f>
        <v/>
      </c>
      <c r="O1640" s="35" t="str">
        <f>IFERROR(_xlfn.XLOOKUP($C1640,Log!D:D,Log!W:W,,,-1),"")</f>
        <v/>
      </c>
      <c r="P1640" s="35" t="str">
        <f>IFERROR(_xlfn.XLOOKUP($C1640,Log!D:D,Log!Y:Y,,,-1),"")</f>
        <v/>
      </c>
      <c r="Q1640" s="130"/>
      <c r="R1640" s="131" t="str">
        <f>IFERROR(IF(Tabela1[[#This Row],[Nome fantasia]]="","",_xlfn.XLOOKUP($C1640,Log!D:D,Log!X:X,,,-1)),"")</f>
        <v/>
      </c>
    </row>
    <row r="1641" spans="3:18" hidden="1" x14ac:dyDescent="0.2">
      <c r="C1641" s="30" t="s">
        <v>3671</v>
      </c>
      <c r="D1641" s="110" t="s">
        <v>3672</v>
      </c>
      <c r="E1641" s="33" t="s">
        <v>17</v>
      </c>
      <c r="F1641" s="38"/>
      <c r="G1641" s="38"/>
      <c r="H1641" s="31"/>
      <c r="I1641" s="32"/>
      <c r="J1641" s="32"/>
      <c r="K1641" s="45" t="s">
        <v>888</v>
      </c>
      <c r="L1641" s="129"/>
      <c r="M1641" s="33" t="str">
        <f t="shared" si="25"/>
        <v/>
      </c>
      <c r="N1641" s="34" t="str">
        <f>IFERROR(IF(Tabela1[[#This Row],[Nome fantasia]]="","",_xlfn.XLOOKUP($C1641,Log!D:D,Log!B:B,,,-1)),"")</f>
        <v/>
      </c>
      <c r="O1641" s="35" t="str">
        <f>IFERROR(_xlfn.XLOOKUP($C1641,Log!D:D,Log!W:W,,,-1),"")</f>
        <v/>
      </c>
      <c r="P1641" s="35" t="str">
        <f>IFERROR(_xlfn.XLOOKUP($C1641,Log!D:D,Log!Y:Y,,,-1),"")</f>
        <v/>
      </c>
      <c r="Q1641" s="130"/>
      <c r="R1641" s="131" t="str">
        <f>IFERROR(IF(Tabela1[[#This Row],[Nome fantasia]]="","",_xlfn.XLOOKUP($C1641,Log!D:D,Log!X:X,,,-1)),"")</f>
        <v/>
      </c>
    </row>
    <row r="1642" spans="3:18" hidden="1" x14ac:dyDescent="0.2">
      <c r="C1642" s="30" t="s">
        <v>3673</v>
      </c>
      <c r="D1642" s="110" t="s">
        <v>3674</v>
      </c>
      <c r="E1642" s="33" t="s">
        <v>46</v>
      </c>
      <c r="F1642" s="38"/>
      <c r="G1642" s="38"/>
      <c r="H1642" s="31"/>
      <c r="I1642" s="32"/>
      <c r="J1642" s="32"/>
      <c r="K1642" s="45" t="s">
        <v>888</v>
      </c>
      <c r="L1642" s="129"/>
      <c r="M1642" s="33" t="str">
        <f t="shared" si="25"/>
        <v/>
      </c>
      <c r="N1642" s="34" t="str">
        <f>IFERROR(IF(Tabela1[[#This Row],[Nome fantasia]]="","",_xlfn.XLOOKUP($C1642,Log!D:D,Log!B:B,,,-1)),"")</f>
        <v/>
      </c>
      <c r="O1642" s="35" t="str">
        <f>IFERROR(_xlfn.XLOOKUP($C1642,Log!D:D,Log!W:W,,,-1),"")</f>
        <v/>
      </c>
      <c r="P1642" s="35" t="str">
        <f>IFERROR(_xlfn.XLOOKUP($C1642,Log!D:D,Log!Y:Y,,,-1),"")</f>
        <v/>
      </c>
      <c r="Q1642" s="130"/>
      <c r="R1642" s="131" t="str">
        <f>IFERROR(IF(Tabela1[[#This Row],[Nome fantasia]]="","",_xlfn.XLOOKUP($C1642,Log!D:D,Log!X:X,,,-1)),"")</f>
        <v/>
      </c>
    </row>
    <row r="1643" spans="3:18" hidden="1" x14ac:dyDescent="0.2">
      <c r="C1643" s="30" t="s">
        <v>3675</v>
      </c>
      <c r="D1643" s="110" t="s">
        <v>3676</v>
      </c>
      <c r="E1643" s="33" t="s">
        <v>17</v>
      </c>
      <c r="F1643" s="38"/>
      <c r="G1643" s="38"/>
      <c r="H1643" s="31"/>
      <c r="I1643" s="32"/>
      <c r="J1643" s="32"/>
      <c r="K1643" s="45" t="s">
        <v>888</v>
      </c>
      <c r="L1643" s="129"/>
      <c r="M1643" s="33" t="str">
        <f t="shared" si="25"/>
        <v/>
      </c>
      <c r="N1643" s="34" t="str">
        <f>IFERROR(IF(Tabela1[[#This Row],[Nome fantasia]]="","",_xlfn.XLOOKUP($C1643,Log!D:D,Log!B:B,,,-1)),"")</f>
        <v/>
      </c>
      <c r="O1643" s="35" t="str">
        <f>IFERROR(_xlfn.XLOOKUP($C1643,Log!D:D,Log!W:W,,,-1),"")</f>
        <v/>
      </c>
      <c r="P1643" s="35" t="str">
        <f>IFERROR(_xlfn.XLOOKUP($C1643,Log!D:D,Log!Y:Y,,,-1),"")</f>
        <v/>
      </c>
      <c r="Q1643" s="130"/>
      <c r="R1643" s="131" t="str">
        <f>IFERROR(IF(Tabela1[[#This Row],[Nome fantasia]]="","",_xlfn.XLOOKUP($C1643,Log!D:D,Log!X:X,,,-1)),"")</f>
        <v/>
      </c>
    </row>
    <row r="1644" spans="3:18" hidden="1" x14ac:dyDescent="0.2">
      <c r="C1644" s="30" t="s">
        <v>3677</v>
      </c>
      <c r="D1644" s="110" t="s">
        <v>3678</v>
      </c>
      <c r="E1644" s="33" t="s">
        <v>22</v>
      </c>
      <c r="F1644" s="38"/>
      <c r="G1644" s="38"/>
      <c r="H1644" s="31"/>
      <c r="I1644" s="32"/>
      <c r="J1644" s="32"/>
      <c r="K1644" s="45" t="s">
        <v>888</v>
      </c>
      <c r="L1644" s="129"/>
      <c r="M1644" s="33" t="str">
        <f t="shared" si="25"/>
        <v/>
      </c>
      <c r="N1644" s="34" t="str">
        <f>IFERROR(IF(Tabela1[[#This Row],[Nome fantasia]]="","",_xlfn.XLOOKUP($C1644,Log!D:D,Log!B:B,,,-1)),"")</f>
        <v/>
      </c>
      <c r="O1644" s="35" t="str">
        <f>IFERROR(_xlfn.XLOOKUP($C1644,Log!D:D,Log!W:W,,,-1),"")</f>
        <v/>
      </c>
      <c r="P1644" s="35" t="str">
        <f>IFERROR(_xlfn.XLOOKUP($C1644,Log!D:D,Log!Y:Y,,,-1),"")</f>
        <v/>
      </c>
      <c r="Q1644" s="130"/>
      <c r="R1644" s="131" t="str">
        <f>IFERROR(IF(Tabela1[[#This Row],[Nome fantasia]]="","",_xlfn.XLOOKUP($C1644,Log!D:D,Log!X:X,,,-1)),"")</f>
        <v/>
      </c>
    </row>
    <row r="1645" spans="3:18" hidden="1" x14ac:dyDescent="0.2">
      <c r="C1645" s="30" t="s">
        <v>3679</v>
      </c>
      <c r="D1645" s="110" t="s">
        <v>3680</v>
      </c>
      <c r="E1645" s="33" t="s">
        <v>22</v>
      </c>
      <c r="F1645" s="38"/>
      <c r="G1645" s="38"/>
      <c r="H1645" s="31"/>
      <c r="I1645" s="32"/>
      <c r="J1645" s="32"/>
      <c r="K1645" s="45" t="s">
        <v>888</v>
      </c>
      <c r="L1645" s="129"/>
      <c r="M1645" s="33" t="str">
        <f t="shared" si="25"/>
        <v/>
      </c>
      <c r="N1645" s="34" t="str">
        <f>IFERROR(IF(Tabela1[[#This Row],[Nome fantasia]]="","",_xlfn.XLOOKUP($C1645,Log!D:D,Log!B:B,,,-1)),"")</f>
        <v/>
      </c>
      <c r="O1645" s="35" t="str">
        <f>IFERROR(_xlfn.XLOOKUP($C1645,Log!D:D,Log!W:W,,,-1),"")</f>
        <v/>
      </c>
      <c r="P1645" s="35" t="str">
        <f>IFERROR(_xlfn.XLOOKUP($C1645,Log!D:D,Log!Y:Y,,,-1),"")</f>
        <v/>
      </c>
      <c r="Q1645" s="130"/>
      <c r="R1645" s="131" t="str">
        <f>IFERROR(IF(Tabela1[[#This Row],[Nome fantasia]]="","",_xlfn.XLOOKUP($C1645,Log!D:D,Log!X:X,,,-1)),"")</f>
        <v/>
      </c>
    </row>
    <row r="1646" spans="3:18" hidden="1" x14ac:dyDescent="0.2">
      <c r="C1646" s="30" t="s">
        <v>3681</v>
      </c>
      <c r="D1646" s="110" t="s">
        <v>3682</v>
      </c>
      <c r="E1646" s="33" t="s">
        <v>46</v>
      </c>
      <c r="F1646" s="38"/>
      <c r="G1646" s="38"/>
      <c r="H1646" s="31"/>
      <c r="I1646" s="32"/>
      <c r="J1646" s="32"/>
      <c r="K1646" s="45" t="s">
        <v>888</v>
      </c>
      <c r="L1646" s="129"/>
      <c r="M1646" s="33" t="str">
        <f t="shared" si="25"/>
        <v/>
      </c>
      <c r="N1646" s="34" t="str">
        <f>IFERROR(IF(Tabela1[[#This Row],[Nome fantasia]]="","",_xlfn.XLOOKUP($C1646,Log!D:D,Log!B:B,,,-1)),"")</f>
        <v/>
      </c>
      <c r="O1646" s="35" t="str">
        <f>IFERROR(_xlfn.XLOOKUP($C1646,Log!D:D,Log!W:W,,,-1),"")</f>
        <v/>
      </c>
      <c r="P1646" s="35" t="str">
        <f>IFERROR(_xlfn.XLOOKUP($C1646,Log!D:D,Log!Y:Y,,,-1),"")</f>
        <v/>
      </c>
      <c r="Q1646" s="130"/>
      <c r="R1646" s="131" t="str">
        <f>IFERROR(IF(Tabela1[[#This Row],[Nome fantasia]]="","",_xlfn.XLOOKUP($C1646,Log!D:D,Log!X:X,,,-1)),"")</f>
        <v/>
      </c>
    </row>
    <row r="1647" spans="3:18" hidden="1" x14ac:dyDescent="0.2">
      <c r="C1647" s="30" t="s">
        <v>3683</v>
      </c>
      <c r="D1647" s="110" t="s">
        <v>3684</v>
      </c>
      <c r="E1647" s="33" t="s">
        <v>46</v>
      </c>
      <c r="F1647" s="38"/>
      <c r="G1647" s="38"/>
      <c r="H1647" s="31"/>
      <c r="I1647" s="32"/>
      <c r="J1647" s="32"/>
      <c r="K1647" s="45" t="s">
        <v>888</v>
      </c>
      <c r="L1647" s="129"/>
      <c r="M1647" s="33" t="str">
        <f t="shared" si="25"/>
        <v/>
      </c>
      <c r="N1647" s="34" t="str">
        <f>IFERROR(IF(Tabela1[[#This Row],[Nome fantasia]]="","",_xlfn.XLOOKUP($C1647,Log!D:D,Log!B:B,,,-1)),"")</f>
        <v/>
      </c>
      <c r="O1647" s="35" t="str">
        <f>IFERROR(_xlfn.XLOOKUP($C1647,Log!D:D,Log!W:W,,,-1),"")</f>
        <v/>
      </c>
      <c r="P1647" s="35" t="str">
        <f>IFERROR(_xlfn.XLOOKUP($C1647,Log!D:D,Log!Y:Y,,,-1),"")</f>
        <v/>
      </c>
      <c r="Q1647" s="130"/>
      <c r="R1647" s="131" t="str">
        <f>IFERROR(IF(Tabela1[[#This Row],[Nome fantasia]]="","",_xlfn.XLOOKUP($C1647,Log!D:D,Log!X:X,,,-1)),"")</f>
        <v/>
      </c>
    </row>
    <row r="1648" spans="3:18" hidden="1" x14ac:dyDescent="0.2">
      <c r="C1648" s="30" t="s">
        <v>3685</v>
      </c>
      <c r="D1648" s="110" t="s">
        <v>3686</v>
      </c>
      <c r="E1648" s="33" t="s">
        <v>46</v>
      </c>
      <c r="F1648" s="38"/>
      <c r="G1648" s="38"/>
      <c r="H1648" s="31"/>
      <c r="I1648" s="32"/>
      <c r="J1648" s="32"/>
      <c r="K1648" s="45" t="s">
        <v>888</v>
      </c>
      <c r="L1648" s="129"/>
      <c r="M1648" s="33" t="str">
        <f t="shared" si="25"/>
        <v/>
      </c>
      <c r="N1648" s="34" t="str">
        <f>IFERROR(IF(Tabela1[[#This Row],[Nome fantasia]]="","",_xlfn.XLOOKUP($C1648,Log!D:D,Log!B:B,,,-1)),"")</f>
        <v/>
      </c>
      <c r="O1648" s="35" t="str">
        <f>IFERROR(_xlfn.XLOOKUP($C1648,Log!D:D,Log!W:W,,,-1),"")</f>
        <v/>
      </c>
      <c r="P1648" s="35" t="str">
        <f>IFERROR(_xlfn.XLOOKUP($C1648,Log!D:D,Log!Y:Y,,,-1),"")</f>
        <v/>
      </c>
      <c r="Q1648" s="130"/>
      <c r="R1648" s="131" t="str">
        <f>IFERROR(IF(Tabela1[[#This Row],[Nome fantasia]]="","",_xlfn.XLOOKUP($C1648,Log!D:D,Log!X:X,,,-1)),"")</f>
        <v/>
      </c>
    </row>
    <row r="1649" spans="3:18" hidden="1" x14ac:dyDescent="0.2">
      <c r="C1649" s="30" t="s">
        <v>3687</v>
      </c>
      <c r="D1649" s="110" t="s">
        <v>3688</v>
      </c>
      <c r="E1649" s="33" t="s">
        <v>46</v>
      </c>
      <c r="F1649" s="38"/>
      <c r="G1649" s="38"/>
      <c r="H1649" s="31"/>
      <c r="I1649" s="32"/>
      <c r="J1649" s="32"/>
      <c r="K1649" s="45" t="s">
        <v>888</v>
      </c>
      <c r="L1649" s="129"/>
      <c r="M1649" s="33" t="str">
        <f t="shared" si="25"/>
        <v/>
      </c>
      <c r="N1649" s="34" t="str">
        <f>IFERROR(IF(Tabela1[[#This Row],[Nome fantasia]]="","",_xlfn.XLOOKUP($C1649,Log!D:D,Log!B:B,,,-1)),"")</f>
        <v/>
      </c>
      <c r="O1649" s="35" t="str">
        <f>IFERROR(_xlfn.XLOOKUP($C1649,Log!D:D,Log!W:W,,,-1),"")</f>
        <v/>
      </c>
      <c r="P1649" s="35" t="str">
        <f>IFERROR(_xlfn.XLOOKUP($C1649,Log!D:D,Log!Y:Y,,,-1),"")</f>
        <v/>
      </c>
      <c r="Q1649" s="130"/>
      <c r="R1649" s="131" t="str">
        <f>IFERROR(IF(Tabela1[[#This Row],[Nome fantasia]]="","",_xlfn.XLOOKUP($C1649,Log!D:D,Log!X:X,,,-1)),"")</f>
        <v/>
      </c>
    </row>
    <row r="1650" spans="3:18" hidden="1" x14ac:dyDescent="0.2">
      <c r="C1650" s="30" t="s">
        <v>3689</v>
      </c>
      <c r="D1650" s="110" t="s">
        <v>3690</v>
      </c>
      <c r="E1650" s="33" t="s">
        <v>22</v>
      </c>
      <c r="F1650" s="38"/>
      <c r="G1650" s="38"/>
      <c r="H1650" s="31"/>
      <c r="I1650" s="32"/>
      <c r="J1650" s="32"/>
      <c r="K1650" s="45" t="s">
        <v>888</v>
      </c>
      <c r="L1650" s="129"/>
      <c r="M1650" s="33" t="str">
        <f t="shared" si="25"/>
        <v/>
      </c>
      <c r="N1650" s="34" t="str">
        <f>IFERROR(IF(Tabela1[[#This Row],[Nome fantasia]]="","",_xlfn.XLOOKUP($C1650,Log!D:D,Log!B:B,,,-1)),"")</f>
        <v/>
      </c>
      <c r="O1650" s="35" t="str">
        <f>IFERROR(_xlfn.XLOOKUP($C1650,Log!D:D,Log!W:W,,,-1),"")</f>
        <v/>
      </c>
      <c r="P1650" s="35" t="str">
        <f>IFERROR(_xlfn.XLOOKUP($C1650,Log!D:D,Log!Y:Y,,,-1),"")</f>
        <v/>
      </c>
      <c r="Q1650" s="130"/>
      <c r="R1650" s="131" t="str">
        <f>IFERROR(IF(Tabela1[[#This Row],[Nome fantasia]]="","",_xlfn.XLOOKUP($C1650,Log!D:D,Log!X:X,,,-1)),"")</f>
        <v/>
      </c>
    </row>
    <row r="1651" spans="3:18" hidden="1" x14ac:dyDescent="0.2">
      <c r="C1651" s="30" t="s">
        <v>3691</v>
      </c>
      <c r="D1651" s="110" t="s">
        <v>3692</v>
      </c>
      <c r="E1651" s="33" t="s">
        <v>46</v>
      </c>
      <c r="F1651" s="38"/>
      <c r="G1651" s="38"/>
      <c r="H1651" s="31"/>
      <c r="I1651" s="32"/>
      <c r="J1651" s="32"/>
      <c r="K1651" s="45" t="s">
        <v>888</v>
      </c>
      <c r="L1651" s="129"/>
      <c r="M1651" s="33" t="str">
        <f t="shared" si="25"/>
        <v/>
      </c>
      <c r="N1651" s="34" t="str">
        <f>IFERROR(IF(Tabela1[[#This Row],[Nome fantasia]]="","",_xlfn.XLOOKUP($C1651,Log!D:D,Log!B:B,,,-1)),"")</f>
        <v/>
      </c>
      <c r="O1651" s="35" t="str">
        <f>IFERROR(_xlfn.XLOOKUP($C1651,Log!D:D,Log!W:W,,,-1),"")</f>
        <v/>
      </c>
      <c r="P1651" s="35" t="str">
        <f>IFERROR(_xlfn.XLOOKUP($C1651,Log!D:D,Log!Y:Y,,,-1),"")</f>
        <v/>
      </c>
      <c r="Q1651" s="130"/>
      <c r="R1651" s="131" t="str">
        <f>IFERROR(IF(Tabela1[[#This Row],[Nome fantasia]]="","",_xlfn.XLOOKUP($C1651,Log!D:D,Log!X:X,,,-1)),"")</f>
        <v/>
      </c>
    </row>
    <row r="1652" spans="3:18" hidden="1" x14ac:dyDescent="0.2">
      <c r="C1652" s="30" t="s">
        <v>3693</v>
      </c>
      <c r="D1652" s="110" t="s">
        <v>3694</v>
      </c>
      <c r="E1652" s="33" t="s">
        <v>46</v>
      </c>
      <c r="F1652" s="38"/>
      <c r="G1652" s="38"/>
      <c r="H1652" s="31"/>
      <c r="I1652" s="32"/>
      <c r="J1652" s="32"/>
      <c r="K1652" s="45" t="s">
        <v>888</v>
      </c>
      <c r="L1652" s="129"/>
      <c r="M1652" s="33" t="str">
        <f t="shared" si="25"/>
        <v/>
      </c>
      <c r="N1652" s="34">
        <f>IFERROR(IF(Tabela1[[#This Row],[Nome fantasia]]="","",_xlfn.XLOOKUP($C1652,Log!D:D,Log!B:B,,,-1)),"")</f>
        <v>45994</v>
      </c>
      <c r="O1652" s="35" t="str">
        <f>IFERROR(_xlfn.XLOOKUP($C1652,Log!D:D,Log!W:W,,,-1),"")</f>
        <v>EM ATENDIMENTO</v>
      </c>
      <c r="P1652" s="35" t="str">
        <f>IFERROR(_xlfn.XLOOKUP($C1652,Log!D:D,Log!Y:Y,,,-1),"")</f>
        <v>NÃO ATENDEU, DESLIGA</v>
      </c>
      <c r="Q1652" s="130"/>
      <c r="R1652" s="131">
        <f>IFERROR(IF(Tabela1[[#This Row],[Nome fantasia]]="","",_xlfn.XLOOKUP($C1652,Log!D:D,Log!X:X,,,-1)),"")</f>
        <v>45996</v>
      </c>
    </row>
    <row r="1653" spans="3:18" hidden="1" x14ac:dyDescent="0.2">
      <c r="C1653" s="30" t="s">
        <v>3695</v>
      </c>
      <c r="D1653" s="110" t="s">
        <v>3696</v>
      </c>
      <c r="E1653" s="33" t="s">
        <v>46</v>
      </c>
      <c r="F1653" s="38"/>
      <c r="G1653" s="38"/>
      <c r="H1653" s="31"/>
      <c r="I1653" s="32"/>
      <c r="J1653" s="32"/>
      <c r="K1653" s="45" t="s">
        <v>888</v>
      </c>
      <c r="L1653" s="129"/>
      <c r="M1653" s="33" t="str">
        <f t="shared" si="25"/>
        <v/>
      </c>
      <c r="N1653" s="34" t="str">
        <f>IFERROR(IF(Tabela1[[#This Row],[Nome fantasia]]="","",_xlfn.XLOOKUP($C1653,Log!D:D,Log!B:B,,,-1)),"")</f>
        <v/>
      </c>
      <c r="O1653" s="35" t="str">
        <f>IFERROR(_xlfn.XLOOKUP($C1653,Log!D:D,Log!W:W,,,-1),"")</f>
        <v/>
      </c>
      <c r="P1653" s="35" t="str">
        <f>IFERROR(_xlfn.XLOOKUP($C1653,Log!D:D,Log!Y:Y,,,-1),"")</f>
        <v/>
      </c>
      <c r="Q1653" s="130"/>
      <c r="R1653" s="131" t="str">
        <f>IFERROR(IF(Tabela1[[#This Row],[Nome fantasia]]="","",_xlfn.XLOOKUP($C1653,Log!D:D,Log!X:X,,,-1)),"")</f>
        <v/>
      </c>
    </row>
    <row r="1654" spans="3:18" hidden="1" x14ac:dyDescent="0.2">
      <c r="C1654" s="30" t="s">
        <v>3697</v>
      </c>
      <c r="D1654" s="110" t="s">
        <v>3698</v>
      </c>
      <c r="E1654" s="33" t="s">
        <v>22</v>
      </c>
      <c r="F1654" s="38"/>
      <c r="G1654" s="38"/>
      <c r="H1654" s="31"/>
      <c r="I1654" s="32"/>
      <c r="J1654" s="32"/>
      <c r="K1654" s="45" t="s">
        <v>888</v>
      </c>
      <c r="L1654" s="129"/>
      <c r="M1654" s="33" t="str">
        <f t="shared" si="25"/>
        <v/>
      </c>
      <c r="N1654" s="34" t="str">
        <f>IFERROR(IF(Tabela1[[#This Row],[Nome fantasia]]="","",_xlfn.XLOOKUP($C1654,Log!D:D,Log!B:B,,,-1)),"")</f>
        <v/>
      </c>
      <c r="O1654" s="35" t="str">
        <f>IFERROR(_xlfn.XLOOKUP($C1654,Log!D:D,Log!W:W,,,-1),"")</f>
        <v/>
      </c>
      <c r="P1654" s="35" t="str">
        <f>IFERROR(_xlfn.XLOOKUP($C1654,Log!D:D,Log!Y:Y,,,-1),"")</f>
        <v/>
      </c>
      <c r="Q1654" s="130"/>
      <c r="R1654" s="131" t="str">
        <f>IFERROR(IF(Tabela1[[#This Row],[Nome fantasia]]="","",_xlfn.XLOOKUP($C1654,Log!D:D,Log!X:X,,,-1)),"")</f>
        <v/>
      </c>
    </row>
    <row r="1655" spans="3:18" hidden="1" x14ac:dyDescent="0.2">
      <c r="C1655" s="30" t="s">
        <v>154</v>
      </c>
      <c r="D1655" s="110" t="s">
        <v>3699</v>
      </c>
      <c r="E1655" s="33" t="s">
        <v>22</v>
      </c>
      <c r="F1655" s="38"/>
      <c r="G1655" s="38"/>
      <c r="H1655" s="31"/>
      <c r="I1655" s="32"/>
      <c r="J1655" s="32"/>
      <c r="K1655" s="45" t="s">
        <v>888</v>
      </c>
      <c r="L1655" s="129"/>
      <c r="M1655" s="33" t="str">
        <f t="shared" si="25"/>
        <v/>
      </c>
      <c r="N1655" s="34">
        <f>IFERROR(IF(Tabela1[[#This Row],[Nome fantasia]]="","",_xlfn.XLOOKUP($C1655,Log!D:D,Log!B:B,,,-1)),"")</f>
        <v>45891</v>
      </c>
      <c r="O1655" s="35" t="str">
        <f>IFERROR(_xlfn.XLOOKUP($C1655,Log!D:D,Log!W:W,,,-1),"")</f>
        <v>VENDA</v>
      </c>
      <c r="P1655" s="35" t="str">
        <f>IFERROR(_xlfn.XLOOKUP($C1655,Log!D:D,Log!Y:Y,,,-1),"")</f>
        <v xml:space="preserve">RECOMPRA </v>
      </c>
      <c r="Q1655" s="130"/>
      <c r="R1655" s="131">
        <f>IFERROR(IF(Tabela1[[#This Row],[Nome fantasia]]="","",_xlfn.XLOOKUP($C1655,Log!D:D,Log!X:X,,,-1)),"")</f>
        <v>45954</v>
      </c>
    </row>
    <row r="1656" spans="3:18" hidden="1" x14ac:dyDescent="0.2">
      <c r="C1656" s="30" t="s">
        <v>154</v>
      </c>
      <c r="D1656" s="110" t="s">
        <v>3700</v>
      </c>
      <c r="E1656" s="33" t="s">
        <v>22</v>
      </c>
      <c r="F1656" s="38"/>
      <c r="G1656" s="38"/>
      <c r="H1656" s="31"/>
      <c r="I1656" s="32"/>
      <c r="J1656" s="32"/>
      <c r="K1656" s="45" t="s">
        <v>888</v>
      </c>
      <c r="L1656" s="129"/>
      <c r="M1656" s="33" t="str">
        <f t="shared" si="25"/>
        <v/>
      </c>
      <c r="N1656" s="34">
        <f>IFERROR(IF(Tabela1[[#This Row],[Nome fantasia]]="","",_xlfn.XLOOKUP($C1656,Log!D:D,Log!B:B,,,-1)),"")</f>
        <v>45891</v>
      </c>
      <c r="O1656" s="35" t="str">
        <f>IFERROR(_xlfn.XLOOKUP($C1656,Log!D:D,Log!W:W,,,-1),"")</f>
        <v>VENDA</v>
      </c>
      <c r="P1656" s="35" t="str">
        <f>IFERROR(_xlfn.XLOOKUP($C1656,Log!D:D,Log!Y:Y,,,-1),"")</f>
        <v xml:space="preserve">RECOMPRA </v>
      </c>
      <c r="Q1656" s="130"/>
      <c r="R1656" s="131">
        <f>IFERROR(IF(Tabela1[[#This Row],[Nome fantasia]]="","",_xlfn.XLOOKUP($C1656,Log!D:D,Log!X:X,,,-1)),"")</f>
        <v>45954</v>
      </c>
    </row>
    <row r="1657" spans="3:18" hidden="1" x14ac:dyDescent="0.2">
      <c r="C1657" s="30" t="s">
        <v>1862</v>
      </c>
      <c r="D1657" s="110" t="s">
        <v>3701</v>
      </c>
      <c r="E1657" s="33" t="s">
        <v>22</v>
      </c>
      <c r="F1657" s="38"/>
      <c r="G1657" s="38"/>
      <c r="H1657" s="31"/>
      <c r="I1657" s="32"/>
      <c r="J1657" s="32"/>
      <c r="K1657" s="45" t="s">
        <v>888</v>
      </c>
      <c r="L1657" s="129"/>
      <c r="M1657" s="33" t="str">
        <f t="shared" si="25"/>
        <v/>
      </c>
      <c r="N1657" s="34" t="str">
        <f>IFERROR(IF(Tabela1[[#This Row],[Nome fantasia]]="","",_xlfn.XLOOKUP($C1657,Log!D:D,Log!B:B,,,-1)),"")</f>
        <v/>
      </c>
      <c r="O1657" s="35" t="str">
        <f>IFERROR(_xlfn.XLOOKUP($C1657,Log!D:D,Log!W:W,,,-1),"")</f>
        <v/>
      </c>
      <c r="P1657" s="35" t="str">
        <f>IFERROR(_xlfn.XLOOKUP($C1657,Log!D:D,Log!Y:Y,,,-1),"")</f>
        <v/>
      </c>
      <c r="Q1657" s="130"/>
      <c r="R1657" s="131" t="str">
        <f>IFERROR(IF(Tabela1[[#This Row],[Nome fantasia]]="","",_xlfn.XLOOKUP($C1657,Log!D:D,Log!X:X,,,-1)),"")</f>
        <v/>
      </c>
    </row>
    <row r="1658" spans="3:18" hidden="1" x14ac:dyDescent="0.2">
      <c r="C1658" s="30" t="s">
        <v>1862</v>
      </c>
      <c r="D1658" s="110" t="s">
        <v>3702</v>
      </c>
      <c r="E1658" s="33" t="s">
        <v>22</v>
      </c>
      <c r="F1658" s="38"/>
      <c r="G1658" s="38"/>
      <c r="H1658" s="31"/>
      <c r="I1658" s="32"/>
      <c r="J1658" s="32"/>
      <c r="K1658" s="45" t="s">
        <v>888</v>
      </c>
      <c r="L1658" s="129"/>
      <c r="M1658" s="33" t="str">
        <f t="shared" si="25"/>
        <v/>
      </c>
      <c r="N1658" s="34" t="str">
        <f>IFERROR(IF(Tabela1[[#This Row],[Nome fantasia]]="","",_xlfn.XLOOKUP($C1658,Log!D:D,Log!B:B,,,-1)),"")</f>
        <v/>
      </c>
      <c r="O1658" s="35" t="str">
        <f>IFERROR(_xlfn.XLOOKUP($C1658,Log!D:D,Log!W:W,,,-1),"")</f>
        <v/>
      </c>
      <c r="P1658" s="35" t="str">
        <f>IFERROR(_xlfn.XLOOKUP($C1658,Log!D:D,Log!Y:Y,,,-1),"")</f>
        <v/>
      </c>
      <c r="Q1658" s="130"/>
      <c r="R1658" s="131" t="str">
        <f>IFERROR(IF(Tabela1[[#This Row],[Nome fantasia]]="","",_xlfn.XLOOKUP($C1658,Log!D:D,Log!X:X,,,-1)),"")</f>
        <v/>
      </c>
    </row>
    <row r="1659" spans="3:18" hidden="1" x14ac:dyDescent="0.2">
      <c r="C1659" s="30" t="s">
        <v>1862</v>
      </c>
      <c r="D1659" s="110" t="s">
        <v>3703</v>
      </c>
      <c r="E1659" s="33" t="s">
        <v>22</v>
      </c>
      <c r="F1659" s="38"/>
      <c r="G1659" s="38"/>
      <c r="H1659" s="31"/>
      <c r="I1659" s="32"/>
      <c r="J1659" s="32"/>
      <c r="K1659" s="45" t="s">
        <v>888</v>
      </c>
      <c r="L1659" s="129"/>
      <c r="M1659" s="33" t="str">
        <f t="shared" si="25"/>
        <v/>
      </c>
      <c r="N1659" s="34" t="str">
        <f>IFERROR(IF(Tabela1[[#This Row],[Nome fantasia]]="","",_xlfn.XLOOKUP($C1659,Log!D:D,Log!B:B,,,-1)),"")</f>
        <v/>
      </c>
      <c r="O1659" s="35" t="str">
        <f>IFERROR(_xlfn.XLOOKUP($C1659,Log!D:D,Log!W:W,,,-1),"")</f>
        <v/>
      </c>
      <c r="P1659" s="35" t="str">
        <f>IFERROR(_xlfn.XLOOKUP($C1659,Log!D:D,Log!Y:Y,,,-1),"")</f>
        <v/>
      </c>
      <c r="Q1659" s="130"/>
      <c r="R1659" s="131" t="str">
        <f>IFERROR(IF(Tabela1[[#This Row],[Nome fantasia]]="","",_xlfn.XLOOKUP($C1659,Log!D:D,Log!X:X,,,-1)),"")</f>
        <v/>
      </c>
    </row>
    <row r="1660" spans="3:18" hidden="1" x14ac:dyDescent="0.2">
      <c r="C1660" s="30" t="s">
        <v>3704</v>
      </c>
      <c r="D1660" s="110" t="s">
        <v>3705</v>
      </c>
      <c r="E1660" s="33" t="s">
        <v>22</v>
      </c>
      <c r="F1660" s="38"/>
      <c r="G1660" s="38"/>
      <c r="H1660" s="31"/>
      <c r="I1660" s="32"/>
      <c r="J1660" s="32"/>
      <c r="K1660" s="45" t="s">
        <v>888</v>
      </c>
      <c r="L1660" s="129"/>
      <c r="M1660" s="33" t="str">
        <f t="shared" si="25"/>
        <v/>
      </c>
      <c r="N1660" s="34" t="str">
        <f>IFERROR(IF(Tabela1[[#This Row],[Nome fantasia]]="","",_xlfn.XLOOKUP($C1660,Log!D:D,Log!B:B,,,-1)),"")</f>
        <v/>
      </c>
      <c r="O1660" s="35" t="str">
        <f>IFERROR(_xlfn.XLOOKUP($C1660,Log!D:D,Log!W:W,,,-1),"")</f>
        <v/>
      </c>
      <c r="P1660" s="35" t="str">
        <f>IFERROR(_xlfn.XLOOKUP($C1660,Log!D:D,Log!Y:Y,,,-1),"")</f>
        <v/>
      </c>
      <c r="Q1660" s="130"/>
      <c r="R1660" s="131" t="str">
        <f>IFERROR(IF(Tabela1[[#This Row],[Nome fantasia]]="","",_xlfn.XLOOKUP($C1660,Log!D:D,Log!X:X,,,-1)),"")</f>
        <v/>
      </c>
    </row>
    <row r="1661" spans="3:18" hidden="1" x14ac:dyDescent="0.2">
      <c r="C1661" s="30" t="s">
        <v>3706</v>
      </c>
      <c r="D1661" s="110" t="s">
        <v>3707</v>
      </c>
      <c r="E1661" s="33" t="s">
        <v>22</v>
      </c>
      <c r="F1661" s="38"/>
      <c r="G1661" s="38"/>
      <c r="H1661" s="31"/>
      <c r="I1661" s="32"/>
      <c r="J1661" s="32"/>
      <c r="K1661" s="45" t="s">
        <v>888</v>
      </c>
      <c r="L1661" s="129"/>
      <c r="M1661" s="33" t="str">
        <f t="shared" si="25"/>
        <v/>
      </c>
      <c r="N1661" s="34" t="str">
        <f>IFERROR(IF(Tabela1[[#This Row],[Nome fantasia]]="","",_xlfn.XLOOKUP($C1661,Log!D:D,Log!B:B,,,-1)),"")</f>
        <v/>
      </c>
      <c r="O1661" s="35" t="str">
        <f>IFERROR(_xlfn.XLOOKUP($C1661,Log!D:D,Log!W:W,,,-1),"")</f>
        <v/>
      </c>
      <c r="P1661" s="35" t="str">
        <f>IFERROR(_xlfn.XLOOKUP($C1661,Log!D:D,Log!Y:Y,,,-1),"")</f>
        <v/>
      </c>
      <c r="Q1661" s="130"/>
      <c r="R1661" s="131" t="str">
        <f>IFERROR(IF(Tabela1[[#This Row],[Nome fantasia]]="","",_xlfn.XLOOKUP($C1661,Log!D:D,Log!X:X,,,-1)),"")</f>
        <v/>
      </c>
    </row>
    <row r="1662" spans="3:18" hidden="1" x14ac:dyDescent="0.2">
      <c r="C1662" s="30" t="s">
        <v>3708</v>
      </c>
      <c r="D1662" s="110" t="s">
        <v>3709</v>
      </c>
      <c r="E1662" s="33" t="s">
        <v>46</v>
      </c>
      <c r="F1662" s="38"/>
      <c r="G1662" s="38"/>
      <c r="H1662" s="31"/>
      <c r="I1662" s="32"/>
      <c r="J1662" s="32"/>
      <c r="K1662" s="45" t="s">
        <v>888</v>
      </c>
      <c r="L1662" s="129"/>
      <c r="M1662" s="33" t="str">
        <f t="shared" si="25"/>
        <v/>
      </c>
      <c r="N1662" s="34" t="str">
        <f>IFERROR(IF(Tabela1[[#This Row],[Nome fantasia]]="","",_xlfn.XLOOKUP($C1662,Log!D:D,Log!B:B,,,-1)),"")</f>
        <v/>
      </c>
      <c r="O1662" s="35" t="str">
        <f>IFERROR(_xlfn.XLOOKUP($C1662,Log!D:D,Log!W:W,,,-1),"")</f>
        <v/>
      </c>
      <c r="P1662" s="35" t="str">
        <f>IFERROR(_xlfn.XLOOKUP($C1662,Log!D:D,Log!Y:Y,,,-1),"")</f>
        <v/>
      </c>
      <c r="Q1662" s="130"/>
      <c r="R1662" s="131" t="str">
        <f>IFERROR(IF(Tabela1[[#This Row],[Nome fantasia]]="","",_xlfn.XLOOKUP($C1662,Log!D:D,Log!X:X,,,-1)),"")</f>
        <v/>
      </c>
    </row>
    <row r="1663" spans="3:18" hidden="1" x14ac:dyDescent="0.2">
      <c r="C1663" s="30" t="s">
        <v>3704</v>
      </c>
      <c r="D1663" s="110" t="s">
        <v>3710</v>
      </c>
      <c r="E1663" s="33" t="s">
        <v>22</v>
      </c>
      <c r="F1663" s="38"/>
      <c r="G1663" s="38"/>
      <c r="H1663" s="31"/>
      <c r="I1663" s="32"/>
      <c r="J1663" s="32"/>
      <c r="K1663" s="45" t="s">
        <v>888</v>
      </c>
      <c r="L1663" s="129"/>
      <c r="M1663" s="33" t="str">
        <f t="shared" si="25"/>
        <v/>
      </c>
      <c r="N1663" s="34" t="str">
        <f>IFERROR(IF(Tabela1[[#This Row],[Nome fantasia]]="","",_xlfn.XLOOKUP($C1663,Log!D:D,Log!B:B,,,-1)),"")</f>
        <v/>
      </c>
      <c r="O1663" s="35" t="str">
        <f>IFERROR(_xlfn.XLOOKUP($C1663,Log!D:D,Log!W:W,,,-1),"")</f>
        <v/>
      </c>
      <c r="P1663" s="35" t="str">
        <f>IFERROR(_xlfn.XLOOKUP($C1663,Log!D:D,Log!Y:Y,,,-1),"")</f>
        <v/>
      </c>
      <c r="Q1663" s="130"/>
      <c r="R1663" s="131" t="str">
        <f>IFERROR(IF(Tabela1[[#This Row],[Nome fantasia]]="","",_xlfn.XLOOKUP($C1663,Log!D:D,Log!X:X,,,-1)),"")</f>
        <v/>
      </c>
    </row>
    <row r="1664" spans="3:18" hidden="1" x14ac:dyDescent="0.2">
      <c r="C1664" s="30" t="s">
        <v>3711</v>
      </c>
      <c r="D1664" s="110" t="s">
        <v>3712</v>
      </c>
      <c r="E1664" s="33" t="s">
        <v>22</v>
      </c>
      <c r="F1664" s="38"/>
      <c r="G1664" s="38"/>
      <c r="H1664" s="31"/>
      <c r="I1664" s="32"/>
      <c r="J1664" s="32"/>
      <c r="K1664" s="45" t="s">
        <v>888</v>
      </c>
      <c r="L1664" s="129"/>
      <c r="M1664" s="33" t="str">
        <f t="shared" si="25"/>
        <v/>
      </c>
      <c r="N1664" s="34" t="str">
        <f>IFERROR(IF(Tabela1[[#This Row],[Nome fantasia]]="","",_xlfn.XLOOKUP($C1664,Log!D:D,Log!B:B,,,-1)),"")</f>
        <v/>
      </c>
      <c r="O1664" s="35" t="str">
        <f>IFERROR(_xlfn.XLOOKUP($C1664,Log!D:D,Log!W:W,,,-1),"")</f>
        <v/>
      </c>
      <c r="P1664" s="35" t="str">
        <f>IFERROR(_xlfn.XLOOKUP($C1664,Log!D:D,Log!Y:Y,,,-1),"")</f>
        <v/>
      </c>
      <c r="Q1664" s="130"/>
      <c r="R1664" s="131" t="str">
        <f>IFERROR(IF(Tabela1[[#This Row],[Nome fantasia]]="","",_xlfn.XLOOKUP($C1664,Log!D:D,Log!X:X,,,-1)),"")</f>
        <v/>
      </c>
    </row>
    <row r="1665" spans="3:18" hidden="1" x14ac:dyDescent="0.2">
      <c r="C1665" s="30" t="s">
        <v>3713</v>
      </c>
      <c r="D1665" s="110" t="s">
        <v>3714</v>
      </c>
      <c r="E1665" s="33" t="s">
        <v>22</v>
      </c>
      <c r="F1665" s="38"/>
      <c r="G1665" s="38"/>
      <c r="H1665" s="31"/>
      <c r="I1665" s="32"/>
      <c r="J1665" s="32"/>
      <c r="K1665" s="45" t="s">
        <v>888</v>
      </c>
      <c r="L1665" s="129"/>
      <c r="M1665" s="33" t="str">
        <f t="shared" si="25"/>
        <v/>
      </c>
      <c r="N1665" s="34" t="str">
        <f>IFERROR(IF(Tabela1[[#This Row],[Nome fantasia]]="","",_xlfn.XLOOKUP($C1665,Log!D:D,Log!B:B,,,-1)),"")</f>
        <v/>
      </c>
      <c r="O1665" s="35" t="str">
        <f>IFERROR(_xlfn.XLOOKUP($C1665,Log!D:D,Log!W:W,,,-1),"")</f>
        <v/>
      </c>
      <c r="P1665" s="35" t="str">
        <f>IFERROR(_xlfn.XLOOKUP($C1665,Log!D:D,Log!Y:Y,,,-1),"")</f>
        <v/>
      </c>
      <c r="Q1665" s="130"/>
      <c r="R1665" s="131" t="str">
        <f>IFERROR(IF(Tabela1[[#This Row],[Nome fantasia]]="","",_xlfn.XLOOKUP($C1665,Log!D:D,Log!X:X,,,-1)),"")</f>
        <v/>
      </c>
    </row>
    <row r="1666" spans="3:18" hidden="1" x14ac:dyDescent="0.2">
      <c r="C1666" s="30" t="s">
        <v>3715</v>
      </c>
      <c r="D1666" s="110" t="s">
        <v>3716</v>
      </c>
      <c r="E1666" s="33" t="s">
        <v>22</v>
      </c>
      <c r="F1666" s="38"/>
      <c r="G1666" s="38"/>
      <c r="H1666" s="31"/>
      <c r="I1666" s="32"/>
      <c r="J1666" s="32"/>
      <c r="K1666" s="45" t="s">
        <v>888</v>
      </c>
      <c r="L1666" s="129"/>
      <c r="M1666" s="33" t="str">
        <f t="shared" si="25"/>
        <v/>
      </c>
      <c r="N1666" s="34" t="str">
        <f>IFERROR(IF(Tabela1[[#This Row],[Nome fantasia]]="","",_xlfn.XLOOKUP($C1666,Log!D:D,Log!B:B,,,-1)),"")</f>
        <v/>
      </c>
      <c r="O1666" s="35" t="str">
        <f>IFERROR(_xlfn.XLOOKUP($C1666,Log!D:D,Log!W:W,,,-1),"")</f>
        <v/>
      </c>
      <c r="P1666" s="35" t="str">
        <f>IFERROR(_xlfn.XLOOKUP($C1666,Log!D:D,Log!Y:Y,,,-1),"")</f>
        <v/>
      </c>
      <c r="Q1666" s="130"/>
      <c r="R1666" s="131" t="str">
        <f>IFERROR(IF(Tabela1[[#This Row],[Nome fantasia]]="","",_xlfn.XLOOKUP($C1666,Log!D:D,Log!X:X,,,-1)),"")</f>
        <v/>
      </c>
    </row>
    <row r="1667" spans="3:18" hidden="1" x14ac:dyDescent="0.2">
      <c r="C1667" s="30" t="s">
        <v>3717</v>
      </c>
      <c r="D1667" s="110" t="s">
        <v>3718</v>
      </c>
      <c r="E1667" s="33" t="s">
        <v>22</v>
      </c>
      <c r="F1667" s="38"/>
      <c r="G1667" s="38"/>
      <c r="H1667" s="31"/>
      <c r="I1667" s="32"/>
      <c r="J1667" s="32"/>
      <c r="K1667" s="45" t="s">
        <v>888</v>
      </c>
      <c r="L1667" s="129"/>
      <c r="M1667" s="33" t="str">
        <f t="shared" ref="M1667:M1730" si="26">IF(OR(J1667&lt;=0,J1667=""),"","Recompra")</f>
        <v/>
      </c>
      <c r="N1667" s="34" t="str">
        <f>IFERROR(IF(Tabela1[[#This Row],[Nome fantasia]]="","",_xlfn.XLOOKUP($C1667,Log!D:D,Log!B:B,,,-1)),"")</f>
        <v/>
      </c>
      <c r="O1667" s="35" t="str">
        <f>IFERROR(_xlfn.XLOOKUP($C1667,Log!D:D,Log!W:W,,,-1),"")</f>
        <v/>
      </c>
      <c r="P1667" s="35" t="str">
        <f>IFERROR(_xlfn.XLOOKUP($C1667,Log!D:D,Log!Y:Y,,,-1),"")</f>
        <v/>
      </c>
      <c r="Q1667" s="130"/>
      <c r="R1667" s="131" t="str">
        <f>IFERROR(IF(Tabela1[[#This Row],[Nome fantasia]]="","",_xlfn.XLOOKUP($C1667,Log!D:D,Log!X:X,,,-1)),"")</f>
        <v/>
      </c>
    </row>
    <row r="1668" spans="3:18" hidden="1" x14ac:dyDescent="0.2">
      <c r="C1668" s="30" t="s">
        <v>3719</v>
      </c>
      <c r="D1668" s="110" t="s">
        <v>3720</v>
      </c>
      <c r="E1668" s="33" t="s">
        <v>17</v>
      </c>
      <c r="F1668" s="38"/>
      <c r="G1668" s="38"/>
      <c r="H1668" s="31"/>
      <c r="I1668" s="32"/>
      <c r="J1668" s="32"/>
      <c r="K1668" s="45" t="s">
        <v>888</v>
      </c>
      <c r="L1668" s="129"/>
      <c r="M1668" s="33" t="str">
        <f t="shared" si="26"/>
        <v/>
      </c>
      <c r="N1668" s="34" t="str">
        <f>IFERROR(IF(Tabela1[[#This Row],[Nome fantasia]]="","",_xlfn.XLOOKUP($C1668,Log!D:D,Log!B:B,,,-1)),"")</f>
        <v/>
      </c>
      <c r="O1668" s="35" t="str">
        <f>IFERROR(_xlfn.XLOOKUP($C1668,Log!D:D,Log!W:W,,,-1),"")</f>
        <v/>
      </c>
      <c r="P1668" s="35" t="str">
        <f>IFERROR(_xlfn.XLOOKUP($C1668,Log!D:D,Log!Y:Y,,,-1),"")</f>
        <v/>
      </c>
      <c r="Q1668" s="130"/>
      <c r="R1668" s="131" t="str">
        <f>IFERROR(IF(Tabela1[[#This Row],[Nome fantasia]]="","",_xlfn.XLOOKUP($C1668,Log!D:D,Log!X:X,,,-1)),"")</f>
        <v/>
      </c>
    </row>
    <row r="1669" spans="3:18" hidden="1" x14ac:dyDescent="0.2">
      <c r="C1669" s="30" t="s">
        <v>3721</v>
      </c>
      <c r="D1669" s="110" t="s">
        <v>3722</v>
      </c>
      <c r="E1669" s="33" t="s">
        <v>46</v>
      </c>
      <c r="F1669" s="38"/>
      <c r="G1669" s="38"/>
      <c r="H1669" s="31"/>
      <c r="I1669" s="32"/>
      <c r="J1669" s="32"/>
      <c r="K1669" s="45" t="s">
        <v>888</v>
      </c>
      <c r="L1669" s="129"/>
      <c r="M1669" s="33" t="str">
        <f t="shared" si="26"/>
        <v/>
      </c>
      <c r="N1669" s="34" t="str">
        <f>IFERROR(IF(Tabela1[[#This Row],[Nome fantasia]]="","",_xlfn.XLOOKUP($C1669,Log!D:D,Log!B:B,,,-1)),"")</f>
        <v/>
      </c>
      <c r="O1669" s="35" t="str">
        <f>IFERROR(_xlfn.XLOOKUP($C1669,Log!D:D,Log!W:W,,,-1),"")</f>
        <v/>
      </c>
      <c r="P1669" s="35" t="str">
        <f>IFERROR(_xlfn.XLOOKUP($C1669,Log!D:D,Log!Y:Y,,,-1),"")</f>
        <v/>
      </c>
      <c r="Q1669" s="130"/>
      <c r="R1669" s="131" t="str">
        <f>IFERROR(IF(Tabela1[[#This Row],[Nome fantasia]]="","",_xlfn.XLOOKUP($C1669,Log!D:D,Log!X:X,,,-1)),"")</f>
        <v/>
      </c>
    </row>
    <row r="1670" spans="3:18" hidden="1" x14ac:dyDescent="0.2">
      <c r="C1670" s="30" t="s">
        <v>3723</v>
      </c>
      <c r="D1670" s="110" t="s">
        <v>3724</v>
      </c>
      <c r="E1670" s="33" t="s">
        <v>17</v>
      </c>
      <c r="F1670" s="38"/>
      <c r="G1670" s="38"/>
      <c r="H1670" s="31"/>
      <c r="I1670" s="32"/>
      <c r="J1670" s="32"/>
      <c r="K1670" s="45" t="s">
        <v>888</v>
      </c>
      <c r="L1670" s="129"/>
      <c r="M1670" s="33" t="str">
        <f t="shared" si="26"/>
        <v/>
      </c>
      <c r="N1670" s="34" t="str">
        <f>IFERROR(IF(Tabela1[[#This Row],[Nome fantasia]]="","",_xlfn.XLOOKUP($C1670,Log!D:D,Log!B:B,,,-1)),"")</f>
        <v/>
      </c>
      <c r="O1670" s="35" t="str">
        <f>IFERROR(_xlfn.XLOOKUP($C1670,Log!D:D,Log!W:W,,,-1),"")</f>
        <v/>
      </c>
      <c r="P1670" s="35" t="str">
        <f>IFERROR(_xlfn.XLOOKUP($C1670,Log!D:D,Log!Y:Y,,,-1),"")</f>
        <v/>
      </c>
      <c r="Q1670" s="130"/>
      <c r="R1670" s="131" t="str">
        <f>IFERROR(IF(Tabela1[[#This Row],[Nome fantasia]]="","",_xlfn.XLOOKUP($C1670,Log!D:D,Log!X:X,,,-1)),"")</f>
        <v/>
      </c>
    </row>
    <row r="1671" spans="3:18" hidden="1" x14ac:dyDescent="0.2">
      <c r="C1671" s="30" t="s">
        <v>3725</v>
      </c>
      <c r="D1671" s="110" t="s">
        <v>3726</v>
      </c>
      <c r="E1671" s="33" t="s">
        <v>17</v>
      </c>
      <c r="F1671" s="38"/>
      <c r="G1671" s="38"/>
      <c r="H1671" s="31"/>
      <c r="I1671" s="32"/>
      <c r="J1671" s="32"/>
      <c r="K1671" s="45" t="s">
        <v>888</v>
      </c>
      <c r="L1671" s="129"/>
      <c r="M1671" s="33" t="str">
        <f t="shared" si="26"/>
        <v/>
      </c>
      <c r="N1671" s="34" t="str">
        <f>IFERROR(IF(Tabela1[[#This Row],[Nome fantasia]]="","",_xlfn.XLOOKUP($C1671,Log!D:D,Log!B:B,,,-1)),"")</f>
        <v/>
      </c>
      <c r="O1671" s="35" t="str">
        <f>IFERROR(_xlfn.XLOOKUP($C1671,Log!D:D,Log!W:W,,,-1),"")</f>
        <v/>
      </c>
      <c r="P1671" s="35" t="str">
        <f>IFERROR(_xlfn.XLOOKUP($C1671,Log!D:D,Log!Y:Y,,,-1),"")</f>
        <v/>
      </c>
      <c r="Q1671" s="130"/>
      <c r="R1671" s="131" t="str">
        <f>IFERROR(IF(Tabela1[[#This Row],[Nome fantasia]]="","",_xlfn.XLOOKUP($C1671,Log!D:D,Log!X:X,,,-1)),"")</f>
        <v/>
      </c>
    </row>
    <row r="1672" spans="3:18" hidden="1" x14ac:dyDescent="0.2">
      <c r="C1672" s="30" t="s">
        <v>3727</v>
      </c>
      <c r="D1672" s="110" t="s">
        <v>3728</v>
      </c>
      <c r="E1672" s="33" t="s">
        <v>17</v>
      </c>
      <c r="F1672" s="38"/>
      <c r="G1672" s="38"/>
      <c r="H1672" s="31"/>
      <c r="I1672" s="32"/>
      <c r="J1672" s="32"/>
      <c r="K1672" s="45" t="s">
        <v>888</v>
      </c>
      <c r="L1672" s="129"/>
      <c r="M1672" s="33" t="str">
        <f t="shared" si="26"/>
        <v/>
      </c>
      <c r="N1672" s="34" t="str">
        <f>IFERROR(IF(Tabela1[[#This Row],[Nome fantasia]]="","",_xlfn.XLOOKUP($C1672,Log!D:D,Log!B:B,,,-1)),"")</f>
        <v/>
      </c>
      <c r="O1672" s="35" t="str">
        <f>IFERROR(_xlfn.XLOOKUP($C1672,Log!D:D,Log!W:W,,,-1),"")</f>
        <v/>
      </c>
      <c r="P1672" s="35" t="str">
        <f>IFERROR(_xlfn.XLOOKUP($C1672,Log!D:D,Log!Y:Y,,,-1),"")</f>
        <v/>
      </c>
      <c r="Q1672" s="130"/>
      <c r="R1672" s="131" t="str">
        <f>IFERROR(IF(Tabela1[[#This Row],[Nome fantasia]]="","",_xlfn.XLOOKUP($C1672,Log!D:D,Log!X:X,,,-1)),"")</f>
        <v/>
      </c>
    </row>
    <row r="1673" spans="3:18" hidden="1" x14ac:dyDescent="0.2">
      <c r="C1673" s="30" t="s">
        <v>3729</v>
      </c>
      <c r="D1673" s="110" t="s">
        <v>3730</v>
      </c>
      <c r="E1673" s="33" t="s">
        <v>46</v>
      </c>
      <c r="F1673" s="38"/>
      <c r="G1673" s="38"/>
      <c r="H1673" s="31"/>
      <c r="I1673" s="32"/>
      <c r="J1673" s="32"/>
      <c r="K1673" s="45" t="s">
        <v>888</v>
      </c>
      <c r="L1673" s="129"/>
      <c r="M1673" s="33" t="str">
        <f t="shared" si="26"/>
        <v/>
      </c>
      <c r="N1673" s="34" t="str">
        <f>IFERROR(IF(Tabela1[[#This Row],[Nome fantasia]]="","",_xlfn.XLOOKUP($C1673,Log!D:D,Log!B:B,,,-1)),"")</f>
        <v/>
      </c>
      <c r="O1673" s="35" t="str">
        <f>IFERROR(_xlfn.XLOOKUP($C1673,Log!D:D,Log!W:W,,,-1),"")</f>
        <v/>
      </c>
      <c r="P1673" s="35" t="str">
        <f>IFERROR(_xlfn.XLOOKUP($C1673,Log!D:D,Log!Y:Y,,,-1),"")</f>
        <v/>
      </c>
      <c r="Q1673" s="130"/>
      <c r="R1673" s="131" t="str">
        <f>IFERROR(IF(Tabela1[[#This Row],[Nome fantasia]]="","",_xlfn.XLOOKUP($C1673,Log!D:D,Log!X:X,,,-1)),"")</f>
        <v/>
      </c>
    </row>
    <row r="1674" spans="3:18" hidden="1" x14ac:dyDescent="0.2">
      <c r="C1674" s="30" t="s">
        <v>3731</v>
      </c>
      <c r="D1674" s="110" t="s">
        <v>1244</v>
      </c>
      <c r="E1674" s="33" t="s">
        <v>22</v>
      </c>
      <c r="F1674" s="38"/>
      <c r="G1674" s="38"/>
      <c r="H1674" s="31"/>
      <c r="I1674" s="32"/>
      <c r="J1674" s="32"/>
      <c r="K1674" s="45" t="s">
        <v>888</v>
      </c>
      <c r="L1674" s="129"/>
      <c r="M1674" s="33" t="str">
        <f t="shared" si="26"/>
        <v/>
      </c>
      <c r="N1674" s="34" t="str">
        <f>IFERROR(IF(Tabela1[[#This Row],[Nome fantasia]]="","",_xlfn.XLOOKUP($C1674,Log!D:D,Log!B:B,,,-1)),"")</f>
        <v/>
      </c>
      <c r="O1674" s="35" t="str">
        <f>IFERROR(_xlfn.XLOOKUP($C1674,Log!D:D,Log!W:W,,,-1),"")</f>
        <v/>
      </c>
      <c r="P1674" s="35" t="str">
        <f>IFERROR(_xlfn.XLOOKUP($C1674,Log!D:D,Log!Y:Y,,,-1),"")</f>
        <v/>
      </c>
      <c r="Q1674" s="130"/>
      <c r="R1674" s="131" t="str">
        <f>IFERROR(IF(Tabela1[[#This Row],[Nome fantasia]]="","",_xlfn.XLOOKUP($C1674,Log!D:D,Log!X:X,,,-1)),"")</f>
        <v/>
      </c>
    </row>
    <row r="1675" spans="3:18" hidden="1" x14ac:dyDescent="0.2">
      <c r="C1675" s="30" t="s">
        <v>1462</v>
      </c>
      <c r="D1675" s="110" t="s">
        <v>3732</v>
      </c>
      <c r="E1675" s="33" t="s">
        <v>46</v>
      </c>
      <c r="F1675" s="38"/>
      <c r="G1675" s="38"/>
      <c r="H1675" s="31"/>
      <c r="I1675" s="32"/>
      <c r="J1675" s="32"/>
      <c r="K1675" s="45" t="s">
        <v>888</v>
      </c>
      <c r="L1675" s="129"/>
      <c r="M1675" s="33" t="str">
        <f t="shared" si="26"/>
        <v/>
      </c>
      <c r="N1675" s="34" t="str">
        <f>IFERROR(IF(Tabela1[[#This Row],[Nome fantasia]]="","",_xlfn.XLOOKUP($C1675,Log!D:D,Log!B:B,,,-1)),"")</f>
        <v/>
      </c>
      <c r="O1675" s="35" t="str">
        <f>IFERROR(_xlfn.XLOOKUP($C1675,Log!D:D,Log!W:W,,,-1),"")</f>
        <v/>
      </c>
      <c r="P1675" s="35" t="str">
        <f>IFERROR(_xlfn.XLOOKUP($C1675,Log!D:D,Log!Y:Y,,,-1),"")</f>
        <v/>
      </c>
      <c r="Q1675" s="130"/>
      <c r="R1675" s="131" t="str">
        <f>IFERROR(IF(Tabela1[[#This Row],[Nome fantasia]]="","",_xlfn.XLOOKUP($C1675,Log!D:D,Log!X:X,,,-1)),"")</f>
        <v/>
      </c>
    </row>
    <row r="1676" spans="3:18" hidden="1" x14ac:dyDescent="0.2">
      <c r="C1676" s="30" t="s">
        <v>3733</v>
      </c>
      <c r="D1676" s="110" t="s">
        <v>3734</v>
      </c>
      <c r="E1676" s="33" t="s">
        <v>46</v>
      </c>
      <c r="F1676" s="38"/>
      <c r="G1676" s="38"/>
      <c r="H1676" s="31"/>
      <c r="I1676" s="32"/>
      <c r="J1676" s="32"/>
      <c r="K1676" s="45" t="s">
        <v>888</v>
      </c>
      <c r="L1676" s="129"/>
      <c r="M1676" s="33" t="str">
        <f t="shared" si="26"/>
        <v/>
      </c>
      <c r="N1676" s="34" t="str">
        <f>IFERROR(IF(Tabela1[[#This Row],[Nome fantasia]]="","",_xlfn.XLOOKUP($C1676,Log!D:D,Log!B:B,,,-1)),"")</f>
        <v/>
      </c>
      <c r="O1676" s="35" t="str">
        <f>IFERROR(_xlfn.XLOOKUP($C1676,Log!D:D,Log!W:W,,,-1),"")</f>
        <v/>
      </c>
      <c r="P1676" s="35" t="str">
        <f>IFERROR(_xlfn.XLOOKUP($C1676,Log!D:D,Log!Y:Y,,,-1),"")</f>
        <v/>
      </c>
      <c r="Q1676" s="130"/>
      <c r="R1676" s="131" t="str">
        <f>IFERROR(IF(Tabela1[[#This Row],[Nome fantasia]]="","",_xlfn.XLOOKUP($C1676,Log!D:D,Log!X:X,,,-1)),"")</f>
        <v/>
      </c>
    </row>
    <row r="1677" spans="3:18" hidden="1" x14ac:dyDescent="0.2">
      <c r="C1677" s="30" t="s">
        <v>3735</v>
      </c>
      <c r="D1677" s="110" t="s">
        <v>3736</v>
      </c>
      <c r="E1677" s="33" t="s">
        <v>17</v>
      </c>
      <c r="F1677" s="38"/>
      <c r="G1677" s="38"/>
      <c r="H1677" s="31"/>
      <c r="I1677" s="32"/>
      <c r="J1677" s="32"/>
      <c r="K1677" s="45" t="s">
        <v>888</v>
      </c>
      <c r="L1677" s="129"/>
      <c r="M1677" s="33" t="str">
        <f t="shared" si="26"/>
        <v/>
      </c>
      <c r="N1677" s="34" t="str">
        <f>IFERROR(IF(Tabela1[[#This Row],[Nome fantasia]]="","",_xlfn.XLOOKUP($C1677,Log!D:D,Log!B:B,,,-1)),"")</f>
        <v/>
      </c>
      <c r="O1677" s="35" t="str">
        <f>IFERROR(_xlfn.XLOOKUP($C1677,Log!D:D,Log!W:W,,,-1),"")</f>
        <v/>
      </c>
      <c r="P1677" s="35" t="str">
        <f>IFERROR(_xlfn.XLOOKUP($C1677,Log!D:D,Log!Y:Y,,,-1),"")</f>
        <v/>
      </c>
      <c r="Q1677" s="130"/>
      <c r="R1677" s="131" t="str">
        <f>IFERROR(IF(Tabela1[[#This Row],[Nome fantasia]]="","",_xlfn.XLOOKUP($C1677,Log!D:D,Log!X:X,,,-1)),"")</f>
        <v/>
      </c>
    </row>
    <row r="1678" spans="3:18" hidden="1" x14ac:dyDescent="0.2">
      <c r="C1678" s="30" t="s">
        <v>3737</v>
      </c>
      <c r="D1678" s="110" t="s">
        <v>3738</v>
      </c>
      <c r="E1678" s="33" t="s">
        <v>46</v>
      </c>
      <c r="F1678" s="38"/>
      <c r="G1678" s="38"/>
      <c r="H1678" s="31"/>
      <c r="I1678" s="32"/>
      <c r="J1678" s="32"/>
      <c r="K1678" s="45" t="s">
        <v>888</v>
      </c>
      <c r="L1678" s="129"/>
      <c r="M1678" s="33" t="str">
        <f t="shared" si="26"/>
        <v/>
      </c>
      <c r="N1678" s="34" t="str">
        <f>IFERROR(IF(Tabela1[[#This Row],[Nome fantasia]]="","",_xlfn.XLOOKUP($C1678,Log!D:D,Log!B:B,,,-1)),"")</f>
        <v/>
      </c>
      <c r="O1678" s="35" t="str">
        <f>IFERROR(_xlfn.XLOOKUP($C1678,Log!D:D,Log!W:W,,,-1),"")</f>
        <v/>
      </c>
      <c r="P1678" s="35" t="str">
        <f>IFERROR(_xlfn.XLOOKUP($C1678,Log!D:D,Log!Y:Y,,,-1),"")</f>
        <v/>
      </c>
      <c r="Q1678" s="130"/>
      <c r="R1678" s="131" t="str">
        <f>IFERROR(IF(Tabela1[[#This Row],[Nome fantasia]]="","",_xlfn.XLOOKUP($C1678,Log!D:D,Log!X:X,,,-1)),"")</f>
        <v/>
      </c>
    </row>
    <row r="1679" spans="3:18" hidden="1" x14ac:dyDescent="0.2">
      <c r="C1679" s="30" t="s">
        <v>3739</v>
      </c>
      <c r="D1679" s="110" t="s">
        <v>3740</v>
      </c>
      <c r="E1679" s="33" t="s">
        <v>17</v>
      </c>
      <c r="F1679" s="38"/>
      <c r="G1679" s="38"/>
      <c r="H1679" s="31"/>
      <c r="I1679" s="32"/>
      <c r="J1679" s="32"/>
      <c r="K1679" s="45" t="s">
        <v>888</v>
      </c>
      <c r="L1679" s="129"/>
      <c r="M1679" s="33" t="str">
        <f t="shared" si="26"/>
        <v/>
      </c>
      <c r="N1679" s="34" t="str">
        <f>IFERROR(IF(Tabela1[[#This Row],[Nome fantasia]]="","",_xlfn.XLOOKUP($C1679,Log!D:D,Log!B:B,,,-1)),"")</f>
        <v/>
      </c>
      <c r="O1679" s="35" t="str">
        <f>IFERROR(_xlfn.XLOOKUP($C1679,Log!D:D,Log!W:W,,,-1),"")</f>
        <v/>
      </c>
      <c r="P1679" s="35" t="str">
        <f>IFERROR(_xlfn.XLOOKUP($C1679,Log!D:D,Log!Y:Y,,,-1),"")</f>
        <v/>
      </c>
      <c r="Q1679" s="130"/>
      <c r="R1679" s="131" t="str">
        <f>IFERROR(IF(Tabela1[[#This Row],[Nome fantasia]]="","",_xlfn.XLOOKUP($C1679,Log!D:D,Log!X:X,,,-1)),"")</f>
        <v/>
      </c>
    </row>
    <row r="1680" spans="3:18" hidden="1" x14ac:dyDescent="0.2">
      <c r="C1680" s="30" t="s">
        <v>3741</v>
      </c>
      <c r="D1680" s="110" t="s">
        <v>3742</v>
      </c>
      <c r="E1680" s="33" t="s">
        <v>22</v>
      </c>
      <c r="F1680" s="38"/>
      <c r="G1680" s="38"/>
      <c r="H1680" s="31"/>
      <c r="I1680" s="32"/>
      <c r="J1680" s="32"/>
      <c r="K1680" s="45" t="s">
        <v>888</v>
      </c>
      <c r="L1680" s="129"/>
      <c r="M1680" s="33" t="str">
        <f t="shared" si="26"/>
        <v/>
      </c>
      <c r="N1680" s="34" t="str">
        <f>IFERROR(IF(Tabela1[[#This Row],[Nome fantasia]]="","",_xlfn.XLOOKUP($C1680,Log!D:D,Log!B:B,,,-1)),"")</f>
        <v/>
      </c>
      <c r="O1680" s="35" t="str">
        <f>IFERROR(_xlfn.XLOOKUP($C1680,Log!D:D,Log!W:W,,,-1),"")</f>
        <v/>
      </c>
      <c r="P1680" s="35" t="str">
        <f>IFERROR(_xlfn.XLOOKUP($C1680,Log!D:D,Log!Y:Y,,,-1),"")</f>
        <v/>
      </c>
      <c r="Q1680" s="130"/>
      <c r="R1680" s="131" t="str">
        <f>IFERROR(IF(Tabela1[[#This Row],[Nome fantasia]]="","",_xlfn.XLOOKUP($C1680,Log!D:D,Log!X:X,,,-1)),"")</f>
        <v/>
      </c>
    </row>
    <row r="1681" spans="3:18" hidden="1" x14ac:dyDescent="0.2">
      <c r="C1681" s="30" t="s">
        <v>3743</v>
      </c>
      <c r="D1681" s="110" t="s">
        <v>3744</v>
      </c>
      <c r="E1681" s="33" t="s">
        <v>46</v>
      </c>
      <c r="F1681" s="38"/>
      <c r="G1681" s="38"/>
      <c r="H1681" s="31"/>
      <c r="I1681" s="32"/>
      <c r="J1681" s="32"/>
      <c r="K1681" s="45" t="s">
        <v>888</v>
      </c>
      <c r="L1681" s="129"/>
      <c r="M1681" s="33" t="str">
        <f t="shared" si="26"/>
        <v/>
      </c>
      <c r="N1681" s="34" t="str">
        <f>IFERROR(IF(Tabela1[[#This Row],[Nome fantasia]]="","",_xlfn.XLOOKUP($C1681,Log!D:D,Log!B:B,,,-1)),"")</f>
        <v/>
      </c>
      <c r="O1681" s="35" t="str">
        <f>IFERROR(_xlfn.XLOOKUP($C1681,Log!D:D,Log!W:W,,,-1),"")</f>
        <v/>
      </c>
      <c r="P1681" s="35" t="str">
        <f>IFERROR(_xlfn.XLOOKUP($C1681,Log!D:D,Log!Y:Y,,,-1),"")</f>
        <v/>
      </c>
      <c r="Q1681" s="130"/>
      <c r="R1681" s="131" t="str">
        <f>IFERROR(IF(Tabela1[[#This Row],[Nome fantasia]]="","",_xlfn.XLOOKUP($C1681,Log!D:D,Log!X:X,,,-1)),"")</f>
        <v/>
      </c>
    </row>
    <row r="1682" spans="3:18" hidden="1" x14ac:dyDescent="0.2">
      <c r="C1682" s="30" t="s">
        <v>2379</v>
      </c>
      <c r="D1682" s="110" t="s">
        <v>3745</v>
      </c>
      <c r="E1682" s="33" t="s">
        <v>46</v>
      </c>
      <c r="F1682" s="38"/>
      <c r="G1682" s="38"/>
      <c r="H1682" s="31"/>
      <c r="I1682" s="32"/>
      <c r="J1682" s="32"/>
      <c r="K1682" s="45" t="s">
        <v>888</v>
      </c>
      <c r="L1682" s="129"/>
      <c r="M1682" s="33" t="str">
        <f t="shared" si="26"/>
        <v/>
      </c>
      <c r="N1682" s="34" t="str">
        <f>IFERROR(IF(Tabela1[[#This Row],[Nome fantasia]]="","",_xlfn.XLOOKUP($C1682,Log!D:D,Log!B:B,,,-1)),"")</f>
        <v/>
      </c>
      <c r="O1682" s="35" t="str">
        <f>IFERROR(_xlfn.XLOOKUP($C1682,Log!D:D,Log!W:W,,,-1),"")</f>
        <v/>
      </c>
      <c r="P1682" s="35" t="str">
        <f>IFERROR(_xlfn.XLOOKUP($C1682,Log!D:D,Log!Y:Y,,,-1),"")</f>
        <v/>
      </c>
      <c r="Q1682" s="130"/>
      <c r="R1682" s="131" t="str">
        <f>IFERROR(IF(Tabela1[[#This Row],[Nome fantasia]]="","",_xlfn.XLOOKUP($C1682,Log!D:D,Log!X:X,,,-1)),"")</f>
        <v/>
      </c>
    </row>
    <row r="1683" spans="3:18" hidden="1" x14ac:dyDescent="0.2">
      <c r="C1683" s="30" t="s">
        <v>1862</v>
      </c>
      <c r="D1683" s="110" t="s">
        <v>3746</v>
      </c>
      <c r="E1683" s="33" t="s">
        <v>22</v>
      </c>
      <c r="F1683" s="38"/>
      <c r="G1683" s="38"/>
      <c r="H1683" s="31"/>
      <c r="I1683" s="32"/>
      <c r="J1683" s="32"/>
      <c r="K1683" s="45" t="s">
        <v>888</v>
      </c>
      <c r="L1683" s="129"/>
      <c r="M1683" s="33" t="str">
        <f t="shared" si="26"/>
        <v/>
      </c>
      <c r="N1683" s="34" t="str">
        <f>IFERROR(IF(Tabela1[[#This Row],[Nome fantasia]]="","",_xlfn.XLOOKUP($C1683,Log!D:D,Log!B:B,,,-1)),"")</f>
        <v/>
      </c>
      <c r="O1683" s="35" t="str">
        <f>IFERROR(_xlfn.XLOOKUP($C1683,Log!D:D,Log!W:W,,,-1),"")</f>
        <v/>
      </c>
      <c r="P1683" s="35" t="str">
        <f>IFERROR(_xlfn.XLOOKUP($C1683,Log!D:D,Log!Y:Y,,,-1),"")</f>
        <v/>
      </c>
      <c r="Q1683" s="130"/>
      <c r="R1683" s="131" t="str">
        <f>IFERROR(IF(Tabela1[[#This Row],[Nome fantasia]]="","",_xlfn.XLOOKUP($C1683,Log!D:D,Log!X:X,,,-1)),"")</f>
        <v/>
      </c>
    </row>
    <row r="1684" spans="3:18" hidden="1" x14ac:dyDescent="0.2">
      <c r="C1684" s="30" t="s">
        <v>3747</v>
      </c>
      <c r="D1684" s="110" t="s">
        <v>3748</v>
      </c>
      <c r="E1684" s="33" t="s">
        <v>22</v>
      </c>
      <c r="F1684" s="38"/>
      <c r="G1684" s="38"/>
      <c r="H1684" s="31"/>
      <c r="I1684" s="32"/>
      <c r="J1684" s="32"/>
      <c r="K1684" s="45" t="s">
        <v>888</v>
      </c>
      <c r="L1684" s="129"/>
      <c r="M1684" s="33" t="str">
        <f t="shared" si="26"/>
        <v/>
      </c>
      <c r="N1684" s="34" t="str">
        <f>IFERROR(IF(Tabela1[[#This Row],[Nome fantasia]]="","",_xlfn.XLOOKUP($C1684,Log!D:D,Log!B:B,,,-1)),"")</f>
        <v/>
      </c>
      <c r="O1684" s="35" t="str">
        <f>IFERROR(_xlfn.XLOOKUP($C1684,Log!D:D,Log!W:W,,,-1),"")</f>
        <v/>
      </c>
      <c r="P1684" s="35" t="str">
        <f>IFERROR(_xlfn.XLOOKUP($C1684,Log!D:D,Log!Y:Y,,,-1),"")</f>
        <v/>
      </c>
      <c r="Q1684" s="130"/>
      <c r="R1684" s="131" t="str">
        <f>IFERROR(IF(Tabela1[[#This Row],[Nome fantasia]]="","",_xlfn.XLOOKUP($C1684,Log!D:D,Log!X:X,,,-1)),"")</f>
        <v/>
      </c>
    </row>
    <row r="1685" spans="3:18" hidden="1" x14ac:dyDescent="0.2">
      <c r="C1685" s="30" t="s">
        <v>2231</v>
      </c>
      <c r="D1685" s="110" t="s">
        <v>3749</v>
      </c>
      <c r="E1685" s="33" t="s">
        <v>22</v>
      </c>
      <c r="F1685" s="38"/>
      <c r="G1685" s="38"/>
      <c r="H1685" s="31"/>
      <c r="I1685" s="32"/>
      <c r="J1685" s="32"/>
      <c r="K1685" s="45" t="s">
        <v>888</v>
      </c>
      <c r="L1685" s="129"/>
      <c r="M1685" s="33" t="str">
        <f t="shared" si="26"/>
        <v/>
      </c>
      <c r="N1685" s="34" t="str">
        <f>IFERROR(IF(Tabela1[[#This Row],[Nome fantasia]]="","",_xlfn.XLOOKUP($C1685,Log!D:D,Log!B:B,,,-1)),"")</f>
        <v/>
      </c>
      <c r="O1685" s="35" t="str">
        <f>IFERROR(_xlfn.XLOOKUP($C1685,Log!D:D,Log!W:W,,,-1),"")</f>
        <v/>
      </c>
      <c r="P1685" s="35" t="str">
        <f>IFERROR(_xlfn.XLOOKUP($C1685,Log!D:D,Log!Y:Y,,,-1),"")</f>
        <v/>
      </c>
      <c r="Q1685" s="130"/>
      <c r="R1685" s="131" t="str">
        <f>IFERROR(IF(Tabela1[[#This Row],[Nome fantasia]]="","",_xlfn.XLOOKUP($C1685,Log!D:D,Log!X:X,,,-1)),"")</f>
        <v/>
      </c>
    </row>
    <row r="1686" spans="3:18" hidden="1" x14ac:dyDescent="0.2">
      <c r="C1686" s="30" t="s">
        <v>3750</v>
      </c>
      <c r="D1686" s="110"/>
      <c r="E1686" s="33" t="s">
        <v>22</v>
      </c>
      <c r="F1686" s="38"/>
      <c r="G1686" s="38"/>
      <c r="H1686" s="31"/>
      <c r="I1686" s="32"/>
      <c r="J1686" s="32"/>
      <c r="K1686" s="45" t="s">
        <v>888</v>
      </c>
      <c r="L1686" s="129"/>
      <c r="M1686" s="33" t="str">
        <f t="shared" si="26"/>
        <v/>
      </c>
      <c r="N1686" s="34" t="str">
        <f>IFERROR(IF(Tabela1[[#This Row],[Nome fantasia]]="","",_xlfn.XLOOKUP($C1686,Log!D:D,Log!B:B,,,-1)),"")</f>
        <v/>
      </c>
      <c r="O1686" s="35" t="str">
        <f>IFERROR(_xlfn.XLOOKUP($C1686,Log!D:D,Log!W:W,,,-1),"")</f>
        <v/>
      </c>
      <c r="P1686" s="35" t="str">
        <f>IFERROR(_xlfn.XLOOKUP($C1686,Log!D:D,Log!Y:Y,,,-1),"")</f>
        <v/>
      </c>
      <c r="Q1686" s="130"/>
      <c r="R1686" s="131" t="str">
        <f>IFERROR(IF(Tabela1[[#This Row],[Nome fantasia]]="","",_xlfn.XLOOKUP($C1686,Log!D:D,Log!X:X,,,-1)),"")</f>
        <v/>
      </c>
    </row>
    <row r="1687" spans="3:18" hidden="1" x14ac:dyDescent="0.2">
      <c r="C1687" s="30" t="s">
        <v>1853</v>
      </c>
      <c r="D1687" s="110" t="s">
        <v>3751</v>
      </c>
      <c r="E1687" s="33" t="s">
        <v>46</v>
      </c>
      <c r="F1687" s="38"/>
      <c r="G1687" s="38"/>
      <c r="H1687" s="31"/>
      <c r="I1687" s="32"/>
      <c r="J1687" s="32"/>
      <c r="K1687" s="45" t="s">
        <v>888</v>
      </c>
      <c r="L1687" s="129"/>
      <c r="M1687" s="33" t="str">
        <f t="shared" si="26"/>
        <v/>
      </c>
      <c r="N1687" s="34" t="str">
        <f>IFERROR(IF(Tabela1[[#This Row],[Nome fantasia]]="","",_xlfn.XLOOKUP($C1687,Log!D:D,Log!B:B,,,-1)),"")</f>
        <v/>
      </c>
      <c r="O1687" s="35" t="str">
        <f>IFERROR(_xlfn.XLOOKUP($C1687,Log!D:D,Log!W:W,,,-1),"")</f>
        <v/>
      </c>
      <c r="P1687" s="35" t="str">
        <f>IFERROR(_xlfn.XLOOKUP($C1687,Log!D:D,Log!Y:Y,,,-1),"")</f>
        <v/>
      </c>
      <c r="Q1687" s="130"/>
      <c r="R1687" s="131" t="str">
        <f>IFERROR(IF(Tabela1[[#This Row],[Nome fantasia]]="","",_xlfn.XLOOKUP($C1687,Log!D:D,Log!X:X,,,-1)),"")</f>
        <v/>
      </c>
    </row>
    <row r="1688" spans="3:18" hidden="1" x14ac:dyDescent="0.2">
      <c r="C1688" s="30" t="s">
        <v>3752</v>
      </c>
      <c r="D1688" s="110" t="s">
        <v>3753</v>
      </c>
      <c r="E1688" s="33" t="s">
        <v>17</v>
      </c>
      <c r="F1688" s="38"/>
      <c r="G1688" s="38"/>
      <c r="H1688" s="31"/>
      <c r="I1688" s="32"/>
      <c r="J1688" s="32"/>
      <c r="K1688" s="45" t="s">
        <v>888</v>
      </c>
      <c r="L1688" s="129"/>
      <c r="M1688" s="33" t="str">
        <f t="shared" si="26"/>
        <v/>
      </c>
      <c r="N1688" s="34" t="str">
        <f>IFERROR(IF(Tabela1[[#This Row],[Nome fantasia]]="","",_xlfn.XLOOKUP($C1688,Log!D:D,Log!B:B,,,-1)),"")</f>
        <v/>
      </c>
      <c r="O1688" s="35" t="str">
        <f>IFERROR(_xlfn.XLOOKUP($C1688,Log!D:D,Log!W:W,,,-1),"")</f>
        <v/>
      </c>
      <c r="P1688" s="35" t="str">
        <f>IFERROR(_xlfn.XLOOKUP($C1688,Log!D:D,Log!Y:Y,,,-1),"")</f>
        <v/>
      </c>
      <c r="Q1688" s="130"/>
      <c r="R1688" s="131" t="str">
        <f>IFERROR(IF(Tabela1[[#This Row],[Nome fantasia]]="","",_xlfn.XLOOKUP($C1688,Log!D:D,Log!X:X,,,-1)),"")</f>
        <v/>
      </c>
    </row>
    <row r="1689" spans="3:18" hidden="1" x14ac:dyDescent="0.2">
      <c r="C1689" s="30"/>
      <c r="D1689" s="110" t="s">
        <v>3754</v>
      </c>
      <c r="E1689" s="33" t="s">
        <v>46</v>
      </c>
      <c r="F1689" s="38"/>
      <c r="G1689" s="38"/>
      <c r="H1689" s="31"/>
      <c r="I1689" s="32"/>
      <c r="J1689" s="32"/>
      <c r="K1689" s="45" t="s">
        <v>888</v>
      </c>
      <c r="L1689" s="129"/>
      <c r="M1689" s="33" t="str">
        <f t="shared" si="26"/>
        <v/>
      </c>
      <c r="N1689" s="34" t="str">
        <f>IFERROR(IF(Tabela1[[#This Row],[Nome fantasia]]="","",_xlfn.XLOOKUP($C1689,Log!D:D,Log!B:B,,,-1)),"")</f>
        <v/>
      </c>
      <c r="O1689" s="35" t="str">
        <f>IFERROR(_xlfn.XLOOKUP($C1689,Log!D:D,Log!W:W,,,-1),"")</f>
        <v/>
      </c>
      <c r="P1689" s="35" t="str">
        <f>IFERROR(_xlfn.XLOOKUP($C1689,Log!D:D,Log!Y:Y,,,-1),"")</f>
        <v/>
      </c>
      <c r="Q1689" s="130"/>
      <c r="R1689" s="131" t="str">
        <f>IFERROR(IF(Tabela1[[#This Row],[Nome fantasia]]="","",_xlfn.XLOOKUP($C1689,Log!D:D,Log!X:X,,,-1)),"")</f>
        <v/>
      </c>
    </row>
    <row r="1690" spans="3:18" hidden="1" x14ac:dyDescent="0.2">
      <c r="C1690" s="30" t="s">
        <v>3755</v>
      </c>
      <c r="D1690" s="110" t="s">
        <v>3756</v>
      </c>
      <c r="E1690" s="33" t="s">
        <v>46</v>
      </c>
      <c r="F1690" s="38"/>
      <c r="G1690" s="38"/>
      <c r="H1690" s="31"/>
      <c r="I1690" s="32"/>
      <c r="J1690" s="32"/>
      <c r="K1690" s="45" t="s">
        <v>888</v>
      </c>
      <c r="L1690" s="129"/>
      <c r="M1690" s="33" t="str">
        <f t="shared" si="26"/>
        <v/>
      </c>
      <c r="N1690" s="34" t="str">
        <f>IFERROR(IF(Tabela1[[#This Row],[Nome fantasia]]="","",_xlfn.XLOOKUP($C1690,Log!D:D,Log!B:B,,,-1)),"")</f>
        <v/>
      </c>
      <c r="O1690" s="35" t="str">
        <f>IFERROR(_xlfn.XLOOKUP($C1690,Log!D:D,Log!W:W,,,-1),"")</f>
        <v/>
      </c>
      <c r="P1690" s="35" t="str">
        <f>IFERROR(_xlfn.XLOOKUP($C1690,Log!D:D,Log!Y:Y,,,-1),"")</f>
        <v/>
      </c>
      <c r="Q1690" s="130"/>
      <c r="R1690" s="131" t="str">
        <f>IFERROR(IF(Tabela1[[#This Row],[Nome fantasia]]="","",_xlfn.XLOOKUP($C1690,Log!D:D,Log!X:X,,,-1)),"")</f>
        <v/>
      </c>
    </row>
    <row r="1691" spans="3:18" hidden="1" x14ac:dyDescent="0.2">
      <c r="C1691" s="30" t="s">
        <v>3755</v>
      </c>
      <c r="D1691" s="110" t="s">
        <v>3756</v>
      </c>
      <c r="E1691" s="33" t="s">
        <v>46</v>
      </c>
      <c r="F1691" s="38"/>
      <c r="G1691" s="38"/>
      <c r="H1691" s="31"/>
      <c r="I1691" s="32"/>
      <c r="J1691" s="32"/>
      <c r="K1691" s="45" t="s">
        <v>888</v>
      </c>
      <c r="L1691" s="129"/>
      <c r="M1691" s="33" t="str">
        <f t="shared" si="26"/>
        <v/>
      </c>
      <c r="N1691" s="34" t="str">
        <f>IFERROR(IF(Tabela1[[#This Row],[Nome fantasia]]="","",_xlfn.XLOOKUP($C1691,Log!D:D,Log!B:B,,,-1)),"")</f>
        <v/>
      </c>
      <c r="O1691" s="35" t="str">
        <f>IFERROR(_xlfn.XLOOKUP($C1691,Log!D:D,Log!W:W,,,-1),"")</f>
        <v/>
      </c>
      <c r="P1691" s="35" t="str">
        <f>IFERROR(_xlfn.XLOOKUP($C1691,Log!D:D,Log!Y:Y,,,-1),"")</f>
        <v/>
      </c>
      <c r="Q1691" s="130"/>
      <c r="R1691" s="131" t="str">
        <f>IFERROR(IF(Tabela1[[#This Row],[Nome fantasia]]="","",_xlfn.XLOOKUP($C1691,Log!D:D,Log!X:X,,,-1)),"")</f>
        <v/>
      </c>
    </row>
    <row r="1692" spans="3:18" hidden="1" x14ac:dyDescent="0.2">
      <c r="C1692" s="30" t="s">
        <v>3757</v>
      </c>
      <c r="D1692" s="110" t="s">
        <v>3758</v>
      </c>
      <c r="E1692" s="33" t="s">
        <v>22</v>
      </c>
      <c r="F1692" s="38"/>
      <c r="G1692" s="38"/>
      <c r="H1692" s="31"/>
      <c r="I1692" s="32"/>
      <c r="J1692" s="32"/>
      <c r="K1692" s="45" t="s">
        <v>888</v>
      </c>
      <c r="L1692" s="129"/>
      <c r="M1692" s="33" t="str">
        <f t="shared" si="26"/>
        <v/>
      </c>
      <c r="N1692" s="34" t="str">
        <f>IFERROR(IF(Tabela1[[#This Row],[Nome fantasia]]="","",_xlfn.XLOOKUP($C1692,Log!D:D,Log!B:B,,,-1)),"")</f>
        <v/>
      </c>
      <c r="O1692" s="35" t="str">
        <f>IFERROR(_xlfn.XLOOKUP($C1692,Log!D:D,Log!W:W,,,-1),"")</f>
        <v/>
      </c>
      <c r="P1692" s="35" t="str">
        <f>IFERROR(_xlfn.XLOOKUP($C1692,Log!D:D,Log!Y:Y,,,-1),"")</f>
        <v/>
      </c>
      <c r="Q1692" s="130"/>
      <c r="R1692" s="131" t="str">
        <f>IFERROR(IF(Tabela1[[#This Row],[Nome fantasia]]="","",_xlfn.XLOOKUP($C1692,Log!D:D,Log!X:X,,,-1)),"")</f>
        <v/>
      </c>
    </row>
    <row r="1693" spans="3:18" hidden="1" x14ac:dyDescent="0.2">
      <c r="C1693" s="30" t="s">
        <v>1862</v>
      </c>
      <c r="D1693" s="110" t="s">
        <v>3759</v>
      </c>
      <c r="E1693" s="33" t="s">
        <v>22</v>
      </c>
      <c r="F1693" s="38"/>
      <c r="G1693" s="38"/>
      <c r="H1693" s="31"/>
      <c r="I1693" s="32"/>
      <c r="J1693" s="32"/>
      <c r="K1693" s="45" t="s">
        <v>888</v>
      </c>
      <c r="L1693" s="129"/>
      <c r="M1693" s="33" t="str">
        <f t="shared" si="26"/>
        <v/>
      </c>
      <c r="N1693" s="34" t="str">
        <f>IFERROR(IF(Tabela1[[#This Row],[Nome fantasia]]="","",_xlfn.XLOOKUP($C1693,Log!D:D,Log!B:B,,,-1)),"")</f>
        <v/>
      </c>
      <c r="O1693" s="35" t="str">
        <f>IFERROR(_xlfn.XLOOKUP($C1693,Log!D:D,Log!W:W,,,-1),"")</f>
        <v/>
      </c>
      <c r="P1693" s="35" t="str">
        <f>IFERROR(_xlfn.XLOOKUP($C1693,Log!D:D,Log!Y:Y,,,-1),"")</f>
        <v/>
      </c>
      <c r="Q1693" s="130"/>
      <c r="R1693" s="131" t="str">
        <f>IFERROR(IF(Tabela1[[#This Row],[Nome fantasia]]="","",_xlfn.XLOOKUP($C1693,Log!D:D,Log!X:X,,,-1)),"")</f>
        <v/>
      </c>
    </row>
    <row r="1694" spans="3:18" hidden="1" x14ac:dyDescent="0.2">
      <c r="C1694" s="30" t="s">
        <v>1862</v>
      </c>
      <c r="D1694" s="110" t="s">
        <v>3760</v>
      </c>
      <c r="E1694" s="33" t="s">
        <v>22</v>
      </c>
      <c r="F1694" s="38"/>
      <c r="G1694" s="38"/>
      <c r="H1694" s="31"/>
      <c r="I1694" s="32"/>
      <c r="J1694" s="32"/>
      <c r="K1694" s="45" t="s">
        <v>888</v>
      </c>
      <c r="L1694" s="129"/>
      <c r="M1694" s="33" t="str">
        <f t="shared" si="26"/>
        <v/>
      </c>
      <c r="N1694" s="34" t="str">
        <f>IFERROR(IF(Tabela1[[#This Row],[Nome fantasia]]="","",_xlfn.XLOOKUP($C1694,Log!D:D,Log!B:B,,,-1)),"")</f>
        <v/>
      </c>
      <c r="O1694" s="35" t="str">
        <f>IFERROR(_xlfn.XLOOKUP($C1694,Log!D:D,Log!W:W,,,-1),"")</f>
        <v/>
      </c>
      <c r="P1694" s="35" t="str">
        <f>IFERROR(_xlfn.XLOOKUP($C1694,Log!D:D,Log!Y:Y,,,-1),"")</f>
        <v/>
      </c>
      <c r="Q1694" s="130"/>
      <c r="R1694" s="131" t="str">
        <f>IFERROR(IF(Tabela1[[#This Row],[Nome fantasia]]="","",_xlfn.XLOOKUP($C1694,Log!D:D,Log!X:X,,,-1)),"")</f>
        <v/>
      </c>
    </row>
    <row r="1695" spans="3:18" hidden="1" x14ac:dyDescent="0.2">
      <c r="C1695" s="30" t="s">
        <v>3761</v>
      </c>
      <c r="D1695" s="110" t="s">
        <v>3762</v>
      </c>
      <c r="E1695" s="33" t="s">
        <v>46</v>
      </c>
      <c r="F1695" s="38"/>
      <c r="G1695" s="38"/>
      <c r="H1695" s="31"/>
      <c r="I1695" s="32"/>
      <c r="J1695" s="32"/>
      <c r="K1695" s="45" t="s">
        <v>888</v>
      </c>
      <c r="L1695" s="129"/>
      <c r="M1695" s="33" t="str">
        <f t="shared" si="26"/>
        <v/>
      </c>
      <c r="N1695" s="34" t="str">
        <f>IFERROR(IF(Tabela1[[#This Row],[Nome fantasia]]="","",_xlfn.XLOOKUP($C1695,Log!D:D,Log!B:B,,,-1)),"")</f>
        <v/>
      </c>
      <c r="O1695" s="35" t="str">
        <f>IFERROR(_xlfn.XLOOKUP($C1695,Log!D:D,Log!W:W,,,-1),"")</f>
        <v/>
      </c>
      <c r="P1695" s="35" t="str">
        <f>IFERROR(_xlfn.XLOOKUP($C1695,Log!D:D,Log!Y:Y,,,-1),"")</f>
        <v/>
      </c>
      <c r="Q1695" s="130"/>
      <c r="R1695" s="131" t="str">
        <f>IFERROR(IF(Tabela1[[#This Row],[Nome fantasia]]="","",_xlfn.XLOOKUP($C1695,Log!D:D,Log!X:X,,,-1)),"")</f>
        <v/>
      </c>
    </row>
    <row r="1696" spans="3:18" hidden="1" x14ac:dyDescent="0.2">
      <c r="C1696" s="30" t="s">
        <v>3763</v>
      </c>
      <c r="D1696" s="110" t="s">
        <v>3764</v>
      </c>
      <c r="E1696" s="33" t="s">
        <v>46</v>
      </c>
      <c r="F1696" s="38"/>
      <c r="G1696" s="38"/>
      <c r="H1696" s="31"/>
      <c r="I1696" s="32"/>
      <c r="J1696" s="32"/>
      <c r="K1696" s="45" t="s">
        <v>888</v>
      </c>
      <c r="L1696" s="129"/>
      <c r="M1696" s="33" t="str">
        <f t="shared" si="26"/>
        <v/>
      </c>
      <c r="N1696" s="34" t="str">
        <f>IFERROR(IF(Tabela1[[#This Row],[Nome fantasia]]="","",_xlfn.XLOOKUP($C1696,Log!D:D,Log!B:B,,,-1)),"")</f>
        <v/>
      </c>
      <c r="O1696" s="35" t="str">
        <f>IFERROR(_xlfn.XLOOKUP($C1696,Log!D:D,Log!W:W,,,-1),"")</f>
        <v/>
      </c>
      <c r="P1696" s="35" t="str">
        <f>IFERROR(_xlfn.XLOOKUP($C1696,Log!D:D,Log!Y:Y,,,-1),"")</f>
        <v/>
      </c>
      <c r="Q1696" s="130"/>
      <c r="R1696" s="131" t="str">
        <f>IFERROR(IF(Tabela1[[#This Row],[Nome fantasia]]="","",_xlfn.XLOOKUP($C1696,Log!D:D,Log!X:X,,,-1)),"")</f>
        <v/>
      </c>
    </row>
    <row r="1697" spans="3:18" hidden="1" x14ac:dyDescent="0.2">
      <c r="C1697" s="30" t="s">
        <v>3765</v>
      </c>
      <c r="D1697" s="110" t="s">
        <v>3766</v>
      </c>
      <c r="E1697" s="33" t="s">
        <v>46</v>
      </c>
      <c r="F1697" s="38"/>
      <c r="G1697" s="38"/>
      <c r="H1697" s="31"/>
      <c r="I1697" s="32"/>
      <c r="J1697" s="32"/>
      <c r="K1697" s="45" t="s">
        <v>888</v>
      </c>
      <c r="L1697" s="129"/>
      <c r="M1697" s="33" t="str">
        <f t="shared" si="26"/>
        <v/>
      </c>
      <c r="N1697" s="34" t="str">
        <f>IFERROR(IF(Tabela1[[#This Row],[Nome fantasia]]="","",_xlfn.XLOOKUP($C1697,Log!D:D,Log!B:B,,,-1)),"")</f>
        <v/>
      </c>
      <c r="O1697" s="35" t="str">
        <f>IFERROR(_xlfn.XLOOKUP($C1697,Log!D:D,Log!W:W,,,-1),"")</f>
        <v/>
      </c>
      <c r="P1697" s="35" t="str">
        <f>IFERROR(_xlfn.XLOOKUP($C1697,Log!D:D,Log!Y:Y,,,-1),"")</f>
        <v/>
      </c>
      <c r="Q1697" s="130"/>
      <c r="R1697" s="131" t="str">
        <f>IFERROR(IF(Tabela1[[#This Row],[Nome fantasia]]="","",_xlfn.XLOOKUP($C1697,Log!D:D,Log!X:X,,,-1)),"")</f>
        <v/>
      </c>
    </row>
    <row r="1698" spans="3:18" hidden="1" x14ac:dyDescent="0.2">
      <c r="C1698" s="30" t="s">
        <v>3767</v>
      </c>
      <c r="D1698" s="110" t="s">
        <v>3768</v>
      </c>
      <c r="E1698" s="33" t="s">
        <v>46</v>
      </c>
      <c r="F1698" s="38"/>
      <c r="G1698" s="38"/>
      <c r="H1698" s="31"/>
      <c r="I1698" s="32"/>
      <c r="J1698" s="32"/>
      <c r="K1698" s="45" t="s">
        <v>888</v>
      </c>
      <c r="L1698" s="129"/>
      <c r="M1698" s="33" t="str">
        <f t="shared" si="26"/>
        <v/>
      </c>
      <c r="N1698" s="34" t="str">
        <f>IFERROR(IF(Tabela1[[#This Row],[Nome fantasia]]="","",_xlfn.XLOOKUP($C1698,Log!D:D,Log!B:B,,,-1)),"")</f>
        <v/>
      </c>
      <c r="O1698" s="35" t="str">
        <f>IFERROR(_xlfn.XLOOKUP($C1698,Log!D:D,Log!W:W,,,-1),"")</f>
        <v/>
      </c>
      <c r="P1698" s="35" t="str">
        <f>IFERROR(_xlfn.XLOOKUP($C1698,Log!D:D,Log!Y:Y,,,-1),"")</f>
        <v/>
      </c>
      <c r="Q1698" s="130"/>
      <c r="R1698" s="131" t="str">
        <f>IFERROR(IF(Tabela1[[#This Row],[Nome fantasia]]="","",_xlfn.XLOOKUP($C1698,Log!D:D,Log!X:X,,,-1)),"")</f>
        <v/>
      </c>
    </row>
    <row r="1699" spans="3:18" hidden="1" x14ac:dyDescent="0.2">
      <c r="C1699" s="30" t="s">
        <v>3769</v>
      </c>
      <c r="D1699" s="110" t="s">
        <v>3770</v>
      </c>
      <c r="E1699" s="33" t="s">
        <v>22</v>
      </c>
      <c r="F1699" s="38"/>
      <c r="G1699" s="38"/>
      <c r="H1699" s="31"/>
      <c r="I1699" s="32"/>
      <c r="J1699" s="32"/>
      <c r="K1699" s="45" t="s">
        <v>888</v>
      </c>
      <c r="L1699" s="129"/>
      <c r="M1699" s="33" t="str">
        <f t="shared" si="26"/>
        <v/>
      </c>
      <c r="N1699" s="34" t="str">
        <f>IFERROR(IF(Tabela1[[#This Row],[Nome fantasia]]="","",_xlfn.XLOOKUP($C1699,Log!D:D,Log!B:B,,,-1)),"")</f>
        <v/>
      </c>
      <c r="O1699" s="35" t="str">
        <f>IFERROR(_xlfn.XLOOKUP($C1699,Log!D:D,Log!W:W,,,-1),"")</f>
        <v/>
      </c>
      <c r="P1699" s="35" t="str">
        <f>IFERROR(_xlfn.XLOOKUP($C1699,Log!D:D,Log!Y:Y,,,-1),"")</f>
        <v/>
      </c>
      <c r="Q1699" s="130"/>
      <c r="R1699" s="131" t="str">
        <f>IFERROR(IF(Tabela1[[#This Row],[Nome fantasia]]="","",_xlfn.XLOOKUP($C1699,Log!D:D,Log!X:X,,,-1)),"")</f>
        <v/>
      </c>
    </row>
    <row r="1700" spans="3:18" hidden="1" x14ac:dyDescent="0.2">
      <c r="C1700" s="30" t="s">
        <v>3771</v>
      </c>
      <c r="D1700" s="110" t="s">
        <v>3772</v>
      </c>
      <c r="E1700" s="33" t="s">
        <v>46</v>
      </c>
      <c r="F1700" s="38"/>
      <c r="G1700" s="38"/>
      <c r="H1700" s="31"/>
      <c r="I1700" s="32"/>
      <c r="J1700" s="32"/>
      <c r="K1700" s="45" t="s">
        <v>888</v>
      </c>
      <c r="L1700" s="129"/>
      <c r="M1700" s="33" t="str">
        <f t="shared" si="26"/>
        <v/>
      </c>
      <c r="N1700" s="34" t="str">
        <f>IFERROR(IF(Tabela1[[#This Row],[Nome fantasia]]="","",_xlfn.XLOOKUP($C1700,Log!D:D,Log!B:B,,,-1)),"")</f>
        <v/>
      </c>
      <c r="O1700" s="35" t="str">
        <f>IFERROR(_xlfn.XLOOKUP($C1700,Log!D:D,Log!W:W,,,-1),"")</f>
        <v/>
      </c>
      <c r="P1700" s="35" t="str">
        <f>IFERROR(_xlfn.XLOOKUP($C1700,Log!D:D,Log!Y:Y,,,-1),"")</f>
        <v/>
      </c>
      <c r="Q1700" s="130"/>
      <c r="R1700" s="131" t="str">
        <f>IFERROR(IF(Tabela1[[#This Row],[Nome fantasia]]="","",_xlfn.XLOOKUP($C1700,Log!D:D,Log!X:X,,,-1)),"")</f>
        <v/>
      </c>
    </row>
    <row r="1701" spans="3:18" hidden="1" x14ac:dyDescent="0.2">
      <c r="C1701" s="30"/>
      <c r="D1701" s="110" t="s">
        <v>3773</v>
      </c>
      <c r="E1701" s="33" t="s">
        <v>22</v>
      </c>
      <c r="F1701" s="38"/>
      <c r="G1701" s="38"/>
      <c r="H1701" s="31"/>
      <c r="I1701" s="32"/>
      <c r="J1701" s="32"/>
      <c r="K1701" s="45" t="s">
        <v>888</v>
      </c>
      <c r="L1701" s="129"/>
      <c r="M1701" s="33" t="str">
        <f t="shared" si="26"/>
        <v/>
      </c>
      <c r="N1701" s="34" t="str">
        <f>IFERROR(IF(Tabela1[[#This Row],[Nome fantasia]]="","",_xlfn.XLOOKUP($C1701,Log!D:D,Log!B:B,,,-1)),"")</f>
        <v/>
      </c>
      <c r="O1701" s="35" t="str">
        <f>IFERROR(_xlfn.XLOOKUP($C1701,Log!D:D,Log!W:W,,,-1),"")</f>
        <v/>
      </c>
      <c r="P1701" s="35" t="str">
        <f>IFERROR(_xlfn.XLOOKUP($C1701,Log!D:D,Log!Y:Y,,,-1),"")</f>
        <v/>
      </c>
      <c r="Q1701" s="130"/>
      <c r="R1701" s="131" t="str">
        <f>IFERROR(IF(Tabela1[[#This Row],[Nome fantasia]]="","",_xlfn.XLOOKUP($C1701,Log!D:D,Log!X:X,,,-1)),"")</f>
        <v/>
      </c>
    </row>
    <row r="1702" spans="3:18" hidden="1" x14ac:dyDescent="0.2">
      <c r="C1702" s="30" t="s">
        <v>3774</v>
      </c>
      <c r="D1702" s="110" t="s">
        <v>3775</v>
      </c>
      <c r="E1702" s="33" t="s">
        <v>46</v>
      </c>
      <c r="F1702" s="38"/>
      <c r="G1702" s="38"/>
      <c r="H1702" s="31"/>
      <c r="I1702" s="32"/>
      <c r="J1702" s="32"/>
      <c r="K1702" s="45" t="s">
        <v>888</v>
      </c>
      <c r="L1702" s="129"/>
      <c r="M1702" s="33" t="str">
        <f t="shared" si="26"/>
        <v/>
      </c>
      <c r="N1702" s="34" t="str">
        <f>IFERROR(IF(Tabela1[[#This Row],[Nome fantasia]]="","",_xlfn.XLOOKUP($C1702,Log!D:D,Log!B:B,,,-1)),"")</f>
        <v/>
      </c>
      <c r="O1702" s="35" t="str">
        <f>IFERROR(_xlfn.XLOOKUP($C1702,Log!D:D,Log!W:W,,,-1),"")</f>
        <v/>
      </c>
      <c r="P1702" s="35" t="str">
        <f>IFERROR(_xlfn.XLOOKUP($C1702,Log!D:D,Log!Y:Y,,,-1),"")</f>
        <v/>
      </c>
      <c r="Q1702" s="130"/>
      <c r="R1702" s="131" t="str">
        <f>IFERROR(IF(Tabela1[[#This Row],[Nome fantasia]]="","",_xlfn.XLOOKUP($C1702,Log!D:D,Log!X:X,,,-1)),"")</f>
        <v/>
      </c>
    </row>
    <row r="1703" spans="3:18" hidden="1" x14ac:dyDescent="0.2">
      <c r="C1703" s="30" t="s">
        <v>3776</v>
      </c>
      <c r="D1703" s="110" t="s">
        <v>3777</v>
      </c>
      <c r="E1703" s="33" t="s">
        <v>46</v>
      </c>
      <c r="F1703" s="38"/>
      <c r="G1703" s="38"/>
      <c r="H1703" s="31"/>
      <c r="I1703" s="32"/>
      <c r="J1703" s="32"/>
      <c r="K1703" s="45" t="s">
        <v>888</v>
      </c>
      <c r="L1703" s="129"/>
      <c r="M1703" s="33" t="str">
        <f t="shared" si="26"/>
        <v/>
      </c>
      <c r="N1703" s="34" t="str">
        <f>IFERROR(IF(Tabela1[[#This Row],[Nome fantasia]]="","",_xlfn.XLOOKUP($C1703,Log!D:D,Log!B:B,,,-1)),"")</f>
        <v/>
      </c>
      <c r="O1703" s="35" t="str">
        <f>IFERROR(_xlfn.XLOOKUP($C1703,Log!D:D,Log!W:W,,,-1),"")</f>
        <v/>
      </c>
      <c r="P1703" s="35" t="str">
        <f>IFERROR(_xlfn.XLOOKUP($C1703,Log!D:D,Log!Y:Y,,,-1),"")</f>
        <v/>
      </c>
      <c r="Q1703" s="130"/>
      <c r="R1703" s="131" t="str">
        <f>IFERROR(IF(Tabela1[[#This Row],[Nome fantasia]]="","",_xlfn.XLOOKUP($C1703,Log!D:D,Log!X:X,,,-1)),"")</f>
        <v/>
      </c>
    </row>
    <row r="1704" spans="3:18" hidden="1" x14ac:dyDescent="0.2">
      <c r="C1704" s="30" t="s">
        <v>3778</v>
      </c>
      <c r="D1704" s="110" t="s">
        <v>3779</v>
      </c>
      <c r="E1704" s="33" t="s">
        <v>46</v>
      </c>
      <c r="F1704" s="38"/>
      <c r="G1704" s="38"/>
      <c r="H1704" s="31"/>
      <c r="I1704" s="32"/>
      <c r="J1704" s="32"/>
      <c r="K1704" s="45" t="s">
        <v>888</v>
      </c>
      <c r="L1704" s="129"/>
      <c r="M1704" s="33" t="str">
        <f t="shared" si="26"/>
        <v/>
      </c>
      <c r="N1704" s="34" t="str">
        <f>IFERROR(IF(Tabela1[[#This Row],[Nome fantasia]]="","",_xlfn.XLOOKUP($C1704,Log!D:D,Log!B:B,,,-1)),"")</f>
        <v/>
      </c>
      <c r="O1704" s="35" t="str">
        <f>IFERROR(_xlfn.XLOOKUP($C1704,Log!D:D,Log!W:W,,,-1),"")</f>
        <v/>
      </c>
      <c r="P1704" s="35" t="str">
        <f>IFERROR(_xlfn.XLOOKUP($C1704,Log!D:D,Log!Y:Y,,,-1),"")</f>
        <v/>
      </c>
      <c r="Q1704" s="130"/>
      <c r="R1704" s="131" t="str">
        <f>IFERROR(IF(Tabela1[[#This Row],[Nome fantasia]]="","",_xlfn.XLOOKUP($C1704,Log!D:D,Log!X:X,,,-1)),"")</f>
        <v/>
      </c>
    </row>
    <row r="1705" spans="3:18" hidden="1" x14ac:dyDescent="0.2">
      <c r="C1705" s="30" t="s">
        <v>3106</v>
      </c>
      <c r="D1705" s="110" t="s">
        <v>1240</v>
      </c>
      <c r="E1705" s="33" t="s">
        <v>46</v>
      </c>
      <c r="F1705" s="38"/>
      <c r="G1705" s="38"/>
      <c r="H1705" s="31"/>
      <c r="I1705" s="32"/>
      <c r="J1705" s="32"/>
      <c r="K1705" s="45" t="s">
        <v>888</v>
      </c>
      <c r="L1705" s="129"/>
      <c r="M1705" s="33" t="str">
        <f t="shared" si="26"/>
        <v/>
      </c>
      <c r="N1705" s="34" t="str">
        <f>IFERROR(IF(Tabela1[[#This Row],[Nome fantasia]]="","",_xlfn.XLOOKUP($C1705,Log!D:D,Log!B:B,,,-1)),"")</f>
        <v/>
      </c>
      <c r="O1705" s="35" t="str">
        <f>IFERROR(_xlfn.XLOOKUP($C1705,Log!D:D,Log!W:W,,,-1),"")</f>
        <v/>
      </c>
      <c r="P1705" s="35" t="str">
        <f>IFERROR(_xlfn.XLOOKUP($C1705,Log!D:D,Log!Y:Y,,,-1),"")</f>
        <v/>
      </c>
      <c r="Q1705" s="130"/>
      <c r="R1705" s="131" t="str">
        <f>IFERROR(IF(Tabela1[[#This Row],[Nome fantasia]]="","",_xlfn.XLOOKUP($C1705,Log!D:D,Log!X:X,,,-1)),"")</f>
        <v/>
      </c>
    </row>
    <row r="1706" spans="3:18" hidden="1" x14ac:dyDescent="0.2">
      <c r="C1706" s="30" t="s">
        <v>3780</v>
      </c>
      <c r="D1706" s="110" t="s">
        <v>3781</v>
      </c>
      <c r="E1706" s="33" t="s">
        <v>17</v>
      </c>
      <c r="F1706" s="38"/>
      <c r="G1706" s="38"/>
      <c r="H1706" s="31"/>
      <c r="I1706" s="32"/>
      <c r="J1706" s="32"/>
      <c r="K1706" s="45" t="s">
        <v>888</v>
      </c>
      <c r="L1706" s="129"/>
      <c r="M1706" s="33" t="str">
        <f t="shared" si="26"/>
        <v/>
      </c>
      <c r="N1706" s="34" t="str">
        <f>IFERROR(IF(Tabela1[[#This Row],[Nome fantasia]]="","",_xlfn.XLOOKUP($C1706,Log!D:D,Log!B:B,,,-1)),"")</f>
        <v/>
      </c>
      <c r="O1706" s="35" t="str">
        <f>IFERROR(_xlfn.XLOOKUP($C1706,Log!D:D,Log!W:W,,,-1),"")</f>
        <v/>
      </c>
      <c r="P1706" s="35" t="str">
        <f>IFERROR(_xlfn.XLOOKUP($C1706,Log!D:D,Log!Y:Y,,,-1),"")</f>
        <v/>
      </c>
      <c r="Q1706" s="130"/>
      <c r="R1706" s="131" t="str">
        <f>IFERROR(IF(Tabela1[[#This Row],[Nome fantasia]]="","",_xlfn.XLOOKUP($C1706,Log!D:D,Log!X:X,,,-1)),"")</f>
        <v/>
      </c>
    </row>
    <row r="1707" spans="3:18" hidden="1" x14ac:dyDescent="0.2">
      <c r="C1707" s="30" t="s">
        <v>1373</v>
      </c>
      <c r="D1707" s="110" t="s">
        <v>3782</v>
      </c>
      <c r="E1707" s="33" t="s">
        <v>46</v>
      </c>
      <c r="F1707" s="38"/>
      <c r="G1707" s="38"/>
      <c r="H1707" s="31"/>
      <c r="I1707" s="32"/>
      <c r="J1707" s="32"/>
      <c r="K1707" s="45" t="s">
        <v>888</v>
      </c>
      <c r="L1707" s="129"/>
      <c r="M1707" s="33" t="str">
        <f t="shared" si="26"/>
        <v/>
      </c>
      <c r="N1707" s="34" t="str">
        <f>IFERROR(IF(Tabela1[[#This Row],[Nome fantasia]]="","",_xlfn.XLOOKUP($C1707,Log!D:D,Log!B:B,,,-1)),"")</f>
        <v/>
      </c>
      <c r="O1707" s="35" t="str">
        <f>IFERROR(_xlfn.XLOOKUP($C1707,Log!D:D,Log!W:W,,,-1),"")</f>
        <v/>
      </c>
      <c r="P1707" s="35" t="str">
        <f>IFERROR(_xlfn.XLOOKUP($C1707,Log!D:D,Log!Y:Y,,,-1),"")</f>
        <v/>
      </c>
      <c r="Q1707" s="130"/>
      <c r="R1707" s="131" t="str">
        <f>IFERROR(IF(Tabela1[[#This Row],[Nome fantasia]]="","",_xlfn.XLOOKUP($C1707,Log!D:D,Log!X:X,,,-1)),"")</f>
        <v/>
      </c>
    </row>
    <row r="1708" spans="3:18" hidden="1" x14ac:dyDescent="0.2">
      <c r="C1708" s="30" t="s">
        <v>3783</v>
      </c>
      <c r="D1708" s="110" t="s">
        <v>3784</v>
      </c>
      <c r="E1708" s="33" t="s">
        <v>22</v>
      </c>
      <c r="F1708" s="38"/>
      <c r="G1708" s="38"/>
      <c r="H1708" s="31"/>
      <c r="I1708" s="32"/>
      <c r="J1708" s="32"/>
      <c r="K1708" s="45" t="s">
        <v>888</v>
      </c>
      <c r="L1708" s="129"/>
      <c r="M1708" s="33" t="str">
        <f t="shared" si="26"/>
        <v/>
      </c>
      <c r="N1708" s="34" t="str">
        <f>IFERROR(IF(Tabela1[[#This Row],[Nome fantasia]]="","",_xlfn.XLOOKUP($C1708,Log!D:D,Log!B:B,,,-1)),"")</f>
        <v/>
      </c>
      <c r="O1708" s="35" t="str">
        <f>IFERROR(_xlfn.XLOOKUP($C1708,Log!D:D,Log!W:W,,,-1),"")</f>
        <v/>
      </c>
      <c r="P1708" s="35" t="str">
        <f>IFERROR(_xlfn.XLOOKUP($C1708,Log!D:D,Log!Y:Y,,,-1),"")</f>
        <v/>
      </c>
      <c r="Q1708" s="130"/>
      <c r="R1708" s="131" t="str">
        <f>IFERROR(IF(Tabela1[[#This Row],[Nome fantasia]]="","",_xlfn.XLOOKUP($C1708,Log!D:D,Log!X:X,,,-1)),"")</f>
        <v/>
      </c>
    </row>
    <row r="1709" spans="3:18" hidden="1" x14ac:dyDescent="0.2">
      <c r="C1709" s="30" t="s">
        <v>3785</v>
      </c>
      <c r="D1709" s="110" t="s">
        <v>3786</v>
      </c>
      <c r="E1709" s="33" t="s">
        <v>22</v>
      </c>
      <c r="F1709" s="38"/>
      <c r="G1709" s="38"/>
      <c r="H1709" s="31"/>
      <c r="I1709" s="32"/>
      <c r="J1709" s="32"/>
      <c r="K1709" s="45" t="s">
        <v>888</v>
      </c>
      <c r="L1709" s="129"/>
      <c r="M1709" s="33" t="str">
        <f t="shared" si="26"/>
        <v/>
      </c>
      <c r="N1709" s="34" t="str">
        <f>IFERROR(IF(Tabela1[[#This Row],[Nome fantasia]]="","",_xlfn.XLOOKUP($C1709,Log!D:D,Log!B:B,,,-1)),"")</f>
        <v/>
      </c>
      <c r="O1709" s="35" t="str">
        <f>IFERROR(_xlfn.XLOOKUP($C1709,Log!D:D,Log!W:W,,,-1),"")</f>
        <v/>
      </c>
      <c r="P1709" s="35" t="str">
        <f>IFERROR(_xlfn.XLOOKUP($C1709,Log!D:D,Log!Y:Y,,,-1),"")</f>
        <v/>
      </c>
      <c r="Q1709" s="130"/>
      <c r="R1709" s="131" t="str">
        <f>IFERROR(IF(Tabela1[[#This Row],[Nome fantasia]]="","",_xlfn.XLOOKUP($C1709,Log!D:D,Log!X:X,,,-1)),"")</f>
        <v/>
      </c>
    </row>
    <row r="1710" spans="3:18" hidden="1" x14ac:dyDescent="0.2">
      <c r="C1710" s="30" t="s">
        <v>3787</v>
      </c>
      <c r="D1710" s="110" t="s">
        <v>3788</v>
      </c>
      <c r="E1710" s="33" t="s">
        <v>46</v>
      </c>
      <c r="F1710" s="38"/>
      <c r="G1710" s="38"/>
      <c r="H1710" s="31"/>
      <c r="I1710" s="32"/>
      <c r="J1710" s="32"/>
      <c r="K1710" s="45" t="s">
        <v>888</v>
      </c>
      <c r="L1710" s="129"/>
      <c r="M1710" s="33" t="str">
        <f t="shared" si="26"/>
        <v/>
      </c>
      <c r="N1710" s="34" t="str">
        <f>IFERROR(IF(Tabela1[[#This Row],[Nome fantasia]]="","",_xlfn.XLOOKUP($C1710,Log!D:D,Log!B:B,,,-1)),"")</f>
        <v/>
      </c>
      <c r="O1710" s="35" t="str">
        <f>IFERROR(_xlfn.XLOOKUP($C1710,Log!D:D,Log!W:W,,,-1),"")</f>
        <v/>
      </c>
      <c r="P1710" s="35" t="str">
        <f>IFERROR(_xlfn.XLOOKUP($C1710,Log!D:D,Log!Y:Y,,,-1),"")</f>
        <v/>
      </c>
      <c r="Q1710" s="130"/>
      <c r="R1710" s="131" t="str">
        <f>IFERROR(IF(Tabela1[[#This Row],[Nome fantasia]]="","",_xlfn.XLOOKUP($C1710,Log!D:D,Log!X:X,,,-1)),"")</f>
        <v/>
      </c>
    </row>
    <row r="1711" spans="3:18" hidden="1" x14ac:dyDescent="0.2">
      <c r="C1711" s="30" t="s">
        <v>3789</v>
      </c>
      <c r="D1711" s="110" t="s">
        <v>3790</v>
      </c>
      <c r="E1711" s="33" t="s">
        <v>46</v>
      </c>
      <c r="F1711" s="38"/>
      <c r="G1711" s="38"/>
      <c r="H1711" s="31"/>
      <c r="I1711" s="32"/>
      <c r="J1711" s="32"/>
      <c r="K1711" s="45" t="s">
        <v>888</v>
      </c>
      <c r="L1711" s="129"/>
      <c r="M1711" s="33" t="str">
        <f t="shared" si="26"/>
        <v/>
      </c>
      <c r="N1711" s="34" t="str">
        <f>IFERROR(IF(Tabela1[[#This Row],[Nome fantasia]]="","",_xlfn.XLOOKUP($C1711,Log!D:D,Log!B:B,,,-1)),"")</f>
        <v/>
      </c>
      <c r="O1711" s="35" t="str">
        <f>IFERROR(_xlfn.XLOOKUP($C1711,Log!D:D,Log!W:W,,,-1),"")</f>
        <v/>
      </c>
      <c r="P1711" s="35" t="str">
        <f>IFERROR(_xlfn.XLOOKUP($C1711,Log!D:D,Log!Y:Y,,,-1),"")</f>
        <v/>
      </c>
      <c r="Q1711" s="130"/>
      <c r="R1711" s="131" t="str">
        <f>IFERROR(IF(Tabela1[[#This Row],[Nome fantasia]]="","",_xlfn.XLOOKUP($C1711,Log!D:D,Log!X:X,,,-1)),"")</f>
        <v/>
      </c>
    </row>
    <row r="1712" spans="3:18" hidden="1" x14ac:dyDescent="0.2">
      <c r="C1712" s="30" t="s">
        <v>3791</v>
      </c>
      <c r="D1712" s="110" t="s">
        <v>3792</v>
      </c>
      <c r="E1712" s="33" t="s">
        <v>46</v>
      </c>
      <c r="F1712" s="38"/>
      <c r="G1712" s="38"/>
      <c r="H1712" s="31"/>
      <c r="I1712" s="32"/>
      <c r="J1712" s="32"/>
      <c r="K1712" s="45" t="s">
        <v>888</v>
      </c>
      <c r="L1712" s="129"/>
      <c r="M1712" s="33" t="str">
        <f t="shared" si="26"/>
        <v/>
      </c>
      <c r="N1712" s="34" t="str">
        <f>IFERROR(IF(Tabela1[[#This Row],[Nome fantasia]]="","",_xlfn.XLOOKUP($C1712,Log!D:D,Log!B:B,,,-1)),"")</f>
        <v/>
      </c>
      <c r="O1712" s="35" t="str">
        <f>IFERROR(_xlfn.XLOOKUP($C1712,Log!D:D,Log!W:W,,,-1),"")</f>
        <v/>
      </c>
      <c r="P1712" s="35" t="str">
        <f>IFERROR(_xlfn.XLOOKUP($C1712,Log!D:D,Log!Y:Y,,,-1),"")</f>
        <v/>
      </c>
      <c r="Q1712" s="130"/>
      <c r="R1712" s="131" t="str">
        <f>IFERROR(IF(Tabela1[[#This Row],[Nome fantasia]]="","",_xlfn.XLOOKUP($C1712,Log!D:D,Log!X:X,,,-1)),"")</f>
        <v/>
      </c>
    </row>
    <row r="1713" spans="3:18" hidden="1" x14ac:dyDescent="0.2">
      <c r="C1713" s="30" t="s">
        <v>3793</v>
      </c>
      <c r="D1713" s="110" t="s">
        <v>3794</v>
      </c>
      <c r="E1713" s="33" t="s">
        <v>46</v>
      </c>
      <c r="F1713" s="38"/>
      <c r="G1713" s="38"/>
      <c r="H1713" s="31"/>
      <c r="I1713" s="32"/>
      <c r="J1713" s="32"/>
      <c r="K1713" s="45" t="s">
        <v>888</v>
      </c>
      <c r="L1713" s="129"/>
      <c r="M1713" s="33" t="str">
        <f t="shared" si="26"/>
        <v/>
      </c>
      <c r="N1713" s="34" t="str">
        <f>IFERROR(IF(Tabela1[[#This Row],[Nome fantasia]]="","",_xlfn.XLOOKUP($C1713,Log!D:D,Log!B:B,,,-1)),"")</f>
        <v/>
      </c>
      <c r="O1713" s="35" t="str">
        <f>IFERROR(_xlfn.XLOOKUP($C1713,Log!D:D,Log!W:W,,,-1),"")</f>
        <v/>
      </c>
      <c r="P1713" s="35" t="str">
        <f>IFERROR(_xlfn.XLOOKUP($C1713,Log!D:D,Log!Y:Y,,,-1),"")</f>
        <v/>
      </c>
      <c r="Q1713" s="130"/>
      <c r="R1713" s="131" t="str">
        <f>IFERROR(IF(Tabela1[[#This Row],[Nome fantasia]]="","",_xlfn.XLOOKUP($C1713,Log!D:D,Log!X:X,,,-1)),"")</f>
        <v/>
      </c>
    </row>
    <row r="1714" spans="3:18" hidden="1" x14ac:dyDescent="0.2">
      <c r="C1714" s="30" t="s">
        <v>3795</v>
      </c>
      <c r="D1714" s="110" t="s">
        <v>3796</v>
      </c>
      <c r="E1714" s="33" t="s">
        <v>22</v>
      </c>
      <c r="F1714" s="38"/>
      <c r="G1714" s="38"/>
      <c r="H1714" s="31"/>
      <c r="I1714" s="32"/>
      <c r="J1714" s="32"/>
      <c r="K1714" s="45" t="s">
        <v>888</v>
      </c>
      <c r="L1714" s="129"/>
      <c r="M1714" s="33" t="str">
        <f t="shared" si="26"/>
        <v/>
      </c>
      <c r="N1714" s="34" t="str">
        <f>IFERROR(IF(Tabela1[[#This Row],[Nome fantasia]]="","",_xlfn.XLOOKUP($C1714,Log!D:D,Log!B:B,,,-1)),"")</f>
        <v/>
      </c>
      <c r="O1714" s="35" t="str">
        <f>IFERROR(_xlfn.XLOOKUP($C1714,Log!D:D,Log!W:W,,,-1),"")</f>
        <v/>
      </c>
      <c r="P1714" s="35" t="str">
        <f>IFERROR(_xlfn.XLOOKUP($C1714,Log!D:D,Log!Y:Y,,,-1),"")</f>
        <v/>
      </c>
      <c r="Q1714" s="130"/>
      <c r="R1714" s="131" t="str">
        <f>IFERROR(IF(Tabela1[[#This Row],[Nome fantasia]]="","",_xlfn.XLOOKUP($C1714,Log!D:D,Log!X:X,,,-1)),"")</f>
        <v/>
      </c>
    </row>
    <row r="1715" spans="3:18" hidden="1" x14ac:dyDescent="0.2">
      <c r="C1715" s="30" t="s">
        <v>3797</v>
      </c>
      <c r="D1715" s="110" t="s">
        <v>3798</v>
      </c>
      <c r="E1715" s="33" t="s">
        <v>22</v>
      </c>
      <c r="F1715" s="38"/>
      <c r="G1715" s="38"/>
      <c r="H1715" s="31"/>
      <c r="I1715" s="32"/>
      <c r="J1715" s="32"/>
      <c r="K1715" s="45" t="s">
        <v>888</v>
      </c>
      <c r="L1715" s="129"/>
      <c r="M1715" s="33" t="str">
        <f t="shared" si="26"/>
        <v/>
      </c>
      <c r="N1715" s="34" t="str">
        <f>IFERROR(IF(Tabela1[[#This Row],[Nome fantasia]]="","",_xlfn.XLOOKUP($C1715,Log!D:D,Log!B:B,,,-1)),"")</f>
        <v/>
      </c>
      <c r="O1715" s="35" t="str">
        <f>IFERROR(_xlfn.XLOOKUP($C1715,Log!D:D,Log!W:W,,,-1),"")</f>
        <v/>
      </c>
      <c r="P1715" s="35" t="str">
        <f>IFERROR(_xlfn.XLOOKUP($C1715,Log!D:D,Log!Y:Y,,,-1),"")</f>
        <v/>
      </c>
      <c r="Q1715" s="130"/>
      <c r="R1715" s="131" t="str">
        <f>IFERROR(IF(Tabela1[[#This Row],[Nome fantasia]]="","",_xlfn.XLOOKUP($C1715,Log!D:D,Log!X:X,,,-1)),"")</f>
        <v/>
      </c>
    </row>
    <row r="1716" spans="3:18" hidden="1" x14ac:dyDescent="0.2">
      <c r="C1716" s="30" t="s">
        <v>3799</v>
      </c>
      <c r="D1716" s="110" t="s">
        <v>3800</v>
      </c>
      <c r="E1716" s="33" t="s">
        <v>46</v>
      </c>
      <c r="F1716" s="38"/>
      <c r="G1716" s="38"/>
      <c r="H1716" s="31"/>
      <c r="I1716" s="32"/>
      <c r="J1716" s="32"/>
      <c r="K1716" s="45" t="s">
        <v>888</v>
      </c>
      <c r="L1716" s="129"/>
      <c r="M1716" s="33" t="str">
        <f t="shared" si="26"/>
        <v/>
      </c>
      <c r="N1716" s="34" t="str">
        <f>IFERROR(IF(Tabela1[[#This Row],[Nome fantasia]]="","",_xlfn.XLOOKUP($C1716,Log!D:D,Log!B:B,,,-1)),"")</f>
        <v/>
      </c>
      <c r="O1716" s="35" t="str">
        <f>IFERROR(_xlfn.XLOOKUP($C1716,Log!D:D,Log!W:W,,,-1),"")</f>
        <v/>
      </c>
      <c r="P1716" s="35" t="str">
        <f>IFERROR(_xlfn.XLOOKUP($C1716,Log!D:D,Log!Y:Y,,,-1),"")</f>
        <v/>
      </c>
      <c r="Q1716" s="130"/>
      <c r="R1716" s="131" t="str">
        <f>IFERROR(IF(Tabela1[[#This Row],[Nome fantasia]]="","",_xlfn.XLOOKUP($C1716,Log!D:D,Log!X:X,,,-1)),"")</f>
        <v/>
      </c>
    </row>
    <row r="1717" spans="3:18" hidden="1" x14ac:dyDescent="0.2">
      <c r="C1717" s="30" t="s">
        <v>3801</v>
      </c>
      <c r="D1717" s="110" t="s">
        <v>3802</v>
      </c>
      <c r="E1717" s="33" t="s">
        <v>46</v>
      </c>
      <c r="F1717" s="38"/>
      <c r="G1717" s="38"/>
      <c r="H1717" s="31"/>
      <c r="I1717" s="32"/>
      <c r="J1717" s="32"/>
      <c r="K1717" s="45" t="s">
        <v>888</v>
      </c>
      <c r="L1717" s="129"/>
      <c r="M1717" s="33" t="str">
        <f t="shared" si="26"/>
        <v/>
      </c>
      <c r="N1717" s="34" t="str">
        <f>IFERROR(IF(Tabela1[[#This Row],[Nome fantasia]]="","",_xlfn.XLOOKUP($C1717,Log!D:D,Log!B:B,,,-1)),"")</f>
        <v/>
      </c>
      <c r="O1717" s="35" t="str">
        <f>IFERROR(_xlfn.XLOOKUP($C1717,Log!D:D,Log!W:W,,,-1),"")</f>
        <v/>
      </c>
      <c r="P1717" s="35" t="str">
        <f>IFERROR(_xlfn.XLOOKUP($C1717,Log!D:D,Log!Y:Y,,,-1),"")</f>
        <v/>
      </c>
      <c r="Q1717" s="130"/>
      <c r="R1717" s="131" t="str">
        <f>IFERROR(IF(Tabela1[[#This Row],[Nome fantasia]]="","",_xlfn.XLOOKUP($C1717,Log!D:D,Log!X:X,,,-1)),"")</f>
        <v/>
      </c>
    </row>
    <row r="1718" spans="3:18" hidden="1" x14ac:dyDescent="0.2">
      <c r="C1718" s="30" t="s">
        <v>3803</v>
      </c>
      <c r="D1718" s="110" t="s">
        <v>3804</v>
      </c>
      <c r="E1718" s="33" t="s">
        <v>17</v>
      </c>
      <c r="F1718" s="38"/>
      <c r="G1718" s="38"/>
      <c r="H1718" s="31"/>
      <c r="I1718" s="32"/>
      <c r="J1718" s="32"/>
      <c r="K1718" s="45" t="s">
        <v>888</v>
      </c>
      <c r="L1718" s="129"/>
      <c r="M1718" s="33" t="str">
        <f t="shared" si="26"/>
        <v/>
      </c>
      <c r="N1718" s="34" t="str">
        <f>IFERROR(IF(Tabela1[[#This Row],[Nome fantasia]]="","",_xlfn.XLOOKUP($C1718,Log!D:D,Log!B:B,,,-1)),"")</f>
        <v/>
      </c>
      <c r="O1718" s="35" t="str">
        <f>IFERROR(_xlfn.XLOOKUP($C1718,Log!D:D,Log!W:W,,,-1),"")</f>
        <v/>
      </c>
      <c r="P1718" s="35" t="str">
        <f>IFERROR(_xlfn.XLOOKUP($C1718,Log!D:D,Log!Y:Y,,,-1),"")</f>
        <v/>
      </c>
      <c r="Q1718" s="130"/>
      <c r="R1718" s="131" t="str">
        <f>IFERROR(IF(Tabela1[[#This Row],[Nome fantasia]]="","",_xlfn.XLOOKUP($C1718,Log!D:D,Log!X:X,,,-1)),"")</f>
        <v/>
      </c>
    </row>
    <row r="1719" spans="3:18" hidden="1" x14ac:dyDescent="0.2">
      <c r="C1719" s="30" t="s">
        <v>3805</v>
      </c>
      <c r="D1719" s="110" t="s">
        <v>3806</v>
      </c>
      <c r="E1719" s="33" t="s">
        <v>46</v>
      </c>
      <c r="F1719" s="38"/>
      <c r="G1719" s="38"/>
      <c r="H1719" s="31"/>
      <c r="I1719" s="32"/>
      <c r="J1719" s="32"/>
      <c r="K1719" s="45" t="s">
        <v>888</v>
      </c>
      <c r="L1719" s="129"/>
      <c r="M1719" s="33" t="str">
        <f t="shared" si="26"/>
        <v/>
      </c>
      <c r="N1719" s="34" t="str">
        <f>IFERROR(IF(Tabela1[[#This Row],[Nome fantasia]]="","",_xlfn.XLOOKUP($C1719,Log!D:D,Log!B:B,,,-1)),"")</f>
        <v/>
      </c>
      <c r="O1719" s="35" t="str">
        <f>IFERROR(_xlfn.XLOOKUP($C1719,Log!D:D,Log!W:W,,,-1),"")</f>
        <v/>
      </c>
      <c r="P1719" s="35" t="str">
        <f>IFERROR(_xlfn.XLOOKUP($C1719,Log!D:D,Log!Y:Y,,,-1),"")</f>
        <v/>
      </c>
      <c r="Q1719" s="130"/>
      <c r="R1719" s="131" t="str">
        <f>IFERROR(IF(Tabela1[[#This Row],[Nome fantasia]]="","",_xlfn.XLOOKUP($C1719,Log!D:D,Log!X:X,,,-1)),"")</f>
        <v/>
      </c>
    </row>
    <row r="1720" spans="3:18" hidden="1" x14ac:dyDescent="0.2">
      <c r="C1720" s="30" t="s">
        <v>3807</v>
      </c>
      <c r="D1720" s="110" t="s">
        <v>3808</v>
      </c>
      <c r="E1720" s="33" t="s">
        <v>46</v>
      </c>
      <c r="F1720" s="38"/>
      <c r="G1720" s="38"/>
      <c r="H1720" s="31"/>
      <c r="I1720" s="32"/>
      <c r="J1720" s="32"/>
      <c r="K1720" s="45" t="s">
        <v>888</v>
      </c>
      <c r="L1720" s="129"/>
      <c r="M1720" s="33" t="str">
        <f t="shared" si="26"/>
        <v/>
      </c>
      <c r="N1720" s="34">
        <f>IFERROR(IF(Tabela1[[#This Row],[Nome fantasia]]="","",_xlfn.XLOOKUP($C1720,Log!D:D,Log!B:B,,,-1)),"")</f>
        <v>45996</v>
      </c>
      <c r="O1720" s="35" t="str">
        <f>IFERROR(_xlfn.XLOOKUP($C1720,Log!D:D,Log!W:W,,,-1),"")</f>
        <v>EM ATENDIMENTO</v>
      </c>
      <c r="P1720" s="35" t="str">
        <f>IFERROR(_xlfn.XLOOKUP($C1720,Log!D:D,Log!Y:Y,,,-1),"")</f>
        <v>A LOJA ATENDEU, E PEDIU PARA MANDAR WPP</v>
      </c>
      <c r="Q1720" s="130"/>
      <c r="R1720" s="131">
        <f>IFERROR(IF(Tabela1[[#This Row],[Nome fantasia]]="","",_xlfn.XLOOKUP($C1720,Log!D:D,Log!X:X,,,-1)),"")</f>
        <v>46000</v>
      </c>
    </row>
    <row r="1721" spans="3:18" hidden="1" x14ac:dyDescent="0.2">
      <c r="C1721" s="30" t="s">
        <v>1373</v>
      </c>
      <c r="D1721" s="110" t="s">
        <v>3809</v>
      </c>
      <c r="E1721" s="33" t="s">
        <v>46</v>
      </c>
      <c r="F1721" s="38"/>
      <c r="G1721" s="38"/>
      <c r="H1721" s="31"/>
      <c r="I1721" s="32"/>
      <c r="J1721" s="32"/>
      <c r="K1721" s="45" t="s">
        <v>888</v>
      </c>
      <c r="L1721" s="129"/>
      <c r="M1721" s="33" t="str">
        <f t="shared" si="26"/>
        <v/>
      </c>
      <c r="N1721" s="34" t="str">
        <f>IFERROR(IF(Tabela1[[#This Row],[Nome fantasia]]="","",_xlfn.XLOOKUP($C1721,Log!D:D,Log!B:B,,,-1)),"")</f>
        <v/>
      </c>
      <c r="O1721" s="35" t="str">
        <f>IFERROR(_xlfn.XLOOKUP($C1721,Log!D:D,Log!W:W,,,-1),"")</f>
        <v/>
      </c>
      <c r="P1721" s="35" t="str">
        <f>IFERROR(_xlfn.XLOOKUP($C1721,Log!D:D,Log!Y:Y,,,-1),"")</f>
        <v/>
      </c>
      <c r="Q1721" s="130"/>
      <c r="R1721" s="131" t="str">
        <f>IFERROR(IF(Tabela1[[#This Row],[Nome fantasia]]="","",_xlfn.XLOOKUP($C1721,Log!D:D,Log!X:X,,,-1)),"")</f>
        <v/>
      </c>
    </row>
    <row r="1722" spans="3:18" hidden="1" x14ac:dyDescent="0.2">
      <c r="C1722" s="30" t="s">
        <v>3810</v>
      </c>
      <c r="D1722" s="110" t="s">
        <v>3811</v>
      </c>
      <c r="E1722" s="33" t="s">
        <v>46</v>
      </c>
      <c r="F1722" s="38"/>
      <c r="G1722" s="38"/>
      <c r="H1722" s="31"/>
      <c r="I1722" s="32"/>
      <c r="J1722" s="32"/>
      <c r="K1722" s="45" t="s">
        <v>888</v>
      </c>
      <c r="L1722" s="129"/>
      <c r="M1722" s="33" t="str">
        <f t="shared" si="26"/>
        <v/>
      </c>
      <c r="N1722" s="34" t="str">
        <f>IFERROR(IF(Tabela1[[#This Row],[Nome fantasia]]="","",_xlfn.XLOOKUP($C1722,Log!D:D,Log!B:B,,,-1)),"")</f>
        <v/>
      </c>
      <c r="O1722" s="35" t="str">
        <f>IFERROR(_xlfn.XLOOKUP($C1722,Log!D:D,Log!W:W,,,-1),"")</f>
        <v/>
      </c>
      <c r="P1722" s="35" t="str">
        <f>IFERROR(_xlfn.XLOOKUP($C1722,Log!D:D,Log!Y:Y,,,-1),"")</f>
        <v/>
      </c>
      <c r="Q1722" s="130"/>
      <c r="R1722" s="131" t="str">
        <f>IFERROR(IF(Tabela1[[#This Row],[Nome fantasia]]="","",_xlfn.XLOOKUP($C1722,Log!D:D,Log!X:X,,,-1)),"")</f>
        <v/>
      </c>
    </row>
    <row r="1723" spans="3:18" hidden="1" x14ac:dyDescent="0.2">
      <c r="C1723" s="30" t="s">
        <v>1664</v>
      </c>
      <c r="D1723" s="110" t="s">
        <v>3812</v>
      </c>
      <c r="E1723" s="33" t="s">
        <v>46</v>
      </c>
      <c r="F1723" s="38"/>
      <c r="G1723" s="38"/>
      <c r="H1723" s="31"/>
      <c r="I1723" s="32"/>
      <c r="J1723" s="32"/>
      <c r="K1723" s="45" t="s">
        <v>888</v>
      </c>
      <c r="L1723" s="129"/>
      <c r="M1723" s="33" t="str">
        <f t="shared" si="26"/>
        <v/>
      </c>
      <c r="N1723" s="34" t="str">
        <f>IFERROR(IF(Tabela1[[#This Row],[Nome fantasia]]="","",_xlfn.XLOOKUP($C1723,Log!D:D,Log!B:B,,,-1)),"")</f>
        <v/>
      </c>
      <c r="O1723" s="35" t="str">
        <f>IFERROR(_xlfn.XLOOKUP($C1723,Log!D:D,Log!W:W,,,-1),"")</f>
        <v/>
      </c>
      <c r="P1723" s="35" t="str">
        <f>IFERROR(_xlfn.XLOOKUP($C1723,Log!D:D,Log!Y:Y,,,-1),"")</f>
        <v/>
      </c>
      <c r="Q1723" s="130"/>
      <c r="R1723" s="131" t="str">
        <f>IFERROR(IF(Tabela1[[#This Row],[Nome fantasia]]="","",_xlfn.XLOOKUP($C1723,Log!D:D,Log!X:X,,,-1)),"")</f>
        <v/>
      </c>
    </row>
    <row r="1724" spans="3:18" hidden="1" x14ac:dyDescent="0.2">
      <c r="C1724" s="30" t="s">
        <v>3813</v>
      </c>
      <c r="D1724" s="110" t="s">
        <v>3814</v>
      </c>
      <c r="E1724" s="33" t="s">
        <v>46</v>
      </c>
      <c r="F1724" s="38"/>
      <c r="G1724" s="38"/>
      <c r="H1724" s="31"/>
      <c r="I1724" s="32"/>
      <c r="J1724" s="32"/>
      <c r="K1724" s="45" t="s">
        <v>888</v>
      </c>
      <c r="L1724" s="129"/>
      <c r="M1724" s="33" t="str">
        <f t="shared" si="26"/>
        <v/>
      </c>
      <c r="N1724" s="34" t="str">
        <f>IFERROR(IF(Tabela1[[#This Row],[Nome fantasia]]="","",_xlfn.XLOOKUP($C1724,Log!D:D,Log!B:B,,,-1)),"")</f>
        <v/>
      </c>
      <c r="O1724" s="35" t="str">
        <f>IFERROR(_xlfn.XLOOKUP($C1724,Log!D:D,Log!W:W,,,-1),"")</f>
        <v/>
      </c>
      <c r="P1724" s="35" t="str">
        <f>IFERROR(_xlfn.XLOOKUP($C1724,Log!D:D,Log!Y:Y,,,-1),"")</f>
        <v/>
      </c>
      <c r="Q1724" s="130"/>
      <c r="R1724" s="131" t="str">
        <f>IFERROR(IF(Tabela1[[#This Row],[Nome fantasia]]="","",_xlfn.XLOOKUP($C1724,Log!D:D,Log!X:X,,,-1)),"")</f>
        <v/>
      </c>
    </row>
    <row r="1725" spans="3:18" hidden="1" x14ac:dyDescent="0.2">
      <c r="C1725" s="30" t="s">
        <v>3815</v>
      </c>
      <c r="D1725" s="110" t="s">
        <v>3816</v>
      </c>
      <c r="E1725" s="33" t="s">
        <v>22</v>
      </c>
      <c r="F1725" s="38"/>
      <c r="G1725" s="38"/>
      <c r="H1725" s="31"/>
      <c r="I1725" s="32"/>
      <c r="J1725" s="32"/>
      <c r="K1725" s="45" t="s">
        <v>888</v>
      </c>
      <c r="L1725" s="129"/>
      <c r="M1725" s="33" t="str">
        <f t="shared" si="26"/>
        <v/>
      </c>
      <c r="N1725" s="34" t="str">
        <f>IFERROR(IF(Tabela1[[#This Row],[Nome fantasia]]="","",_xlfn.XLOOKUP($C1725,Log!D:D,Log!B:B,,,-1)),"")</f>
        <v/>
      </c>
      <c r="O1725" s="35" t="str">
        <f>IFERROR(_xlfn.XLOOKUP($C1725,Log!D:D,Log!W:W,,,-1),"")</f>
        <v/>
      </c>
      <c r="P1725" s="35" t="str">
        <f>IFERROR(_xlfn.XLOOKUP($C1725,Log!D:D,Log!Y:Y,,,-1),"")</f>
        <v/>
      </c>
      <c r="Q1725" s="130"/>
      <c r="R1725" s="131" t="str">
        <f>IFERROR(IF(Tabela1[[#This Row],[Nome fantasia]]="","",_xlfn.XLOOKUP($C1725,Log!D:D,Log!X:X,,,-1)),"")</f>
        <v/>
      </c>
    </row>
    <row r="1726" spans="3:18" hidden="1" x14ac:dyDescent="0.2">
      <c r="C1726" s="30" t="s">
        <v>3817</v>
      </c>
      <c r="D1726" s="110" t="s">
        <v>3818</v>
      </c>
      <c r="E1726" s="33" t="s">
        <v>17</v>
      </c>
      <c r="F1726" s="38"/>
      <c r="G1726" s="38"/>
      <c r="H1726" s="31"/>
      <c r="I1726" s="32"/>
      <c r="J1726" s="32"/>
      <c r="K1726" s="45" t="s">
        <v>888</v>
      </c>
      <c r="L1726" s="129"/>
      <c r="M1726" s="33" t="str">
        <f t="shared" si="26"/>
        <v/>
      </c>
      <c r="N1726" s="34" t="str">
        <f>IFERROR(IF(Tabela1[[#This Row],[Nome fantasia]]="","",_xlfn.XLOOKUP($C1726,Log!D:D,Log!B:B,,,-1)),"")</f>
        <v/>
      </c>
      <c r="O1726" s="35" t="str">
        <f>IFERROR(_xlfn.XLOOKUP($C1726,Log!D:D,Log!W:W,,,-1),"")</f>
        <v/>
      </c>
      <c r="P1726" s="35" t="str">
        <f>IFERROR(_xlfn.XLOOKUP($C1726,Log!D:D,Log!Y:Y,,,-1),"")</f>
        <v/>
      </c>
      <c r="Q1726" s="130"/>
      <c r="R1726" s="131" t="str">
        <f>IFERROR(IF(Tabela1[[#This Row],[Nome fantasia]]="","",_xlfn.XLOOKUP($C1726,Log!D:D,Log!X:X,,,-1)),"")</f>
        <v/>
      </c>
    </row>
    <row r="1727" spans="3:18" hidden="1" x14ac:dyDescent="0.2">
      <c r="C1727" s="30" t="s">
        <v>3819</v>
      </c>
      <c r="D1727" s="110" t="s">
        <v>3820</v>
      </c>
      <c r="E1727" s="33" t="s">
        <v>22</v>
      </c>
      <c r="F1727" s="38"/>
      <c r="G1727" s="38"/>
      <c r="H1727" s="31"/>
      <c r="I1727" s="32"/>
      <c r="J1727" s="32"/>
      <c r="K1727" s="45" t="s">
        <v>888</v>
      </c>
      <c r="L1727" s="129"/>
      <c r="M1727" s="33" t="str">
        <f t="shared" si="26"/>
        <v/>
      </c>
      <c r="N1727" s="34" t="str">
        <f>IFERROR(IF(Tabela1[[#This Row],[Nome fantasia]]="","",_xlfn.XLOOKUP($C1727,Log!D:D,Log!B:B,,,-1)),"")</f>
        <v/>
      </c>
      <c r="O1727" s="35" t="str">
        <f>IFERROR(_xlfn.XLOOKUP($C1727,Log!D:D,Log!W:W,,,-1),"")</f>
        <v/>
      </c>
      <c r="P1727" s="35" t="str">
        <f>IFERROR(_xlfn.XLOOKUP($C1727,Log!D:D,Log!Y:Y,,,-1),"")</f>
        <v/>
      </c>
      <c r="Q1727" s="130"/>
      <c r="R1727" s="131" t="str">
        <f>IFERROR(IF(Tabela1[[#This Row],[Nome fantasia]]="","",_xlfn.XLOOKUP($C1727,Log!D:D,Log!X:X,,,-1)),"")</f>
        <v/>
      </c>
    </row>
    <row r="1728" spans="3:18" hidden="1" x14ac:dyDescent="0.2">
      <c r="C1728" s="30" t="s">
        <v>3450</v>
      </c>
      <c r="D1728" s="110" t="s">
        <v>3821</v>
      </c>
      <c r="E1728" s="33" t="s">
        <v>22</v>
      </c>
      <c r="F1728" s="38"/>
      <c r="G1728" s="38"/>
      <c r="H1728" s="31"/>
      <c r="I1728" s="32"/>
      <c r="J1728" s="32"/>
      <c r="K1728" s="45" t="s">
        <v>888</v>
      </c>
      <c r="L1728" s="129"/>
      <c r="M1728" s="33" t="str">
        <f t="shared" si="26"/>
        <v/>
      </c>
      <c r="N1728" s="34" t="str">
        <f>IFERROR(IF(Tabela1[[#This Row],[Nome fantasia]]="","",_xlfn.XLOOKUP($C1728,Log!D:D,Log!B:B,,,-1)),"")</f>
        <v/>
      </c>
      <c r="O1728" s="35" t="str">
        <f>IFERROR(_xlfn.XLOOKUP($C1728,Log!D:D,Log!W:W,,,-1),"")</f>
        <v/>
      </c>
      <c r="P1728" s="35" t="str">
        <f>IFERROR(_xlfn.XLOOKUP($C1728,Log!D:D,Log!Y:Y,,,-1),"")</f>
        <v/>
      </c>
      <c r="Q1728" s="130"/>
      <c r="R1728" s="131" t="str">
        <f>IFERROR(IF(Tabela1[[#This Row],[Nome fantasia]]="","",_xlfn.XLOOKUP($C1728,Log!D:D,Log!X:X,,,-1)),"")</f>
        <v/>
      </c>
    </row>
    <row r="1729" spans="3:18" hidden="1" x14ac:dyDescent="0.2">
      <c r="C1729" s="30" t="s">
        <v>3822</v>
      </c>
      <c r="D1729" s="110" t="s">
        <v>3823</v>
      </c>
      <c r="E1729" s="33" t="s">
        <v>17</v>
      </c>
      <c r="F1729" s="38"/>
      <c r="G1729" s="38"/>
      <c r="H1729" s="31"/>
      <c r="I1729" s="32"/>
      <c r="J1729" s="32"/>
      <c r="K1729" s="45" t="s">
        <v>888</v>
      </c>
      <c r="L1729" s="129"/>
      <c r="M1729" s="33" t="str">
        <f t="shared" si="26"/>
        <v/>
      </c>
      <c r="N1729" s="34" t="str">
        <f>IFERROR(IF(Tabela1[[#This Row],[Nome fantasia]]="","",_xlfn.XLOOKUP($C1729,Log!D:D,Log!B:B,,,-1)),"")</f>
        <v/>
      </c>
      <c r="O1729" s="35" t="str">
        <f>IFERROR(_xlfn.XLOOKUP($C1729,Log!D:D,Log!W:W,,,-1),"")</f>
        <v/>
      </c>
      <c r="P1729" s="35" t="str">
        <f>IFERROR(_xlfn.XLOOKUP($C1729,Log!D:D,Log!Y:Y,,,-1),"")</f>
        <v/>
      </c>
      <c r="Q1729" s="130"/>
      <c r="R1729" s="131" t="str">
        <f>IFERROR(IF(Tabela1[[#This Row],[Nome fantasia]]="","",_xlfn.XLOOKUP($C1729,Log!D:D,Log!X:X,,,-1)),"")</f>
        <v/>
      </c>
    </row>
    <row r="1730" spans="3:18" hidden="1" x14ac:dyDescent="0.2">
      <c r="C1730" s="30" t="s">
        <v>3824</v>
      </c>
      <c r="D1730" s="110" t="s">
        <v>3825</v>
      </c>
      <c r="E1730" s="33" t="s">
        <v>46</v>
      </c>
      <c r="F1730" s="38"/>
      <c r="G1730" s="38"/>
      <c r="H1730" s="31"/>
      <c r="I1730" s="32"/>
      <c r="J1730" s="32"/>
      <c r="K1730" s="45" t="s">
        <v>888</v>
      </c>
      <c r="L1730" s="129"/>
      <c r="M1730" s="33" t="str">
        <f t="shared" si="26"/>
        <v/>
      </c>
      <c r="N1730" s="34">
        <f>IFERROR(IF(Tabela1[[#This Row],[Nome fantasia]]="","",_xlfn.XLOOKUP($C1730,Log!D:D,Log!B:B,,,-1)),"")</f>
        <v>45999</v>
      </c>
      <c r="O1730" s="35" t="str">
        <f>IFERROR(_xlfn.XLOOKUP($C1730,Log!D:D,Log!W:W,,,-1),"")</f>
        <v>EM ATENDIMENTO</v>
      </c>
      <c r="P1730" s="35" t="str">
        <f>IFERROR(_xlfn.XLOOKUP($C1730,Log!D:D,Log!Y:Y,,,-1),"")</f>
        <v>ENVIADO PRIMEIRA MENSAGEM DE APRESENTAÇÃO</v>
      </c>
      <c r="Q1730" s="130"/>
      <c r="R1730" s="131">
        <f>IFERROR(IF(Tabela1[[#This Row],[Nome fantasia]]="","",_xlfn.XLOOKUP($C1730,Log!D:D,Log!X:X,,,-1)),"")</f>
        <v>46001</v>
      </c>
    </row>
    <row r="1731" spans="3:18" hidden="1" x14ac:dyDescent="0.2">
      <c r="C1731" s="30" t="s">
        <v>3826</v>
      </c>
      <c r="D1731" s="110" t="s">
        <v>3827</v>
      </c>
      <c r="E1731" s="33" t="s">
        <v>17</v>
      </c>
      <c r="F1731" s="38"/>
      <c r="G1731" s="38"/>
      <c r="H1731" s="31"/>
      <c r="I1731" s="32"/>
      <c r="J1731" s="32"/>
      <c r="K1731" s="45" t="s">
        <v>888</v>
      </c>
      <c r="L1731" s="129"/>
      <c r="M1731" s="33" t="str">
        <f t="shared" ref="M1731:M1794" si="27">IF(OR(J1731&lt;=0,J1731=""),"","Recompra")</f>
        <v/>
      </c>
      <c r="N1731" s="34" t="str">
        <f>IFERROR(IF(Tabela1[[#This Row],[Nome fantasia]]="","",_xlfn.XLOOKUP($C1731,Log!D:D,Log!B:B,,,-1)),"")</f>
        <v/>
      </c>
      <c r="O1731" s="35" t="str">
        <f>IFERROR(_xlfn.XLOOKUP($C1731,Log!D:D,Log!W:W,,,-1),"")</f>
        <v/>
      </c>
      <c r="P1731" s="35" t="str">
        <f>IFERROR(_xlfn.XLOOKUP($C1731,Log!D:D,Log!Y:Y,,,-1),"")</f>
        <v/>
      </c>
      <c r="Q1731" s="130"/>
      <c r="R1731" s="131" t="str">
        <f>IFERROR(IF(Tabela1[[#This Row],[Nome fantasia]]="","",_xlfn.XLOOKUP($C1731,Log!D:D,Log!X:X,,,-1)),"")</f>
        <v/>
      </c>
    </row>
    <row r="1732" spans="3:18" hidden="1" x14ac:dyDescent="0.2">
      <c r="C1732" s="30" t="s">
        <v>3828</v>
      </c>
      <c r="D1732" s="110" t="s">
        <v>3829</v>
      </c>
      <c r="E1732" s="33" t="s">
        <v>22</v>
      </c>
      <c r="F1732" s="38"/>
      <c r="G1732" s="38"/>
      <c r="H1732" s="31"/>
      <c r="I1732" s="32"/>
      <c r="J1732" s="32"/>
      <c r="K1732" s="45" t="s">
        <v>888</v>
      </c>
      <c r="L1732" s="129"/>
      <c r="M1732" s="33" t="str">
        <f t="shared" si="27"/>
        <v/>
      </c>
      <c r="N1732" s="34" t="str">
        <f>IFERROR(IF(Tabela1[[#This Row],[Nome fantasia]]="","",_xlfn.XLOOKUP($C1732,Log!D:D,Log!B:B,,,-1)),"")</f>
        <v/>
      </c>
      <c r="O1732" s="35" t="str">
        <f>IFERROR(_xlfn.XLOOKUP($C1732,Log!D:D,Log!W:W,,,-1),"")</f>
        <v/>
      </c>
      <c r="P1732" s="35" t="str">
        <f>IFERROR(_xlfn.XLOOKUP($C1732,Log!D:D,Log!Y:Y,,,-1),"")</f>
        <v/>
      </c>
      <c r="Q1732" s="130"/>
      <c r="R1732" s="131" t="str">
        <f>IFERROR(IF(Tabela1[[#This Row],[Nome fantasia]]="","",_xlfn.XLOOKUP($C1732,Log!D:D,Log!X:X,,,-1)),"")</f>
        <v/>
      </c>
    </row>
    <row r="1733" spans="3:18" hidden="1" x14ac:dyDescent="0.2">
      <c r="C1733" s="30" t="s">
        <v>3830</v>
      </c>
      <c r="D1733" s="110" t="s">
        <v>3831</v>
      </c>
      <c r="E1733" s="33" t="s">
        <v>22</v>
      </c>
      <c r="F1733" s="38"/>
      <c r="G1733" s="38"/>
      <c r="H1733" s="31"/>
      <c r="I1733" s="32"/>
      <c r="J1733" s="32"/>
      <c r="K1733" s="45" t="s">
        <v>888</v>
      </c>
      <c r="L1733" s="129"/>
      <c r="M1733" s="33" t="str">
        <f t="shared" si="27"/>
        <v/>
      </c>
      <c r="N1733" s="34" t="str">
        <f>IFERROR(IF(Tabela1[[#This Row],[Nome fantasia]]="","",_xlfn.XLOOKUP($C1733,Log!D:D,Log!B:B,,,-1)),"")</f>
        <v/>
      </c>
      <c r="O1733" s="35" t="str">
        <f>IFERROR(_xlfn.XLOOKUP($C1733,Log!D:D,Log!W:W,,,-1),"")</f>
        <v/>
      </c>
      <c r="P1733" s="35" t="str">
        <f>IFERROR(_xlfn.XLOOKUP($C1733,Log!D:D,Log!Y:Y,,,-1),"")</f>
        <v/>
      </c>
      <c r="Q1733" s="130"/>
      <c r="R1733" s="131" t="str">
        <f>IFERROR(IF(Tabela1[[#This Row],[Nome fantasia]]="","",_xlfn.XLOOKUP($C1733,Log!D:D,Log!X:X,,,-1)),"")</f>
        <v/>
      </c>
    </row>
    <row r="1734" spans="3:18" hidden="1" x14ac:dyDescent="0.2">
      <c r="C1734" s="30" t="s">
        <v>3832</v>
      </c>
      <c r="D1734" s="110" t="s">
        <v>3833</v>
      </c>
      <c r="E1734" s="33" t="s">
        <v>22</v>
      </c>
      <c r="F1734" s="38"/>
      <c r="G1734" s="38"/>
      <c r="H1734" s="31"/>
      <c r="I1734" s="32"/>
      <c r="J1734" s="32"/>
      <c r="K1734" s="45" t="s">
        <v>888</v>
      </c>
      <c r="L1734" s="129"/>
      <c r="M1734" s="33" t="str">
        <f t="shared" si="27"/>
        <v/>
      </c>
      <c r="N1734" s="34" t="str">
        <f>IFERROR(IF(Tabela1[[#This Row],[Nome fantasia]]="","",_xlfn.XLOOKUP($C1734,Log!D:D,Log!B:B,,,-1)),"")</f>
        <v/>
      </c>
      <c r="O1734" s="35" t="str">
        <f>IFERROR(_xlfn.XLOOKUP($C1734,Log!D:D,Log!W:W,,,-1),"")</f>
        <v/>
      </c>
      <c r="P1734" s="35" t="str">
        <f>IFERROR(_xlfn.XLOOKUP($C1734,Log!D:D,Log!Y:Y,,,-1),"")</f>
        <v/>
      </c>
      <c r="Q1734" s="130"/>
      <c r="R1734" s="131" t="str">
        <f>IFERROR(IF(Tabela1[[#This Row],[Nome fantasia]]="","",_xlfn.XLOOKUP($C1734,Log!D:D,Log!X:X,,,-1)),"")</f>
        <v/>
      </c>
    </row>
    <row r="1735" spans="3:18" hidden="1" x14ac:dyDescent="0.2">
      <c r="C1735" s="30" t="s">
        <v>3834</v>
      </c>
      <c r="D1735" s="110" t="s">
        <v>3835</v>
      </c>
      <c r="E1735" s="33" t="s">
        <v>17</v>
      </c>
      <c r="F1735" s="38"/>
      <c r="G1735" s="38"/>
      <c r="H1735" s="31"/>
      <c r="I1735" s="32"/>
      <c r="J1735" s="32"/>
      <c r="K1735" s="45" t="s">
        <v>888</v>
      </c>
      <c r="L1735" s="129"/>
      <c r="M1735" s="33" t="str">
        <f t="shared" si="27"/>
        <v/>
      </c>
      <c r="N1735" s="34" t="str">
        <f>IFERROR(IF(Tabela1[[#This Row],[Nome fantasia]]="","",_xlfn.XLOOKUP($C1735,Log!D:D,Log!B:B,,,-1)),"")</f>
        <v/>
      </c>
      <c r="O1735" s="35" t="str">
        <f>IFERROR(_xlfn.XLOOKUP($C1735,Log!D:D,Log!W:W,,,-1),"")</f>
        <v/>
      </c>
      <c r="P1735" s="35" t="str">
        <f>IFERROR(_xlfn.XLOOKUP($C1735,Log!D:D,Log!Y:Y,,,-1),"")</f>
        <v/>
      </c>
      <c r="Q1735" s="130"/>
      <c r="R1735" s="131" t="str">
        <f>IFERROR(IF(Tabela1[[#This Row],[Nome fantasia]]="","",_xlfn.XLOOKUP($C1735,Log!D:D,Log!X:X,,,-1)),"")</f>
        <v/>
      </c>
    </row>
    <row r="1736" spans="3:18" hidden="1" x14ac:dyDescent="0.2">
      <c r="C1736" s="30" t="s">
        <v>3836</v>
      </c>
      <c r="D1736" s="110" t="s">
        <v>3837</v>
      </c>
      <c r="E1736" s="33" t="s">
        <v>46</v>
      </c>
      <c r="F1736" s="38"/>
      <c r="G1736" s="38"/>
      <c r="H1736" s="31"/>
      <c r="I1736" s="32"/>
      <c r="J1736" s="32"/>
      <c r="K1736" s="45" t="s">
        <v>888</v>
      </c>
      <c r="L1736" s="129"/>
      <c r="M1736" s="33" t="str">
        <f t="shared" si="27"/>
        <v/>
      </c>
      <c r="N1736" s="34" t="str">
        <f>IFERROR(IF(Tabela1[[#This Row],[Nome fantasia]]="","",_xlfn.XLOOKUP($C1736,Log!D:D,Log!B:B,,,-1)),"")</f>
        <v/>
      </c>
      <c r="O1736" s="35" t="str">
        <f>IFERROR(_xlfn.XLOOKUP($C1736,Log!D:D,Log!W:W,,,-1),"")</f>
        <v/>
      </c>
      <c r="P1736" s="35" t="str">
        <f>IFERROR(_xlfn.XLOOKUP($C1736,Log!D:D,Log!Y:Y,,,-1),"")</f>
        <v/>
      </c>
      <c r="Q1736" s="130"/>
      <c r="R1736" s="131" t="str">
        <f>IFERROR(IF(Tabela1[[#This Row],[Nome fantasia]]="","",_xlfn.XLOOKUP($C1736,Log!D:D,Log!X:X,,,-1)),"")</f>
        <v/>
      </c>
    </row>
    <row r="1737" spans="3:18" hidden="1" x14ac:dyDescent="0.2">
      <c r="C1737" s="30" t="s">
        <v>3838</v>
      </c>
      <c r="D1737" s="110" t="s">
        <v>3839</v>
      </c>
      <c r="E1737" s="33" t="s">
        <v>22</v>
      </c>
      <c r="F1737" s="38"/>
      <c r="G1737" s="38"/>
      <c r="H1737" s="31"/>
      <c r="I1737" s="32"/>
      <c r="J1737" s="32"/>
      <c r="K1737" s="45" t="s">
        <v>888</v>
      </c>
      <c r="L1737" s="129"/>
      <c r="M1737" s="33" t="str">
        <f t="shared" si="27"/>
        <v/>
      </c>
      <c r="N1737" s="34" t="str">
        <f>IFERROR(IF(Tabela1[[#This Row],[Nome fantasia]]="","",_xlfn.XLOOKUP($C1737,Log!D:D,Log!B:B,,,-1)),"")</f>
        <v/>
      </c>
      <c r="O1737" s="35" t="str">
        <f>IFERROR(_xlfn.XLOOKUP($C1737,Log!D:D,Log!W:W,,,-1),"")</f>
        <v/>
      </c>
      <c r="P1737" s="35" t="str">
        <f>IFERROR(_xlfn.XLOOKUP($C1737,Log!D:D,Log!Y:Y,,,-1),"")</f>
        <v/>
      </c>
      <c r="Q1737" s="130"/>
      <c r="R1737" s="131" t="str">
        <f>IFERROR(IF(Tabela1[[#This Row],[Nome fantasia]]="","",_xlfn.XLOOKUP($C1737,Log!D:D,Log!X:X,,,-1)),"")</f>
        <v/>
      </c>
    </row>
    <row r="1738" spans="3:18" hidden="1" x14ac:dyDescent="0.2">
      <c r="C1738" s="30" t="s">
        <v>3840</v>
      </c>
      <c r="D1738" s="110" t="s">
        <v>3841</v>
      </c>
      <c r="E1738" s="33" t="s">
        <v>46</v>
      </c>
      <c r="F1738" s="38"/>
      <c r="G1738" s="38"/>
      <c r="H1738" s="31"/>
      <c r="I1738" s="32"/>
      <c r="J1738" s="32"/>
      <c r="K1738" s="45" t="s">
        <v>888</v>
      </c>
      <c r="L1738" s="129"/>
      <c r="M1738" s="33" t="str">
        <f t="shared" si="27"/>
        <v/>
      </c>
      <c r="N1738" s="34" t="str">
        <f>IFERROR(IF(Tabela1[[#This Row],[Nome fantasia]]="","",_xlfn.XLOOKUP($C1738,Log!D:D,Log!B:B,,,-1)),"")</f>
        <v/>
      </c>
      <c r="O1738" s="35" t="str">
        <f>IFERROR(_xlfn.XLOOKUP($C1738,Log!D:D,Log!W:W,,,-1),"")</f>
        <v/>
      </c>
      <c r="P1738" s="35" t="str">
        <f>IFERROR(_xlfn.XLOOKUP($C1738,Log!D:D,Log!Y:Y,,,-1),"")</f>
        <v/>
      </c>
      <c r="Q1738" s="130"/>
      <c r="R1738" s="131" t="str">
        <f>IFERROR(IF(Tabela1[[#This Row],[Nome fantasia]]="","",_xlfn.XLOOKUP($C1738,Log!D:D,Log!X:X,,,-1)),"")</f>
        <v/>
      </c>
    </row>
    <row r="1739" spans="3:18" hidden="1" x14ac:dyDescent="0.2">
      <c r="C1739" s="30" t="s">
        <v>3842</v>
      </c>
      <c r="D1739" s="110" t="s">
        <v>3843</v>
      </c>
      <c r="E1739" s="33" t="s">
        <v>17</v>
      </c>
      <c r="F1739" s="38"/>
      <c r="G1739" s="38"/>
      <c r="H1739" s="31"/>
      <c r="I1739" s="32"/>
      <c r="J1739" s="32"/>
      <c r="K1739" s="45" t="s">
        <v>888</v>
      </c>
      <c r="L1739" s="129"/>
      <c r="M1739" s="33" t="str">
        <f t="shared" si="27"/>
        <v/>
      </c>
      <c r="N1739" s="34" t="str">
        <f>IFERROR(IF(Tabela1[[#This Row],[Nome fantasia]]="","",_xlfn.XLOOKUP($C1739,Log!D:D,Log!B:B,,,-1)),"")</f>
        <v/>
      </c>
      <c r="O1739" s="35" t="str">
        <f>IFERROR(_xlfn.XLOOKUP($C1739,Log!D:D,Log!W:W,,,-1),"")</f>
        <v/>
      </c>
      <c r="P1739" s="35" t="str">
        <f>IFERROR(_xlfn.XLOOKUP($C1739,Log!D:D,Log!Y:Y,,,-1),"")</f>
        <v/>
      </c>
      <c r="Q1739" s="130"/>
      <c r="R1739" s="131" t="str">
        <f>IFERROR(IF(Tabela1[[#This Row],[Nome fantasia]]="","",_xlfn.XLOOKUP($C1739,Log!D:D,Log!X:X,,,-1)),"")</f>
        <v/>
      </c>
    </row>
    <row r="1740" spans="3:18" hidden="1" x14ac:dyDescent="0.2">
      <c r="C1740" s="30" t="s">
        <v>3844</v>
      </c>
      <c r="D1740" s="110" t="s">
        <v>3845</v>
      </c>
      <c r="E1740" s="33" t="s">
        <v>46</v>
      </c>
      <c r="F1740" s="38"/>
      <c r="G1740" s="38"/>
      <c r="H1740" s="31"/>
      <c r="I1740" s="32"/>
      <c r="J1740" s="32"/>
      <c r="K1740" s="45" t="s">
        <v>888</v>
      </c>
      <c r="L1740" s="129"/>
      <c r="M1740" s="33" t="str">
        <f t="shared" si="27"/>
        <v/>
      </c>
      <c r="N1740" s="34" t="str">
        <f>IFERROR(IF(Tabela1[[#This Row],[Nome fantasia]]="","",_xlfn.XLOOKUP($C1740,Log!D:D,Log!B:B,,,-1)),"")</f>
        <v/>
      </c>
      <c r="O1740" s="35" t="str">
        <f>IFERROR(_xlfn.XLOOKUP($C1740,Log!D:D,Log!W:W,,,-1),"")</f>
        <v/>
      </c>
      <c r="P1740" s="35" t="str">
        <f>IFERROR(_xlfn.XLOOKUP($C1740,Log!D:D,Log!Y:Y,,,-1),"")</f>
        <v/>
      </c>
      <c r="Q1740" s="130"/>
      <c r="R1740" s="131" t="str">
        <f>IFERROR(IF(Tabela1[[#This Row],[Nome fantasia]]="","",_xlfn.XLOOKUP($C1740,Log!D:D,Log!X:X,,,-1)),"")</f>
        <v/>
      </c>
    </row>
    <row r="1741" spans="3:18" hidden="1" x14ac:dyDescent="0.2">
      <c r="C1741" s="30" t="s">
        <v>3846</v>
      </c>
      <c r="D1741" s="110" t="s">
        <v>3847</v>
      </c>
      <c r="E1741" s="33" t="s">
        <v>22</v>
      </c>
      <c r="F1741" s="38"/>
      <c r="G1741" s="38"/>
      <c r="H1741" s="31"/>
      <c r="I1741" s="32"/>
      <c r="J1741" s="32"/>
      <c r="K1741" s="45" t="s">
        <v>888</v>
      </c>
      <c r="L1741" s="129"/>
      <c r="M1741" s="33" t="str">
        <f t="shared" si="27"/>
        <v/>
      </c>
      <c r="N1741" s="34" t="str">
        <f>IFERROR(IF(Tabela1[[#This Row],[Nome fantasia]]="","",_xlfn.XLOOKUP($C1741,Log!D:D,Log!B:B,,,-1)),"")</f>
        <v/>
      </c>
      <c r="O1741" s="35" t="str">
        <f>IFERROR(_xlfn.XLOOKUP($C1741,Log!D:D,Log!W:W,,,-1),"")</f>
        <v/>
      </c>
      <c r="P1741" s="35" t="str">
        <f>IFERROR(_xlfn.XLOOKUP($C1741,Log!D:D,Log!Y:Y,,,-1),"")</f>
        <v/>
      </c>
      <c r="Q1741" s="130"/>
      <c r="R1741" s="131" t="str">
        <f>IFERROR(IF(Tabela1[[#This Row],[Nome fantasia]]="","",_xlfn.XLOOKUP($C1741,Log!D:D,Log!X:X,,,-1)),"")</f>
        <v/>
      </c>
    </row>
    <row r="1742" spans="3:18" hidden="1" x14ac:dyDescent="0.2">
      <c r="C1742" s="30" t="s">
        <v>3848</v>
      </c>
      <c r="D1742" s="110" t="s">
        <v>3849</v>
      </c>
      <c r="E1742" s="33" t="s">
        <v>46</v>
      </c>
      <c r="F1742" s="38"/>
      <c r="G1742" s="38"/>
      <c r="H1742" s="31"/>
      <c r="I1742" s="32"/>
      <c r="J1742" s="32"/>
      <c r="K1742" s="45" t="s">
        <v>888</v>
      </c>
      <c r="L1742" s="129"/>
      <c r="M1742" s="33" t="str">
        <f t="shared" si="27"/>
        <v/>
      </c>
      <c r="N1742" s="34" t="str">
        <f>IFERROR(IF(Tabela1[[#This Row],[Nome fantasia]]="","",_xlfn.XLOOKUP($C1742,Log!D:D,Log!B:B,,,-1)),"")</f>
        <v/>
      </c>
      <c r="O1742" s="35" t="str">
        <f>IFERROR(_xlfn.XLOOKUP($C1742,Log!D:D,Log!W:W,,,-1),"")</f>
        <v/>
      </c>
      <c r="P1742" s="35" t="str">
        <f>IFERROR(_xlfn.XLOOKUP($C1742,Log!D:D,Log!Y:Y,,,-1),"")</f>
        <v/>
      </c>
      <c r="Q1742" s="130"/>
      <c r="R1742" s="131" t="str">
        <f>IFERROR(IF(Tabela1[[#This Row],[Nome fantasia]]="","",_xlfn.XLOOKUP($C1742,Log!D:D,Log!X:X,,,-1)),"")</f>
        <v/>
      </c>
    </row>
    <row r="1743" spans="3:18" hidden="1" x14ac:dyDescent="0.2">
      <c r="C1743" s="30" t="s">
        <v>1437</v>
      </c>
      <c r="D1743" s="110" t="s">
        <v>3850</v>
      </c>
      <c r="E1743" s="33" t="s">
        <v>46</v>
      </c>
      <c r="F1743" s="38"/>
      <c r="G1743" s="38"/>
      <c r="H1743" s="31"/>
      <c r="I1743" s="32"/>
      <c r="J1743" s="32"/>
      <c r="K1743" s="45" t="s">
        <v>888</v>
      </c>
      <c r="L1743" s="129"/>
      <c r="M1743" s="33" t="str">
        <f t="shared" si="27"/>
        <v/>
      </c>
      <c r="N1743" s="34">
        <f>IFERROR(IF(Tabela1[[#This Row],[Nome fantasia]]="","",_xlfn.XLOOKUP($C1743,Log!D:D,Log!B:B,,,-1)),"")</f>
        <v>45994</v>
      </c>
      <c r="O1743" s="35" t="str">
        <f>IFERROR(_xlfn.XLOOKUP($C1743,Log!D:D,Log!W:W,,,-1),"")</f>
        <v>EM ATENDIMENTO</v>
      </c>
      <c r="P1743" s="35" t="str">
        <f>IFERROR(_xlfn.XLOOKUP($C1743,Log!D:D,Log!Y:Y,,,-1),"")</f>
        <v>NÃO ATENDEM EM NENHUM CONTATO</v>
      </c>
      <c r="Q1743" s="130"/>
      <c r="R1743" s="131">
        <f>IFERROR(IF(Tabela1[[#This Row],[Nome fantasia]]="","",_xlfn.XLOOKUP($C1743,Log!D:D,Log!X:X,,,-1)),"")</f>
        <v>45996</v>
      </c>
    </row>
    <row r="1744" spans="3:18" hidden="1" x14ac:dyDescent="0.2">
      <c r="C1744" s="30"/>
      <c r="D1744" s="110" t="s">
        <v>3851</v>
      </c>
      <c r="E1744" s="33" t="s">
        <v>46</v>
      </c>
      <c r="F1744" s="38"/>
      <c r="G1744" s="38"/>
      <c r="H1744" s="31"/>
      <c r="I1744" s="32"/>
      <c r="J1744" s="32"/>
      <c r="K1744" s="45" t="s">
        <v>888</v>
      </c>
      <c r="L1744" s="129"/>
      <c r="M1744" s="33" t="str">
        <f t="shared" si="27"/>
        <v/>
      </c>
      <c r="N1744" s="34" t="str">
        <f>IFERROR(IF(Tabela1[[#This Row],[Nome fantasia]]="","",_xlfn.XLOOKUP($C1744,Log!D:D,Log!B:B,,,-1)),"")</f>
        <v/>
      </c>
      <c r="O1744" s="35" t="str">
        <f>IFERROR(_xlfn.XLOOKUP($C1744,Log!D:D,Log!W:W,,,-1),"")</f>
        <v/>
      </c>
      <c r="P1744" s="35" t="str">
        <f>IFERROR(_xlfn.XLOOKUP($C1744,Log!D:D,Log!Y:Y,,,-1),"")</f>
        <v/>
      </c>
      <c r="Q1744" s="130"/>
      <c r="R1744" s="131" t="str">
        <f>IFERROR(IF(Tabela1[[#This Row],[Nome fantasia]]="","",_xlfn.XLOOKUP($C1744,Log!D:D,Log!X:X,,,-1)),"")</f>
        <v/>
      </c>
    </row>
    <row r="1745" spans="3:18" hidden="1" x14ac:dyDescent="0.2">
      <c r="C1745" s="30" t="s">
        <v>3852</v>
      </c>
      <c r="D1745" s="110" t="s">
        <v>3853</v>
      </c>
      <c r="E1745" s="33" t="s">
        <v>22</v>
      </c>
      <c r="F1745" s="38"/>
      <c r="G1745" s="38"/>
      <c r="H1745" s="31"/>
      <c r="I1745" s="32"/>
      <c r="J1745" s="32"/>
      <c r="K1745" s="45" t="s">
        <v>888</v>
      </c>
      <c r="L1745" s="129"/>
      <c r="M1745" s="33" t="str">
        <f t="shared" si="27"/>
        <v/>
      </c>
      <c r="N1745" s="34" t="str">
        <f>IFERROR(IF(Tabela1[[#This Row],[Nome fantasia]]="","",_xlfn.XLOOKUP($C1745,Log!D:D,Log!B:B,,,-1)),"")</f>
        <v/>
      </c>
      <c r="O1745" s="35" t="str">
        <f>IFERROR(_xlfn.XLOOKUP($C1745,Log!D:D,Log!W:W,,,-1),"")</f>
        <v/>
      </c>
      <c r="P1745" s="35" t="str">
        <f>IFERROR(_xlfn.XLOOKUP($C1745,Log!D:D,Log!Y:Y,,,-1),"")</f>
        <v/>
      </c>
      <c r="Q1745" s="130"/>
      <c r="R1745" s="131" t="str">
        <f>IFERROR(IF(Tabela1[[#This Row],[Nome fantasia]]="","",_xlfn.XLOOKUP($C1745,Log!D:D,Log!X:X,,,-1)),"")</f>
        <v/>
      </c>
    </row>
    <row r="1746" spans="3:18" hidden="1" x14ac:dyDescent="0.2">
      <c r="C1746" s="30" t="s">
        <v>3854</v>
      </c>
      <c r="D1746" s="110" t="s">
        <v>3855</v>
      </c>
      <c r="E1746" s="33" t="s">
        <v>46</v>
      </c>
      <c r="F1746" s="38"/>
      <c r="G1746" s="38"/>
      <c r="H1746" s="31"/>
      <c r="I1746" s="32"/>
      <c r="J1746" s="32"/>
      <c r="K1746" s="45" t="s">
        <v>888</v>
      </c>
      <c r="L1746" s="129"/>
      <c r="M1746" s="33" t="str">
        <f t="shared" si="27"/>
        <v/>
      </c>
      <c r="N1746" s="34" t="str">
        <f>IFERROR(IF(Tabela1[[#This Row],[Nome fantasia]]="","",_xlfn.XLOOKUP($C1746,Log!D:D,Log!B:B,,,-1)),"")</f>
        <v/>
      </c>
      <c r="O1746" s="35" t="str">
        <f>IFERROR(_xlfn.XLOOKUP($C1746,Log!D:D,Log!W:W,,,-1),"")</f>
        <v/>
      </c>
      <c r="P1746" s="35" t="str">
        <f>IFERROR(_xlfn.XLOOKUP($C1746,Log!D:D,Log!Y:Y,,,-1),"")</f>
        <v/>
      </c>
      <c r="Q1746" s="130"/>
      <c r="R1746" s="131" t="str">
        <f>IFERROR(IF(Tabela1[[#This Row],[Nome fantasia]]="","",_xlfn.XLOOKUP($C1746,Log!D:D,Log!X:X,,,-1)),"")</f>
        <v/>
      </c>
    </row>
    <row r="1747" spans="3:18" hidden="1" x14ac:dyDescent="0.2">
      <c r="C1747" s="30" t="s">
        <v>3856</v>
      </c>
      <c r="D1747" s="110" t="s">
        <v>3857</v>
      </c>
      <c r="E1747" s="33" t="s">
        <v>17</v>
      </c>
      <c r="F1747" s="38"/>
      <c r="G1747" s="38"/>
      <c r="H1747" s="31"/>
      <c r="I1747" s="32"/>
      <c r="J1747" s="32"/>
      <c r="K1747" s="45" t="s">
        <v>888</v>
      </c>
      <c r="L1747" s="129"/>
      <c r="M1747" s="33" t="str">
        <f t="shared" si="27"/>
        <v/>
      </c>
      <c r="N1747" s="34" t="str">
        <f>IFERROR(IF(Tabela1[[#This Row],[Nome fantasia]]="","",_xlfn.XLOOKUP($C1747,Log!D:D,Log!B:B,,,-1)),"")</f>
        <v/>
      </c>
      <c r="O1747" s="35" t="str">
        <f>IFERROR(_xlfn.XLOOKUP($C1747,Log!D:D,Log!W:W,,,-1),"")</f>
        <v/>
      </c>
      <c r="P1747" s="35" t="str">
        <f>IFERROR(_xlfn.XLOOKUP($C1747,Log!D:D,Log!Y:Y,,,-1),"")</f>
        <v/>
      </c>
      <c r="Q1747" s="130"/>
      <c r="R1747" s="131" t="str">
        <f>IFERROR(IF(Tabela1[[#This Row],[Nome fantasia]]="","",_xlfn.XLOOKUP($C1747,Log!D:D,Log!X:X,,,-1)),"")</f>
        <v/>
      </c>
    </row>
    <row r="1748" spans="3:18" hidden="1" x14ac:dyDescent="0.2">
      <c r="C1748" s="30" t="s">
        <v>1478</v>
      </c>
      <c r="D1748" s="110" t="s">
        <v>3858</v>
      </c>
      <c r="E1748" s="33" t="s">
        <v>46</v>
      </c>
      <c r="F1748" s="38"/>
      <c r="G1748" s="38"/>
      <c r="H1748" s="31"/>
      <c r="I1748" s="32"/>
      <c r="J1748" s="32"/>
      <c r="K1748" s="45" t="s">
        <v>888</v>
      </c>
      <c r="L1748" s="129"/>
      <c r="M1748" s="33" t="str">
        <f t="shared" si="27"/>
        <v/>
      </c>
      <c r="N1748" s="34" t="str">
        <f>IFERROR(IF(Tabela1[[#This Row],[Nome fantasia]]="","",_xlfn.XLOOKUP($C1748,Log!D:D,Log!B:B,,,-1)),"")</f>
        <v/>
      </c>
      <c r="O1748" s="35" t="str">
        <f>IFERROR(_xlfn.XLOOKUP($C1748,Log!D:D,Log!W:W,,,-1),"")</f>
        <v/>
      </c>
      <c r="P1748" s="35" t="str">
        <f>IFERROR(_xlfn.XLOOKUP($C1748,Log!D:D,Log!Y:Y,,,-1),"")</f>
        <v/>
      </c>
      <c r="Q1748" s="130"/>
      <c r="R1748" s="131" t="str">
        <f>IFERROR(IF(Tabela1[[#This Row],[Nome fantasia]]="","",_xlfn.XLOOKUP($C1748,Log!D:D,Log!X:X,,,-1)),"")</f>
        <v/>
      </c>
    </row>
    <row r="1749" spans="3:18" hidden="1" x14ac:dyDescent="0.2">
      <c r="C1749" s="30" t="s">
        <v>3859</v>
      </c>
      <c r="D1749" s="110" t="s">
        <v>3860</v>
      </c>
      <c r="E1749" s="33" t="s">
        <v>22</v>
      </c>
      <c r="F1749" s="38"/>
      <c r="G1749" s="38"/>
      <c r="H1749" s="31"/>
      <c r="I1749" s="32"/>
      <c r="J1749" s="32"/>
      <c r="K1749" s="45" t="s">
        <v>888</v>
      </c>
      <c r="L1749" s="129"/>
      <c r="M1749" s="33" t="str">
        <f t="shared" si="27"/>
        <v/>
      </c>
      <c r="N1749" s="34" t="str">
        <f>IFERROR(IF(Tabela1[[#This Row],[Nome fantasia]]="","",_xlfn.XLOOKUP($C1749,Log!D:D,Log!B:B,,,-1)),"")</f>
        <v/>
      </c>
      <c r="O1749" s="35" t="str">
        <f>IFERROR(_xlfn.XLOOKUP($C1749,Log!D:D,Log!W:W,,,-1),"")</f>
        <v/>
      </c>
      <c r="P1749" s="35" t="str">
        <f>IFERROR(_xlfn.XLOOKUP($C1749,Log!D:D,Log!Y:Y,,,-1),"")</f>
        <v/>
      </c>
      <c r="Q1749" s="130"/>
      <c r="R1749" s="131" t="str">
        <f>IFERROR(IF(Tabela1[[#This Row],[Nome fantasia]]="","",_xlfn.XLOOKUP($C1749,Log!D:D,Log!X:X,,,-1)),"")</f>
        <v/>
      </c>
    </row>
    <row r="1750" spans="3:18" hidden="1" x14ac:dyDescent="0.2">
      <c r="C1750" s="30" t="s">
        <v>3861</v>
      </c>
      <c r="D1750" s="110" t="s">
        <v>3862</v>
      </c>
      <c r="E1750" s="33" t="s">
        <v>22</v>
      </c>
      <c r="F1750" s="38"/>
      <c r="G1750" s="38"/>
      <c r="H1750" s="31"/>
      <c r="I1750" s="32"/>
      <c r="J1750" s="32"/>
      <c r="K1750" s="45" t="s">
        <v>888</v>
      </c>
      <c r="L1750" s="129"/>
      <c r="M1750" s="33" t="str">
        <f t="shared" si="27"/>
        <v/>
      </c>
      <c r="N1750" s="34" t="str">
        <f>IFERROR(IF(Tabela1[[#This Row],[Nome fantasia]]="","",_xlfn.XLOOKUP($C1750,Log!D:D,Log!B:B,,,-1)),"")</f>
        <v/>
      </c>
      <c r="O1750" s="35" t="str">
        <f>IFERROR(_xlfn.XLOOKUP($C1750,Log!D:D,Log!W:W,,,-1),"")</f>
        <v/>
      </c>
      <c r="P1750" s="35" t="str">
        <f>IFERROR(_xlfn.XLOOKUP($C1750,Log!D:D,Log!Y:Y,,,-1),"")</f>
        <v/>
      </c>
      <c r="Q1750" s="130"/>
      <c r="R1750" s="131" t="str">
        <f>IFERROR(IF(Tabela1[[#This Row],[Nome fantasia]]="","",_xlfn.XLOOKUP($C1750,Log!D:D,Log!X:X,,,-1)),"")</f>
        <v/>
      </c>
    </row>
    <row r="1751" spans="3:18" hidden="1" x14ac:dyDescent="0.2">
      <c r="C1751" s="30" t="s">
        <v>3863</v>
      </c>
      <c r="D1751" s="110" t="s">
        <v>3864</v>
      </c>
      <c r="E1751" s="33" t="s">
        <v>46</v>
      </c>
      <c r="F1751" s="38"/>
      <c r="G1751" s="38"/>
      <c r="H1751" s="31"/>
      <c r="I1751" s="32"/>
      <c r="J1751" s="32"/>
      <c r="K1751" s="45" t="s">
        <v>888</v>
      </c>
      <c r="L1751" s="129"/>
      <c r="M1751" s="33" t="str">
        <f t="shared" si="27"/>
        <v/>
      </c>
      <c r="N1751" s="34" t="str">
        <f>IFERROR(IF(Tabela1[[#This Row],[Nome fantasia]]="","",_xlfn.XLOOKUP($C1751,Log!D:D,Log!B:B,,,-1)),"")</f>
        <v/>
      </c>
      <c r="O1751" s="35" t="str">
        <f>IFERROR(_xlfn.XLOOKUP($C1751,Log!D:D,Log!W:W,,,-1),"")</f>
        <v/>
      </c>
      <c r="P1751" s="35" t="str">
        <f>IFERROR(_xlfn.XLOOKUP($C1751,Log!D:D,Log!Y:Y,,,-1),"")</f>
        <v/>
      </c>
      <c r="Q1751" s="130"/>
      <c r="R1751" s="131" t="str">
        <f>IFERROR(IF(Tabela1[[#This Row],[Nome fantasia]]="","",_xlfn.XLOOKUP($C1751,Log!D:D,Log!X:X,,,-1)),"")</f>
        <v/>
      </c>
    </row>
    <row r="1752" spans="3:18" hidden="1" x14ac:dyDescent="0.2">
      <c r="C1752" s="30" t="s">
        <v>1600</v>
      </c>
      <c r="D1752" s="110" t="s">
        <v>3865</v>
      </c>
      <c r="E1752" s="33" t="s">
        <v>46</v>
      </c>
      <c r="F1752" s="38"/>
      <c r="G1752" s="38"/>
      <c r="H1752" s="31"/>
      <c r="I1752" s="32"/>
      <c r="J1752" s="32"/>
      <c r="K1752" s="45" t="s">
        <v>888</v>
      </c>
      <c r="L1752" s="129"/>
      <c r="M1752" s="33" t="str">
        <f t="shared" si="27"/>
        <v/>
      </c>
      <c r="N1752" s="34" t="str">
        <f>IFERROR(IF(Tabela1[[#This Row],[Nome fantasia]]="","",_xlfn.XLOOKUP($C1752,Log!D:D,Log!B:B,,,-1)),"")</f>
        <v/>
      </c>
      <c r="O1752" s="35" t="str">
        <f>IFERROR(_xlfn.XLOOKUP($C1752,Log!D:D,Log!W:W,,,-1),"")</f>
        <v/>
      </c>
      <c r="P1752" s="35" t="str">
        <f>IFERROR(_xlfn.XLOOKUP($C1752,Log!D:D,Log!Y:Y,,,-1),"")</f>
        <v/>
      </c>
      <c r="Q1752" s="130"/>
      <c r="R1752" s="131" t="str">
        <f>IFERROR(IF(Tabela1[[#This Row],[Nome fantasia]]="","",_xlfn.XLOOKUP($C1752,Log!D:D,Log!X:X,,,-1)),"")</f>
        <v/>
      </c>
    </row>
    <row r="1753" spans="3:18" hidden="1" x14ac:dyDescent="0.2">
      <c r="C1753" s="30" t="s">
        <v>3866</v>
      </c>
      <c r="D1753" s="110" t="s">
        <v>3867</v>
      </c>
      <c r="E1753" s="33" t="s">
        <v>17</v>
      </c>
      <c r="F1753" s="38"/>
      <c r="G1753" s="38"/>
      <c r="H1753" s="31"/>
      <c r="I1753" s="32"/>
      <c r="J1753" s="32"/>
      <c r="K1753" s="45" t="s">
        <v>888</v>
      </c>
      <c r="L1753" s="129"/>
      <c r="M1753" s="33" t="str">
        <f t="shared" si="27"/>
        <v/>
      </c>
      <c r="N1753" s="34" t="str">
        <f>IFERROR(IF(Tabela1[[#This Row],[Nome fantasia]]="","",_xlfn.XLOOKUP($C1753,Log!D:D,Log!B:B,,,-1)),"")</f>
        <v/>
      </c>
      <c r="O1753" s="35" t="str">
        <f>IFERROR(_xlfn.XLOOKUP($C1753,Log!D:D,Log!W:W,,,-1),"")</f>
        <v/>
      </c>
      <c r="P1753" s="35" t="str">
        <f>IFERROR(_xlfn.XLOOKUP($C1753,Log!D:D,Log!Y:Y,,,-1),"")</f>
        <v/>
      </c>
      <c r="Q1753" s="130"/>
      <c r="R1753" s="131" t="str">
        <f>IFERROR(IF(Tabela1[[#This Row],[Nome fantasia]]="","",_xlfn.XLOOKUP($C1753,Log!D:D,Log!X:X,,,-1)),"")</f>
        <v/>
      </c>
    </row>
    <row r="1754" spans="3:18" hidden="1" x14ac:dyDescent="0.2">
      <c r="C1754" s="30" t="s">
        <v>3868</v>
      </c>
      <c r="D1754" s="110" t="s">
        <v>3869</v>
      </c>
      <c r="E1754" s="33" t="s">
        <v>17</v>
      </c>
      <c r="F1754" s="38"/>
      <c r="G1754" s="38"/>
      <c r="H1754" s="31"/>
      <c r="I1754" s="32"/>
      <c r="J1754" s="32"/>
      <c r="K1754" s="45" t="s">
        <v>888</v>
      </c>
      <c r="L1754" s="129"/>
      <c r="M1754" s="33" t="str">
        <f t="shared" si="27"/>
        <v/>
      </c>
      <c r="N1754" s="34" t="str">
        <f>IFERROR(IF(Tabela1[[#This Row],[Nome fantasia]]="","",_xlfn.XLOOKUP($C1754,Log!D:D,Log!B:B,,,-1)),"")</f>
        <v/>
      </c>
      <c r="O1754" s="35" t="str">
        <f>IFERROR(_xlfn.XLOOKUP($C1754,Log!D:D,Log!W:W,,,-1),"")</f>
        <v/>
      </c>
      <c r="P1754" s="35" t="str">
        <f>IFERROR(_xlfn.XLOOKUP($C1754,Log!D:D,Log!Y:Y,,,-1),"")</f>
        <v/>
      </c>
      <c r="Q1754" s="130"/>
      <c r="R1754" s="131" t="str">
        <f>IFERROR(IF(Tabela1[[#This Row],[Nome fantasia]]="","",_xlfn.XLOOKUP($C1754,Log!D:D,Log!X:X,,,-1)),"")</f>
        <v/>
      </c>
    </row>
    <row r="1755" spans="3:18" hidden="1" x14ac:dyDescent="0.2">
      <c r="C1755" s="30" t="s">
        <v>3870</v>
      </c>
      <c r="D1755" s="110" t="s">
        <v>3871</v>
      </c>
      <c r="E1755" s="33" t="s">
        <v>22</v>
      </c>
      <c r="F1755" s="38"/>
      <c r="G1755" s="38"/>
      <c r="H1755" s="31"/>
      <c r="I1755" s="32"/>
      <c r="J1755" s="32"/>
      <c r="K1755" s="45" t="s">
        <v>888</v>
      </c>
      <c r="L1755" s="129"/>
      <c r="M1755" s="33" t="str">
        <f t="shared" si="27"/>
        <v/>
      </c>
      <c r="N1755" s="34" t="str">
        <f>IFERROR(IF(Tabela1[[#This Row],[Nome fantasia]]="","",_xlfn.XLOOKUP($C1755,Log!D:D,Log!B:B,,,-1)),"")</f>
        <v/>
      </c>
      <c r="O1755" s="35" t="str">
        <f>IFERROR(_xlfn.XLOOKUP($C1755,Log!D:D,Log!W:W,,,-1),"")</f>
        <v/>
      </c>
      <c r="P1755" s="35" t="str">
        <f>IFERROR(_xlfn.XLOOKUP($C1755,Log!D:D,Log!Y:Y,,,-1),"")</f>
        <v/>
      </c>
      <c r="Q1755" s="130"/>
      <c r="R1755" s="131" t="str">
        <f>IFERROR(IF(Tabela1[[#This Row],[Nome fantasia]]="","",_xlfn.XLOOKUP($C1755,Log!D:D,Log!X:X,,,-1)),"")</f>
        <v/>
      </c>
    </row>
    <row r="1756" spans="3:18" hidden="1" x14ac:dyDescent="0.2">
      <c r="C1756" s="30" t="s">
        <v>1399</v>
      </c>
      <c r="D1756" s="110" t="s">
        <v>3872</v>
      </c>
      <c r="E1756" s="33" t="s">
        <v>46</v>
      </c>
      <c r="F1756" s="38"/>
      <c r="G1756" s="38"/>
      <c r="H1756" s="31"/>
      <c r="I1756" s="32"/>
      <c r="J1756" s="32"/>
      <c r="K1756" s="45" t="s">
        <v>888</v>
      </c>
      <c r="L1756" s="129"/>
      <c r="M1756" s="33" t="str">
        <f t="shared" si="27"/>
        <v/>
      </c>
      <c r="N1756" s="34" t="str">
        <f>IFERROR(IF(Tabela1[[#This Row],[Nome fantasia]]="","",_xlfn.XLOOKUP($C1756,Log!D:D,Log!B:B,,,-1)),"")</f>
        <v/>
      </c>
      <c r="O1756" s="35" t="str">
        <f>IFERROR(_xlfn.XLOOKUP($C1756,Log!D:D,Log!W:W,,,-1),"")</f>
        <v/>
      </c>
      <c r="P1756" s="35" t="str">
        <f>IFERROR(_xlfn.XLOOKUP($C1756,Log!D:D,Log!Y:Y,,,-1),"")</f>
        <v/>
      </c>
      <c r="Q1756" s="130"/>
      <c r="R1756" s="131" t="str">
        <f>IFERROR(IF(Tabela1[[#This Row],[Nome fantasia]]="","",_xlfn.XLOOKUP($C1756,Log!D:D,Log!X:X,,,-1)),"")</f>
        <v/>
      </c>
    </row>
    <row r="1757" spans="3:18" hidden="1" x14ac:dyDescent="0.2">
      <c r="C1757" s="30"/>
      <c r="D1757" s="110" t="s">
        <v>3873</v>
      </c>
      <c r="E1757" s="33" t="s">
        <v>22</v>
      </c>
      <c r="F1757" s="38"/>
      <c r="G1757" s="38"/>
      <c r="H1757" s="31"/>
      <c r="I1757" s="32"/>
      <c r="J1757" s="32"/>
      <c r="K1757" s="45" t="s">
        <v>888</v>
      </c>
      <c r="L1757" s="129"/>
      <c r="M1757" s="33" t="str">
        <f t="shared" si="27"/>
        <v/>
      </c>
      <c r="N1757" s="34" t="str">
        <f>IFERROR(IF(Tabela1[[#This Row],[Nome fantasia]]="","",_xlfn.XLOOKUP($C1757,Log!D:D,Log!B:B,,,-1)),"")</f>
        <v/>
      </c>
      <c r="O1757" s="35" t="str">
        <f>IFERROR(_xlfn.XLOOKUP($C1757,Log!D:D,Log!W:W,,,-1),"")</f>
        <v/>
      </c>
      <c r="P1757" s="35" t="str">
        <f>IFERROR(_xlfn.XLOOKUP($C1757,Log!D:D,Log!Y:Y,,,-1),"")</f>
        <v/>
      </c>
      <c r="Q1757" s="130"/>
      <c r="R1757" s="131" t="str">
        <f>IFERROR(IF(Tabela1[[#This Row],[Nome fantasia]]="","",_xlfn.XLOOKUP($C1757,Log!D:D,Log!X:X,,,-1)),"")</f>
        <v/>
      </c>
    </row>
    <row r="1758" spans="3:18" hidden="1" x14ac:dyDescent="0.2">
      <c r="C1758" s="30" t="s">
        <v>3874</v>
      </c>
      <c r="D1758" s="110" t="s">
        <v>3875</v>
      </c>
      <c r="E1758" s="33" t="s">
        <v>17</v>
      </c>
      <c r="F1758" s="38"/>
      <c r="G1758" s="38"/>
      <c r="H1758" s="31"/>
      <c r="I1758" s="32"/>
      <c r="J1758" s="32"/>
      <c r="K1758" s="45" t="s">
        <v>888</v>
      </c>
      <c r="L1758" s="129"/>
      <c r="M1758" s="33" t="str">
        <f t="shared" si="27"/>
        <v/>
      </c>
      <c r="N1758" s="34" t="str">
        <f>IFERROR(IF(Tabela1[[#This Row],[Nome fantasia]]="","",_xlfn.XLOOKUP($C1758,Log!D:D,Log!B:B,,,-1)),"")</f>
        <v/>
      </c>
      <c r="O1758" s="35" t="str">
        <f>IFERROR(_xlfn.XLOOKUP($C1758,Log!D:D,Log!W:W,,,-1),"")</f>
        <v/>
      </c>
      <c r="P1758" s="35" t="str">
        <f>IFERROR(_xlfn.XLOOKUP($C1758,Log!D:D,Log!Y:Y,,,-1),"")</f>
        <v/>
      </c>
      <c r="Q1758" s="130"/>
      <c r="R1758" s="131" t="str">
        <f>IFERROR(IF(Tabela1[[#This Row],[Nome fantasia]]="","",_xlfn.XLOOKUP($C1758,Log!D:D,Log!X:X,,,-1)),"")</f>
        <v/>
      </c>
    </row>
    <row r="1759" spans="3:18" hidden="1" x14ac:dyDescent="0.2">
      <c r="C1759" s="30" t="s">
        <v>3876</v>
      </c>
      <c r="D1759" s="110" t="s">
        <v>3877</v>
      </c>
      <c r="E1759" s="33" t="s">
        <v>17</v>
      </c>
      <c r="F1759" s="38"/>
      <c r="G1759" s="38"/>
      <c r="H1759" s="31"/>
      <c r="I1759" s="32"/>
      <c r="J1759" s="32"/>
      <c r="K1759" s="45" t="s">
        <v>888</v>
      </c>
      <c r="L1759" s="129"/>
      <c r="M1759" s="33" t="str">
        <f t="shared" si="27"/>
        <v/>
      </c>
      <c r="N1759" s="34" t="str">
        <f>IFERROR(IF(Tabela1[[#This Row],[Nome fantasia]]="","",_xlfn.XLOOKUP($C1759,Log!D:D,Log!B:B,,,-1)),"")</f>
        <v/>
      </c>
      <c r="O1759" s="35" t="str">
        <f>IFERROR(_xlfn.XLOOKUP($C1759,Log!D:D,Log!W:W,,,-1),"")</f>
        <v/>
      </c>
      <c r="P1759" s="35" t="str">
        <f>IFERROR(_xlfn.XLOOKUP($C1759,Log!D:D,Log!Y:Y,,,-1),"")</f>
        <v/>
      </c>
      <c r="Q1759" s="130"/>
      <c r="R1759" s="131" t="str">
        <f>IFERROR(IF(Tabela1[[#This Row],[Nome fantasia]]="","",_xlfn.XLOOKUP($C1759,Log!D:D,Log!X:X,,,-1)),"")</f>
        <v/>
      </c>
    </row>
    <row r="1760" spans="3:18" hidden="1" x14ac:dyDescent="0.2">
      <c r="C1760" s="30" t="s">
        <v>3878</v>
      </c>
      <c r="D1760" s="110" t="s">
        <v>3879</v>
      </c>
      <c r="E1760" s="33" t="s">
        <v>17</v>
      </c>
      <c r="F1760" s="38"/>
      <c r="G1760" s="38"/>
      <c r="H1760" s="31"/>
      <c r="I1760" s="32"/>
      <c r="J1760" s="32"/>
      <c r="K1760" s="45" t="s">
        <v>888</v>
      </c>
      <c r="L1760" s="129"/>
      <c r="M1760" s="33" t="str">
        <f t="shared" si="27"/>
        <v/>
      </c>
      <c r="N1760" s="34" t="str">
        <f>IFERROR(IF(Tabela1[[#This Row],[Nome fantasia]]="","",_xlfn.XLOOKUP($C1760,Log!D:D,Log!B:B,,,-1)),"")</f>
        <v/>
      </c>
      <c r="O1760" s="35" t="str">
        <f>IFERROR(_xlfn.XLOOKUP($C1760,Log!D:D,Log!W:W,,,-1),"")</f>
        <v/>
      </c>
      <c r="P1760" s="35" t="str">
        <f>IFERROR(_xlfn.XLOOKUP($C1760,Log!D:D,Log!Y:Y,,,-1),"")</f>
        <v/>
      </c>
      <c r="Q1760" s="130"/>
      <c r="R1760" s="131" t="str">
        <f>IFERROR(IF(Tabela1[[#This Row],[Nome fantasia]]="","",_xlfn.XLOOKUP($C1760,Log!D:D,Log!X:X,,,-1)),"")</f>
        <v/>
      </c>
    </row>
    <row r="1761" spans="3:18" hidden="1" x14ac:dyDescent="0.2">
      <c r="C1761" s="30" t="s">
        <v>3880</v>
      </c>
      <c r="D1761" s="110" t="s">
        <v>3881</v>
      </c>
      <c r="E1761" s="33" t="s">
        <v>17</v>
      </c>
      <c r="F1761" s="38"/>
      <c r="G1761" s="38"/>
      <c r="H1761" s="31"/>
      <c r="I1761" s="32"/>
      <c r="J1761" s="32"/>
      <c r="K1761" s="45" t="s">
        <v>888</v>
      </c>
      <c r="L1761" s="129"/>
      <c r="M1761" s="33" t="str">
        <f t="shared" si="27"/>
        <v/>
      </c>
      <c r="N1761" s="34" t="str">
        <f>IFERROR(IF(Tabela1[[#This Row],[Nome fantasia]]="","",_xlfn.XLOOKUP($C1761,Log!D:D,Log!B:B,,,-1)),"")</f>
        <v/>
      </c>
      <c r="O1761" s="35" t="str">
        <f>IFERROR(_xlfn.XLOOKUP($C1761,Log!D:D,Log!W:W,,,-1),"")</f>
        <v/>
      </c>
      <c r="P1761" s="35" t="str">
        <f>IFERROR(_xlfn.XLOOKUP($C1761,Log!D:D,Log!Y:Y,,,-1),"")</f>
        <v/>
      </c>
      <c r="Q1761" s="130"/>
      <c r="R1761" s="131" t="str">
        <f>IFERROR(IF(Tabela1[[#This Row],[Nome fantasia]]="","",_xlfn.XLOOKUP($C1761,Log!D:D,Log!X:X,,,-1)),"")</f>
        <v/>
      </c>
    </row>
    <row r="1762" spans="3:18" hidden="1" x14ac:dyDescent="0.2">
      <c r="C1762" s="30" t="s">
        <v>3882</v>
      </c>
      <c r="D1762" s="110" t="s">
        <v>3883</v>
      </c>
      <c r="E1762" s="33" t="s">
        <v>17</v>
      </c>
      <c r="F1762" s="38"/>
      <c r="G1762" s="38"/>
      <c r="H1762" s="31"/>
      <c r="I1762" s="32"/>
      <c r="J1762" s="32"/>
      <c r="K1762" s="45" t="s">
        <v>888</v>
      </c>
      <c r="L1762" s="129"/>
      <c r="M1762" s="33" t="str">
        <f t="shared" si="27"/>
        <v/>
      </c>
      <c r="N1762" s="34" t="str">
        <f>IFERROR(IF(Tabela1[[#This Row],[Nome fantasia]]="","",_xlfn.XLOOKUP($C1762,Log!D:D,Log!B:B,,,-1)),"")</f>
        <v/>
      </c>
      <c r="O1762" s="35" t="str">
        <f>IFERROR(_xlfn.XLOOKUP($C1762,Log!D:D,Log!W:W,,,-1),"")</f>
        <v/>
      </c>
      <c r="P1762" s="35" t="str">
        <f>IFERROR(_xlfn.XLOOKUP($C1762,Log!D:D,Log!Y:Y,,,-1),"")</f>
        <v/>
      </c>
      <c r="Q1762" s="130"/>
      <c r="R1762" s="131" t="str">
        <f>IFERROR(IF(Tabela1[[#This Row],[Nome fantasia]]="","",_xlfn.XLOOKUP($C1762,Log!D:D,Log!X:X,,,-1)),"")</f>
        <v/>
      </c>
    </row>
    <row r="1763" spans="3:18" hidden="1" x14ac:dyDescent="0.2">
      <c r="C1763" s="30" t="s">
        <v>2090</v>
      </c>
      <c r="D1763" s="110" t="s">
        <v>3884</v>
      </c>
      <c r="E1763" s="33" t="s">
        <v>17</v>
      </c>
      <c r="F1763" s="38"/>
      <c r="G1763" s="38"/>
      <c r="H1763" s="31"/>
      <c r="I1763" s="32"/>
      <c r="J1763" s="32"/>
      <c r="K1763" s="45" t="s">
        <v>888</v>
      </c>
      <c r="L1763" s="129"/>
      <c r="M1763" s="33" t="str">
        <f t="shared" si="27"/>
        <v/>
      </c>
      <c r="N1763" s="34" t="str">
        <f>IFERROR(IF(Tabela1[[#This Row],[Nome fantasia]]="","",_xlfn.XLOOKUP($C1763,Log!D:D,Log!B:B,,,-1)),"")</f>
        <v/>
      </c>
      <c r="O1763" s="35" t="str">
        <f>IFERROR(_xlfn.XLOOKUP($C1763,Log!D:D,Log!W:W,,,-1),"")</f>
        <v/>
      </c>
      <c r="P1763" s="35" t="str">
        <f>IFERROR(_xlfn.XLOOKUP($C1763,Log!D:D,Log!Y:Y,,,-1),"")</f>
        <v/>
      </c>
      <c r="Q1763" s="130"/>
      <c r="R1763" s="131" t="str">
        <f>IFERROR(IF(Tabela1[[#This Row],[Nome fantasia]]="","",_xlfn.XLOOKUP($C1763,Log!D:D,Log!X:X,,,-1)),"")</f>
        <v/>
      </c>
    </row>
    <row r="1764" spans="3:18" hidden="1" x14ac:dyDescent="0.2">
      <c r="C1764" s="30" t="s">
        <v>3885</v>
      </c>
      <c r="D1764" s="110" t="s">
        <v>3886</v>
      </c>
      <c r="E1764" s="33" t="s">
        <v>22</v>
      </c>
      <c r="F1764" s="38"/>
      <c r="G1764" s="38"/>
      <c r="H1764" s="31"/>
      <c r="I1764" s="32"/>
      <c r="J1764" s="32"/>
      <c r="K1764" s="45" t="s">
        <v>888</v>
      </c>
      <c r="L1764" s="129"/>
      <c r="M1764" s="33" t="str">
        <f t="shared" si="27"/>
        <v/>
      </c>
      <c r="N1764" s="34" t="str">
        <f>IFERROR(IF(Tabela1[[#This Row],[Nome fantasia]]="","",_xlfn.XLOOKUP($C1764,Log!D:D,Log!B:B,,,-1)),"")</f>
        <v/>
      </c>
      <c r="O1764" s="35" t="str">
        <f>IFERROR(_xlfn.XLOOKUP($C1764,Log!D:D,Log!W:W,,,-1),"")</f>
        <v/>
      </c>
      <c r="P1764" s="35" t="str">
        <f>IFERROR(_xlfn.XLOOKUP($C1764,Log!D:D,Log!Y:Y,,,-1),"")</f>
        <v/>
      </c>
      <c r="Q1764" s="130"/>
      <c r="R1764" s="131" t="str">
        <f>IFERROR(IF(Tabela1[[#This Row],[Nome fantasia]]="","",_xlfn.XLOOKUP($C1764,Log!D:D,Log!X:X,,,-1)),"")</f>
        <v/>
      </c>
    </row>
    <row r="1765" spans="3:18" hidden="1" x14ac:dyDescent="0.2">
      <c r="C1765" s="30" t="s">
        <v>3887</v>
      </c>
      <c r="D1765" s="110" t="s">
        <v>3888</v>
      </c>
      <c r="E1765" s="33" t="s">
        <v>22</v>
      </c>
      <c r="F1765" s="38"/>
      <c r="G1765" s="38"/>
      <c r="H1765" s="31"/>
      <c r="I1765" s="32"/>
      <c r="J1765" s="32"/>
      <c r="K1765" s="45" t="s">
        <v>888</v>
      </c>
      <c r="L1765" s="129"/>
      <c r="M1765" s="33" t="str">
        <f t="shared" si="27"/>
        <v/>
      </c>
      <c r="N1765" s="34" t="str">
        <f>IFERROR(IF(Tabela1[[#This Row],[Nome fantasia]]="","",_xlfn.XLOOKUP($C1765,Log!D:D,Log!B:B,,,-1)),"")</f>
        <v/>
      </c>
      <c r="O1765" s="35" t="str">
        <f>IFERROR(_xlfn.XLOOKUP($C1765,Log!D:D,Log!W:W,,,-1),"")</f>
        <v/>
      </c>
      <c r="P1765" s="35" t="str">
        <f>IFERROR(_xlfn.XLOOKUP($C1765,Log!D:D,Log!Y:Y,,,-1),"")</f>
        <v/>
      </c>
      <c r="Q1765" s="130"/>
      <c r="R1765" s="131" t="str">
        <f>IFERROR(IF(Tabela1[[#This Row],[Nome fantasia]]="","",_xlfn.XLOOKUP($C1765,Log!D:D,Log!X:X,,,-1)),"")</f>
        <v/>
      </c>
    </row>
    <row r="1766" spans="3:18" hidden="1" x14ac:dyDescent="0.2">
      <c r="C1766" s="30" t="s">
        <v>3889</v>
      </c>
      <c r="D1766" s="110" t="s">
        <v>3890</v>
      </c>
      <c r="E1766" s="33" t="s">
        <v>46</v>
      </c>
      <c r="F1766" s="38"/>
      <c r="G1766" s="38"/>
      <c r="H1766" s="31"/>
      <c r="I1766" s="32"/>
      <c r="J1766" s="32"/>
      <c r="K1766" s="45" t="s">
        <v>888</v>
      </c>
      <c r="L1766" s="129"/>
      <c r="M1766" s="33" t="str">
        <f t="shared" si="27"/>
        <v/>
      </c>
      <c r="N1766" s="34" t="str">
        <f>IFERROR(IF(Tabela1[[#This Row],[Nome fantasia]]="","",_xlfn.XLOOKUP($C1766,Log!D:D,Log!B:B,,,-1)),"")</f>
        <v/>
      </c>
      <c r="O1766" s="35" t="str">
        <f>IFERROR(_xlfn.XLOOKUP($C1766,Log!D:D,Log!W:W,,,-1),"")</f>
        <v/>
      </c>
      <c r="P1766" s="35" t="str">
        <f>IFERROR(_xlfn.XLOOKUP($C1766,Log!D:D,Log!Y:Y,,,-1),"")</f>
        <v/>
      </c>
      <c r="Q1766" s="130"/>
      <c r="R1766" s="131" t="str">
        <f>IFERROR(IF(Tabela1[[#This Row],[Nome fantasia]]="","",_xlfn.XLOOKUP($C1766,Log!D:D,Log!X:X,,,-1)),"")</f>
        <v/>
      </c>
    </row>
    <row r="1767" spans="3:18" hidden="1" x14ac:dyDescent="0.2">
      <c r="C1767" s="30" t="s">
        <v>3891</v>
      </c>
      <c r="D1767" s="110" t="s">
        <v>3892</v>
      </c>
      <c r="E1767" s="33" t="s">
        <v>17</v>
      </c>
      <c r="F1767" s="38"/>
      <c r="G1767" s="38"/>
      <c r="H1767" s="31"/>
      <c r="I1767" s="32"/>
      <c r="J1767" s="32"/>
      <c r="K1767" s="45" t="s">
        <v>888</v>
      </c>
      <c r="L1767" s="129"/>
      <c r="M1767" s="33" t="str">
        <f t="shared" si="27"/>
        <v/>
      </c>
      <c r="N1767" s="34" t="str">
        <f>IFERROR(IF(Tabela1[[#This Row],[Nome fantasia]]="","",_xlfn.XLOOKUP($C1767,Log!D:D,Log!B:B,,,-1)),"")</f>
        <v/>
      </c>
      <c r="O1767" s="35" t="str">
        <f>IFERROR(_xlfn.XLOOKUP($C1767,Log!D:D,Log!W:W,,,-1),"")</f>
        <v/>
      </c>
      <c r="P1767" s="35" t="str">
        <f>IFERROR(_xlfn.XLOOKUP($C1767,Log!D:D,Log!Y:Y,,,-1),"")</f>
        <v/>
      </c>
      <c r="Q1767" s="130"/>
      <c r="R1767" s="131" t="str">
        <f>IFERROR(IF(Tabela1[[#This Row],[Nome fantasia]]="","",_xlfn.XLOOKUP($C1767,Log!D:D,Log!X:X,,,-1)),"")</f>
        <v/>
      </c>
    </row>
    <row r="1768" spans="3:18" hidden="1" x14ac:dyDescent="0.2">
      <c r="C1768" s="30" t="s">
        <v>3893</v>
      </c>
      <c r="D1768" s="110" t="s">
        <v>3894</v>
      </c>
      <c r="E1768" s="33" t="s">
        <v>46</v>
      </c>
      <c r="F1768" s="38"/>
      <c r="G1768" s="38"/>
      <c r="H1768" s="31"/>
      <c r="I1768" s="32"/>
      <c r="J1768" s="32"/>
      <c r="K1768" s="45" t="s">
        <v>888</v>
      </c>
      <c r="L1768" s="129"/>
      <c r="M1768" s="33" t="str">
        <f t="shared" si="27"/>
        <v/>
      </c>
      <c r="N1768" s="34" t="str">
        <f>IFERROR(IF(Tabela1[[#This Row],[Nome fantasia]]="","",_xlfn.XLOOKUP($C1768,Log!D:D,Log!B:B,,,-1)),"")</f>
        <v/>
      </c>
      <c r="O1768" s="35" t="str">
        <f>IFERROR(_xlfn.XLOOKUP($C1768,Log!D:D,Log!W:W,,,-1),"")</f>
        <v/>
      </c>
      <c r="P1768" s="35" t="str">
        <f>IFERROR(_xlfn.XLOOKUP($C1768,Log!D:D,Log!Y:Y,,,-1),"")</f>
        <v/>
      </c>
      <c r="Q1768" s="130"/>
      <c r="R1768" s="131" t="str">
        <f>IFERROR(IF(Tabela1[[#This Row],[Nome fantasia]]="","",_xlfn.XLOOKUP($C1768,Log!D:D,Log!X:X,,,-1)),"")</f>
        <v/>
      </c>
    </row>
    <row r="1769" spans="3:18" hidden="1" x14ac:dyDescent="0.2">
      <c r="C1769" s="30" t="s">
        <v>3895</v>
      </c>
      <c r="D1769" s="110" t="s">
        <v>3896</v>
      </c>
      <c r="E1769" s="33" t="s">
        <v>22</v>
      </c>
      <c r="F1769" s="38"/>
      <c r="G1769" s="38"/>
      <c r="H1769" s="31"/>
      <c r="I1769" s="32"/>
      <c r="J1769" s="32"/>
      <c r="K1769" s="45" t="s">
        <v>888</v>
      </c>
      <c r="L1769" s="129"/>
      <c r="M1769" s="33" t="str">
        <f t="shared" si="27"/>
        <v/>
      </c>
      <c r="N1769" s="34" t="str">
        <f>IFERROR(IF(Tabela1[[#This Row],[Nome fantasia]]="","",_xlfn.XLOOKUP($C1769,Log!D:D,Log!B:B,,,-1)),"")</f>
        <v/>
      </c>
      <c r="O1769" s="35" t="str">
        <f>IFERROR(_xlfn.XLOOKUP($C1769,Log!D:D,Log!W:W,,,-1),"")</f>
        <v/>
      </c>
      <c r="P1769" s="35" t="str">
        <f>IFERROR(_xlfn.XLOOKUP($C1769,Log!D:D,Log!Y:Y,,,-1),"")</f>
        <v/>
      </c>
      <c r="Q1769" s="130"/>
      <c r="R1769" s="131" t="str">
        <f>IFERROR(IF(Tabela1[[#This Row],[Nome fantasia]]="","",_xlfn.XLOOKUP($C1769,Log!D:D,Log!X:X,,,-1)),"")</f>
        <v/>
      </c>
    </row>
    <row r="1770" spans="3:18" hidden="1" x14ac:dyDescent="0.2">
      <c r="C1770" s="30" t="s">
        <v>3897</v>
      </c>
      <c r="D1770" s="110" t="s">
        <v>3898</v>
      </c>
      <c r="E1770" s="33" t="s">
        <v>46</v>
      </c>
      <c r="F1770" s="38"/>
      <c r="G1770" s="38"/>
      <c r="H1770" s="31"/>
      <c r="I1770" s="32"/>
      <c r="J1770" s="32"/>
      <c r="K1770" s="45" t="s">
        <v>888</v>
      </c>
      <c r="L1770" s="129"/>
      <c r="M1770" s="33" t="str">
        <f t="shared" si="27"/>
        <v/>
      </c>
      <c r="N1770" s="34" t="str">
        <f>IFERROR(IF(Tabela1[[#This Row],[Nome fantasia]]="","",_xlfn.XLOOKUP($C1770,Log!D:D,Log!B:B,,,-1)),"")</f>
        <v/>
      </c>
      <c r="O1770" s="35" t="str">
        <f>IFERROR(_xlfn.XLOOKUP($C1770,Log!D:D,Log!W:W,,,-1),"")</f>
        <v/>
      </c>
      <c r="P1770" s="35" t="str">
        <f>IFERROR(_xlfn.XLOOKUP($C1770,Log!D:D,Log!Y:Y,,,-1),"")</f>
        <v/>
      </c>
      <c r="Q1770" s="130"/>
      <c r="R1770" s="131" t="str">
        <f>IFERROR(IF(Tabela1[[#This Row],[Nome fantasia]]="","",_xlfn.XLOOKUP($C1770,Log!D:D,Log!X:X,,,-1)),"")</f>
        <v/>
      </c>
    </row>
    <row r="1771" spans="3:18" hidden="1" x14ac:dyDescent="0.2">
      <c r="C1771" s="30" t="s">
        <v>3899</v>
      </c>
      <c r="D1771" s="110" t="s">
        <v>3900</v>
      </c>
      <c r="E1771" s="33" t="s">
        <v>46</v>
      </c>
      <c r="F1771" s="38"/>
      <c r="G1771" s="38"/>
      <c r="H1771" s="31"/>
      <c r="I1771" s="32"/>
      <c r="J1771" s="32"/>
      <c r="K1771" s="45" t="s">
        <v>888</v>
      </c>
      <c r="L1771" s="129"/>
      <c r="M1771" s="33" t="str">
        <f t="shared" si="27"/>
        <v/>
      </c>
      <c r="N1771" s="34" t="str">
        <f>IFERROR(IF(Tabela1[[#This Row],[Nome fantasia]]="","",_xlfn.XLOOKUP($C1771,Log!D:D,Log!B:B,,,-1)),"")</f>
        <v/>
      </c>
      <c r="O1771" s="35" t="str">
        <f>IFERROR(_xlfn.XLOOKUP($C1771,Log!D:D,Log!W:W,,,-1),"")</f>
        <v/>
      </c>
      <c r="P1771" s="35" t="str">
        <f>IFERROR(_xlfn.XLOOKUP($C1771,Log!D:D,Log!Y:Y,,,-1),"")</f>
        <v/>
      </c>
      <c r="Q1771" s="130"/>
      <c r="R1771" s="131" t="str">
        <f>IFERROR(IF(Tabela1[[#This Row],[Nome fantasia]]="","",_xlfn.XLOOKUP($C1771,Log!D:D,Log!X:X,,,-1)),"")</f>
        <v/>
      </c>
    </row>
    <row r="1772" spans="3:18" hidden="1" x14ac:dyDescent="0.2">
      <c r="C1772" s="30" t="s">
        <v>3901</v>
      </c>
      <c r="D1772" s="110" t="s">
        <v>3902</v>
      </c>
      <c r="E1772" s="33" t="s">
        <v>22</v>
      </c>
      <c r="F1772" s="38"/>
      <c r="G1772" s="38"/>
      <c r="H1772" s="31"/>
      <c r="I1772" s="32"/>
      <c r="J1772" s="32"/>
      <c r="K1772" s="45" t="s">
        <v>888</v>
      </c>
      <c r="L1772" s="129"/>
      <c r="M1772" s="33" t="str">
        <f t="shared" si="27"/>
        <v/>
      </c>
      <c r="N1772" s="34" t="str">
        <f>IFERROR(IF(Tabela1[[#This Row],[Nome fantasia]]="","",_xlfn.XLOOKUP($C1772,Log!D:D,Log!B:B,,,-1)),"")</f>
        <v/>
      </c>
      <c r="O1772" s="35" t="str">
        <f>IFERROR(_xlfn.XLOOKUP($C1772,Log!D:D,Log!W:W,,,-1),"")</f>
        <v/>
      </c>
      <c r="P1772" s="35" t="str">
        <f>IFERROR(_xlfn.XLOOKUP($C1772,Log!D:D,Log!Y:Y,,,-1),"")</f>
        <v/>
      </c>
      <c r="Q1772" s="130"/>
      <c r="R1772" s="131" t="str">
        <f>IFERROR(IF(Tabela1[[#This Row],[Nome fantasia]]="","",_xlfn.XLOOKUP($C1772,Log!D:D,Log!X:X,,,-1)),"")</f>
        <v/>
      </c>
    </row>
    <row r="1773" spans="3:18" hidden="1" x14ac:dyDescent="0.2">
      <c r="C1773" s="30" t="s">
        <v>3903</v>
      </c>
      <c r="D1773" s="110" t="s">
        <v>3904</v>
      </c>
      <c r="E1773" s="33" t="s">
        <v>22</v>
      </c>
      <c r="F1773" s="38"/>
      <c r="G1773" s="38"/>
      <c r="H1773" s="31"/>
      <c r="I1773" s="32"/>
      <c r="J1773" s="32"/>
      <c r="K1773" s="45" t="s">
        <v>888</v>
      </c>
      <c r="L1773" s="129"/>
      <c r="M1773" s="33" t="str">
        <f t="shared" si="27"/>
        <v/>
      </c>
      <c r="N1773" s="34" t="str">
        <f>IFERROR(IF(Tabela1[[#This Row],[Nome fantasia]]="","",_xlfn.XLOOKUP($C1773,Log!D:D,Log!B:B,,,-1)),"")</f>
        <v/>
      </c>
      <c r="O1773" s="35" t="str">
        <f>IFERROR(_xlfn.XLOOKUP($C1773,Log!D:D,Log!W:W,,,-1),"")</f>
        <v/>
      </c>
      <c r="P1773" s="35" t="str">
        <f>IFERROR(_xlfn.XLOOKUP($C1773,Log!D:D,Log!Y:Y,,,-1),"")</f>
        <v/>
      </c>
      <c r="Q1773" s="130"/>
      <c r="R1773" s="131" t="str">
        <f>IFERROR(IF(Tabela1[[#This Row],[Nome fantasia]]="","",_xlfn.XLOOKUP($C1773,Log!D:D,Log!X:X,,,-1)),"")</f>
        <v/>
      </c>
    </row>
    <row r="1774" spans="3:18" hidden="1" x14ac:dyDescent="0.2">
      <c r="C1774" s="30" t="s">
        <v>3905</v>
      </c>
      <c r="D1774" s="110" t="s">
        <v>3906</v>
      </c>
      <c r="E1774" s="33" t="s">
        <v>22</v>
      </c>
      <c r="F1774" s="38"/>
      <c r="G1774" s="38"/>
      <c r="H1774" s="31"/>
      <c r="I1774" s="32"/>
      <c r="J1774" s="32"/>
      <c r="K1774" s="45" t="s">
        <v>888</v>
      </c>
      <c r="L1774" s="129"/>
      <c r="M1774" s="33" t="str">
        <f t="shared" si="27"/>
        <v/>
      </c>
      <c r="N1774" s="34" t="str">
        <f>IFERROR(IF(Tabela1[[#This Row],[Nome fantasia]]="","",_xlfn.XLOOKUP($C1774,Log!D:D,Log!B:B,,,-1)),"")</f>
        <v/>
      </c>
      <c r="O1774" s="35" t="str">
        <f>IFERROR(_xlfn.XLOOKUP($C1774,Log!D:D,Log!W:W,,,-1),"")</f>
        <v/>
      </c>
      <c r="P1774" s="35" t="str">
        <f>IFERROR(_xlfn.XLOOKUP($C1774,Log!D:D,Log!Y:Y,,,-1),"")</f>
        <v/>
      </c>
      <c r="Q1774" s="130"/>
      <c r="R1774" s="131" t="str">
        <f>IFERROR(IF(Tabela1[[#This Row],[Nome fantasia]]="","",_xlfn.XLOOKUP($C1774,Log!D:D,Log!X:X,,,-1)),"")</f>
        <v/>
      </c>
    </row>
    <row r="1775" spans="3:18" hidden="1" x14ac:dyDescent="0.2">
      <c r="C1775" s="30" t="s">
        <v>3907</v>
      </c>
      <c r="D1775" s="110" t="s">
        <v>1325</v>
      </c>
      <c r="E1775" s="33" t="s">
        <v>22</v>
      </c>
      <c r="F1775" s="38"/>
      <c r="G1775" s="38"/>
      <c r="H1775" s="31"/>
      <c r="I1775" s="32"/>
      <c r="J1775" s="32"/>
      <c r="K1775" s="45" t="s">
        <v>888</v>
      </c>
      <c r="L1775" s="129"/>
      <c r="M1775" s="33" t="str">
        <f t="shared" si="27"/>
        <v/>
      </c>
      <c r="N1775" s="34" t="str">
        <f>IFERROR(IF(Tabela1[[#This Row],[Nome fantasia]]="","",_xlfn.XLOOKUP($C1775,Log!D:D,Log!B:B,,,-1)),"")</f>
        <v/>
      </c>
      <c r="O1775" s="35" t="str">
        <f>IFERROR(_xlfn.XLOOKUP($C1775,Log!D:D,Log!W:W,,,-1),"")</f>
        <v/>
      </c>
      <c r="P1775" s="35" t="str">
        <f>IFERROR(_xlfn.XLOOKUP($C1775,Log!D:D,Log!Y:Y,,,-1),"")</f>
        <v/>
      </c>
      <c r="Q1775" s="130"/>
      <c r="R1775" s="131" t="str">
        <f>IFERROR(IF(Tabela1[[#This Row],[Nome fantasia]]="","",_xlfn.XLOOKUP($C1775,Log!D:D,Log!X:X,,,-1)),"")</f>
        <v/>
      </c>
    </row>
    <row r="1776" spans="3:18" hidden="1" x14ac:dyDescent="0.2">
      <c r="C1776" s="30" t="s">
        <v>3908</v>
      </c>
      <c r="D1776" s="110" t="s">
        <v>3909</v>
      </c>
      <c r="E1776" s="33" t="s">
        <v>22</v>
      </c>
      <c r="F1776" s="38"/>
      <c r="G1776" s="38"/>
      <c r="H1776" s="31"/>
      <c r="I1776" s="32"/>
      <c r="J1776" s="32"/>
      <c r="K1776" s="45" t="s">
        <v>888</v>
      </c>
      <c r="L1776" s="129"/>
      <c r="M1776" s="33" t="str">
        <f t="shared" si="27"/>
        <v/>
      </c>
      <c r="N1776" s="34" t="str">
        <f>IFERROR(IF(Tabela1[[#This Row],[Nome fantasia]]="","",_xlfn.XLOOKUP($C1776,Log!D:D,Log!B:B,,,-1)),"")</f>
        <v/>
      </c>
      <c r="O1776" s="35" t="str">
        <f>IFERROR(_xlfn.XLOOKUP($C1776,Log!D:D,Log!W:W,,,-1),"")</f>
        <v/>
      </c>
      <c r="P1776" s="35" t="str">
        <f>IFERROR(_xlfn.XLOOKUP($C1776,Log!D:D,Log!Y:Y,,,-1),"")</f>
        <v/>
      </c>
      <c r="Q1776" s="130"/>
      <c r="R1776" s="131" t="str">
        <f>IFERROR(IF(Tabela1[[#This Row],[Nome fantasia]]="","",_xlfn.XLOOKUP($C1776,Log!D:D,Log!X:X,,,-1)),"")</f>
        <v/>
      </c>
    </row>
    <row r="1777" spans="3:18" hidden="1" x14ac:dyDescent="0.2">
      <c r="C1777" s="30" t="s">
        <v>3824</v>
      </c>
      <c r="D1777" s="110" t="s">
        <v>3910</v>
      </c>
      <c r="E1777" s="33" t="s">
        <v>46</v>
      </c>
      <c r="F1777" s="38"/>
      <c r="G1777" s="38"/>
      <c r="H1777" s="31"/>
      <c r="I1777" s="32"/>
      <c r="J1777" s="32"/>
      <c r="K1777" s="45" t="s">
        <v>888</v>
      </c>
      <c r="L1777" s="129"/>
      <c r="M1777" s="33" t="str">
        <f t="shared" si="27"/>
        <v/>
      </c>
      <c r="N1777" s="34">
        <f>IFERROR(IF(Tabela1[[#This Row],[Nome fantasia]]="","",_xlfn.XLOOKUP($C1777,Log!D:D,Log!B:B,,,-1)),"")</f>
        <v>45999</v>
      </c>
      <c r="O1777" s="35" t="str">
        <f>IFERROR(_xlfn.XLOOKUP($C1777,Log!D:D,Log!W:W,,,-1),"")</f>
        <v>EM ATENDIMENTO</v>
      </c>
      <c r="P1777" s="35" t="str">
        <f>IFERROR(_xlfn.XLOOKUP($C1777,Log!D:D,Log!Y:Y,,,-1),"")</f>
        <v>ENVIADO PRIMEIRA MENSAGEM DE APRESENTAÇÃO</v>
      </c>
      <c r="Q1777" s="130"/>
      <c r="R1777" s="131">
        <f>IFERROR(IF(Tabela1[[#This Row],[Nome fantasia]]="","",_xlfn.XLOOKUP($C1777,Log!D:D,Log!X:X,,,-1)),"")</f>
        <v>46001</v>
      </c>
    </row>
    <row r="1778" spans="3:18" hidden="1" x14ac:dyDescent="0.2">
      <c r="C1778" s="30" t="s">
        <v>3911</v>
      </c>
      <c r="D1778" s="110" t="s">
        <v>3912</v>
      </c>
      <c r="E1778" s="33" t="s">
        <v>22</v>
      </c>
      <c r="F1778" s="38"/>
      <c r="G1778" s="38"/>
      <c r="H1778" s="31"/>
      <c r="I1778" s="32"/>
      <c r="J1778" s="32"/>
      <c r="K1778" s="45" t="s">
        <v>888</v>
      </c>
      <c r="L1778" s="129"/>
      <c r="M1778" s="33" t="str">
        <f t="shared" si="27"/>
        <v/>
      </c>
      <c r="N1778" s="34" t="str">
        <f>IFERROR(IF(Tabela1[[#This Row],[Nome fantasia]]="","",_xlfn.XLOOKUP($C1778,Log!D:D,Log!B:B,,,-1)),"")</f>
        <v/>
      </c>
      <c r="O1778" s="35" t="str">
        <f>IFERROR(_xlfn.XLOOKUP($C1778,Log!D:D,Log!W:W,,,-1),"")</f>
        <v/>
      </c>
      <c r="P1778" s="35" t="str">
        <f>IFERROR(_xlfn.XLOOKUP($C1778,Log!D:D,Log!Y:Y,,,-1),"")</f>
        <v/>
      </c>
      <c r="Q1778" s="130"/>
      <c r="R1778" s="131" t="str">
        <f>IFERROR(IF(Tabela1[[#This Row],[Nome fantasia]]="","",_xlfn.XLOOKUP($C1778,Log!D:D,Log!X:X,,,-1)),"")</f>
        <v/>
      </c>
    </row>
    <row r="1779" spans="3:18" hidden="1" x14ac:dyDescent="0.2">
      <c r="C1779" s="30" t="s">
        <v>3913</v>
      </c>
      <c r="D1779" s="110" t="s">
        <v>3914</v>
      </c>
      <c r="E1779" s="33" t="s">
        <v>46</v>
      </c>
      <c r="F1779" s="38"/>
      <c r="G1779" s="38"/>
      <c r="H1779" s="31"/>
      <c r="I1779" s="32"/>
      <c r="J1779" s="32"/>
      <c r="K1779" s="45" t="s">
        <v>888</v>
      </c>
      <c r="L1779" s="129"/>
      <c r="M1779" s="33" t="str">
        <f t="shared" si="27"/>
        <v/>
      </c>
      <c r="N1779" s="34" t="str">
        <f>IFERROR(IF(Tabela1[[#This Row],[Nome fantasia]]="","",_xlfn.XLOOKUP($C1779,Log!D:D,Log!B:B,,,-1)),"")</f>
        <v/>
      </c>
      <c r="O1779" s="35" t="str">
        <f>IFERROR(_xlfn.XLOOKUP($C1779,Log!D:D,Log!W:W,,,-1),"")</f>
        <v/>
      </c>
      <c r="P1779" s="35" t="str">
        <f>IFERROR(_xlfn.XLOOKUP($C1779,Log!D:D,Log!Y:Y,,,-1),"")</f>
        <v/>
      </c>
      <c r="Q1779" s="130"/>
      <c r="R1779" s="131" t="str">
        <f>IFERROR(IF(Tabela1[[#This Row],[Nome fantasia]]="","",_xlfn.XLOOKUP($C1779,Log!D:D,Log!X:X,,,-1)),"")</f>
        <v/>
      </c>
    </row>
    <row r="1780" spans="3:18" hidden="1" x14ac:dyDescent="0.2">
      <c r="C1780" s="30" t="s">
        <v>3915</v>
      </c>
      <c r="D1780" s="110" t="s">
        <v>3916</v>
      </c>
      <c r="E1780" s="33" t="s">
        <v>46</v>
      </c>
      <c r="F1780" s="38"/>
      <c r="G1780" s="38"/>
      <c r="H1780" s="31"/>
      <c r="I1780" s="32"/>
      <c r="J1780" s="32"/>
      <c r="K1780" s="45" t="s">
        <v>888</v>
      </c>
      <c r="L1780" s="129"/>
      <c r="M1780" s="33" t="str">
        <f t="shared" si="27"/>
        <v/>
      </c>
      <c r="N1780" s="34" t="str">
        <f>IFERROR(IF(Tabela1[[#This Row],[Nome fantasia]]="","",_xlfn.XLOOKUP($C1780,Log!D:D,Log!B:B,,,-1)),"")</f>
        <v/>
      </c>
      <c r="O1780" s="35" t="str">
        <f>IFERROR(_xlfn.XLOOKUP($C1780,Log!D:D,Log!W:W,,,-1),"")</f>
        <v/>
      </c>
      <c r="P1780" s="35" t="str">
        <f>IFERROR(_xlfn.XLOOKUP($C1780,Log!D:D,Log!Y:Y,,,-1),"")</f>
        <v/>
      </c>
      <c r="Q1780" s="130"/>
      <c r="R1780" s="131" t="str">
        <f>IFERROR(IF(Tabela1[[#This Row],[Nome fantasia]]="","",_xlfn.XLOOKUP($C1780,Log!D:D,Log!X:X,,,-1)),"")</f>
        <v/>
      </c>
    </row>
    <row r="1781" spans="3:18" hidden="1" x14ac:dyDescent="0.2">
      <c r="C1781" s="30" t="s">
        <v>3917</v>
      </c>
      <c r="D1781" s="110" t="s">
        <v>3918</v>
      </c>
      <c r="E1781" s="33" t="s">
        <v>46</v>
      </c>
      <c r="F1781" s="38"/>
      <c r="G1781" s="38"/>
      <c r="H1781" s="31"/>
      <c r="I1781" s="32"/>
      <c r="J1781" s="32"/>
      <c r="K1781" s="45" t="s">
        <v>888</v>
      </c>
      <c r="L1781" s="129"/>
      <c r="M1781" s="33" t="str">
        <f t="shared" si="27"/>
        <v/>
      </c>
      <c r="N1781" s="34" t="str">
        <f>IFERROR(IF(Tabela1[[#This Row],[Nome fantasia]]="","",_xlfn.XLOOKUP($C1781,Log!D:D,Log!B:B,,,-1)),"")</f>
        <v/>
      </c>
      <c r="O1781" s="35" t="str">
        <f>IFERROR(_xlfn.XLOOKUP($C1781,Log!D:D,Log!W:W,,,-1),"")</f>
        <v/>
      </c>
      <c r="P1781" s="35" t="str">
        <f>IFERROR(_xlfn.XLOOKUP($C1781,Log!D:D,Log!Y:Y,,,-1),"")</f>
        <v/>
      </c>
      <c r="Q1781" s="130"/>
      <c r="R1781" s="131" t="str">
        <f>IFERROR(IF(Tabela1[[#This Row],[Nome fantasia]]="","",_xlfn.XLOOKUP($C1781,Log!D:D,Log!X:X,,,-1)),"")</f>
        <v/>
      </c>
    </row>
    <row r="1782" spans="3:18" hidden="1" x14ac:dyDescent="0.2">
      <c r="C1782" s="30" t="s">
        <v>3919</v>
      </c>
      <c r="D1782" s="110" t="s">
        <v>3920</v>
      </c>
      <c r="E1782" s="33" t="s">
        <v>22</v>
      </c>
      <c r="F1782" s="38"/>
      <c r="G1782" s="38"/>
      <c r="H1782" s="31"/>
      <c r="I1782" s="32"/>
      <c r="J1782" s="32"/>
      <c r="K1782" s="45" t="s">
        <v>888</v>
      </c>
      <c r="L1782" s="129"/>
      <c r="M1782" s="33" t="str">
        <f t="shared" si="27"/>
        <v/>
      </c>
      <c r="N1782" s="34" t="str">
        <f>IFERROR(IF(Tabela1[[#This Row],[Nome fantasia]]="","",_xlfn.XLOOKUP($C1782,Log!D:D,Log!B:B,,,-1)),"")</f>
        <v/>
      </c>
      <c r="O1782" s="35" t="str">
        <f>IFERROR(_xlfn.XLOOKUP($C1782,Log!D:D,Log!W:W,,,-1),"")</f>
        <v/>
      </c>
      <c r="P1782" s="35" t="str">
        <f>IFERROR(_xlfn.XLOOKUP($C1782,Log!D:D,Log!Y:Y,,,-1),"")</f>
        <v/>
      </c>
      <c r="Q1782" s="130"/>
      <c r="R1782" s="131" t="str">
        <f>IFERROR(IF(Tabela1[[#This Row],[Nome fantasia]]="","",_xlfn.XLOOKUP($C1782,Log!D:D,Log!X:X,,,-1)),"")</f>
        <v/>
      </c>
    </row>
    <row r="1783" spans="3:18" hidden="1" x14ac:dyDescent="0.2">
      <c r="C1783" s="30"/>
      <c r="D1783" s="110" t="s">
        <v>3921</v>
      </c>
      <c r="E1783" s="33" t="s">
        <v>46</v>
      </c>
      <c r="F1783" s="38"/>
      <c r="G1783" s="38"/>
      <c r="H1783" s="31"/>
      <c r="I1783" s="32"/>
      <c r="J1783" s="32"/>
      <c r="K1783" s="45" t="s">
        <v>888</v>
      </c>
      <c r="L1783" s="129"/>
      <c r="M1783" s="33" t="str">
        <f t="shared" si="27"/>
        <v/>
      </c>
      <c r="N1783" s="34" t="str">
        <f>IFERROR(IF(Tabela1[[#This Row],[Nome fantasia]]="","",_xlfn.XLOOKUP($C1783,Log!D:D,Log!B:B,,,-1)),"")</f>
        <v/>
      </c>
      <c r="O1783" s="35" t="str">
        <f>IFERROR(_xlfn.XLOOKUP($C1783,Log!D:D,Log!W:W,,,-1),"")</f>
        <v/>
      </c>
      <c r="P1783" s="35" t="str">
        <f>IFERROR(_xlfn.XLOOKUP($C1783,Log!D:D,Log!Y:Y,,,-1),"")</f>
        <v/>
      </c>
      <c r="Q1783" s="130"/>
      <c r="R1783" s="131" t="str">
        <f>IFERROR(IF(Tabela1[[#This Row],[Nome fantasia]]="","",_xlfn.XLOOKUP($C1783,Log!D:D,Log!X:X,,,-1)),"")</f>
        <v/>
      </c>
    </row>
    <row r="1784" spans="3:18" hidden="1" x14ac:dyDescent="0.2">
      <c r="C1784" s="30" t="s">
        <v>3923</v>
      </c>
      <c r="D1784" s="110" t="s">
        <v>3924</v>
      </c>
      <c r="E1784" s="33" t="s">
        <v>46</v>
      </c>
      <c r="F1784" s="38"/>
      <c r="G1784" s="38"/>
      <c r="H1784" s="31"/>
      <c r="I1784" s="32"/>
      <c r="J1784" s="32"/>
      <c r="K1784" s="45" t="s">
        <v>888</v>
      </c>
      <c r="L1784" s="129"/>
      <c r="M1784" s="33" t="str">
        <f t="shared" si="27"/>
        <v/>
      </c>
      <c r="N1784" s="34" t="str">
        <f>IFERROR(IF(Tabela1[[#This Row],[Nome fantasia]]="","",_xlfn.XLOOKUP($C1784,Log!D:D,Log!B:B,,,-1)),"")</f>
        <v/>
      </c>
      <c r="O1784" s="35" t="str">
        <f>IFERROR(_xlfn.XLOOKUP($C1784,Log!D:D,Log!W:W,,,-1),"")</f>
        <v/>
      </c>
      <c r="P1784" s="35" t="str">
        <f>IFERROR(_xlfn.XLOOKUP($C1784,Log!D:D,Log!Y:Y,,,-1),"")</f>
        <v/>
      </c>
      <c r="Q1784" s="130"/>
      <c r="R1784" s="131" t="str">
        <f>IFERROR(IF(Tabela1[[#This Row],[Nome fantasia]]="","",_xlfn.XLOOKUP($C1784,Log!D:D,Log!X:X,,,-1)),"")</f>
        <v/>
      </c>
    </row>
    <row r="1785" spans="3:18" hidden="1" x14ac:dyDescent="0.2">
      <c r="C1785" s="30" t="s">
        <v>3925</v>
      </c>
      <c r="D1785" s="110" t="s">
        <v>1241</v>
      </c>
      <c r="E1785" s="33" t="s">
        <v>46</v>
      </c>
      <c r="F1785" s="38"/>
      <c r="G1785" s="38"/>
      <c r="H1785" s="31"/>
      <c r="I1785" s="32"/>
      <c r="J1785" s="32"/>
      <c r="K1785" s="45" t="s">
        <v>888</v>
      </c>
      <c r="L1785" s="129"/>
      <c r="M1785" s="33" t="str">
        <f t="shared" si="27"/>
        <v/>
      </c>
      <c r="N1785" s="34" t="str">
        <f>IFERROR(IF(Tabela1[[#This Row],[Nome fantasia]]="","",_xlfn.XLOOKUP($C1785,Log!D:D,Log!B:B,,,-1)),"")</f>
        <v/>
      </c>
      <c r="O1785" s="35" t="str">
        <f>IFERROR(_xlfn.XLOOKUP($C1785,Log!D:D,Log!W:W,,,-1),"")</f>
        <v/>
      </c>
      <c r="P1785" s="35" t="str">
        <f>IFERROR(_xlfn.XLOOKUP($C1785,Log!D:D,Log!Y:Y,,,-1),"")</f>
        <v/>
      </c>
      <c r="Q1785" s="130"/>
      <c r="R1785" s="131" t="str">
        <f>IFERROR(IF(Tabela1[[#This Row],[Nome fantasia]]="","",_xlfn.XLOOKUP($C1785,Log!D:D,Log!X:X,,,-1)),"")</f>
        <v/>
      </c>
    </row>
    <row r="1786" spans="3:18" hidden="1" x14ac:dyDescent="0.2">
      <c r="C1786" s="30" t="s">
        <v>3926</v>
      </c>
      <c r="D1786" s="110" t="s">
        <v>3927</v>
      </c>
      <c r="E1786" s="33" t="s">
        <v>46</v>
      </c>
      <c r="F1786" s="38"/>
      <c r="G1786" s="38"/>
      <c r="H1786" s="31"/>
      <c r="I1786" s="32"/>
      <c r="J1786" s="32"/>
      <c r="K1786" s="45" t="s">
        <v>888</v>
      </c>
      <c r="L1786" s="129"/>
      <c r="M1786" s="33" t="str">
        <f t="shared" si="27"/>
        <v/>
      </c>
      <c r="N1786" s="34" t="str">
        <f>IFERROR(IF(Tabela1[[#This Row],[Nome fantasia]]="","",_xlfn.XLOOKUP($C1786,Log!D:D,Log!B:B,,,-1)),"")</f>
        <v/>
      </c>
      <c r="O1786" s="35" t="str">
        <f>IFERROR(_xlfn.XLOOKUP($C1786,Log!D:D,Log!W:W,,,-1),"")</f>
        <v/>
      </c>
      <c r="P1786" s="35" t="str">
        <f>IFERROR(_xlfn.XLOOKUP($C1786,Log!D:D,Log!Y:Y,,,-1),"")</f>
        <v/>
      </c>
      <c r="Q1786" s="130"/>
      <c r="R1786" s="131" t="str">
        <f>IFERROR(IF(Tabela1[[#This Row],[Nome fantasia]]="","",_xlfn.XLOOKUP($C1786,Log!D:D,Log!X:X,,,-1)),"")</f>
        <v/>
      </c>
    </row>
    <row r="1787" spans="3:18" hidden="1" x14ac:dyDescent="0.2">
      <c r="C1787" s="30" t="s">
        <v>3928</v>
      </c>
      <c r="D1787" s="110" t="s">
        <v>3929</v>
      </c>
      <c r="E1787" s="33" t="s">
        <v>46</v>
      </c>
      <c r="F1787" s="38"/>
      <c r="G1787" s="38"/>
      <c r="H1787" s="31"/>
      <c r="I1787" s="32"/>
      <c r="J1787" s="32"/>
      <c r="K1787" s="45" t="s">
        <v>888</v>
      </c>
      <c r="L1787" s="129"/>
      <c r="M1787" s="33" t="str">
        <f t="shared" si="27"/>
        <v/>
      </c>
      <c r="N1787" s="34" t="str">
        <f>IFERROR(IF(Tabela1[[#This Row],[Nome fantasia]]="","",_xlfn.XLOOKUP($C1787,Log!D:D,Log!B:B,,,-1)),"")</f>
        <v/>
      </c>
      <c r="O1787" s="35" t="str">
        <f>IFERROR(_xlfn.XLOOKUP($C1787,Log!D:D,Log!W:W,,,-1),"")</f>
        <v/>
      </c>
      <c r="P1787" s="35" t="str">
        <f>IFERROR(_xlfn.XLOOKUP($C1787,Log!D:D,Log!Y:Y,,,-1),"")</f>
        <v/>
      </c>
      <c r="Q1787" s="130"/>
      <c r="R1787" s="131" t="str">
        <f>IFERROR(IF(Tabela1[[#This Row],[Nome fantasia]]="","",_xlfn.XLOOKUP($C1787,Log!D:D,Log!X:X,,,-1)),"")</f>
        <v/>
      </c>
    </row>
    <row r="1788" spans="3:18" hidden="1" x14ac:dyDescent="0.2">
      <c r="C1788" s="30" t="s">
        <v>3930</v>
      </c>
      <c r="D1788" s="110" t="s">
        <v>3931</v>
      </c>
      <c r="E1788" s="33" t="s">
        <v>17</v>
      </c>
      <c r="F1788" s="38"/>
      <c r="G1788" s="38"/>
      <c r="H1788" s="31"/>
      <c r="I1788" s="32"/>
      <c r="J1788" s="32"/>
      <c r="K1788" s="45" t="s">
        <v>888</v>
      </c>
      <c r="L1788" s="129"/>
      <c r="M1788" s="33" t="str">
        <f t="shared" si="27"/>
        <v/>
      </c>
      <c r="N1788" s="34" t="str">
        <f>IFERROR(IF(Tabela1[[#This Row],[Nome fantasia]]="","",_xlfn.XLOOKUP($C1788,Log!D:D,Log!B:B,,,-1)),"")</f>
        <v/>
      </c>
      <c r="O1788" s="35" t="str">
        <f>IFERROR(_xlfn.XLOOKUP($C1788,Log!D:D,Log!W:W,,,-1),"")</f>
        <v/>
      </c>
      <c r="P1788" s="35" t="str">
        <f>IFERROR(_xlfn.XLOOKUP($C1788,Log!D:D,Log!Y:Y,,,-1),"")</f>
        <v/>
      </c>
      <c r="Q1788" s="130"/>
      <c r="R1788" s="131" t="str">
        <f>IFERROR(IF(Tabela1[[#This Row],[Nome fantasia]]="","",_xlfn.XLOOKUP($C1788,Log!D:D,Log!X:X,,,-1)),"")</f>
        <v/>
      </c>
    </row>
    <row r="1789" spans="3:18" hidden="1" x14ac:dyDescent="0.2">
      <c r="C1789" s="30" t="s">
        <v>2233</v>
      </c>
      <c r="D1789" s="110" t="s">
        <v>3932</v>
      </c>
      <c r="E1789" s="33" t="s">
        <v>22</v>
      </c>
      <c r="F1789" s="38"/>
      <c r="G1789" s="38"/>
      <c r="H1789" s="31"/>
      <c r="I1789" s="32"/>
      <c r="J1789" s="32"/>
      <c r="K1789" s="45" t="s">
        <v>888</v>
      </c>
      <c r="L1789" s="129"/>
      <c r="M1789" s="33" t="str">
        <f t="shared" si="27"/>
        <v/>
      </c>
      <c r="N1789" s="34" t="str">
        <f>IFERROR(IF(Tabela1[[#This Row],[Nome fantasia]]="","",_xlfn.XLOOKUP($C1789,Log!D:D,Log!B:B,,,-1)),"")</f>
        <v/>
      </c>
      <c r="O1789" s="35" t="str">
        <f>IFERROR(_xlfn.XLOOKUP($C1789,Log!D:D,Log!W:W,,,-1),"")</f>
        <v/>
      </c>
      <c r="P1789" s="35" t="str">
        <f>IFERROR(_xlfn.XLOOKUP($C1789,Log!D:D,Log!Y:Y,,,-1),"")</f>
        <v/>
      </c>
      <c r="Q1789" s="130"/>
      <c r="R1789" s="131" t="str">
        <f>IFERROR(IF(Tabela1[[#This Row],[Nome fantasia]]="","",_xlfn.XLOOKUP($C1789,Log!D:D,Log!X:X,,,-1)),"")</f>
        <v/>
      </c>
    </row>
    <row r="1790" spans="3:18" hidden="1" x14ac:dyDescent="0.2">
      <c r="C1790" s="30" t="s">
        <v>3933</v>
      </c>
      <c r="D1790" s="110" t="s">
        <v>3934</v>
      </c>
      <c r="E1790" s="33" t="s">
        <v>46</v>
      </c>
      <c r="F1790" s="38"/>
      <c r="G1790" s="38"/>
      <c r="H1790" s="31"/>
      <c r="I1790" s="32"/>
      <c r="J1790" s="32"/>
      <c r="K1790" s="45" t="s">
        <v>888</v>
      </c>
      <c r="L1790" s="129"/>
      <c r="M1790" s="33" t="str">
        <f t="shared" si="27"/>
        <v/>
      </c>
      <c r="N1790" s="34" t="str">
        <f>IFERROR(IF(Tabela1[[#This Row],[Nome fantasia]]="","",_xlfn.XLOOKUP($C1790,Log!D:D,Log!B:B,,,-1)),"")</f>
        <v/>
      </c>
      <c r="O1790" s="35" t="str">
        <f>IFERROR(_xlfn.XLOOKUP($C1790,Log!D:D,Log!W:W,,,-1),"")</f>
        <v/>
      </c>
      <c r="P1790" s="35" t="str">
        <f>IFERROR(_xlfn.XLOOKUP($C1790,Log!D:D,Log!Y:Y,,,-1),"")</f>
        <v/>
      </c>
      <c r="Q1790" s="130"/>
      <c r="R1790" s="131" t="str">
        <f>IFERROR(IF(Tabela1[[#This Row],[Nome fantasia]]="","",_xlfn.XLOOKUP($C1790,Log!D:D,Log!X:X,,,-1)),"")</f>
        <v/>
      </c>
    </row>
    <row r="1791" spans="3:18" hidden="1" x14ac:dyDescent="0.2">
      <c r="C1791" s="30" t="s">
        <v>3935</v>
      </c>
      <c r="D1791" s="110" t="s">
        <v>3936</v>
      </c>
      <c r="E1791" s="33" t="s">
        <v>22</v>
      </c>
      <c r="F1791" s="38"/>
      <c r="G1791" s="38"/>
      <c r="H1791" s="31"/>
      <c r="I1791" s="32"/>
      <c r="J1791" s="32"/>
      <c r="K1791" s="45" t="s">
        <v>888</v>
      </c>
      <c r="L1791" s="129"/>
      <c r="M1791" s="33" t="str">
        <f t="shared" si="27"/>
        <v/>
      </c>
      <c r="N1791" s="34" t="str">
        <f>IFERROR(IF(Tabela1[[#This Row],[Nome fantasia]]="","",_xlfn.XLOOKUP($C1791,Log!D:D,Log!B:B,,,-1)),"")</f>
        <v/>
      </c>
      <c r="O1791" s="35" t="str">
        <f>IFERROR(_xlfn.XLOOKUP($C1791,Log!D:D,Log!W:W,,,-1),"")</f>
        <v/>
      </c>
      <c r="P1791" s="35" t="str">
        <f>IFERROR(_xlfn.XLOOKUP($C1791,Log!D:D,Log!Y:Y,,,-1),"")</f>
        <v/>
      </c>
      <c r="Q1791" s="130"/>
      <c r="R1791" s="131" t="str">
        <f>IFERROR(IF(Tabela1[[#This Row],[Nome fantasia]]="","",_xlfn.XLOOKUP($C1791,Log!D:D,Log!X:X,,,-1)),"")</f>
        <v/>
      </c>
    </row>
    <row r="1792" spans="3:18" hidden="1" x14ac:dyDescent="0.2">
      <c r="C1792" s="30" t="s">
        <v>3937</v>
      </c>
      <c r="D1792" s="110" t="s">
        <v>3938</v>
      </c>
      <c r="E1792" s="33" t="s">
        <v>22</v>
      </c>
      <c r="F1792" s="38"/>
      <c r="G1792" s="38"/>
      <c r="H1792" s="31"/>
      <c r="I1792" s="32"/>
      <c r="J1792" s="32"/>
      <c r="K1792" s="45" t="s">
        <v>888</v>
      </c>
      <c r="L1792" s="129"/>
      <c r="M1792" s="33" t="str">
        <f t="shared" si="27"/>
        <v/>
      </c>
      <c r="N1792" s="34" t="str">
        <f>IFERROR(IF(Tabela1[[#This Row],[Nome fantasia]]="","",_xlfn.XLOOKUP($C1792,Log!D:D,Log!B:B,,,-1)),"")</f>
        <v/>
      </c>
      <c r="O1792" s="35" t="str">
        <f>IFERROR(_xlfn.XLOOKUP($C1792,Log!D:D,Log!W:W,,,-1),"")</f>
        <v/>
      </c>
      <c r="P1792" s="35" t="str">
        <f>IFERROR(_xlfn.XLOOKUP($C1792,Log!D:D,Log!Y:Y,,,-1),"")</f>
        <v/>
      </c>
      <c r="Q1792" s="130"/>
      <c r="R1792" s="131" t="str">
        <f>IFERROR(IF(Tabela1[[#This Row],[Nome fantasia]]="","",_xlfn.XLOOKUP($C1792,Log!D:D,Log!X:X,,,-1)),"")</f>
        <v/>
      </c>
    </row>
    <row r="1793" spans="3:18" hidden="1" x14ac:dyDescent="0.2">
      <c r="C1793" s="30" t="s">
        <v>3939</v>
      </c>
      <c r="D1793" s="110" t="s">
        <v>3940</v>
      </c>
      <c r="E1793" s="33" t="s">
        <v>46</v>
      </c>
      <c r="F1793" s="38"/>
      <c r="G1793" s="38"/>
      <c r="H1793" s="31"/>
      <c r="I1793" s="32"/>
      <c r="J1793" s="32"/>
      <c r="K1793" s="45" t="s">
        <v>888</v>
      </c>
      <c r="L1793" s="129"/>
      <c r="M1793" s="33" t="str">
        <f t="shared" si="27"/>
        <v/>
      </c>
      <c r="N1793" s="34" t="str">
        <f>IFERROR(IF(Tabela1[[#This Row],[Nome fantasia]]="","",_xlfn.XLOOKUP($C1793,Log!D:D,Log!B:B,,,-1)),"")</f>
        <v/>
      </c>
      <c r="O1793" s="35" t="str">
        <f>IFERROR(_xlfn.XLOOKUP($C1793,Log!D:D,Log!W:W,,,-1),"")</f>
        <v/>
      </c>
      <c r="P1793" s="35" t="str">
        <f>IFERROR(_xlfn.XLOOKUP($C1793,Log!D:D,Log!Y:Y,,,-1),"")</f>
        <v/>
      </c>
      <c r="Q1793" s="130"/>
      <c r="R1793" s="131" t="str">
        <f>IFERROR(IF(Tabela1[[#This Row],[Nome fantasia]]="","",_xlfn.XLOOKUP($C1793,Log!D:D,Log!X:X,,,-1)),"")</f>
        <v/>
      </c>
    </row>
    <row r="1794" spans="3:18" hidden="1" x14ac:dyDescent="0.2">
      <c r="C1794" s="30" t="s">
        <v>3941</v>
      </c>
      <c r="D1794" s="110" t="s">
        <v>3942</v>
      </c>
      <c r="E1794" s="33" t="s">
        <v>46</v>
      </c>
      <c r="F1794" s="38"/>
      <c r="G1794" s="38"/>
      <c r="H1794" s="31"/>
      <c r="I1794" s="32"/>
      <c r="J1794" s="32"/>
      <c r="K1794" s="45" t="s">
        <v>888</v>
      </c>
      <c r="L1794" s="129"/>
      <c r="M1794" s="33" t="str">
        <f t="shared" si="27"/>
        <v/>
      </c>
      <c r="N1794" s="34" t="str">
        <f>IFERROR(IF(Tabela1[[#This Row],[Nome fantasia]]="","",_xlfn.XLOOKUP($C1794,Log!D:D,Log!B:B,,,-1)),"")</f>
        <v/>
      </c>
      <c r="O1794" s="35" t="str">
        <f>IFERROR(_xlfn.XLOOKUP($C1794,Log!D:D,Log!W:W,,,-1),"")</f>
        <v/>
      </c>
      <c r="P1794" s="35" t="str">
        <f>IFERROR(_xlfn.XLOOKUP($C1794,Log!D:D,Log!Y:Y,,,-1),"")</f>
        <v/>
      </c>
      <c r="Q1794" s="130"/>
      <c r="R1794" s="131" t="str">
        <f>IFERROR(IF(Tabela1[[#This Row],[Nome fantasia]]="","",_xlfn.XLOOKUP($C1794,Log!D:D,Log!X:X,,,-1)),"")</f>
        <v/>
      </c>
    </row>
    <row r="1795" spans="3:18" hidden="1" x14ac:dyDescent="0.2">
      <c r="C1795" s="30" t="s">
        <v>3943</v>
      </c>
      <c r="D1795" s="110" t="s">
        <v>3944</v>
      </c>
      <c r="E1795" s="33" t="s">
        <v>46</v>
      </c>
      <c r="F1795" s="38"/>
      <c r="G1795" s="38"/>
      <c r="H1795" s="31"/>
      <c r="I1795" s="32"/>
      <c r="J1795" s="32"/>
      <c r="K1795" s="45" t="s">
        <v>888</v>
      </c>
      <c r="L1795" s="129"/>
      <c r="M1795" s="33" t="str">
        <f t="shared" ref="M1795:M1858" si="28">IF(OR(J1795&lt;=0,J1795=""),"","Recompra")</f>
        <v/>
      </c>
      <c r="N1795" s="34" t="str">
        <f>IFERROR(IF(Tabela1[[#This Row],[Nome fantasia]]="","",_xlfn.XLOOKUP($C1795,Log!D:D,Log!B:B,,,-1)),"")</f>
        <v/>
      </c>
      <c r="O1795" s="35" t="str">
        <f>IFERROR(_xlfn.XLOOKUP($C1795,Log!D:D,Log!W:W,,,-1),"")</f>
        <v/>
      </c>
      <c r="P1795" s="35" t="str">
        <f>IFERROR(_xlfn.XLOOKUP($C1795,Log!D:D,Log!Y:Y,,,-1),"")</f>
        <v/>
      </c>
      <c r="Q1795" s="130"/>
      <c r="R1795" s="131" t="str">
        <f>IFERROR(IF(Tabela1[[#This Row],[Nome fantasia]]="","",_xlfn.XLOOKUP($C1795,Log!D:D,Log!X:X,,,-1)),"")</f>
        <v/>
      </c>
    </row>
    <row r="1796" spans="3:18" hidden="1" x14ac:dyDescent="0.2">
      <c r="C1796" s="30" t="s">
        <v>3148</v>
      </c>
      <c r="D1796" s="110" t="s">
        <v>3945</v>
      </c>
      <c r="E1796" s="33" t="s">
        <v>46</v>
      </c>
      <c r="F1796" s="38"/>
      <c r="G1796" s="38"/>
      <c r="H1796" s="31"/>
      <c r="I1796" s="32"/>
      <c r="J1796" s="32"/>
      <c r="K1796" s="45" t="s">
        <v>888</v>
      </c>
      <c r="L1796" s="129"/>
      <c r="M1796" s="33" t="str">
        <f t="shared" si="28"/>
        <v/>
      </c>
      <c r="N1796" s="34" t="str">
        <f>IFERROR(IF(Tabela1[[#This Row],[Nome fantasia]]="","",_xlfn.XLOOKUP($C1796,Log!D:D,Log!B:B,,,-1)),"")</f>
        <v/>
      </c>
      <c r="O1796" s="35" t="str">
        <f>IFERROR(_xlfn.XLOOKUP($C1796,Log!D:D,Log!W:W,,,-1),"")</f>
        <v/>
      </c>
      <c r="P1796" s="35" t="str">
        <f>IFERROR(_xlfn.XLOOKUP($C1796,Log!D:D,Log!Y:Y,,,-1),"")</f>
        <v/>
      </c>
      <c r="Q1796" s="130"/>
      <c r="R1796" s="131" t="str">
        <f>IFERROR(IF(Tabela1[[#This Row],[Nome fantasia]]="","",_xlfn.XLOOKUP($C1796,Log!D:D,Log!X:X,,,-1)),"")</f>
        <v/>
      </c>
    </row>
    <row r="1797" spans="3:18" hidden="1" x14ac:dyDescent="0.2">
      <c r="C1797" s="30" t="s">
        <v>3946</v>
      </c>
      <c r="D1797" s="110" t="s">
        <v>3947</v>
      </c>
      <c r="E1797" s="33" t="s">
        <v>22</v>
      </c>
      <c r="F1797" s="38"/>
      <c r="G1797" s="38"/>
      <c r="H1797" s="31"/>
      <c r="I1797" s="32"/>
      <c r="J1797" s="32"/>
      <c r="K1797" s="45" t="s">
        <v>888</v>
      </c>
      <c r="L1797" s="129"/>
      <c r="M1797" s="33" t="str">
        <f t="shared" si="28"/>
        <v/>
      </c>
      <c r="N1797" s="34" t="str">
        <f>IFERROR(IF(Tabela1[[#This Row],[Nome fantasia]]="","",_xlfn.XLOOKUP($C1797,Log!D:D,Log!B:B,,,-1)),"")</f>
        <v/>
      </c>
      <c r="O1797" s="35" t="str">
        <f>IFERROR(_xlfn.XLOOKUP($C1797,Log!D:D,Log!W:W,,,-1),"")</f>
        <v/>
      </c>
      <c r="P1797" s="35" t="str">
        <f>IFERROR(_xlfn.XLOOKUP($C1797,Log!D:D,Log!Y:Y,,,-1),"")</f>
        <v/>
      </c>
      <c r="Q1797" s="130"/>
      <c r="R1797" s="131" t="str">
        <f>IFERROR(IF(Tabela1[[#This Row],[Nome fantasia]]="","",_xlfn.XLOOKUP($C1797,Log!D:D,Log!X:X,,,-1)),"")</f>
        <v/>
      </c>
    </row>
    <row r="1798" spans="3:18" hidden="1" x14ac:dyDescent="0.2">
      <c r="C1798" s="30" t="s">
        <v>3948</v>
      </c>
      <c r="D1798" s="110" t="s">
        <v>3949</v>
      </c>
      <c r="E1798" s="33" t="s">
        <v>46</v>
      </c>
      <c r="F1798" s="38"/>
      <c r="G1798" s="38"/>
      <c r="H1798" s="31"/>
      <c r="I1798" s="32"/>
      <c r="J1798" s="32"/>
      <c r="K1798" s="45" t="s">
        <v>888</v>
      </c>
      <c r="L1798" s="129"/>
      <c r="M1798" s="33" t="str">
        <f t="shared" si="28"/>
        <v/>
      </c>
      <c r="N1798" s="34" t="str">
        <f>IFERROR(IF(Tabela1[[#This Row],[Nome fantasia]]="","",_xlfn.XLOOKUP($C1798,Log!D:D,Log!B:B,,,-1)),"")</f>
        <v/>
      </c>
      <c r="O1798" s="35" t="str">
        <f>IFERROR(_xlfn.XLOOKUP($C1798,Log!D:D,Log!W:W,,,-1),"")</f>
        <v/>
      </c>
      <c r="P1798" s="35" t="str">
        <f>IFERROR(_xlfn.XLOOKUP($C1798,Log!D:D,Log!Y:Y,,,-1),"")</f>
        <v/>
      </c>
      <c r="Q1798" s="130"/>
      <c r="R1798" s="131" t="str">
        <f>IFERROR(IF(Tabela1[[#This Row],[Nome fantasia]]="","",_xlfn.XLOOKUP($C1798,Log!D:D,Log!X:X,,,-1)),"")</f>
        <v/>
      </c>
    </row>
    <row r="1799" spans="3:18" hidden="1" x14ac:dyDescent="0.2">
      <c r="C1799" s="30" t="s">
        <v>3950</v>
      </c>
      <c r="D1799" s="110" t="s">
        <v>3951</v>
      </c>
      <c r="E1799" s="33" t="s">
        <v>46</v>
      </c>
      <c r="F1799" s="38"/>
      <c r="G1799" s="38"/>
      <c r="H1799" s="31"/>
      <c r="I1799" s="32"/>
      <c r="J1799" s="32"/>
      <c r="K1799" s="45" t="s">
        <v>888</v>
      </c>
      <c r="L1799" s="129"/>
      <c r="M1799" s="33" t="str">
        <f t="shared" si="28"/>
        <v/>
      </c>
      <c r="N1799" s="34" t="str">
        <f>IFERROR(IF(Tabela1[[#This Row],[Nome fantasia]]="","",_xlfn.XLOOKUP($C1799,Log!D:D,Log!B:B,,,-1)),"")</f>
        <v/>
      </c>
      <c r="O1799" s="35" t="str">
        <f>IFERROR(_xlfn.XLOOKUP($C1799,Log!D:D,Log!W:W,,,-1),"")</f>
        <v/>
      </c>
      <c r="P1799" s="35" t="str">
        <f>IFERROR(_xlfn.XLOOKUP($C1799,Log!D:D,Log!Y:Y,,,-1),"")</f>
        <v/>
      </c>
      <c r="Q1799" s="130"/>
      <c r="R1799" s="131" t="str">
        <f>IFERROR(IF(Tabela1[[#This Row],[Nome fantasia]]="","",_xlfn.XLOOKUP($C1799,Log!D:D,Log!X:X,,,-1)),"")</f>
        <v/>
      </c>
    </row>
    <row r="1800" spans="3:18" hidden="1" x14ac:dyDescent="0.2">
      <c r="C1800" s="30" t="s">
        <v>3952</v>
      </c>
      <c r="D1800" s="110" t="s">
        <v>3953</v>
      </c>
      <c r="E1800" s="33" t="s">
        <v>46</v>
      </c>
      <c r="F1800" s="38"/>
      <c r="G1800" s="38"/>
      <c r="H1800" s="31"/>
      <c r="I1800" s="32"/>
      <c r="J1800" s="32"/>
      <c r="K1800" s="45" t="s">
        <v>888</v>
      </c>
      <c r="L1800" s="129"/>
      <c r="M1800" s="33" t="str">
        <f t="shared" si="28"/>
        <v/>
      </c>
      <c r="N1800" s="34" t="str">
        <f>IFERROR(IF(Tabela1[[#This Row],[Nome fantasia]]="","",_xlfn.XLOOKUP($C1800,Log!D:D,Log!B:B,,,-1)),"")</f>
        <v/>
      </c>
      <c r="O1800" s="35" t="str">
        <f>IFERROR(_xlfn.XLOOKUP($C1800,Log!D:D,Log!W:W,,,-1),"")</f>
        <v/>
      </c>
      <c r="P1800" s="35" t="str">
        <f>IFERROR(_xlfn.XLOOKUP($C1800,Log!D:D,Log!Y:Y,,,-1),"")</f>
        <v/>
      </c>
      <c r="Q1800" s="130"/>
      <c r="R1800" s="131" t="str">
        <f>IFERROR(IF(Tabela1[[#This Row],[Nome fantasia]]="","",_xlfn.XLOOKUP($C1800,Log!D:D,Log!X:X,,,-1)),"")</f>
        <v/>
      </c>
    </row>
    <row r="1801" spans="3:18" hidden="1" x14ac:dyDescent="0.2">
      <c r="C1801" s="30" t="s">
        <v>2231</v>
      </c>
      <c r="D1801" s="110" t="s">
        <v>3954</v>
      </c>
      <c r="E1801" s="33" t="s">
        <v>22</v>
      </c>
      <c r="F1801" s="38"/>
      <c r="G1801" s="38"/>
      <c r="H1801" s="31"/>
      <c r="I1801" s="32"/>
      <c r="J1801" s="32"/>
      <c r="K1801" s="45" t="s">
        <v>888</v>
      </c>
      <c r="L1801" s="129"/>
      <c r="M1801" s="33" t="str">
        <f t="shared" si="28"/>
        <v/>
      </c>
      <c r="N1801" s="34" t="str">
        <f>IFERROR(IF(Tabela1[[#This Row],[Nome fantasia]]="","",_xlfn.XLOOKUP($C1801,Log!D:D,Log!B:B,,,-1)),"")</f>
        <v/>
      </c>
      <c r="O1801" s="35" t="str">
        <f>IFERROR(_xlfn.XLOOKUP($C1801,Log!D:D,Log!W:W,,,-1),"")</f>
        <v/>
      </c>
      <c r="P1801" s="35" t="str">
        <f>IFERROR(_xlfn.XLOOKUP($C1801,Log!D:D,Log!Y:Y,,,-1),"")</f>
        <v/>
      </c>
      <c r="Q1801" s="130"/>
      <c r="R1801" s="131" t="str">
        <f>IFERROR(IF(Tabela1[[#This Row],[Nome fantasia]]="","",_xlfn.XLOOKUP($C1801,Log!D:D,Log!X:X,,,-1)),"")</f>
        <v/>
      </c>
    </row>
    <row r="1802" spans="3:18" hidden="1" x14ac:dyDescent="0.2">
      <c r="C1802" s="30" t="s">
        <v>2423</v>
      </c>
      <c r="D1802" s="110" t="s">
        <v>3955</v>
      </c>
      <c r="E1802" s="33" t="s">
        <v>22</v>
      </c>
      <c r="F1802" s="38"/>
      <c r="G1802" s="38"/>
      <c r="H1802" s="31"/>
      <c r="I1802" s="32"/>
      <c r="J1802" s="32"/>
      <c r="K1802" s="45" t="s">
        <v>888</v>
      </c>
      <c r="L1802" s="129"/>
      <c r="M1802" s="33" t="str">
        <f t="shared" si="28"/>
        <v/>
      </c>
      <c r="N1802" s="34" t="str">
        <f>IFERROR(IF(Tabela1[[#This Row],[Nome fantasia]]="","",_xlfn.XLOOKUP($C1802,Log!D:D,Log!B:B,,,-1)),"")</f>
        <v/>
      </c>
      <c r="O1802" s="35" t="str">
        <f>IFERROR(_xlfn.XLOOKUP($C1802,Log!D:D,Log!W:W,,,-1),"")</f>
        <v/>
      </c>
      <c r="P1802" s="35" t="str">
        <f>IFERROR(_xlfn.XLOOKUP($C1802,Log!D:D,Log!Y:Y,,,-1),"")</f>
        <v/>
      </c>
      <c r="Q1802" s="130"/>
      <c r="R1802" s="131" t="str">
        <f>IFERROR(IF(Tabela1[[#This Row],[Nome fantasia]]="","",_xlfn.XLOOKUP($C1802,Log!D:D,Log!X:X,,,-1)),"")</f>
        <v/>
      </c>
    </row>
    <row r="1803" spans="3:18" hidden="1" x14ac:dyDescent="0.2">
      <c r="C1803" s="30" t="s">
        <v>3956</v>
      </c>
      <c r="D1803" s="110" t="s">
        <v>3957</v>
      </c>
      <c r="E1803" s="33" t="s">
        <v>17</v>
      </c>
      <c r="F1803" s="38"/>
      <c r="G1803" s="38"/>
      <c r="H1803" s="31"/>
      <c r="I1803" s="32"/>
      <c r="J1803" s="32"/>
      <c r="K1803" s="45" t="s">
        <v>888</v>
      </c>
      <c r="L1803" s="129"/>
      <c r="M1803" s="33" t="str">
        <f t="shared" si="28"/>
        <v/>
      </c>
      <c r="N1803" s="34" t="str">
        <f>IFERROR(IF(Tabela1[[#This Row],[Nome fantasia]]="","",_xlfn.XLOOKUP($C1803,Log!D:D,Log!B:B,,,-1)),"")</f>
        <v/>
      </c>
      <c r="O1803" s="35" t="str">
        <f>IFERROR(_xlfn.XLOOKUP($C1803,Log!D:D,Log!W:W,,,-1),"")</f>
        <v/>
      </c>
      <c r="P1803" s="35" t="str">
        <f>IFERROR(_xlfn.XLOOKUP($C1803,Log!D:D,Log!Y:Y,,,-1),"")</f>
        <v/>
      </c>
      <c r="Q1803" s="130"/>
      <c r="R1803" s="131" t="str">
        <f>IFERROR(IF(Tabela1[[#This Row],[Nome fantasia]]="","",_xlfn.XLOOKUP($C1803,Log!D:D,Log!X:X,,,-1)),"")</f>
        <v/>
      </c>
    </row>
    <row r="1804" spans="3:18" hidden="1" x14ac:dyDescent="0.2">
      <c r="C1804" s="30" t="s">
        <v>3958</v>
      </c>
      <c r="D1804" s="110" t="s">
        <v>3959</v>
      </c>
      <c r="E1804" s="33" t="s">
        <v>46</v>
      </c>
      <c r="F1804" s="38"/>
      <c r="G1804" s="38"/>
      <c r="H1804" s="31"/>
      <c r="I1804" s="32"/>
      <c r="J1804" s="32"/>
      <c r="K1804" s="45" t="s">
        <v>888</v>
      </c>
      <c r="L1804" s="129"/>
      <c r="M1804" s="33" t="str">
        <f t="shared" si="28"/>
        <v/>
      </c>
      <c r="N1804" s="34" t="str">
        <f>IFERROR(IF(Tabela1[[#This Row],[Nome fantasia]]="","",_xlfn.XLOOKUP($C1804,Log!D:D,Log!B:B,,,-1)),"")</f>
        <v/>
      </c>
      <c r="O1804" s="35" t="str">
        <f>IFERROR(_xlfn.XLOOKUP($C1804,Log!D:D,Log!W:W,,,-1),"")</f>
        <v/>
      </c>
      <c r="P1804" s="35" t="str">
        <f>IFERROR(_xlfn.XLOOKUP($C1804,Log!D:D,Log!Y:Y,,,-1),"")</f>
        <v/>
      </c>
      <c r="Q1804" s="130"/>
      <c r="R1804" s="131" t="str">
        <f>IFERROR(IF(Tabela1[[#This Row],[Nome fantasia]]="","",_xlfn.XLOOKUP($C1804,Log!D:D,Log!X:X,,,-1)),"")</f>
        <v/>
      </c>
    </row>
    <row r="1805" spans="3:18" hidden="1" x14ac:dyDescent="0.2">
      <c r="C1805" s="30" t="s">
        <v>1862</v>
      </c>
      <c r="D1805" s="110" t="s">
        <v>3960</v>
      </c>
      <c r="E1805" s="33" t="s">
        <v>46</v>
      </c>
      <c r="F1805" s="38"/>
      <c r="G1805" s="38"/>
      <c r="H1805" s="31"/>
      <c r="I1805" s="32"/>
      <c r="J1805" s="32"/>
      <c r="K1805" s="45" t="s">
        <v>888</v>
      </c>
      <c r="L1805" s="129"/>
      <c r="M1805" s="33" t="str">
        <f t="shared" si="28"/>
        <v/>
      </c>
      <c r="N1805" s="34" t="str">
        <f>IFERROR(IF(Tabela1[[#This Row],[Nome fantasia]]="","",_xlfn.XLOOKUP($C1805,Log!D:D,Log!B:B,,,-1)),"")</f>
        <v/>
      </c>
      <c r="O1805" s="35" t="str">
        <f>IFERROR(_xlfn.XLOOKUP($C1805,Log!D:D,Log!W:W,,,-1),"")</f>
        <v/>
      </c>
      <c r="P1805" s="35" t="str">
        <f>IFERROR(_xlfn.XLOOKUP($C1805,Log!D:D,Log!Y:Y,,,-1),"")</f>
        <v/>
      </c>
      <c r="Q1805" s="130"/>
      <c r="R1805" s="131" t="str">
        <f>IFERROR(IF(Tabela1[[#This Row],[Nome fantasia]]="","",_xlfn.XLOOKUP($C1805,Log!D:D,Log!X:X,,,-1)),"")</f>
        <v/>
      </c>
    </row>
    <row r="1806" spans="3:18" hidden="1" x14ac:dyDescent="0.2">
      <c r="C1806" s="30" t="s">
        <v>3961</v>
      </c>
      <c r="D1806" s="110" t="s">
        <v>3962</v>
      </c>
      <c r="E1806" s="33" t="s">
        <v>46</v>
      </c>
      <c r="F1806" s="38"/>
      <c r="G1806" s="38"/>
      <c r="H1806" s="31"/>
      <c r="I1806" s="32"/>
      <c r="J1806" s="32"/>
      <c r="K1806" s="45" t="s">
        <v>888</v>
      </c>
      <c r="L1806" s="129"/>
      <c r="M1806" s="33" t="str">
        <f t="shared" si="28"/>
        <v/>
      </c>
      <c r="N1806" s="34" t="str">
        <f>IFERROR(IF(Tabela1[[#This Row],[Nome fantasia]]="","",_xlfn.XLOOKUP($C1806,Log!D:D,Log!B:B,,,-1)),"")</f>
        <v/>
      </c>
      <c r="O1806" s="35" t="str">
        <f>IFERROR(_xlfn.XLOOKUP($C1806,Log!D:D,Log!W:W,,,-1),"")</f>
        <v/>
      </c>
      <c r="P1806" s="35" t="str">
        <f>IFERROR(_xlfn.XLOOKUP($C1806,Log!D:D,Log!Y:Y,,,-1),"")</f>
        <v/>
      </c>
      <c r="Q1806" s="130"/>
      <c r="R1806" s="131" t="str">
        <f>IFERROR(IF(Tabela1[[#This Row],[Nome fantasia]]="","",_xlfn.XLOOKUP($C1806,Log!D:D,Log!X:X,,,-1)),"")</f>
        <v/>
      </c>
    </row>
    <row r="1807" spans="3:18" hidden="1" x14ac:dyDescent="0.2">
      <c r="C1807" s="30" t="s">
        <v>3963</v>
      </c>
      <c r="D1807" s="110" t="s">
        <v>3964</v>
      </c>
      <c r="E1807" s="33" t="s">
        <v>22</v>
      </c>
      <c r="F1807" s="38"/>
      <c r="G1807" s="38"/>
      <c r="H1807" s="31"/>
      <c r="I1807" s="32"/>
      <c r="J1807" s="32"/>
      <c r="K1807" s="45" t="s">
        <v>888</v>
      </c>
      <c r="L1807" s="129"/>
      <c r="M1807" s="33" t="str">
        <f t="shared" si="28"/>
        <v/>
      </c>
      <c r="N1807" s="34" t="str">
        <f>IFERROR(IF(Tabela1[[#This Row],[Nome fantasia]]="","",_xlfn.XLOOKUP($C1807,Log!D:D,Log!B:B,,,-1)),"")</f>
        <v/>
      </c>
      <c r="O1807" s="35" t="str">
        <f>IFERROR(_xlfn.XLOOKUP($C1807,Log!D:D,Log!W:W,,,-1),"")</f>
        <v/>
      </c>
      <c r="P1807" s="35" t="str">
        <f>IFERROR(_xlfn.XLOOKUP($C1807,Log!D:D,Log!Y:Y,,,-1),"")</f>
        <v/>
      </c>
      <c r="Q1807" s="130"/>
      <c r="R1807" s="131" t="str">
        <f>IFERROR(IF(Tabela1[[#This Row],[Nome fantasia]]="","",_xlfn.XLOOKUP($C1807,Log!D:D,Log!X:X,,,-1)),"")</f>
        <v/>
      </c>
    </row>
    <row r="1808" spans="3:18" hidden="1" x14ac:dyDescent="0.2">
      <c r="C1808" s="30" t="s">
        <v>3965</v>
      </c>
      <c r="D1808" s="110" t="s">
        <v>3966</v>
      </c>
      <c r="E1808" s="33" t="s">
        <v>22</v>
      </c>
      <c r="F1808" s="38"/>
      <c r="G1808" s="38"/>
      <c r="H1808" s="31"/>
      <c r="I1808" s="32"/>
      <c r="J1808" s="32"/>
      <c r="K1808" s="45" t="s">
        <v>888</v>
      </c>
      <c r="L1808" s="129"/>
      <c r="M1808" s="33" t="str">
        <f t="shared" si="28"/>
        <v/>
      </c>
      <c r="N1808" s="34" t="str">
        <f>IFERROR(IF(Tabela1[[#This Row],[Nome fantasia]]="","",_xlfn.XLOOKUP($C1808,Log!D:D,Log!B:B,,,-1)),"")</f>
        <v/>
      </c>
      <c r="O1808" s="35" t="str">
        <f>IFERROR(_xlfn.XLOOKUP($C1808,Log!D:D,Log!W:W,,,-1),"")</f>
        <v/>
      </c>
      <c r="P1808" s="35" t="str">
        <f>IFERROR(_xlfn.XLOOKUP($C1808,Log!D:D,Log!Y:Y,,,-1),"")</f>
        <v/>
      </c>
      <c r="Q1808" s="130"/>
      <c r="R1808" s="131" t="str">
        <f>IFERROR(IF(Tabela1[[#This Row],[Nome fantasia]]="","",_xlfn.XLOOKUP($C1808,Log!D:D,Log!X:X,,,-1)),"")</f>
        <v/>
      </c>
    </row>
    <row r="1809" spans="3:18" hidden="1" x14ac:dyDescent="0.2">
      <c r="C1809" s="30"/>
      <c r="D1809" s="110" t="s">
        <v>3967</v>
      </c>
      <c r="E1809" s="33" t="s">
        <v>17</v>
      </c>
      <c r="F1809" s="38"/>
      <c r="G1809" s="38"/>
      <c r="H1809" s="31"/>
      <c r="I1809" s="32"/>
      <c r="J1809" s="32"/>
      <c r="K1809" s="45" t="s">
        <v>888</v>
      </c>
      <c r="L1809" s="129"/>
      <c r="M1809" s="33" t="str">
        <f t="shared" si="28"/>
        <v/>
      </c>
      <c r="N1809" s="34" t="str">
        <f>IFERROR(IF(Tabela1[[#This Row],[Nome fantasia]]="","",_xlfn.XLOOKUP($C1809,Log!D:D,Log!B:B,,,-1)),"")</f>
        <v/>
      </c>
      <c r="O1809" s="35" t="str">
        <f>IFERROR(_xlfn.XLOOKUP($C1809,Log!D:D,Log!W:W,,,-1),"")</f>
        <v/>
      </c>
      <c r="P1809" s="35" t="str">
        <f>IFERROR(_xlfn.XLOOKUP($C1809,Log!D:D,Log!Y:Y,,,-1),"")</f>
        <v/>
      </c>
      <c r="Q1809" s="130"/>
      <c r="R1809" s="131" t="str">
        <f>IFERROR(IF(Tabela1[[#This Row],[Nome fantasia]]="","",_xlfn.XLOOKUP($C1809,Log!D:D,Log!X:X,,,-1)),"")</f>
        <v/>
      </c>
    </row>
    <row r="1810" spans="3:18" hidden="1" x14ac:dyDescent="0.2">
      <c r="C1810" s="30" t="s">
        <v>3968</v>
      </c>
      <c r="D1810" s="110" t="s">
        <v>3969</v>
      </c>
      <c r="E1810" s="33" t="s">
        <v>46</v>
      </c>
      <c r="F1810" s="38"/>
      <c r="G1810" s="38"/>
      <c r="H1810" s="31"/>
      <c r="I1810" s="32"/>
      <c r="J1810" s="32"/>
      <c r="K1810" s="45" t="s">
        <v>888</v>
      </c>
      <c r="L1810" s="129"/>
      <c r="M1810" s="33" t="str">
        <f t="shared" si="28"/>
        <v/>
      </c>
      <c r="N1810" s="34" t="str">
        <f>IFERROR(IF(Tabela1[[#This Row],[Nome fantasia]]="","",_xlfn.XLOOKUP($C1810,Log!D:D,Log!B:B,,,-1)),"")</f>
        <v/>
      </c>
      <c r="O1810" s="35" t="str">
        <f>IFERROR(_xlfn.XLOOKUP($C1810,Log!D:D,Log!W:W,,,-1),"")</f>
        <v/>
      </c>
      <c r="P1810" s="35" t="str">
        <f>IFERROR(_xlfn.XLOOKUP($C1810,Log!D:D,Log!Y:Y,,,-1),"")</f>
        <v/>
      </c>
      <c r="Q1810" s="130"/>
      <c r="R1810" s="131" t="str">
        <f>IFERROR(IF(Tabela1[[#This Row],[Nome fantasia]]="","",_xlfn.XLOOKUP($C1810,Log!D:D,Log!X:X,,,-1)),"")</f>
        <v/>
      </c>
    </row>
    <row r="1811" spans="3:18" hidden="1" x14ac:dyDescent="0.2">
      <c r="C1811" s="30" t="s">
        <v>3970</v>
      </c>
      <c r="D1811" s="110" t="s">
        <v>3971</v>
      </c>
      <c r="E1811" s="33" t="s">
        <v>46</v>
      </c>
      <c r="F1811" s="38"/>
      <c r="G1811" s="38"/>
      <c r="H1811" s="31"/>
      <c r="I1811" s="32"/>
      <c r="J1811" s="32"/>
      <c r="K1811" s="45" t="s">
        <v>888</v>
      </c>
      <c r="L1811" s="129"/>
      <c r="M1811" s="33" t="str">
        <f t="shared" si="28"/>
        <v/>
      </c>
      <c r="N1811" s="34" t="str">
        <f>IFERROR(IF(Tabela1[[#This Row],[Nome fantasia]]="","",_xlfn.XLOOKUP($C1811,Log!D:D,Log!B:B,,,-1)),"")</f>
        <v/>
      </c>
      <c r="O1811" s="35" t="str">
        <f>IFERROR(_xlfn.XLOOKUP($C1811,Log!D:D,Log!W:W,,,-1),"")</f>
        <v/>
      </c>
      <c r="P1811" s="35" t="str">
        <f>IFERROR(_xlfn.XLOOKUP($C1811,Log!D:D,Log!Y:Y,,,-1),"")</f>
        <v/>
      </c>
      <c r="Q1811" s="130"/>
      <c r="R1811" s="131" t="str">
        <f>IFERROR(IF(Tabela1[[#This Row],[Nome fantasia]]="","",_xlfn.XLOOKUP($C1811,Log!D:D,Log!X:X,,,-1)),"")</f>
        <v/>
      </c>
    </row>
    <row r="1812" spans="3:18" hidden="1" x14ac:dyDescent="0.2">
      <c r="C1812" s="30" t="s">
        <v>3972</v>
      </c>
      <c r="D1812" s="110" t="s">
        <v>3973</v>
      </c>
      <c r="E1812" s="33" t="s">
        <v>17</v>
      </c>
      <c r="F1812" s="38"/>
      <c r="G1812" s="38"/>
      <c r="H1812" s="31"/>
      <c r="I1812" s="32"/>
      <c r="J1812" s="32"/>
      <c r="K1812" s="45" t="s">
        <v>888</v>
      </c>
      <c r="L1812" s="129"/>
      <c r="M1812" s="33" t="str">
        <f t="shared" si="28"/>
        <v/>
      </c>
      <c r="N1812" s="34" t="str">
        <f>IFERROR(IF(Tabela1[[#This Row],[Nome fantasia]]="","",_xlfn.XLOOKUP($C1812,Log!D:D,Log!B:B,,,-1)),"")</f>
        <v/>
      </c>
      <c r="O1812" s="35" t="str">
        <f>IFERROR(_xlfn.XLOOKUP($C1812,Log!D:D,Log!W:W,,,-1),"")</f>
        <v/>
      </c>
      <c r="P1812" s="35" t="str">
        <f>IFERROR(_xlfn.XLOOKUP($C1812,Log!D:D,Log!Y:Y,,,-1),"")</f>
        <v/>
      </c>
      <c r="Q1812" s="130"/>
      <c r="R1812" s="131" t="str">
        <f>IFERROR(IF(Tabela1[[#This Row],[Nome fantasia]]="","",_xlfn.XLOOKUP($C1812,Log!D:D,Log!X:X,,,-1)),"")</f>
        <v/>
      </c>
    </row>
    <row r="1813" spans="3:18" hidden="1" x14ac:dyDescent="0.2">
      <c r="C1813" s="30" t="s">
        <v>3974</v>
      </c>
      <c r="D1813" s="110" t="s">
        <v>3975</v>
      </c>
      <c r="E1813" s="33" t="s">
        <v>17</v>
      </c>
      <c r="F1813" s="38"/>
      <c r="G1813" s="38"/>
      <c r="H1813" s="31"/>
      <c r="I1813" s="32"/>
      <c r="J1813" s="32"/>
      <c r="K1813" s="45" t="s">
        <v>888</v>
      </c>
      <c r="L1813" s="129"/>
      <c r="M1813" s="33" t="str">
        <f t="shared" si="28"/>
        <v/>
      </c>
      <c r="N1813" s="34" t="str">
        <f>IFERROR(IF(Tabela1[[#This Row],[Nome fantasia]]="","",_xlfn.XLOOKUP($C1813,Log!D:D,Log!B:B,,,-1)),"")</f>
        <v/>
      </c>
      <c r="O1813" s="35" t="str">
        <f>IFERROR(_xlfn.XLOOKUP($C1813,Log!D:D,Log!W:W,,,-1),"")</f>
        <v/>
      </c>
      <c r="P1813" s="35" t="str">
        <f>IFERROR(_xlfn.XLOOKUP($C1813,Log!D:D,Log!Y:Y,,,-1),"")</f>
        <v/>
      </c>
      <c r="Q1813" s="130"/>
      <c r="R1813" s="131" t="str">
        <f>IFERROR(IF(Tabela1[[#This Row],[Nome fantasia]]="","",_xlfn.XLOOKUP($C1813,Log!D:D,Log!X:X,,,-1)),"")</f>
        <v/>
      </c>
    </row>
    <row r="1814" spans="3:18" hidden="1" x14ac:dyDescent="0.2">
      <c r="C1814" s="30" t="s">
        <v>2039</v>
      </c>
      <c r="D1814" s="110" t="s">
        <v>3976</v>
      </c>
      <c r="E1814" s="33" t="s">
        <v>46</v>
      </c>
      <c r="F1814" s="38"/>
      <c r="G1814" s="38"/>
      <c r="H1814" s="31"/>
      <c r="I1814" s="32"/>
      <c r="J1814" s="32"/>
      <c r="K1814" s="45" t="s">
        <v>888</v>
      </c>
      <c r="L1814" s="129"/>
      <c r="M1814" s="33" t="str">
        <f t="shared" si="28"/>
        <v/>
      </c>
      <c r="N1814" s="34" t="str">
        <f>IFERROR(IF(Tabela1[[#This Row],[Nome fantasia]]="","",_xlfn.XLOOKUP($C1814,Log!D:D,Log!B:B,,,-1)),"")</f>
        <v/>
      </c>
      <c r="O1814" s="35" t="str">
        <f>IFERROR(_xlfn.XLOOKUP($C1814,Log!D:D,Log!W:W,,,-1),"")</f>
        <v/>
      </c>
      <c r="P1814" s="35" t="str">
        <f>IFERROR(_xlfn.XLOOKUP($C1814,Log!D:D,Log!Y:Y,,,-1),"")</f>
        <v/>
      </c>
      <c r="Q1814" s="130"/>
      <c r="R1814" s="131" t="str">
        <f>IFERROR(IF(Tabela1[[#This Row],[Nome fantasia]]="","",_xlfn.XLOOKUP($C1814,Log!D:D,Log!X:X,,,-1)),"")</f>
        <v/>
      </c>
    </row>
    <row r="1815" spans="3:18" hidden="1" x14ac:dyDescent="0.2">
      <c r="C1815" s="30" t="s">
        <v>3977</v>
      </c>
      <c r="D1815" s="110" t="s">
        <v>3978</v>
      </c>
      <c r="E1815" s="33" t="s">
        <v>22</v>
      </c>
      <c r="F1815" s="38"/>
      <c r="G1815" s="38"/>
      <c r="H1815" s="31"/>
      <c r="I1815" s="32"/>
      <c r="J1815" s="32"/>
      <c r="K1815" s="45" t="s">
        <v>888</v>
      </c>
      <c r="L1815" s="129"/>
      <c r="M1815" s="33" t="str">
        <f t="shared" si="28"/>
        <v/>
      </c>
      <c r="N1815" s="34" t="str">
        <f>IFERROR(IF(Tabela1[[#This Row],[Nome fantasia]]="","",_xlfn.XLOOKUP($C1815,Log!D:D,Log!B:B,,,-1)),"")</f>
        <v/>
      </c>
      <c r="O1815" s="35" t="str">
        <f>IFERROR(_xlfn.XLOOKUP($C1815,Log!D:D,Log!W:W,,,-1),"")</f>
        <v/>
      </c>
      <c r="P1815" s="35" t="str">
        <f>IFERROR(_xlfn.XLOOKUP($C1815,Log!D:D,Log!Y:Y,,,-1),"")</f>
        <v/>
      </c>
      <c r="Q1815" s="130"/>
      <c r="R1815" s="131" t="str">
        <f>IFERROR(IF(Tabela1[[#This Row],[Nome fantasia]]="","",_xlfn.XLOOKUP($C1815,Log!D:D,Log!X:X,,,-1)),"")</f>
        <v/>
      </c>
    </row>
    <row r="1816" spans="3:18" hidden="1" x14ac:dyDescent="0.2">
      <c r="C1816" s="30" t="s">
        <v>3979</v>
      </c>
      <c r="D1816" s="110" t="s">
        <v>3980</v>
      </c>
      <c r="E1816" s="33" t="s">
        <v>17</v>
      </c>
      <c r="F1816" s="38"/>
      <c r="G1816" s="38"/>
      <c r="H1816" s="31"/>
      <c r="I1816" s="32"/>
      <c r="J1816" s="32"/>
      <c r="K1816" s="45" t="s">
        <v>888</v>
      </c>
      <c r="L1816" s="129"/>
      <c r="M1816" s="33" t="str">
        <f t="shared" si="28"/>
        <v/>
      </c>
      <c r="N1816" s="34" t="str">
        <f>IFERROR(IF(Tabela1[[#This Row],[Nome fantasia]]="","",_xlfn.XLOOKUP($C1816,Log!D:D,Log!B:B,,,-1)),"")</f>
        <v/>
      </c>
      <c r="O1816" s="35" t="str">
        <f>IFERROR(_xlfn.XLOOKUP($C1816,Log!D:D,Log!W:W,,,-1),"")</f>
        <v/>
      </c>
      <c r="P1816" s="35" t="str">
        <f>IFERROR(_xlfn.XLOOKUP($C1816,Log!D:D,Log!Y:Y,,,-1),"")</f>
        <v/>
      </c>
      <c r="Q1816" s="130"/>
      <c r="R1816" s="131" t="str">
        <f>IFERROR(IF(Tabela1[[#This Row],[Nome fantasia]]="","",_xlfn.XLOOKUP($C1816,Log!D:D,Log!X:X,,,-1)),"")</f>
        <v/>
      </c>
    </row>
    <row r="1817" spans="3:18" hidden="1" x14ac:dyDescent="0.2">
      <c r="C1817" s="30" t="s">
        <v>3979</v>
      </c>
      <c r="D1817" s="110" t="s">
        <v>3981</v>
      </c>
      <c r="E1817" s="33" t="s">
        <v>17</v>
      </c>
      <c r="F1817" s="38"/>
      <c r="G1817" s="38"/>
      <c r="H1817" s="31"/>
      <c r="I1817" s="32"/>
      <c r="J1817" s="32"/>
      <c r="K1817" s="45" t="s">
        <v>888</v>
      </c>
      <c r="L1817" s="129"/>
      <c r="M1817" s="33" t="str">
        <f t="shared" si="28"/>
        <v/>
      </c>
      <c r="N1817" s="34" t="str">
        <f>IFERROR(IF(Tabela1[[#This Row],[Nome fantasia]]="","",_xlfn.XLOOKUP($C1817,Log!D:D,Log!B:B,,,-1)),"")</f>
        <v/>
      </c>
      <c r="O1817" s="35" t="str">
        <f>IFERROR(_xlfn.XLOOKUP($C1817,Log!D:D,Log!W:W,,,-1),"")</f>
        <v/>
      </c>
      <c r="P1817" s="35" t="str">
        <f>IFERROR(_xlfn.XLOOKUP($C1817,Log!D:D,Log!Y:Y,,,-1),"")</f>
        <v/>
      </c>
      <c r="Q1817" s="130"/>
      <c r="R1817" s="131" t="str">
        <f>IFERROR(IF(Tabela1[[#This Row],[Nome fantasia]]="","",_xlfn.XLOOKUP($C1817,Log!D:D,Log!X:X,,,-1)),"")</f>
        <v/>
      </c>
    </row>
    <row r="1818" spans="3:18" hidden="1" x14ac:dyDescent="0.2">
      <c r="C1818" s="30" t="s">
        <v>1585</v>
      </c>
      <c r="D1818" s="110" t="s">
        <v>3982</v>
      </c>
      <c r="E1818" s="33" t="s">
        <v>46</v>
      </c>
      <c r="F1818" s="38"/>
      <c r="G1818" s="38"/>
      <c r="H1818" s="31"/>
      <c r="I1818" s="32"/>
      <c r="J1818" s="32"/>
      <c r="K1818" s="45" t="s">
        <v>888</v>
      </c>
      <c r="L1818" s="129"/>
      <c r="M1818" s="33" t="str">
        <f t="shared" si="28"/>
        <v/>
      </c>
      <c r="N1818" s="34" t="str">
        <f>IFERROR(IF(Tabela1[[#This Row],[Nome fantasia]]="","",_xlfn.XLOOKUP($C1818,Log!D:D,Log!B:B,,,-1)),"")</f>
        <v/>
      </c>
      <c r="O1818" s="35" t="str">
        <f>IFERROR(_xlfn.XLOOKUP($C1818,Log!D:D,Log!W:W,,,-1),"")</f>
        <v/>
      </c>
      <c r="P1818" s="35" t="str">
        <f>IFERROR(_xlfn.XLOOKUP($C1818,Log!D:D,Log!Y:Y,,,-1),"")</f>
        <v/>
      </c>
      <c r="Q1818" s="130"/>
      <c r="R1818" s="131" t="str">
        <f>IFERROR(IF(Tabela1[[#This Row],[Nome fantasia]]="","",_xlfn.XLOOKUP($C1818,Log!D:D,Log!X:X,,,-1)),"")</f>
        <v/>
      </c>
    </row>
    <row r="1819" spans="3:18" hidden="1" x14ac:dyDescent="0.2">
      <c r="C1819" s="30" t="s">
        <v>1862</v>
      </c>
      <c r="D1819" s="110" t="s">
        <v>3983</v>
      </c>
      <c r="E1819" s="33" t="s">
        <v>22</v>
      </c>
      <c r="F1819" s="38"/>
      <c r="G1819" s="38"/>
      <c r="H1819" s="31"/>
      <c r="I1819" s="32"/>
      <c r="J1819" s="32"/>
      <c r="K1819" s="45" t="s">
        <v>888</v>
      </c>
      <c r="L1819" s="129"/>
      <c r="M1819" s="33" t="str">
        <f t="shared" si="28"/>
        <v/>
      </c>
      <c r="N1819" s="34" t="str">
        <f>IFERROR(IF(Tabela1[[#This Row],[Nome fantasia]]="","",_xlfn.XLOOKUP($C1819,Log!D:D,Log!B:B,,,-1)),"")</f>
        <v/>
      </c>
      <c r="O1819" s="35" t="str">
        <f>IFERROR(_xlfn.XLOOKUP($C1819,Log!D:D,Log!W:W,,,-1),"")</f>
        <v/>
      </c>
      <c r="P1819" s="35" t="str">
        <f>IFERROR(_xlfn.XLOOKUP($C1819,Log!D:D,Log!Y:Y,,,-1),"")</f>
        <v/>
      </c>
      <c r="Q1819" s="130"/>
      <c r="R1819" s="131" t="str">
        <f>IFERROR(IF(Tabela1[[#This Row],[Nome fantasia]]="","",_xlfn.XLOOKUP($C1819,Log!D:D,Log!X:X,,,-1)),"")</f>
        <v/>
      </c>
    </row>
    <row r="1820" spans="3:18" hidden="1" x14ac:dyDescent="0.2">
      <c r="C1820" s="30" t="s">
        <v>1862</v>
      </c>
      <c r="D1820" s="110" t="s">
        <v>3984</v>
      </c>
      <c r="E1820" s="33" t="s">
        <v>22</v>
      </c>
      <c r="F1820" s="38"/>
      <c r="G1820" s="38"/>
      <c r="H1820" s="31"/>
      <c r="I1820" s="32"/>
      <c r="J1820" s="32"/>
      <c r="K1820" s="45" t="s">
        <v>888</v>
      </c>
      <c r="L1820" s="129"/>
      <c r="M1820" s="33" t="str">
        <f t="shared" si="28"/>
        <v/>
      </c>
      <c r="N1820" s="34" t="str">
        <f>IFERROR(IF(Tabela1[[#This Row],[Nome fantasia]]="","",_xlfn.XLOOKUP($C1820,Log!D:D,Log!B:B,,,-1)),"")</f>
        <v/>
      </c>
      <c r="O1820" s="35" t="str">
        <f>IFERROR(_xlfn.XLOOKUP($C1820,Log!D:D,Log!W:W,,,-1),"")</f>
        <v/>
      </c>
      <c r="P1820" s="35" t="str">
        <f>IFERROR(_xlfn.XLOOKUP($C1820,Log!D:D,Log!Y:Y,,,-1),"")</f>
        <v/>
      </c>
      <c r="Q1820" s="130"/>
      <c r="R1820" s="131" t="str">
        <f>IFERROR(IF(Tabela1[[#This Row],[Nome fantasia]]="","",_xlfn.XLOOKUP($C1820,Log!D:D,Log!X:X,,,-1)),"")</f>
        <v/>
      </c>
    </row>
    <row r="1821" spans="3:18" hidden="1" x14ac:dyDescent="0.2">
      <c r="C1821" s="30"/>
      <c r="D1821" s="110" t="s">
        <v>3985</v>
      </c>
      <c r="E1821" s="33" t="s">
        <v>46</v>
      </c>
      <c r="F1821" s="38"/>
      <c r="G1821" s="38"/>
      <c r="H1821" s="31"/>
      <c r="I1821" s="32"/>
      <c r="J1821" s="32"/>
      <c r="K1821" s="45" t="s">
        <v>888</v>
      </c>
      <c r="L1821" s="129"/>
      <c r="M1821" s="33" t="str">
        <f t="shared" si="28"/>
        <v/>
      </c>
      <c r="N1821" s="34" t="str">
        <f>IFERROR(IF(Tabela1[[#This Row],[Nome fantasia]]="","",_xlfn.XLOOKUP($C1821,Log!D:D,Log!B:B,,,-1)),"")</f>
        <v/>
      </c>
      <c r="O1821" s="35" t="str">
        <f>IFERROR(_xlfn.XLOOKUP($C1821,Log!D:D,Log!W:W,,,-1),"")</f>
        <v/>
      </c>
      <c r="P1821" s="35" t="str">
        <f>IFERROR(_xlfn.XLOOKUP($C1821,Log!D:D,Log!Y:Y,,,-1),"")</f>
        <v/>
      </c>
      <c r="Q1821" s="130"/>
      <c r="R1821" s="131" t="str">
        <f>IFERROR(IF(Tabela1[[#This Row],[Nome fantasia]]="","",_xlfn.XLOOKUP($C1821,Log!D:D,Log!X:X,,,-1)),"")</f>
        <v/>
      </c>
    </row>
    <row r="1822" spans="3:18" hidden="1" x14ac:dyDescent="0.2">
      <c r="C1822" s="30" t="s">
        <v>3986</v>
      </c>
      <c r="D1822" s="110" t="s">
        <v>3987</v>
      </c>
      <c r="E1822" s="33" t="s">
        <v>46</v>
      </c>
      <c r="F1822" s="38"/>
      <c r="G1822" s="38"/>
      <c r="H1822" s="31"/>
      <c r="I1822" s="32"/>
      <c r="J1822" s="32"/>
      <c r="K1822" s="45" t="s">
        <v>888</v>
      </c>
      <c r="L1822" s="129"/>
      <c r="M1822" s="33" t="str">
        <f t="shared" si="28"/>
        <v/>
      </c>
      <c r="N1822" s="34" t="str">
        <f>IFERROR(IF(Tabela1[[#This Row],[Nome fantasia]]="","",_xlfn.XLOOKUP($C1822,Log!D:D,Log!B:B,,,-1)),"")</f>
        <v/>
      </c>
      <c r="O1822" s="35" t="str">
        <f>IFERROR(_xlfn.XLOOKUP($C1822,Log!D:D,Log!W:W,,,-1),"")</f>
        <v/>
      </c>
      <c r="P1822" s="35" t="str">
        <f>IFERROR(_xlfn.XLOOKUP($C1822,Log!D:D,Log!Y:Y,,,-1),"")</f>
        <v/>
      </c>
      <c r="Q1822" s="130"/>
      <c r="R1822" s="131" t="str">
        <f>IFERROR(IF(Tabela1[[#This Row],[Nome fantasia]]="","",_xlfn.XLOOKUP($C1822,Log!D:D,Log!X:X,,,-1)),"")</f>
        <v/>
      </c>
    </row>
    <row r="1823" spans="3:18" hidden="1" x14ac:dyDescent="0.2">
      <c r="C1823" s="30" t="s">
        <v>3988</v>
      </c>
      <c r="D1823" s="110" t="s">
        <v>3989</v>
      </c>
      <c r="E1823" s="33" t="s">
        <v>46</v>
      </c>
      <c r="F1823" s="38"/>
      <c r="G1823" s="38"/>
      <c r="H1823" s="31"/>
      <c r="I1823" s="32"/>
      <c r="J1823" s="32"/>
      <c r="K1823" s="45" t="s">
        <v>888</v>
      </c>
      <c r="L1823" s="129"/>
      <c r="M1823" s="33" t="str">
        <f t="shared" si="28"/>
        <v/>
      </c>
      <c r="N1823" s="34" t="str">
        <f>IFERROR(IF(Tabela1[[#This Row],[Nome fantasia]]="","",_xlfn.XLOOKUP($C1823,Log!D:D,Log!B:B,,,-1)),"")</f>
        <v/>
      </c>
      <c r="O1823" s="35" t="str">
        <f>IFERROR(_xlfn.XLOOKUP($C1823,Log!D:D,Log!W:W,,,-1),"")</f>
        <v/>
      </c>
      <c r="P1823" s="35" t="str">
        <f>IFERROR(_xlfn.XLOOKUP($C1823,Log!D:D,Log!Y:Y,,,-1),"")</f>
        <v/>
      </c>
      <c r="Q1823" s="130"/>
      <c r="R1823" s="131" t="str">
        <f>IFERROR(IF(Tabela1[[#This Row],[Nome fantasia]]="","",_xlfn.XLOOKUP($C1823,Log!D:D,Log!X:X,,,-1)),"")</f>
        <v/>
      </c>
    </row>
    <row r="1824" spans="3:18" hidden="1" x14ac:dyDescent="0.2">
      <c r="C1824" s="30"/>
      <c r="D1824" s="110" t="s">
        <v>3990</v>
      </c>
      <c r="E1824" s="33" t="s">
        <v>22</v>
      </c>
      <c r="F1824" s="38"/>
      <c r="G1824" s="38"/>
      <c r="H1824" s="31"/>
      <c r="I1824" s="32"/>
      <c r="J1824" s="32"/>
      <c r="K1824" s="45" t="s">
        <v>888</v>
      </c>
      <c r="L1824" s="129"/>
      <c r="M1824" s="33" t="str">
        <f t="shared" si="28"/>
        <v/>
      </c>
      <c r="N1824" s="34" t="str">
        <f>IFERROR(IF(Tabela1[[#This Row],[Nome fantasia]]="","",_xlfn.XLOOKUP($C1824,Log!D:D,Log!B:B,,,-1)),"")</f>
        <v/>
      </c>
      <c r="O1824" s="35" t="str">
        <f>IFERROR(_xlfn.XLOOKUP($C1824,Log!D:D,Log!W:W,,,-1),"")</f>
        <v/>
      </c>
      <c r="P1824" s="35" t="str">
        <f>IFERROR(_xlfn.XLOOKUP($C1824,Log!D:D,Log!Y:Y,,,-1),"")</f>
        <v/>
      </c>
      <c r="Q1824" s="130"/>
      <c r="R1824" s="131" t="str">
        <f>IFERROR(IF(Tabela1[[#This Row],[Nome fantasia]]="","",_xlfn.XLOOKUP($C1824,Log!D:D,Log!X:X,,,-1)),"")</f>
        <v/>
      </c>
    </row>
    <row r="1825" spans="3:18" hidden="1" x14ac:dyDescent="0.2">
      <c r="C1825" s="30" t="s">
        <v>3991</v>
      </c>
      <c r="D1825" s="110" t="s">
        <v>3992</v>
      </c>
      <c r="E1825" s="33" t="s">
        <v>17</v>
      </c>
      <c r="F1825" s="38"/>
      <c r="G1825" s="38"/>
      <c r="H1825" s="31"/>
      <c r="I1825" s="32"/>
      <c r="J1825" s="32"/>
      <c r="K1825" s="45" t="s">
        <v>888</v>
      </c>
      <c r="L1825" s="129"/>
      <c r="M1825" s="33" t="str">
        <f t="shared" si="28"/>
        <v/>
      </c>
      <c r="N1825" s="34" t="str">
        <f>IFERROR(IF(Tabela1[[#This Row],[Nome fantasia]]="","",_xlfn.XLOOKUP($C1825,Log!D:D,Log!B:B,,,-1)),"")</f>
        <v/>
      </c>
      <c r="O1825" s="35" t="str">
        <f>IFERROR(_xlfn.XLOOKUP($C1825,Log!D:D,Log!W:W,,,-1),"")</f>
        <v/>
      </c>
      <c r="P1825" s="35" t="str">
        <f>IFERROR(_xlfn.XLOOKUP($C1825,Log!D:D,Log!Y:Y,,,-1),"")</f>
        <v/>
      </c>
      <c r="Q1825" s="130"/>
      <c r="R1825" s="131" t="str">
        <f>IFERROR(IF(Tabela1[[#This Row],[Nome fantasia]]="","",_xlfn.XLOOKUP($C1825,Log!D:D,Log!X:X,,,-1)),"")</f>
        <v/>
      </c>
    </row>
    <row r="1826" spans="3:18" hidden="1" x14ac:dyDescent="0.2">
      <c r="C1826" s="30" t="s">
        <v>3993</v>
      </c>
      <c r="D1826" s="110" t="s">
        <v>3994</v>
      </c>
      <c r="E1826" s="33" t="s">
        <v>22</v>
      </c>
      <c r="F1826" s="38"/>
      <c r="G1826" s="38"/>
      <c r="H1826" s="31"/>
      <c r="I1826" s="32"/>
      <c r="J1826" s="32"/>
      <c r="K1826" s="45" t="s">
        <v>888</v>
      </c>
      <c r="L1826" s="129"/>
      <c r="M1826" s="33" t="str">
        <f t="shared" si="28"/>
        <v/>
      </c>
      <c r="N1826" s="34" t="str">
        <f>IFERROR(IF(Tabela1[[#This Row],[Nome fantasia]]="","",_xlfn.XLOOKUP($C1826,Log!D:D,Log!B:B,,,-1)),"")</f>
        <v/>
      </c>
      <c r="O1826" s="35" t="str">
        <f>IFERROR(_xlfn.XLOOKUP($C1826,Log!D:D,Log!W:W,,,-1),"")</f>
        <v/>
      </c>
      <c r="P1826" s="35" t="str">
        <f>IFERROR(_xlfn.XLOOKUP($C1826,Log!D:D,Log!Y:Y,,,-1),"")</f>
        <v/>
      </c>
      <c r="Q1826" s="130"/>
      <c r="R1826" s="131" t="str">
        <f>IFERROR(IF(Tabela1[[#This Row],[Nome fantasia]]="","",_xlfn.XLOOKUP($C1826,Log!D:D,Log!X:X,,,-1)),"")</f>
        <v/>
      </c>
    </row>
    <row r="1827" spans="3:18" hidden="1" x14ac:dyDescent="0.2">
      <c r="C1827" s="30"/>
      <c r="D1827" s="110" t="s">
        <v>3995</v>
      </c>
      <c r="E1827" s="33" t="s">
        <v>22</v>
      </c>
      <c r="F1827" s="38"/>
      <c r="G1827" s="38"/>
      <c r="H1827" s="31"/>
      <c r="I1827" s="32"/>
      <c r="J1827" s="32"/>
      <c r="K1827" s="45" t="s">
        <v>888</v>
      </c>
      <c r="L1827" s="129"/>
      <c r="M1827" s="33" t="str">
        <f t="shared" si="28"/>
        <v/>
      </c>
      <c r="N1827" s="34" t="str">
        <f>IFERROR(IF(Tabela1[[#This Row],[Nome fantasia]]="","",_xlfn.XLOOKUP($C1827,Log!D:D,Log!B:B,,,-1)),"")</f>
        <v/>
      </c>
      <c r="O1827" s="35" t="str">
        <f>IFERROR(_xlfn.XLOOKUP($C1827,Log!D:D,Log!W:W,,,-1),"")</f>
        <v/>
      </c>
      <c r="P1827" s="35" t="str">
        <f>IFERROR(_xlfn.XLOOKUP($C1827,Log!D:D,Log!Y:Y,,,-1),"")</f>
        <v/>
      </c>
      <c r="Q1827" s="130"/>
      <c r="R1827" s="131" t="str">
        <f>IFERROR(IF(Tabela1[[#This Row],[Nome fantasia]]="","",_xlfn.XLOOKUP($C1827,Log!D:D,Log!X:X,,,-1)),"")</f>
        <v/>
      </c>
    </row>
    <row r="1828" spans="3:18" hidden="1" x14ac:dyDescent="0.2">
      <c r="C1828" s="30" t="s">
        <v>3996</v>
      </c>
      <c r="D1828" s="110" t="s">
        <v>3997</v>
      </c>
      <c r="E1828" s="33" t="s">
        <v>46</v>
      </c>
      <c r="F1828" s="38"/>
      <c r="G1828" s="38"/>
      <c r="H1828" s="31"/>
      <c r="I1828" s="32"/>
      <c r="J1828" s="32"/>
      <c r="K1828" s="45" t="s">
        <v>888</v>
      </c>
      <c r="L1828" s="129"/>
      <c r="M1828" s="33" t="str">
        <f t="shared" si="28"/>
        <v/>
      </c>
      <c r="N1828" s="34" t="str">
        <f>IFERROR(IF(Tabela1[[#This Row],[Nome fantasia]]="","",_xlfn.XLOOKUP($C1828,Log!D:D,Log!B:B,,,-1)),"")</f>
        <v/>
      </c>
      <c r="O1828" s="35" t="str">
        <f>IFERROR(_xlfn.XLOOKUP($C1828,Log!D:D,Log!W:W,,,-1),"")</f>
        <v/>
      </c>
      <c r="P1828" s="35" t="str">
        <f>IFERROR(_xlfn.XLOOKUP($C1828,Log!D:D,Log!Y:Y,,,-1),"")</f>
        <v/>
      </c>
      <c r="Q1828" s="130"/>
      <c r="R1828" s="131" t="str">
        <f>IFERROR(IF(Tabela1[[#This Row],[Nome fantasia]]="","",_xlfn.XLOOKUP($C1828,Log!D:D,Log!X:X,,,-1)),"")</f>
        <v/>
      </c>
    </row>
    <row r="1829" spans="3:18" hidden="1" x14ac:dyDescent="0.2">
      <c r="C1829" s="30" t="s">
        <v>3998</v>
      </c>
      <c r="D1829" s="110" t="s">
        <v>3999</v>
      </c>
      <c r="E1829" s="33" t="s">
        <v>46</v>
      </c>
      <c r="F1829" s="38"/>
      <c r="G1829" s="38"/>
      <c r="H1829" s="31"/>
      <c r="I1829" s="32"/>
      <c r="J1829" s="32"/>
      <c r="K1829" s="45" t="s">
        <v>888</v>
      </c>
      <c r="L1829" s="129"/>
      <c r="M1829" s="33" t="str">
        <f t="shared" si="28"/>
        <v/>
      </c>
      <c r="N1829" s="34" t="str">
        <f>IFERROR(IF(Tabela1[[#This Row],[Nome fantasia]]="","",_xlfn.XLOOKUP($C1829,Log!D:D,Log!B:B,,,-1)),"")</f>
        <v/>
      </c>
      <c r="O1829" s="35" t="str">
        <f>IFERROR(_xlfn.XLOOKUP($C1829,Log!D:D,Log!W:W,,,-1),"")</f>
        <v/>
      </c>
      <c r="P1829" s="35" t="str">
        <f>IFERROR(_xlfn.XLOOKUP($C1829,Log!D:D,Log!Y:Y,,,-1),"")</f>
        <v/>
      </c>
      <c r="Q1829" s="130"/>
      <c r="R1829" s="131" t="str">
        <f>IFERROR(IF(Tabela1[[#This Row],[Nome fantasia]]="","",_xlfn.XLOOKUP($C1829,Log!D:D,Log!X:X,,,-1)),"")</f>
        <v/>
      </c>
    </row>
    <row r="1830" spans="3:18" hidden="1" x14ac:dyDescent="0.2">
      <c r="C1830" s="30" t="s">
        <v>4000</v>
      </c>
      <c r="D1830" s="110" t="s">
        <v>4001</v>
      </c>
      <c r="E1830" s="33" t="s">
        <v>22</v>
      </c>
      <c r="F1830" s="38"/>
      <c r="G1830" s="38"/>
      <c r="H1830" s="31"/>
      <c r="I1830" s="32"/>
      <c r="J1830" s="32"/>
      <c r="K1830" s="45" t="s">
        <v>888</v>
      </c>
      <c r="L1830" s="129"/>
      <c r="M1830" s="33" t="str">
        <f t="shared" si="28"/>
        <v/>
      </c>
      <c r="N1830" s="34" t="str">
        <f>IFERROR(IF(Tabela1[[#This Row],[Nome fantasia]]="","",_xlfn.XLOOKUP($C1830,Log!D:D,Log!B:B,,,-1)),"")</f>
        <v/>
      </c>
      <c r="O1830" s="35" t="str">
        <f>IFERROR(_xlfn.XLOOKUP($C1830,Log!D:D,Log!W:W,,,-1),"")</f>
        <v/>
      </c>
      <c r="P1830" s="35" t="str">
        <f>IFERROR(_xlfn.XLOOKUP($C1830,Log!D:D,Log!Y:Y,,,-1),"")</f>
        <v/>
      </c>
      <c r="Q1830" s="130"/>
      <c r="R1830" s="131" t="str">
        <f>IFERROR(IF(Tabela1[[#This Row],[Nome fantasia]]="","",_xlfn.XLOOKUP($C1830,Log!D:D,Log!X:X,,,-1)),"")</f>
        <v/>
      </c>
    </row>
    <row r="1831" spans="3:18" hidden="1" x14ac:dyDescent="0.2">
      <c r="C1831" s="30" t="s">
        <v>4002</v>
      </c>
      <c r="D1831" s="110" t="s">
        <v>4003</v>
      </c>
      <c r="E1831" s="33" t="s">
        <v>17</v>
      </c>
      <c r="F1831" s="38"/>
      <c r="G1831" s="38"/>
      <c r="H1831" s="31"/>
      <c r="I1831" s="32"/>
      <c r="J1831" s="32"/>
      <c r="K1831" s="45" t="s">
        <v>888</v>
      </c>
      <c r="L1831" s="129"/>
      <c r="M1831" s="33" t="str">
        <f t="shared" si="28"/>
        <v/>
      </c>
      <c r="N1831" s="34" t="str">
        <f>IFERROR(IF(Tabela1[[#This Row],[Nome fantasia]]="","",_xlfn.XLOOKUP($C1831,Log!D:D,Log!B:B,,,-1)),"")</f>
        <v/>
      </c>
      <c r="O1831" s="35" t="str">
        <f>IFERROR(_xlfn.XLOOKUP($C1831,Log!D:D,Log!W:W,,,-1),"")</f>
        <v/>
      </c>
      <c r="P1831" s="35" t="str">
        <f>IFERROR(_xlfn.XLOOKUP($C1831,Log!D:D,Log!Y:Y,,,-1),"")</f>
        <v/>
      </c>
      <c r="Q1831" s="130"/>
      <c r="R1831" s="131" t="str">
        <f>IFERROR(IF(Tabela1[[#This Row],[Nome fantasia]]="","",_xlfn.XLOOKUP($C1831,Log!D:D,Log!X:X,,,-1)),"")</f>
        <v/>
      </c>
    </row>
    <row r="1832" spans="3:18" hidden="1" x14ac:dyDescent="0.2">
      <c r="C1832" s="30" t="s">
        <v>4004</v>
      </c>
      <c r="D1832" s="110" t="s">
        <v>4005</v>
      </c>
      <c r="E1832" s="33" t="s">
        <v>17</v>
      </c>
      <c r="F1832" s="38"/>
      <c r="G1832" s="38"/>
      <c r="H1832" s="31"/>
      <c r="I1832" s="32"/>
      <c r="J1832" s="32"/>
      <c r="K1832" s="45" t="s">
        <v>888</v>
      </c>
      <c r="L1832" s="129"/>
      <c r="M1832" s="33" t="str">
        <f t="shared" si="28"/>
        <v/>
      </c>
      <c r="N1832" s="34" t="str">
        <f>IFERROR(IF(Tabela1[[#This Row],[Nome fantasia]]="","",_xlfn.XLOOKUP($C1832,Log!D:D,Log!B:B,,,-1)),"")</f>
        <v/>
      </c>
      <c r="O1832" s="35" t="str">
        <f>IFERROR(_xlfn.XLOOKUP($C1832,Log!D:D,Log!W:W,,,-1),"")</f>
        <v/>
      </c>
      <c r="P1832" s="35" t="str">
        <f>IFERROR(_xlfn.XLOOKUP($C1832,Log!D:D,Log!Y:Y,,,-1),"")</f>
        <v/>
      </c>
      <c r="Q1832" s="130"/>
      <c r="R1832" s="131" t="str">
        <f>IFERROR(IF(Tabela1[[#This Row],[Nome fantasia]]="","",_xlfn.XLOOKUP($C1832,Log!D:D,Log!X:X,,,-1)),"")</f>
        <v/>
      </c>
    </row>
    <row r="1833" spans="3:18" hidden="1" x14ac:dyDescent="0.2">
      <c r="C1833" s="30"/>
      <c r="D1833" s="110" t="s">
        <v>4006</v>
      </c>
      <c r="E1833" s="33" t="s">
        <v>46</v>
      </c>
      <c r="F1833" s="38"/>
      <c r="G1833" s="38"/>
      <c r="H1833" s="31"/>
      <c r="I1833" s="32"/>
      <c r="J1833" s="32"/>
      <c r="K1833" s="45" t="s">
        <v>888</v>
      </c>
      <c r="L1833" s="129"/>
      <c r="M1833" s="33" t="str">
        <f t="shared" si="28"/>
        <v/>
      </c>
      <c r="N1833" s="34" t="str">
        <f>IFERROR(IF(Tabela1[[#This Row],[Nome fantasia]]="","",_xlfn.XLOOKUP($C1833,Log!D:D,Log!B:B,,,-1)),"")</f>
        <v/>
      </c>
      <c r="O1833" s="35" t="str">
        <f>IFERROR(_xlfn.XLOOKUP($C1833,Log!D:D,Log!W:W,,,-1),"")</f>
        <v/>
      </c>
      <c r="P1833" s="35" t="str">
        <f>IFERROR(_xlfn.XLOOKUP($C1833,Log!D:D,Log!Y:Y,,,-1),"")</f>
        <v/>
      </c>
      <c r="Q1833" s="130"/>
      <c r="R1833" s="131" t="str">
        <f>IFERROR(IF(Tabela1[[#This Row],[Nome fantasia]]="","",_xlfn.XLOOKUP($C1833,Log!D:D,Log!X:X,,,-1)),"")</f>
        <v/>
      </c>
    </row>
    <row r="1834" spans="3:18" hidden="1" x14ac:dyDescent="0.2">
      <c r="C1834" s="30" t="s">
        <v>4007</v>
      </c>
      <c r="D1834" s="110" t="s">
        <v>4008</v>
      </c>
      <c r="E1834" s="33" t="s">
        <v>17</v>
      </c>
      <c r="F1834" s="38"/>
      <c r="G1834" s="38"/>
      <c r="H1834" s="31"/>
      <c r="I1834" s="32"/>
      <c r="J1834" s="32"/>
      <c r="K1834" s="45" t="s">
        <v>888</v>
      </c>
      <c r="L1834" s="129"/>
      <c r="M1834" s="33" t="str">
        <f t="shared" si="28"/>
        <v/>
      </c>
      <c r="N1834" s="34" t="str">
        <f>IFERROR(IF(Tabela1[[#This Row],[Nome fantasia]]="","",_xlfn.XLOOKUP($C1834,Log!D:D,Log!B:B,,,-1)),"")</f>
        <v/>
      </c>
      <c r="O1834" s="35" t="str">
        <f>IFERROR(_xlfn.XLOOKUP($C1834,Log!D:D,Log!W:W,,,-1),"")</f>
        <v/>
      </c>
      <c r="P1834" s="35" t="str">
        <f>IFERROR(_xlfn.XLOOKUP($C1834,Log!D:D,Log!Y:Y,,,-1),"")</f>
        <v/>
      </c>
      <c r="Q1834" s="130"/>
      <c r="R1834" s="131" t="str">
        <f>IFERROR(IF(Tabela1[[#This Row],[Nome fantasia]]="","",_xlfn.XLOOKUP($C1834,Log!D:D,Log!X:X,,,-1)),"")</f>
        <v/>
      </c>
    </row>
    <row r="1835" spans="3:18" hidden="1" x14ac:dyDescent="0.2">
      <c r="C1835" s="30" t="s">
        <v>4009</v>
      </c>
      <c r="D1835" s="110" t="s">
        <v>4010</v>
      </c>
      <c r="E1835" s="33" t="s">
        <v>22</v>
      </c>
      <c r="F1835" s="38"/>
      <c r="G1835" s="38"/>
      <c r="H1835" s="31"/>
      <c r="I1835" s="32"/>
      <c r="J1835" s="32"/>
      <c r="K1835" s="45" t="s">
        <v>888</v>
      </c>
      <c r="L1835" s="129"/>
      <c r="M1835" s="33" t="str">
        <f t="shared" si="28"/>
        <v/>
      </c>
      <c r="N1835" s="34" t="str">
        <f>IFERROR(IF(Tabela1[[#This Row],[Nome fantasia]]="","",_xlfn.XLOOKUP($C1835,Log!D:D,Log!B:B,,,-1)),"")</f>
        <v/>
      </c>
      <c r="O1835" s="35" t="str">
        <f>IFERROR(_xlfn.XLOOKUP($C1835,Log!D:D,Log!W:W,,,-1),"")</f>
        <v/>
      </c>
      <c r="P1835" s="35" t="str">
        <f>IFERROR(_xlfn.XLOOKUP($C1835,Log!D:D,Log!Y:Y,,,-1),"")</f>
        <v/>
      </c>
      <c r="Q1835" s="130"/>
      <c r="R1835" s="131" t="str">
        <f>IFERROR(IF(Tabela1[[#This Row],[Nome fantasia]]="","",_xlfn.XLOOKUP($C1835,Log!D:D,Log!X:X,,,-1)),"")</f>
        <v/>
      </c>
    </row>
    <row r="1836" spans="3:18" hidden="1" x14ac:dyDescent="0.2">
      <c r="C1836" s="30" t="s">
        <v>4011</v>
      </c>
      <c r="D1836" s="110" t="s">
        <v>4012</v>
      </c>
      <c r="E1836" s="33" t="s">
        <v>17</v>
      </c>
      <c r="F1836" s="38"/>
      <c r="G1836" s="38"/>
      <c r="H1836" s="31"/>
      <c r="I1836" s="32"/>
      <c r="J1836" s="32"/>
      <c r="K1836" s="45" t="s">
        <v>888</v>
      </c>
      <c r="L1836" s="129"/>
      <c r="M1836" s="33" t="str">
        <f t="shared" si="28"/>
        <v/>
      </c>
      <c r="N1836" s="34" t="str">
        <f>IFERROR(IF(Tabela1[[#This Row],[Nome fantasia]]="","",_xlfn.XLOOKUP($C1836,Log!D:D,Log!B:B,,,-1)),"")</f>
        <v/>
      </c>
      <c r="O1836" s="35" t="str">
        <f>IFERROR(_xlfn.XLOOKUP($C1836,Log!D:D,Log!W:W,,,-1),"")</f>
        <v/>
      </c>
      <c r="P1836" s="35" t="str">
        <f>IFERROR(_xlfn.XLOOKUP($C1836,Log!D:D,Log!Y:Y,,,-1),"")</f>
        <v/>
      </c>
      <c r="Q1836" s="130"/>
      <c r="R1836" s="131" t="str">
        <f>IFERROR(IF(Tabela1[[#This Row],[Nome fantasia]]="","",_xlfn.XLOOKUP($C1836,Log!D:D,Log!X:X,,,-1)),"")</f>
        <v/>
      </c>
    </row>
    <row r="1837" spans="3:18" hidden="1" x14ac:dyDescent="0.2">
      <c r="C1837" s="30" t="s">
        <v>4013</v>
      </c>
      <c r="D1837" s="110" t="s">
        <v>4014</v>
      </c>
      <c r="E1837" s="33" t="s">
        <v>46</v>
      </c>
      <c r="F1837" s="38"/>
      <c r="G1837" s="38"/>
      <c r="H1837" s="31"/>
      <c r="I1837" s="32"/>
      <c r="J1837" s="32"/>
      <c r="K1837" s="45" t="s">
        <v>888</v>
      </c>
      <c r="L1837" s="129"/>
      <c r="M1837" s="33" t="str">
        <f t="shared" si="28"/>
        <v/>
      </c>
      <c r="N1837" s="34" t="str">
        <f>IFERROR(IF(Tabela1[[#This Row],[Nome fantasia]]="","",_xlfn.XLOOKUP($C1837,Log!D:D,Log!B:B,,,-1)),"")</f>
        <v/>
      </c>
      <c r="O1837" s="35" t="str">
        <f>IFERROR(_xlfn.XLOOKUP($C1837,Log!D:D,Log!W:W,,,-1),"")</f>
        <v/>
      </c>
      <c r="P1837" s="35" t="str">
        <f>IFERROR(_xlfn.XLOOKUP($C1837,Log!D:D,Log!Y:Y,,,-1),"")</f>
        <v/>
      </c>
      <c r="Q1837" s="130"/>
      <c r="R1837" s="131" t="str">
        <f>IFERROR(IF(Tabela1[[#This Row],[Nome fantasia]]="","",_xlfn.XLOOKUP($C1837,Log!D:D,Log!X:X,,,-1)),"")</f>
        <v/>
      </c>
    </row>
    <row r="1838" spans="3:18" hidden="1" x14ac:dyDescent="0.2">
      <c r="C1838" s="30" t="s">
        <v>4015</v>
      </c>
      <c r="D1838" s="110" t="s">
        <v>4016</v>
      </c>
      <c r="E1838" s="33" t="s">
        <v>46</v>
      </c>
      <c r="F1838" s="38"/>
      <c r="G1838" s="38"/>
      <c r="H1838" s="31"/>
      <c r="I1838" s="32"/>
      <c r="J1838" s="32"/>
      <c r="K1838" s="45" t="s">
        <v>888</v>
      </c>
      <c r="L1838" s="129"/>
      <c r="M1838" s="33" t="str">
        <f t="shared" si="28"/>
        <v/>
      </c>
      <c r="N1838" s="34" t="str">
        <f>IFERROR(IF(Tabela1[[#This Row],[Nome fantasia]]="","",_xlfn.XLOOKUP($C1838,Log!D:D,Log!B:B,,,-1)),"")</f>
        <v/>
      </c>
      <c r="O1838" s="35" t="str">
        <f>IFERROR(_xlfn.XLOOKUP($C1838,Log!D:D,Log!W:W,,,-1),"")</f>
        <v/>
      </c>
      <c r="P1838" s="35" t="str">
        <f>IFERROR(_xlfn.XLOOKUP($C1838,Log!D:D,Log!Y:Y,,,-1),"")</f>
        <v/>
      </c>
      <c r="Q1838" s="130"/>
      <c r="R1838" s="131" t="str">
        <f>IFERROR(IF(Tabela1[[#This Row],[Nome fantasia]]="","",_xlfn.XLOOKUP($C1838,Log!D:D,Log!X:X,,,-1)),"")</f>
        <v/>
      </c>
    </row>
    <row r="1839" spans="3:18" hidden="1" x14ac:dyDescent="0.2">
      <c r="C1839" s="30" t="s">
        <v>4017</v>
      </c>
      <c r="D1839" s="110" t="s">
        <v>4018</v>
      </c>
      <c r="E1839" s="33" t="s">
        <v>22</v>
      </c>
      <c r="F1839" s="38"/>
      <c r="G1839" s="38"/>
      <c r="H1839" s="31"/>
      <c r="I1839" s="32"/>
      <c r="J1839" s="32"/>
      <c r="K1839" s="45" t="s">
        <v>888</v>
      </c>
      <c r="L1839" s="129"/>
      <c r="M1839" s="33" t="str">
        <f t="shared" si="28"/>
        <v/>
      </c>
      <c r="N1839" s="34" t="str">
        <f>IFERROR(IF(Tabela1[[#This Row],[Nome fantasia]]="","",_xlfn.XLOOKUP($C1839,Log!D:D,Log!B:B,,,-1)),"")</f>
        <v/>
      </c>
      <c r="O1839" s="35" t="str">
        <f>IFERROR(_xlfn.XLOOKUP($C1839,Log!D:D,Log!W:W,,,-1),"")</f>
        <v/>
      </c>
      <c r="P1839" s="35" t="str">
        <f>IFERROR(_xlfn.XLOOKUP($C1839,Log!D:D,Log!Y:Y,,,-1),"")</f>
        <v/>
      </c>
      <c r="Q1839" s="130"/>
      <c r="R1839" s="131" t="str">
        <f>IFERROR(IF(Tabela1[[#This Row],[Nome fantasia]]="","",_xlfn.XLOOKUP($C1839,Log!D:D,Log!X:X,,,-1)),"")</f>
        <v/>
      </c>
    </row>
    <row r="1840" spans="3:18" hidden="1" x14ac:dyDescent="0.2">
      <c r="C1840" s="30" t="s">
        <v>4019</v>
      </c>
      <c r="D1840" s="110" t="s">
        <v>4020</v>
      </c>
      <c r="E1840" s="33" t="s">
        <v>46</v>
      </c>
      <c r="F1840" s="38"/>
      <c r="G1840" s="38"/>
      <c r="H1840" s="31"/>
      <c r="I1840" s="32"/>
      <c r="J1840" s="32"/>
      <c r="K1840" s="45" t="s">
        <v>888</v>
      </c>
      <c r="L1840" s="129"/>
      <c r="M1840" s="33" t="str">
        <f t="shared" si="28"/>
        <v/>
      </c>
      <c r="N1840" s="34" t="str">
        <f>IFERROR(IF(Tabela1[[#This Row],[Nome fantasia]]="","",_xlfn.XLOOKUP($C1840,Log!D:D,Log!B:B,,,-1)),"")</f>
        <v/>
      </c>
      <c r="O1840" s="35" t="str">
        <f>IFERROR(_xlfn.XLOOKUP($C1840,Log!D:D,Log!W:W,,,-1),"")</f>
        <v/>
      </c>
      <c r="P1840" s="35" t="str">
        <f>IFERROR(_xlfn.XLOOKUP($C1840,Log!D:D,Log!Y:Y,,,-1),"")</f>
        <v/>
      </c>
      <c r="Q1840" s="130"/>
      <c r="R1840" s="131" t="str">
        <f>IFERROR(IF(Tabela1[[#This Row],[Nome fantasia]]="","",_xlfn.XLOOKUP($C1840,Log!D:D,Log!X:X,,,-1)),"")</f>
        <v/>
      </c>
    </row>
    <row r="1841" spans="3:18" hidden="1" x14ac:dyDescent="0.2">
      <c r="C1841" s="30" t="s">
        <v>4021</v>
      </c>
      <c r="D1841" s="110" t="s">
        <v>4022</v>
      </c>
      <c r="E1841" s="33" t="s">
        <v>17</v>
      </c>
      <c r="F1841" s="38"/>
      <c r="G1841" s="38"/>
      <c r="H1841" s="31"/>
      <c r="I1841" s="32"/>
      <c r="J1841" s="32"/>
      <c r="K1841" s="45" t="s">
        <v>888</v>
      </c>
      <c r="L1841" s="129"/>
      <c r="M1841" s="33" t="str">
        <f t="shared" si="28"/>
        <v/>
      </c>
      <c r="N1841" s="34" t="str">
        <f>IFERROR(IF(Tabela1[[#This Row],[Nome fantasia]]="","",_xlfn.XLOOKUP($C1841,Log!D:D,Log!B:B,,,-1)),"")</f>
        <v/>
      </c>
      <c r="O1841" s="35" t="str">
        <f>IFERROR(_xlfn.XLOOKUP($C1841,Log!D:D,Log!W:W,,,-1),"")</f>
        <v/>
      </c>
      <c r="P1841" s="35" t="str">
        <f>IFERROR(_xlfn.XLOOKUP($C1841,Log!D:D,Log!Y:Y,,,-1),"")</f>
        <v/>
      </c>
      <c r="Q1841" s="130"/>
      <c r="R1841" s="131" t="str">
        <f>IFERROR(IF(Tabela1[[#This Row],[Nome fantasia]]="","",_xlfn.XLOOKUP($C1841,Log!D:D,Log!X:X,,,-1)),"")</f>
        <v/>
      </c>
    </row>
    <row r="1842" spans="3:18" hidden="1" x14ac:dyDescent="0.2">
      <c r="C1842" s="30" t="s">
        <v>4023</v>
      </c>
      <c r="D1842" s="110" t="s">
        <v>4024</v>
      </c>
      <c r="E1842" s="33" t="s">
        <v>17</v>
      </c>
      <c r="F1842" s="38"/>
      <c r="G1842" s="38"/>
      <c r="H1842" s="31"/>
      <c r="I1842" s="32"/>
      <c r="J1842" s="32"/>
      <c r="K1842" s="45" t="s">
        <v>888</v>
      </c>
      <c r="L1842" s="129"/>
      <c r="M1842" s="33" t="str">
        <f t="shared" si="28"/>
        <v/>
      </c>
      <c r="N1842" s="34" t="str">
        <f>IFERROR(IF(Tabela1[[#This Row],[Nome fantasia]]="","",_xlfn.XLOOKUP($C1842,Log!D:D,Log!B:B,,,-1)),"")</f>
        <v/>
      </c>
      <c r="O1842" s="35" t="str">
        <f>IFERROR(_xlfn.XLOOKUP($C1842,Log!D:D,Log!W:W,,,-1),"")</f>
        <v/>
      </c>
      <c r="P1842" s="35" t="str">
        <f>IFERROR(_xlfn.XLOOKUP($C1842,Log!D:D,Log!Y:Y,,,-1),"")</f>
        <v/>
      </c>
      <c r="Q1842" s="130"/>
      <c r="R1842" s="131" t="str">
        <f>IFERROR(IF(Tabela1[[#This Row],[Nome fantasia]]="","",_xlfn.XLOOKUP($C1842,Log!D:D,Log!X:X,,,-1)),"")</f>
        <v/>
      </c>
    </row>
    <row r="1843" spans="3:18" hidden="1" x14ac:dyDescent="0.2">
      <c r="C1843" s="30" t="s">
        <v>2932</v>
      </c>
      <c r="D1843" s="110" t="s">
        <v>4025</v>
      </c>
      <c r="E1843" s="33" t="s">
        <v>46</v>
      </c>
      <c r="F1843" s="38"/>
      <c r="G1843" s="38"/>
      <c r="H1843" s="31"/>
      <c r="I1843" s="32"/>
      <c r="J1843" s="32"/>
      <c r="K1843" s="45" t="s">
        <v>888</v>
      </c>
      <c r="L1843" s="129"/>
      <c r="M1843" s="33" t="str">
        <f t="shared" si="28"/>
        <v/>
      </c>
      <c r="N1843" s="34" t="str">
        <f>IFERROR(IF(Tabela1[[#This Row],[Nome fantasia]]="","",_xlfn.XLOOKUP($C1843,Log!D:D,Log!B:B,,,-1)),"")</f>
        <v/>
      </c>
      <c r="O1843" s="35" t="str">
        <f>IFERROR(_xlfn.XLOOKUP($C1843,Log!D:D,Log!W:W,,,-1),"")</f>
        <v/>
      </c>
      <c r="P1843" s="35" t="str">
        <f>IFERROR(_xlfn.XLOOKUP($C1843,Log!D:D,Log!Y:Y,,,-1),"")</f>
        <v/>
      </c>
      <c r="Q1843" s="130"/>
      <c r="R1843" s="131" t="str">
        <f>IFERROR(IF(Tabela1[[#This Row],[Nome fantasia]]="","",_xlfn.XLOOKUP($C1843,Log!D:D,Log!X:X,,,-1)),"")</f>
        <v/>
      </c>
    </row>
    <row r="1844" spans="3:18" hidden="1" x14ac:dyDescent="0.2">
      <c r="C1844" s="30" t="s">
        <v>4026</v>
      </c>
      <c r="D1844" s="110" t="s">
        <v>4027</v>
      </c>
      <c r="E1844" s="33" t="s">
        <v>17</v>
      </c>
      <c r="F1844" s="38"/>
      <c r="G1844" s="38"/>
      <c r="H1844" s="31"/>
      <c r="I1844" s="32"/>
      <c r="J1844" s="32"/>
      <c r="K1844" s="45" t="s">
        <v>888</v>
      </c>
      <c r="L1844" s="129"/>
      <c r="M1844" s="33" t="str">
        <f t="shared" si="28"/>
        <v/>
      </c>
      <c r="N1844" s="34" t="str">
        <f>IFERROR(IF(Tabela1[[#This Row],[Nome fantasia]]="","",_xlfn.XLOOKUP($C1844,Log!D:D,Log!B:B,,,-1)),"")</f>
        <v/>
      </c>
      <c r="O1844" s="35" t="str">
        <f>IFERROR(_xlfn.XLOOKUP($C1844,Log!D:D,Log!W:W,,,-1),"")</f>
        <v/>
      </c>
      <c r="P1844" s="35" t="str">
        <f>IFERROR(_xlfn.XLOOKUP($C1844,Log!D:D,Log!Y:Y,,,-1),"")</f>
        <v/>
      </c>
      <c r="Q1844" s="130"/>
      <c r="R1844" s="131" t="str">
        <f>IFERROR(IF(Tabela1[[#This Row],[Nome fantasia]]="","",_xlfn.XLOOKUP($C1844,Log!D:D,Log!X:X,,,-1)),"")</f>
        <v/>
      </c>
    </row>
    <row r="1845" spans="3:18" hidden="1" x14ac:dyDescent="0.2">
      <c r="C1845" s="30" t="s">
        <v>4028</v>
      </c>
      <c r="D1845" s="110" t="s">
        <v>4029</v>
      </c>
      <c r="E1845" s="33" t="s">
        <v>46</v>
      </c>
      <c r="F1845" s="38"/>
      <c r="G1845" s="38"/>
      <c r="H1845" s="31"/>
      <c r="I1845" s="32"/>
      <c r="J1845" s="32"/>
      <c r="K1845" s="45" t="s">
        <v>888</v>
      </c>
      <c r="L1845" s="129"/>
      <c r="M1845" s="33" t="str">
        <f t="shared" si="28"/>
        <v/>
      </c>
      <c r="N1845" s="34" t="str">
        <f>IFERROR(IF(Tabela1[[#This Row],[Nome fantasia]]="","",_xlfn.XLOOKUP($C1845,Log!D:D,Log!B:B,,,-1)),"")</f>
        <v/>
      </c>
      <c r="O1845" s="35" t="str">
        <f>IFERROR(_xlfn.XLOOKUP($C1845,Log!D:D,Log!W:W,,,-1),"")</f>
        <v/>
      </c>
      <c r="P1845" s="35" t="str">
        <f>IFERROR(_xlfn.XLOOKUP($C1845,Log!D:D,Log!Y:Y,,,-1),"")</f>
        <v/>
      </c>
      <c r="Q1845" s="130"/>
      <c r="R1845" s="131" t="str">
        <f>IFERROR(IF(Tabela1[[#This Row],[Nome fantasia]]="","",_xlfn.XLOOKUP($C1845,Log!D:D,Log!X:X,,,-1)),"")</f>
        <v/>
      </c>
    </row>
    <row r="1846" spans="3:18" hidden="1" x14ac:dyDescent="0.2">
      <c r="C1846" s="30" t="s">
        <v>4030</v>
      </c>
      <c r="D1846" s="110" t="s">
        <v>4031</v>
      </c>
      <c r="E1846" s="33" t="s">
        <v>46</v>
      </c>
      <c r="F1846" s="38"/>
      <c r="G1846" s="38"/>
      <c r="H1846" s="31"/>
      <c r="I1846" s="32"/>
      <c r="J1846" s="32"/>
      <c r="K1846" s="45" t="s">
        <v>888</v>
      </c>
      <c r="L1846" s="129"/>
      <c r="M1846" s="33" t="str">
        <f t="shared" si="28"/>
        <v/>
      </c>
      <c r="N1846" s="34" t="str">
        <f>IFERROR(IF(Tabela1[[#This Row],[Nome fantasia]]="","",_xlfn.XLOOKUP($C1846,Log!D:D,Log!B:B,,,-1)),"")</f>
        <v/>
      </c>
      <c r="O1846" s="35" t="str">
        <f>IFERROR(_xlfn.XLOOKUP($C1846,Log!D:D,Log!W:W,,,-1),"")</f>
        <v/>
      </c>
      <c r="P1846" s="35" t="str">
        <f>IFERROR(_xlfn.XLOOKUP($C1846,Log!D:D,Log!Y:Y,,,-1),"")</f>
        <v/>
      </c>
      <c r="Q1846" s="130"/>
      <c r="R1846" s="131" t="str">
        <f>IFERROR(IF(Tabela1[[#This Row],[Nome fantasia]]="","",_xlfn.XLOOKUP($C1846,Log!D:D,Log!X:X,,,-1)),"")</f>
        <v/>
      </c>
    </row>
    <row r="1847" spans="3:18" hidden="1" x14ac:dyDescent="0.2">
      <c r="C1847" s="30" t="s">
        <v>4032</v>
      </c>
      <c r="D1847" s="110" t="s">
        <v>4033</v>
      </c>
      <c r="E1847" s="33" t="s">
        <v>46</v>
      </c>
      <c r="F1847" s="38"/>
      <c r="G1847" s="38"/>
      <c r="H1847" s="31"/>
      <c r="I1847" s="32"/>
      <c r="J1847" s="32"/>
      <c r="K1847" s="45" t="s">
        <v>888</v>
      </c>
      <c r="L1847" s="129"/>
      <c r="M1847" s="33" t="str">
        <f t="shared" si="28"/>
        <v/>
      </c>
      <c r="N1847" s="34" t="str">
        <f>IFERROR(IF(Tabela1[[#This Row],[Nome fantasia]]="","",_xlfn.XLOOKUP($C1847,Log!D:D,Log!B:B,,,-1)),"")</f>
        <v/>
      </c>
      <c r="O1847" s="35" t="str">
        <f>IFERROR(_xlfn.XLOOKUP($C1847,Log!D:D,Log!W:W,,,-1),"")</f>
        <v/>
      </c>
      <c r="P1847" s="35" t="str">
        <f>IFERROR(_xlfn.XLOOKUP($C1847,Log!D:D,Log!Y:Y,,,-1),"")</f>
        <v/>
      </c>
      <c r="Q1847" s="130"/>
      <c r="R1847" s="131" t="str">
        <f>IFERROR(IF(Tabela1[[#This Row],[Nome fantasia]]="","",_xlfn.XLOOKUP($C1847,Log!D:D,Log!X:X,,,-1)),"")</f>
        <v/>
      </c>
    </row>
    <row r="1848" spans="3:18" hidden="1" x14ac:dyDescent="0.2">
      <c r="C1848" s="30" t="s">
        <v>4034</v>
      </c>
      <c r="D1848" s="110" t="s">
        <v>4035</v>
      </c>
      <c r="E1848" s="33" t="s">
        <v>22</v>
      </c>
      <c r="F1848" s="38"/>
      <c r="G1848" s="38"/>
      <c r="H1848" s="31"/>
      <c r="I1848" s="32"/>
      <c r="J1848" s="32"/>
      <c r="K1848" s="45" t="s">
        <v>888</v>
      </c>
      <c r="L1848" s="129"/>
      <c r="M1848" s="33" t="str">
        <f t="shared" si="28"/>
        <v/>
      </c>
      <c r="N1848" s="34">
        <f>IFERROR(IF(Tabela1[[#This Row],[Nome fantasia]]="","",_xlfn.XLOOKUP($C1848,Log!D:D,Log!B:B,,,-1)),"")</f>
        <v>46006</v>
      </c>
      <c r="O1848" s="35" t="str">
        <f>IFERROR(_xlfn.XLOOKUP($C1848,Log!D:D,Log!W:W,,,-1),"")</f>
        <v>FOLLOW UP 15</v>
      </c>
      <c r="P1848" s="35" t="str">
        <f>IFERROR(_xlfn.XLOOKUP($C1848,Log!D:D,Log!Y:Y,,,-1),"")</f>
        <v>FEITO CONTATO PARA POSSIVEL RECOMPRA</v>
      </c>
      <c r="Q1848" s="130"/>
      <c r="R1848" s="131">
        <f>IFERROR(IF(Tabela1[[#This Row],[Nome fantasia]]="","",_xlfn.XLOOKUP($C1848,Log!D:D,Log!X:X,,,-1)),"")</f>
        <v>46027</v>
      </c>
    </row>
    <row r="1849" spans="3:18" hidden="1" x14ac:dyDescent="0.2">
      <c r="C1849" s="30" t="s">
        <v>4036</v>
      </c>
      <c r="D1849" s="110" t="s">
        <v>4037</v>
      </c>
      <c r="E1849" s="33" t="s">
        <v>17</v>
      </c>
      <c r="F1849" s="38"/>
      <c r="G1849" s="38"/>
      <c r="H1849" s="31"/>
      <c r="I1849" s="32"/>
      <c r="J1849" s="32"/>
      <c r="K1849" s="45" t="s">
        <v>888</v>
      </c>
      <c r="L1849" s="129"/>
      <c r="M1849" s="33" t="str">
        <f t="shared" si="28"/>
        <v/>
      </c>
      <c r="N1849" s="34" t="str">
        <f>IFERROR(IF(Tabela1[[#This Row],[Nome fantasia]]="","",_xlfn.XLOOKUP($C1849,Log!D:D,Log!B:B,,,-1)),"")</f>
        <v/>
      </c>
      <c r="O1849" s="35" t="str">
        <f>IFERROR(_xlfn.XLOOKUP($C1849,Log!D:D,Log!W:W,,,-1),"")</f>
        <v/>
      </c>
      <c r="P1849" s="35" t="str">
        <f>IFERROR(_xlfn.XLOOKUP($C1849,Log!D:D,Log!Y:Y,,,-1),"")</f>
        <v/>
      </c>
      <c r="Q1849" s="130"/>
      <c r="R1849" s="131" t="str">
        <f>IFERROR(IF(Tabela1[[#This Row],[Nome fantasia]]="","",_xlfn.XLOOKUP($C1849,Log!D:D,Log!X:X,,,-1)),"")</f>
        <v/>
      </c>
    </row>
    <row r="1850" spans="3:18" hidden="1" x14ac:dyDescent="0.2">
      <c r="C1850" s="30" t="s">
        <v>4038</v>
      </c>
      <c r="D1850" s="110" t="s">
        <v>4039</v>
      </c>
      <c r="E1850" s="33" t="s">
        <v>17</v>
      </c>
      <c r="F1850" s="38"/>
      <c r="G1850" s="38"/>
      <c r="H1850" s="31"/>
      <c r="I1850" s="32"/>
      <c r="J1850" s="32"/>
      <c r="K1850" s="45" t="s">
        <v>888</v>
      </c>
      <c r="L1850" s="129"/>
      <c r="M1850" s="33" t="str">
        <f t="shared" si="28"/>
        <v/>
      </c>
      <c r="N1850" s="34" t="str">
        <f>IFERROR(IF(Tabela1[[#This Row],[Nome fantasia]]="","",_xlfn.XLOOKUP($C1850,Log!D:D,Log!B:B,,,-1)),"")</f>
        <v/>
      </c>
      <c r="O1850" s="35" t="str">
        <f>IFERROR(_xlfn.XLOOKUP($C1850,Log!D:D,Log!W:W,,,-1),"")</f>
        <v/>
      </c>
      <c r="P1850" s="35" t="str">
        <f>IFERROR(_xlfn.XLOOKUP($C1850,Log!D:D,Log!Y:Y,,,-1),"")</f>
        <v/>
      </c>
      <c r="Q1850" s="130"/>
      <c r="R1850" s="131" t="str">
        <f>IFERROR(IF(Tabela1[[#This Row],[Nome fantasia]]="","",_xlfn.XLOOKUP($C1850,Log!D:D,Log!X:X,,,-1)),"")</f>
        <v/>
      </c>
    </row>
    <row r="1851" spans="3:18" hidden="1" x14ac:dyDescent="0.2">
      <c r="C1851" s="30" t="s">
        <v>4040</v>
      </c>
      <c r="D1851" s="110" t="s">
        <v>4041</v>
      </c>
      <c r="E1851" s="33" t="s">
        <v>46</v>
      </c>
      <c r="F1851" s="38"/>
      <c r="G1851" s="38"/>
      <c r="H1851" s="31"/>
      <c r="I1851" s="32"/>
      <c r="J1851" s="32"/>
      <c r="K1851" s="45" t="s">
        <v>888</v>
      </c>
      <c r="L1851" s="129"/>
      <c r="M1851" s="33" t="str">
        <f t="shared" si="28"/>
        <v/>
      </c>
      <c r="N1851" s="34" t="str">
        <f>IFERROR(IF(Tabela1[[#This Row],[Nome fantasia]]="","",_xlfn.XLOOKUP($C1851,Log!D:D,Log!B:B,,,-1)),"")</f>
        <v/>
      </c>
      <c r="O1851" s="35" t="str">
        <f>IFERROR(_xlfn.XLOOKUP($C1851,Log!D:D,Log!W:W,,,-1),"")</f>
        <v/>
      </c>
      <c r="P1851" s="35" t="str">
        <f>IFERROR(_xlfn.XLOOKUP($C1851,Log!D:D,Log!Y:Y,,,-1),"")</f>
        <v/>
      </c>
      <c r="Q1851" s="130"/>
      <c r="R1851" s="131" t="str">
        <f>IFERROR(IF(Tabela1[[#This Row],[Nome fantasia]]="","",_xlfn.XLOOKUP($C1851,Log!D:D,Log!X:X,,,-1)),"")</f>
        <v/>
      </c>
    </row>
    <row r="1852" spans="3:18" hidden="1" x14ac:dyDescent="0.2">
      <c r="C1852" s="30" t="s">
        <v>4042</v>
      </c>
      <c r="D1852" s="110" t="s">
        <v>4043</v>
      </c>
      <c r="E1852" s="33" t="s">
        <v>22</v>
      </c>
      <c r="F1852" s="38"/>
      <c r="G1852" s="38"/>
      <c r="H1852" s="31"/>
      <c r="I1852" s="32"/>
      <c r="J1852" s="32"/>
      <c r="K1852" s="45" t="s">
        <v>888</v>
      </c>
      <c r="L1852" s="129"/>
      <c r="M1852" s="33" t="str">
        <f t="shared" si="28"/>
        <v/>
      </c>
      <c r="N1852" s="34" t="str">
        <f>IFERROR(IF(Tabela1[[#This Row],[Nome fantasia]]="","",_xlfn.XLOOKUP($C1852,Log!D:D,Log!B:B,,,-1)),"")</f>
        <v/>
      </c>
      <c r="O1852" s="35" t="str">
        <f>IFERROR(_xlfn.XLOOKUP($C1852,Log!D:D,Log!W:W,,,-1),"")</f>
        <v/>
      </c>
      <c r="P1852" s="35" t="str">
        <f>IFERROR(_xlfn.XLOOKUP($C1852,Log!D:D,Log!Y:Y,,,-1),"")</f>
        <v/>
      </c>
      <c r="Q1852" s="130"/>
      <c r="R1852" s="131" t="str">
        <f>IFERROR(IF(Tabela1[[#This Row],[Nome fantasia]]="","",_xlfn.XLOOKUP($C1852,Log!D:D,Log!X:X,,,-1)),"")</f>
        <v/>
      </c>
    </row>
    <row r="1853" spans="3:18" hidden="1" x14ac:dyDescent="0.2">
      <c r="C1853" s="30" t="s">
        <v>4044</v>
      </c>
      <c r="D1853" s="110" t="s">
        <v>4045</v>
      </c>
      <c r="E1853" s="33" t="s">
        <v>22</v>
      </c>
      <c r="F1853" s="38"/>
      <c r="G1853" s="38"/>
      <c r="H1853" s="31"/>
      <c r="I1853" s="32"/>
      <c r="J1853" s="32"/>
      <c r="K1853" s="45" t="s">
        <v>888</v>
      </c>
      <c r="L1853" s="129"/>
      <c r="M1853" s="33" t="str">
        <f t="shared" si="28"/>
        <v/>
      </c>
      <c r="N1853" s="34" t="str">
        <f>IFERROR(IF(Tabela1[[#This Row],[Nome fantasia]]="","",_xlfn.XLOOKUP($C1853,Log!D:D,Log!B:B,,,-1)),"")</f>
        <v/>
      </c>
      <c r="O1853" s="35" t="str">
        <f>IFERROR(_xlfn.XLOOKUP($C1853,Log!D:D,Log!W:W,,,-1),"")</f>
        <v/>
      </c>
      <c r="P1853" s="35" t="str">
        <f>IFERROR(_xlfn.XLOOKUP($C1853,Log!D:D,Log!Y:Y,,,-1),"")</f>
        <v/>
      </c>
      <c r="Q1853" s="130"/>
      <c r="R1853" s="131" t="str">
        <f>IFERROR(IF(Tabela1[[#This Row],[Nome fantasia]]="","",_xlfn.XLOOKUP($C1853,Log!D:D,Log!X:X,,,-1)),"")</f>
        <v/>
      </c>
    </row>
    <row r="1854" spans="3:18" hidden="1" x14ac:dyDescent="0.2">
      <c r="C1854" s="30" t="s">
        <v>4046</v>
      </c>
      <c r="D1854" s="110" t="s">
        <v>4047</v>
      </c>
      <c r="E1854" s="33" t="s">
        <v>46</v>
      </c>
      <c r="F1854" s="38"/>
      <c r="G1854" s="38"/>
      <c r="H1854" s="31"/>
      <c r="I1854" s="32"/>
      <c r="J1854" s="32"/>
      <c r="K1854" s="45" t="s">
        <v>888</v>
      </c>
      <c r="L1854" s="129"/>
      <c r="M1854" s="33" t="str">
        <f t="shared" si="28"/>
        <v/>
      </c>
      <c r="N1854" s="34" t="str">
        <f>IFERROR(IF(Tabela1[[#This Row],[Nome fantasia]]="","",_xlfn.XLOOKUP($C1854,Log!D:D,Log!B:B,,,-1)),"")</f>
        <v/>
      </c>
      <c r="O1854" s="35" t="str">
        <f>IFERROR(_xlfn.XLOOKUP($C1854,Log!D:D,Log!W:W,,,-1),"")</f>
        <v/>
      </c>
      <c r="P1854" s="35" t="str">
        <f>IFERROR(_xlfn.XLOOKUP($C1854,Log!D:D,Log!Y:Y,,,-1),"")</f>
        <v/>
      </c>
      <c r="Q1854" s="130"/>
      <c r="R1854" s="131" t="str">
        <f>IFERROR(IF(Tabela1[[#This Row],[Nome fantasia]]="","",_xlfn.XLOOKUP($C1854,Log!D:D,Log!X:X,,,-1)),"")</f>
        <v/>
      </c>
    </row>
    <row r="1855" spans="3:18" hidden="1" x14ac:dyDescent="0.2">
      <c r="C1855" s="30"/>
      <c r="D1855" s="110" t="s">
        <v>4048</v>
      </c>
      <c r="E1855" s="33" t="s">
        <v>22</v>
      </c>
      <c r="F1855" s="38"/>
      <c r="G1855" s="38"/>
      <c r="H1855" s="31"/>
      <c r="I1855" s="32"/>
      <c r="J1855" s="32"/>
      <c r="K1855" s="45" t="s">
        <v>888</v>
      </c>
      <c r="L1855" s="129"/>
      <c r="M1855" s="33" t="str">
        <f t="shared" si="28"/>
        <v/>
      </c>
      <c r="N1855" s="34" t="str">
        <f>IFERROR(IF(Tabela1[[#This Row],[Nome fantasia]]="","",_xlfn.XLOOKUP($C1855,Log!D:D,Log!B:B,,,-1)),"")</f>
        <v/>
      </c>
      <c r="O1855" s="35" t="str">
        <f>IFERROR(_xlfn.XLOOKUP($C1855,Log!D:D,Log!W:W,,,-1),"")</f>
        <v/>
      </c>
      <c r="P1855" s="35" t="str">
        <f>IFERROR(_xlfn.XLOOKUP($C1855,Log!D:D,Log!Y:Y,,,-1),"")</f>
        <v/>
      </c>
      <c r="Q1855" s="130"/>
      <c r="R1855" s="131" t="str">
        <f>IFERROR(IF(Tabela1[[#This Row],[Nome fantasia]]="","",_xlfn.XLOOKUP($C1855,Log!D:D,Log!X:X,,,-1)),"")</f>
        <v/>
      </c>
    </row>
    <row r="1856" spans="3:18" hidden="1" x14ac:dyDescent="0.2">
      <c r="C1856" s="30" t="s">
        <v>4049</v>
      </c>
      <c r="D1856" s="110" t="s">
        <v>4050</v>
      </c>
      <c r="E1856" s="33" t="s">
        <v>46</v>
      </c>
      <c r="F1856" s="38"/>
      <c r="G1856" s="38"/>
      <c r="H1856" s="31"/>
      <c r="I1856" s="32"/>
      <c r="J1856" s="32"/>
      <c r="K1856" s="45" t="s">
        <v>888</v>
      </c>
      <c r="L1856" s="129"/>
      <c r="M1856" s="33" t="str">
        <f t="shared" si="28"/>
        <v/>
      </c>
      <c r="N1856" s="34" t="str">
        <f>IFERROR(IF(Tabela1[[#This Row],[Nome fantasia]]="","",_xlfn.XLOOKUP($C1856,Log!D:D,Log!B:B,,,-1)),"")</f>
        <v/>
      </c>
      <c r="O1856" s="35" t="str">
        <f>IFERROR(_xlfn.XLOOKUP($C1856,Log!D:D,Log!W:W,,,-1),"")</f>
        <v/>
      </c>
      <c r="P1856" s="35" t="str">
        <f>IFERROR(_xlfn.XLOOKUP($C1856,Log!D:D,Log!Y:Y,,,-1),"")</f>
        <v/>
      </c>
      <c r="Q1856" s="130"/>
      <c r="R1856" s="131" t="str">
        <f>IFERROR(IF(Tabela1[[#This Row],[Nome fantasia]]="","",_xlfn.XLOOKUP($C1856,Log!D:D,Log!X:X,,,-1)),"")</f>
        <v/>
      </c>
    </row>
    <row r="1857" spans="3:18" hidden="1" x14ac:dyDescent="0.2">
      <c r="C1857" s="30" t="s">
        <v>4051</v>
      </c>
      <c r="D1857" s="110" t="s">
        <v>4052</v>
      </c>
      <c r="E1857" s="33" t="s">
        <v>22</v>
      </c>
      <c r="F1857" s="38"/>
      <c r="G1857" s="38"/>
      <c r="H1857" s="31"/>
      <c r="I1857" s="32"/>
      <c r="J1857" s="32"/>
      <c r="K1857" s="45" t="s">
        <v>888</v>
      </c>
      <c r="L1857" s="129"/>
      <c r="M1857" s="33" t="str">
        <f t="shared" si="28"/>
        <v/>
      </c>
      <c r="N1857" s="34" t="str">
        <f>IFERROR(IF(Tabela1[[#This Row],[Nome fantasia]]="","",_xlfn.XLOOKUP($C1857,Log!D:D,Log!B:B,,,-1)),"")</f>
        <v/>
      </c>
      <c r="O1857" s="35" t="str">
        <f>IFERROR(_xlfn.XLOOKUP($C1857,Log!D:D,Log!W:W,,,-1),"")</f>
        <v/>
      </c>
      <c r="P1857" s="35" t="str">
        <f>IFERROR(_xlfn.XLOOKUP($C1857,Log!D:D,Log!Y:Y,,,-1),"")</f>
        <v/>
      </c>
      <c r="Q1857" s="130"/>
      <c r="R1857" s="131" t="str">
        <f>IFERROR(IF(Tabela1[[#This Row],[Nome fantasia]]="","",_xlfn.XLOOKUP($C1857,Log!D:D,Log!X:X,,,-1)),"")</f>
        <v/>
      </c>
    </row>
    <row r="1858" spans="3:18" hidden="1" x14ac:dyDescent="0.2">
      <c r="C1858" s="30" t="s">
        <v>4053</v>
      </c>
      <c r="D1858" s="110" t="s">
        <v>4054</v>
      </c>
      <c r="E1858" s="33" t="s">
        <v>17</v>
      </c>
      <c r="F1858" s="38"/>
      <c r="G1858" s="38"/>
      <c r="H1858" s="31"/>
      <c r="I1858" s="32"/>
      <c r="J1858" s="32"/>
      <c r="K1858" s="45" t="s">
        <v>888</v>
      </c>
      <c r="L1858" s="129"/>
      <c r="M1858" s="33" t="str">
        <f t="shared" si="28"/>
        <v/>
      </c>
      <c r="N1858" s="34" t="str">
        <f>IFERROR(IF(Tabela1[[#This Row],[Nome fantasia]]="","",_xlfn.XLOOKUP($C1858,Log!D:D,Log!B:B,,,-1)),"")</f>
        <v/>
      </c>
      <c r="O1858" s="35" t="str">
        <f>IFERROR(_xlfn.XLOOKUP($C1858,Log!D:D,Log!W:W,,,-1),"")</f>
        <v/>
      </c>
      <c r="P1858" s="35" t="str">
        <f>IFERROR(_xlfn.XLOOKUP($C1858,Log!D:D,Log!Y:Y,,,-1),"")</f>
        <v/>
      </c>
      <c r="Q1858" s="130"/>
      <c r="R1858" s="131" t="str">
        <f>IFERROR(IF(Tabela1[[#This Row],[Nome fantasia]]="","",_xlfn.XLOOKUP($C1858,Log!D:D,Log!X:X,,,-1)),"")</f>
        <v/>
      </c>
    </row>
    <row r="1859" spans="3:18" hidden="1" x14ac:dyDescent="0.2">
      <c r="C1859" s="30" t="s">
        <v>4055</v>
      </c>
      <c r="D1859" s="110" t="s">
        <v>4056</v>
      </c>
      <c r="E1859" s="33" t="s">
        <v>46</v>
      </c>
      <c r="F1859" s="38"/>
      <c r="G1859" s="38"/>
      <c r="H1859" s="31"/>
      <c r="I1859" s="32"/>
      <c r="J1859" s="32"/>
      <c r="K1859" s="45" t="s">
        <v>888</v>
      </c>
      <c r="L1859" s="129"/>
      <c r="M1859" s="33" t="str">
        <f t="shared" ref="M1859:M1922" si="29">IF(OR(J1859&lt;=0,J1859=""),"","Recompra")</f>
        <v/>
      </c>
      <c r="N1859" s="34" t="str">
        <f>IFERROR(IF(Tabela1[[#This Row],[Nome fantasia]]="","",_xlfn.XLOOKUP($C1859,Log!D:D,Log!B:B,,,-1)),"")</f>
        <v/>
      </c>
      <c r="O1859" s="35" t="str">
        <f>IFERROR(_xlfn.XLOOKUP($C1859,Log!D:D,Log!W:W,,,-1),"")</f>
        <v/>
      </c>
      <c r="P1859" s="35" t="str">
        <f>IFERROR(_xlfn.XLOOKUP($C1859,Log!D:D,Log!Y:Y,,,-1),"")</f>
        <v/>
      </c>
      <c r="Q1859" s="130"/>
      <c r="R1859" s="131" t="str">
        <f>IFERROR(IF(Tabela1[[#This Row],[Nome fantasia]]="","",_xlfn.XLOOKUP($C1859,Log!D:D,Log!X:X,,,-1)),"")</f>
        <v/>
      </c>
    </row>
    <row r="1860" spans="3:18" hidden="1" x14ac:dyDescent="0.2">
      <c r="C1860" s="30" t="s">
        <v>4057</v>
      </c>
      <c r="D1860" s="110" t="s">
        <v>4058</v>
      </c>
      <c r="E1860" s="33" t="s">
        <v>46</v>
      </c>
      <c r="F1860" s="38"/>
      <c r="G1860" s="38"/>
      <c r="H1860" s="31"/>
      <c r="I1860" s="32"/>
      <c r="J1860" s="32"/>
      <c r="K1860" s="45" t="s">
        <v>888</v>
      </c>
      <c r="L1860" s="129"/>
      <c r="M1860" s="33" t="str">
        <f t="shared" si="29"/>
        <v/>
      </c>
      <c r="N1860" s="34" t="str">
        <f>IFERROR(IF(Tabela1[[#This Row],[Nome fantasia]]="","",_xlfn.XLOOKUP($C1860,Log!D:D,Log!B:B,,,-1)),"")</f>
        <v/>
      </c>
      <c r="O1860" s="35" t="str">
        <f>IFERROR(_xlfn.XLOOKUP($C1860,Log!D:D,Log!W:W,,,-1),"")</f>
        <v/>
      </c>
      <c r="P1860" s="35" t="str">
        <f>IFERROR(_xlfn.XLOOKUP($C1860,Log!D:D,Log!Y:Y,,,-1),"")</f>
        <v/>
      </c>
      <c r="Q1860" s="130"/>
      <c r="R1860" s="131" t="str">
        <f>IFERROR(IF(Tabela1[[#This Row],[Nome fantasia]]="","",_xlfn.XLOOKUP($C1860,Log!D:D,Log!X:X,,,-1)),"")</f>
        <v/>
      </c>
    </row>
    <row r="1861" spans="3:18" hidden="1" x14ac:dyDescent="0.2">
      <c r="C1861" s="30" t="s">
        <v>4059</v>
      </c>
      <c r="D1861" s="110" t="s">
        <v>4060</v>
      </c>
      <c r="E1861" s="33" t="s">
        <v>22</v>
      </c>
      <c r="F1861" s="38"/>
      <c r="G1861" s="38"/>
      <c r="H1861" s="31"/>
      <c r="I1861" s="32"/>
      <c r="J1861" s="32"/>
      <c r="K1861" s="45" t="s">
        <v>888</v>
      </c>
      <c r="L1861" s="129"/>
      <c r="M1861" s="33" t="str">
        <f t="shared" si="29"/>
        <v/>
      </c>
      <c r="N1861" s="34" t="str">
        <f>IFERROR(IF(Tabela1[[#This Row],[Nome fantasia]]="","",_xlfn.XLOOKUP($C1861,Log!D:D,Log!B:B,,,-1)),"")</f>
        <v/>
      </c>
      <c r="O1861" s="35" t="str">
        <f>IFERROR(_xlfn.XLOOKUP($C1861,Log!D:D,Log!W:W,,,-1),"")</f>
        <v/>
      </c>
      <c r="P1861" s="35" t="str">
        <f>IFERROR(_xlfn.XLOOKUP($C1861,Log!D:D,Log!Y:Y,,,-1),"")</f>
        <v/>
      </c>
      <c r="Q1861" s="130"/>
      <c r="R1861" s="131" t="str">
        <f>IFERROR(IF(Tabela1[[#This Row],[Nome fantasia]]="","",_xlfn.XLOOKUP($C1861,Log!D:D,Log!X:X,,,-1)),"")</f>
        <v/>
      </c>
    </row>
    <row r="1862" spans="3:18" hidden="1" x14ac:dyDescent="0.2">
      <c r="C1862" s="30" t="s">
        <v>4061</v>
      </c>
      <c r="D1862" s="110" t="s">
        <v>4062</v>
      </c>
      <c r="E1862" s="33" t="s">
        <v>17</v>
      </c>
      <c r="F1862" s="38"/>
      <c r="G1862" s="38"/>
      <c r="H1862" s="31"/>
      <c r="I1862" s="32"/>
      <c r="J1862" s="32"/>
      <c r="K1862" s="45" t="s">
        <v>888</v>
      </c>
      <c r="L1862" s="129"/>
      <c r="M1862" s="33" t="str">
        <f t="shared" si="29"/>
        <v/>
      </c>
      <c r="N1862" s="34" t="str">
        <f>IFERROR(IF(Tabela1[[#This Row],[Nome fantasia]]="","",_xlfn.XLOOKUP($C1862,Log!D:D,Log!B:B,,,-1)),"")</f>
        <v/>
      </c>
      <c r="O1862" s="35" t="str">
        <f>IFERROR(_xlfn.XLOOKUP($C1862,Log!D:D,Log!W:W,,,-1),"")</f>
        <v/>
      </c>
      <c r="P1862" s="35" t="str">
        <f>IFERROR(_xlfn.XLOOKUP($C1862,Log!D:D,Log!Y:Y,,,-1),"")</f>
        <v/>
      </c>
      <c r="Q1862" s="130"/>
      <c r="R1862" s="131" t="str">
        <f>IFERROR(IF(Tabela1[[#This Row],[Nome fantasia]]="","",_xlfn.XLOOKUP($C1862,Log!D:D,Log!X:X,,,-1)),"")</f>
        <v/>
      </c>
    </row>
    <row r="1863" spans="3:18" hidden="1" x14ac:dyDescent="0.2">
      <c r="C1863" s="30" t="s">
        <v>4063</v>
      </c>
      <c r="D1863" s="110" t="s">
        <v>4064</v>
      </c>
      <c r="E1863" s="33" t="s">
        <v>46</v>
      </c>
      <c r="F1863" s="38"/>
      <c r="G1863" s="38"/>
      <c r="H1863" s="31"/>
      <c r="I1863" s="32"/>
      <c r="J1863" s="32"/>
      <c r="K1863" s="45" t="s">
        <v>888</v>
      </c>
      <c r="L1863" s="129"/>
      <c r="M1863" s="33" t="str">
        <f t="shared" si="29"/>
        <v/>
      </c>
      <c r="N1863" s="34" t="str">
        <f>IFERROR(IF(Tabela1[[#This Row],[Nome fantasia]]="","",_xlfn.XLOOKUP($C1863,Log!D:D,Log!B:B,,,-1)),"")</f>
        <v/>
      </c>
      <c r="O1863" s="35" t="str">
        <f>IFERROR(_xlfn.XLOOKUP($C1863,Log!D:D,Log!W:W,,,-1),"")</f>
        <v/>
      </c>
      <c r="P1863" s="35" t="str">
        <f>IFERROR(_xlfn.XLOOKUP($C1863,Log!D:D,Log!Y:Y,,,-1),"")</f>
        <v/>
      </c>
      <c r="Q1863" s="130"/>
      <c r="R1863" s="131" t="str">
        <f>IFERROR(IF(Tabela1[[#This Row],[Nome fantasia]]="","",_xlfn.XLOOKUP($C1863,Log!D:D,Log!X:X,,,-1)),"")</f>
        <v/>
      </c>
    </row>
    <row r="1864" spans="3:18" hidden="1" x14ac:dyDescent="0.2">
      <c r="C1864" s="30" t="s">
        <v>4065</v>
      </c>
      <c r="D1864" s="110" t="s">
        <v>4066</v>
      </c>
      <c r="E1864" s="33" t="s">
        <v>46</v>
      </c>
      <c r="F1864" s="38"/>
      <c r="G1864" s="38"/>
      <c r="H1864" s="31"/>
      <c r="I1864" s="32"/>
      <c r="J1864" s="32"/>
      <c r="K1864" s="45" t="s">
        <v>888</v>
      </c>
      <c r="L1864" s="129"/>
      <c r="M1864" s="33" t="str">
        <f t="shared" si="29"/>
        <v/>
      </c>
      <c r="N1864" s="34" t="str">
        <f>IFERROR(IF(Tabela1[[#This Row],[Nome fantasia]]="","",_xlfn.XLOOKUP($C1864,Log!D:D,Log!B:B,,,-1)),"")</f>
        <v/>
      </c>
      <c r="O1864" s="35" t="str">
        <f>IFERROR(_xlfn.XLOOKUP($C1864,Log!D:D,Log!W:W,,,-1),"")</f>
        <v/>
      </c>
      <c r="P1864" s="35" t="str">
        <f>IFERROR(_xlfn.XLOOKUP($C1864,Log!D:D,Log!Y:Y,,,-1),"")</f>
        <v/>
      </c>
      <c r="Q1864" s="130"/>
      <c r="R1864" s="131" t="str">
        <f>IFERROR(IF(Tabela1[[#This Row],[Nome fantasia]]="","",_xlfn.XLOOKUP($C1864,Log!D:D,Log!X:X,,,-1)),"")</f>
        <v/>
      </c>
    </row>
    <row r="1865" spans="3:18" hidden="1" x14ac:dyDescent="0.2">
      <c r="C1865" s="30" t="s">
        <v>4067</v>
      </c>
      <c r="D1865" s="110" t="s">
        <v>4068</v>
      </c>
      <c r="E1865" s="33" t="s">
        <v>46</v>
      </c>
      <c r="F1865" s="38"/>
      <c r="G1865" s="38"/>
      <c r="H1865" s="31"/>
      <c r="I1865" s="32"/>
      <c r="J1865" s="32"/>
      <c r="K1865" s="45" t="s">
        <v>888</v>
      </c>
      <c r="L1865" s="129"/>
      <c r="M1865" s="33" t="str">
        <f t="shared" si="29"/>
        <v/>
      </c>
      <c r="N1865" s="34" t="str">
        <f>IFERROR(IF(Tabela1[[#This Row],[Nome fantasia]]="","",_xlfn.XLOOKUP($C1865,Log!D:D,Log!B:B,,,-1)),"")</f>
        <v/>
      </c>
      <c r="O1865" s="35" t="str">
        <f>IFERROR(_xlfn.XLOOKUP($C1865,Log!D:D,Log!W:W,,,-1),"")</f>
        <v/>
      </c>
      <c r="P1865" s="35" t="str">
        <f>IFERROR(_xlfn.XLOOKUP($C1865,Log!D:D,Log!Y:Y,,,-1),"")</f>
        <v/>
      </c>
      <c r="Q1865" s="130"/>
      <c r="R1865" s="131" t="str">
        <f>IFERROR(IF(Tabela1[[#This Row],[Nome fantasia]]="","",_xlfn.XLOOKUP($C1865,Log!D:D,Log!X:X,,,-1)),"")</f>
        <v/>
      </c>
    </row>
    <row r="1866" spans="3:18" hidden="1" x14ac:dyDescent="0.2">
      <c r="C1866" s="30" t="s">
        <v>4069</v>
      </c>
      <c r="D1866" s="110" t="s">
        <v>4070</v>
      </c>
      <c r="E1866" s="33" t="s">
        <v>46</v>
      </c>
      <c r="F1866" s="38"/>
      <c r="G1866" s="38"/>
      <c r="H1866" s="31"/>
      <c r="I1866" s="32"/>
      <c r="J1866" s="32"/>
      <c r="K1866" s="45" t="s">
        <v>888</v>
      </c>
      <c r="L1866" s="129"/>
      <c r="M1866" s="33" t="str">
        <f t="shared" si="29"/>
        <v/>
      </c>
      <c r="N1866" s="34" t="str">
        <f>IFERROR(IF(Tabela1[[#This Row],[Nome fantasia]]="","",_xlfn.XLOOKUP($C1866,Log!D:D,Log!B:B,,,-1)),"")</f>
        <v/>
      </c>
      <c r="O1866" s="35" t="str">
        <f>IFERROR(_xlfn.XLOOKUP($C1866,Log!D:D,Log!W:W,,,-1),"")</f>
        <v/>
      </c>
      <c r="P1866" s="35" t="str">
        <f>IFERROR(_xlfn.XLOOKUP($C1866,Log!D:D,Log!Y:Y,,,-1),"")</f>
        <v/>
      </c>
      <c r="Q1866" s="130"/>
      <c r="R1866" s="131" t="str">
        <f>IFERROR(IF(Tabela1[[#This Row],[Nome fantasia]]="","",_xlfn.XLOOKUP($C1866,Log!D:D,Log!X:X,,,-1)),"")</f>
        <v/>
      </c>
    </row>
    <row r="1867" spans="3:18" hidden="1" x14ac:dyDescent="0.2">
      <c r="C1867" s="30" t="s">
        <v>4071</v>
      </c>
      <c r="D1867" s="110" t="s">
        <v>4072</v>
      </c>
      <c r="E1867" s="33" t="s">
        <v>46</v>
      </c>
      <c r="F1867" s="38"/>
      <c r="G1867" s="38"/>
      <c r="H1867" s="31"/>
      <c r="I1867" s="32"/>
      <c r="J1867" s="32"/>
      <c r="K1867" s="45" t="s">
        <v>888</v>
      </c>
      <c r="L1867" s="129"/>
      <c r="M1867" s="33" t="str">
        <f t="shared" si="29"/>
        <v/>
      </c>
      <c r="N1867" s="34" t="str">
        <f>IFERROR(IF(Tabela1[[#This Row],[Nome fantasia]]="","",_xlfn.XLOOKUP($C1867,Log!D:D,Log!B:B,,,-1)),"")</f>
        <v/>
      </c>
      <c r="O1867" s="35" t="str">
        <f>IFERROR(_xlfn.XLOOKUP($C1867,Log!D:D,Log!W:W,,,-1),"")</f>
        <v/>
      </c>
      <c r="P1867" s="35" t="str">
        <f>IFERROR(_xlfn.XLOOKUP($C1867,Log!D:D,Log!Y:Y,,,-1),"")</f>
        <v/>
      </c>
      <c r="Q1867" s="130"/>
      <c r="R1867" s="131" t="str">
        <f>IFERROR(IF(Tabela1[[#This Row],[Nome fantasia]]="","",_xlfn.XLOOKUP($C1867,Log!D:D,Log!X:X,,,-1)),"")</f>
        <v/>
      </c>
    </row>
    <row r="1868" spans="3:18" hidden="1" x14ac:dyDescent="0.2">
      <c r="C1868" s="30" t="s">
        <v>4073</v>
      </c>
      <c r="D1868" s="110" t="s">
        <v>4074</v>
      </c>
      <c r="E1868" s="33" t="s">
        <v>46</v>
      </c>
      <c r="F1868" s="38"/>
      <c r="G1868" s="38"/>
      <c r="H1868" s="31"/>
      <c r="I1868" s="32"/>
      <c r="J1868" s="32"/>
      <c r="K1868" s="45" t="s">
        <v>888</v>
      </c>
      <c r="L1868" s="129"/>
      <c r="M1868" s="33" t="str">
        <f t="shared" si="29"/>
        <v/>
      </c>
      <c r="N1868" s="34" t="str">
        <f>IFERROR(IF(Tabela1[[#This Row],[Nome fantasia]]="","",_xlfn.XLOOKUP($C1868,Log!D:D,Log!B:B,,,-1)),"")</f>
        <v/>
      </c>
      <c r="O1868" s="35" t="str">
        <f>IFERROR(_xlfn.XLOOKUP($C1868,Log!D:D,Log!W:W,,,-1),"")</f>
        <v/>
      </c>
      <c r="P1868" s="35" t="str">
        <f>IFERROR(_xlfn.XLOOKUP($C1868,Log!D:D,Log!Y:Y,,,-1),"")</f>
        <v/>
      </c>
      <c r="Q1868" s="130"/>
      <c r="R1868" s="131" t="str">
        <f>IFERROR(IF(Tabela1[[#This Row],[Nome fantasia]]="","",_xlfn.XLOOKUP($C1868,Log!D:D,Log!X:X,,,-1)),"")</f>
        <v/>
      </c>
    </row>
    <row r="1869" spans="3:18" hidden="1" x14ac:dyDescent="0.2">
      <c r="C1869" s="30"/>
      <c r="D1869" s="110" t="s">
        <v>4075</v>
      </c>
      <c r="E1869" s="33" t="s">
        <v>17</v>
      </c>
      <c r="F1869" s="38"/>
      <c r="G1869" s="38"/>
      <c r="H1869" s="31"/>
      <c r="I1869" s="32"/>
      <c r="J1869" s="32"/>
      <c r="K1869" s="45" t="s">
        <v>888</v>
      </c>
      <c r="L1869" s="129"/>
      <c r="M1869" s="33" t="str">
        <f t="shared" si="29"/>
        <v/>
      </c>
      <c r="N1869" s="34" t="str">
        <f>IFERROR(IF(Tabela1[[#This Row],[Nome fantasia]]="","",_xlfn.XLOOKUP($C1869,Log!D:D,Log!B:B,,,-1)),"")</f>
        <v/>
      </c>
      <c r="O1869" s="35" t="str">
        <f>IFERROR(_xlfn.XLOOKUP($C1869,Log!D:D,Log!W:W,,,-1),"")</f>
        <v/>
      </c>
      <c r="P1869" s="35" t="str">
        <f>IFERROR(_xlfn.XLOOKUP($C1869,Log!D:D,Log!Y:Y,,,-1),"")</f>
        <v/>
      </c>
      <c r="Q1869" s="130"/>
      <c r="R1869" s="131" t="str">
        <f>IFERROR(IF(Tabela1[[#This Row],[Nome fantasia]]="","",_xlfn.XLOOKUP($C1869,Log!D:D,Log!X:X,,,-1)),"")</f>
        <v/>
      </c>
    </row>
    <row r="1870" spans="3:18" hidden="1" x14ac:dyDescent="0.2">
      <c r="C1870" s="30" t="s">
        <v>4076</v>
      </c>
      <c r="D1870" s="110" t="s">
        <v>4077</v>
      </c>
      <c r="E1870" s="33" t="s">
        <v>46</v>
      </c>
      <c r="F1870" s="38"/>
      <c r="G1870" s="38"/>
      <c r="H1870" s="31"/>
      <c r="I1870" s="32"/>
      <c r="J1870" s="32"/>
      <c r="K1870" s="45" t="s">
        <v>888</v>
      </c>
      <c r="L1870" s="129"/>
      <c r="M1870" s="33" t="str">
        <f t="shared" si="29"/>
        <v/>
      </c>
      <c r="N1870" s="34" t="str">
        <f>IFERROR(IF(Tabela1[[#This Row],[Nome fantasia]]="","",_xlfn.XLOOKUP($C1870,Log!D:D,Log!B:B,,,-1)),"")</f>
        <v/>
      </c>
      <c r="O1870" s="35" t="str">
        <f>IFERROR(_xlfn.XLOOKUP($C1870,Log!D:D,Log!W:W,,,-1),"")</f>
        <v/>
      </c>
      <c r="P1870" s="35" t="str">
        <f>IFERROR(_xlfn.XLOOKUP($C1870,Log!D:D,Log!Y:Y,,,-1),"")</f>
        <v/>
      </c>
      <c r="Q1870" s="130"/>
      <c r="R1870" s="131" t="str">
        <f>IFERROR(IF(Tabela1[[#This Row],[Nome fantasia]]="","",_xlfn.XLOOKUP($C1870,Log!D:D,Log!X:X,,,-1)),"")</f>
        <v/>
      </c>
    </row>
    <row r="1871" spans="3:18" hidden="1" x14ac:dyDescent="0.2">
      <c r="C1871" s="30" t="s">
        <v>4078</v>
      </c>
      <c r="D1871" s="110" t="s">
        <v>4079</v>
      </c>
      <c r="E1871" s="33" t="s">
        <v>17</v>
      </c>
      <c r="F1871" s="38"/>
      <c r="G1871" s="38"/>
      <c r="H1871" s="31"/>
      <c r="I1871" s="32"/>
      <c r="J1871" s="32"/>
      <c r="K1871" s="45" t="s">
        <v>888</v>
      </c>
      <c r="L1871" s="129"/>
      <c r="M1871" s="33" t="str">
        <f t="shared" si="29"/>
        <v/>
      </c>
      <c r="N1871" s="34" t="str">
        <f>IFERROR(IF(Tabela1[[#This Row],[Nome fantasia]]="","",_xlfn.XLOOKUP($C1871,Log!D:D,Log!B:B,,,-1)),"")</f>
        <v/>
      </c>
      <c r="O1871" s="35" t="str">
        <f>IFERROR(_xlfn.XLOOKUP($C1871,Log!D:D,Log!W:W,,,-1),"")</f>
        <v/>
      </c>
      <c r="P1871" s="35" t="str">
        <f>IFERROR(_xlfn.XLOOKUP($C1871,Log!D:D,Log!Y:Y,,,-1),"")</f>
        <v/>
      </c>
      <c r="Q1871" s="130"/>
      <c r="R1871" s="131" t="str">
        <f>IFERROR(IF(Tabela1[[#This Row],[Nome fantasia]]="","",_xlfn.XLOOKUP($C1871,Log!D:D,Log!X:X,,,-1)),"")</f>
        <v/>
      </c>
    </row>
    <row r="1872" spans="3:18" hidden="1" x14ac:dyDescent="0.2">
      <c r="C1872" s="30" t="s">
        <v>4080</v>
      </c>
      <c r="D1872" s="110" t="s">
        <v>4081</v>
      </c>
      <c r="E1872" s="33" t="s">
        <v>46</v>
      </c>
      <c r="F1872" s="38"/>
      <c r="G1872" s="38"/>
      <c r="H1872" s="31"/>
      <c r="I1872" s="32"/>
      <c r="J1872" s="32"/>
      <c r="K1872" s="45" t="s">
        <v>888</v>
      </c>
      <c r="L1872" s="129"/>
      <c r="M1872" s="33" t="str">
        <f t="shared" si="29"/>
        <v/>
      </c>
      <c r="N1872" s="34" t="str">
        <f>IFERROR(IF(Tabela1[[#This Row],[Nome fantasia]]="","",_xlfn.XLOOKUP($C1872,Log!D:D,Log!B:B,,,-1)),"")</f>
        <v/>
      </c>
      <c r="O1872" s="35" t="str">
        <f>IFERROR(_xlfn.XLOOKUP($C1872,Log!D:D,Log!W:W,,,-1),"")</f>
        <v/>
      </c>
      <c r="P1872" s="35" t="str">
        <f>IFERROR(_xlfn.XLOOKUP($C1872,Log!D:D,Log!Y:Y,,,-1),"")</f>
        <v/>
      </c>
      <c r="Q1872" s="130"/>
      <c r="R1872" s="131" t="str">
        <f>IFERROR(IF(Tabela1[[#This Row],[Nome fantasia]]="","",_xlfn.XLOOKUP($C1872,Log!D:D,Log!X:X,,,-1)),"")</f>
        <v/>
      </c>
    </row>
    <row r="1873" spans="3:18" hidden="1" x14ac:dyDescent="0.2">
      <c r="C1873" s="30" t="s">
        <v>4082</v>
      </c>
      <c r="D1873" s="110" t="s">
        <v>4083</v>
      </c>
      <c r="E1873" s="33" t="s">
        <v>46</v>
      </c>
      <c r="F1873" s="38"/>
      <c r="G1873" s="38"/>
      <c r="H1873" s="31"/>
      <c r="I1873" s="32"/>
      <c r="J1873" s="32"/>
      <c r="K1873" s="45" t="s">
        <v>888</v>
      </c>
      <c r="L1873" s="129"/>
      <c r="M1873" s="33" t="str">
        <f t="shared" si="29"/>
        <v/>
      </c>
      <c r="N1873" s="34" t="str">
        <f>IFERROR(IF(Tabela1[[#This Row],[Nome fantasia]]="","",_xlfn.XLOOKUP($C1873,Log!D:D,Log!B:B,,,-1)),"")</f>
        <v/>
      </c>
      <c r="O1873" s="35" t="str">
        <f>IFERROR(_xlfn.XLOOKUP($C1873,Log!D:D,Log!W:W,,,-1),"")</f>
        <v/>
      </c>
      <c r="P1873" s="35" t="str">
        <f>IFERROR(_xlfn.XLOOKUP($C1873,Log!D:D,Log!Y:Y,,,-1),"")</f>
        <v/>
      </c>
      <c r="Q1873" s="130"/>
      <c r="R1873" s="131" t="str">
        <f>IFERROR(IF(Tabela1[[#This Row],[Nome fantasia]]="","",_xlfn.XLOOKUP($C1873,Log!D:D,Log!X:X,,,-1)),"")</f>
        <v/>
      </c>
    </row>
    <row r="1874" spans="3:18" hidden="1" x14ac:dyDescent="0.2">
      <c r="C1874" s="30" t="s">
        <v>4084</v>
      </c>
      <c r="D1874" s="110" t="s">
        <v>4085</v>
      </c>
      <c r="E1874" s="33" t="s">
        <v>46</v>
      </c>
      <c r="F1874" s="38"/>
      <c r="G1874" s="38"/>
      <c r="H1874" s="31"/>
      <c r="I1874" s="32"/>
      <c r="J1874" s="32"/>
      <c r="K1874" s="45" t="s">
        <v>888</v>
      </c>
      <c r="L1874" s="129"/>
      <c r="M1874" s="33" t="str">
        <f t="shared" si="29"/>
        <v/>
      </c>
      <c r="N1874" s="34" t="str">
        <f>IFERROR(IF(Tabela1[[#This Row],[Nome fantasia]]="","",_xlfn.XLOOKUP($C1874,Log!D:D,Log!B:B,,,-1)),"")</f>
        <v/>
      </c>
      <c r="O1874" s="35" t="str">
        <f>IFERROR(_xlfn.XLOOKUP($C1874,Log!D:D,Log!W:W,,,-1),"")</f>
        <v/>
      </c>
      <c r="P1874" s="35" t="str">
        <f>IFERROR(_xlfn.XLOOKUP($C1874,Log!D:D,Log!Y:Y,,,-1),"")</f>
        <v/>
      </c>
      <c r="Q1874" s="130"/>
      <c r="R1874" s="131" t="str">
        <f>IFERROR(IF(Tabela1[[#This Row],[Nome fantasia]]="","",_xlfn.XLOOKUP($C1874,Log!D:D,Log!X:X,,,-1)),"")</f>
        <v/>
      </c>
    </row>
    <row r="1875" spans="3:18" hidden="1" x14ac:dyDescent="0.2">
      <c r="C1875" s="30" t="s">
        <v>4084</v>
      </c>
      <c r="D1875" s="110" t="s">
        <v>4085</v>
      </c>
      <c r="E1875" s="33" t="s">
        <v>46</v>
      </c>
      <c r="F1875" s="38"/>
      <c r="G1875" s="38"/>
      <c r="H1875" s="31"/>
      <c r="I1875" s="32"/>
      <c r="J1875" s="32"/>
      <c r="K1875" s="45" t="s">
        <v>888</v>
      </c>
      <c r="L1875" s="129"/>
      <c r="M1875" s="33" t="str">
        <f t="shared" si="29"/>
        <v/>
      </c>
      <c r="N1875" s="34" t="str">
        <f>IFERROR(IF(Tabela1[[#This Row],[Nome fantasia]]="","",_xlfn.XLOOKUP($C1875,Log!D:D,Log!B:B,,,-1)),"")</f>
        <v/>
      </c>
      <c r="O1875" s="35" t="str">
        <f>IFERROR(_xlfn.XLOOKUP($C1875,Log!D:D,Log!W:W,,,-1),"")</f>
        <v/>
      </c>
      <c r="P1875" s="35" t="str">
        <f>IFERROR(_xlfn.XLOOKUP($C1875,Log!D:D,Log!Y:Y,,,-1),"")</f>
        <v/>
      </c>
      <c r="Q1875" s="130"/>
      <c r="R1875" s="131" t="str">
        <f>IFERROR(IF(Tabela1[[#This Row],[Nome fantasia]]="","",_xlfn.XLOOKUP($C1875,Log!D:D,Log!X:X,,,-1)),"")</f>
        <v/>
      </c>
    </row>
    <row r="1876" spans="3:18" hidden="1" x14ac:dyDescent="0.2">
      <c r="C1876" s="30" t="s">
        <v>4086</v>
      </c>
      <c r="D1876" s="110" t="s">
        <v>4087</v>
      </c>
      <c r="E1876" s="33" t="s">
        <v>17</v>
      </c>
      <c r="F1876" s="38"/>
      <c r="G1876" s="38"/>
      <c r="H1876" s="31"/>
      <c r="I1876" s="32"/>
      <c r="J1876" s="32"/>
      <c r="K1876" s="45" t="s">
        <v>888</v>
      </c>
      <c r="L1876" s="129"/>
      <c r="M1876" s="33" t="str">
        <f t="shared" si="29"/>
        <v/>
      </c>
      <c r="N1876" s="34" t="str">
        <f>IFERROR(IF(Tabela1[[#This Row],[Nome fantasia]]="","",_xlfn.XLOOKUP($C1876,Log!D:D,Log!B:B,,,-1)),"")</f>
        <v/>
      </c>
      <c r="O1876" s="35" t="str">
        <f>IFERROR(_xlfn.XLOOKUP($C1876,Log!D:D,Log!W:W,,,-1),"")</f>
        <v/>
      </c>
      <c r="P1876" s="35" t="str">
        <f>IFERROR(_xlfn.XLOOKUP($C1876,Log!D:D,Log!Y:Y,,,-1),"")</f>
        <v/>
      </c>
      <c r="Q1876" s="130"/>
      <c r="R1876" s="131" t="str">
        <f>IFERROR(IF(Tabela1[[#This Row],[Nome fantasia]]="","",_xlfn.XLOOKUP($C1876,Log!D:D,Log!X:X,,,-1)),"")</f>
        <v/>
      </c>
    </row>
    <row r="1877" spans="3:18" hidden="1" x14ac:dyDescent="0.2">
      <c r="C1877" s="30" t="s">
        <v>4088</v>
      </c>
      <c r="D1877" s="110" t="s">
        <v>4089</v>
      </c>
      <c r="E1877" s="33" t="s">
        <v>22</v>
      </c>
      <c r="F1877" s="38"/>
      <c r="G1877" s="38"/>
      <c r="H1877" s="31"/>
      <c r="I1877" s="32"/>
      <c r="J1877" s="32"/>
      <c r="K1877" s="45" t="s">
        <v>888</v>
      </c>
      <c r="L1877" s="129"/>
      <c r="M1877" s="33" t="str">
        <f t="shared" si="29"/>
        <v/>
      </c>
      <c r="N1877" s="34" t="str">
        <f>IFERROR(IF(Tabela1[[#This Row],[Nome fantasia]]="","",_xlfn.XLOOKUP($C1877,Log!D:D,Log!B:B,,,-1)),"")</f>
        <v/>
      </c>
      <c r="O1877" s="35" t="str">
        <f>IFERROR(_xlfn.XLOOKUP($C1877,Log!D:D,Log!W:W,,,-1),"")</f>
        <v/>
      </c>
      <c r="P1877" s="35" t="str">
        <f>IFERROR(_xlfn.XLOOKUP($C1877,Log!D:D,Log!Y:Y,,,-1),"")</f>
        <v/>
      </c>
      <c r="Q1877" s="130"/>
      <c r="R1877" s="131" t="str">
        <f>IFERROR(IF(Tabela1[[#This Row],[Nome fantasia]]="","",_xlfn.XLOOKUP($C1877,Log!D:D,Log!X:X,,,-1)),"")</f>
        <v/>
      </c>
    </row>
    <row r="1878" spans="3:18" hidden="1" x14ac:dyDescent="0.2">
      <c r="C1878" s="30" t="s">
        <v>4090</v>
      </c>
      <c r="D1878" s="110" t="s">
        <v>4091</v>
      </c>
      <c r="E1878" s="33" t="s">
        <v>17</v>
      </c>
      <c r="F1878" s="38"/>
      <c r="G1878" s="38"/>
      <c r="H1878" s="31"/>
      <c r="I1878" s="32"/>
      <c r="J1878" s="32"/>
      <c r="K1878" s="45" t="s">
        <v>888</v>
      </c>
      <c r="L1878" s="129"/>
      <c r="M1878" s="33" t="str">
        <f t="shared" si="29"/>
        <v/>
      </c>
      <c r="N1878" s="34" t="str">
        <f>IFERROR(IF(Tabela1[[#This Row],[Nome fantasia]]="","",_xlfn.XLOOKUP($C1878,Log!D:D,Log!B:B,,,-1)),"")</f>
        <v/>
      </c>
      <c r="O1878" s="35" t="str">
        <f>IFERROR(_xlfn.XLOOKUP($C1878,Log!D:D,Log!W:W,,,-1),"")</f>
        <v/>
      </c>
      <c r="P1878" s="35" t="str">
        <f>IFERROR(_xlfn.XLOOKUP($C1878,Log!D:D,Log!Y:Y,,,-1),"")</f>
        <v/>
      </c>
      <c r="Q1878" s="130"/>
      <c r="R1878" s="131" t="str">
        <f>IFERROR(IF(Tabela1[[#This Row],[Nome fantasia]]="","",_xlfn.XLOOKUP($C1878,Log!D:D,Log!X:X,,,-1)),"")</f>
        <v/>
      </c>
    </row>
    <row r="1879" spans="3:18" hidden="1" x14ac:dyDescent="0.2">
      <c r="C1879" s="30" t="s">
        <v>4092</v>
      </c>
      <c r="D1879" s="110" t="s">
        <v>4093</v>
      </c>
      <c r="E1879" s="33" t="s">
        <v>46</v>
      </c>
      <c r="F1879" s="38"/>
      <c r="G1879" s="38"/>
      <c r="H1879" s="31"/>
      <c r="I1879" s="32"/>
      <c r="J1879" s="32"/>
      <c r="K1879" s="45" t="s">
        <v>888</v>
      </c>
      <c r="L1879" s="129"/>
      <c r="M1879" s="33" t="str">
        <f t="shared" si="29"/>
        <v/>
      </c>
      <c r="N1879" s="34" t="str">
        <f>IFERROR(IF(Tabela1[[#This Row],[Nome fantasia]]="","",_xlfn.XLOOKUP($C1879,Log!D:D,Log!B:B,,,-1)),"")</f>
        <v/>
      </c>
      <c r="O1879" s="35" t="str">
        <f>IFERROR(_xlfn.XLOOKUP($C1879,Log!D:D,Log!W:W,,,-1),"")</f>
        <v/>
      </c>
      <c r="P1879" s="35" t="str">
        <f>IFERROR(_xlfn.XLOOKUP($C1879,Log!D:D,Log!Y:Y,,,-1),"")</f>
        <v/>
      </c>
      <c r="Q1879" s="130"/>
      <c r="R1879" s="131" t="str">
        <f>IFERROR(IF(Tabela1[[#This Row],[Nome fantasia]]="","",_xlfn.XLOOKUP($C1879,Log!D:D,Log!X:X,,,-1)),"")</f>
        <v/>
      </c>
    </row>
    <row r="1880" spans="3:18" hidden="1" x14ac:dyDescent="0.2">
      <c r="C1880" s="30" t="s">
        <v>4094</v>
      </c>
      <c r="D1880" s="110" t="s">
        <v>4095</v>
      </c>
      <c r="E1880" s="33" t="s">
        <v>17</v>
      </c>
      <c r="F1880" s="38"/>
      <c r="G1880" s="38"/>
      <c r="H1880" s="31"/>
      <c r="I1880" s="32"/>
      <c r="J1880" s="32"/>
      <c r="K1880" s="45" t="s">
        <v>888</v>
      </c>
      <c r="L1880" s="129"/>
      <c r="M1880" s="33" t="str">
        <f t="shared" si="29"/>
        <v/>
      </c>
      <c r="N1880" s="34" t="str">
        <f>IFERROR(IF(Tabela1[[#This Row],[Nome fantasia]]="","",_xlfn.XLOOKUP($C1880,Log!D:D,Log!B:B,,,-1)),"")</f>
        <v/>
      </c>
      <c r="O1880" s="35" t="str">
        <f>IFERROR(_xlfn.XLOOKUP($C1880,Log!D:D,Log!W:W,,,-1),"")</f>
        <v/>
      </c>
      <c r="P1880" s="35" t="str">
        <f>IFERROR(_xlfn.XLOOKUP($C1880,Log!D:D,Log!Y:Y,,,-1),"")</f>
        <v/>
      </c>
      <c r="Q1880" s="130"/>
      <c r="R1880" s="131" t="str">
        <f>IFERROR(IF(Tabela1[[#This Row],[Nome fantasia]]="","",_xlfn.XLOOKUP($C1880,Log!D:D,Log!X:X,,,-1)),"")</f>
        <v/>
      </c>
    </row>
    <row r="1881" spans="3:18" hidden="1" x14ac:dyDescent="0.2">
      <c r="C1881" s="30" t="s">
        <v>4096</v>
      </c>
      <c r="D1881" s="110" t="s">
        <v>4097</v>
      </c>
      <c r="E1881" s="33" t="s">
        <v>46</v>
      </c>
      <c r="F1881" s="38"/>
      <c r="G1881" s="38"/>
      <c r="H1881" s="31"/>
      <c r="I1881" s="32"/>
      <c r="J1881" s="32"/>
      <c r="K1881" s="45" t="s">
        <v>888</v>
      </c>
      <c r="L1881" s="129"/>
      <c r="M1881" s="33" t="str">
        <f t="shared" si="29"/>
        <v/>
      </c>
      <c r="N1881" s="34" t="str">
        <f>IFERROR(IF(Tabela1[[#This Row],[Nome fantasia]]="","",_xlfn.XLOOKUP($C1881,Log!D:D,Log!B:B,,,-1)),"")</f>
        <v/>
      </c>
      <c r="O1881" s="35" t="str">
        <f>IFERROR(_xlfn.XLOOKUP($C1881,Log!D:D,Log!W:W,,,-1),"")</f>
        <v/>
      </c>
      <c r="P1881" s="35" t="str">
        <f>IFERROR(_xlfn.XLOOKUP($C1881,Log!D:D,Log!Y:Y,,,-1),"")</f>
        <v/>
      </c>
      <c r="Q1881" s="130"/>
      <c r="R1881" s="131" t="str">
        <f>IFERROR(IF(Tabela1[[#This Row],[Nome fantasia]]="","",_xlfn.XLOOKUP($C1881,Log!D:D,Log!X:X,,,-1)),"")</f>
        <v/>
      </c>
    </row>
    <row r="1882" spans="3:18" hidden="1" x14ac:dyDescent="0.2">
      <c r="C1882" s="30" t="s">
        <v>4098</v>
      </c>
      <c r="D1882" s="110" t="s">
        <v>4099</v>
      </c>
      <c r="E1882" s="33" t="s">
        <v>17</v>
      </c>
      <c r="F1882" s="38"/>
      <c r="G1882" s="38"/>
      <c r="H1882" s="31"/>
      <c r="I1882" s="32"/>
      <c r="J1882" s="32"/>
      <c r="K1882" s="45" t="s">
        <v>888</v>
      </c>
      <c r="L1882" s="129"/>
      <c r="M1882" s="33" t="str">
        <f t="shared" si="29"/>
        <v/>
      </c>
      <c r="N1882" s="34" t="str">
        <f>IFERROR(IF(Tabela1[[#This Row],[Nome fantasia]]="","",_xlfn.XLOOKUP($C1882,Log!D:D,Log!B:B,,,-1)),"")</f>
        <v/>
      </c>
      <c r="O1882" s="35" t="str">
        <f>IFERROR(_xlfn.XLOOKUP($C1882,Log!D:D,Log!W:W,,,-1),"")</f>
        <v/>
      </c>
      <c r="P1882" s="35" t="str">
        <f>IFERROR(_xlfn.XLOOKUP($C1882,Log!D:D,Log!Y:Y,,,-1),"")</f>
        <v/>
      </c>
      <c r="Q1882" s="130"/>
      <c r="R1882" s="131" t="str">
        <f>IFERROR(IF(Tabela1[[#This Row],[Nome fantasia]]="","",_xlfn.XLOOKUP($C1882,Log!D:D,Log!X:X,,,-1)),"")</f>
        <v/>
      </c>
    </row>
    <row r="1883" spans="3:18" hidden="1" x14ac:dyDescent="0.2">
      <c r="C1883" s="30" t="s">
        <v>4100</v>
      </c>
      <c r="D1883" s="110" t="s">
        <v>4101</v>
      </c>
      <c r="E1883" s="33" t="s">
        <v>46</v>
      </c>
      <c r="F1883" s="38"/>
      <c r="G1883" s="38"/>
      <c r="H1883" s="31"/>
      <c r="I1883" s="32"/>
      <c r="J1883" s="32"/>
      <c r="K1883" s="45" t="s">
        <v>888</v>
      </c>
      <c r="L1883" s="129"/>
      <c r="M1883" s="33" t="str">
        <f t="shared" si="29"/>
        <v/>
      </c>
      <c r="N1883" s="34" t="str">
        <f>IFERROR(IF(Tabela1[[#This Row],[Nome fantasia]]="","",_xlfn.XLOOKUP($C1883,Log!D:D,Log!B:B,,,-1)),"")</f>
        <v/>
      </c>
      <c r="O1883" s="35" t="str">
        <f>IFERROR(_xlfn.XLOOKUP($C1883,Log!D:D,Log!W:W,,,-1),"")</f>
        <v/>
      </c>
      <c r="P1883" s="35" t="str">
        <f>IFERROR(_xlfn.XLOOKUP($C1883,Log!D:D,Log!Y:Y,,,-1),"")</f>
        <v/>
      </c>
      <c r="Q1883" s="130"/>
      <c r="R1883" s="131" t="str">
        <f>IFERROR(IF(Tabela1[[#This Row],[Nome fantasia]]="","",_xlfn.XLOOKUP($C1883,Log!D:D,Log!X:X,,,-1)),"")</f>
        <v/>
      </c>
    </row>
    <row r="1884" spans="3:18" hidden="1" x14ac:dyDescent="0.2">
      <c r="C1884" s="30" t="s">
        <v>4102</v>
      </c>
      <c r="D1884" s="110" t="s">
        <v>4103</v>
      </c>
      <c r="E1884" s="33" t="s">
        <v>46</v>
      </c>
      <c r="F1884" s="38"/>
      <c r="G1884" s="38"/>
      <c r="H1884" s="31"/>
      <c r="I1884" s="32"/>
      <c r="J1884" s="32"/>
      <c r="K1884" s="45" t="s">
        <v>888</v>
      </c>
      <c r="L1884" s="129"/>
      <c r="M1884" s="33" t="str">
        <f t="shared" si="29"/>
        <v/>
      </c>
      <c r="N1884" s="34">
        <f>IFERROR(IF(Tabela1[[#This Row],[Nome fantasia]]="","",_xlfn.XLOOKUP($C1884,Log!D:D,Log!B:B,,,-1)),"")</f>
        <v>45996</v>
      </c>
      <c r="O1884" s="35" t="str">
        <f>IFERROR(_xlfn.XLOOKUP($C1884,Log!D:D,Log!W:W,,,-1),"")</f>
        <v>EM ATENDIMENTO</v>
      </c>
      <c r="P1884" s="35" t="str">
        <f>IFERROR(_xlfn.XLOOKUP($C1884,Log!D:D,Log!Y:Y,,,-1),"")</f>
        <v>LIGAÇÃO SEM SUCESSO</v>
      </c>
      <c r="Q1884" s="130"/>
      <c r="R1884" s="131">
        <f>IFERROR(IF(Tabela1[[#This Row],[Nome fantasia]]="","",_xlfn.XLOOKUP($C1884,Log!D:D,Log!X:X,,,-1)),"")</f>
        <v>46000</v>
      </c>
    </row>
    <row r="1885" spans="3:18" hidden="1" x14ac:dyDescent="0.2">
      <c r="C1885" s="30" t="s">
        <v>4104</v>
      </c>
      <c r="D1885" s="110" t="s">
        <v>4105</v>
      </c>
      <c r="E1885" s="33" t="s">
        <v>46</v>
      </c>
      <c r="F1885" s="38"/>
      <c r="G1885" s="38"/>
      <c r="H1885" s="31"/>
      <c r="I1885" s="32"/>
      <c r="J1885" s="32"/>
      <c r="K1885" s="45" t="s">
        <v>888</v>
      </c>
      <c r="L1885" s="129"/>
      <c r="M1885" s="33" t="str">
        <f t="shared" si="29"/>
        <v/>
      </c>
      <c r="N1885" s="34" t="str">
        <f>IFERROR(IF(Tabela1[[#This Row],[Nome fantasia]]="","",_xlfn.XLOOKUP($C1885,Log!D:D,Log!B:B,,,-1)),"")</f>
        <v/>
      </c>
      <c r="O1885" s="35" t="str">
        <f>IFERROR(_xlfn.XLOOKUP($C1885,Log!D:D,Log!W:W,,,-1),"")</f>
        <v/>
      </c>
      <c r="P1885" s="35" t="str">
        <f>IFERROR(_xlfn.XLOOKUP($C1885,Log!D:D,Log!Y:Y,,,-1),"")</f>
        <v/>
      </c>
      <c r="Q1885" s="130"/>
      <c r="R1885" s="131" t="str">
        <f>IFERROR(IF(Tabela1[[#This Row],[Nome fantasia]]="","",_xlfn.XLOOKUP($C1885,Log!D:D,Log!X:X,,,-1)),"")</f>
        <v/>
      </c>
    </row>
    <row r="1886" spans="3:18" hidden="1" x14ac:dyDescent="0.2">
      <c r="C1886" s="30" t="s">
        <v>1862</v>
      </c>
      <c r="D1886" s="110" t="s">
        <v>4106</v>
      </c>
      <c r="E1886" s="33" t="s">
        <v>22</v>
      </c>
      <c r="F1886" s="38"/>
      <c r="G1886" s="38"/>
      <c r="H1886" s="31"/>
      <c r="I1886" s="32"/>
      <c r="J1886" s="32"/>
      <c r="K1886" s="45" t="s">
        <v>888</v>
      </c>
      <c r="L1886" s="129"/>
      <c r="M1886" s="33" t="str">
        <f t="shared" si="29"/>
        <v/>
      </c>
      <c r="N1886" s="34" t="str">
        <f>IFERROR(IF(Tabela1[[#This Row],[Nome fantasia]]="","",_xlfn.XLOOKUP($C1886,Log!D:D,Log!B:B,,,-1)),"")</f>
        <v/>
      </c>
      <c r="O1886" s="35" t="str">
        <f>IFERROR(_xlfn.XLOOKUP($C1886,Log!D:D,Log!W:W,,,-1),"")</f>
        <v/>
      </c>
      <c r="P1886" s="35" t="str">
        <f>IFERROR(_xlfn.XLOOKUP($C1886,Log!D:D,Log!Y:Y,,,-1),"")</f>
        <v/>
      </c>
      <c r="Q1886" s="130"/>
      <c r="R1886" s="131" t="str">
        <f>IFERROR(IF(Tabela1[[#This Row],[Nome fantasia]]="","",_xlfn.XLOOKUP($C1886,Log!D:D,Log!X:X,,,-1)),"")</f>
        <v/>
      </c>
    </row>
    <row r="1887" spans="3:18" hidden="1" x14ac:dyDescent="0.2">
      <c r="C1887" s="30" t="s">
        <v>4107</v>
      </c>
      <c r="D1887" s="110" t="s">
        <v>4108</v>
      </c>
      <c r="E1887" s="33" t="s">
        <v>22</v>
      </c>
      <c r="F1887" s="38"/>
      <c r="G1887" s="38"/>
      <c r="H1887" s="31"/>
      <c r="I1887" s="32"/>
      <c r="J1887" s="32"/>
      <c r="K1887" s="45" t="s">
        <v>888</v>
      </c>
      <c r="L1887" s="129"/>
      <c r="M1887" s="33" t="str">
        <f t="shared" si="29"/>
        <v/>
      </c>
      <c r="N1887" s="34" t="str">
        <f>IFERROR(IF(Tabela1[[#This Row],[Nome fantasia]]="","",_xlfn.XLOOKUP($C1887,Log!D:D,Log!B:B,,,-1)),"")</f>
        <v/>
      </c>
      <c r="O1887" s="35" t="str">
        <f>IFERROR(_xlfn.XLOOKUP($C1887,Log!D:D,Log!W:W,,,-1),"")</f>
        <v/>
      </c>
      <c r="P1887" s="35" t="str">
        <f>IFERROR(_xlfn.XLOOKUP($C1887,Log!D:D,Log!Y:Y,,,-1),"")</f>
        <v/>
      </c>
      <c r="Q1887" s="130"/>
      <c r="R1887" s="131" t="str">
        <f>IFERROR(IF(Tabela1[[#This Row],[Nome fantasia]]="","",_xlfn.XLOOKUP($C1887,Log!D:D,Log!X:X,,,-1)),"")</f>
        <v/>
      </c>
    </row>
    <row r="1888" spans="3:18" hidden="1" x14ac:dyDescent="0.2">
      <c r="C1888" s="30" t="s">
        <v>2837</v>
      </c>
      <c r="D1888" s="110" t="s">
        <v>4109</v>
      </c>
      <c r="E1888" s="33" t="s">
        <v>17</v>
      </c>
      <c r="F1888" s="38"/>
      <c r="G1888" s="38"/>
      <c r="H1888" s="31"/>
      <c r="I1888" s="32"/>
      <c r="J1888" s="32"/>
      <c r="K1888" s="45" t="s">
        <v>888</v>
      </c>
      <c r="L1888" s="129"/>
      <c r="M1888" s="33" t="str">
        <f t="shared" si="29"/>
        <v/>
      </c>
      <c r="N1888" s="34" t="str">
        <f>IFERROR(IF(Tabela1[[#This Row],[Nome fantasia]]="","",_xlfn.XLOOKUP($C1888,Log!D:D,Log!B:B,,,-1)),"")</f>
        <v/>
      </c>
      <c r="O1888" s="35" t="str">
        <f>IFERROR(_xlfn.XLOOKUP($C1888,Log!D:D,Log!W:W,,,-1),"")</f>
        <v/>
      </c>
      <c r="P1888" s="35" t="str">
        <f>IFERROR(_xlfn.XLOOKUP($C1888,Log!D:D,Log!Y:Y,,,-1),"")</f>
        <v/>
      </c>
      <c r="Q1888" s="130"/>
      <c r="R1888" s="131" t="str">
        <f>IFERROR(IF(Tabela1[[#This Row],[Nome fantasia]]="","",_xlfn.XLOOKUP($C1888,Log!D:D,Log!X:X,,,-1)),"")</f>
        <v/>
      </c>
    </row>
    <row r="1889" spans="3:18" hidden="1" x14ac:dyDescent="0.2">
      <c r="C1889" s="30" t="s">
        <v>4110</v>
      </c>
      <c r="D1889" s="110" t="s">
        <v>4111</v>
      </c>
      <c r="E1889" s="33" t="s">
        <v>17</v>
      </c>
      <c r="F1889" s="38"/>
      <c r="G1889" s="38"/>
      <c r="H1889" s="31"/>
      <c r="I1889" s="32"/>
      <c r="J1889" s="32"/>
      <c r="K1889" s="45" t="s">
        <v>888</v>
      </c>
      <c r="L1889" s="129"/>
      <c r="M1889" s="33" t="str">
        <f t="shared" si="29"/>
        <v/>
      </c>
      <c r="N1889" s="34" t="str">
        <f>IFERROR(IF(Tabela1[[#This Row],[Nome fantasia]]="","",_xlfn.XLOOKUP($C1889,Log!D:D,Log!B:B,,,-1)),"")</f>
        <v/>
      </c>
      <c r="O1889" s="35" t="str">
        <f>IFERROR(_xlfn.XLOOKUP($C1889,Log!D:D,Log!W:W,,,-1),"")</f>
        <v/>
      </c>
      <c r="P1889" s="35" t="str">
        <f>IFERROR(_xlfn.XLOOKUP($C1889,Log!D:D,Log!Y:Y,,,-1),"")</f>
        <v/>
      </c>
      <c r="Q1889" s="130"/>
      <c r="R1889" s="131" t="str">
        <f>IFERROR(IF(Tabela1[[#This Row],[Nome fantasia]]="","",_xlfn.XLOOKUP($C1889,Log!D:D,Log!X:X,,,-1)),"")</f>
        <v/>
      </c>
    </row>
    <row r="1890" spans="3:18" hidden="1" x14ac:dyDescent="0.2">
      <c r="C1890" s="30" t="s">
        <v>4112</v>
      </c>
      <c r="D1890" s="110"/>
      <c r="E1890" s="33" t="s">
        <v>17</v>
      </c>
      <c r="F1890" s="38"/>
      <c r="G1890" s="38"/>
      <c r="H1890" s="31"/>
      <c r="I1890" s="32"/>
      <c r="J1890" s="32"/>
      <c r="K1890" s="45" t="s">
        <v>888</v>
      </c>
      <c r="L1890" s="129"/>
      <c r="M1890" s="33" t="str">
        <f t="shared" si="29"/>
        <v/>
      </c>
      <c r="N1890" s="34" t="str">
        <f>IFERROR(IF(Tabela1[[#This Row],[Nome fantasia]]="","",_xlfn.XLOOKUP($C1890,Log!D:D,Log!B:B,,,-1)),"")</f>
        <v/>
      </c>
      <c r="O1890" s="35" t="str">
        <f>IFERROR(_xlfn.XLOOKUP($C1890,Log!D:D,Log!W:W,,,-1),"")</f>
        <v/>
      </c>
      <c r="P1890" s="35" t="str">
        <f>IFERROR(_xlfn.XLOOKUP($C1890,Log!D:D,Log!Y:Y,,,-1),"")</f>
        <v/>
      </c>
      <c r="Q1890" s="130"/>
      <c r="R1890" s="131" t="str">
        <f>IFERROR(IF(Tabela1[[#This Row],[Nome fantasia]]="","",_xlfn.XLOOKUP($C1890,Log!D:D,Log!X:X,,,-1)),"")</f>
        <v/>
      </c>
    </row>
    <row r="1891" spans="3:18" hidden="1" x14ac:dyDescent="0.2">
      <c r="C1891" s="30"/>
      <c r="D1891" s="110" t="s">
        <v>4113</v>
      </c>
      <c r="E1891" s="33" t="s">
        <v>46</v>
      </c>
      <c r="F1891" s="38"/>
      <c r="G1891" s="38"/>
      <c r="H1891" s="31"/>
      <c r="I1891" s="32"/>
      <c r="J1891" s="32"/>
      <c r="K1891" s="45" t="s">
        <v>888</v>
      </c>
      <c r="L1891" s="129"/>
      <c r="M1891" s="33" t="str">
        <f t="shared" si="29"/>
        <v/>
      </c>
      <c r="N1891" s="34" t="str">
        <f>IFERROR(IF(Tabela1[[#This Row],[Nome fantasia]]="","",_xlfn.XLOOKUP($C1891,Log!D:D,Log!B:B,,,-1)),"")</f>
        <v/>
      </c>
      <c r="O1891" s="35" t="str">
        <f>IFERROR(_xlfn.XLOOKUP($C1891,Log!D:D,Log!W:W,,,-1),"")</f>
        <v/>
      </c>
      <c r="P1891" s="35" t="str">
        <f>IFERROR(_xlfn.XLOOKUP($C1891,Log!D:D,Log!Y:Y,,,-1),"")</f>
        <v/>
      </c>
      <c r="Q1891" s="130"/>
      <c r="R1891" s="131" t="str">
        <f>IFERROR(IF(Tabela1[[#This Row],[Nome fantasia]]="","",_xlfn.XLOOKUP($C1891,Log!D:D,Log!X:X,,,-1)),"")</f>
        <v/>
      </c>
    </row>
    <row r="1892" spans="3:18" hidden="1" x14ac:dyDescent="0.2">
      <c r="C1892" s="30" t="s">
        <v>4114</v>
      </c>
      <c r="D1892" s="110" t="s">
        <v>4115</v>
      </c>
      <c r="E1892" s="33" t="s">
        <v>46</v>
      </c>
      <c r="F1892" s="38"/>
      <c r="G1892" s="38"/>
      <c r="H1892" s="31"/>
      <c r="I1892" s="32"/>
      <c r="J1892" s="32"/>
      <c r="K1892" s="45" t="s">
        <v>888</v>
      </c>
      <c r="L1892" s="129"/>
      <c r="M1892" s="33" t="str">
        <f t="shared" si="29"/>
        <v/>
      </c>
      <c r="N1892" s="34" t="str">
        <f>IFERROR(IF(Tabela1[[#This Row],[Nome fantasia]]="","",_xlfn.XLOOKUP($C1892,Log!D:D,Log!B:B,,,-1)),"")</f>
        <v/>
      </c>
      <c r="O1892" s="35" t="str">
        <f>IFERROR(_xlfn.XLOOKUP($C1892,Log!D:D,Log!W:W,,,-1),"")</f>
        <v/>
      </c>
      <c r="P1892" s="35" t="str">
        <f>IFERROR(_xlfn.XLOOKUP($C1892,Log!D:D,Log!Y:Y,,,-1),"")</f>
        <v/>
      </c>
      <c r="Q1892" s="130"/>
      <c r="R1892" s="131" t="str">
        <f>IFERROR(IF(Tabela1[[#This Row],[Nome fantasia]]="","",_xlfn.XLOOKUP($C1892,Log!D:D,Log!X:X,,,-1)),"")</f>
        <v/>
      </c>
    </row>
    <row r="1893" spans="3:18" hidden="1" x14ac:dyDescent="0.2">
      <c r="C1893" s="30" t="s">
        <v>4116</v>
      </c>
      <c r="D1893" s="110" t="s">
        <v>4117</v>
      </c>
      <c r="E1893" s="33" t="s">
        <v>46</v>
      </c>
      <c r="F1893" s="38"/>
      <c r="G1893" s="38"/>
      <c r="H1893" s="31"/>
      <c r="I1893" s="32"/>
      <c r="J1893" s="32"/>
      <c r="K1893" s="45" t="s">
        <v>888</v>
      </c>
      <c r="L1893" s="129"/>
      <c r="M1893" s="33" t="str">
        <f t="shared" si="29"/>
        <v/>
      </c>
      <c r="N1893" s="34" t="str">
        <f>IFERROR(IF(Tabela1[[#This Row],[Nome fantasia]]="","",_xlfn.XLOOKUP($C1893,Log!D:D,Log!B:B,,,-1)),"")</f>
        <v/>
      </c>
      <c r="O1893" s="35" t="str">
        <f>IFERROR(_xlfn.XLOOKUP($C1893,Log!D:D,Log!W:W,,,-1),"")</f>
        <v/>
      </c>
      <c r="P1893" s="35" t="str">
        <f>IFERROR(_xlfn.XLOOKUP($C1893,Log!D:D,Log!Y:Y,,,-1),"")</f>
        <v/>
      </c>
      <c r="Q1893" s="130"/>
      <c r="R1893" s="131" t="str">
        <f>IFERROR(IF(Tabela1[[#This Row],[Nome fantasia]]="","",_xlfn.XLOOKUP($C1893,Log!D:D,Log!X:X,,,-1)),"")</f>
        <v/>
      </c>
    </row>
    <row r="1894" spans="3:18" hidden="1" x14ac:dyDescent="0.2">
      <c r="C1894" s="30" t="s">
        <v>4118</v>
      </c>
      <c r="D1894" s="110" t="s">
        <v>4119</v>
      </c>
      <c r="E1894" s="33" t="s">
        <v>22</v>
      </c>
      <c r="F1894" s="38"/>
      <c r="G1894" s="38"/>
      <c r="H1894" s="31"/>
      <c r="I1894" s="32"/>
      <c r="J1894" s="32"/>
      <c r="K1894" s="45" t="s">
        <v>888</v>
      </c>
      <c r="L1894" s="129"/>
      <c r="M1894" s="33" t="str">
        <f t="shared" si="29"/>
        <v/>
      </c>
      <c r="N1894" s="34" t="str">
        <f>IFERROR(IF(Tabela1[[#This Row],[Nome fantasia]]="","",_xlfn.XLOOKUP($C1894,Log!D:D,Log!B:B,,,-1)),"")</f>
        <v/>
      </c>
      <c r="O1894" s="35" t="str">
        <f>IFERROR(_xlfn.XLOOKUP($C1894,Log!D:D,Log!W:W,,,-1),"")</f>
        <v/>
      </c>
      <c r="P1894" s="35" t="str">
        <f>IFERROR(_xlfn.XLOOKUP($C1894,Log!D:D,Log!Y:Y,,,-1),"")</f>
        <v/>
      </c>
      <c r="Q1894" s="130"/>
      <c r="R1894" s="131" t="str">
        <f>IFERROR(IF(Tabela1[[#This Row],[Nome fantasia]]="","",_xlfn.XLOOKUP($C1894,Log!D:D,Log!X:X,,,-1)),"")</f>
        <v/>
      </c>
    </row>
    <row r="1895" spans="3:18" hidden="1" x14ac:dyDescent="0.2">
      <c r="C1895" s="30" t="s">
        <v>3704</v>
      </c>
      <c r="D1895" s="110" t="s">
        <v>4120</v>
      </c>
      <c r="E1895" s="33" t="s">
        <v>22</v>
      </c>
      <c r="F1895" s="38"/>
      <c r="G1895" s="38"/>
      <c r="H1895" s="31"/>
      <c r="I1895" s="32"/>
      <c r="J1895" s="32"/>
      <c r="K1895" s="45" t="s">
        <v>888</v>
      </c>
      <c r="L1895" s="129"/>
      <c r="M1895" s="33" t="str">
        <f t="shared" si="29"/>
        <v/>
      </c>
      <c r="N1895" s="34" t="str">
        <f>IFERROR(IF(Tabela1[[#This Row],[Nome fantasia]]="","",_xlfn.XLOOKUP($C1895,Log!D:D,Log!B:B,,,-1)),"")</f>
        <v/>
      </c>
      <c r="O1895" s="35" t="str">
        <f>IFERROR(_xlfn.XLOOKUP($C1895,Log!D:D,Log!W:W,,,-1),"")</f>
        <v/>
      </c>
      <c r="P1895" s="35" t="str">
        <f>IFERROR(_xlfn.XLOOKUP($C1895,Log!D:D,Log!Y:Y,,,-1),"")</f>
        <v/>
      </c>
      <c r="Q1895" s="130"/>
      <c r="R1895" s="131" t="str">
        <f>IFERROR(IF(Tabela1[[#This Row],[Nome fantasia]]="","",_xlfn.XLOOKUP($C1895,Log!D:D,Log!X:X,,,-1)),"")</f>
        <v/>
      </c>
    </row>
    <row r="1896" spans="3:18" hidden="1" x14ac:dyDescent="0.2">
      <c r="C1896" s="30" t="s">
        <v>4121</v>
      </c>
      <c r="D1896" s="110" t="s">
        <v>4122</v>
      </c>
      <c r="E1896" s="33" t="s">
        <v>17</v>
      </c>
      <c r="F1896" s="38"/>
      <c r="G1896" s="38"/>
      <c r="H1896" s="31"/>
      <c r="I1896" s="32"/>
      <c r="J1896" s="32"/>
      <c r="K1896" s="45" t="s">
        <v>888</v>
      </c>
      <c r="L1896" s="129"/>
      <c r="M1896" s="33" t="str">
        <f t="shared" si="29"/>
        <v/>
      </c>
      <c r="N1896" s="34" t="str">
        <f>IFERROR(IF(Tabela1[[#This Row],[Nome fantasia]]="","",_xlfn.XLOOKUP($C1896,Log!D:D,Log!B:B,,,-1)),"")</f>
        <v/>
      </c>
      <c r="O1896" s="35" t="str">
        <f>IFERROR(_xlfn.XLOOKUP($C1896,Log!D:D,Log!W:W,,,-1),"")</f>
        <v/>
      </c>
      <c r="P1896" s="35" t="str">
        <f>IFERROR(_xlfn.XLOOKUP($C1896,Log!D:D,Log!Y:Y,,,-1),"")</f>
        <v/>
      </c>
      <c r="Q1896" s="130"/>
      <c r="R1896" s="131" t="str">
        <f>IFERROR(IF(Tabela1[[#This Row],[Nome fantasia]]="","",_xlfn.XLOOKUP($C1896,Log!D:D,Log!X:X,,,-1)),"")</f>
        <v/>
      </c>
    </row>
    <row r="1897" spans="3:18" hidden="1" x14ac:dyDescent="0.2">
      <c r="C1897" s="30" t="s">
        <v>4123</v>
      </c>
      <c r="D1897" s="110" t="s">
        <v>4124</v>
      </c>
      <c r="E1897" s="33" t="s">
        <v>46</v>
      </c>
      <c r="F1897" s="38"/>
      <c r="G1897" s="38"/>
      <c r="H1897" s="31"/>
      <c r="I1897" s="32"/>
      <c r="J1897" s="32"/>
      <c r="K1897" s="45" t="s">
        <v>888</v>
      </c>
      <c r="L1897" s="129"/>
      <c r="M1897" s="33" t="str">
        <f t="shared" si="29"/>
        <v/>
      </c>
      <c r="N1897" s="34">
        <f>IFERROR(IF(Tabela1[[#This Row],[Nome fantasia]]="","",_xlfn.XLOOKUP($C1897,Log!D:D,Log!B:B,,,-1)),"")</f>
        <v>45996</v>
      </c>
      <c r="O1897" s="35" t="str">
        <f>IFERROR(_xlfn.XLOOKUP($C1897,Log!D:D,Log!W:W,,,-1),"")</f>
        <v>EM ATENDIMENTO</v>
      </c>
      <c r="P1897" s="35" t="str">
        <f>IFERROR(_xlfn.XLOOKUP($C1897,Log!D:D,Log!Y:Y,,,-1),"")</f>
        <v>A LOJA ATENDEU, E PEDIU PARA MANDAR WPP</v>
      </c>
      <c r="Q1897" s="130"/>
      <c r="R1897" s="131">
        <f>IFERROR(IF(Tabela1[[#This Row],[Nome fantasia]]="","",_xlfn.XLOOKUP($C1897,Log!D:D,Log!X:X,,,-1)),"")</f>
        <v>46000</v>
      </c>
    </row>
    <row r="1898" spans="3:18" hidden="1" x14ac:dyDescent="0.2">
      <c r="C1898" s="30" t="s">
        <v>4125</v>
      </c>
      <c r="D1898" s="110" t="s">
        <v>4126</v>
      </c>
      <c r="E1898" s="33" t="s">
        <v>22</v>
      </c>
      <c r="F1898" s="38"/>
      <c r="G1898" s="38"/>
      <c r="H1898" s="31"/>
      <c r="I1898" s="32"/>
      <c r="J1898" s="32"/>
      <c r="K1898" s="45" t="s">
        <v>888</v>
      </c>
      <c r="L1898" s="129"/>
      <c r="M1898" s="33" t="str">
        <f t="shared" si="29"/>
        <v/>
      </c>
      <c r="N1898" s="34" t="str">
        <f>IFERROR(IF(Tabela1[[#This Row],[Nome fantasia]]="","",_xlfn.XLOOKUP($C1898,Log!D:D,Log!B:B,,,-1)),"")</f>
        <v/>
      </c>
      <c r="O1898" s="35" t="str">
        <f>IFERROR(_xlfn.XLOOKUP($C1898,Log!D:D,Log!W:W,,,-1),"")</f>
        <v/>
      </c>
      <c r="P1898" s="35" t="str">
        <f>IFERROR(_xlfn.XLOOKUP($C1898,Log!D:D,Log!Y:Y,,,-1),"")</f>
        <v/>
      </c>
      <c r="Q1898" s="130"/>
      <c r="R1898" s="131" t="str">
        <f>IFERROR(IF(Tabela1[[#This Row],[Nome fantasia]]="","",_xlfn.XLOOKUP($C1898,Log!D:D,Log!X:X,,,-1)),"")</f>
        <v/>
      </c>
    </row>
    <row r="1899" spans="3:18" hidden="1" x14ac:dyDescent="0.2">
      <c r="C1899" s="30" t="s">
        <v>4127</v>
      </c>
      <c r="D1899" s="110" t="s">
        <v>4128</v>
      </c>
      <c r="E1899" s="33" t="s">
        <v>22</v>
      </c>
      <c r="F1899" s="38"/>
      <c r="G1899" s="38"/>
      <c r="H1899" s="31"/>
      <c r="I1899" s="32"/>
      <c r="J1899" s="32"/>
      <c r="K1899" s="45" t="s">
        <v>888</v>
      </c>
      <c r="L1899" s="129"/>
      <c r="M1899" s="33" t="str">
        <f t="shared" si="29"/>
        <v/>
      </c>
      <c r="N1899" s="34" t="str">
        <f>IFERROR(IF(Tabela1[[#This Row],[Nome fantasia]]="","",_xlfn.XLOOKUP($C1899,Log!D:D,Log!B:B,,,-1)),"")</f>
        <v/>
      </c>
      <c r="O1899" s="35" t="str">
        <f>IFERROR(_xlfn.XLOOKUP($C1899,Log!D:D,Log!W:W,,,-1),"")</f>
        <v/>
      </c>
      <c r="P1899" s="35" t="str">
        <f>IFERROR(_xlfn.XLOOKUP($C1899,Log!D:D,Log!Y:Y,,,-1),"")</f>
        <v/>
      </c>
      <c r="Q1899" s="130"/>
      <c r="R1899" s="131" t="str">
        <f>IFERROR(IF(Tabela1[[#This Row],[Nome fantasia]]="","",_xlfn.XLOOKUP($C1899,Log!D:D,Log!X:X,,,-1)),"")</f>
        <v/>
      </c>
    </row>
    <row r="1900" spans="3:18" hidden="1" x14ac:dyDescent="0.2">
      <c r="C1900" s="30"/>
      <c r="D1900" s="110" t="s">
        <v>4129</v>
      </c>
      <c r="E1900" s="33" t="s">
        <v>22</v>
      </c>
      <c r="F1900" s="38"/>
      <c r="G1900" s="38"/>
      <c r="H1900" s="31"/>
      <c r="I1900" s="32"/>
      <c r="J1900" s="32"/>
      <c r="K1900" s="45" t="s">
        <v>888</v>
      </c>
      <c r="L1900" s="129"/>
      <c r="M1900" s="33" t="str">
        <f t="shared" si="29"/>
        <v/>
      </c>
      <c r="N1900" s="34" t="str">
        <f>IFERROR(IF(Tabela1[[#This Row],[Nome fantasia]]="","",_xlfn.XLOOKUP($C1900,Log!D:D,Log!B:B,,,-1)),"")</f>
        <v/>
      </c>
      <c r="O1900" s="35" t="str">
        <f>IFERROR(_xlfn.XLOOKUP($C1900,Log!D:D,Log!W:W,,,-1),"")</f>
        <v/>
      </c>
      <c r="P1900" s="35" t="str">
        <f>IFERROR(_xlfn.XLOOKUP($C1900,Log!D:D,Log!Y:Y,,,-1),"")</f>
        <v/>
      </c>
      <c r="Q1900" s="130"/>
      <c r="R1900" s="131" t="str">
        <f>IFERROR(IF(Tabela1[[#This Row],[Nome fantasia]]="","",_xlfn.XLOOKUP($C1900,Log!D:D,Log!X:X,,,-1)),"")</f>
        <v/>
      </c>
    </row>
    <row r="1901" spans="3:18" hidden="1" x14ac:dyDescent="0.2">
      <c r="C1901" s="30" t="s">
        <v>4130</v>
      </c>
      <c r="D1901" s="110" t="s">
        <v>4131</v>
      </c>
      <c r="E1901" s="33" t="s">
        <v>46</v>
      </c>
      <c r="F1901" s="38"/>
      <c r="G1901" s="38"/>
      <c r="H1901" s="31"/>
      <c r="I1901" s="32"/>
      <c r="J1901" s="32"/>
      <c r="K1901" s="45" t="s">
        <v>888</v>
      </c>
      <c r="L1901" s="129"/>
      <c r="M1901" s="33" t="str">
        <f t="shared" si="29"/>
        <v/>
      </c>
      <c r="N1901" s="34" t="str">
        <f>IFERROR(IF(Tabela1[[#This Row],[Nome fantasia]]="","",_xlfn.XLOOKUP($C1901,Log!D:D,Log!B:B,,,-1)),"")</f>
        <v/>
      </c>
      <c r="O1901" s="35" t="str">
        <f>IFERROR(_xlfn.XLOOKUP($C1901,Log!D:D,Log!W:W,,,-1),"")</f>
        <v/>
      </c>
      <c r="P1901" s="35" t="str">
        <f>IFERROR(_xlfn.XLOOKUP($C1901,Log!D:D,Log!Y:Y,,,-1),"")</f>
        <v/>
      </c>
      <c r="Q1901" s="130"/>
      <c r="R1901" s="131" t="str">
        <f>IFERROR(IF(Tabela1[[#This Row],[Nome fantasia]]="","",_xlfn.XLOOKUP($C1901,Log!D:D,Log!X:X,,,-1)),"")</f>
        <v/>
      </c>
    </row>
    <row r="1902" spans="3:18" hidden="1" x14ac:dyDescent="0.2">
      <c r="C1902" s="30"/>
      <c r="D1902" s="110" t="s">
        <v>4132</v>
      </c>
      <c r="E1902" s="33" t="s">
        <v>46</v>
      </c>
      <c r="F1902" s="38"/>
      <c r="G1902" s="38"/>
      <c r="H1902" s="31"/>
      <c r="I1902" s="32"/>
      <c r="J1902" s="32"/>
      <c r="K1902" s="45" t="s">
        <v>888</v>
      </c>
      <c r="L1902" s="129"/>
      <c r="M1902" s="33" t="str">
        <f t="shared" si="29"/>
        <v/>
      </c>
      <c r="N1902" s="34" t="str">
        <f>IFERROR(IF(Tabela1[[#This Row],[Nome fantasia]]="","",_xlfn.XLOOKUP($C1902,Log!D:D,Log!B:B,,,-1)),"")</f>
        <v/>
      </c>
      <c r="O1902" s="35" t="str">
        <f>IFERROR(_xlfn.XLOOKUP($C1902,Log!D:D,Log!W:W,,,-1),"")</f>
        <v/>
      </c>
      <c r="P1902" s="35" t="str">
        <f>IFERROR(_xlfn.XLOOKUP($C1902,Log!D:D,Log!Y:Y,,,-1),"")</f>
        <v/>
      </c>
      <c r="Q1902" s="130"/>
      <c r="R1902" s="131" t="str">
        <f>IFERROR(IF(Tabela1[[#This Row],[Nome fantasia]]="","",_xlfn.XLOOKUP($C1902,Log!D:D,Log!X:X,,,-1)),"")</f>
        <v/>
      </c>
    </row>
    <row r="1903" spans="3:18" hidden="1" x14ac:dyDescent="0.2">
      <c r="C1903" s="30" t="s">
        <v>4133</v>
      </c>
      <c r="D1903" s="110" t="s">
        <v>4134</v>
      </c>
      <c r="E1903" s="33" t="s">
        <v>46</v>
      </c>
      <c r="F1903" s="38"/>
      <c r="G1903" s="38"/>
      <c r="H1903" s="31"/>
      <c r="I1903" s="32"/>
      <c r="J1903" s="32"/>
      <c r="K1903" s="45" t="s">
        <v>888</v>
      </c>
      <c r="L1903" s="129"/>
      <c r="M1903" s="33" t="str">
        <f t="shared" si="29"/>
        <v/>
      </c>
      <c r="N1903" s="34" t="str">
        <f>IFERROR(IF(Tabela1[[#This Row],[Nome fantasia]]="","",_xlfn.XLOOKUP($C1903,Log!D:D,Log!B:B,,,-1)),"")</f>
        <v/>
      </c>
      <c r="O1903" s="35" t="str">
        <f>IFERROR(_xlfn.XLOOKUP($C1903,Log!D:D,Log!W:W,,,-1),"")</f>
        <v/>
      </c>
      <c r="P1903" s="35" t="str">
        <f>IFERROR(_xlfn.XLOOKUP($C1903,Log!D:D,Log!Y:Y,,,-1),"")</f>
        <v/>
      </c>
      <c r="Q1903" s="130"/>
      <c r="R1903" s="131" t="str">
        <f>IFERROR(IF(Tabela1[[#This Row],[Nome fantasia]]="","",_xlfn.XLOOKUP($C1903,Log!D:D,Log!X:X,,,-1)),"")</f>
        <v/>
      </c>
    </row>
    <row r="1904" spans="3:18" hidden="1" x14ac:dyDescent="0.2">
      <c r="C1904" s="30" t="s">
        <v>4135</v>
      </c>
      <c r="D1904" s="110" t="s">
        <v>4136</v>
      </c>
      <c r="E1904" s="33" t="s">
        <v>22</v>
      </c>
      <c r="F1904" s="38"/>
      <c r="G1904" s="38"/>
      <c r="H1904" s="31"/>
      <c r="I1904" s="32"/>
      <c r="J1904" s="32"/>
      <c r="K1904" s="45" t="s">
        <v>888</v>
      </c>
      <c r="L1904" s="129"/>
      <c r="M1904" s="33" t="str">
        <f t="shared" si="29"/>
        <v/>
      </c>
      <c r="N1904" s="34" t="str">
        <f>IFERROR(IF(Tabela1[[#This Row],[Nome fantasia]]="","",_xlfn.XLOOKUP($C1904,Log!D:D,Log!B:B,,,-1)),"")</f>
        <v/>
      </c>
      <c r="O1904" s="35" t="str">
        <f>IFERROR(_xlfn.XLOOKUP($C1904,Log!D:D,Log!W:W,,,-1),"")</f>
        <v/>
      </c>
      <c r="P1904" s="35" t="str">
        <f>IFERROR(_xlfn.XLOOKUP($C1904,Log!D:D,Log!Y:Y,,,-1),"")</f>
        <v/>
      </c>
      <c r="Q1904" s="130"/>
      <c r="R1904" s="131" t="str">
        <f>IFERROR(IF(Tabela1[[#This Row],[Nome fantasia]]="","",_xlfn.XLOOKUP($C1904,Log!D:D,Log!X:X,,,-1)),"")</f>
        <v/>
      </c>
    </row>
    <row r="1905" spans="3:18" hidden="1" x14ac:dyDescent="0.2">
      <c r="C1905" s="30" t="s">
        <v>4137</v>
      </c>
      <c r="D1905" s="110" t="s">
        <v>4138</v>
      </c>
      <c r="E1905" s="33" t="s">
        <v>22</v>
      </c>
      <c r="F1905" s="38"/>
      <c r="G1905" s="38"/>
      <c r="H1905" s="31"/>
      <c r="I1905" s="32"/>
      <c r="J1905" s="32"/>
      <c r="K1905" s="45" t="s">
        <v>888</v>
      </c>
      <c r="L1905" s="129"/>
      <c r="M1905" s="33" t="str">
        <f t="shared" si="29"/>
        <v/>
      </c>
      <c r="N1905" s="34" t="str">
        <f>IFERROR(IF(Tabela1[[#This Row],[Nome fantasia]]="","",_xlfn.XLOOKUP($C1905,Log!D:D,Log!B:B,,,-1)),"")</f>
        <v/>
      </c>
      <c r="O1905" s="35" t="str">
        <f>IFERROR(_xlfn.XLOOKUP($C1905,Log!D:D,Log!W:W,,,-1),"")</f>
        <v/>
      </c>
      <c r="P1905" s="35" t="str">
        <f>IFERROR(_xlfn.XLOOKUP($C1905,Log!D:D,Log!Y:Y,,,-1),"")</f>
        <v/>
      </c>
      <c r="Q1905" s="130"/>
      <c r="R1905" s="131" t="str">
        <f>IFERROR(IF(Tabela1[[#This Row],[Nome fantasia]]="","",_xlfn.XLOOKUP($C1905,Log!D:D,Log!X:X,,,-1)),"")</f>
        <v/>
      </c>
    </row>
    <row r="1906" spans="3:18" hidden="1" x14ac:dyDescent="0.2">
      <c r="C1906" s="30" t="s">
        <v>4139</v>
      </c>
      <c r="D1906" s="110" t="s">
        <v>4140</v>
      </c>
      <c r="E1906" s="33" t="s">
        <v>46</v>
      </c>
      <c r="F1906" s="38"/>
      <c r="G1906" s="38"/>
      <c r="H1906" s="31"/>
      <c r="I1906" s="32"/>
      <c r="J1906" s="32"/>
      <c r="K1906" s="45" t="s">
        <v>888</v>
      </c>
      <c r="L1906" s="129"/>
      <c r="M1906" s="33" t="str">
        <f t="shared" si="29"/>
        <v/>
      </c>
      <c r="N1906" s="34" t="str">
        <f>IFERROR(IF(Tabela1[[#This Row],[Nome fantasia]]="","",_xlfn.XLOOKUP($C1906,Log!D:D,Log!B:B,,,-1)),"")</f>
        <v/>
      </c>
      <c r="O1906" s="35" t="str">
        <f>IFERROR(_xlfn.XLOOKUP($C1906,Log!D:D,Log!W:W,,,-1),"")</f>
        <v/>
      </c>
      <c r="P1906" s="35" t="str">
        <f>IFERROR(_xlfn.XLOOKUP($C1906,Log!D:D,Log!Y:Y,,,-1),"")</f>
        <v/>
      </c>
      <c r="Q1906" s="130"/>
      <c r="R1906" s="131" t="str">
        <f>IFERROR(IF(Tabela1[[#This Row],[Nome fantasia]]="","",_xlfn.XLOOKUP($C1906,Log!D:D,Log!X:X,,,-1)),"")</f>
        <v/>
      </c>
    </row>
    <row r="1907" spans="3:18" hidden="1" x14ac:dyDescent="0.2">
      <c r="C1907" s="30" t="s">
        <v>4141</v>
      </c>
      <c r="D1907" s="110" t="s">
        <v>4142</v>
      </c>
      <c r="E1907" s="33" t="s">
        <v>17</v>
      </c>
      <c r="F1907" s="38"/>
      <c r="G1907" s="38"/>
      <c r="H1907" s="31"/>
      <c r="I1907" s="32"/>
      <c r="J1907" s="32"/>
      <c r="K1907" s="45" t="s">
        <v>888</v>
      </c>
      <c r="L1907" s="129"/>
      <c r="M1907" s="33" t="str">
        <f t="shared" si="29"/>
        <v/>
      </c>
      <c r="N1907" s="34" t="str">
        <f>IFERROR(IF(Tabela1[[#This Row],[Nome fantasia]]="","",_xlfn.XLOOKUP($C1907,Log!D:D,Log!B:B,,,-1)),"")</f>
        <v/>
      </c>
      <c r="O1907" s="35" t="str">
        <f>IFERROR(_xlfn.XLOOKUP($C1907,Log!D:D,Log!W:W,,,-1),"")</f>
        <v/>
      </c>
      <c r="P1907" s="35" t="str">
        <f>IFERROR(_xlfn.XLOOKUP($C1907,Log!D:D,Log!Y:Y,,,-1),"")</f>
        <v/>
      </c>
      <c r="Q1907" s="130"/>
      <c r="R1907" s="131" t="str">
        <f>IFERROR(IF(Tabela1[[#This Row],[Nome fantasia]]="","",_xlfn.XLOOKUP($C1907,Log!D:D,Log!X:X,,,-1)),"")</f>
        <v/>
      </c>
    </row>
    <row r="1908" spans="3:18" hidden="1" x14ac:dyDescent="0.2">
      <c r="C1908" s="30" t="s">
        <v>4143</v>
      </c>
      <c r="D1908" s="110" t="s">
        <v>4144</v>
      </c>
      <c r="E1908" s="33" t="s">
        <v>17</v>
      </c>
      <c r="F1908" s="38"/>
      <c r="G1908" s="38"/>
      <c r="H1908" s="31"/>
      <c r="I1908" s="32"/>
      <c r="J1908" s="32"/>
      <c r="K1908" s="45" t="s">
        <v>888</v>
      </c>
      <c r="L1908" s="129"/>
      <c r="M1908" s="33" t="str">
        <f t="shared" si="29"/>
        <v/>
      </c>
      <c r="N1908" s="34" t="str">
        <f>IFERROR(IF(Tabela1[[#This Row],[Nome fantasia]]="","",_xlfn.XLOOKUP($C1908,Log!D:D,Log!B:B,,,-1)),"")</f>
        <v/>
      </c>
      <c r="O1908" s="35" t="str">
        <f>IFERROR(_xlfn.XLOOKUP($C1908,Log!D:D,Log!W:W,,,-1),"")</f>
        <v/>
      </c>
      <c r="P1908" s="35" t="str">
        <f>IFERROR(_xlfn.XLOOKUP($C1908,Log!D:D,Log!Y:Y,,,-1),"")</f>
        <v/>
      </c>
      <c r="Q1908" s="130"/>
      <c r="R1908" s="131" t="str">
        <f>IFERROR(IF(Tabela1[[#This Row],[Nome fantasia]]="","",_xlfn.XLOOKUP($C1908,Log!D:D,Log!X:X,,,-1)),"")</f>
        <v/>
      </c>
    </row>
    <row r="1909" spans="3:18" hidden="1" x14ac:dyDescent="0.2">
      <c r="C1909" s="30" t="s">
        <v>4145</v>
      </c>
      <c r="D1909" s="110" t="s">
        <v>4146</v>
      </c>
      <c r="E1909" s="33" t="s">
        <v>17</v>
      </c>
      <c r="F1909" s="38"/>
      <c r="G1909" s="38"/>
      <c r="H1909" s="31"/>
      <c r="I1909" s="32"/>
      <c r="J1909" s="32"/>
      <c r="K1909" s="45" t="s">
        <v>888</v>
      </c>
      <c r="L1909" s="129"/>
      <c r="M1909" s="33" t="str">
        <f t="shared" si="29"/>
        <v/>
      </c>
      <c r="N1909" s="34" t="str">
        <f>IFERROR(IF(Tabela1[[#This Row],[Nome fantasia]]="","",_xlfn.XLOOKUP($C1909,Log!D:D,Log!B:B,,,-1)),"")</f>
        <v/>
      </c>
      <c r="O1909" s="35" t="str">
        <f>IFERROR(_xlfn.XLOOKUP($C1909,Log!D:D,Log!W:W,,,-1),"")</f>
        <v/>
      </c>
      <c r="P1909" s="35" t="str">
        <f>IFERROR(_xlfn.XLOOKUP($C1909,Log!D:D,Log!Y:Y,,,-1),"")</f>
        <v/>
      </c>
      <c r="Q1909" s="130"/>
      <c r="R1909" s="131" t="str">
        <f>IFERROR(IF(Tabela1[[#This Row],[Nome fantasia]]="","",_xlfn.XLOOKUP($C1909,Log!D:D,Log!X:X,,,-1)),"")</f>
        <v/>
      </c>
    </row>
    <row r="1910" spans="3:18" hidden="1" x14ac:dyDescent="0.2">
      <c r="C1910" s="30" t="s">
        <v>4147</v>
      </c>
      <c r="D1910" s="110" t="s">
        <v>4148</v>
      </c>
      <c r="E1910" s="33" t="s">
        <v>46</v>
      </c>
      <c r="F1910" s="38"/>
      <c r="G1910" s="38"/>
      <c r="H1910" s="31"/>
      <c r="I1910" s="32"/>
      <c r="J1910" s="32"/>
      <c r="K1910" s="45" t="s">
        <v>888</v>
      </c>
      <c r="L1910" s="129"/>
      <c r="M1910" s="33" t="str">
        <f t="shared" si="29"/>
        <v/>
      </c>
      <c r="N1910" s="34" t="str">
        <f>IFERROR(IF(Tabela1[[#This Row],[Nome fantasia]]="","",_xlfn.XLOOKUP($C1910,Log!D:D,Log!B:B,,,-1)),"")</f>
        <v/>
      </c>
      <c r="O1910" s="35" t="str">
        <f>IFERROR(_xlfn.XLOOKUP($C1910,Log!D:D,Log!W:W,,,-1),"")</f>
        <v/>
      </c>
      <c r="P1910" s="35" t="str">
        <f>IFERROR(_xlfn.XLOOKUP($C1910,Log!D:D,Log!Y:Y,,,-1),"")</f>
        <v/>
      </c>
      <c r="Q1910" s="130"/>
      <c r="R1910" s="131" t="str">
        <f>IFERROR(IF(Tabela1[[#This Row],[Nome fantasia]]="","",_xlfn.XLOOKUP($C1910,Log!D:D,Log!X:X,,,-1)),"")</f>
        <v/>
      </c>
    </row>
    <row r="1911" spans="3:18" hidden="1" x14ac:dyDescent="0.2">
      <c r="C1911" s="30" t="s">
        <v>4149</v>
      </c>
      <c r="D1911" s="110" t="s">
        <v>4150</v>
      </c>
      <c r="E1911" s="33" t="s">
        <v>46</v>
      </c>
      <c r="F1911" s="38"/>
      <c r="G1911" s="38"/>
      <c r="H1911" s="31"/>
      <c r="I1911" s="32"/>
      <c r="J1911" s="32"/>
      <c r="K1911" s="45" t="s">
        <v>888</v>
      </c>
      <c r="L1911" s="129"/>
      <c r="M1911" s="33" t="str">
        <f t="shared" si="29"/>
        <v/>
      </c>
      <c r="N1911" s="34" t="str">
        <f>IFERROR(IF(Tabela1[[#This Row],[Nome fantasia]]="","",_xlfn.XLOOKUP($C1911,Log!D:D,Log!B:B,,,-1)),"")</f>
        <v/>
      </c>
      <c r="O1911" s="35" t="str">
        <f>IFERROR(_xlfn.XLOOKUP($C1911,Log!D:D,Log!W:W,,,-1),"")</f>
        <v/>
      </c>
      <c r="P1911" s="35" t="str">
        <f>IFERROR(_xlfn.XLOOKUP($C1911,Log!D:D,Log!Y:Y,,,-1),"")</f>
        <v/>
      </c>
      <c r="Q1911" s="130"/>
      <c r="R1911" s="131" t="str">
        <f>IFERROR(IF(Tabela1[[#This Row],[Nome fantasia]]="","",_xlfn.XLOOKUP($C1911,Log!D:D,Log!X:X,,,-1)),"")</f>
        <v/>
      </c>
    </row>
    <row r="1912" spans="3:18" hidden="1" x14ac:dyDescent="0.2">
      <c r="C1912" s="30" t="s">
        <v>4151</v>
      </c>
      <c r="D1912" s="110" t="s">
        <v>4152</v>
      </c>
      <c r="E1912" s="33" t="s">
        <v>46</v>
      </c>
      <c r="F1912" s="38"/>
      <c r="G1912" s="38"/>
      <c r="H1912" s="31"/>
      <c r="I1912" s="32"/>
      <c r="J1912" s="32"/>
      <c r="K1912" s="45" t="s">
        <v>888</v>
      </c>
      <c r="L1912" s="129"/>
      <c r="M1912" s="33" t="str">
        <f t="shared" si="29"/>
        <v/>
      </c>
      <c r="N1912" s="34" t="str">
        <f>IFERROR(IF(Tabela1[[#This Row],[Nome fantasia]]="","",_xlfn.XLOOKUP($C1912,Log!D:D,Log!B:B,,,-1)),"")</f>
        <v/>
      </c>
      <c r="O1912" s="35" t="str">
        <f>IFERROR(_xlfn.XLOOKUP($C1912,Log!D:D,Log!W:W,,,-1),"")</f>
        <v/>
      </c>
      <c r="P1912" s="35" t="str">
        <f>IFERROR(_xlfn.XLOOKUP($C1912,Log!D:D,Log!Y:Y,,,-1),"")</f>
        <v/>
      </c>
      <c r="Q1912" s="130"/>
      <c r="R1912" s="131" t="str">
        <f>IFERROR(IF(Tabela1[[#This Row],[Nome fantasia]]="","",_xlfn.XLOOKUP($C1912,Log!D:D,Log!X:X,,,-1)),"")</f>
        <v/>
      </c>
    </row>
    <row r="1913" spans="3:18" hidden="1" x14ac:dyDescent="0.2">
      <c r="C1913" s="30" t="s">
        <v>4153</v>
      </c>
      <c r="D1913" s="110" t="s">
        <v>4154</v>
      </c>
      <c r="E1913" s="33" t="s">
        <v>22</v>
      </c>
      <c r="F1913" s="38"/>
      <c r="G1913" s="38"/>
      <c r="H1913" s="31"/>
      <c r="I1913" s="32"/>
      <c r="J1913" s="32"/>
      <c r="K1913" s="45" t="s">
        <v>888</v>
      </c>
      <c r="L1913" s="129"/>
      <c r="M1913" s="33" t="str">
        <f t="shared" si="29"/>
        <v/>
      </c>
      <c r="N1913" s="34" t="str">
        <f>IFERROR(IF(Tabela1[[#This Row],[Nome fantasia]]="","",_xlfn.XLOOKUP($C1913,Log!D:D,Log!B:B,,,-1)),"")</f>
        <v/>
      </c>
      <c r="O1913" s="35" t="str">
        <f>IFERROR(_xlfn.XLOOKUP($C1913,Log!D:D,Log!W:W,,,-1),"")</f>
        <v/>
      </c>
      <c r="P1913" s="35" t="str">
        <f>IFERROR(_xlfn.XLOOKUP($C1913,Log!D:D,Log!Y:Y,,,-1),"")</f>
        <v/>
      </c>
      <c r="Q1913" s="130"/>
      <c r="R1913" s="131" t="str">
        <f>IFERROR(IF(Tabela1[[#This Row],[Nome fantasia]]="","",_xlfn.XLOOKUP($C1913,Log!D:D,Log!X:X,,,-1)),"")</f>
        <v/>
      </c>
    </row>
    <row r="1914" spans="3:18" hidden="1" x14ac:dyDescent="0.2">
      <c r="C1914" s="30" t="s">
        <v>4155</v>
      </c>
      <c r="D1914" s="110" t="s">
        <v>4156</v>
      </c>
      <c r="E1914" s="33" t="s">
        <v>22</v>
      </c>
      <c r="F1914" s="38"/>
      <c r="G1914" s="38"/>
      <c r="H1914" s="31"/>
      <c r="I1914" s="32"/>
      <c r="J1914" s="32"/>
      <c r="K1914" s="45" t="s">
        <v>888</v>
      </c>
      <c r="L1914" s="129"/>
      <c r="M1914" s="33" t="str">
        <f t="shared" si="29"/>
        <v/>
      </c>
      <c r="N1914" s="34" t="str">
        <f>IFERROR(IF(Tabela1[[#This Row],[Nome fantasia]]="","",_xlfn.XLOOKUP($C1914,Log!D:D,Log!B:B,,,-1)),"")</f>
        <v/>
      </c>
      <c r="O1914" s="35" t="str">
        <f>IFERROR(_xlfn.XLOOKUP($C1914,Log!D:D,Log!W:W,,,-1),"")</f>
        <v/>
      </c>
      <c r="P1914" s="35" t="str">
        <f>IFERROR(_xlfn.XLOOKUP($C1914,Log!D:D,Log!Y:Y,,,-1),"")</f>
        <v/>
      </c>
      <c r="Q1914" s="130"/>
      <c r="R1914" s="131" t="str">
        <f>IFERROR(IF(Tabela1[[#This Row],[Nome fantasia]]="","",_xlfn.XLOOKUP($C1914,Log!D:D,Log!X:X,,,-1)),"")</f>
        <v/>
      </c>
    </row>
    <row r="1915" spans="3:18" hidden="1" x14ac:dyDescent="0.2">
      <c r="C1915" s="30" t="s">
        <v>4157</v>
      </c>
      <c r="D1915" s="110" t="s">
        <v>4158</v>
      </c>
      <c r="E1915" s="33" t="s">
        <v>17</v>
      </c>
      <c r="F1915" s="38"/>
      <c r="G1915" s="38"/>
      <c r="H1915" s="31"/>
      <c r="I1915" s="32"/>
      <c r="J1915" s="32"/>
      <c r="K1915" s="45" t="s">
        <v>888</v>
      </c>
      <c r="L1915" s="129"/>
      <c r="M1915" s="33" t="str">
        <f t="shared" si="29"/>
        <v/>
      </c>
      <c r="N1915" s="34" t="str">
        <f>IFERROR(IF(Tabela1[[#This Row],[Nome fantasia]]="","",_xlfn.XLOOKUP($C1915,Log!D:D,Log!B:B,,,-1)),"")</f>
        <v/>
      </c>
      <c r="O1915" s="35" t="str">
        <f>IFERROR(_xlfn.XLOOKUP($C1915,Log!D:D,Log!W:W,,,-1),"")</f>
        <v/>
      </c>
      <c r="P1915" s="35" t="str">
        <f>IFERROR(_xlfn.XLOOKUP($C1915,Log!D:D,Log!Y:Y,,,-1),"")</f>
        <v/>
      </c>
      <c r="Q1915" s="130"/>
      <c r="R1915" s="131" t="str">
        <f>IFERROR(IF(Tabela1[[#This Row],[Nome fantasia]]="","",_xlfn.XLOOKUP($C1915,Log!D:D,Log!X:X,,,-1)),"")</f>
        <v/>
      </c>
    </row>
    <row r="1916" spans="3:18" hidden="1" x14ac:dyDescent="0.2">
      <c r="C1916" s="30" t="s">
        <v>4159</v>
      </c>
      <c r="D1916" s="110" t="s">
        <v>4160</v>
      </c>
      <c r="E1916" s="33" t="s">
        <v>46</v>
      </c>
      <c r="F1916" s="38"/>
      <c r="G1916" s="38"/>
      <c r="H1916" s="31"/>
      <c r="I1916" s="32"/>
      <c r="J1916" s="32"/>
      <c r="K1916" s="45" t="s">
        <v>888</v>
      </c>
      <c r="L1916" s="129"/>
      <c r="M1916" s="33" t="str">
        <f t="shared" si="29"/>
        <v/>
      </c>
      <c r="N1916" s="34">
        <f>IFERROR(IF(Tabela1[[#This Row],[Nome fantasia]]="","",_xlfn.XLOOKUP($C1916,Log!D:D,Log!B:B,,,-1)),"")</f>
        <v>46006</v>
      </c>
      <c r="O1916" s="35" t="str">
        <f>IFERROR(_xlfn.XLOOKUP($C1916,Log!D:D,Log!W:W,,,-1),"")</f>
        <v>FOLLOW UP 15</v>
      </c>
      <c r="P1916" s="35" t="str">
        <f>IFERROR(_xlfn.XLOOKUP($C1916,Log!D:D,Log!Y:Y,,,-1),"")</f>
        <v>CLIENTE NÃO QUER COMPRAR AGORA</v>
      </c>
      <c r="Q1916" s="130"/>
      <c r="R1916" s="131">
        <f>IFERROR(IF(Tabela1[[#This Row],[Nome fantasia]]="","",_xlfn.XLOOKUP($C1916,Log!D:D,Log!X:X,,,-1)),"")</f>
        <v>46027</v>
      </c>
    </row>
    <row r="1917" spans="3:18" hidden="1" x14ac:dyDescent="0.2">
      <c r="C1917" s="30" t="s">
        <v>1862</v>
      </c>
      <c r="D1917" s="110" t="s">
        <v>4161</v>
      </c>
      <c r="E1917" s="33" t="s">
        <v>22</v>
      </c>
      <c r="F1917" s="38"/>
      <c r="G1917" s="38"/>
      <c r="H1917" s="31"/>
      <c r="I1917" s="32"/>
      <c r="J1917" s="32"/>
      <c r="K1917" s="45" t="s">
        <v>888</v>
      </c>
      <c r="L1917" s="129"/>
      <c r="M1917" s="33" t="str">
        <f t="shared" si="29"/>
        <v/>
      </c>
      <c r="N1917" s="34" t="str">
        <f>IFERROR(IF(Tabela1[[#This Row],[Nome fantasia]]="","",_xlfn.XLOOKUP($C1917,Log!D:D,Log!B:B,,,-1)),"")</f>
        <v/>
      </c>
      <c r="O1917" s="35" t="str">
        <f>IFERROR(_xlfn.XLOOKUP($C1917,Log!D:D,Log!W:W,,,-1),"")</f>
        <v/>
      </c>
      <c r="P1917" s="35" t="str">
        <f>IFERROR(_xlfn.XLOOKUP($C1917,Log!D:D,Log!Y:Y,,,-1),"")</f>
        <v/>
      </c>
      <c r="Q1917" s="130"/>
      <c r="R1917" s="131" t="str">
        <f>IFERROR(IF(Tabela1[[#This Row],[Nome fantasia]]="","",_xlfn.XLOOKUP($C1917,Log!D:D,Log!X:X,,,-1)),"")</f>
        <v/>
      </c>
    </row>
    <row r="1918" spans="3:18" hidden="1" x14ac:dyDescent="0.2">
      <c r="C1918" s="30" t="s">
        <v>4162</v>
      </c>
      <c r="D1918" s="110" t="s">
        <v>4163</v>
      </c>
      <c r="E1918" s="33" t="s">
        <v>17</v>
      </c>
      <c r="F1918" s="38"/>
      <c r="G1918" s="38"/>
      <c r="H1918" s="31"/>
      <c r="I1918" s="32"/>
      <c r="J1918" s="32"/>
      <c r="K1918" s="45" t="s">
        <v>888</v>
      </c>
      <c r="L1918" s="129"/>
      <c r="M1918" s="33" t="str">
        <f t="shared" si="29"/>
        <v/>
      </c>
      <c r="N1918" s="34" t="str">
        <f>IFERROR(IF(Tabela1[[#This Row],[Nome fantasia]]="","",_xlfn.XLOOKUP($C1918,Log!D:D,Log!B:B,,,-1)),"")</f>
        <v/>
      </c>
      <c r="O1918" s="35" t="str">
        <f>IFERROR(_xlfn.XLOOKUP($C1918,Log!D:D,Log!W:W,,,-1),"")</f>
        <v/>
      </c>
      <c r="P1918" s="35" t="str">
        <f>IFERROR(_xlfn.XLOOKUP($C1918,Log!D:D,Log!Y:Y,,,-1),"")</f>
        <v/>
      </c>
      <c r="Q1918" s="130"/>
      <c r="R1918" s="131" t="str">
        <f>IFERROR(IF(Tabela1[[#This Row],[Nome fantasia]]="","",_xlfn.XLOOKUP($C1918,Log!D:D,Log!X:X,,,-1)),"")</f>
        <v/>
      </c>
    </row>
    <row r="1919" spans="3:18" hidden="1" x14ac:dyDescent="0.2">
      <c r="C1919" s="30" t="s">
        <v>4164</v>
      </c>
      <c r="D1919" s="110" t="s">
        <v>4165</v>
      </c>
      <c r="E1919" s="33" t="s">
        <v>17</v>
      </c>
      <c r="F1919" s="38"/>
      <c r="G1919" s="38"/>
      <c r="H1919" s="31"/>
      <c r="I1919" s="32"/>
      <c r="J1919" s="32"/>
      <c r="K1919" s="45" t="s">
        <v>888</v>
      </c>
      <c r="L1919" s="129"/>
      <c r="M1919" s="33" t="str">
        <f t="shared" si="29"/>
        <v/>
      </c>
      <c r="N1919" s="34" t="str">
        <f>IFERROR(IF(Tabela1[[#This Row],[Nome fantasia]]="","",_xlfn.XLOOKUP($C1919,Log!D:D,Log!B:B,,,-1)),"")</f>
        <v/>
      </c>
      <c r="O1919" s="35" t="str">
        <f>IFERROR(_xlfn.XLOOKUP($C1919,Log!D:D,Log!W:W,,,-1),"")</f>
        <v/>
      </c>
      <c r="P1919" s="35" t="str">
        <f>IFERROR(_xlfn.XLOOKUP($C1919,Log!D:D,Log!Y:Y,,,-1),"")</f>
        <v/>
      </c>
      <c r="Q1919" s="130"/>
      <c r="R1919" s="131" t="str">
        <f>IFERROR(IF(Tabela1[[#This Row],[Nome fantasia]]="","",_xlfn.XLOOKUP($C1919,Log!D:D,Log!X:X,,,-1)),"")</f>
        <v/>
      </c>
    </row>
    <row r="1920" spans="3:18" hidden="1" x14ac:dyDescent="0.2">
      <c r="C1920" s="30" t="s">
        <v>4166</v>
      </c>
      <c r="D1920" s="110" t="s">
        <v>4167</v>
      </c>
      <c r="E1920" s="33" t="s">
        <v>17</v>
      </c>
      <c r="F1920" s="38"/>
      <c r="G1920" s="38"/>
      <c r="H1920" s="31"/>
      <c r="I1920" s="32"/>
      <c r="J1920" s="32"/>
      <c r="K1920" s="45" t="s">
        <v>888</v>
      </c>
      <c r="L1920" s="129"/>
      <c r="M1920" s="33" t="str">
        <f t="shared" si="29"/>
        <v/>
      </c>
      <c r="N1920" s="34" t="str">
        <f>IFERROR(IF(Tabela1[[#This Row],[Nome fantasia]]="","",_xlfn.XLOOKUP($C1920,Log!D:D,Log!B:B,,,-1)),"")</f>
        <v/>
      </c>
      <c r="O1920" s="35" t="str">
        <f>IFERROR(_xlfn.XLOOKUP($C1920,Log!D:D,Log!W:W,,,-1),"")</f>
        <v/>
      </c>
      <c r="P1920" s="35" t="str">
        <f>IFERROR(_xlfn.XLOOKUP($C1920,Log!D:D,Log!Y:Y,,,-1),"")</f>
        <v/>
      </c>
      <c r="Q1920" s="130"/>
      <c r="R1920" s="131" t="str">
        <f>IFERROR(IF(Tabela1[[#This Row],[Nome fantasia]]="","",_xlfn.XLOOKUP($C1920,Log!D:D,Log!X:X,,,-1)),"")</f>
        <v/>
      </c>
    </row>
    <row r="1921" spans="3:18" hidden="1" x14ac:dyDescent="0.2">
      <c r="C1921" s="30" t="s">
        <v>4168</v>
      </c>
      <c r="D1921" s="110" t="s">
        <v>4169</v>
      </c>
      <c r="E1921" s="33" t="s">
        <v>46</v>
      </c>
      <c r="F1921" s="38"/>
      <c r="G1921" s="38"/>
      <c r="H1921" s="31"/>
      <c r="I1921" s="32"/>
      <c r="J1921" s="32"/>
      <c r="K1921" s="45" t="s">
        <v>888</v>
      </c>
      <c r="L1921" s="129"/>
      <c r="M1921" s="33" t="str">
        <f t="shared" si="29"/>
        <v/>
      </c>
      <c r="N1921" s="34">
        <f>IFERROR(IF(Tabela1[[#This Row],[Nome fantasia]]="","",_xlfn.XLOOKUP($C1921,Log!D:D,Log!B:B,,,-1)),"")</f>
        <v>45996</v>
      </c>
      <c r="O1921" s="35" t="str">
        <f>IFERROR(_xlfn.XLOOKUP($C1921,Log!D:D,Log!W:W,,,-1),"")</f>
        <v>EM ATENDIMENTO</v>
      </c>
      <c r="P1921" s="35" t="str">
        <f>IFERROR(_xlfn.XLOOKUP($C1921,Log!D:D,Log!Y:Y,,,-1),"")</f>
        <v>LIGAÇÃO SEM SUCESSO</v>
      </c>
      <c r="Q1921" s="130"/>
      <c r="R1921" s="131">
        <f>IFERROR(IF(Tabela1[[#This Row],[Nome fantasia]]="","",_xlfn.XLOOKUP($C1921,Log!D:D,Log!X:X,,,-1)),"")</f>
        <v>46000</v>
      </c>
    </row>
    <row r="1922" spans="3:18" hidden="1" x14ac:dyDescent="0.2">
      <c r="C1922" s="30" t="s">
        <v>3878</v>
      </c>
      <c r="D1922" s="110" t="s">
        <v>4170</v>
      </c>
      <c r="E1922" s="33" t="s">
        <v>17</v>
      </c>
      <c r="F1922" s="38"/>
      <c r="G1922" s="38"/>
      <c r="H1922" s="31"/>
      <c r="I1922" s="32"/>
      <c r="J1922" s="32"/>
      <c r="K1922" s="45" t="s">
        <v>888</v>
      </c>
      <c r="L1922" s="129"/>
      <c r="M1922" s="33" t="str">
        <f t="shared" si="29"/>
        <v/>
      </c>
      <c r="N1922" s="34" t="str">
        <f>IFERROR(IF(Tabela1[[#This Row],[Nome fantasia]]="","",_xlfn.XLOOKUP($C1922,Log!D:D,Log!B:B,,,-1)),"")</f>
        <v/>
      </c>
      <c r="O1922" s="35" t="str">
        <f>IFERROR(_xlfn.XLOOKUP($C1922,Log!D:D,Log!W:W,,,-1),"")</f>
        <v/>
      </c>
      <c r="P1922" s="35" t="str">
        <f>IFERROR(_xlfn.XLOOKUP($C1922,Log!D:D,Log!Y:Y,,,-1),"")</f>
        <v/>
      </c>
      <c r="Q1922" s="130"/>
      <c r="R1922" s="131" t="str">
        <f>IFERROR(IF(Tabela1[[#This Row],[Nome fantasia]]="","",_xlfn.XLOOKUP($C1922,Log!D:D,Log!X:X,,,-1)),"")</f>
        <v/>
      </c>
    </row>
    <row r="1923" spans="3:18" hidden="1" x14ac:dyDescent="0.2">
      <c r="C1923" s="30"/>
      <c r="D1923" s="110"/>
      <c r="E1923" s="33" t="s">
        <v>46</v>
      </c>
      <c r="F1923" s="38"/>
      <c r="G1923" s="38"/>
      <c r="H1923" s="31"/>
      <c r="I1923" s="32"/>
      <c r="J1923" s="32"/>
      <c r="K1923" s="45" t="s">
        <v>888</v>
      </c>
      <c r="L1923" s="129"/>
      <c r="M1923" s="33" t="str">
        <f t="shared" ref="M1923:M1986" si="30">IF(OR(J1923&lt;=0,J1923=""),"","Recompra")</f>
        <v/>
      </c>
      <c r="N1923" s="34" t="str">
        <f>IFERROR(IF(Tabela1[[#This Row],[Nome fantasia]]="","",_xlfn.XLOOKUP($C1923,Log!D:D,Log!B:B,,,-1)),"")</f>
        <v/>
      </c>
      <c r="O1923" s="35" t="str">
        <f>IFERROR(_xlfn.XLOOKUP($C1923,Log!D:D,Log!W:W,,,-1),"")</f>
        <v/>
      </c>
      <c r="P1923" s="35" t="str">
        <f>IFERROR(_xlfn.XLOOKUP($C1923,Log!D:D,Log!Y:Y,,,-1),"")</f>
        <v/>
      </c>
      <c r="Q1923" s="130"/>
      <c r="R1923" s="131" t="str">
        <f>IFERROR(IF(Tabela1[[#This Row],[Nome fantasia]]="","",_xlfn.XLOOKUP($C1923,Log!D:D,Log!X:X,,,-1)),"")</f>
        <v/>
      </c>
    </row>
    <row r="1924" spans="3:18" hidden="1" x14ac:dyDescent="0.2">
      <c r="C1924" s="30" t="s">
        <v>4171</v>
      </c>
      <c r="D1924" s="110" t="s">
        <v>4172</v>
      </c>
      <c r="E1924" s="33" t="s">
        <v>46</v>
      </c>
      <c r="F1924" s="38"/>
      <c r="G1924" s="38"/>
      <c r="H1924" s="31"/>
      <c r="I1924" s="32"/>
      <c r="J1924" s="32"/>
      <c r="K1924" s="45" t="s">
        <v>888</v>
      </c>
      <c r="L1924" s="129"/>
      <c r="M1924" s="33" t="str">
        <f t="shared" si="30"/>
        <v/>
      </c>
      <c r="N1924" s="34" t="str">
        <f>IFERROR(IF(Tabela1[[#This Row],[Nome fantasia]]="","",_xlfn.XLOOKUP($C1924,Log!D:D,Log!B:B,,,-1)),"")</f>
        <v/>
      </c>
      <c r="O1924" s="35" t="str">
        <f>IFERROR(_xlfn.XLOOKUP($C1924,Log!D:D,Log!W:W,,,-1),"")</f>
        <v/>
      </c>
      <c r="P1924" s="35" t="str">
        <f>IFERROR(_xlfn.XLOOKUP($C1924,Log!D:D,Log!Y:Y,,,-1),"")</f>
        <v/>
      </c>
      <c r="Q1924" s="130"/>
      <c r="R1924" s="131" t="str">
        <f>IFERROR(IF(Tabela1[[#This Row],[Nome fantasia]]="","",_xlfn.XLOOKUP($C1924,Log!D:D,Log!X:X,,,-1)),"")</f>
        <v/>
      </c>
    </row>
    <row r="1925" spans="3:18" hidden="1" x14ac:dyDescent="0.2">
      <c r="C1925" s="30" t="s">
        <v>4173</v>
      </c>
      <c r="D1925" s="110" t="s">
        <v>4174</v>
      </c>
      <c r="E1925" s="33" t="s">
        <v>17</v>
      </c>
      <c r="F1925" s="38"/>
      <c r="G1925" s="38"/>
      <c r="H1925" s="31"/>
      <c r="I1925" s="32"/>
      <c r="J1925" s="32"/>
      <c r="K1925" s="45" t="s">
        <v>888</v>
      </c>
      <c r="L1925" s="129"/>
      <c r="M1925" s="33" t="str">
        <f t="shared" si="30"/>
        <v/>
      </c>
      <c r="N1925" s="34" t="str">
        <f>IFERROR(IF(Tabela1[[#This Row],[Nome fantasia]]="","",_xlfn.XLOOKUP($C1925,Log!D:D,Log!B:B,,,-1)),"")</f>
        <v/>
      </c>
      <c r="O1925" s="35" t="str">
        <f>IFERROR(_xlfn.XLOOKUP($C1925,Log!D:D,Log!W:W,,,-1),"")</f>
        <v/>
      </c>
      <c r="P1925" s="35" t="str">
        <f>IFERROR(_xlfn.XLOOKUP($C1925,Log!D:D,Log!Y:Y,,,-1),"")</f>
        <v/>
      </c>
      <c r="Q1925" s="130"/>
      <c r="R1925" s="131" t="str">
        <f>IFERROR(IF(Tabela1[[#This Row],[Nome fantasia]]="","",_xlfn.XLOOKUP($C1925,Log!D:D,Log!X:X,,,-1)),"")</f>
        <v/>
      </c>
    </row>
    <row r="1926" spans="3:18" hidden="1" x14ac:dyDescent="0.2">
      <c r="C1926" s="30" t="s">
        <v>4175</v>
      </c>
      <c r="D1926" s="110" t="s">
        <v>4176</v>
      </c>
      <c r="E1926" s="33" t="s">
        <v>22</v>
      </c>
      <c r="F1926" s="38"/>
      <c r="G1926" s="38"/>
      <c r="H1926" s="31"/>
      <c r="I1926" s="32"/>
      <c r="J1926" s="32"/>
      <c r="K1926" s="45" t="s">
        <v>888</v>
      </c>
      <c r="L1926" s="129"/>
      <c r="M1926" s="33" t="str">
        <f t="shared" si="30"/>
        <v/>
      </c>
      <c r="N1926" s="34" t="str">
        <f>IFERROR(IF(Tabela1[[#This Row],[Nome fantasia]]="","",_xlfn.XLOOKUP($C1926,Log!D:D,Log!B:B,,,-1)),"")</f>
        <v/>
      </c>
      <c r="O1926" s="35" t="str">
        <f>IFERROR(_xlfn.XLOOKUP($C1926,Log!D:D,Log!W:W,,,-1),"")</f>
        <v/>
      </c>
      <c r="P1926" s="35" t="str">
        <f>IFERROR(_xlfn.XLOOKUP($C1926,Log!D:D,Log!Y:Y,,,-1),"")</f>
        <v/>
      </c>
      <c r="Q1926" s="130"/>
      <c r="R1926" s="131" t="str">
        <f>IFERROR(IF(Tabela1[[#This Row],[Nome fantasia]]="","",_xlfn.XLOOKUP($C1926,Log!D:D,Log!X:X,,,-1)),"")</f>
        <v/>
      </c>
    </row>
    <row r="1927" spans="3:18" hidden="1" x14ac:dyDescent="0.2">
      <c r="C1927" s="30" t="s">
        <v>4177</v>
      </c>
      <c r="D1927" s="110" t="s">
        <v>4178</v>
      </c>
      <c r="E1927" s="33" t="s">
        <v>46</v>
      </c>
      <c r="F1927" s="38"/>
      <c r="G1927" s="38"/>
      <c r="H1927" s="31"/>
      <c r="I1927" s="32"/>
      <c r="J1927" s="32"/>
      <c r="K1927" s="45" t="s">
        <v>888</v>
      </c>
      <c r="L1927" s="129"/>
      <c r="M1927" s="33" t="str">
        <f t="shared" si="30"/>
        <v/>
      </c>
      <c r="N1927" s="34" t="str">
        <f>IFERROR(IF(Tabela1[[#This Row],[Nome fantasia]]="","",_xlfn.XLOOKUP($C1927,Log!D:D,Log!B:B,,,-1)),"")</f>
        <v/>
      </c>
      <c r="O1927" s="35" t="str">
        <f>IFERROR(_xlfn.XLOOKUP($C1927,Log!D:D,Log!W:W,,,-1),"")</f>
        <v/>
      </c>
      <c r="P1927" s="35" t="str">
        <f>IFERROR(_xlfn.XLOOKUP($C1927,Log!D:D,Log!Y:Y,,,-1),"")</f>
        <v/>
      </c>
      <c r="Q1927" s="130"/>
      <c r="R1927" s="131" t="str">
        <f>IFERROR(IF(Tabela1[[#This Row],[Nome fantasia]]="","",_xlfn.XLOOKUP($C1927,Log!D:D,Log!X:X,,,-1)),"")</f>
        <v/>
      </c>
    </row>
    <row r="1928" spans="3:18" hidden="1" x14ac:dyDescent="0.2">
      <c r="C1928" s="30" t="s">
        <v>4179</v>
      </c>
      <c r="D1928" s="110" t="s">
        <v>4180</v>
      </c>
      <c r="E1928" s="33" t="s">
        <v>22</v>
      </c>
      <c r="F1928" s="38"/>
      <c r="G1928" s="38"/>
      <c r="H1928" s="31"/>
      <c r="I1928" s="32"/>
      <c r="J1928" s="32"/>
      <c r="K1928" s="45" t="s">
        <v>888</v>
      </c>
      <c r="L1928" s="129"/>
      <c r="M1928" s="33" t="str">
        <f t="shared" si="30"/>
        <v/>
      </c>
      <c r="N1928" s="34" t="str">
        <f>IFERROR(IF(Tabela1[[#This Row],[Nome fantasia]]="","",_xlfn.XLOOKUP($C1928,Log!D:D,Log!B:B,,,-1)),"")</f>
        <v/>
      </c>
      <c r="O1928" s="35" t="str">
        <f>IFERROR(_xlfn.XLOOKUP($C1928,Log!D:D,Log!W:W,,,-1),"")</f>
        <v/>
      </c>
      <c r="P1928" s="35" t="str">
        <f>IFERROR(_xlfn.XLOOKUP($C1928,Log!D:D,Log!Y:Y,,,-1),"")</f>
        <v/>
      </c>
      <c r="Q1928" s="130"/>
      <c r="R1928" s="131" t="str">
        <f>IFERROR(IF(Tabela1[[#This Row],[Nome fantasia]]="","",_xlfn.XLOOKUP($C1928,Log!D:D,Log!X:X,,,-1)),"")</f>
        <v/>
      </c>
    </row>
    <row r="1929" spans="3:18" hidden="1" x14ac:dyDescent="0.2">
      <c r="C1929" s="30" t="s">
        <v>4181</v>
      </c>
      <c r="D1929" s="110" t="s">
        <v>4182</v>
      </c>
      <c r="E1929" s="33" t="s">
        <v>22</v>
      </c>
      <c r="F1929" s="38"/>
      <c r="G1929" s="38"/>
      <c r="H1929" s="31"/>
      <c r="I1929" s="32"/>
      <c r="J1929" s="32"/>
      <c r="K1929" s="45" t="s">
        <v>888</v>
      </c>
      <c r="L1929" s="129"/>
      <c r="M1929" s="33" t="str">
        <f t="shared" si="30"/>
        <v/>
      </c>
      <c r="N1929" s="34" t="str">
        <f>IFERROR(IF(Tabela1[[#This Row],[Nome fantasia]]="","",_xlfn.XLOOKUP($C1929,Log!D:D,Log!B:B,,,-1)),"")</f>
        <v/>
      </c>
      <c r="O1929" s="35" t="str">
        <f>IFERROR(_xlfn.XLOOKUP($C1929,Log!D:D,Log!W:W,,,-1),"")</f>
        <v/>
      </c>
      <c r="P1929" s="35" t="str">
        <f>IFERROR(_xlfn.XLOOKUP($C1929,Log!D:D,Log!Y:Y,,,-1),"")</f>
        <v/>
      </c>
      <c r="Q1929" s="130"/>
      <c r="R1929" s="131" t="str">
        <f>IFERROR(IF(Tabela1[[#This Row],[Nome fantasia]]="","",_xlfn.XLOOKUP($C1929,Log!D:D,Log!X:X,,,-1)),"")</f>
        <v/>
      </c>
    </row>
    <row r="1930" spans="3:18" hidden="1" x14ac:dyDescent="0.2">
      <c r="C1930" s="30" t="s">
        <v>1972</v>
      </c>
      <c r="D1930" s="110" t="s">
        <v>4183</v>
      </c>
      <c r="E1930" s="33" t="s">
        <v>46</v>
      </c>
      <c r="F1930" s="38"/>
      <c r="G1930" s="38"/>
      <c r="H1930" s="31"/>
      <c r="I1930" s="32"/>
      <c r="J1930" s="32"/>
      <c r="K1930" s="45" t="s">
        <v>888</v>
      </c>
      <c r="L1930" s="129"/>
      <c r="M1930" s="33" t="str">
        <f t="shared" si="30"/>
        <v/>
      </c>
      <c r="N1930" s="34" t="str">
        <f>IFERROR(IF(Tabela1[[#This Row],[Nome fantasia]]="","",_xlfn.XLOOKUP($C1930,Log!D:D,Log!B:B,,,-1)),"")</f>
        <v/>
      </c>
      <c r="O1930" s="35" t="str">
        <f>IFERROR(_xlfn.XLOOKUP($C1930,Log!D:D,Log!W:W,,,-1),"")</f>
        <v/>
      </c>
      <c r="P1930" s="35" t="str">
        <f>IFERROR(_xlfn.XLOOKUP($C1930,Log!D:D,Log!Y:Y,,,-1),"")</f>
        <v/>
      </c>
      <c r="Q1930" s="130"/>
      <c r="R1930" s="131" t="str">
        <f>IFERROR(IF(Tabela1[[#This Row],[Nome fantasia]]="","",_xlfn.XLOOKUP($C1930,Log!D:D,Log!X:X,,,-1)),"")</f>
        <v/>
      </c>
    </row>
    <row r="1931" spans="3:18" hidden="1" x14ac:dyDescent="0.2">
      <c r="C1931" s="30" t="s">
        <v>4184</v>
      </c>
      <c r="D1931" s="110" t="s">
        <v>1022</v>
      </c>
      <c r="E1931" s="33" t="s">
        <v>17</v>
      </c>
      <c r="F1931" s="38"/>
      <c r="G1931" s="38"/>
      <c r="H1931" s="31"/>
      <c r="I1931" s="32"/>
      <c r="J1931" s="32"/>
      <c r="K1931" s="45" t="s">
        <v>888</v>
      </c>
      <c r="L1931" s="129"/>
      <c r="M1931" s="33" t="str">
        <f t="shared" si="30"/>
        <v/>
      </c>
      <c r="N1931" s="34" t="str">
        <f>IFERROR(IF(Tabela1[[#This Row],[Nome fantasia]]="","",_xlfn.XLOOKUP($C1931,Log!D:D,Log!B:B,,,-1)),"")</f>
        <v/>
      </c>
      <c r="O1931" s="35" t="str">
        <f>IFERROR(_xlfn.XLOOKUP($C1931,Log!D:D,Log!W:W,,,-1),"")</f>
        <v/>
      </c>
      <c r="P1931" s="35" t="str">
        <f>IFERROR(_xlfn.XLOOKUP($C1931,Log!D:D,Log!Y:Y,,,-1),"")</f>
        <v/>
      </c>
      <c r="Q1931" s="130"/>
      <c r="R1931" s="131" t="str">
        <f>IFERROR(IF(Tabela1[[#This Row],[Nome fantasia]]="","",_xlfn.XLOOKUP($C1931,Log!D:D,Log!X:X,,,-1)),"")</f>
        <v/>
      </c>
    </row>
    <row r="1932" spans="3:18" hidden="1" x14ac:dyDescent="0.2">
      <c r="C1932" s="30" t="s">
        <v>4185</v>
      </c>
      <c r="D1932" s="110" t="s">
        <v>4186</v>
      </c>
      <c r="E1932" s="33" t="s">
        <v>22</v>
      </c>
      <c r="F1932" s="38"/>
      <c r="G1932" s="38"/>
      <c r="H1932" s="31"/>
      <c r="I1932" s="32"/>
      <c r="J1932" s="32"/>
      <c r="K1932" s="45" t="s">
        <v>888</v>
      </c>
      <c r="L1932" s="129"/>
      <c r="M1932" s="33" t="str">
        <f t="shared" si="30"/>
        <v/>
      </c>
      <c r="N1932" s="34" t="str">
        <f>IFERROR(IF(Tabela1[[#This Row],[Nome fantasia]]="","",_xlfn.XLOOKUP($C1932,Log!D:D,Log!B:B,,,-1)),"")</f>
        <v/>
      </c>
      <c r="O1932" s="35" t="str">
        <f>IFERROR(_xlfn.XLOOKUP($C1932,Log!D:D,Log!W:W,,,-1),"")</f>
        <v/>
      </c>
      <c r="P1932" s="35" t="str">
        <f>IFERROR(_xlfn.XLOOKUP($C1932,Log!D:D,Log!Y:Y,,,-1),"")</f>
        <v/>
      </c>
      <c r="Q1932" s="130"/>
      <c r="R1932" s="131" t="str">
        <f>IFERROR(IF(Tabela1[[#This Row],[Nome fantasia]]="","",_xlfn.XLOOKUP($C1932,Log!D:D,Log!X:X,,,-1)),"")</f>
        <v/>
      </c>
    </row>
    <row r="1933" spans="3:18" hidden="1" x14ac:dyDescent="0.2">
      <c r="C1933" s="30" t="s">
        <v>4187</v>
      </c>
      <c r="D1933" s="110" t="s">
        <v>4188</v>
      </c>
      <c r="E1933" s="33" t="s">
        <v>46</v>
      </c>
      <c r="F1933" s="38"/>
      <c r="G1933" s="38"/>
      <c r="H1933" s="31"/>
      <c r="I1933" s="32"/>
      <c r="J1933" s="32"/>
      <c r="K1933" s="45" t="s">
        <v>888</v>
      </c>
      <c r="L1933" s="129"/>
      <c r="M1933" s="33" t="str">
        <f t="shared" si="30"/>
        <v/>
      </c>
      <c r="N1933" s="34" t="str">
        <f>IFERROR(IF(Tabela1[[#This Row],[Nome fantasia]]="","",_xlfn.XLOOKUP($C1933,Log!D:D,Log!B:B,,,-1)),"")</f>
        <v/>
      </c>
      <c r="O1933" s="35" t="str">
        <f>IFERROR(_xlfn.XLOOKUP($C1933,Log!D:D,Log!W:W,,,-1),"")</f>
        <v/>
      </c>
      <c r="P1933" s="35" t="str">
        <f>IFERROR(_xlfn.XLOOKUP($C1933,Log!D:D,Log!Y:Y,,,-1),"")</f>
        <v/>
      </c>
      <c r="Q1933" s="130"/>
      <c r="R1933" s="131" t="str">
        <f>IFERROR(IF(Tabela1[[#This Row],[Nome fantasia]]="","",_xlfn.XLOOKUP($C1933,Log!D:D,Log!X:X,,,-1)),"")</f>
        <v/>
      </c>
    </row>
    <row r="1934" spans="3:18" hidden="1" x14ac:dyDescent="0.2">
      <c r="C1934" s="30" t="s">
        <v>4189</v>
      </c>
      <c r="D1934" s="110" t="s">
        <v>4190</v>
      </c>
      <c r="E1934" s="33" t="s">
        <v>46</v>
      </c>
      <c r="F1934" s="38"/>
      <c r="G1934" s="38"/>
      <c r="H1934" s="31"/>
      <c r="I1934" s="32"/>
      <c r="J1934" s="32"/>
      <c r="K1934" s="45" t="s">
        <v>888</v>
      </c>
      <c r="L1934" s="129"/>
      <c r="M1934" s="33" t="str">
        <f t="shared" si="30"/>
        <v/>
      </c>
      <c r="N1934" s="34" t="str">
        <f>IFERROR(IF(Tabela1[[#This Row],[Nome fantasia]]="","",_xlfn.XLOOKUP($C1934,Log!D:D,Log!B:B,,,-1)),"")</f>
        <v/>
      </c>
      <c r="O1934" s="35" t="str">
        <f>IFERROR(_xlfn.XLOOKUP($C1934,Log!D:D,Log!W:W,,,-1),"")</f>
        <v/>
      </c>
      <c r="P1934" s="35" t="str">
        <f>IFERROR(_xlfn.XLOOKUP($C1934,Log!D:D,Log!Y:Y,,,-1),"")</f>
        <v/>
      </c>
      <c r="Q1934" s="130"/>
      <c r="R1934" s="131" t="str">
        <f>IFERROR(IF(Tabela1[[#This Row],[Nome fantasia]]="","",_xlfn.XLOOKUP($C1934,Log!D:D,Log!X:X,,,-1)),"")</f>
        <v/>
      </c>
    </row>
    <row r="1935" spans="3:18" hidden="1" x14ac:dyDescent="0.2">
      <c r="C1935" s="30" t="s">
        <v>4191</v>
      </c>
      <c r="D1935" s="110" t="s">
        <v>4192</v>
      </c>
      <c r="E1935" s="33" t="s">
        <v>46</v>
      </c>
      <c r="F1935" s="38"/>
      <c r="G1935" s="38"/>
      <c r="H1935" s="31"/>
      <c r="I1935" s="32"/>
      <c r="J1935" s="32"/>
      <c r="K1935" s="45" t="s">
        <v>888</v>
      </c>
      <c r="L1935" s="129"/>
      <c r="M1935" s="33" t="str">
        <f t="shared" si="30"/>
        <v/>
      </c>
      <c r="N1935" s="34" t="str">
        <f>IFERROR(IF(Tabela1[[#This Row],[Nome fantasia]]="","",_xlfn.XLOOKUP($C1935,Log!D:D,Log!B:B,,,-1)),"")</f>
        <v/>
      </c>
      <c r="O1935" s="35" t="str">
        <f>IFERROR(_xlfn.XLOOKUP($C1935,Log!D:D,Log!W:W,,,-1),"")</f>
        <v/>
      </c>
      <c r="P1935" s="35" t="str">
        <f>IFERROR(_xlfn.XLOOKUP($C1935,Log!D:D,Log!Y:Y,,,-1),"")</f>
        <v/>
      </c>
      <c r="Q1935" s="130"/>
      <c r="R1935" s="131" t="str">
        <f>IFERROR(IF(Tabela1[[#This Row],[Nome fantasia]]="","",_xlfn.XLOOKUP($C1935,Log!D:D,Log!X:X,,,-1)),"")</f>
        <v/>
      </c>
    </row>
    <row r="1936" spans="3:18" hidden="1" x14ac:dyDescent="0.2">
      <c r="C1936" s="30" t="s">
        <v>4193</v>
      </c>
      <c r="D1936" s="110" t="s">
        <v>4194</v>
      </c>
      <c r="E1936" s="33" t="s">
        <v>17</v>
      </c>
      <c r="F1936" s="38"/>
      <c r="G1936" s="38"/>
      <c r="H1936" s="31"/>
      <c r="I1936" s="32"/>
      <c r="J1936" s="32"/>
      <c r="K1936" s="45" t="s">
        <v>888</v>
      </c>
      <c r="L1936" s="129"/>
      <c r="M1936" s="33" t="str">
        <f t="shared" si="30"/>
        <v/>
      </c>
      <c r="N1936" s="34" t="str">
        <f>IFERROR(IF(Tabela1[[#This Row],[Nome fantasia]]="","",_xlfn.XLOOKUP($C1936,Log!D:D,Log!B:B,,,-1)),"")</f>
        <v/>
      </c>
      <c r="O1936" s="35" t="str">
        <f>IFERROR(_xlfn.XLOOKUP($C1936,Log!D:D,Log!W:W,,,-1),"")</f>
        <v/>
      </c>
      <c r="P1936" s="35" t="str">
        <f>IFERROR(_xlfn.XLOOKUP($C1936,Log!D:D,Log!Y:Y,,,-1),"")</f>
        <v/>
      </c>
      <c r="Q1936" s="130"/>
      <c r="R1936" s="131" t="str">
        <f>IFERROR(IF(Tabela1[[#This Row],[Nome fantasia]]="","",_xlfn.XLOOKUP($C1936,Log!D:D,Log!X:X,,,-1)),"")</f>
        <v/>
      </c>
    </row>
    <row r="1937" spans="3:18" hidden="1" x14ac:dyDescent="0.2">
      <c r="C1937" s="30" t="s">
        <v>4195</v>
      </c>
      <c r="D1937" s="110" t="s">
        <v>4196</v>
      </c>
      <c r="E1937" s="33" t="s">
        <v>17</v>
      </c>
      <c r="F1937" s="38"/>
      <c r="G1937" s="38"/>
      <c r="H1937" s="31"/>
      <c r="I1937" s="32"/>
      <c r="J1937" s="32"/>
      <c r="K1937" s="45" t="s">
        <v>888</v>
      </c>
      <c r="L1937" s="129"/>
      <c r="M1937" s="33" t="str">
        <f t="shared" si="30"/>
        <v/>
      </c>
      <c r="N1937" s="34" t="str">
        <f>IFERROR(IF(Tabela1[[#This Row],[Nome fantasia]]="","",_xlfn.XLOOKUP($C1937,Log!D:D,Log!B:B,,,-1)),"")</f>
        <v/>
      </c>
      <c r="O1937" s="35" t="str">
        <f>IFERROR(_xlfn.XLOOKUP($C1937,Log!D:D,Log!W:W,,,-1),"")</f>
        <v/>
      </c>
      <c r="P1937" s="35" t="str">
        <f>IFERROR(_xlfn.XLOOKUP($C1937,Log!D:D,Log!Y:Y,,,-1),"")</f>
        <v/>
      </c>
      <c r="Q1937" s="130"/>
      <c r="R1937" s="131" t="str">
        <f>IFERROR(IF(Tabela1[[#This Row],[Nome fantasia]]="","",_xlfn.XLOOKUP($C1937,Log!D:D,Log!X:X,,,-1)),"")</f>
        <v/>
      </c>
    </row>
    <row r="1938" spans="3:18" hidden="1" x14ac:dyDescent="0.2">
      <c r="C1938" s="30" t="s">
        <v>4197</v>
      </c>
      <c r="D1938" s="110" t="s">
        <v>4198</v>
      </c>
      <c r="E1938" s="33" t="s">
        <v>22</v>
      </c>
      <c r="F1938" s="38"/>
      <c r="G1938" s="38"/>
      <c r="H1938" s="31"/>
      <c r="I1938" s="32"/>
      <c r="J1938" s="32"/>
      <c r="K1938" s="45" t="s">
        <v>888</v>
      </c>
      <c r="L1938" s="129"/>
      <c r="M1938" s="33" t="str">
        <f t="shared" si="30"/>
        <v/>
      </c>
      <c r="N1938" s="34" t="str">
        <f>IFERROR(IF(Tabela1[[#This Row],[Nome fantasia]]="","",_xlfn.XLOOKUP($C1938,Log!D:D,Log!B:B,,,-1)),"")</f>
        <v/>
      </c>
      <c r="O1938" s="35" t="str">
        <f>IFERROR(_xlfn.XLOOKUP($C1938,Log!D:D,Log!W:W,,,-1),"")</f>
        <v/>
      </c>
      <c r="P1938" s="35" t="str">
        <f>IFERROR(_xlfn.XLOOKUP($C1938,Log!D:D,Log!Y:Y,,,-1),"")</f>
        <v/>
      </c>
      <c r="Q1938" s="130"/>
      <c r="R1938" s="131" t="str">
        <f>IFERROR(IF(Tabela1[[#This Row],[Nome fantasia]]="","",_xlfn.XLOOKUP($C1938,Log!D:D,Log!X:X,,,-1)),"")</f>
        <v/>
      </c>
    </row>
    <row r="1939" spans="3:18" hidden="1" x14ac:dyDescent="0.2">
      <c r="C1939" s="30" t="s">
        <v>4199</v>
      </c>
      <c r="D1939" s="110" t="s">
        <v>4200</v>
      </c>
      <c r="E1939" s="33" t="s">
        <v>46</v>
      </c>
      <c r="F1939" s="38"/>
      <c r="G1939" s="38"/>
      <c r="H1939" s="31"/>
      <c r="I1939" s="32"/>
      <c r="J1939" s="32"/>
      <c r="K1939" s="45" t="s">
        <v>888</v>
      </c>
      <c r="L1939" s="129"/>
      <c r="M1939" s="33" t="str">
        <f t="shared" si="30"/>
        <v/>
      </c>
      <c r="N1939" s="34" t="str">
        <f>IFERROR(IF(Tabela1[[#This Row],[Nome fantasia]]="","",_xlfn.XLOOKUP($C1939,Log!D:D,Log!B:B,,,-1)),"")</f>
        <v/>
      </c>
      <c r="O1939" s="35" t="str">
        <f>IFERROR(_xlfn.XLOOKUP($C1939,Log!D:D,Log!W:W,,,-1),"")</f>
        <v/>
      </c>
      <c r="P1939" s="35" t="str">
        <f>IFERROR(_xlfn.XLOOKUP($C1939,Log!D:D,Log!Y:Y,,,-1),"")</f>
        <v/>
      </c>
      <c r="Q1939" s="130"/>
      <c r="R1939" s="131" t="str">
        <f>IFERROR(IF(Tabela1[[#This Row],[Nome fantasia]]="","",_xlfn.XLOOKUP($C1939,Log!D:D,Log!X:X,,,-1)),"")</f>
        <v/>
      </c>
    </row>
    <row r="1940" spans="3:18" hidden="1" x14ac:dyDescent="0.2">
      <c r="C1940" s="30" t="s">
        <v>4201</v>
      </c>
      <c r="D1940" s="110" t="s">
        <v>4202</v>
      </c>
      <c r="E1940" s="33" t="s">
        <v>46</v>
      </c>
      <c r="F1940" s="38"/>
      <c r="G1940" s="38"/>
      <c r="H1940" s="31"/>
      <c r="I1940" s="32"/>
      <c r="J1940" s="32"/>
      <c r="K1940" s="45" t="s">
        <v>888</v>
      </c>
      <c r="L1940" s="129"/>
      <c r="M1940" s="33" t="str">
        <f t="shared" si="30"/>
        <v/>
      </c>
      <c r="N1940" s="34" t="str">
        <f>IFERROR(IF(Tabela1[[#This Row],[Nome fantasia]]="","",_xlfn.XLOOKUP($C1940,Log!D:D,Log!B:B,,,-1)),"")</f>
        <v/>
      </c>
      <c r="O1940" s="35" t="str">
        <f>IFERROR(_xlfn.XLOOKUP($C1940,Log!D:D,Log!W:W,,,-1),"")</f>
        <v/>
      </c>
      <c r="P1940" s="35" t="str">
        <f>IFERROR(_xlfn.XLOOKUP($C1940,Log!D:D,Log!Y:Y,,,-1),"")</f>
        <v/>
      </c>
      <c r="Q1940" s="130"/>
      <c r="R1940" s="131" t="str">
        <f>IFERROR(IF(Tabela1[[#This Row],[Nome fantasia]]="","",_xlfn.XLOOKUP($C1940,Log!D:D,Log!X:X,,,-1)),"")</f>
        <v/>
      </c>
    </row>
    <row r="1941" spans="3:18" hidden="1" x14ac:dyDescent="0.2">
      <c r="C1941" s="30" t="s">
        <v>2423</v>
      </c>
      <c r="D1941" s="110" t="s">
        <v>4203</v>
      </c>
      <c r="E1941" s="33" t="s">
        <v>46</v>
      </c>
      <c r="F1941" s="38"/>
      <c r="G1941" s="38"/>
      <c r="H1941" s="31"/>
      <c r="I1941" s="32"/>
      <c r="J1941" s="32"/>
      <c r="K1941" s="45" t="s">
        <v>888</v>
      </c>
      <c r="L1941" s="129"/>
      <c r="M1941" s="33" t="str">
        <f t="shared" si="30"/>
        <v/>
      </c>
      <c r="N1941" s="34" t="str">
        <f>IFERROR(IF(Tabela1[[#This Row],[Nome fantasia]]="","",_xlfn.XLOOKUP($C1941,Log!D:D,Log!B:B,,,-1)),"")</f>
        <v/>
      </c>
      <c r="O1941" s="35" t="str">
        <f>IFERROR(_xlfn.XLOOKUP($C1941,Log!D:D,Log!W:W,,,-1),"")</f>
        <v/>
      </c>
      <c r="P1941" s="35" t="str">
        <f>IFERROR(_xlfn.XLOOKUP($C1941,Log!D:D,Log!Y:Y,,,-1),"")</f>
        <v/>
      </c>
      <c r="Q1941" s="130"/>
      <c r="R1941" s="131" t="str">
        <f>IFERROR(IF(Tabela1[[#This Row],[Nome fantasia]]="","",_xlfn.XLOOKUP($C1941,Log!D:D,Log!X:X,,,-1)),"")</f>
        <v/>
      </c>
    </row>
    <row r="1942" spans="3:18" hidden="1" x14ac:dyDescent="0.2">
      <c r="C1942" s="30" t="s">
        <v>4204</v>
      </c>
      <c r="D1942" s="110" t="s">
        <v>4205</v>
      </c>
      <c r="E1942" s="33" t="s">
        <v>46</v>
      </c>
      <c r="F1942" s="38"/>
      <c r="G1942" s="38"/>
      <c r="H1942" s="31"/>
      <c r="I1942" s="32"/>
      <c r="J1942" s="32"/>
      <c r="K1942" s="45" t="s">
        <v>888</v>
      </c>
      <c r="L1942" s="129"/>
      <c r="M1942" s="33" t="str">
        <f t="shared" si="30"/>
        <v/>
      </c>
      <c r="N1942" s="34" t="str">
        <f>IFERROR(IF(Tabela1[[#This Row],[Nome fantasia]]="","",_xlfn.XLOOKUP($C1942,Log!D:D,Log!B:B,,,-1)),"")</f>
        <v/>
      </c>
      <c r="O1942" s="35" t="str">
        <f>IFERROR(_xlfn.XLOOKUP($C1942,Log!D:D,Log!W:W,,,-1),"")</f>
        <v/>
      </c>
      <c r="P1942" s="35" t="str">
        <f>IFERROR(_xlfn.XLOOKUP($C1942,Log!D:D,Log!Y:Y,,,-1),"")</f>
        <v/>
      </c>
      <c r="Q1942" s="130"/>
      <c r="R1942" s="131" t="str">
        <f>IFERROR(IF(Tabela1[[#This Row],[Nome fantasia]]="","",_xlfn.XLOOKUP($C1942,Log!D:D,Log!X:X,,,-1)),"")</f>
        <v/>
      </c>
    </row>
    <row r="1943" spans="3:18" hidden="1" x14ac:dyDescent="0.2">
      <c r="C1943" s="30" t="s">
        <v>3878</v>
      </c>
      <c r="D1943" s="110" t="s">
        <v>4206</v>
      </c>
      <c r="E1943" s="33" t="s">
        <v>17</v>
      </c>
      <c r="F1943" s="38"/>
      <c r="G1943" s="38"/>
      <c r="H1943" s="31"/>
      <c r="I1943" s="32"/>
      <c r="J1943" s="32"/>
      <c r="K1943" s="45" t="s">
        <v>888</v>
      </c>
      <c r="L1943" s="129"/>
      <c r="M1943" s="33" t="str">
        <f t="shared" si="30"/>
        <v/>
      </c>
      <c r="N1943" s="34" t="str">
        <f>IFERROR(IF(Tabela1[[#This Row],[Nome fantasia]]="","",_xlfn.XLOOKUP($C1943,Log!D:D,Log!B:B,,,-1)),"")</f>
        <v/>
      </c>
      <c r="O1943" s="35" t="str">
        <f>IFERROR(_xlfn.XLOOKUP($C1943,Log!D:D,Log!W:W,,,-1),"")</f>
        <v/>
      </c>
      <c r="P1943" s="35" t="str">
        <f>IFERROR(_xlfn.XLOOKUP($C1943,Log!D:D,Log!Y:Y,,,-1),"")</f>
        <v/>
      </c>
      <c r="Q1943" s="130"/>
      <c r="R1943" s="131" t="str">
        <f>IFERROR(IF(Tabela1[[#This Row],[Nome fantasia]]="","",_xlfn.XLOOKUP($C1943,Log!D:D,Log!X:X,,,-1)),"")</f>
        <v/>
      </c>
    </row>
    <row r="1944" spans="3:18" hidden="1" x14ac:dyDescent="0.2">
      <c r="C1944" s="30" t="s">
        <v>4207</v>
      </c>
      <c r="D1944" s="110" t="s">
        <v>4208</v>
      </c>
      <c r="E1944" s="33" t="s">
        <v>22</v>
      </c>
      <c r="F1944" s="38"/>
      <c r="G1944" s="38"/>
      <c r="H1944" s="31"/>
      <c r="I1944" s="32"/>
      <c r="J1944" s="32"/>
      <c r="K1944" s="45" t="s">
        <v>888</v>
      </c>
      <c r="L1944" s="129"/>
      <c r="M1944" s="33" t="str">
        <f t="shared" si="30"/>
        <v/>
      </c>
      <c r="N1944" s="34" t="str">
        <f>IFERROR(IF(Tabela1[[#This Row],[Nome fantasia]]="","",_xlfn.XLOOKUP($C1944,Log!D:D,Log!B:B,,,-1)),"")</f>
        <v/>
      </c>
      <c r="O1944" s="35" t="str">
        <f>IFERROR(_xlfn.XLOOKUP($C1944,Log!D:D,Log!W:W,,,-1),"")</f>
        <v/>
      </c>
      <c r="P1944" s="35" t="str">
        <f>IFERROR(_xlfn.XLOOKUP($C1944,Log!D:D,Log!Y:Y,,,-1),"")</f>
        <v/>
      </c>
      <c r="Q1944" s="130"/>
      <c r="R1944" s="131" t="str">
        <f>IFERROR(IF(Tabela1[[#This Row],[Nome fantasia]]="","",_xlfn.XLOOKUP($C1944,Log!D:D,Log!X:X,,,-1)),"")</f>
        <v/>
      </c>
    </row>
    <row r="1945" spans="3:18" hidden="1" x14ac:dyDescent="0.2">
      <c r="C1945" s="30" t="s">
        <v>4209</v>
      </c>
      <c r="D1945" s="110" t="s">
        <v>4210</v>
      </c>
      <c r="E1945" s="33" t="s">
        <v>46</v>
      </c>
      <c r="F1945" s="38"/>
      <c r="G1945" s="38"/>
      <c r="H1945" s="31"/>
      <c r="I1945" s="32"/>
      <c r="J1945" s="32"/>
      <c r="K1945" s="45" t="s">
        <v>888</v>
      </c>
      <c r="L1945" s="129"/>
      <c r="M1945" s="33" t="str">
        <f t="shared" si="30"/>
        <v/>
      </c>
      <c r="N1945" s="34" t="str">
        <f>IFERROR(IF(Tabela1[[#This Row],[Nome fantasia]]="","",_xlfn.XLOOKUP($C1945,Log!D:D,Log!B:B,,,-1)),"")</f>
        <v/>
      </c>
      <c r="O1945" s="35" t="str">
        <f>IFERROR(_xlfn.XLOOKUP($C1945,Log!D:D,Log!W:W,,,-1),"")</f>
        <v/>
      </c>
      <c r="P1945" s="35" t="str">
        <f>IFERROR(_xlfn.XLOOKUP($C1945,Log!D:D,Log!Y:Y,,,-1),"")</f>
        <v/>
      </c>
      <c r="Q1945" s="130"/>
      <c r="R1945" s="131" t="str">
        <f>IFERROR(IF(Tabela1[[#This Row],[Nome fantasia]]="","",_xlfn.XLOOKUP($C1945,Log!D:D,Log!X:X,,,-1)),"")</f>
        <v/>
      </c>
    </row>
    <row r="1946" spans="3:18" hidden="1" x14ac:dyDescent="0.2">
      <c r="C1946" s="30" t="s">
        <v>4211</v>
      </c>
      <c r="D1946" s="110" t="s">
        <v>4212</v>
      </c>
      <c r="E1946" s="33" t="s">
        <v>22</v>
      </c>
      <c r="F1946" s="38"/>
      <c r="G1946" s="38"/>
      <c r="H1946" s="31"/>
      <c r="I1946" s="32"/>
      <c r="J1946" s="32"/>
      <c r="K1946" s="45" t="s">
        <v>888</v>
      </c>
      <c r="L1946" s="129"/>
      <c r="M1946" s="33" t="str">
        <f t="shared" si="30"/>
        <v/>
      </c>
      <c r="N1946" s="34" t="str">
        <f>IFERROR(IF(Tabela1[[#This Row],[Nome fantasia]]="","",_xlfn.XLOOKUP($C1946,Log!D:D,Log!B:B,,,-1)),"")</f>
        <v/>
      </c>
      <c r="O1946" s="35" t="str">
        <f>IFERROR(_xlfn.XLOOKUP($C1946,Log!D:D,Log!W:W,,,-1),"")</f>
        <v/>
      </c>
      <c r="P1946" s="35" t="str">
        <f>IFERROR(_xlfn.XLOOKUP($C1946,Log!D:D,Log!Y:Y,,,-1),"")</f>
        <v/>
      </c>
      <c r="Q1946" s="130"/>
      <c r="R1946" s="131" t="str">
        <f>IFERROR(IF(Tabela1[[#This Row],[Nome fantasia]]="","",_xlfn.XLOOKUP($C1946,Log!D:D,Log!X:X,,,-1)),"")</f>
        <v/>
      </c>
    </row>
    <row r="1947" spans="3:18" hidden="1" x14ac:dyDescent="0.2">
      <c r="C1947" s="30" t="s">
        <v>4213</v>
      </c>
      <c r="D1947" s="110" t="s">
        <v>4214</v>
      </c>
      <c r="E1947" s="33" t="s">
        <v>22</v>
      </c>
      <c r="F1947" s="38"/>
      <c r="G1947" s="38"/>
      <c r="H1947" s="31"/>
      <c r="I1947" s="32"/>
      <c r="J1947" s="32"/>
      <c r="K1947" s="45" t="s">
        <v>888</v>
      </c>
      <c r="L1947" s="129"/>
      <c r="M1947" s="33" t="str">
        <f t="shared" si="30"/>
        <v/>
      </c>
      <c r="N1947" s="34" t="str">
        <f>IFERROR(IF(Tabela1[[#This Row],[Nome fantasia]]="","",_xlfn.XLOOKUP($C1947,Log!D:D,Log!B:B,,,-1)),"")</f>
        <v/>
      </c>
      <c r="O1947" s="35" t="str">
        <f>IFERROR(_xlfn.XLOOKUP($C1947,Log!D:D,Log!W:W,,,-1),"")</f>
        <v/>
      </c>
      <c r="P1947" s="35" t="str">
        <f>IFERROR(_xlfn.XLOOKUP($C1947,Log!D:D,Log!Y:Y,,,-1),"")</f>
        <v/>
      </c>
      <c r="Q1947" s="130"/>
      <c r="R1947" s="131" t="str">
        <f>IFERROR(IF(Tabela1[[#This Row],[Nome fantasia]]="","",_xlfn.XLOOKUP($C1947,Log!D:D,Log!X:X,,,-1)),"")</f>
        <v/>
      </c>
    </row>
    <row r="1948" spans="3:18" hidden="1" x14ac:dyDescent="0.2">
      <c r="C1948" s="30" t="s">
        <v>4215</v>
      </c>
      <c r="D1948" s="110" t="s">
        <v>4216</v>
      </c>
      <c r="E1948" s="33" t="s">
        <v>22</v>
      </c>
      <c r="F1948" s="38"/>
      <c r="G1948" s="38"/>
      <c r="H1948" s="31"/>
      <c r="I1948" s="32"/>
      <c r="J1948" s="32"/>
      <c r="K1948" s="45" t="s">
        <v>888</v>
      </c>
      <c r="L1948" s="129"/>
      <c r="M1948" s="33" t="str">
        <f t="shared" si="30"/>
        <v/>
      </c>
      <c r="N1948" s="34" t="str">
        <f>IFERROR(IF(Tabela1[[#This Row],[Nome fantasia]]="","",_xlfn.XLOOKUP($C1948,Log!D:D,Log!B:B,,,-1)),"")</f>
        <v/>
      </c>
      <c r="O1948" s="35" t="str">
        <f>IFERROR(_xlfn.XLOOKUP($C1948,Log!D:D,Log!W:W,,,-1),"")</f>
        <v/>
      </c>
      <c r="P1948" s="35" t="str">
        <f>IFERROR(_xlfn.XLOOKUP($C1948,Log!D:D,Log!Y:Y,,,-1),"")</f>
        <v/>
      </c>
      <c r="Q1948" s="130"/>
      <c r="R1948" s="131" t="str">
        <f>IFERROR(IF(Tabela1[[#This Row],[Nome fantasia]]="","",_xlfn.XLOOKUP($C1948,Log!D:D,Log!X:X,,,-1)),"")</f>
        <v/>
      </c>
    </row>
    <row r="1949" spans="3:18" hidden="1" x14ac:dyDescent="0.2">
      <c r="C1949" s="30" t="s">
        <v>4217</v>
      </c>
      <c r="D1949" s="110" t="s">
        <v>4218</v>
      </c>
      <c r="E1949" s="33" t="s">
        <v>22</v>
      </c>
      <c r="F1949" s="38"/>
      <c r="G1949" s="38"/>
      <c r="H1949" s="31"/>
      <c r="I1949" s="32"/>
      <c r="J1949" s="32"/>
      <c r="K1949" s="45" t="s">
        <v>888</v>
      </c>
      <c r="L1949" s="129"/>
      <c r="M1949" s="33" t="str">
        <f t="shared" si="30"/>
        <v/>
      </c>
      <c r="N1949" s="34" t="str">
        <f>IFERROR(IF(Tabela1[[#This Row],[Nome fantasia]]="","",_xlfn.XLOOKUP($C1949,Log!D:D,Log!B:B,,,-1)),"")</f>
        <v/>
      </c>
      <c r="O1949" s="35" t="str">
        <f>IFERROR(_xlfn.XLOOKUP($C1949,Log!D:D,Log!W:W,,,-1),"")</f>
        <v/>
      </c>
      <c r="P1949" s="35" t="str">
        <f>IFERROR(_xlfn.XLOOKUP($C1949,Log!D:D,Log!Y:Y,,,-1),"")</f>
        <v/>
      </c>
      <c r="Q1949" s="130"/>
      <c r="R1949" s="131" t="str">
        <f>IFERROR(IF(Tabela1[[#This Row],[Nome fantasia]]="","",_xlfn.XLOOKUP($C1949,Log!D:D,Log!X:X,,,-1)),"")</f>
        <v/>
      </c>
    </row>
    <row r="1950" spans="3:18" hidden="1" x14ac:dyDescent="0.2">
      <c r="C1950" s="30" t="s">
        <v>4219</v>
      </c>
      <c r="D1950" s="110" t="s">
        <v>4220</v>
      </c>
      <c r="E1950" s="33" t="s">
        <v>46</v>
      </c>
      <c r="F1950" s="38"/>
      <c r="G1950" s="38"/>
      <c r="H1950" s="31"/>
      <c r="I1950" s="32"/>
      <c r="J1950" s="32"/>
      <c r="K1950" s="45" t="s">
        <v>888</v>
      </c>
      <c r="L1950" s="129"/>
      <c r="M1950" s="33" t="str">
        <f t="shared" si="30"/>
        <v/>
      </c>
      <c r="N1950" s="34" t="str">
        <f>IFERROR(IF(Tabela1[[#This Row],[Nome fantasia]]="","",_xlfn.XLOOKUP($C1950,Log!D:D,Log!B:B,,,-1)),"")</f>
        <v/>
      </c>
      <c r="O1950" s="35" t="str">
        <f>IFERROR(_xlfn.XLOOKUP($C1950,Log!D:D,Log!W:W,,,-1),"")</f>
        <v/>
      </c>
      <c r="P1950" s="35" t="str">
        <f>IFERROR(_xlfn.XLOOKUP($C1950,Log!D:D,Log!Y:Y,,,-1),"")</f>
        <v/>
      </c>
      <c r="Q1950" s="130"/>
      <c r="R1950" s="131" t="str">
        <f>IFERROR(IF(Tabela1[[#This Row],[Nome fantasia]]="","",_xlfn.XLOOKUP($C1950,Log!D:D,Log!X:X,,,-1)),"")</f>
        <v/>
      </c>
    </row>
    <row r="1951" spans="3:18" hidden="1" x14ac:dyDescent="0.2">
      <c r="C1951" s="30" t="s">
        <v>4221</v>
      </c>
      <c r="D1951" s="110" t="s">
        <v>4222</v>
      </c>
      <c r="E1951" s="33" t="s">
        <v>46</v>
      </c>
      <c r="F1951" s="38"/>
      <c r="G1951" s="38"/>
      <c r="H1951" s="31"/>
      <c r="I1951" s="32"/>
      <c r="J1951" s="32"/>
      <c r="K1951" s="45" t="s">
        <v>888</v>
      </c>
      <c r="L1951" s="129"/>
      <c r="M1951" s="33" t="str">
        <f t="shared" si="30"/>
        <v/>
      </c>
      <c r="N1951" s="34" t="str">
        <f>IFERROR(IF(Tabela1[[#This Row],[Nome fantasia]]="","",_xlfn.XLOOKUP($C1951,Log!D:D,Log!B:B,,,-1)),"")</f>
        <v/>
      </c>
      <c r="O1951" s="35" t="str">
        <f>IFERROR(_xlfn.XLOOKUP($C1951,Log!D:D,Log!W:W,,,-1),"")</f>
        <v/>
      </c>
      <c r="P1951" s="35" t="str">
        <f>IFERROR(_xlfn.XLOOKUP($C1951,Log!D:D,Log!Y:Y,,,-1),"")</f>
        <v/>
      </c>
      <c r="Q1951" s="130"/>
      <c r="R1951" s="131" t="str">
        <f>IFERROR(IF(Tabela1[[#This Row],[Nome fantasia]]="","",_xlfn.XLOOKUP($C1951,Log!D:D,Log!X:X,,,-1)),"")</f>
        <v/>
      </c>
    </row>
    <row r="1952" spans="3:18" hidden="1" x14ac:dyDescent="0.2">
      <c r="C1952" s="30" t="s">
        <v>4223</v>
      </c>
      <c r="D1952" s="110" t="s">
        <v>4224</v>
      </c>
      <c r="E1952" s="33" t="s">
        <v>46</v>
      </c>
      <c r="F1952" s="38"/>
      <c r="G1952" s="38"/>
      <c r="H1952" s="31"/>
      <c r="I1952" s="32"/>
      <c r="J1952" s="32"/>
      <c r="K1952" s="45" t="s">
        <v>888</v>
      </c>
      <c r="L1952" s="129"/>
      <c r="M1952" s="33" t="str">
        <f t="shared" si="30"/>
        <v/>
      </c>
      <c r="N1952" s="34" t="str">
        <f>IFERROR(IF(Tabela1[[#This Row],[Nome fantasia]]="","",_xlfn.XLOOKUP($C1952,Log!D:D,Log!B:B,,,-1)),"")</f>
        <v/>
      </c>
      <c r="O1952" s="35" t="str">
        <f>IFERROR(_xlfn.XLOOKUP($C1952,Log!D:D,Log!W:W,,,-1),"")</f>
        <v/>
      </c>
      <c r="P1952" s="35" t="str">
        <f>IFERROR(_xlfn.XLOOKUP($C1952,Log!D:D,Log!Y:Y,,,-1),"")</f>
        <v/>
      </c>
      <c r="Q1952" s="130"/>
      <c r="R1952" s="131" t="str">
        <f>IFERROR(IF(Tabela1[[#This Row],[Nome fantasia]]="","",_xlfn.XLOOKUP($C1952,Log!D:D,Log!X:X,,,-1)),"")</f>
        <v/>
      </c>
    </row>
    <row r="1953" spans="3:18" hidden="1" x14ac:dyDescent="0.2">
      <c r="C1953" s="30" t="s">
        <v>4225</v>
      </c>
      <c r="D1953" s="110" t="s">
        <v>4226</v>
      </c>
      <c r="E1953" s="33" t="s">
        <v>46</v>
      </c>
      <c r="F1953" s="38"/>
      <c r="G1953" s="38"/>
      <c r="H1953" s="31"/>
      <c r="I1953" s="32"/>
      <c r="J1953" s="32"/>
      <c r="K1953" s="45" t="s">
        <v>888</v>
      </c>
      <c r="L1953" s="129"/>
      <c r="M1953" s="33" t="str">
        <f t="shared" si="30"/>
        <v/>
      </c>
      <c r="N1953" s="34" t="str">
        <f>IFERROR(IF(Tabela1[[#This Row],[Nome fantasia]]="","",_xlfn.XLOOKUP($C1953,Log!D:D,Log!B:B,,,-1)),"")</f>
        <v/>
      </c>
      <c r="O1953" s="35" t="str">
        <f>IFERROR(_xlfn.XLOOKUP($C1953,Log!D:D,Log!W:W,,,-1),"")</f>
        <v/>
      </c>
      <c r="P1953" s="35" t="str">
        <f>IFERROR(_xlfn.XLOOKUP($C1953,Log!D:D,Log!Y:Y,,,-1),"")</f>
        <v/>
      </c>
      <c r="Q1953" s="130"/>
      <c r="R1953" s="131" t="str">
        <f>IFERROR(IF(Tabela1[[#This Row],[Nome fantasia]]="","",_xlfn.XLOOKUP($C1953,Log!D:D,Log!X:X,,,-1)),"")</f>
        <v/>
      </c>
    </row>
    <row r="1954" spans="3:18" hidden="1" x14ac:dyDescent="0.2">
      <c r="C1954" s="30"/>
      <c r="D1954" s="110" t="s">
        <v>4227</v>
      </c>
      <c r="E1954" s="33" t="s">
        <v>22</v>
      </c>
      <c r="F1954" s="38"/>
      <c r="G1954" s="38"/>
      <c r="H1954" s="31"/>
      <c r="I1954" s="32"/>
      <c r="J1954" s="32"/>
      <c r="K1954" s="45" t="s">
        <v>888</v>
      </c>
      <c r="L1954" s="129"/>
      <c r="M1954" s="33" t="str">
        <f t="shared" si="30"/>
        <v/>
      </c>
      <c r="N1954" s="34" t="str">
        <f>IFERROR(IF(Tabela1[[#This Row],[Nome fantasia]]="","",_xlfn.XLOOKUP($C1954,Log!D:D,Log!B:B,,,-1)),"")</f>
        <v/>
      </c>
      <c r="O1954" s="35" t="str">
        <f>IFERROR(_xlfn.XLOOKUP($C1954,Log!D:D,Log!W:W,,,-1),"")</f>
        <v/>
      </c>
      <c r="P1954" s="35" t="str">
        <f>IFERROR(_xlfn.XLOOKUP($C1954,Log!D:D,Log!Y:Y,,,-1),"")</f>
        <v/>
      </c>
      <c r="Q1954" s="130"/>
      <c r="R1954" s="131" t="str">
        <f>IFERROR(IF(Tabela1[[#This Row],[Nome fantasia]]="","",_xlfn.XLOOKUP($C1954,Log!D:D,Log!X:X,,,-1)),"")</f>
        <v/>
      </c>
    </row>
    <row r="1955" spans="3:18" hidden="1" x14ac:dyDescent="0.2">
      <c r="C1955" s="30" t="s">
        <v>4228</v>
      </c>
      <c r="D1955" s="110" t="s">
        <v>4229</v>
      </c>
      <c r="E1955" s="33" t="s">
        <v>22</v>
      </c>
      <c r="F1955" s="38"/>
      <c r="G1955" s="38"/>
      <c r="H1955" s="31"/>
      <c r="I1955" s="32"/>
      <c r="J1955" s="32"/>
      <c r="K1955" s="45" t="s">
        <v>888</v>
      </c>
      <c r="L1955" s="129"/>
      <c r="M1955" s="33" t="str">
        <f t="shared" si="30"/>
        <v/>
      </c>
      <c r="N1955" s="34" t="str">
        <f>IFERROR(IF(Tabela1[[#This Row],[Nome fantasia]]="","",_xlfn.XLOOKUP($C1955,Log!D:D,Log!B:B,,,-1)),"")</f>
        <v/>
      </c>
      <c r="O1955" s="35" t="str">
        <f>IFERROR(_xlfn.XLOOKUP($C1955,Log!D:D,Log!W:W,,,-1),"")</f>
        <v/>
      </c>
      <c r="P1955" s="35" t="str">
        <f>IFERROR(_xlfn.XLOOKUP($C1955,Log!D:D,Log!Y:Y,,,-1),"")</f>
        <v/>
      </c>
      <c r="Q1955" s="130"/>
      <c r="R1955" s="131" t="str">
        <f>IFERROR(IF(Tabela1[[#This Row],[Nome fantasia]]="","",_xlfn.XLOOKUP($C1955,Log!D:D,Log!X:X,,,-1)),"")</f>
        <v/>
      </c>
    </row>
    <row r="1956" spans="3:18" hidden="1" x14ac:dyDescent="0.2">
      <c r="C1956" s="30" t="s">
        <v>1585</v>
      </c>
      <c r="D1956" s="110" t="s">
        <v>4230</v>
      </c>
      <c r="E1956" s="33" t="s">
        <v>22</v>
      </c>
      <c r="F1956" s="38"/>
      <c r="G1956" s="38"/>
      <c r="H1956" s="31"/>
      <c r="I1956" s="32"/>
      <c r="J1956" s="32"/>
      <c r="K1956" s="45" t="s">
        <v>888</v>
      </c>
      <c r="L1956" s="129"/>
      <c r="M1956" s="33" t="str">
        <f t="shared" si="30"/>
        <v/>
      </c>
      <c r="N1956" s="34" t="str">
        <f>IFERROR(IF(Tabela1[[#This Row],[Nome fantasia]]="","",_xlfn.XLOOKUP($C1956,Log!D:D,Log!B:B,,,-1)),"")</f>
        <v/>
      </c>
      <c r="O1956" s="35" t="str">
        <f>IFERROR(_xlfn.XLOOKUP($C1956,Log!D:D,Log!W:W,,,-1),"")</f>
        <v/>
      </c>
      <c r="P1956" s="35" t="str">
        <f>IFERROR(_xlfn.XLOOKUP($C1956,Log!D:D,Log!Y:Y,,,-1),"")</f>
        <v/>
      </c>
      <c r="Q1956" s="130"/>
      <c r="R1956" s="131" t="str">
        <f>IFERROR(IF(Tabela1[[#This Row],[Nome fantasia]]="","",_xlfn.XLOOKUP($C1956,Log!D:D,Log!X:X,,,-1)),"")</f>
        <v/>
      </c>
    </row>
    <row r="1957" spans="3:18" hidden="1" x14ac:dyDescent="0.2">
      <c r="C1957" s="30" t="s">
        <v>1154</v>
      </c>
      <c r="D1957" s="110" t="s">
        <v>4231</v>
      </c>
      <c r="E1957" s="33" t="s">
        <v>46</v>
      </c>
      <c r="F1957" s="38"/>
      <c r="G1957" s="38"/>
      <c r="H1957" s="31"/>
      <c r="I1957" s="32"/>
      <c r="J1957" s="32"/>
      <c r="K1957" s="45" t="s">
        <v>888</v>
      </c>
      <c r="L1957" s="129"/>
      <c r="M1957" s="33" t="str">
        <f t="shared" si="30"/>
        <v/>
      </c>
      <c r="N1957" s="34" t="str">
        <f>IFERROR(IF(Tabela1[[#This Row],[Nome fantasia]]="","",_xlfn.XLOOKUP($C1957,Log!D:D,Log!B:B,,,-1)),"")</f>
        <v/>
      </c>
      <c r="O1957" s="35" t="str">
        <f>IFERROR(_xlfn.XLOOKUP($C1957,Log!D:D,Log!W:W,,,-1),"")</f>
        <v/>
      </c>
      <c r="P1957" s="35" t="str">
        <f>IFERROR(_xlfn.XLOOKUP($C1957,Log!D:D,Log!Y:Y,,,-1),"")</f>
        <v/>
      </c>
      <c r="Q1957" s="130"/>
      <c r="R1957" s="131" t="str">
        <f>IFERROR(IF(Tabela1[[#This Row],[Nome fantasia]]="","",_xlfn.XLOOKUP($C1957,Log!D:D,Log!X:X,,,-1)),"")</f>
        <v/>
      </c>
    </row>
    <row r="1958" spans="3:18" hidden="1" x14ac:dyDescent="0.2">
      <c r="C1958" s="30" t="s">
        <v>4232</v>
      </c>
      <c r="D1958" s="110" t="s">
        <v>4233</v>
      </c>
      <c r="E1958" s="33" t="s">
        <v>46</v>
      </c>
      <c r="F1958" s="38"/>
      <c r="G1958" s="38"/>
      <c r="H1958" s="31"/>
      <c r="I1958" s="32"/>
      <c r="J1958" s="32"/>
      <c r="K1958" s="45" t="s">
        <v>888</v>
      </c>
      <c r="L1958" s="129"/>
      <c r="M1958" s="33" t="str">
        <f t="shared" si="30"/>
        <v/>
      </c>
      <c r="N1958" s="34" t="str">
        <f>IFERROR(IF(Tabela1[[#This Row],[Nome fantasia]]="","",_xlfn.XLOOKUP($C1958,Log!D:D,Log!B:B,,,-1)),"")</f>
        <v/>
      </c>
      <c r="O1958" s="35" t="str">
        <f>IFERROR(_xlfn.XLOOKUP($C1958,Log!D:D,Log!W:W,,,-1),"")</f>
        <v/>
      </c>
      <c r="P1958" s="35" t="str">
        <f>IFERROR(_xlfn.XLOOKUP($C1958,Log!D:D,Log!Y:Y,,,-1),"")</f>
        <v/>
      </c>
      <c r="Q1958" s="130"/>
      <c r="R1958" s="131" t="str">
        <f>IFERROR(IF(Tabela1[[#This Row],[Nome fantasia]]="","",_xlfn.XLOOKUP($C1958,Log!D:D,Log!X:X,,,-1)),"")</f>
        <v/>
      </c>
    </row>
    <row r="1959" spans="3:18" hidden="1" x14ac:dyDescent="0.2">
      <c r="C1959" s="30" t="s">
        <v>4234</v>
      </c>
      <c r="D1959" s="110" t="s">
        <v>4235</v>
      </c>
      <c r="E1959" s="33" t="s">
        <v>17</v>
      </c>
      <c r="F1959" s="38"/>
      <c r="G1959" s="38"/>
      <c r="H1959" s="31"/>
      <c r="I1959" s="32"/>
      <c r="J1959" s="32"/>
      <c r="K1959" s="45" t="s">
        <v>888</v>
      </c>
      <c r="L1959" s="129"/>
      <c r="M1959" s="33" t="str">
        <f t="shared" si="30"/>
        <v/>
      </c>
      <c r="N1959" s="34" t="str">
        <f>IFERROR(IF(Tabela1[[#This Row],[Nome fantasia]]="","",_xlfn.XLOOKUP($C1959,Log!D:D,Log!B:B,,,-1)),"")</f>
        <v/>
      </c>
      <c r="O1959" s="35" t="str">
        <f>IFERROR(_xlfn.XLOOKUP($C1959,Log!D:D,Log!W:W,,,-1),"")</f>
        <v/>
      </c>
      <c r="P1959" s="35" t="str">
        <f>IFERROR(_xlfn.XLOOKUP($C1959,Log!D:D,Log!Y:Y,,,-1),"")</f>
        <v/>
      </c>
      <c r="Q1959" s="130"/>
      <c r="R1959" s="131" t="str">
        <f>IFERROR(IF(Tabela1[[#This Row],[Nome fantasia]]="","",_xlfn.XLOOKUP($C1959,Log!D:D,Log!X:X,,,-1)),"")</f>
        <v/>
      </c>
    </row>
    <row r="1960" spans="3:18" hidden="1" x14ac:dyDescent="0.2">
      <c r="C1960" s="30"/>
      <c r="D1960" s="110" t="s">
        <v>4236</v>
      </c>
      <c r="E1960" s="33" t="s">
        <v>22</v>
      </c>
      <c r="F1960" s="38"/>
      <c r="G1960" s="38"/>
      <c r="H1960" s="31"/>
      <c r="I1960" s="32"/>
      <c r="J1960" s="32"/>
      <c r="K1960" s="45" t="s">
        <v>888</v>
      </c>
      <c r="L1960" s="129"/>
      <c r="M1960" s="33" t="str">
        <f t="shared" si="30"/>
        <v/>
      </c>
      <c r="N1960" s="34" t="str">
        <f>IFERROR(IF(Tabela1[[#This Row],[Nome fantasia]]="","",_xlfn.XLOOKUP($C1960,Log!D:D,Log!B:B,,,-1)),"")</f>
        <v/>
      </c>
      <c r="O1960" s="35" t="str">
        <f>IFERROR(_xlfn.XLOOKUP($C1960,Log!D:D,Log!W:W,,,-1),"")</f>
        <v/>
      </c>
      <c r="P1960" s="35" t="str">
        <f>IFERROR(_xlfn.XLOOKUP($C1960,Log!D:D,Log!Y:Y,,,-1),"")</f>
        <v/>
      </c>
      <c r="Q1960" s="130"/>
      <c r="R1960" s="131" t="str">
        <f>IFERROR(IF(Tabela1[[#This Row],[Nome fantasia]]="","",_xlfn.XLOOKUP($C1960,Log!D:D,Log!X:X,,,-1)),"")</f>
        <v/>
      </c>
    </row>
    <row r="1961" spans="3:18" hidden="1" x14ac:dyDescent="0.2">
      <c r="C1961" s="30" t="s">
        <v>4237</v>
      </c>
      <c r="D1961" s="110" t="s">
        <v>4238</v>
      </c>
      <c r="E1961" s="33" t="s">
        <v>46</v>
      </c>
      <c r="F1961" s="38"/>
      <c r="G1961" s="38"/>
      <c r="H1961" s="31"/>
      <c r="I1961" s="32"/>
      <c r="J1961" s="32"/>
      <c r="K1961" s="45" t="s">
        <v>888</v>
      </c>
      <c r="L1961" s="129"/>
      <c r="M1961" s="33" t="str">
        <f t="shared" si="30"/>
        <v/>
      </c>
      <c r="N1961" s="34" t="str">
        <f>IFERROR(IF(Tabela1[[#This Row],[Nome fantasia]]="","",_xlfn.XLOOKUP($C1961,Log!D:D,Log!B:B,,,-1)),"")</f>
        <v/>
      </c>
      <c r="O1961" s="35" t="str">
        <f>IFERROR(_xlfn.XLOOKUP($C1961,Log!D:D,Log!W:W,,,-1),"")</f>
        <v/>
      </c>
      <c r="P1961" s="35" t="str">
        <f>IFERROR(_xlfn.XLOOKUP($C1961,Log!D:D,Log!Y:Y,,,-1),"")</f>
        <v/>
      </c>
      <c r="Q1961" s="130"/>
      <c r="R1961" s="131" t="str">
        <f>IFERROR(IF(Tabela1[[#This Row],[Nome fantasia]]="","",_xlfn.XLOOKUP($C1961,Log!D:D,Log!X:X,,,-1)),"")</f>
        <v/>
      </c>
    </row>
    <row r="1962" spans="3:18" hidden="1" x14ac:dyDescent="0.2">
      <c r="C1962" s="30" t="s">
        <v>4239</v>
      </c>
      <c r="D1962" s="110" t="s">
        <v>4240</v>
      </c>
      <c r="E1962" s="33" t="s">
        <v>46</v>
      </c>
      <c r="F1962" s="38"/>
      <c r="G1962" s="38"/>
      <c r="H1962" s="31"/>
      <c r="I1962" s="32"/>
      <c r="J1962" s="32"/>
      <c r="K1962" s="45" t="s">
        <v>888</v>
      </c>
      <c r="L1962" s="129"/>
      <c r="M1962" s="33" t="str">
        <f t="shared" si="30"/>
        <v/>
      </c>
      <c r="N1962" s="34" t="str">
        <f>IFERROR(IF(Tabela1[[#This Row],[Nome fantasia]]="","",_xlfn.XLOOKUP($C1962,Log!D:D,Log!B:B,,,-1)),"")</f>
        <v/>
      </c>
      <c r="O1962" s="35" t="str">
        <f>IFERROR(_xlfn.XLOOKUP($C1962,Log!D:D,Log!W:W,,,-1),"")</f>
        <v/>
      </c>
      <c r="P1962" s="35" t="str">
        <f>IFERROR(_xlfn.XLOOKUP($C1962,Log!D:D,Log!Y:Y,,,-1),"")</f>
        <v/>
      </c>
      <c r="Q1962" s="130"/>
      <c r="R1962" s="131" t="str">
        <f>IFERROR(IF(Tabela1[[#This Row],[Nome fantasia]]="","",_xlfn.XLOOKUP($C1962,Log!D:D,Log!X:X,,,-1)),"")</f>
        <v/>
      </c>
    </row>
    <row r="1963" spans="3:18" hidden="1" x14ac:dyDescent="0.2">
      <c r="C1963" s="30" t="s">
        <v>4241</v>
      </c>
      <c r="D1963" s="110" t="s">
        <v>4242</v>
      </c>
      <c r="E1963" s="33" t="s">
        <v>46</v>
      </c>
      <c r="F1963" s="38"/>
      <c r="G1963" s="38"/>
      <c r="H1963" s="31"/>
      <c r="I1963" s="32"/>
      <c r="J1963" s="32"/>
      <c r="K1963" s="45" t="s">
        <v>888</v>
      </c>
      <c r="L1963" s="129"/>
      <c r="M1963" s="33" t="str">
        <f t="shared" si="30"/>
        <v/>
      </c>
      <c r="N1963" s="34" t="str">
        <f>IFERROR(IF(Tabela1[[#This Row],[Nome fantasia]]="","",_xlfn.XLOOKUP($C1963,Log!D:D,Log!B:B,,,-1)),"")</f>
        <v/>
      </c>
      <c r="O1963" s="35" t="str">
        <f>IFERROR(_xlfn.XLOOKUP($C1963,Log!D:D,Log!W:W,,,-1),"")</f>
        <v/>
      </c>
      <c r="P1963" s="35" t="str">
        <f>IFERROR(_xlfn.XLOOKUP($C1963,Log!D:D,Log!Y:Y,,,-1),"")</f>
        <v/>
      </c>
      <c r="Q1963" s="130"/>
      <c r="R1963" s="131" t="str">
        <f>IFERROR(IF(Tabela1[[#This Row],[Nome fantasia]]="","",_xlfn.XLOOKUP($C1963,Log!D:D,Log!X:X,,,-1)),"")</f>
        <v/>
      </c>
    </row>
    <row r="1964" spans="3:18" hidden="1" x14ac:dyDescent="0.2">
      <c r="C1964" s="30"/>
      <c r="D1964" s="110"/>
      <c r="E1964" s="33" t="s">
        <v>46</v>
      </c>
      <c r="F1964" s="38"/>
      <c r="G1964" s="38"/>
      <c r="H1964" s="31"/>
      <c r="I1964" s="32"/>
      <c r="J1964" s="32"/>
      <c r="K1964" s="45" t="s">
        <v>888</v>
      </c>
      <c r="L1964" s="129"/>
      <c r="M1964" s="33" t="str">
        <f t="shared" si="30"/>
        <v/>
      </c>
      <c r="N1964" s="34" t="str">
        <f>IFERROR(IF(Tabela1[[#This Row],[Nome fantasia]]="","",_xlfn.XLOOKUP($C1964,Log!D:D,Log!B:B,,,-1)),"")</f>
        <v/>
      </c>
      <c r="O1964" s="35" t="str">
        <f>IFERROR(_xlfn.XLOOKUP($C1964,Log!D:D,Log!W:W,,,-1),"")</f>
        <v/>
      </c>
      <c r="P1964" s="35" t="str">
        <f>IFERROR(_xlfn.XLOOKUP($C1964,Log!D:D,Log!Y:Y,,,-1),"")</f>
        <v/>
      </c>
      <c r="Q1964" s="130"/>
      <c r="R1964" s="131" t="str">
        <f>IFERROR(IF(Tabela1[[#This Row],[Nome fantasia]]="","",_xlfn.XLOOKUP($C1964,Log!D:D,Log!X:X,,,-1)),"")</f>
        <v/>
      </c>
    </row>
    <row r="1965" spans="3:18" hidden="1" x14ac:dyDescent="0.2">
      <c r="C1965" s="30" t="s">
        <v>4243</v>
      </c>
      <c r="D1965" s="110" t="s">
        <v>4244</v>
      </c>
      <c r="E1965" s="33" t="s">
        <v>22</v>
      </c>
      <c r="F1965" s="38"/>
      <c r="G1965" s="38"/>
      <c r="H1965" s="31"/>
      <c r="I1965" s="32"/>
      <c r="J1965" s="32"/>
      <c r="K1965" s="45" t="s">
        <v>888</v>
      </c>
      <c r="L1965" s="129"/>
      <c r="M1965" s="33" t="str">
        <f t="shared" si="30"/>
        <v/>
      </c>
      <c r="N1965" s="34" t="str">
        <f>IFERROR(IF(Tabela1[[#This Row],[Nome fantasia]]="","",_xlfn.XLOOKUP($C1965,Log!D:D,Log!B:B,,,-1)),"")</f>
        <v/>
      </c>
      <c r="O1965" s="35" t="str">
        <f>IFERROR(_xlfn.XLOOKUP($C1965,Log!D:D,Log!W:W,,,-1),"")</f>
        <v/>
      </c>
      <c r="P1965" s="35" t="str">
        <f>IFERROR(_xlfn.XLOOKUP($C1965,Log!D:D,Log!Y:Y,,,-1),"")</f>
        <v/>
      </c>
      <c r="Q1965" s="130"/>
      <c r="R1965" s="131" t="str">
        <f>IFERROR(IF(Tabela1[[#This Row],[Nome fantasia]]="","",_xlfn.XLOOKUP($C1965,Log!D:D,Log!X:X,,,-1)),"")</f>
        <v/>
      </c>
    </row>
    <row r="1966" spans="3:18" hidden="1" x14ac:dyDescent="0.2">
      <c r="C1966" s="30" t="s">
        <v>4245</v>
      </c>
      <c r="D1966" s="110" t="s">
        <v>4246</v>
      </c>
      <c r="E1966" s="33" t="s">
        <v>22</v>
      </c>
      <c r="F1966" s="38"/>
      <c r="G1966" s="38"/>
      <c r="H1966" s="31"/>
      <c r="I1966" s="32"/>
      <c r="J1966" s="32"/>
      <c r="K1966" s="45" t="s">
        <v>888</v>
      </c>
      <c r="L1966" s="129"/>
      <c r="M1966" s="33" t="str">
        <f t="shared" si="30"/>
        <v/>
      </c>
      <c r="N1966" s="34" t="str">
        <f>IFERROR(IF(Tabela1[[#This Row],[Nome fantasia]]="","",_xlfn.XLOOKUP($C1966,Log!D:D,Log!B:B,,,-1)),"")</f>
        <v/>
      </c>
      <c r="O1966" s="35" t="str">
        <f>IFERROR(_xlfn.XLOOKUP($C1966,Log!D:D,Log!W:W,,,-1),"")</f>
        <v/>
      </c>
      <c r="P1966" s="35" t="str">
        <f>IFERROR(_xlfn.XLOOKUP($C1966,Log!D:D,Log!Y:Y,,,-1),"")</f>
        <v/>
      </c>
      <c r="Q1966" s="130"/>
      <c r="R1966" s="131" t="str">
        <f>IFERROR(IF(Tabela1[[#This Row],[Nome fantasia]]="","",_xlfn.XLOOKUP($C1966,Log!D:D,Log!X:X,,,-1)),"")</f>
        <v/>
      </c>
    </row>
    <row r="1967" spans="3:18" hidden="1" x14ac:dyDescent="0.2">
      <c r="C1967" s="30" t="s">
        <v>4247</v>
      </c>
      <c r="D1967" s="110" t="s">
        <v>4248</v>
      </c>
      <c r="E1967" s="33" t="s">
        <v>46</v>
      </c>
      <c r="F1967" s="38"/>
      <c r="G1967" s="38"/>
      <c r="H1967" s="31"/>
      <c r="I1967" s="32"/>
      <c r="J1967" s="32"/>
      <c r="K1967" s="45" t="s">
        <v>888</v>
      </c>
      <c r="L1967" s="129"/>
      <c r="M1967" s="33" t="str">
        <f t="shared" si="30"/>
        <v/>
      </c>
      <c r="N1967" s="34" t="str">
        <f>IFERROR(IF(Tabela1[[#This Row],[Nome fantasia]]="","",_xlfn.XLOOKUP($C1967,Log!D:D,Log!B:B,,,-1)),"")</f>
        <v/>
      </c>
      <c r="O1967" s="35" t="str">
        <f>IFERROR(_xlfn.XLOOKUP($C1967,Log!D:D,Log!W:W,,,-1),"")</f>
        <v/>
      </c>
      <c r="P1967" s="35" t="str">
        <f>IFERROR(_xlfn.XLOOKUP($C1967,Log!D:D,Log!Y:Y,,,-1),"")</f>
        <v/>
      </c>
      <c r="Q1967" s="130"/>
      <c r="R1967" s="131" t="str">
        <f>IFERROR(IF(Tabela1[[#This Row],[Nome fantasia]]="","",_xlfn.XLOOKUP($C1967,Log!D:D,Log!X:X,,,-1)),"")</f>
        <v/>
      </c>
    </row>
    <row r="1968" spans="3:18" hidden="1" x14ac:dyDescent="0.2">
      <c r="C1968" s="30" t="s">
        <v>4249</v>
      </c>
      <c r="D1968" s="110" t="s">
        <v>4250</v>
      </c>
      <c r="E1968" s="33" t="s">
        <v>17</v>
      </c>
      <c r="F1968" s="38"/>
      <c r="G1968" s="38"/>
      <c r="H1968" s="31"/>
      <c r="I1968" s="32"/>
      <c r="J1968" s="32"/>
      <c r="K1968" s="45" t="s">
        <v>888</v>
      </c>
      <c r="L1968" s="129"/>
      <c r="M1968" s="33" t="str">
        <f t="shared" si="30"/>
        <v/>
      </c>
      <c r="N1968" s="34" t="str">
        <f>IFERROR(IF(Tabela1[[#This Row],[Nome fantasia]]="","",_xlfn.XLOOKUP($C1968,Log!D:D,Log!B:B,,,-1)),"")</f>
        <v/>
      </c>
      <c r="O1968" s="35" t="str">
        <f>IFERROR(_xlfn.XLOOKUP($C1968,Log!D:D,Log!W:W,,,-1),"")</f>
        <v/>
      </c>
      <c r="P1968" s="35" t="str">
        <f>IFERROR(_xlfn.XLOOKUP($C1968,Log!D:D,Log!Y:Y,,,-1),"")</f>
        <v/>
      </c>
      <c r="Q1968" s="130"/>
      <c r="R1968" s="131" t="str">
        <f>IFERROR(IF(Tabela1[[#This Row],[Nome fantasia]]="","",_xlfn.XLOOKUP($C1968,Log!D:D,Log!X:X,,,-1)),"")</f>
        <v/>
      </c>
    </row>
    <row r="1969" spans="3:18" hidden="1" x14ac:dyDescent="0.2">
      <c r="C1969" s="30" t="s">
        <v>4251</v>
      </c>
      <c r="D1969" s="110" t="s">
        <v>4252</v>
      </c>
      <c r="E1969" s="33" t="s">
        <v>46</v>
      </c>
      <c r="F1969" s="38"/>
      <c r="G1969" s="38"/>
      <c r="H1969" s="31"/>
      <c r="I1969" s="32"/>
      <c r="J1969" s="32"/>
      <c r="K1969" s="45" t="s">
        <v>888</v>
      </c>
      <c r="L1969" s="129"/>
      <c r="M1969" s="33" t="str">
        <f t="shared" si="30"/>
        <v/>
      </c>
      <c r="N1969" s="34" t="str">
        <f>IFERROR(IF(Tabela1[[#This Row],[Nome fantasia]]="","",_xlfn.XLOOKUP($C1969,Log!D:D,Log!B:B,,,-1)),"")</f>
        <v/>
      </c>
      <c r="O1969" s="35" t="str">
        <f>IFERROR(_xlfn.XLOOKUP($C1969,Log!D:D,Log!W:W,,,-1),"")</f>
        <v/>
      </c>
      <c r="P1969" s="35" t="str">
        <f>IFERROR(_xlfn.XLOOKUP($C1969,Log!D:D,Log!Y:Y,,,-1),"")</f>
        <v/>
      </c>
      <c r="Q1969" s="130"/>
      <c r="R1969" s="131" t="str">
        <f>IFERROR(IF(Tabela1[[#This Row],[Nome fantasia]]="","",_xlfn.XLOOKUP($C1969,Log!D:D,Log!X:X,,,-1)),"")</f>
        <v/>
      </c>
    </row>
    <row r="1970" spans="3:18" hidden="1" x14ac:dyDescent="0.2">
      <c r="C1970" s="30" t="s">
        <v>4253</v>
      </c>
      <c r="D1970" s="110" t="s">
        <v>4254</v>
      </c>
      <c r="E1970" s="33" t="s">
        <v>17</v>
      </c>
      <c r="F1970" s="38"/>
      <c r="G1970" s="38"/>
      <c r="H1970" s="31"/>
      <c r="I1970" s="32"/>
      <c r="J1970" s="32"/>
      <c r="K1970" s="45" t="s">
        <v>888</v>
      </c>
      <c r="L1970" s="129"/>
      <c r="M1970" s="33" t="str">
        <f t="shared" si="30"/>
        <v/>
      </c>
      <c r="N1970" s="34" t="str">
        <f>IFERROR(IF(Tabela1[[#This Row],[Nome fantasia]]="","",_xlfn.XLOOKUP($C1970,Log!D:D,Log!B:B,,,-1)),"")</f>
        <v/>
      </c>
      <c r="O1970" s="35" t="str">
        <f>IFERROR(_xlfn.XLOOKUP($C1970,Log!D:D,Log!W:W,,,-1),"")</f>
        <v/>
      </c>
      <c r="P1970" s="35" t="str">
        <f>IFERROR(_xlfn.XLOOKUP($C1970,Log!D:D,Log!Y:Y,,,-1),"")</f>
        <v/>
      </c>
      <c r="Q1970" s="130"/>
      <c r="R1970" s="131" t="str">
        <f>IFERROR(IF(Tabela1[[#This Row],[Nome fantasia]]="","",_xlfn.XLOOKUP($C1970,Log!D:D,Log!X:X,,,-1)),"")</f>
        <v/>
      </c>
    </row>
    <row r="1971" spans="3:18" hidden="1" x14ac:dyDescent="0.2">
      <c r="C1971" s="30" t="s">
        <v>4255</v>
      </c>
      <c r="D1971" s="110" t="s">
        <v>4256</v>
      </c>
      <c r="E1971" s="33" t="s">
        <v>46</v>
      </c>
      <c r="F1971" s="38"/>
      <c r="G1971" s="38"/>
      <c r="H1971" s="31"/>
      <c r="I1971" s="32"/>
      <c r="J1971" s="32"/>
      <c r="K1971" s="45" t="s">
        <v>888</v>
      </c>
      <c r="L1971" s="129"/>
      <c r="M1971" s="33" t="str">
        <f t="shared" si="30"/>
        <v/>
      </c>
      <c r="N1971" s="34" t="str">
        <f>IFERROR(IF(Tabela1[[#This Row],[Nome fantasia]]="","",_xlfn.XLOOKUP($C1971,Log!D:D,Log!B:B,,,-1)),"")</f>
        <v/>
      </c>
      <c r="O1971" s="35" t="str">
        <f>IFERROR(_xlfn.XLOOKUP($C1971,Log!D:D,Log!W:W,,,-1),"")</f>
        <v/>
      </c>
      <c r="P1971" s="35" t="str">
        <f>IFERROR(_xlfn.XLOOKUP($C1971,Log!D:D,Log!Y:Y,,,-1),"")</f>
        <v/>
      </c>
      <c r="Q1971" s="130"/>
      <c r="R1971" s="131" t="str">
        <f>IFERROR(IF(Tabela1[[#This Row],[Nome fantasia]]="","",_xlfn.XLOOKUP($C1971,Log!D:D,Log!X:X,,,-1)),"")</f>
        <v/>
      </c>
    </row>
    <row r="1972" spans="3:18" hidden="1" x14ac:dyDescent="0.2">
      <c r="C1972" s="30"/>
      <c r="D1972" s="110" t="s">
        <v>4257</v>
      </c>
      <c r="E1972" s="33" t="s">
        <v>46</v>
      </c>
      <c r="F1972" s="38"/>
      <c r="G1972" s="38"/>
      <c r="H1972" s="31"/>
      <c r="I1972" s="32"/>
      <c r="J1972" s="32"/>
      <c r="K1972" s="45" t="s">
        <v>888</v>
      </c>
      <c r="L1972" s="129"/>
      <c r="M1972" s="33" t="str">
        <f t="shared" si="30"/>
        <v/>
      </c>
      <c r="N1972" s="34" t="str">
        <f>IFERROR(IF(Tabela1[[#This Row],[Nome fantasia]]="","",_xlfn.XLOOKUP($C1972,Log!D:D,Log!B:B,,,-1)),"")</f>
        <v/>
      </c>
      <c r="O1972" s="35" t="str">
        <f>IFERROR(_xlfn.XLOOKUP($C1972,Log!D:D,Log!W:W,,,-1),"")</f>
        <v/>
      </c>
      <c r="P1972" s="35" t="str">
        <f>IFERROR(_xlfn.XLOOKUP($C1972,Log!D:D,Log!Y:Y,,,-1),"")</f>
        <v/>
      </c>
      <c r="Q1972" s="130"/>
      <c r="R1972" s="131" t="str">
        <f>IFERROR(IF(Tabela1[[#This Row],[Nome fantasia]]="","",_xlfn.XLOOKUP($C1972,Log!D:D,Log!X:X,,,-1)),"")</f>
        <v/>
      </c>
    </row>
    <row r="1973" spans="3:18" hidden="1" x14ac:dyDescent="0.2">
      <c r="C1973" s="30"/>
      <c r="D1973" s="110" t="s">
        <v>4258</v>
      </c>
      <c r="E1973" s="33" t="s">
        <v>46</v>
      </c>
      <c r="F1973" s="38"/>
      <c r="G1973" s="38"/>
      <c r="H1973" s="31"/>
      <c r="I1973" s="32"/>
      <c r="J1973" s="32"/>
      <c r="K1973" s="45" t="s">
        <v>888</v>
      </c>
      <c r="L1973" s="129"/>
      <c r="M1973" s="33" t="str">
        <f t="shared" si="30"/>
        <v/>
      </c>
      <c r="N1973" s="34" t="str">
        <f>IFERROR(IF(Tabela1[[#This Row],[Nome fantasia]]="","",_xlfn.XLOOKUP($C1973,Log!D:D,Log!B:B,,,-1)),"")</f>
        <v/>
      </c>
      <c r="O1973" s="35" t="str">
        <f>IFERROR(_xlfn.XLOOKUP($C1973,Log!D:D,Log!W:W,,,-1),"")</f>
        <v/>
      </c>
      <c r="P1973" s="35" t="str">
        <f>IFERROR(_xlfn.XLOOKUP($C1973,Log!D:D,Log!Y:Y,,,-1),"")</f>
        <v/>
      </c>
      <c r="Q1973" s="130"/>
      <c r="R1973" s="131" t="str">
        <f>IFERROR(IF(Tabela1[[#This Row],[Nome fantasia]]="","",_xlfn.XLOOKUP($C1973,Log!D:D,Log!X:X,,,-1)),"")</f>
        <v/>
      </c>
    </row>
    <row r="1974" spans="3:18" hidden="1" x14ac:dyDescent="0.2">
      <c r="C1974" s="30" t="s">
        <v>4259</v>
      </c>
      <c r="D1974" s="110" t="s">
        <v>4260</v>
      </c>
      <c r="E1974" s="33" t="s">
        <v>22</v>
      </c>
      <c r="F1974" s="38"/>
      <c r="G1974" s="38"/>
      <c r="H1974" s="31"/>
      <c r="I1974" s="32"/>
      <c r="J1974" s="32"/>
      <c r="K1974" s="45" t="s">
        <v>888</v>
      </c>
      <c r="L1974" s="129"/>
      <c r="M1974" s="33" t="str">
        <f t="shared" si="30"/>
        <v/>
      </c>
      <c r="N1974" s="34" t="str">
        <f>IFERROR(IF(Tabela1[[#This Row],[Nome fantasia]]="","",_xlfn.XLOOKUP($C1974,Log!D:D,Log!B:B,,,-1)),"")</f>
        <v/>
      </c>
      <c r="O1974" s="35" t="str">
        <f>IFERROR(_xlfn.XLOOKUP($C1974,Log!D:D,Log!W:W,,,-1),"")</f>
        <v/>
      </c>
      <c r="P1974" s="35" t="str">
        <f>IFERROR(_xlfn.XLOOKUP($C1974,Log!D:D,Log!Y:Y,,,-1),"")</f>
        <v/>
      </c>
      <c r="Q1974" s="130"/>
      <c r="R1974" s="131" t="str">
        <f>IFERROR(IF(Tabela1[[#This Row],[Nome fantasia]]="","",_xlfn.XLOOKUP($C1974,Log!D:D,Log!X:X,,,-1)),"")</f>
        <v/>
      </c>
    </row>
    <row r="1975" spans="3:18" hidden="1" x14ac:dyDescent="0.2">
      <c r="C1975" s="30" t="s">
        <v>4261</v>
      </c>
      <c r="D1975" s="110" t="s">
        <v>4262</v>
      </c>
      <c r="E1975" s="33" t="s">
        <v>46</v>
      </c>
      <c r="F1975" s="38"/>
      <c r="G1975" s="38"/>
      <c r="H1975" s="31"/>
      <c r="I1975" s="32"/>
      <c r="J1975" s="32"/>
      <c r="K1975" s="45" t="s">
        <v>888</v>
      </c>
      <c r="L1975" s="129"/>
      <c r="M1975" s="33" t="str">
        <f t="shared" si="30"/>
        <v/>
      </c>
      <c r="N1975" s="34" t="str">
        <f>IFERROR(IF(Tabela1[[#This Row],[Nome fantasia]]="","",_xlfn.XLOOKUP($C1975,Log!D:D,Log!B:B,,,-1)),"")</f>
        <v/>
      </c>
      <c r="O1975" s="35" t="str">
        <f>IFERROR(_xlfn.XLOOKUP($C1975,Log!D:D,Log!W:W,,,-1),"")</f>
        <v/>
      </c>
      <c r="P1975" s="35" t="str">
        <f>IFERROR(_xlfn.XLOOKUP($C1975,Log!D:D,Log!Y:Y,,,-1),"")</f>
        <v/>
      </c>
      <c r="Q1975" s="130"/>
      <c r="R1975" s="131" t="str">
        <f>IFERROR(IF(Tabela1[[#This Row],[Nome fantasia]]="","",_xlfn.XLOOKUP($C1975,Log!D:D,Log!X:X,,,-1)),"")</f>
        <v/>
      </c>
    </row>
    <row r="1976" spans="3:18" hidden="1" x14ac:dyDescent="0.2">
      <c r="C1976" s="30" t="s">
        <v>4263</v>
      </c>
      <c r="D1976" s="110" t="s">
        <v>4264</v>
      </c>
      <c r="E1976" s="33" t="s">
        <v>46</v>
      </c>
      <c r="F1976" s="38"/>
      <c r="G1976" s="38"/>
      <c r="H1976" s="31"/>
      <c r="I1976" s="32"/>
      <c r="J1976" s="32"/>
      <c r="K1976" s="45" t="s">
        <v>888</v>
      </c>
      <c r="L1976" s="129"/>
      <c r="M1976" s="33" t="str">
        <f t="shared" si="30"/>
        <v/>
      </c>
      <c r="N1976" s="34" t="str">
        <f>IFERROR(IF(Tabela1[[#This Row],[Nome fantasia]]="","",_xlfn.XLOOKUP($C1976,Log!D:D,Log!B:B,,,-1)),"")</f>
        <v/>
      </c>
      <c r="O1976" s="35" t="str">
        <f>IFERROR(_xlfn.XLOOKUP($C1976,Log!D:D,Log!W:W,,,-1),"")</f>
        <v/>
      </c>
      <c r="P1976" s="35" t="str">
        <f>IFERROR(_xlfn.XLOOKUP($C1976,Log!D:D,Log!Y:Y,,,-1),"")</f>
        <v/>
      </c>
      <c r="Q1976" s="130"/>
      <c r="R1976" s="131" t="str">
        <f>IFERROR(IF(Tabela1[[#This Row],[Nome fantasia]]="","",_xlfn.XLOOKUP($C1976,Log!D:D,Log!X:X,,,-1)),"")</f>
        <v/>
      </c>
    </row>
    <row r="1977" spans="3:18" hidden="1" x14ac:dyDescent="0.2">
      <c r="C1977" s="30" t="s">
        <v>4265</v>
      </c>
      <c r="D1977" s="110" t="s">
        <v>4266</v>
      </c>
      <c r="E1977" s="33" t="s">
        <v>22</v>
      </c>
      <c r="F1977" s="38"/>
      <c r="G1977" s="38"/>
      <c r="H1977" s="31"/>
      <c r="I1977" s="32"/>
      <c r="J1977" s="32"/>
      <c r="K1977" s="45" t="s">
        <v>888</v>
      </c>
      <c r="L1977" s="129"/>
      <c r="M1977" s="33" t="str">
        <f t="shared" si="30"/>
        <v/>
      </c>
      <c r="N1977" s="34" t="str">
        <f>IFERROR(IF(Tabela1[[#This Row],[Nome fantasia]]="","",_xlfn.XLOOKUP($C1977,Log!D:D,Log!B:B,,,-1)),"")</f>
        <v/>
      </c>
      <c r="O1977" s="35" t="str">
        <f>IFERROR(_xlfn.XLOOKUP($C1977,Log!D:D,Log!W:W,,,-1),"")</f>
        <v/>
      </c>
      <c r="P1977" s="35" t="str">
        <f>IFERROR(_xlfn.XLOOKUP($C1977,Log!D:D,Log!Y:Y,,,-1),"")</f>
        <v/>
      </c>
      <c r="Q1977" s="130"/>
      <c r="R1977" s="131" t="str">
        <f>IFERROR(IF(Tabela1[[#This Row],[Nome fantasia]]="","",_xlfn.XLOOKUP($C1977,Log!D:D,Log!X:X,,,-1)),"")</f>
        <v/>
      </c>
    </row>
    <row r="1978" spans="3:18" hidden="1" x14ac:dyDescent="0.2">
      <c r="C1978" s="30" t="s">
        <v>4267</v>
      </c>
      <c r="D1978" s="110" t="s">
        <v>4268</v>
      </c>
      <c r="E1978" s="33" t="s">
        <v>46</v>
      </c>
      <c r="F1978" s="38"/>
      <c r="G1978" s="38"/>
      <c r="H1978" s="31"/>
      <c r="I1978" s="32"/>
      <c r="J1978" s="32"/>
      <c r="K1978" s="45" t="s">
        <v>888</v>
      </c>
      <c r="L1978" s="129"/>
      <c r="M1978" s="33" t="str">
        <f t="shared" si="30"/>
        <v/>
      </c>
      <c r="N1978" s="34" t="str">
        <f>IFERROR(IF(Tabela1[[#This Row],[Nome fantasia]]="","",_xlfn.XLOOKUP($C1978,Log!D:D,Log!B:B,,,-1)),"")</f>
        <v/>
      </c>
      <c r="O1978" s="35" t="str">
        <f>IFERROR(_xlfn.XLOOKUP($C1978,Log!D:D,Log!W:W,,,-1),"")</f>
        <v/>
      </c>
      <c r="P1978" s="35" t="str">
        <f>IFERROR(_xlfn.XLOOKUP($C1978,Log!D:D,Log!Y:Y,,,-1),"")</f>
        <v/>
      </c>
      <c r="Q1978" s="130"/>
      <c r="R1978" s="131" t="str">
        <f>IFERROR(IF(Tabela1[[#This Row],[Nome fantasia]]="","",_xlfn.XLOOKUP($C1978,Log!D:D,Log!X:X,,,-1)),"")</f>
        <v/>
      </c>
    </row>
    <row r="1979" spans="3:18" hidden="1" x14ac:dyDescent="0.2">
      <c r="C1979" s="30" t="s">
        <v>4269</v>
      </c>
      <c r="D1979" s="110" t="s">
        <v>4270</v>
      </c>
      <c r="E1979" s="33" t="s">
        <v>22</v>
      </c>
      <c r="F1979" s="38"/>
      <c r="G1979" s="38"/>
      <c r="H1979" s="31"/>
      <c r="I1979" s="32"/>
      <c r="J1979" s="32"/>
      <c r="K1979" s="45" t="s">
        <v>888</v>
      </c>
      <c r="L1979" s="129"/>
      <c r="M1979" s="33" t="str">
        <f t="shared" si="30"/>
        <v/>
      </c>
      <c r="N1979" s="34" t="str">
        <f>IFERROR(IF(Tabela1[[#This Row],[Nome fantasia]]="","",_xlfn.XLOOKUP($C1979,Log!D:D,Log!B:B,,,-1)),"")</f>
        <v/>
      </c>
      <c r="O1979" s="35" t="str">
        <f>IFERROR(_xlfn.XLOOKUP($C1979,Log!D:D,Log!W:W,,,-1),"")</f>
        <v/>
      </c>
      <c r="P1979" s="35" t="str">
        <f>IFERROR(_xlfn.XLOOKUP($C1979,Log!D:D,Log!Y:Y,,,-1),"")</f>
        <v/>
      </c>
      <c r="Q1979" s="130"/>
      <c r="R1979" s="131" t="str">
        <f>IFERROR(IF(Tabela1[[#This Row],[Nome fantasia]]="","",_xlfn.XLOOKUP($C1979,Log!D:D,Log!X:X,,,-1)),"")</f>
        <v/>
      </c>
    </row>
    <row r="1980" spans="3:18" hidden="1" x14ac:dyDescent="0.2">
      <c r="C1980" s="30" t="s">
        <v>4271</v>
      </c>
      <c r="D1980" s="110" t="s">
        <v>4272</v>
      </c>
      <c r="E1980" s="33" t="s">
        <v>46</v>
      </c>
      <c r="F1980" s="38"/>
      <c r="G1980" s="38"/>
      <c r="H1980" s="31"/>
      <c r="I1980" s="32"/>
      <c r="J1980" s="32"/>
      <c r="K1980" s="45" t="s">
        <v>888</v>
      </c>
      <c r="L1980" s="129"/>
      <c r="M1980" s="33" t="str">
        <f t="shared" si="30"/>
        <v/>
      </c>
      <c r="N1980" s="34" t="str">
        <f>IFERROR(IF(Tabela1[[#This Row],[Nome fantasia]]="","",_xlfn.XLOOKUP($C1980,Log!D:D,Log!B:B,,,-1)),"")</f>
        <v/>
      </c>
      <c r="O1980" s="35" t="str">
        <f>IFERROR(_xlfn.XLOOKUP($C1980,Log!D:D,Log!W:W,,,-1),"")</f>
        <v/>
      </c>
      <c r="P1980" s="35" t="str">
        <f>IFERROR(_xlfn.XLOOKUP($C1980,Log!D:D,Log!Y:Y,,,-1),"")</f>
        <v/>
      </c>
      <c r="Q1980" s="130"/>
      <c r="R1980" s="131" t="str">
        <f>IFERROR(IF(Tabela1[[#This Row],[Nome fantasia]]="","",_xlfn.XLOOKUP($C1980,Log!D:D,Log!X:X,,,-1)),"")</f>
        <v/>
      </c>
    </row>
    <row r="1981" spans="3:18" hidden="1" x14ac:dyDescent="0.2">
      <c r="C1981" s="30" t="s">
        <v>1849</v>
      </c>
      <c r="D1981" s="110" t="s">
        <v>4273</v>
      </c>
      <c r="E1981" s="33" t="s">
        <v>46</v>
      </c>
      <c r="F1981" s="38"/>
      <c r="G1981" s="38"/>
      <c r="H1981" s="31"/>
      <c r="I1981" s="32"/>
      <c r="J1981" s="32"/>
      <c r="K1981" s="45" t="s">
        <v>888</v>
      </c>
      <c r="L1981" s="129"/>
      <c r="M1981" s="33" t="str">
        <f t="shared" si="30"/>
        <v/>
      </c>
      <c r="N1981" s="34" t="str">
        <f>IFERROR(IF(Tabela1[[#This Row],[Nome fantasia]]="","",_xlfn.XLOOKUP($C1981,Log!D:D,Log!B:B,,,-1)),"")</f>
        <v/>
      </c>
      <c r="O1981" s="35" t="str">
        <f>IFERROR(_xlfn.XLOOKUP($C1981,Log!D:D,Log!W:W,,,-1),"")</f>
        <v/>
      </c>
      <c r="P1981" s="35" t="str">
        <f>IFERROR(_xlfn.XLOOKUP($C1981,Log!D:D,Log!Y:Y,,,-1),"")</f>
        <v/>
      </c>
      <c r="Q1981" s="130"/>
      <c r="R1981" s="131" t="str">
        <f>IFERROR(IF(Tabela1[[#This Row],[Nome fantasia]]="","",_xlfn.XLOOKUP($C1981,Log!D:D,Log!X:X,,,-1)),"")</f>
        <v/>
      </c>
    </row>
    <row r="1982" spans="3:18" hidden="1" x14ac:dyDescent="0.2">
      <c r="C1982" s="30" t="s">
        <v>4274</v>
      </c>
      <c r="D1982" s="110" t="s">
        <v>4275</v>
      </c>
      <c r="E1982" s="33" t="s">
        <v>46</v>
      </c>
      <c r="F1982" s="38"/>
      <c r="G1982" s="38"/>
      <c r="H1982" s="31"/>
      <c r="I1982" s="32"/>
      <c r="J1982" s="32"/>
      <c r="K1982" s="45" t="s">
        <v>888</v>
      </c>
      <c r="L1982" s="129"/>
      <c r="M1982" s="33" t="str">
        <f t="shared" si="30"/>
        <v/>
      </c>
      <c r="N1982" s="34" t="str">
        <f>IFERROR(IF(Tabela1[[#This Row],[Nome fantasia]]="","",_xlfn.XLOOKUP($C1982,Log!D:D,Log!B:B,,,-1)),"")</f>
        <v/>
      </c>
      <c r="O1982" s="35" t="str">
        <f>IFERROR(_xlfn.XLOOKUP($C1982,Log!D:D,Log!W:W,,,-1),"")</f>
        <v/>
      </c>
      <c r="P1982" s="35" t="str">
        <f>IFERROR(_xlfn.XLOOKUP($C1982,Log!D:D,Log!Y:Y,,,-1),"")</f>
        <v/>
      </c>
      <c r="Q1982" s="130"/>
      <c r="R1982" s="131" t="str">
        <f>IFERROR(IF(Tabela1[[#This Row],[Nome fantasia]]="","",_xlfn.XLOOKUP($C1982,Log!D:D,Log!X:X,,,-1)),"")</f>
        <v/>
      </c>
    </row>
    <row r="1983" spans="3:18" hidden="1" x14ac:dyDescent="0.2">
      <c r="C1983" s="30" t="s">
        <v>4276</v>
      </c>
      <c r="D1983" s="110" t="s">
        <v>4277</v>
      </c>
      <c r="E1983" s="33" t="s">
        <v>22</v>
      </c>
      <c r="F1983" s="38"/>
      <c r="G1983" s="38"/>
      <c r="H1983" s="31"/>
      <c r="I1983" s="32"/>
      <c r="J1983" s="32"/>
      <c r="K1983" s="45" t="s">
        <v>888</v>
      </c>
      <c r="L1983" s="129"/>
      <c r="M1983" s="33" t="str">
        <f t="shared" si="30"/>
        <v/>
      </c>
      <c r="N1983" s="34" t="str">
        <f>IFERROR(IF(Tabela1[[#This Row],[Nome fantasia]]="","",_xlfn.XLOOKUP($C1983,Log!D:D,Log!B:B,,,-1)),"")</f>
        <v/>
      </c>
      <c r="O1983" s="35" t="str">
        <f>IFERROR(_xlfn.XLOOKUP($C1983,Log!D:D,Log!W:W,,,-1),"")</f>
        <v/>
      </c>
      <c r="P1983" s="35" t="str">
        <f>IFERROR(_xlfn.XLOOKUP($C1983,Log!D:D,Log!Y:Y,,,-1),"")</f>
        <v/>
      </c>
      <c r="Q1983" s="130"/>
      <c r="R1983" s="131" t="str">
        <f>IFERROR(IF(Tabela1[[#This Row],[Nome fantasia]]="","",_xlfn.XLOOKUP($C1983,Log!D:D,Log!X:X,,,-1)),"")</f>
        <v/>
      </c>
    </row>
    <row r="1984" spans="3:18" hidden="1" x14ac:dyDescent="0.2">
      <c r="C1984" s="30" t="s">
        <v>4271</v>
      </c>
      <c r="D1984" s="110" t="s">
        <v>4278</v>
      </c>
      <c r="E1984" s="33" t="s">
        <v>46</v>
      </c>
      <c r="F1984" s="38"/>
      <c r="G1984" s="38"/>
      <c r="H1984" s="31"/>
      <c r="I1984" s="32"/>
      <c r="J1984" s="32"/>
      <c r="K1984" s="45" t="s">
        <v>888</v>
      </c>
      <c r="L1984" s="129"/>
      <c r="M1984" s="33" t="str">
        <f t="shared" si="30"/>
        <v/>
      </c>
      <c r="N1984" s="34" t="str">
        <f>IFERROR(IF(Tabela1[[#This Row],[Nome fantasia]]="","",_xlfn.XLOOKUP($C1984,Log!D:D,Log!B:B,,,-1)),"")</f>
        <v/>
      </c>
      <c r="O1984" s="35" t="str">
        <f>IFERROR(_xlfn.XLOOKUP($C1984,Log!D:D,Log!W:W,,,-1),"")</f>
        <v/>
      </c>
      <c r="P1984" s="35" t="str">
        <f>IFERROR(_xlfn.XLOOKUP($C1984,Log!D:D,Log!Y:Y,,,-1),"")</f>
        <v/>
      </c>
      <c r="Q1984" s="130"/>
      <c r="R1984" s="131" t="str">
        <f>IFERROR(IF(Tabela1[[#This Row],[Nome fantasia]]="","",_xlfn.XLOOKUP($C1984,Log!D:D,Log!X:X,,,-1)),"")</f>
        <v/>
      </c>
    </row>
    <row r="1985" spans="3:18" hidden="1" x14ac:dyDescent="0.2">
      <c r="C1985" s="30" t="s">
        <v>4279</v>
      </c>
      <c r="D1985" s="110" t="s">
        <v>4280</v>
      </c>
      <c r="E1985" s="33" t="s">
        <v>46</v>
      </c>
      <c r="F1985" s="38"/>
      <c r="G1985" s="38"/>
      <c r="H1985" s="31"/>
      <c r="I1985" s="32"/>
      <c r="J1985" s="32"/>
      <c r="K1985" s="45" t="s">
        <v>888</v>
      </c>
      <c r="L1985" s="129"/>
      <c r="M1985" s="33" t="str">
        <f t="shared" si="30"/>
        <v/>
      </c>
      <c r="N1985" s="34" t="str">
        <f>IFERROR(IF(Tabela1[[#This Row],[Nome fantasia]]="","",_xlfn.XLOOKUP($C1985,Log!D:D,Log!B:B,,,-1)),"")</f>
        <v/>
      </c>
      <c r="O1985" s="35" t="str">
        <f>IFERROR(_xlfn.XLOOKUP($C1985,Log!D:D,Log!W:W,,,-1),"")</f>
        <v/>
      </c>
      <c r="P1985" s="35" t="str">
        <f>IFERROR(_xlfn.XLOOKUP($C1985,Log!D:D,Log!Y:Y,,,-1),"")</f>
        <v/>
      </c>
      <c r="Q1985" s="130"/>
      <c r="R1985" s="131" t="str">
        <f>IFERROR(IF(Tabela1[[#This Row],[Nome fantasia]]="","",_xlfn.XLOOKUP($C1985,Log!D:D,Log!X:X,,,-1)),"")</f>
        <v/>
      </c>
    </row>
    <row r="1986" spans="3:18" hidden="1" x14ac:dyDescent="0.2">
      <c r="C1986" s="30" t="s">
        <v>4281</v>
      </c>
      <c r="D1986" s="110" t="s">
        <v>4282</v>
      </c>
      <c r="E1986" s="33" t="s">
        <v>22</v>
      </c>
      <c r="F1986" s="38"/>
      <c r="G1986" s="38"/>
      <c r="H1986" s="31"/>
      <c r="I1986" s="32"/>
      <c r="J1986" s="32"/>
      <c r="K1986" s="45" t="s">
        <v>888</v>
      </c>
      <c r="L1986" s="129"/>
      <c r="M1986" s="33" t="str">
        <f t="shared" si="30"/>
        <v/>
      </c>
      <c r="N1986" s="34" t="str">
        <f>IFERROR(IF(Tabela1[[#This Row],[Nome fantasia]]="","",_xlfn.XLOOKUP($C1986,Log!D:D,Log!B:B,,,-1)),"")</f>
        <v/>
      </c>
      <c r="O1986" s="35" t="str">
        <f>IFERROR(_xlfn.XLOOKUP($C1986,Log!D:D,Log!W:W,,,-1),"")</f>
        <v/>
      </c>
      <c r="P1986" s="35" t="str">
        <f>IFERROR(_xlfn.XLOOKUP($C1986,Log!D:D,Log!Y:Y,,,-1),"")</f>
        <v/>
      </c>
      <c r="Q1986" s="130"/>
      <c r="R1986" s="131" t="str">
        <f>IFERROR(IF(Tabela1[[#This Row],[Nome fantasia]]="","",_xlfn.XLOOKUP($C1986,Log!D:D,Log!X:X,,,-1)),"")</f>
        <v/>
      </c>
    </row>
    <row r="1987" spans="3:18" hidden="1" x14ac:dyDescent="0.2">
      <c r="C1987" s="30" t="s">
        <v>4283</v>
      </c>
      <c r="D1987" s="110" t="s">
        <v>4284</v>
      </c>
      <c r="E1987" s="33" t="s">
        <v>46</v>
      </c>
      <c r="F1987" s="38"/>
      <c r="G1987" s="38"/>
      <c r="H1987" s="31"/>
      <c r="I1987" s="32"/>
      <c r="J1987" s="32"/>
      <c r="K1987" s="45" t="s">
        <v>888</v>
      </c>
      <c r="L1987" s="129"/>
      <c r="M1987" s="33" t="str">
        <f t="shared" ref="M1987:M2050" si="31">IF(OR(J1987&lt;=0,J1987=""),"","Recompra")</f>
        <v/>
      </c>
      <c r="N1987" s="34" t="str">
        <f>IFERROR(IF(Tabela1[[#This Row],[Nome fantasia]]="","",_xlfn.XLOOKUP($C1987,Log!D:D,Log!B:B,,,-1)),"")</f>
        <v/>
      </c>
      <c r="O1987" s="35" t="str">
        <f>IFERROR(_xlfn.XLOOKUP($C1987,Log!D:D,Log!W:W,,,-1),"")</f>
        <v/>
      </c>
      <c r="P1987" s="35" t="str">
        <f>IFERROR(_xlfn.XLOOKUP($C1987,Log!D:D,Log!Y:Y,,,-1),"")</f>
        <v/>
      </c>
      <c r="Q1987" s="130"/>
      <c r="R1987" s="131" t="str">
        <f>IFERROR(IF(Tabela1[[#This Row],[Nome fantasia]]="","",_xlfn.XLOOKUP($C1987,Log!D:D,Log!X:X,,,-1)),"")</f>
        <v/>
      </c>
    </row>
    <row r="1988" spans="3:18" hidden="1" x14ac:dyDescent="0.2">
      <c r="C1988" s="30" t="s">
        <v>4285</v>
      </c>
      <c r="D1988" s="110" t="s">
        <v>4286</v>
      </c>
      <c r="E1988" s="33" t="s">
        <v>22</v>
      </c>
      <c r="F1988" s="38"/>
      <c r="G1988" s="38"/>
      <c r="H1988" s="31"/>
      <c r="I1988" s="32"/>
      <c r="J1988" s="32"/>
      <c r="K1988" s="45" t="s">
        <v>888</v>
      </c>
      <c r="L1988" s="129"/>
      <c r="M1988" s="33" t="str">
        <f t="shared" si="31"/>
        <v/>
      </c>
      <c r="N1988" s="34" t="str">
        <f>IFERROR(IF(Tabela1[[#This Row],[Nome fantasia]]="","",_xlfn.XLOOKUP($C1988,Log!D:D,Log!B:B,,,-1)),"")</f>
        <v/>
      </c>
      <c r="O1988" s="35" t="str">
        <f>IFERROR(_xlfn.XLOOKUP($C1988,Log!D:D,Log!W:W,,,-1),"")</f>
        <v/>
      </c>
      <c r="P1988" s="35" t="str">
        <f>IFERROR(_xlfn.XLOOKUP($C1988,Log!D:D,Log!Y:Y,,,-1),"")</f>
        <v/>
      </c>
      <c r="Q1988" s="130"/>
      <c r="R1988" s="131" t="str">
        <f>IFERROR(IF(Tabela1[[#This Row],[Nome fantasia]]="","",_xlfn.XLOOKUP($C1988,Log!D:D,Log!X:X,,,-1)),"")</f>
        <v/>
      </c>
    </row>
    <row r="1989" spans="3:18" hidden="1" x14ac:dyDescent="0.2">
      <c r="C1989" s="30" t="s">
        <v>4287</v>
      </c>
      <c r="D1989" s="110" t="s">
        <v>1284</v>
      </c>
      <c r="E1989" s="33" t="s">
        <v>22</v>
      </c>
      <c r="F1989" s="38"/>
      <c r="G1989" s="38"/>
      <c r="H1989" s="31"/>
      <c r="I1989" s="32"/>
      <c r="J1989" s="32"/>
      <c r="K1989" s="45" t="s">
        <v>888</v>
      </c>
      <c r="L1989" s="129"/>
      <c r="M1989" s="33" t="str">
        <f t="shared" si="31"/>
        <v/>
      </c>
      <c r="N1989" s="34" t="str">
        <f>IFERROR(IF(Tabela1[[#This Row],[Nome fantasia]]="","",_xlfn.XLOOKUP($C1989,Log!D:D,Log!B:B,,,-1)),"")</f>
        <v/>
      </c>
      <c r="O1989" s="35" t="str">
        <f>IFERROR(_xlfn.XLOOKUP($C1989,Log!D:D,Log!W:W,,,-1),"")</f>
        <v/>
      </c>
      <c r="P1989" s="35" t="str">
        <f>IFERROR(_xlfn.XLOOKUP($C1989,Log!D:D,Log!Y:Y,,,-1),"")</f>
        <v/>
      </c>
      <c r="Q1989" s="130"/>
      <c r="R1989" s="131" t="str">
        <f>IFERROR(IF(Tabela1[[#This Row],[Nome fantasia]]="","",_xlfn.XLOOKUP($C1989,Log!D:D,Log!X:X,,,-1)),"")</f>
        <v/>
      </c>
    </row>
    <row r="1990" spans="3:18" hidden="1" x14ac:dyDescent="0.2">
      <c r="C1990" s="30" t="s">
        <v>1862</v>
      </c>
      <c r="D1990" s="110" t="s">
        <v>4288</v>
      </c>
      <c r="E1990" s="33" t="s">
        <v>17</v>
      </c>
      <c r="F1990" s="38"/>
      <c r="G1990" s="38"/>
      <c r="H1990" s="31"/>
      <c r="I1990" s="32"/>
      <c r="J1990" s="32"/>
      <c r="K1990" s="45" t="s">
        <v>888</v>
      </c>
      <c r="L1990" s="129"/>
      <c r="M1990" s="33" t="str">
        <f t="shared" si="31"/>
        <v/>
      </c>
      <c r="N1990" s="34" t="str">
        <f>IFERROR(IF(Tabela1[[#This Row],[Nome fantasia]]="","",_xlfn.XLOOKUP($C1990,Log!D:D,Log!B:B,,,-1)),"")</f>
        <v/>
      </c>
      <c r="O1990" s="35" t="str">
        <f>IFERROR(_xlfn.XLOOKUP($C1990,Log!D:D,Log!W:W,,,-1),"")</f>
        <v/>
      </c>
      <c r="P1990" s="35" t="str">
        <f>IFERROR(_xlfn.XLOOKUP($C1990,Log!D:D,Log!Y:Y,,,-1),"")</f>
        <v/>
      </c>
      <c r="Q1990" s="130"/>
      <c r="R1990" s="131" t="str">
        <f>IFERROR(IF(Tabela1[[#This Row],[Nome fantasia]]="","",_xlfn.XLOOKUP($C1990,Log!D:D,Log!X:X,,,-1)),"")</f>
        <v/>
      </c>
    </row>
    <row r="1991" spans="3:18" hidden="1" x14ac:dyDescent="0.2">
      <c r="C1991" s="30" t="s">
        <v>4289</v>
      </c>
      <c r="D1991" s="110" t="s">
        <v>4290</v>
      </c>
      <c r="E1991" s="33" t="s">
        <v>22</v>
      </c>
      <c r="F1991" s="38"/>
      <c r="G1991" s="38"/>
      <c r="H1991" s="31"/>
      <c r="I1991" s="32"/>
      <c r="J1991" s="32"/>
      <c r="K1991" s="45" t="s">
        <v>888</v>
      </c>
      <c r="L1991" s="129"/>
      <c r="M1991" s="33" t="str">
        <f t="shared" si="31"/>
        <v/>
      </c>
      <c r="N1991" s="34" t="str">
        <f>IFERROR(IF(Tabela1[[#This Row],[Nome fantasia]]="","",_xlfn.XLOOKUP($C1991,Log!D:D,Log!B:B,,,-1)),"")</f>
        <v/>
      </c>
      <c r="O1991" s="35" t="str">
        <f>IFERROR(_xlfn.XLOOKUP($C1991,Log!D:D,Log!W:W,,,-1),"")</f>
        <v/>
      </c>
      <c r="P1991" s="35" t="str">
        <f>IFERROR(_xlfn.XLOOKUP($C1991,Log!D:D,Log!Y:Y,,,-1),"")</f>
        <v/>
      </c>
      <c r="Q1991" s="130"/>
      <c r="R1991" s="131" t="str">
        <f>IFERROR(IF(Tabela1[[#This Row],[Nome fantasia]]="","",_xlfn.XLOOKUP($C1991,Log!D:D,Log!X:X,,,-1)),"")</f>
        <v/>
      </c>
    </row>
    <row r="1992" spans="3:18" hidden="1" x14ac:dyDescent="0.2">
      <c r="C1992" s="30" t="s">
        <v>4291</v>
      </c>
      <c r="D1992" s="110" t="s">
        <v>4292</v>
      </c>
      <c r="E1992" s="33" t="s">
        <v>46</v>
      </c>
      <c r="F1992" s="38"/>
      <c r="G1992" s="38"/>
      <c r="H1992" s="31"/>
      <c r="I1992" s="32"/>
      <c r="J1992" s="32"/>
      <c r="K1992" s="45" t="s">
        <v>888</v>
      </c>
      <c r="L1992" s="129"/>
      <c r="M1992" s="33" t="str">
        <f t="shared" si="31"/>
        <v/>
      </c>
      <c r="N1992" s="34" t="str">
        <f>IFERROR(IF(Tabela1[[#This Row],[Nome fantasia]]="","",_xlfn.XLOOKUP($C1992,Log!D:D,Log!B:B,,,-1)),"")</f>
        <v/>
      </c>
      <c r="O1992" s="35" t="str">
        <f>IFERROR(_xlfn.XLOOKUP($C1992,Log!D:D,Log!W:W,,,-1),"")</f>
        <v/>
      </c>
      <c r="P1992" s="35" t="str">
        <f>IFERROR(_xlfn.XLOOKUP($C1992,Log!D:D,Log!Y:Y,,,-1),"")</f>
        <v/>
      </c>
      <c r="Q1992" s="130"/>
      <c r="R1992" s="131" t="str">
        <f>IFERROR(IF(Tabela1[[#This Row],[Nome fantasia]]="","",_xlfn.XLOOKUP($C1992,Log!D:D,Log!X:X,,,-1)),"")</f>
        <v/>
      </c>
    </row>
    <row r="1993" spans="3:18" hidden="1" x14ac:dyDescent="0.2">
      <c r="C1993" s="30" t="s">
        <v>4293</v>
      </c>
      <c r="D1993" s="110" t="s">
        <v>4294</v>
      </c>
      <c r="E1993" s="33" t="s">
        <v>46</v>
      </c>
      <c r="F1993" s="38"/>
      <c r="G1993" s="38"/>
      <c r="H1993" s="31"/>
      <c r="I1993" s="32"/>
      <c r="J1993" s="32"/>
      <c r="K1993" s="45" t="s">
        <v>888</v>
      </c>
      <c r="L1993" s="129"/>
      <c r="M1993" s="33" t="str">
        <f t="shared" si="31"/>
        <v/>
      </c>
      <c r="N1993" s="34" t="str">
        <f>IFERROR(IF(Tabela1[[#This Row],[Nome fantasia]]="","",_xlfn.XLOOKUP($C1993,Log!D:D,Log!B:B,,,-1)),"")</f>
        <v/>
      </c>
      <c r="O1993" s="35" t="str">
        <f>IFERROR(_xlfn.XLOOKUP($C1993,Log!D:D,Log!W:W,,,-1),"")</f>
        <v/>
      </c>
      <c r="P1993" s="35" t="str">
        <f>IFERROR(_xlfn.XLOOKUP($C1993,Log!D:D,Log!Y:Y,,,-1),"")</f>
        <v/>
      </c>
      <c r="Q1993" s="130"/>
      <c r="R1993" s="131" t="str">
        <f>IFERROR(IF(Tabela1[[#This Row],[Nome fantasia]]="","",_xlfn.XLOOKUP($C1993,Log!D:D,Log!X:X,,,-1)),"")</f>
        <v/>
      </c>
    </row>
    <row r="1994" spans="3:18" hidden="1" x14ac:dyDescent="0.2">
      <c r="C1994" s="30" t="s">
        <v>3787</v>
      </c>
      <c r="D1994" s="110" t="s">
        <v>4295</v>
      </c>
      <c r="E1994" s="33" t="s">
        <v>46</v>
      </c>
      <c r="F1994" s="38"/>
      <c r="G1994" s="38"/>
      <c r="H1994" s="31"/>
      <c r="I1994" s="32"/>
      <c r="J1994" s="32"/>
      <c r="K1994" s="45" t="s">
        <v>888</v>
      </c>
      <c r="L1994" s="129"/>
      <c r="M1994" s="33" t="str">
        <f t="shared" si="31"/>
        <v/>
      </c>
      <c r="N1994" s="34" t="str">
        <f>IFERROR(IF(Tabela1[[#This Row],[Nome fantasia]]="","",_xlfn.XLOOKUP($C1994,Log!D:D,Log!B:B,,,-1)),"")</f>
        <v/>
      </c>
      <c r="O1994" s="35" t="str">
        <f>IFERROR(_xlfn.XLOOKUP($C1994,Log!D:D,Log!W:W,,,-1),"")</f>
        <v/>
      </c>
      <c r="P1994" s="35" t="str">
        <f>IFERROR(_xlfn.XLOOKUP($C1994,Log!D:D,Log!Y:Y,,,-1),"")</f>
        <v/>
      </c>
      <c r="Q1994" s="130"/>
      <c r="R1994" s="131" t="str">
        <f>IFERROR(IF(Tabela1[[#This Row],[Nome fantasia]]="","",_xlfn.XLOOKUP($C1994,Log!D:D,Log!X:X,,,-1)),"")</f>
        <v/>
      </c>
    </row>
    <row r="1995" spans="3:18" hidden="1" x14ac:dyDescent="0.2">
      <c r="C1995" s="30" t="s">
        <v>4296</v>
      </c>
      <c r="D1995" s="110" t="s">
        <v>4297</v>
      </c>
      <c r="E1995" s="33" t="s">
        <v>46</v>
      </c>
      <c r="F1995" s="38"/>
      <c r="G1995" s="38"/>
      <c r="H1995" s="31"/>
      <c r="I1995" s="32"/>
      <c r="J1995" s="32"/>
      <c r="K1995" s="45" t="s">
        <v>888</v>
      </c>
      <c r="L1995" s="129"/>
      <c r="M1995" s="33" t="str">
        <f t="shared" si="31"/>
        <v/>
      </c>
      <c r="N1995" s="34" t="str">
        <f>IFERROR(IF(Tabela1[[#This Row],[Nome fantasia]]="","",_xlfn.XLOOKUP($C1995,Log!D:D,Log!B:B,,,-1)),"")</f>
        <v/>
      </c>
      <c r="O1995" s="35" t="str">
        <f>IFERROR(_xlfn.XLOOKUP($C1995,Log!D:D,Log!W:W,,,-1),"")</f>
        <v/>
      </c>
      <c r="P1995" s="35" t="str">
        <f>IFERROR(_xlfn.XLOOKUP($C1995,Log!D:D,Log!Y:Y,,,-1),"")</f>
        <v/>
      </c>
      <c r="Q1995" s="130"/>
      <c r="R1995" s="131" t="str">
        <f>IFERROR(IF(Tabela1[[#This Row],[Nome fantasia]]="","",_xlfn.XLOOKUP($C1995,Log!D:D,Log!X:X,,,-1)),"")</f>
        <v/>
      </c>
    </row>
    <row r="1996" spans="3:18" hidden="1" x14ac:dyDescent="0.2">
      <c r="C1996" s="30"/>
      <c r="D1996" s="110" t="s">
        <v>4298</v>
      </c>
      <c r="E1996" s="33" t="s">
        <v>17</v>
      </c>
      <c r="F1996" s="38"/>
      <c r="G1996" s="38"/>
      <c r="H1996" s="31"/>
      <c r="I1996" s="32"/>
      <c r="J1996" s="32"/>
      <c r="K1996" s="45" t="s">
        <v>888</v>
      </c>
      <c r="L1996" s="129"/>
      <c r="M1996" s="33" t="str">
        <f t="shared" si="31"/>
        <v/>
      </c>
      <c r="N1996" s="34" t="str">
        <f>IFERROR(IF(Tabela1[[#This Row],[Nome fantasia]]="","",_xlfn.XLOOKUP($C1996,Log!D:D,Log!B:B,,,-1)),"")</f>
        <v/>
      </c>
      <c r="O1996" s="35" t="str">
        <f>IFERROR(_xlfn.XLOOKUP($C1996,Log!D:D,Log!W:W,,,-1),"")</f>
        <v/>
      </c>
      <c r="P1996" s="35" t="str">
        <f>IFERROR(_xlfn.XLOOKUP($C1996,Log!D:D,Log!Y:Y,,,-1),"")</f>
        <v/>
      </c>
      <c r="Q1996" s="130"/>
      <c r="R1996" s="131" t="str">
        <f>IFERROR(IF(Tabela1[[#This Row],[Nome fantasia]]="","",_xlfn.XLOOKUP($C1996,Log!D:D,Log!X:X,,,-1)),"")</f>
        <v/>
      </c>
    </row>
    <row r="1997" spans="3:18" hidden="1" x14ac:dyDescent="0.2">
      <c r="C1997" s="30" t="s">
        <v>2342</v>
      </c>
      <c r="D1997" s="110" t="s">
        <v>4299</v>
      </c>
      <c r="E1997" s="33" t="s">
        <v>46</v>
      </c>
      <c r="F1997" s="38"/>
      <c r="G1997" s="38"/>
      <c r="H1997" s="31"/>
      <c r="I1997" s="32"/>
      <c r="J1997" s="32"/>
      <c r="K1997" s="45" t="s">
        <v>888</v>
      </c>
      <c r="L1997" s="129"/>
      <c r="M1997" s="33" t="str">
        <f t="shared" si="31"/>
        <v/>
      </c>
      <c r="N1997" s="34" t="str">
        <f>IFERROR(IF(Tabela1[[#This Row],[Nome fantasia]]="","",_xlfn.XLOOKUP($C1997,Log!D:D,Log!B:B,,,-1)),"")</f>
        <v/>
      </c>
      <c r="O1997" s="35" t="str">
        <f>IFERROR(_xlfn.XLOOKUP($C1997,Log!D:D,Log!W:W,,,-1),"")</f>
        <v/>
      </c>
      <c r="P1997" s="35" t="str">
        <f>IFERROR(_xlfn.XLOOKUP($C1997,Log!D:D,Log!Y:Y,,,-1),"")</f>
        <v/>
      </c>
      <c r="Q1997" s="130"/>
      <c r="R1997" s="131" t="str">
        <f>IFERROR(IF(Tabela1[[#This Row],[Nome fantasia]]="","",_xlfn.XLOOKUP($C1997,Log!D:D,Log!X:X,,,-1)),"")</f>
        <v/>
      </c>
    </row>
    <row r="1998" spans="3:18" hidden="1" x14ac:dyDescent="0.2">
      <c r="C1998" s="30" t="s">
        <v>4300</v>
      </c>
      <c r="D1998" s="110" t="s">
        <v>4301</v>
      </c>
      <c r="E1998" s="33" t="s">
        <v>46</v>
      </c>
      <c r="F1998" s="38"/>
      <c r="G1998" s="38"/>
      <c r="H1998" s="31"/>
      <c r="I1998" s="32"/>
      <c r="J1998" s="32"/>
      <c r="K1998" s="45" t="s">
        <v>888</v>
      </c>
      <c r="L1998" s="129"/>
      <c r="M1998" s="33" t="str">
        <f t="shared" si="31"/>
        <v/>
      </c>
      <c r="N1998" s="34" t="str">
        <f>IFERROR(IF(Tabela1[[#This Row],[Nome fantasia]]="","",_xlfn.XLOOKUP($C1998,Log!D:D,Log!B:B,,,-1)),"")</f>
        <v/>
      </c>
      <c r="O1998" s="35" t="str">
        <f>IFERROR(_xlfn.XLOOKUP($C1998,Log!D:D,Log!W:W,,,-1),"")</f>
        <v/>
      </c>
      <c r="P1998" s="35" t="str">
        <f>IFERROR(_xlfn.XLOOKUP($C1998,Log!D:D,Log!Y:Y,,,-1),"")</f>
        <v/>
      </c>
      <c r="Q1998" s="130"/>
      <c r="R1998" s="131" t="str">
        <f>IFERROR(IF(Tabela1[[#This Row],[Nome fantasia]]="","",_xlfn.XLOOKUP($C1998,Log!D:D,Log!X:X,,,-1)),"")</f>
        <v/>
      </c>
    </row>
    <row r="1999" spans="3:18" hidden="1" x14ac:dyDescent="0.2">
      <c r="C1999" s="30" t="s">
        <v>4302</v>
      </c>
      <c r="D1999" s="110" t="s">
        <v>4303</v>
      </c>
      <c r="E1999" s="33" t="s">
        <v>22</v>
      </c>
      <c r="F1999" s="38"/>
      <c r="G1999" s="38"/>
      <c r="H1999" s="31"/>
      <c r="I1999" s="32"/>
      <c r="J1999" s="32"/>
      <c r="K1999" s="45" t="s">
        <v>888</v>
      </c>
      <c r="L1999" s="129"/>
      <c r="M1999" s="33" t="str">
        <f t="shared" si="31"/>
        <v/>
      </c>
      <c r="N1999" s="34" t="str">
        <f>IFERROR(IF(Tabela1[[#This Row],[Nome fantasia]]="","",_xlfn.XLOOKUP($C1999,Log!D:D,Log!B:B,,,-1)),"")</f>
        <v/>
      </c>
      <c r="O1999" s="35" t="str">
        <f>IFERROR(_xlfn.XLOOKUP($C1999,Log!D:D,Log!W:W,,,-1),"")</f>
        <v/>
      </c>
      <c r="P1999" s="35" t="str">
        <f>IFERROR(_xlfn.XLOOKUP($C1999,Log!D:D,Log!Y:Y,,,-1),"")</f>
        <v/>
      </c>
      <c r="Q1999" s="130"/>
      <c r="R1999" s="131" t="str">
        <f>IFERROR(IF(Tabela1[[#This Row],[Nome fantasia]]="","",_xlfn.XLOOKUP($C1999,Log!D:D,Log!X:X,,,-1)),"")</f>
        <v/>
      </c>
    </row>
    <row r="2000" spans="3:18" hidden="1" x14ac:dyDescent="0.2">
      <c r="C2000" s="30" t="s">
        <v>4304</v>
      </c>
      <c r="D2000" s="110" t="s">
        <v>4305</v>
      </c>
      <c r="E2000" s="33" t="s">
        <v>22</v>
      </c>
      <c r="F2000" s="38"/>
      <c r="G2000" s="38"/>
      <c r="H2000" s="31"/>
      <c r="I2000" s="32"/>
      <c r="J2000" s="32"/>
      <c r="K2000" s="45" t="s">
        <v>888</v>
      </c>
      <c r="L2000" s="129"/>
      <c r="M2000" s="33" t="str">
        <f t="shared" si="31"/>
        <v/>
      </c>
      <c r="N2000" s="34" t="str">
        <f>IFERROR(IF(Tabela1[[#This Row],[Nome fantasia]]="","",_xlfn.XLOOKUP($C2000,Log!D:D,Log!B:B,,,-1)),"")</f>
        <v/>
      </c>
      <c r="O2000" s="35" t="str">
        <f>IFERROR(_xlfn.XLOOKUP($C2000,Log!D:D,Log!W:W,,,-1),"")</f>
        <v/>
      </c>
      <c r="P2000" s="35" t="str">
        <f>IFERROR(_xlfn.XLOOKUP($C2000,Log!D:D,Log!Y:Y,,,-1),"")</f>
        <v/>
      </c>
      <c r="Q2000" s="130"/>
      <c r="R2000" s="131" t="str">
        <f>IFERROR(IF(Tabela1[[#This Row],[Nome fantasia]]="","",_xlfn.XLOOKUP($C2000,Log!D:D,Log!X:X,,,-1)),"")</f>
        <v/>
      </c>
    </row>
    <row r="2001" spans="3:18" hidden="1" x14ac:dyDescent="0.2">
      <c r="C2001" s="30" t="s">
        <v>4306</v>
      </c>
      <c r="D2001" s="110" t="s">
        <v>4307</v>
      </c>
      <c r="E2001" s="33" t="s">
        <v>46</v>
      </c>
      <c r="F2001" s="38"/>
      <c r="G2001" s="38"/>
      <c r="H2001" s="31"/>
      <c r="I2001" s="32"/>
      <c r="J2001" s="32"/>
      <c r="K2001" s="45" t="s">
        <v>888</v>
      </c>
      <c r="L2001" s="129"/>
      <c r="M2001" s="33" t="str">
        <f t="shared" si="31"/>
        <v/>
      </c>
      <c r="N2001" s="34" t="str">
        <f>IFERROR(IF(Tabela1[[#This Row],[Nome fantasia]]="","",_xlfn.XLOOKUP($C2001,Log!D:D,Log!B:B,,,-1)),"")</f>
        <v/>
      </c>
      <c r="O2001" s="35" t="str">
        <f>IFERROR(_xlfn.XLOOKUP($C2001,Log!D:D,Log!W:W,,,-1),"")</f>
        <v/>
      </c>
      <c r="P2001" s="35" t="str">
        <f>IFERROR(_xlfn.XLOOKUP($C2001,Log!D:D,Log!Y:Y,,,-1),"")</f>
        <v/>
      </c>
      <c r="Q2001" s="130"/>
      <c r="R2001" s="131" t="str">
        <f>IFERROR(IF(Tabela1[[#This Row],[Nome fantasia]]="","",_xlfn.XLOOKUP($C2001,Log!D:D,Log!X:X,,,-1)),"")</f>
        <v/>
      </c>
    </row>
    <row r="2002" spans="3:18" hidden="1" x14ac:dyDescent="0.2">
      <c r="C2002" s="30" t="s">
        <v>4308</v>
      </c>
      <c r="D2002" s="110" t="s">
        <v>4309</v>
      </c>
      <c r="E2002" s="33" t="s">
        <v>17</v>
      </c>
      <c r="F2002" s="38"/>
      <c r="G2002" s="38"/>
      <c r="H2002" s="31"/>
      <c r="I2002" s="32"/>
      <c r="J2002" s="32"/>
      <c r="K2002" s="45" t="s">
        <v>888</v>
      </c>
      <c r="L2002" s="129"/>
      <c r="M2002" s="33" t="str">
        <f t="shared" si="31"/>
        <v/>
      </c>
      <c r="N2002" s="34" t="str">
        <f>IFERROR(IF(Tabela1[[#This Row],[Nome fantasia]]="","",_xlfn.XLOOKUP($C2002,Log!D:D,Log!B:B,,,-1)),"")</f>
        <v/>
      </c>
      <c r="O2002" s="35" t="str">
        <f>IFERROR(_xlfn.XLOOKUP($C2002,Log!D:D,Log!W:W,,,-1),"")</f>
        <v/>
      </c>
      <c r="P2002" s="35" t="str">
        <f>IFERROR(_xlfn.XLOOKUP($C2002,Log!D:D,Log!Y:Y,,,-1),"")</f>
        <v/>
      </c>
      <c r="Q2002" s="130"/>
      <c r="R2002" s="131" t="str">
        <f>IFERROR(IF(Tabela1[[#This Row],[Nome fantasia]]="","",_xlfn.XLOOKUP($C2002,Log!D:D,Log!X:X,,,-1)),"")</f>
        <v/>
      </c>
    </row>
    <row r="2003" spans="3:18" hidden="1" x14ac:dyDescent="0.2">
      <c r="C2003" s="30" t="s">
        <v>4310</v>
      </c>
      <c r="D2003" s="110" t="s">
        <v>4311</v>
      </c>
      <c r="E2003" s="33" t="s">
        <v>22</v>
      </c>
      <c r="F2003" s="38"/>
      <c r="G2003" s="38"/>
      <c r="H2003" s="31"/>
      <c r="I2003" s="32"/>
      <c r="J2003" s="32"/>
      <c r="K2003" s="45" t="s">
        <v>888</v>
      </c>
      <c r="L2003" s="129"/>
      <c r="M2003" s="33" t="str">
        <f t="shared" si="31"/>
        <v/>
      </c>
      <c r="N2003" s="34" t="str">
        <f>IFERROR(IF(Tabela1[[#This Row],[Nome fantasia]]="","",_xlfn.XLOOKUP($C2003,Log!D:D,Log!B:B,,,-1)),"")</f>
        <v/>
      </c>
      <c r="O2003" s="35" t="str">
        <f>IFERROR(_xlfn.XLOOKUP($C2003,Log!D:D,Log!W:W,,,-1),"")</f>
        <v/>
      </c>
      <c r="P2003" s="35" t="str">
        <f>IFERROR(_xlfn.XLOOKUP($C2003,Log!D:D,Log!Y:Y,,,-1),"")</f>
        <v/>
      </c>
      <c r="Q2003" s="130"/>
      <c r="R2003" s="131" t="str">
        <f>IFERROR(IF(Tabela1[[#This Row],[Nome fantasia]]="","",_xlfn.XLOOKUP($C2003,Log!D:D,Log!X:X,,,-1)),"")</f>
        <v/>
      </c>
    </row>
    <row r="2004" spans="3:18" hidden="1" x14ac:dyDescent="0.2">
      <c r="C2004" s="30"/>
      <c r="D2004" s="110" t="s">
        <v>4312</v>
      </c>
      <c r="E2004" s="33" t="s">
        <v>17</v>
      </c>
      <c r="F2004" s="38"/>
      <c r="G2004" s="38"/>
      <c r="H2004" s="31"/>
      <c r="I2004" s="32"/>
      <c r="J2004" s="32"/>
      <c r="K2004" s="45" t="s">
        <v>888</v>
      </c>
      <c r="L2004" s="129"/>
      <c r="M2004" s="33" t="str">
        <f t="shared" si="31"/>
        <v/>
      </c>
      <c r="N2004" s="34" t="str">
        <f>IFERROR(IF(Tabela1[[#This Row],[Nome fantasia]]="","",_xlfn.XLOOKUP($C2004,Log!D:D,Log!B:B,,,-1)),"")</f>
        <v/>
      </c>
      <c r="O2004" s="35" t="str">
        <f>IFERROR(_xlfn.XLOOKUP($C2004,Log!D:D,Log!W:W,,,-1),"")</f>
        <v/>
      </c>
      <c r="P2004" s="35" t="str">
        <f>IFERROR(_xlfn.XLOOKUP($C2004,Log!D:D,Log!Y:Y,,,-1),"")</f>
        <v/>
      </c>
      <c r="Q2004" s="130"/>
      <c r="R2004" s="131" t="str">
        <f>IFERROR(IF(Tabela1[[#This Row],[Nome fantasia]]="","",_xlfn.XLOOKUP($C2004,Log!D:D,Log!X:X,,,-1)),"")</f>
        <v/>
      </c>
    </row>
    <row r="2005" spans="3:18" hidden="1" x14ac:dyDescent="0.2">
      <c r="C2005" s="30" t="s">
        <v>4313</v>
      </c>
      <c r="D2005" s="110" t="s">
        <v>4314</v>
      </c>
      <c r="E2005" s="33" t="s">
        <v>46</v>
      </c>
      <c r="F2005" s="38"/>
      <c r="G2005" s="38"/>
      <c r="H2005" s="31"/>
      <c r="I2005" s="32"/>
      <c r="J2005" s="32"/>
      <c r="K2005" s="45" t="s">
        <v>888</v>
      </c>
      <c r="L2005" s="129"/>
      <c r="M2005" s="33" t="str">
        <f t="shared" si="31"/>
        <v/>
      </c>
      <c r="N2005" s="34" t="str">
        <f>IFERROR(IF(Tabela1[[#This Row],[Nome fantasia]]="","",_xlfn.XLOOKUP($C2005,Log!D:D,Log!B:B,,,-1)),"")</f>
        <v/>
      </c>
      <c r="O2005" s="35" t="str">
        <f>IFERROR(_xlfn.XLOOKUP($C2005,Log!D:D,Log!W:W,,,-1),"")</f>
        <v/>
      </c>
      <c r="P2005" s="35" t="str">
        <f>IFERROR(_xlfn.XLOOKUP($C2005,Log!D:D,Log!Y:Y,,,-1),"")</f>
        <v/>
      </c>
      <c r="Q2005" s="130"/>
      <c r="R2005" s="131" t="str">
        <f>IFERROR(IF(Tabela1[[#This Row],[Nome fantasia]]="","",_xlfn.XLOOKUP($C2005,Log!D:D,Log!X:X,,,-1)),"")</f>
        <v/>
      </c>
    </row>
    <row r="2006" spans="3:18" hidden="1" x14ac:dyDescent="0.2">
      <c r="C2006" s="30"/>
      <c r="D2006" s="110"/>
      <c r="E2006" s="33" t="s">
        <v>22</v>
      </c>
      <c r="F2006" s="38"/>
      <c r="G2006" s="38"/>
      <c r="H2006" s="31"/>
      <c r="I2006" s="32"/>
      <c r="J2006" s="32"/>
      <c r="K2006" s="45" t="s">
        <v>888</v>
      </c>
      <c r="L2006" s="129"/>
      <c r="M2006" s="33" t="str">
        <f t="shared" si="31"/>
        <v/>
      </c>
      <c r="N2006" s="34" t="str">
        <f>IFERROR(IF(Tabela1[[#This Row],[Nome fantasia]]="","",_xlfn.XLOOKUP($C2006,Log!D:D,Log!B:B,,,-1)),"")</f>
        <v/>
      </c>
      <c r="O2006" s="35" t="str">
        <f>IFERROR(_xlfn.XLOOKUP($C2006,Log!D:D,Log!W:W,,,-1),"")</f>
        <v/>
      </c>
      <c r="P2006" s="35" t="str">
        <f>IFERROR(_xlfn.XLOOKUP($C2006,Log!D:D,Log!Y:Y,,,-1),"")</f>
        <v/>
      </c>
      <c r="Q2006" s="130"/>
      <c r="R2006" s="131" t="str">
        <f>IFERROR(IF(Tabela1[[#This Row],[Nome fantasia]]="","",_xlfn.XLOOKUP($C2006,Log!D:D,Log!X:X,,,-1)),"")</f>
        <v/>
      </c>
    </row>
    <row r="2007" spans="3:18" hidden="1" x14ac:dyDescent="0.2">
      <c r="C2007" s="30" t="s">
        <v>1457</v>
      </c>
      <c r="D2007" s="110"/>
      <c r="E2007" s="33" t="s">
        <v>22</v>
      </c>
      <c r="F2007" s="38"/>
      <c r="G2007" s="38"/>
      <c r="H2007" s="31"/>
      <c r="I2007" s="32"/>
      <c r="J2007" s="32"/>
      <c r="K2007" s="45" t="s">
        <v>888</v>
      </c>
      <c r="L2007" s="129"/>
      <c r="M2007" s="33" t="str">
        <f t="shared" si="31"/>
        <v/>
      </c>
      <c r="N2007" s="34" t="str">
        <f>IFERROR(IF(Tabela1[[#This Row],[Nome fantasia]]="","",_xlfn.XLOOKUP($C2007,Log!D:D,Log!B:B,,,-1)),"")</f>
        <v/>
      </c>
      <c r="O2007" s="35" t="str">
        <f>IFERROR(_xlfn.XLOOKUP($C2007,Log!D:D,Log!W:W,,,-1),"")</f>
        <v/>
      </c>
      <c r="P2007" s="35" t="str">
        <f>IFERROR(_xlfn.XLOOKUP($C2007,Log!D:D,Log!Y:Y,,,-1),"")</f>
        <v/>
      </c>
      <c r="Q2007" s="130"/>
      <c r="R2007" s="131" t="str">
        <f>IFERROR(IF(Tabela1[[#This Row],[Nome fantasia]]="","",_xlfn.XLOOKUP($C2007,Log!D:D,Log!X:X,,,-1)),"")</f>
        <v/>
      </c>
    </row>
    <row r="2008" spans="3:18" hidden="1" x14ac:dyDescent="0.2">
      <c r="C2008" s="30"/>
      <c r="D2008" s="110"/>
      <c r="E2008" s="33" t="s">
        <v>46</v>
      </c>
      <c r="F2008" s="38"/>
      <c r="G2008" s="38"/>
      <c r="H2008" s="31"/>
      <c r="I2008" s="32"/>
      <c r="J2008" s="32"/>
      <c r="K2008" s="45" t="s">
        <v>888</v>
      </c>
      <c r="L2008" s="129"/>
      <c r="M2008" s="33" t="str">
        <f t="shared" si="31"/>
        <v/>
      </c>
      <c r="N2008" s="34" t="str">
        <f>IFERROR(IF(Tabela1[[#This Row],[Nome fantasia]]="","",_xlfn.XLOOKUP($C2008,Log!D:D,Log!B:B,,,-1)),"")</f>
        <v/>
      </c>
      <c r="O2008" s="35" t="str">
        <f>IFERROR(_xlfn.XLOOKUP($C2008,Log!D:D,Log!W:W,,,-1),"")</f>
        <v/>
      </c>
      <c r="P2008" s="35" t="str">
        <f>IFERROR(_xlfn.XLOOKUP($C2008,Log!D:D,Log!Y:Y,,,-1),"")</f>
        <v/>
      </c>
      <c r="Q2008" s="130"/>
      <c r="R2008" s="131" t="str">
        <f>IFERROR(IF(Tabela1[[#This Row],[Nome fantasia]]="","",_xlfn.XLOOKUP($C2008,Log!D:D,Log!X:X,,,-1)),"")</f>
        <v/>
      </c>
    </row>
    <row r="2009" spans="3:18" hidden="1" x14ac:dyDescent="0.2">
      <c r="C2009" s="30"/>
      <c r="D2009" s="110"/>
      <c r="E2009" s="33" t="s">
        <v>46</v>
      </c>
      <c r="F2009" s="38"/>
      <c r="G2009" s="38"/>
      <c r="H2009" s="31"/>
      <c r="I2009" s="32"/>
      <c r="J2009" s="32"/>
      <c r="K2009" s="45" t="s">
        <v>888</v>
      </c>
      <c r="L2009" s="129"/>
      <c r="M2009" s="33" t="str">
        <f t="shared" si="31"/>
        <v/>
      </c>
      <c r="N2009" s="34" t="str">
        <f>IFERROR(IF(Tabela1[[#This Row],[Nome fantasia]]="","",_xlfn.XLOOKUP($C2009,Log!D:D,Log!B:B,,,-1)),"")</f>
        <v/>
      </c>
      <c r="O2009" s="35" t="str">
        <f>IFERROR(_xlfn.XLOOKUP($C2009,Log!D:D,Log!W:W,,,-1),"")</f>
        <v/>
      </c>
      <c r="P2009" s="35" t="str">
        <f>IFERROR(_xlfn.XLOOKUP($C2009,Log!D:D,Log!Y:Y,,,-1),"")</f>
        <v/>
      </c>
      <c r="Q2009" s="130"/>
      <c r="R2009" s="131" t="str">
        <f>IFERROR(IF(Tabela1[[#This Row],[Nome fantasia]]="","",_xlfn.XLOOKUP($C2009,Log!D:D,Log!X:X,,,-1)),"")</f>
        <v/>
      </c>
    </row>
    <row r="2010" spans="3:18" hidden="1" x14ac:dyDescent="0.2">
      <c r="C2010" s="30" t="s">
        <v>2571</v>
      </c>
      <c r="D2010" s="110"/>
      <c r="E2010" s="33" t="s">
        <v>17</v>
      </c>
      <c r="F2010" s="38"/>
      <c r="G2010" s="38"/>
      <c r="H2010" s="31"/>
      <c r="I2010" s="32"/>
      <c r="J2010" s="32"/>
      <c r="K2010" s="45" t="s">
        <v>888</v>
      </c>
      <c r="L2010" s="129"/>
      <c r="M2010" s="33" t="str">
        <f t="shared" si="31"/>
        <v/>
      </c>
      <c r="N2010" s="34" t="str">
        <f>IFERROR(IF(Tabela1[[#This Row],[Nome fantasia]]="","",_xlfn.XLOOKUP($C2010,Log!D:D,Log!B:B,,,-1)),"")</f>
        <v/>
      </c>
      <c r="O2010" s="35" t="str">
        <f>IFERROR(_xlfn.XLOOKUP($C2010,Log!D:D,Log!W:W,,,-1),"")</f>
        <v/>
      </c>
      <c r="P2010" s="35" t="str">
        <f>IFERROR(_xlfn.XLOOKUP($C2010,Log!D:D,Log!Y:Y,,,-1),"")</f>
        <v/>
      </c>
      <c r="Q2010" s="130"/>
      <c r="R2010" s="131" t="str">
        <f>IFERROR(IF(Tabela1[[#This Row],[Nome fantasia]]="","",_xlfn.XLOOKUP($C2010,Log!D:D,Log!X:X,,,-1)),"")</f>
        <v/>
      </c>
    </row>
    <row r="2011" spans="3:18" hidden="1" x14ac:dyDescent="0.2">
      <c r="C2011" s="30"/>
      <c r="D2011" s="110"/>
      <c r="E2011" s="33" t="s">
        <v>46</v>
      </c>
      <c r="F2011" s="38"/>
      <c r="G2011" s="38"/>
      <c r="H2011" s="31"/>
      <c r="I2011" s="32"/>
      <c r="J2011" s="32"/>
      <c r="K2011" s="45" t="s">
        <v>888</v>
      </c>
      <c r="L2011" s="129"/>
      <c r="M2011" s="33" t="str">
        <f t="shared" si="31"/>
        <v/>
      </c>
      <c r="N2011" s="34" t="str">
        <f>IFERROR(IF(Tabela1[[#This Row],[Nome fantasia]]="","",_xlfn.XLOOKUP($C2011,Log!D:D,Log!B:B,,,-1)),"")</f>
        <v/>
      </c>
      <c r="O2011" s="35" t="str">
        <f>IFERROR(_xlfn.XLOOKUP($C2011,Log!D:D,Log!W:W,,,-1),"")</f>
        <v/>
      </c>
      <c r="P2011" s="35" t="str">
        <f>IFERROR(_xlfn.XLOOKUP($C2011,Log!D:D,Log!Y:Y,,,-1),"")</f>
        <v/>
      </c>
      <c r="Q2011" s="130"/>
      <c r="R2011" s="131" t="str">
        <f>IFERROR(IF(Tabela1[[#This Row],[Nome fantasia]]="","",_xlfn.XLOOKUP($C2011,Log!D:D,Log!X:X,,,-1)),"")</f>
        <v/>
      </c>
    </row>
    <row r="2012" spans="3:18" hidden="1" x14ac:dyDescent="0.2">
      <c r="C2012" s="30"/>
      <c r="D2012" s="110"/>
      <c r="E2012" s="33"/>
      <c r="F2012" s="38"/>
      <c r="G2012" s="38"/>
      <c r="H2012" s="31"/>
      <c r="I2012" s="32"/>
      <c r="J2012" s="32"/>
      <c r="K2012" s="45" t="s">
        <v>888</v>
      </c>
      <c r="L2012" s="129"/>
      <c r="M2012" s="33" t="str">
        <f t="shared" si="31"/>
        <v/>
      </c>
      <c r="N2012" s="34" t="str">
        <f>IFERROR(IF(Tabela1[[#This Row],[Nome fantasia]]="","",_xlfn.XLOOKUP($C2012,Log!D:D,Log!B:B,,,-1)),"")</f>
        <v/>
      </c>
      <c r="O2012" s="35" t="str">
        <f>IFERROR(_xlfn.XLOOKUP($C2012,Log!D:D,Log!W:W,,,-1),"")</f>
        <v/>
      </c>
      <c r="P2012" s="35" t="str">
        <f>IFERROR(_xlfn.XLOOKUP($C2012,Log!D:D,Log!Y:Y,,,-1),"")</f>
        <v/>
      </c>
      <c r="Q2012" s="130"/>
      <c r="R2012" s="131" t="str">
        <f>IFERROR(IF(Tabela1[[#This Row],[Nome fantasia]]="","",_xlfn.XLOOKUP($C2012,Log!D:D,Log!X:X,,,-1)),"")</f>
        <v/>
      </c>
    </row>
    <row r="2013" spans="3:18" hidden="1" x14ac:dyDescent="0.2">
      <c r="C2013" s="30"/>
      <c r="D2013" s="110"/>
      <c r="E2013" s="33" t="s">
        <v>17</v>
      </c>
      <c r="F2013" s="38"/>
      <c r="G2013" s="38"/>
      <c r="H2013" s="31"/>
      <c r="I2013" s="32"/>
      <c r="J2013" s="32"/>
      <c r="K2013" s="45" t="s">
        <v>888</v>
      </c>
      <c r="L2013" s="129"/>
      <c r="M2013" s="33" t="str">
        <f t="shared" si="31"/>
        <v/>
      </c>
      <c r="N2013" s="34" t="str">
        <f>IFERROR(IF(Tabela1[[#This Row],[Nome fantasia]]="","",_xlfn.XLOOKUP($C2013,Log!D:D,Log!B:B,,,-1)),"")</f>
        <v/>
      </c>
      <c r="O2013" s="35" t="str">
        <f>IFERROR(_xlfn.XLOOKUP($C2013,Log!D:D,Log!W:W,,,-1),"")</f>
        <v/>
      </c>
      <c r="P2013" s="35" t="str">
        <f>IFERROR(_xlfn.XLOOKUP($C2013,Log!D:D,Log!Y:Y,,,-1),"")</f>
        <v/>
      </c>
      <c r="Q2013" s="130"/>
      <c r="R2013" s="131" t="str">
        <f>IFERROR(IF(Tabela1[[#This Row],[Nome fantasia]]="","",_xlfn.XLOOKUP($C2013,Log!D:D,Log!X:X,,,-1)),"")</f>
        <v/>
      </c>
    </row>
    <row r="2014" spans="3:18" hidden="1" x14ac:dyDescent="0.2">
      <c r="C2014" s="30"/>
      <c r="D2014" s="110"/>
      <c r="E2014" s="33" t="s">
        <v>46</v>
      </c>
      <c r="F2014" s="38"/>
      <c r="G2014" s="38"/>
      <c r="H2014" s="31"/>
      <c r="I2014" s="32"/>
      <c r="J2014" s="32"/>
      <c r="K2014" s="45" t="s">
        <v>888</v>
      </c>
      <c r="L2014" s="129"/>
      <c r="M2014" s="33" t="str">
        <f t="shared" si="31"/>
        <v/>
      </c>
      <c r="N2014" s="34" t="str">
        <f>IFERROR(IF(Tabela1[[#This Row],[Nome fantasia]]="","",_xlfn.XLOOKUP($C2014,Log!D:D,Log!B:B,,,-1)),"")</f>
        <v/>
      </c>
      <c r="O2014" s="35" t="str">
        <f>IFERROR(_xlfn.XLOOKUP($C2014,Log!D:D,Log!W:W,,,-1),"")</f>
        <v/>
      </c>
      <c r="P2014" s="35" t="str">
        <f>IFERROR(_xlfn.XLOOKUP($C2014,Log!D:D,Log!Y:Y,,,-1),"")</f>
        <v/>
      </c>
      <c r="Q2014" s="130"/>
      <c r="R2014" s="131" t="str">
        <f>IFERROR(IF(Tabela1[[#This Row],[Nome fantasia]]="","",_xlfn.XLOOKUP($C2014,Log!D:D,Log!X:X,,,-1)),"")</f>
        <v/>
      </c>
    </row>
    <row r="2015" spans="3:18" hidden="1" x14ac:dyDescent="0.2">
      <c r="C2015" s="30" t="s">
        <v>4112</v>
      </c>
      <c r="D2015" s="110"/>
      <c r="E2015" s="33" t="s">
        <v>17</v>
      </c>
      <c r="F2015" s="38"/>
      <c r="G2015" s="38"/>
      <c r="H2015" s="31"/>
      <c r="I2015" s="32"/>
      <c r="J2015" s="32"/>
      <c r="K2015" s="45" t="s">
        <v>888</v>
      </c>
      <c r="L2015" s="129"/>
      <c r="M2015" s="33" t="str">
        <f t="shared" si="31"/>
        <v/>
      </c>
      <c r="N2015" s="34" t="str">
        <f>IFERROR(IF(Tabela1[[#This Row],[Nome fantasia]]="","",_xlfn.XLOOKUP($C2015,Log!D:D,Log!B:B,,,-1)),"")</f>
        <v/>
      </c>
      <c r="O2015" s="35" t="str">
        <f>IFERROR(_xlfn.XLOOKUP($C2015,Log!D:D,Log!W:W,,,-1),"")</f>
        <v/>
      </c>
      <c r="P2015" s="35" t="str">
        <f>IFERROR(_xlfn.XLOOKUP($C2015,Log!D:D,Log!Y:Y,,,-1),"")</f>
        <v/>
      </c>
      <c r="Q2015" s="130"/>
      <c r="R2015" s="131" t="str">
        <f>IFERROR(IF(Tabela1[[#This Row],[Nome fantasia]]="","",_xlfn.XLOOKUP($C2015,Log!D:D,Log!X:X,,,-1)),"")</f>
        <v/>
      </c>
    </row>
    <row r="2016" spans="3:18" hidden="1" x14ac:dyDescent="0.2">
      <c r="C2016" s="30" t="s">
        <v>4315</v>
      </c>
      <c r="D2016" s="110" t="s">
        <v>4316</v>
      </c>
      <c r="E2016" s="33"/>
      <c r="F2016" s="38"/>
      <c r="G2016" s="38"/>
      <c r="H2016" s="31"/>
      <c r="I2016" s="32"/>
      <c r="J2016" s="32"/>
      <c r="K2016" s="45" t="s">
        <v>888</v>
      </c>
      <c r="L2016" s="129"/>
      <c r="M2016" s="33" t="str">
        <f t="shared" si="31"/>
        <v/>
      </c>
      <c r="N2016" s="34" t="str">
        <f>IFERROR(IF(Tabela1[[#This Row],[Nome fantasia]]="","",_xlfn.XLOOKUP($C2016,Log!D:D,Log!B:B,,,-1)),"")</f>
        <v/>
      </c>
      <c r="O2016" s="35" t="str">
        <f>IFERROR(_xlfn.XLOOKUP($C2016,Log!D:D,Log!W:W,,,-1),"")</f>
        <v/>
      </c>
      <c r="P2016" s="35" t="str">
        <f>IFERROR(_xlfn.XLOOKUP($C2016,Log!D:D,Log!Y:Y,,,-1),"")</f>
        <v/>
      </c>
      <c r="Q2016" s="130"/>
      <c r="R2016" s="131" t="str">
        <f>IFERROR(IF(Tabela1[[#This Row],[Nome fantasia]]="","",_xlfn.XLOOKUP($C2016,Log!D:D,Log!X:X,,,-1)),"")</f>
        <v/>
      </c>
    </row>
    <row r="2017" spans="3:18" hidden="1" x14ac:dyDescent="0.2">
      <c r="C2017" s="30"/>
      <c r="D2017" s="110"/>
      <c r="E2017" s="33" t="s">
        <v>46</v>
      </c>
      <c r="F2017" s="38"/>
      <c r="G2017" s="38"/>
      <c r="H2017" s="31"/>
      <c r="I2017" s="32"/>
      <c r="J2017" s="32"/>
      <c r="K2017" s="45" t="s">
        <v>888</v>
      </c>
      <c r="L2017" s="129"/>
      <c r="M2017" s="33" t="str">
        <f t="shared" si="31"/>
        <v/>
      </c>
      <c r="N2017" s="34" t="str">
        <f>IFERROR(IF(Tabela1[[#This Row],[Nome fantasia]]="","",_xlfn.XLOOKUP($C2017,Log!D:D,Log!B:B,,,-1)),"")</f>
        <v/>
      </c>
      <c r="O2017" s="35" t="str">
        <f>IFERROR(_xlfn.XLOOKUP($C2017,Log!D:D,Log!W:W,,,-1),"")</f>
        <v/>
      </c>
      <c r="P2017" s="35" t="str">
        <f>IFERROR(_xlfn.XLOOKUP($C2017,Log!D:D,Log!Y:Y,,,-1),"")</f>
        <v/>
      </c>
      <c r="Q2017" s="130"/>
      <c r="R2017" s="131" t="str">
        <f>IFERROR(IF(Tabela1[[#This Row],[Nome fantasia]]="","",_xlfn.XLOOKUP($C2017,Log!D:D,Log!X:X,,,-1)),"")</f>
        <v/>
      </c>
    </row>
    <row r="2018" spans="3:18" hidden="1" x14ac:dyDescent="0.2">
      <c r="C2018" s="30"/>
      <c r="D2018" s="110"/>
      <c r="E2018" s="33" t="s">
        <v>46</v>
      </c>
      <c r="F2018" s="38"/>
      <c r="G2018" s="38"/>
      <c r="H2018" s="31"/>
      <c r="I2018" s="32"/>
      <c r="J2018" s="32"/>
      <c r="K2018" s="45" t="s">
        <v>888</v>
      </c>
      <c r="L2018" s="129"/>
      <c r="M2018" s="33" t="str">
        <f t="shared" si="31"/>
        <v/>
      </c>
      <c r="N2018" s="34" t="str">
        <f>IFERROR(IF(Tabela1[[#This Row],[Nome fantasia]]="","",_xlfn.XLOOKUP($C2018,Log!D:D,Log!B:B,,,-1)),"")</f>
        <v/>
      </c>
      <c r="O2018" s="35" t="str">
        <f>IFERROR(_xlfn.XLOOKUP($C2018,Log!D:D,Log!W:W,,,-1),"")</f>
        <v/>
      </c>
      <c r="P2018" s="35" t="str">
        <f>IFERROR(_xlfn.XLOOKUP($C2018,Log!D:D,Log!Y:Y,,,-1),"")</f>
        <v/>
      </c>
      <c r="Q2018" s="130"/>
      <c r="R2018" s="131" t="str">
        <f>IFERROR(IF(Tabela1[[#This Row],[Nome fantasia]]="","",_xlfn.XLOOKUP($C2018,Log!D:D,Log!X:X,,,-1)),"")</f>
        <v/>
      </c>
    </row>
    <row r="2019" spans="3:18" hidden="1" x14ac:dyDescent="0.2">
      <c r="C2019" s="30"/>
      <c r="D2019" s="110"/>
      <c r="E2019" s="33" t="s">
        <v>22</v>
      </c>
      <c r="F2019" s="38"/>
      <c r="G2019" s="38"/>
      <c r="H2019" s="31"/>
      <c r="I2019" s="32"/>
      <c r="J2019" s="32"/>
      <c r="K2019" s="45" t="s">
        <v>888</v>
      </c>
      <c r="L2019" s="129"/>
      <c r="M2019" s="33" t="str">
        <f t="shared" si="31"/>
        <v/>
      </c>
      <c r="N2019" s="34" t="str">
        <f>IFERROR(IF(Tabela1[[#This Row],[Nome fantasia]]="","",_xlfn.XLOOKUP($C2019,Log!D:D,Log!B:B,,,-1)),"")</f>
        <v/>
      </c>
      <c r="O2019" s="35" t="str">
        <f>IFERROR(_xlfn.XLOOKUP($C2019,Log!D:D,Log!W:W,,,-1),"")</f>
        <v/>
      </c>
      <c r="P2019" s="35" t="str">
        <f>IFERROR(_xlfn.XLOOKUP($C2019,Log!D:D,Log!Y:Y,,,-1),"")</f>
        <v/>
      </c>
      <c r="Q2019" s="130"/>
      <c r="R2019" s="131" t="str">
        <f>IFERROR(IF(Tabela1[[#This Row],[Nome fantasia]]="","",_xlfn.XLOOKUP($C2019,Log!D:D,Log!X:X,,,-1)),"")</f>
        <v/>
      </c>
    </row>
    <row r="2020" spans="3:18" hidden="1" x14ac:dyDescent="0.2">
      <c r="C2020" s="30"/>
      <c r="D2020" s="110"/>
      <c r="E2020" s="33" t="s">
        <v>46</v>
      </c>
      <c r="F2020" s="38"/>
      <c r="G2020" s="38"/>
      <c r="H2020" s="31"/>
      <c r="I2020" s="32"/>
      <c r="J2020" s="32"/>
      <c r="K2020" s="45" t="s">
        <v>888</v>
      </c>
      <c r="L2020" s="129"/>
      <c r="M2020" s="33" t="str">
        <f t="shared" si="31"/>
        <v/>
      </c>
      <c r="N2020" s="34" t="str">
        <f>IFERROR(IF(Tabela1[[#This Row],[Nome fantasia]]="","",_xlfn.XLOOKUP($C2020,Log!D:D,Log!B:B,,,-1)),"")</f>
        <v/>
      </c>
      <c r="O2020" s="35" t="str">
        <f>IFERROR(_xlfn.XLOOKUP($C2020,Log!D:D,Log!W:W,,,-1),"")</f>
        <v/>
      </c>
      <c r="P2020" s="35" t="str">
        <f>IFERROR(_xlfn.XLOOKUP($C2020,Log!D:D,Log!Y:Y,,,-1),"")</f>
        <v/>
      </c>
      <c r="Q2020" s="130"/>
      <c r="R2020" s="131" t="str">
        <f>IFERROR(IF(Tabela1[[#This Row],[Nome fantasia]]="","",_xlfn.XLOOKUP($C2020,Log!D:D,Log!X:X,,,-1)),"")</f>
        <v/>
      </c>
    </row>
    <row r="2021" spans="3:18" hidden="1" x14ac:dyDescent="0.2">
      <c r="C2021" s="30"/>
      <c r="D2021" s="110"/>
      <c r="E2021" s="33" t="s">
        <v>46</v>
      </c>
      <c r="F2021" s="38"/>
      <c r="G2021" s="38"/>
      <c r="H2021" s="31"/>
      <c r="I2021" s="32"/>
      <c r="J2021" s="32"/>
      <c r="K2021" s="45" t="s">
        <v>888</v>
      </c>
      <c r="L2021" s="129"/>
      <c r="M2021" s="33" t="str">
        <f t="shared" si="31"/>
        <v/>
      </c>
      <c r="N2021" s="34" t="str">
        <f>IFERROR(IF(Tabela1[[#This Row],[Nome fantasia]]="","",_xlfn.XLOOKUP($C2021,Log!D:D,Log!B:B,,,-1)),"")</f>
        <v/>
      </c>
      <c r="O2021" s="35" t="str">
        <f>IFERROR(_xlfn.XLOOKUP($C2021,Log!D:D,Log!W:W,,,-1),"")</f>
        <v/>
      </c>
      <c r="P2021" s="35" t="str">
        <f>IFERROR(_xlfn.XLOOKUP($C2021,Log!D:D,Log!Y:Y,,,-1),"")</f>
        <v/>
      </c>
      <c r="Q2021" s="130"/>
      <c r="R2021" s="131" t="str">
        <f>IFERROR(IF(Tabela1[[#This Row],[Nome fantasia]]="","",_xlfn.XLOOKUP($C2021,Log!D:D,Log!X:X,,,-1)),"")</f>
        <v/>
      </c>
    </row>
    <row r="2022" spans="3:18" hidden="1" x14ac:dyDescent="0.2">
      <c r="C2022" s="30" t="s">
        <v>2571</v>
      </c>
      <c r="D2022" s="110"/>
      <c r="E2022" s="33" t="s">
        <v>17</v>
      </c>
      <c r="F2022" s="38"/>
      <c r="G2022" s="38"/>
      <c r="H2022" s="31"/>
      <c r="I2022" s="32"/>
      <c r="J2022" s="32"/>
      <c r="K2022" s="45" t="s">
        <v>888</v>
      </c>
      <c r="L2022" s="129"/>
      <c r="M2022" s="33" t="str">
        <f t="shared" si="31"/>
        <v/>
      </c>
      <c r="N2022" s="34" t="str">
        <f>IFERROR(IF(Tabela1[[#This Row],[Nome fantasia]]="","",_xlfn.XLOOKUP($C2022,Log!D:D,Log!B:B,,,-1)),"")</f>
        <v/>
      </c>
      <c r="O2022" s="35" t="str">
        <f>IFERROR(_xlfn.XLOOKUP($C2022,Log!D:D,Log!W:W,,,-1),"")</f>
        <v/>
      </c>
      <c r="P2022" s="35" t="str">
        <f>IFERROR(_xlfn.XLOOKUP($C2022,Log!D:D,Log!Y:Y,,,-1),"")</f>
        <v/>
      </c>
      <c r="Q2022" s="130"/>
      <c r="R2022" s="131" t="str">
        <f>IFERROR(IF(Tabela1[[#This Row],[Nome fantasia]]="","",_xlfn.XLOOKUP($C2022,Log!D:D,Log!X:X,,,-1)),"")</f>
        <v/>
      </c>
    </row>
    <row r="2023" spans="3:18" hidden="1" x14ac:dyDescent="0.2">
      <c r="C2023" s="30"/>
      <c r="D2023" s="110"/>
      <c r="E2023" s="33" t="s">
        <v>46</v>
      </c>
      <c r="F2023" s="38"/>
      <c r="G2023" s="38"/>
      <c r="H2023" s="31"/>
      <c r="I2023" s="32"/>
      <c r="J2023" s="32"/>
      <c r="K2023" s="45" t="s">
        <v>888</v>
      </c>
      <c r="L2023" s="129"/>
      <c r="M2023" s="33" t="str">
        <f t="shared" si="31"/>
        <v/>
      </c>
      <c r="N2023" s="34" t="str">
        <f>IFERROR(IF(Tabela1[[#This Row],[Nome fantasia]]="","",_xlfn.XLOOKUP($C2023,Log!D:D,Log!B:B,,,-1)),"")</f>
        <v/>
      </c>
      <c r="O2023" s="35" t="str">
        <f>IFERROR(_xlfn.XLOOKUP($C2023,Log!D:D,Log!W:W,,,-1),"")</f>
        <v/>
      </c>
      <c r="P2023" s="35" t="str">
        <f>IFERROR(_xlfn.XLOOKUP($C2023,Log!D:D,Log!Y:Y,,,-1),"")</f>
        <v/>
      </c>
      <c r="Q2023" s="130"/>
      <c r="R2023" s="131" t="str">
        <f>IFERROR(IF(Tabela1[[#This Row],[Nome fantasia]]="","",_xlfn.XLOOKUP($C2023,Log!D:D,Log!X:X,,,-1)),"")</f>
        <v/>
      </c>
    </row>
    <row r="2024" spans="3:18" hidden="1" x14ac:dyDescent="0.2">
      <c r="C2024" s="30" t="s">
        <v>1457</v>
      </c>
      <c r="D2024" s="110"/>
      <c r="E2024" s="33" t="s">
        <v>22</v>
      </c>
      <c r="F2024" s="38"/>
      <c r="G2024" s="38"/>
      <c r="H2024" s="31"/>
      <c r="I2024" s="32"/>
      <c r="J2024" s="32"/>
      <c r="K2024" s="45" t="s">
        <v>888</v>
      </c>
      <c r="L2024" s="129"/>
      <c r="M2024" s="33" t="str">
        <f t="shared" si="31"/>
        <v/>
      </c>
      <c r="N2024" s="34" t="str">
        <f>IFERROR(IF(Tabela1[[#This Row],[Nome fantasia]]="","",_xlfn.XLOOKUP($C2024,Log!D:D,Log!B:B,,,-1)),"")</f>
        <v/>
      </c>
      <c r="O2024" s="35" t="str">
        <f>IFERROR(_xlfn.XLOOKUP($C2024,Log!D:D,Log!W:W,,,-1),"")</f>
        <v/>
      </c>
      <c r="P2024" s="35" t="str">
        <f>IFERROR(_xlfn.XLOOKUP($C2024,Log!D:D,Log!Y:Y,,,-1),"")</f>
        <v/>
      </c>
      <c r="Q2024" s="130"/>
      <c r="R2024" s="131" t="str">
        <f>IFERROR(IF(Tabela1[[#This Row],[Nome fantasia]]="","",_xlfn.XLOOKUP($C2024,Log!D:D,Log!X:X,,,-1)),"")</f>
        <v/>
      </c>
    </row>
    <row r="2025" spans="3:18" hidden="1" x14ac:dyDescent="0.2">
      <c r="C2025" s="30"/>
      <c r="D2025" s="110"/>
      <c r="E2025" s="33"/>
      <c r="F2025" s="38"/>
      <c r="G2025" s="38"/>
      <c r="H2025" s="31"/>
      <c r="I2025" s="32"/>
      <c r="J2025" s="32"/>
      <c r="K2025" s="45" t="s">
        <v>888</v>
      </c>
      <c r="L2025" s="129"/>
      <c r="M2025" s="33" t="str">
        <f t="shared" si="31"/>
        <v/>
      </c>
      <c r="N2025" s="34" t="str">
        <f>IFERROR(IF(Tabela1[[#This Row],[Nome fantasia]]="","",_xlfn.XLOOKUP($C2025,Log!D:D,Log!B:B,,,-1)),"")</f>
        <v/>
      </c>
      <c r="O2025" s="35" t="str">
        <f>IFERROR(_xlfn.XLOOKUP($C2025,Log!D:D,Log!W:W,,,-1),"")</f>
        <v/>
      </c>
      <c r="P2025" s="35" t="str">
        <f>IFERROR(_xlfn.XLOOKUP($C2025,Log!D:D,Log!Y:Y,,,-1),"")</f>
        <v/>
      </c>
      <c r="Q2025" s="130"/>
      <c r="R2025" s="131" t="str">
        <f>IFERROR(IF(Tabela1[[#This Row],[Nome fantasia]]="","",_xlfn.XLOOKUP($C2025,Log!D:D,Log!X:X,,,-1)),"")</f>
        <v/>
      </c>
    </row>
    <row r="2026" spans="3:18" hidden="1" x14ac:dyDescent="0.2">
      <c r="C2026" s="30"/>
      <c r="D2026" s="110"/>
      <c r="E2026" s="33" t="s">
        <v>17</v>
      </c>
      <c r="F2026" s="38"/>
      <c r="G2026" s="38"/>
      <c r="H2026" s="31"/>
      <c r="I2026" s="32"/>
      <c r="J2026" s="32"/>
      <c r="K2026" s="45" t="s">
        <v>888</v>
      </c>
      <c r="L2026" s="129"/>
      <c r="M2026" s="33" t="str">
        <f t="shared" si="31"/>
        <v/>
      </c>
      <c r="N2026" s="34" t="str">
        <f>IFERROR(IF(Tabela1[[#This Row],[Nome fantasia]]="","",_xlfn.XLOOKUP($C2026,Log!D:D,Log!B:B,,,-1)),"")</f>
        <v/>
      </c>
      <c r="O2026" s="35" t="str">
        <f>IFERROR(_xlfn.XLOOKUP($C2026,Log!D:D,Log!W:W,,,-1),"")</f>
        <v/>
      </c>
      <c r="P2026" s="35" t="str">
        <f>IFERROR(_xlfn.XLOOKUP($C2026,Log!D:D,Log!Y:Y,,,-1),"")</f>
        <v/>
      </c>
      <c r="Q2026" s="130"/>
      <c r="R2026" s="131" t="str">
        <f>IFERROR(IF(Tabela1[[#This Row],[Nome fantasia]]="","",_xlfn.XLOOKUP($C2026,Log!D:D,Log!X:X,,,-1)),"")</f>
        <v/>
      </c>
    </row>
    <row r="2027" spans="3:18" hidden="1" x14ac:dyDescent="0.2">
      <c r="C2027" s="30"/>
      <c r="D2027" s="110"/>
      <c r="E2027" s="33" t="s">
        <v>46</v>
      </c>
      <c r="F2027" s="38"/>
      <c r="G2027" s="38"/>
      <c r="H2027" s="31"/>
      <c r="I2027" s="32"/>
      <c r="J2027" s="32"/>
      <c r="K2027" s="45" t="s">
        <v>888</v>
      </c>
      <c r="L2027" s="129"/>
      <c r="M2027" s="33" t="str">
        <f t="shared" si="31"/>
        <v/>
      </c>
      <c r="N2027" s="34" t="str">
        <f>IFERROR(IF(Tabela1[[#This Row],[Nome fantasia]]="","",_xlfn.XLOOKUP($C2027,Log!D:D,Log!B:B,,,-1)),"")</f>
        <v/>
      </c>
      <c r="O2027" s="35" t="str">
        <f>IFERROR(_xlfn.XLOOKUP($C2027,Log!D:D,Log!W:W,,,-1),"")</f>
        <v/>
      </c>
      <c r="P2027" s="35" t="str">
        <f>IFERROR(_xlfn.XLOOKUP($C2027,Log!D:D,Log!Y:Y,,,-1),"")</f>
        <v/>
      </c>
      <c r="Q2027" s="130"/>
      <c r="R2027" s="131" t="str">
        <f>IFERROR(IF(Tabela1[[#This Row],[Nome fantasia]]="","",_xlfn.XLOOKUP($C2027,Log!D:D,Log!X:X,,,-1)),"")</f>
        <v/>
      </c>
    </row>
    <row r="2028" spans="3:18" hidden="1" x14ac:dyDescent="0.2">
      <c r="C2028" s="30" t="s">
        <v>4112</v>
      </c>
      <c r="D2028" s="110"/>
      <c r="E2028" s="33" t="s">
        <v>17</v>
      </c>
      <c r="F2028" s="38"/>
      <c r="G2028" s="38"/>
      <c r="H2028" s="31"/>
      <c r="I2028" s="32"/>
      <c r="J2028" s="32"/>
      <c r="K2028" s="45" t="s">
        <v>888</v>
      </c>
      <c r="L2028" s="129"/>
      <c r="M2028" s="33" t="str">
        <f t="shared" si="31"/>
        <v/>
      </c>
      <c r="N2028" s="34" t="str">
        <f>IFERROR(IF(Tabela1[[#This Row],[Nome fantasia]]="","",_xlfn.XLOOKUP($C2028,Log!D:D,Log!B:B,,,-1)),"")</f>
        <v/>
      </c>
      <c r="O2028" s="35" t="str">
        <f>IFERROR(_xlfn.XLOOKUP($C2028,Log!D:D,Log!W:W,,,-1),"")</f>
        <v/>
      </c>
      <c r="P2028" s="35" t="str">
        <f>IFERROR(_xlfn.XLOOKUP($C2028,Log!D:D,Log!Y:Y,,,-1),"")</f>
        <v/>
      </c>
      <c r="Q2028" s="130"/>
      <c r="R2028" s="131" t="str">
        <f>IFERROR(IF(Tabela1[[#This Row],[Nome fantasia]]="","",_xlfn.XLOOKUP($C2028,Log!D:D,Log!X:X,,,-1)),"")</f>
        <v/>
      </c>
    </row>
    <row r="2029" spans="3:18" hidden="1" x14ac:dyDescent="0.2">
      <c r="C2029" s="30"/>
      <c r="D2029" s="110"/>
      <c r="E2029" s="33" t="s">
        <v>46</v>
      </c>
      <c r="F2029" s="38"/>
      <c r="G2029" s="38"/>
      <c r="H2029" s="31"/>
      <c r="I2029" s="32"/>
      <c r="J2029" s="32"/>
      <c r="K2029" s="45" t="s">
        <v>888</v>
      </c>
      <c r="L2029" s="129"/>
      <c r="M2029" s="33" t="str">
        <f t="shared" si="31"/>
        <v/>
      </c>
      <c r="N2029" s="34" t="str">
        <f>IFERROR(IF(Tabela1[[#This Row],[Nome fantasia]]="","",_xlfn.XLOOKUP($C2029,Log!D:D,Log!B:B,,,-1)),"")</f>
        <v/>
      </c>
      <c r="O2029" s="35" t="str">
        <f>IFERROR(_xlfn.XLOOKUP($C2029,Log!D:D,Log!W:W,,,-1),"")</f>
        <v/>
      </c>
      <c r="P2029" s="35" t="str">
        <f>IFERROR(_xlfn.XLOOKUP($C2029,Log!D:D,Log!Y:Y,,,-1),"")</f>
        <v/>
      </c>
      <c r="Q2029" s="130"/>
      <c r="R2029" s="131" t="str">
        <f>IFERROR(IF(Tabela1[[#This Row],[Nome fantasia]]="","",_xlfn.XLOOKUP($C2029,Log!D:D,Log!X:X,,,-1)),"")</f>
        <v/>
      </c>
    </row>
    <row r="2030" spans="3:18" hidden="1" x14ac:dyDescent="0.2">
      <c r="C2030" s="30"/>
      <c r="D2030" s="110"/>
      <c r="E2030" s="33" t="s">
        <v>46</v>
      </c>
      <c r="F2030" s="38"/>
      <c r="G2030" s="38"/>
      <c r="H2030" s="31"/>
      <c r="I2030" s="32"/>
      <c r="J2030" s="32"/>
      <c r="K2030" s="45" t="s">
        <v>888</v>
      </c>
      <c r="L2030" s="129"/>
      <c r="M2030" s="33" t="str">
        <f t="shared" si="31"/>
        <v/>
      </c>
      <c r="N2030" s="34" t="str">
        <f>IFERROR(IF(Tabela1[[#This Row],[Nome fantasia]]="","",_xlfn.XLOOKUP($C2030,Log!D:D,Log!B:B,,,-1)),"")</f>
        <v/>
      </c>
      <c r="O2030" s="35" t="str">
        <f>IFERROR(_xlfn.XLOOKUP($C2030,Log!D:D,Log!W:W,,,-1),"")</f>
        <v/>
      </c>
      <c r="P2030" s="35" t="str">
        <f>IFERROR(_xlfn.XLOOKUP($C2030,Log!D:D,Log!Y:Y,,,-1),"")</f>
        <v/>
      </c>
      <c r="Q2030" s="130"/>
      <c r="R2030" s="131" t="str">
        <f>IFERROR(IF(Tabela1[[#This Row],[Nome fantasia]]="","",_xlfn.XLOOKUP($C2030,Log!D:D,Log!X:X,,,-1)),"")</f>
        <v/>
      </c>
    </row>
    <row r="2031" spans="3:18" hidden="1" x14ac:dyDescent="0.2">
      <c r="C2031" s="30"/>
      <c r="D2031" s="110"/>
      <c r="E2031" s="33" t="s">
        <v>22</v>
      </c>
      <c r="F2031" s="38"/>
      <c r="G2031" s="38"/>
      <c r="H2031" s="31"/>
      <c r="I2031" s="32"/>
      <c r="J2031" s="32"/>
      <c r="K2031" s="45" t="s">
        <v>888</v>
      </c>
      <c r="L2031" s="129"/>
      <c r="M2031" s="33" t="str">
        <f t="shared" si="31"/>
        <v/>
      </c>
      <c r="N2031" s="34" t="str">
        <f>IFERROR(IF(Tabela1[[#This Row],[Nome fantasia]]="","",_xlfn.XLOOKUP($C2031,Log!D:D,Log!B:B,,,-1)),"")</f>
        <v/>
      </c>
      <c r="O2031" s="35" t="str">
        <f>IFERROR(_xlfn.XLOOKUP($C2031,Log!D:D,Log!W:W,,,-1),"")</f>
        <v/>
      </c>
      <c r="P2031" s="35" t="str">
        <f>IFERROR(_xlfn.XLOOKUP($C2031,Log!D:D,Log!Y:Y,,,-1),"")</f>
        <v/>
      </c>
      <c r="Q2031" s="130"/>
      <c r="R2031" s="131" t="str">
        <f>IFERROR(IF(Tabela1[[#This Row],[Nome fantasia]]="","",_xlfn.XLOOKUP($C2031,Log!D:D,Log!X:X,,,-1)),"")</f>
        <v/>
      </c>
    </row>
    <row r="2032" spans="3:18" hidden="1" x14ac:dyDescent="0.2">
      <c r="C2032" s="30" t="s">
        <v>3627</v>
      </c>
      <c r="D2032" s="110" t="s">
        <v>4317</v>
      </c>
      <c r="E2032" s="33" t="s">
        <v>22</v>
      </c>
      <c r="F2032" s="38"/>
      <c r="G2032" s="38"/>
      <c r="H2032" s="31"/>
      <c r="I2032" s="32"/>
      <c r="J2032" s="32"/>
      <c r="K2032" s="45" t="s">
        <v>888</v>
      </c>
      <c r="L2032" s="129"/>
      <c r="M2032" s="33" t="str">
        <f t="shared" si="31"/>
        <v/>
      </c>
      <c r="N2032" s="34" t="str">
        <f>IFERROR(IF(Tabela1[[#This Row],[Nome fantasia]]="","",_xlfn.XLOOKUP($C2032,Log!D:D,Log!B:B,,,-1)),"")</f>
        <v/>
      </c>
      <c r="O2032" s="35" t="str">
        <f>IFERROR(_xlfn.XLOOKUP($C2032,Log!D:D,Log!W:W,,,-1),"")</f>
        <v/>
      </c>
      <c r="P2032" s="35" t="str">
        <f>IFERROR(_xlfn.XLOOKUP($C2032,Log!D:D,Log!Y:Y,,,-1),"")</f>
        <v/>
      </c>
      <c r="Q2032" s="130"/>
      <c r="R2032" s="131" t="str">
        <f>IFERROR(IF(Tabela1[[#This Row],[Nome fantasia]]="","",_xlfn.XLOOKUP($C2032,Log!D:D,Log!X:X,,,-1)),"")</f>
        <v/>
      </c>
    </row>
    <row r="2033" spans="3:18" hidden="1" x14ac:dyDescent="0.2">
      <c r="C2033" s="30" t="s">
        <v>4318</v>
      </c>
      <c r="D2033" s="110" t="s">
        <v>4319</v>
      </c>
      <c r="E2033" s="33" t="s">
        <v>22</v>
      </c>
      <c r="F2033" s="38"/>
      <c r="G2033" s="38"/>
      <c r="H2033" s="31"/>
      <c r="I2033" s="32"/>
      <c r="J2033" s="32"/>
      <c r="K2033" s="45" t="s">
        <v>888</v>
      </c>
      <c r="L2033" s="129"/>
      <c r="M2033" s="33" t="str">
        <f t="shared" si="31"/>
        <v/>
      </c>
      <c r="N2033" s="34" t="str">
        <f>IFERROR(IF(Tabela1[[#This Row],[Nome fantasia]]="","",_xlfn.XLOOKUP($C2033,Log!D:D,Log!B:B,,,-1)),"")</f>
        <v/>
      </c>
      <c r="O2033" s="35" t="str">
        <f>IFERROR(_xlfn.XLOOKUP($C2033,Log!D:D,Log!W:W,,,-1),"")</f>
        <v/>
      </c>
      <c r="P2033" s="35" t="str">
        <f>IFERROR(_xlfn.XLOOKUP($C2033,Log!D:D,Log!Y:Y,,,-1),"")</f>
        <v/>
      </c>
      <c r="Q2033" s="130"/>
      <c r="R2033" s="131" t="str">
        <f>IFERROR(IF(Tabela1[[#This Row],[Nome fantasia]]="","",_xlfn.XLOOKUP($C2033,Log!D:D,Log!X:X,,,-1)),"")</f>
        <v/>
      </c>
    </row>
    <row r="2034" spans="3:18" hidden="1" x14ac:dyDescent="0.2">
      <c r="C2034" s="30" t="s">
        <v>4320</v>
      </c>
      <c r="D2034" s="110" t="s">
        <v>4321</v>
      </c>
      <c r="E2034" s="33" t="s">
        <v>22</v>
      </c>
      <c r="F2034" s="38"/>
      <c r="G2034" s="38"/>
      <c r="H2034" s="31"/>
      <c r="I2034" s="32"/>
      <c r="J2034" s="32"/>
      <c r="K2034" s="45" t="s">
        <v>888</v>
      </c>
      <c r="L2034" s="129"/>
      <c r="M2034" s="33" t="str">
        <f t="shared" si="31"/>
        <v/>
      </c>
      <c r="N2034" s="34" t="str">
        <f>IFERROR(IF(Tabela1[[#This Row],[Nome fantasia]]="","",_xlfn.XLOOKUP($C2034,Log!D:D,Log!B:B,,,-1)),"")</f>
        <v/>
      </c>
      <c r="O2034" s="35" t="str">
        <f>IFERROR(_xlfn.XLOOKUP($C2034,Log!D:D,Log!W:W,,,-1),"")</f>
        <v/>
      </c>
      <c r="P2034" s="35" t="str">
        <f>IFERROR(_xlfn.XLOOKUP($C2034,Log!D:D,Log!Y:Y,,,-1),"")</f>
        <v/>
      </c>
      <c r="Q2034" s="130"/>
      <c r="R2034" s="131" t="str">
        <f>IFERROR(IF(Tabela1[[#This Row],[Nome fantasia]]="","",_xlfn.XLOOKUP($C2034,Log!D:D,Log!X:X,,,-1)),"")</f>
        <v/>
      </c>
    </row>
    <row r="2035" spans="3:18" hidden="1" x14ac:dyDescent="0.2">
      <c r="C2035" s="30" t="s">
        <v>4322</v>
      </c>
      <c r="D2035" s="110" t="s">
        <v>4323</v>
      </c>
      <c r="E2035" s="33" t="s">
        <v>22</v>
      </c>
      <c r="F2035" s="38"/>
      <c r="G2035" s="38"/>
      <c r="H2035" s="31"/>
      <c r="I2035" s="32"/>
      <c r="J2035" s="32"/>
      <c r="K2035" s="45" t="s">
        <v>888</v>
      </c>
      <c r="L2035" s="129"/>
      <c r="M2035" s="33" t="str">
        <f t="shared" si="31"/>
        <v/>
      </c>
      <c r="N2035" s="34" t="str">
        <f>IFERROR(IF(Tabela1[[#This Row],[Nome fantasia]]="","",_xlfn.XLOOKUP($C2035,Log!D:D,Log!B:B,,,-1)),"")</f>
        <v/>
      </c>
      <c r="O2035" s="35" t="str">
        <f>IFERROR(_xlfn.XLOOKUP($C2035,Log!D:D,Log!W:W,,,-1),"")</f>
        <v/>
      </c>
      <c r="P2035" s="35" t="str">
        <f>IFERROR(_xlfn.XLOOKUP($C2035,Log!D:D,Log!Y:Y,,,-1),"")</f>
        <v/>
      </c>
      <c r="Q2035" s="130"/>
      <c r="R2035" s="131" t="str">
        <f>IFERROR(IF(Tabela1[[#This Row],[Nome fantasia]]="","",_xlfn.XLOOKUP($C2035,Log!D:D,Log!X:X,,,-1)),"")</f>
        <v/>
      </c>
    </row>
    <row r="2036" spans="3:18" hidden="1" x14ac:dyDescent="0.2">
      <c r="C2036" s="30" t="s">
        <v>4324</v>
      </c>
      <c r="D2036" s="110" t="s">
        <v>4325</v>
      </c>
      <c r="E2036" s="33" t="s">
        <v>46</v>
      </c>
      <c r="F2036" s="38"/>
      <c r="G2036" s="38"/>
      <c r="H2036" s="31"/>
      <c r="I2036" s="32"/>
      <c r="J2036" s="32"/>
      <c r="K2036" s="45" t="s">
        <v>888</v>
      </c>
      <c r="L2036" s="129"/>
      <c r="M2036" s="33" t="str">
        <f t="shared" si="31"/>
        <v/>
      </c>
      <c r="N2036" s="34" t="str">
        <f>IFERROR(IF(Tabela1[[#This Row],[Nome fantasia]]="","",_xlfn.XLOOKUP($C2036,Log!D:D,Log!B:B,,,-1)),"")</f>
        <v/>
      </c>
      <c r="O2036" s="35" t="str">
        <f>IFERROR(_xlfn.XLOOKUP($C2036,Log!D:D,Log!W:W,,,-1),"")</f>
        <v/>
      </c>
      <c r="P2036" s="35" t="str">
        <f>IFERROR(_xlfn.XLOOKUP($C2036,Log!D:D,Log!Y:Y,,,-1),"")</f>
        <v/>
      </c>
      <c r="Q2036" s="130"/>
      <c r="R2036" s="131" t="str">
        <f>IFERROR(IF(Tabela1[[#This Row],[Nome fantasia]]="","",_xlfn.XLOOKUP($C2036,Log!D:D,Log!X:X,,,-1)),"")</f>
        <v/>
      </c>
    </row>
    <row r="2037" spans="3:18" hidden="1" x14ac:dyDescent="0.2">
      <c r="C2037" s="30" t="s">
        <v>4326</v>
      </c>
      <c r="D2037" s="110" t="s">
        <v>4327</v>
      </c>
      <c r="E2037" s="33" t="s">
        <v>46</v>
      </c>
      <c r="F2037" s="38"/>
      <c r="G2037" s="38"/>
      <c r="H2037" s="31"/>
      <c r="I2037" s="32"/>
      <c r="J2037" s="32"/>
      <c r="K2037" s="45" t="s">
        <v>888</v>
      </c>
      <c r="L2037" s="129"/>
      <c r="M2037" s="33" t="str">
        <f t="shared" si="31"/>
        <v/>
      </c>
      <c r="N2037" s="34" t="str">
        <f>IFERROR(IF(Tabela1[[#This Row],[Nome fantasia]]="","",_xlfn.XLOOKUP($C2037,Log!D:D,Log!B:B,,,-1)),"")</f>
        <v/>
      </c>
      <c r="O2037" s="35" t="str">
        <f>IFERROR(_xlfn.XLOOKUP($C2037,Log!D:D,Log!W:W,,,-1),"")</f>
        <v/>
      </c>
      <c r="P2037" s="35" t="str">
        <f>IFERROR(_xlfn.XLOOKUP($C2037,Log!D:D,Log!Y:Y,,,-1),"")</f>
        <v/>
      </c>
      <c r="Q2037" s="130"/>
      <c r="R2037" s="131" t="str">
        <f>IFERROR(IF(Tabela1[[#This Row],[Nome fantasia]]="","",_xlfn.XLOOKUP($C2037,Log!D:D,Log!X:X,,,-1)),"")</f>
        <v/>
      </c>
    </row>
    <row r="2038" spans="3:18" hidden="1" x14ac:dyDescent="0.2">
      <c r="C2038" s="30" t="s">
        <v>4328</v>
      </c>
      <c r="D2038" s="110" t="s">
        <v>4329</v>
      </c>
      <c r="E2038" s="33" t="s">
        <v>17</v>
      </c>
      <c r="F2038" s="38"/>
      <c r="G2038" s="38"/>
      <c r="H2038" s="31"/>
      <c r="I2038" s="32"/>
      <c r="J2038" s="32"/>
      <c r="K2038" s="45" t="s">
        <v>888</v>
      </c>
      <c r="L2038" s="129"/>
      <c r="M2038" s="33" t="str">
        <f t="shared" si="31"/>
        <v/>
      </c>
      <c r="N2038" s="34" t="str">
        <f>IFERROR(IF(Tabela1[[#This Row],[Nome fantasia]]="","",_xlfn.XLOOKUP($C2038,Log!D:D,Log!B:B,,,-1)),"")</f>
        <v/>
      </c>
      <c r="O2038" s="35" t="str">
        <f>IFERROR(_xlfn.XLOOKUP($C2038,Log!D:D,Log!W:W,,,-1),"")</f>
        <v/>
      </c>
      <c r="P2038" s="35" t="str">
        <f>IFERROR(_xlfn.XLOOKUP($C2038,Log!D:D,Log!Y:Y,,,-1),"")</f>
        <v/>
      </c>
      <c r="Q2038" s="130"/>
      <c r="R2038" s="131" t="str">
        <f>IFERROR(IF(Tabela1[[#This Row],[Nome fantasia]]="","",_xlfn.XLOOKUP($C2038,Log!D:D,Log!X:X,,,-1)),"")</f>
        <v/>
      </c>
    </row>
    <row r="2039" spans="3:18" hidden="1" x14ac:dyDescent="0.2">
      <c r="C2039" s="30" t="s">
        <v>4330</v>
      </c>
      <c r="D2039" s="110" t="s">
        <v>4331</v>
      </c>
      <c r="E2039" s="33" t="s">
        <v>22</v>
      </c>
      <c r="F2039" s="38"/>
      <c r="G2039" s="38"/>
      <c r="H2039" s="31"/>
      <c r="I2039" s="32"/>
      <c r="J2039" s="32"/>
      <c r="K2039" s="45" t="s">
        <v>888</v>
      </c>
      <c r="L2039" s="129"/>
      <c r="M2039" s="33" t="str">
        <f t="shared" si="31"/>
        <v/>
      </c>
      <c r="N2039" s="34" t="str">
        <f>IFERROR(IF(Tabela1[[#This Row],[Nome fantasia]]="","",_xlfn.XLOOKUP($C2039,Log!D:D,Log!B:B,,,-1)),"")</f>
        <v/>
      </c>
      <c r="O2039" s="35" t="str">
        <f>IFERROR(_xlfn.XLOOKUP($C2039,Log!D:D,Log!W:W,,,-1),"")</f>
        <v/>
      </c>
      <c r="P2039" s="35" t="str">
        <f>IFERROR(_xlfn.XLOOKUP($C2039,Log!D:D,Log!Y:Y,,,-1),"")</f>
        <v/>
      </c>
      <c r="Q2039" s="130"/>
      <c r="R2039" s="131" t="str">
        <f>IFERROR(IF(Tabela1[[#This Row],[Nome fantasia]]="","",_xlfn.XLOOKUP($C2039,Log!D:D,Log!X:X,,,-1)),"")</f>
        <v/>
      </c>
    </row>
    <row r="2040" spans="3:18" hidden="1" x14ac:dyDescent="0.2">
      <c r="C2040" s="30" t="s">
        <v>4332</v>
      </c>
      <c r="D2040" s="110" t="s">
        <v>4333</v>
      </c>
      <c r="E2040" s="33" t="s">
        <v>22</v>
      </c>
      <c r="F2040" s="38"/>
      <c r="G2040" s="38"/>
      <c r="H2040" s="31"/>
      <c r="I2040" s="32"/>
      <c r="J2040" s="32"/>
      <c r="K2040" s="45" t="s">
        <v>888</v>
      </c>
      <c r="L2040" s="129"/>
      <c r="M2040" s="33" t="str">
        <f t="shared" si="31"/>
        <v/>
      </c>
      <c r="N2040" s="34" t="str">
        <f>IFERROR(IF(Tabela1[[#This Row],[Nome fantasia]]="","",_xlfn.XLOOKUP($C2040,Log!D:D,Log!B:B,,,-1)),"")</f>
        <v/>
      </c>
      <c r="O2040" s="35" t="str">
        <f>IFERROR(_xlfn.XLOOKUP($C2040,Log!D:D,Log!W:W,,,-1),"")</f>
        <v/>
      </c>
      <c r="P2040" s="35" t="str">
        <f>IFERROR(_xlfn.XLOOKUP($C2040,Log!D:D,Log!Y:Y,,,-1),"")</f>
        <v/>
      </c>
      <c r="Q2040" s="130"/>
      <c r="R2040" s="131" t="str">
        <f>IFERROR(IF(Tabela1[[#This Row],[Nome fantasia]]="","",_xlfn.XLOOKUP($C2040,Log!D:D,Log!X:X,,,-1)),"")</f>
        <v/>
      </c>
    </row>
    <row r="2041" spans="3:18" hidden="1" x14ac:dyDescent="0.2">
      <c r="C2041" s="30" t="s">
        <v>4334</v>
      </c>
      <c r="D2041" s="110" t="s">
        <v>4335</v>
      </c>
      <c r="E2041" s="33" t="s">
        <v>22</v>
      </c>
      <c r="F2041" s="38"/>
      <c r="G2041" s="38"/>
      <c r="H2041" s="31"/>
      <c r="I2041" s="32"/>
      <c r="J2041" s="32"/>
      <c r="K2041" s="45" t="s">
        <v>888</v>
      </c>
      <c r="L2041" s="129"/>
      <c r="M2041" s="33" t="str">
        <f t="shared" si="31"/>
        <v/>
      </c>
      <c r="N2041" s="34" t="str">
        <f>IFERROR(IF(Tabela1[[#This Row],[Nome fantasia]]="","",_xlfn.XLOOKUP($C2041,Log!D:D,Log!B:B,,,-1)),"")</f>
        <v/>
      </c>
      <c r="O2041" s="35" t="str">
        <f>IFERROR(_xlfn.XLOOKUP($C2041,Log!D:D,Log!W:W,,,-1),"")</f>
        <v/>
      </c>
      <c r="P2041" s="35" t="str">
        <f>IFERROR(_xlfn.XLOOKUP($C2041,Log!D:D,Log!Y:Y,,,-1),"")</f>
        <v/>
      </c>
      <c r="Q2041" s="130"/>
      <c r="R2041" s="131" t="str">
        <f>IFERROR(IF(Tabela1[[#This Row],[Nome fantasia]]="","",_xlfn.XLOOKUP($C2041,Log!D:D,Log!X:X,,,-1)),"")</f>
        <v/>
      </c>
    </row>
    <row r="2042" spans="3:18" hidden="1" x14ac:dyDescent="0.2">
      <c r="C2042" s="30" t="s">
        <v>4336</v>
      </c>
      <c r="D2042" s="110" t="s">
        <v>4337</v>
      </c>
      <c r="E2042" s="33" t="s">
        <v>17</v>
      </c>
      <c r="F2042" s="38"/>
      <c r="G2042" s="38"/>
      <c r="H2042" s="31"/>
      <c r="I2042" s="32"/>
      <c r="J2042" s="32"/>
      <c r="K2042" s="45" t="s">
        <v>888</v>
      </c>
      <c r="L2042" s="129"/>
      <c r="M2042" s="33" t="str">
        <f t="shared" si="31"/>
        <v/>
      </c>
      <c r="N2042" s="34" t="str">
        <f>IFERROR(IF(Tabela1[[#This Row],[Nome fantasia]]="","",_xlfn.XLOOKUP($C2042,Log!D:D,Log!B:B,,,-1)),"")</f>
        <v/>
      </c>
      <c r="O2042" s="35" t="str">
        <f>IFERROR(_xlfn.XLOOKUP($C2042,Log!D:D,Log!W:W,,,-1),"")</f>
        <v/>
      </c>
      <c r="P2042" s="35" t="str">
        <f>IFERROR(_xlfn.XLOOKUP($C2042,Log!D:D,Log!Y:Y,,,-1),"")</f>
        <v/>
      </c>
      <c r="Q2042" s="130"/>
      <c r="R2042" s="131" t="str">
        <f>IFERROR(IF(Tabela1[[#This Row],[Nome fantasia]]="","",_xlfn.XLOOKUP($C2042,Log!D:D,Log!X:X,,,-1)),"")</f>
        <v/>
      </c>
    </row>
    <row r="2043" spans="3:18" hidden="1" x14ac:dyDescent="0.2">
      <c r="C2043" s="30" t="s">
        <v>4338</v>
      </c>
      <c r="D2043" s="110" t="s">
        <v>4339</v>
      </c>
      <c r="E2043" s="33" t="s">
        <v>46</v>
      </c>
      <c r="F2043" s="38"/>
      <c r="G2043" s="38"/>
      <c r="H2043" s="31"/>
      <c r="I2043" s="32"/>
      <c r="J2043" s="32"/>
      <c r="K2043" s="45" t="s">
        <v>888</v>
      </c>
      <c r="L2043" s="129"/>
      <c r="M2043" s="33" t="str">
        <f t="shared" si="31"/>
        <v/>
      </c>
      <c r="N2043" s="34" t="str">
        <f>IFERROR(IF(Tabela1[[#This Row],[Nome fantasia]]="","",_xlfn.XLOOKUP($C2043,Log!D:D,Log!B:B,,,-1)),"")</f>
        <v/>
      </c>
      <c r="O2043" s="35" t="str">
        <f>IFERROR(_xlfn.XLOOKUP($C2043,Log!D:D,Log!W:W,,,-1),"")</f>
        <v/>
      </c>
      <c r="P2043" s="35" t="str">
        <f>IFERROR(_xlfn.XLOOKUP($C2043,Log!D:D,Log!Y:Y,,,-1),"")</f>
        <v/>
      </c>
      <c r="Q2043" s="130"/>
      <c r="R2043" s="131" t="str">
        <f>IFERROR(IF(Tabela1[[#This Row],[Nome fantasia]]="","",_xlfn.XLOOKUP($C2043,Log!D:D,Log!X:X,,,-1)),"")</f>
        <v/>
      </c>
    </row>
    <row r="2044" spans="3:18" hidden="1" x14ac:dyDescent="0.2">
      <c r="C2044" s="30" t="s">
        <v>4340</v>
      </c>
      <c r="D2044" s="110" t="s">
        <v>4341</v>
      </c>
      <c r="E2044" s="33" t="s">
        <v>22</v>
      </c>
      <c r="F2044" s="38"/>
      <c r="G2044" s="38"/>
      <c r="H2044" s="31"/>
      <c r="I2044" s="32"/>
      <c r="J2044" s="32"/>
      <c r="K2044" s="45" t="s">
        <v>888</v>
      </c>
      <c r="L2044" s="129"/>
      <c r="M2044" s="33" t="str">
        <f t="shared" si="31"/>
        <v/>
      </c>
      <c r="N2044" s="34" t="str">
        <f>IFERROR(IF(Tabela1[[#This Row],[Nome fantasia]]="","",_xlfn.XLOOKUP($C2044,Log!D:D,Log!B:B,,,-1)),"")</f>
        <v/>
      </c>
      <c r="O2044" s="35" t="str">
        <f>IFERROR(_xlfn.XLOOKUP($C2044,Log!D:D,Log!W:W,,,-1),"")</f>
        <v/>
      </c>
      <c r="P2044" s="35" t="str">
        <f>IFERROR(_xlfn.XLOOKUP($C2044,Log!D:D,Log!Y:Y,,,-1),"")</f>
        <v/>
      </c>
      <c r="Q2044" s="130"/>
      <c r="R2044" s="131" t="str">
        <f>IFERROR(IF(Tabela1[[#This Row],[Nome fantasia]]="","",_xlfn.XLOOKUP($C2044,Log!D:D,Log!X:X,,,-1)),"")</f>
        <v/>
      </c>
    </row>
    <row r="2045" spans="3:18" hidden="1" x14ac:dyDescent="0.2">
      <c r="C2045" s="30" t="s">
        <v>4342</v>
      </c>
      <c r="D2045" s="110" t="s">
        <v>4343</v>
      </c>
      <c r="E2045" s="33" t="s">
        <v>46</v>
      </c>
      <c r="F2045" s="38"/>
      <c r="G2045" s="38"/>
      <c r="H2045" s="31"/>
      <c r="I2045" s="32"/>
      <c r="J2045" s="32"/>
      <c r="K2045" s="45" t="s">
        <v>888</v>
      </c>
      <c r="L2045" s="129"/>
      <c r="M2045" s="33" t="str">
        <f t="shared" si="31"/>
        <v/>
      </c>
      <c r="N2045" s="34" t="str">
        <f>IFERROR(IF(Tabela1[[#This Row],[Nome fantasia]]="","",_xlfn.XLOOKUP($C2045,Log!D:D,Log!B:B,,,-1)),"")</f>
        <v/>
      </c>
      <c r="O2045" s="35" t="str">
        <f>IFERROR(_xlfn.XLOOKUP($C2045,Log!D:D,Log!W:W,,,-1),"")</f>
        <v/>
      </c>
      <c r="P2045" s="35" t="str">
        <f>IFERROR(_xlfn.XLOOKUP($C2045,Log!D:D,Log!Y:Y,,,-1),"")</f>
        <v/>
      </c>
      <c r="Q2045" s="130"/>
      <c r="R2045" s="131" t="str">
        <f>IFERROR(IF(Tabela1[[#This Row],[Nome fantasia]]="","",_xlfn.XLOOKUP($C2045,Log!D:D,Log!X:X,,,-1)),"")</f>
        <v/>
      </c>
    </row>
    <row r="2046" spans="3:18" hidden="1" x14ac:dyDescent="0.2">
      <c r="C2046" s="30" t="s">
        <v>4344</v>
      </c>
      <c r="D2046" s="110" t="s">
        <v>4345</v>
      </c>
      <c r="E2046" s="33" t="s">
        <v>22</v>
      </c>
      <c r="F2046" s="38"/>
      <c r="G2046" s="38"/>
      <c r="H2046" s="31"/>
      <c r="I2046" s="32"/>
      <c r="J2046" s="32"/>
      <c r="K2046" s="45" t="s">
        <v>888</v>
      </c>
      <c r="L2046" s="129"/>
      <c r="M2046" s="33" t="str">
        <f t="shared" si="31"/>
        <v/>
      </c>
      <c r="N2046" s="34" t="str">
        <f>IFERROR(IF(Tabela1[[#This Row],[Nome fantasia]]="","",_xlfn.XLOOKUP($C2046,Log!D:D,Log!B:B,,,-1)),"")</f>
        <v/>
      </c>
      <c r="O2046" s="35" t="str">
        <f>IFERROR(_xlfn.XLOOKUP($C2046,Log!D:D,Log!W:W,,,-1),"")</f>
        <v/>
      </c>
      <c r="P2046" s="35" t="str">
        <f>IFERROR(_xlfn.XLOOKUP($C2046,Log!D:D,Log!Y:Y,,,-1),"")</f>
        <v/>
      </c>
      <c r="Q2046" s="130"/>
      <c r="R2046" s="131" t="str">
        <f>IFERROR(IF(Tabela1[[#This Row],[Nome fantasia]]="","",_xlfn.XLOOKUP($C2046,Log!D:D,Log!X:X,,,-1)),"")</f>
        <v/>
      </c>
    </row>
    <row r="2047" spans="3:18" hidden="1" x14ac:dyDescent="0.2">
      <c r="C2047" s="30" t="s">
        <v>4346</v>
      </c>
      <c r="D2047" s="110" t="s">
        <v>4347</v>
      </c>
      <c r="E2047" s="33" t="s">
        <v>22</v>
      </c>
      <c r="F2047" s="38"/>
      <c r="G2047" s="38"/>
      <c r="H2047" s="31"/>
      <c r="I2047" s="32"/>
      <c r="J2047" s="32"/>
      <c r="K2047" s="45" t="s">
        <v>888</v>
      </c>
      <c r="L2047" s="129"/>
      <c r="M2047" s="33" t="str">
        <f t="shared" si="31"/>
        <v/>
      </c>
      <c r="N2047" s="34" t="str">
        <f>IFERROR(IF(Tabela1[[#This Row],[Nome fantasia]]="","",_xlfn.XLOOKUP($C2047,Log!D:D,Log!B:B,,,-1)),"")</f>
        <v/>
      </c>
      <c r="O2047" s="35" t="str">
        <f>IFERROR(_xlfn.XLOOKUP($C2047,Log!D:D,Log!W:W,,,-1),"")</f>
        <v/>
      </c>
      <c r="P2047" s="35" t="str">
        <f>IFERROR(_xlfn.XLOOKUP($C2047,Log!D:D,Log!Y:Y,,,-1),"")</f>
        <v/>
      </c>
      <c r="Q2047" s="130"/>
      <c r="R2047" s="131" t="str">
        <f>IFERROR(IF(Tabela1[[#This Row],[Nome fantasia]]="","",_xlfn.XLOOKUP($C2047,Log!D:D,Log!X:X,,,-1)),"")</f>
        <v/>
      </c>
    </row>
    <row r="2048" spans="3:18" hidden="1" x14ac:dyDescent="0.2">
      <c r="C2048" s="30" t="s">
        <v>4348</v>
      </c>
      <c r="D2048" s="110" t="s">
        <v>4349</v>
      </c>
      <c r="E2048" s="33" t="s">
        <v>22</v>
      </c>
      <c r="F2048" s="38"/>
      <c r="G2048" s="38"/>
      <c r="H2048" s="31"/>
      <c r="I2048" s="32"/>
      <c r="J2048" s="32"/>
      <c r="K2048" s="45" t="s">
        <v>888</v>
      </c>
      <c r="L2048" s="129"/>
      <c r="M2048" s="33" t="str">
        <f t="shared" si="31"/>
        <v/>
      </c>
      <c r="N2048" s="34" t="str">
        <f>IFERROR(IF(Tabela1[[#This Row],[Nome fantasia]]="","",_xlfn.XLOOKUP($C2048,Log!D:D,Log!B:B,,,-1)),"")</f>
        <v/>
      </c>
      <c r="O2048" s="35" t="str">
        <f>IFERROR(_xlfn.XLOOKUP($C2048,Log!D:D,Log!W:W,,,-1),"")</f>
        <v/>
      </c>
      <c r="P2048" s="35" t="str">
        <f>IFERROR(_xlfn.XLOOKUP($C2048,Log!D:D,Log!Y:Y,,,-1),"")</f>
        <v/>
      </c>
      <c r="Q2048" s="130"/>
      <c r="R2048" s="131" t="str">
        <f>IFERROR(IF(Tabela1[[#This Row],[Nome fantasia]]="","",_xlfn.XLOOKUP($C2048,Log!D:D,Log!X:X,,,-1)),"")</f>
        <v/>
      </c>
    </row>
    <row r="2049" spans="3:18" hidden="1" x14ac:dyDescent="0.2">
      <c r="C2049" s="30" t="s">
        <v>4350</v>
      </c>
      <c r="D2049" s="110" t="s">
        <v>4351</v>
      </c>
      <c r="E2049" s="33" t="s">
        <v>22</v>
      </c>
      <c r="F2049" s="38"/>
      <c r="G2049" s="38"/>
      <c r="H2049" s="31"/>
      <c r="I2049" s="32"/>
      <c r="J2049" s="32"/>
      <c r="K2049" s="45" t="s">
        <v>888</v>
      </c>
      <c r="L2049" s="129"/>
      <c r="M2049" s="33" t="str">
        <f t="shared" si="31"/>
        <v/>
      </c>
      <c r="N2049" s="34" t="str">
        <f>IFERROR(IF(Tabela1[[#This Row],[Nome fantasia]]="","",_xlfn.XLOOKUP($C2049,Log!D:D,Log!B:B,,,-1)),"")</f>
        <v/>
      </c>
      <c r="O2049" s="35" t="str">
        <f>IFERROR(_xlfn.XLOOKUP($C2049,Log!D:D,Log!W:W,,,-1),"")</f>
        <v/>
      </c>
      <c r="P2049" s="35" t="str">
        <f>IFERROR(_xlfn.XLOOKUP($C2049,Log!D:D,Log!Y:Y,,,-1),"")</f>
        <v/>
      </c>
      <c r="Q2049" s="130"/>
      <c r="R2049" s="131" t="str">
        <f>IFERROR(IF(Tabela1[[#This Row],[Nome fantasia]]="","",_xlfn.XLOOKUP($C2049,Log!D:D,Log!X:X,,,-1)),"")</f>
        <v/>
      </c>
    </row>
    <row r="2050" spans="3:18" hidden="1" x14ac:dyDescent="0.2">
      <c r="C2050" s="30" t="s">
        <v>4352</v>
      </c>
      <c r="D2050" s="110" t="s">
        <v>4353</v>
      </c>
      <c r="E2050" s="33" t="s">
        <v>22</v>
      </c>
      <c r="F2050" s="38"/>
      <c r="G2050" s="38"/>
      <c r="H2050" s="31"/>
      <c r="I2050" s="32"/>
      <c r="J2050" s="32"/>
      <c r="K2050" s="45" t="s">
        <v>888</v>
      </c>
      <c r="L2050" s="129"/>
      <c r="M2050" s="33" t="str">
        <f t="shared" si="31"/>
        <v/>
      </c>
      <c r="N2050" s="34" t="str">
        <f>IFERROR(IF(Tabela1[[#This Row],[Nome fantasia]]="","",_xlfn.XLOOKUP($C2050,Log!D:D,Log!B:B,,,-1)),"")</f>
        <v/>
      </c>
      <c r="O2050" s="35" t="str">
        <f>IFERROR(_xlfn.XLOOKUP($C2050,Log!D:D,Log!W:W,,,-1),"")</f>
        <v/>
      </c>
      <c r="P2050" s="35" t="str">
        <f>IFERROR(_xlfn.XLOOKUP($C2050,Log!D:D,Log!Y:Y,,,-1),"")</f>
        <v/>
      </c>
      <c r="Q2050" s="130"/>
      <c r="R2050" s="131" t="str">
        <f>IFERROR(IF(Tabela1[[#This Row],[Nome fantasia]]="","",_xlfn.XLOOKUP($C2050,Log!D:D,Log!X:X,,,-1)),"")</f>
        <v/>
      </c>
    </row>
    <row r="2051" spans="3:18" hidden="1" x14ac:dyDescent="0.2">
      <c r="C2051" s="30" t="s">
        <v>4350</v>
      </c>
      <c r="D2051" s="110" t="s">
        <v>4354</v>
      </c>
      <c r="E2051" s="33" t="s">
        <v>22</v>
      </c>
      <c r="F2051" s="38"/>
      <c r="G2051" s="38"/>
      <c r="H2051" s="31"/>
      <c r="I2051" s="32"/>
      <c r="J2051" s="32"/>
      <c r="K2051" s="45" t="s">
        <v>888</v>
      </c>
      <c r="L2051" s="129"/>
      <c r="M2051" s="33" t="str">
        <f t="shared" ref="M2051:M2114" si="32">IF(OR(J2051&lt;=0,J2051=""),"","Recompra")</f>
        <v/>
      </c>
      <c r="N2051" s="34" t="str">
        <f>IFERROR(IF(Tabela1[[#This Row],[Nome fantasia]]="","",_xlfn.XLOOKUP($C2051,Log!D:D,Log!B:B,,,-1)),"")</f>
        <v/>
      </c>
      <c r="O2051" s="35" t="str">
        <f>IFERROR(_xlfn.XLOOKUP($C2051,Log!D:D,Log!W:W,,,-1),"")</f>
        <v/>
      </c>
      <c r="P2051" s="35" t="str">
        <f>IFERROR(_xlfn.XLOOKUP($C2051,Log!D:D,Log!Y:Y,,,-1),"")</f>
        <v/>
      </c>
      <c r="Q2051" s="130"/>
      <c r="R2051" s="131" t="str">
        <f>IFERROR(IF(Tabela1[[#This Row],[Nome fantasia]]="","",_xlfn.XLOOKUP($C2051,Log!D:D,Log!X:X,,,-1)),"")</f>
        <v/>
      </c>
    </row>
    <row r="2052" spans="3:18" hidden="1" x14ac:dyDescent="0.2">
      <c r="C2052" s="30" t="s">
        <v>4355</v>
      </c>
      <c r="D2052" s="110" t="s">
        <v>4356</v>
      </c>
      <c r="E2052" s="33" t="s">
        <v>46</v>
      </c>
      <c r="F2052" s="38"/>
      <c r="G2052" s="38"/>
      <c r="H2052" s="31"/>
      <c r="I2052" s="32"/>
      <c r="J2052" s="32"/>
      <c r="K2052" s="45" t="s">
        <v>888</v>
      </c>
      <c r="L2052" s="129"/>
      <c r="M2052" s="33" t="str">
        <f t="shared" si="32"/>
        <v/>
      </c>
      <c r="N2052" s="34" t="str">
        <f>IFERROR(IF(Tabela1[[#This Row],[Nome fantasia]]="","",_xlfn.XLOOKUP($C2052,Log!D:D,Log!B:B,,,-1)),"")</f>
        <v/>
      </c>
      <c r="O2052" s="35" t="str">
        <f>IFERROR(_xlfn.XLOOKUP($C2052,Log!D:D,Log!W:W,,,-1),"")</f>
        <v/>
      </c>
      <c r="P2052" s="35" t="str">
        <f>IFERROR(_xlfn.XLOOKUP($C2052,Log!D:D,Log!Y:Y,,,-1),"")</f>
        <v/>
      </c>
      <c r="Q2052" s="130"/>
      <c r="R2052" s="131" t="str">
        <f>IFERROR(IF(Tabela1[[#This Row],[Nome fantasia]]="","",_xlfn.XLOOKUP($C2052,Log!D:D,Log!X:X,,,-1)),"")</f>
        <v/>
      </c>
    </row>
    <row r="2053" spans="3:18" hidden="1" x14ac:dyDescent="0.2">
      <c r="C2053" s="30" t="s">
        <v>4357</v>
      </c>
      <c r="D2053" s="110" t="s">
        <v>4358</v>
      </c>
      <c r="E2053" s="33" t="s">
        <v>22</v>
      </c>
      <c r="F2053" s="38"/>
      <c r="G2053" s="38"/>
      <c r="H2053" s="31"/>
      <c r="I2053" s="32"/>
      <c r="J2053" s="32"/>
      <c r="K2053" s="45" t="s">
        <v>888</v>
      </c>
      <c r="L2053" s="129"/>
      <c r="M2053" s="33" t="str">
        <f t="shared" si="32"/>
        <v/>
      </c>
      <c r="N2053" s="34" t="str">
        <f>IFERROR(IF(Tabela1[[#This Row],[Nome fantasia]]="","",_xlfn.XLOOKUP($C2053,Log!D:D,Log!B:B,,,-1)),"")</f>
        <v/>
      </c>
      <c r="O2053" s="35" t="str">
        <f>IFERROR(_xlfn.XLOOKUP($C2053,Log!D:D,Log!W:W,,,-1),"")</f>
        <v/>
      </c>
      <c r="P2053" s="35" t="str">
        <f>IFERROR(_xlfn.XLOOKUP($C2053,Log!D:D,Log!Y:Y,,,-1),"")</f>
        <v/>
      </c>
      <c r="Q2053" s="130"/>
      <c r="R2053" s="131" t="str">
        <f>IFERROR(IF(Tabela1[[#This Row],[Nome fantasia]]="","",_xlfn.XLOOKUP($C2053,Log!D:D,Log!X:X,,,-1)),"")</f>
        <v/>
      </c>
    </row>
    <row r="2054" spans="3:18" hidden="1" x14ac:dyDescent="0.2">
      <c r="C2054" s="30" t="s">
        <v>4359</v>
      </c>
      <c r="D2054" s="110" t="s">
        <v>4360</v>
      </c>
      <c r="E2054" s="33" t="s">
        <v>22</v>
      </c>
      <c r="F2054" s="38"/>
      <c r="G2054" s="38"/>
      <c r="H2054" s="31"/>
      <c r="I2054" s="32"/>
      <c r="J2054" s="32"/>
      <c r="K2054" s="45" t="s">
        <v>888</v>
      </c>
      <c r="L2054" s="129"/>
      <c r="M2054" s="33" t="str">
        <f t="shared" si="32"/>
        <v/>
      </c>
      <c r="N2054" s="34" t="str">
        <f>IFERROR(IF(Tabela1[[#This Row],[Nome fantasia]]="","",_xlfn.XLOOKUP($C2054,Log!D:D,Log!B:B,,,-1)),"")</f>
        <v/>
      </c>
      <c r="O2054" s="35" t="str">
        <f>IFERROR(_xlfn.XLOOKUP($C2054,Log!D:D,Log!W:W,,,-1),"")</f>
        <v/>
      </c>
      <c r="P2054" s="35" t="str">
        <f>IFERROR(_xlfn.XLOOKUP($C2054,Log!D:D,Log!Y:Y,,,-1),"")</f>
        <v/>
      </c>
      <c r="Q2054" s="130"/>
      <c r="R2054" s="131" t="str">
        <f>IFERROR(IF(Tabela1[[#This Row],[Nome fantasia]]="","",_xlfn.XLOOKUP($C2054,Log!D:D,Log!X:X,,,-1)),"")</f>
        <v/>
      </c>
    </row>
    <row r="2055" spans="3:18" hidden="1" x14ac:dyDescent="0.2">
      <c r="C2055" s="30" t="s">
        <v>4361</v>
      </c>
      <c r="D2055" s="110" t="s">
        <v>4362</v>
      </c>
      <c r="E2055" s="33" t="s">
        <v>22</v>
      </c>
      <c r="F2055" s="38"/>
      <c r="G2055" s="38"/>
      <c r="H2055" s="31"/>
      <c r="I2055" s="32"/>
      <c r="J2055" s="32"/>
      <c r="K2055" s="45" t="s">
        <v>888</v>
      </c>
      <c r="L2055" s="129"/>
      <c r="M2055" s="33" t="str">
        <f t="shared" si="32"/>
        <v/>
      </c>
      <c r="N2055" s="34" t="str">
        <f>IFERROR(IF(Tabela1[[#This Row],[Nome fantasia]]="","",_xlfn.XLOOKUP($C2055,Log!D:D,Log!B:B,,,-1)),"")</f>
        <v/>
      </c>
      <c r="O2055" s="35" t="str">
        <f>IFERROR(_xlfn.XLOOKUP($C2055,Log!D:D,Log!W:W,,,-1),"")</f>
        <v/>
      </c>
      <c r="P2055" s="35" t="str">
        <f>IFERROR(_xlfn.XLOOKUP($C2055,Log!D:D,Log!Y:Y,,,-1),"")</f>
        <v/>
      </c>
      <c r="Q2055" s="130"/>
      <c r="R2055" s="131" t="str">
        <f>IFERROR(IF(Tabela1[[#This Row],[Nome fantasia]]="","",_xlfn.XLOOKUP($C2055,Log!D:D,Log!X:X,,,-1)),"")</f>
        <v/>
      </c>
    </row>
    <row r="2056" spans="3:18" hidden="1" x14ac:dyDescent="0.2">
      <c r="C2056" s="30" t="s">
        <v>4363</v>
      </c>
      <c r="D2056" s="110" t="s">
        <v>4364</v>
      </c>
      <c r="E2056" s="33" t="s">
        <v>22</v>
      </c>
      <c r="F2056" s="38"/>
      <c r="G2056" s="38"/>
      <c r="H2056" s="31"/>
      <c r="I2056" s="32"/>
      <c r="J2056" s="32"/>
      <c r="K2056" s="45" t="s">
        <v>888</v>
      </c>
      <c r="L2056" s="129"/>
      <c r="M2056" s="33" t="str">
        <f t="shared" si="32"/>
        <v/>
      </c>
      <c r="N2056" s="34" t="str">
        <f>IFERROR(IF(Tabela1[[#This Row],[Nome fantasia]]="","",_xlfn.XLOOKUP($C2056,Log!D:D,Log!B:B,,,-1)),"")</f>
        <v/>
      </c>
      <c r="O2056" s="35" t="str">
        <f>IFERROR(_xlfn.XLOOKUP($C2056,Log!D:D,Log!W:W,,,-1),"")</f>
        <v/>
      </c>
      <c r="P2056" s="35" t="str">
        <f>IFERROR(_xlfn.XLOOKUP($C2056,Log!D:D,Log!Y:Y,,,-1),"")</f>
        <v/>
      </c>
      <c r="Q2056" s="130"/>
      <c r="R2056" s="131" t="str">
        <f>IFERROR(IF(Tabela1[[#This Row],[Nome fantasia]]="","",_xlfn.XLOOKUP($C2056,Log!D:D,Log!X:X,,,-1)),"")</f>
        <v/>
      </c>
    </row>
    <row r="2057" spans="3:18" hidden="1" x14ac:dyDescent="0.2">
      <c r="C2057" s="30" t="s">
        <v>4365</v>
      </c>
      <c r="D2057" s="110" t="s">
        <v>4366</v>
      </c>
      <c r="E2057" s="33" t="s">
        <v>46</v>
      </c>
      <c r="F2057" s="38"/>
      <c r="G2057" s="38"/>
      <c r="H2057" s="31"/>
      <c r="I2057" s="32"/>
      <c r="J2057" s="32"/>
      <c r="K2057" s="45" t="s">
        <v>888</v>
      </c>
      <c r="L2057" s="129"/>
      <c r="M2057" s="33" t="str">
        <f t="shared" si="32"/>
        <v/>
      </c>
      <c r="N2057" s="34" t="str">
        <f>IFERROR(IF(Tabela1[[#This Row],[Nome fantasia]]="","",_xlfn.XLOOKUP($C2057,Log!D:D,Log!B:B,,,-1)),"")</f>
        <v/>
      </c>
      <c r="O2057" s="35" t="str">
        <f>IFERROR(_xlfn.XLOOKUP($C2057,Log!D:D,Log!W:W,,,-1),"")</f>
        <v/>
      </c>
      <c r="P2057" s="35" t="str">
        <f>IFERROR(_xlfn.XLOOKUP($C2057,Log!D:D,Log!Y:Y,,,-1),"")</f>
        <v/>
      </c>
      <c r="Q2057" s="130"/>
      <c r="R2057" s="131" t="str">
        <f>IFERROR(IF(Tabela1[[#This Row],[Nome fantasia]]="","",_xlfn.XLOOKUP($C2057,Log!D:D,Log!X:X,,,-1)),"")</f>
        <v/>
      </c>
    </row>
    <row r="2058" spans="3:18" hidden="1" x14ac:dyDescent="0.2">
      <c r="C2058" s="30" t="s">
        <v>4367</v>
      </c>
      <c r="D2058" s="110" t="s">
        <v>4368</v>
      </c>
      <c r="E2058" s="33" t="s">
        <v>46</v>
      </c>
      <c r="F2058" s="38"/>
      <c r="G2058" s="38"/>
      <c r="H2058" s="31"/>
      <c r="I2058" s="32"/>
      <c r="J2058" s="32"/>
      <c r="K2058" s="45" t="s">
        <v>888</v>
      </c>
      <c r="L2058" s="129"/>
      <c r="M2058" s="33" t="str">
        <f t="shared" si="32"/>
        <v/>
      </c>
      <c r="N2058" s="34" t="str">
        <f>IFERROR(IF(Tabela1[[#This Row],[Nome fantasia]]="","",_xlfn.XLOOKUP($C2058,Log!D:D,Log!B:B,,,-1)),"")</f>
        <v/>
      </c>
      <c r="O2058" s="35" t="str">
        <f>IFERROR(_xlfn.XLOOKUP($C2058,Log!D:D,Log!W:W,,,-1),"")</f>
        <v/>
      </c>
      <c r="P2058" s="35" t="str">
        <f>IFERROR(_xlfn.XLOOKUP($C2058,Log!D:D,Log!Y:Y,,,-1),"")</f>
        <v/>
      </c>
      <c r="Q2058" s="130"/>
      <c r="R2058" s="131" t="str">
        <f>IFERROR(IF(Tabela1[[#This Row],[Nome fantasia]]="","",_xlfn.XLOOKUP($C2058,Log!D:D,Log!X:X,,,-1)),"")</f>
        <v/>
      </c>
    </row>
    <row r="2059" spans="3:18" hidden="1" x14ac:dyDescent="0.2">
      <c r="C2059" s="30" t="s">
        <v>4369</v>
      </c>
      <c r="D2059" s="110" t="s">
        <v>4370</v>
      </c>
      <c r="E2059" s="33" t="s">
        <v>22</v>
      </c>
      <c r="F2059" s="38"/>
      <c r="G2059" s="38"/>
      <c r="H2059" s="31"/>
      <c r="I2059" s="32"/>
      <c r="J2059" s="32"/>
      <c r="K2059" s="45" t="s">
        <v>888</v>
      </c>
      <c r="L2059" s="129"/>
      <c r="M2059" s="33" t="str">
        <f t="shared" si="32"/>
        <v/>
      </c>
      <c r="N2059" s="34" t="str">
        <f>IFERROR(IF(Tabela1[[#This Row],[Nome fantasia]]="","",_xlfn.XLOOKUP($C2059,Log!D:D,Log!B:B,,,-1)),"")</f>
        <v/>
      </c>
      <c r="O2059" s="35" t="str">
        <f>IFERROR(_xlfn.XLOOKUP($C2059,Log!D:D,Log!W:W,,,-1),"")</f>
        <v/>
      </c>
      <c r="P2059" s="35" t="str">
        <f>IFERROR(_xlfn.XLOOKUP($C2059,Log!D:D,Log!Y:Y,,,-1),"")</f>
        <v/>
      </c>
      <c r="Q2059" s="130"/>
      <c r="R2059" s="131" t="str">
        <f>IFERROR(IF(Tabela1[[#This Row],[Nome fantasia]]="","",_xlfn.XLOOKUP($C2059,Log!D:D,Log!X:X,,,-1)),"")</f>
        <v/>
      </c>
    </row>
    <row r="2060" spans="3:18" hidden="1" x14ac:dyDescent="0.2">
      <c r="C2060" s="30" t="s">
        <v>4371</v>
      </c>
      <c r="D2060" s="110" t="s">
        <v>4372</v>
      </c>
      <c r="E2060" s="33" t="s">
        <v>17</v>
      </c>
      <c r="F2060" s="38"/>
      <c r="G2060" s="38"/>
      <c r="H2060" s="31"/>
      <c r="I2060" s="32"/>
      <c r="J2060" s="32"/>
      <c r="K2060" s="45" t="s">
        <v>888</v>
      </c>
      <c r="L2060" s="129"/>
      <c r="M2060" s="33" t="str">
        <f t="shared" si="32"/>
        <v/>
      </c>
      <c r="N2060" s="34" t="str">
        <f>IFERROR(IF(Tabela1[[#This Row],[Nome fantasia]]="","",_xlfn.XLOOKUP($C2060,Log!D:D,Log!B:B,,,-1)),"")</f>
        <v/>
      </c>
      <c r="O2060" s="35" t="str">
        <f>IFERROR(_xlfn.XLOOKUP($C2060,Log!D:D,Log!W:W,,,-1),"")</f>
        <v/>
      </c>
      <c r="P2060" s="35" t="str">
        <f>IFERROR(_xlfn.XLOOKUP($C2060,Log!D:D,Log!Y:Y,,,-1),"")</f>
        <v/>
      </c>
      <c r="Q2060" s="130"/>
      <c r="R2060" s="131" t="str">
        <f>IFERROR(IF(Tabela1[[#This Row],[Nome fantasia]]="","",_xlfn.XLOOKUP($C2060,Log!D:D,Log!X:X,,,-1)),"")</f>
        <v/>
      </c>
    </row>
    <row r="2061" spans="3:18" hidden="1" x14ac:dyDescent="0.2">
      <c r="C2061" s="30" t="s">
        <v>4373</v>
      </c>
      <c r="D2061" s="110" t="s">
        <v>4374</v>
      </c>
      <c r="E2061" s="33" t="s">
        <v>22</v>
      </c>
      <c r="F2061" s="38"/>
      <c r="G2061" s="38"/>
      <c r="H2061" s="31"/>
      <c r="I2061" s="32"/>
      <c r="J2061" s="32"/>
      <c r="K2061" s="45" t="s">
        <v>888</v>
      </c>
      <c r="L2061" s="129"/>
      <c r="M2061" s="33" t="str">
        <f t="shared" si="32"/>
        <v/>
      </c>
      <c r="N2061" s="34" t="str">
        <f>IFERROR(IF(Tabela1[[#This Row],[Nome fantasia]]="","",_xlfn.XLOOKUP($C2061,Log!D:D,Log!B:B,,,-1)),"")</f>
        <v/>
      </c>
      <c r="O2061" s="35" t="str">
        <f>IFERROR(_xlfn.XLOOKUP($C2061,Log!D:D,Log!W:W,,,-1),"")</f>
        <v/>
      </c>
      <c r="P2061" s="35" t="str">
        <f>IFERROR(_xlfn.XLOOKUP($C2061,Log!D:D,Log!Y:Y,,,-1),"")</f>
        <v/>
      </c>
      <c r="Q2061" s="130"/>
      <c r="R2061" s="131" t="str">
        <f>IFERROR(IF(Tabela1[[#This Row],[Nome fantasia]]="","",_xlfn.XLOOKUP($C2061,Log!D:D,Log!X:X,,,-1)),"")</f>
        <v/>
      </c>
    </row>
    <row r="2062" spans="3:18" hidden="1" x14ac:dyDescent="0.2">
      <c r="C2062" s="30" t="s">
        <v>4375</v>
      </c>
      <c r="D2062" s="110" t="s">
        <v>4376</v>
      </c>
      <c r="E2062" s="33" t="s">
        <v>46</v>
      </c>
      <c r="F2062" s="38"/>
      <c r="G2062" s="38"/>
      <c r="H2062" s="31"/>
      <c r="I2062" s="32"/>
      <c r="J2062" s="32"/>
      <c r="K2062" s="45" t="s">
        <v>888</v>
      </c>
      <c r="L2062" s="129"/>
      <c r="M2062" s="33" t="str">
        <f t="shared" si="32"/>
        <v/>
      </c>
      <c r="N2062" s="34" t="str">
        <f>IFERROR(IF(Tabela1[[#This Row],[Nome fantasia]]="","",_xlfn.XLOOKUP($C2062,Log!D:D,Log!B:B,,,-1)),"")</f>
        <v/>
      </c>
      <c r="O2062" s="35" t="str">
        <f>IFERROR(_xlfn.XLOOKUP($C2062,Log!D:D,Log!W:W,,,-1),"")</f>
        <v/>
      </c>
      <c r="P2062" s="35" t="str">
        <f>IFERROR(_xlfn.XLOOKUP($C2062,Log!D:D,Log!Y:Y,,,-1),"")</f>
        <v/>
      </c>
      <c r="Q2062" s="130"/>
      <c r="R2062" s="131" t="str">
        <f>IFERROR(IF(Tabela1[[#This Row],[Nome fantasia]]="","",_xlfn.XLOOKUP($C2062,Log!D:D,Log!X:X,,,-1)),"")</f>
        <v/>
      </c>
    </row>
    <row r="2063" spans="3:18" hidden="1" x14ac:dyDescent="0.2">
      <c r="C2063" s="30" t="s">
        <v>4377</v>
      </c>
      <c r="D2063" s="110" t="s">
        <v>4378</v>
      </c>
      <c r="E2063" s="33" t="s">
        <v>46</v>
      </c>
      <c r="F2063" s="38"/>
      <c r="G2063" s="38"/>
      <c r="H2063" s="31"/>
      <c r="I2063" s="32"/>
      <c r="J2063" s="32"/>
      <c r="K2063" s="45" t="s">
        <v>888</v>
      </c>
      <c r="L2063" s="129"/>
      <c r="M2063" s="33" t="str">
        <f t="shared" si="32"/>
        <v/>
      </c>
      <c r="N2063" s="34" t="str">
        <f>IFERROR(IF(Tabela1[[#This Row],[Nome fantasia]]="","",_xlfn.XLOOKUP($C2063,Log!D:D,Log!B:B,,,-1)),"")</f>
        <v/>
      </c>
      <c r="O2063" s="35" t="str">
        <f>IFERROR(_xlfn.XLOOKUP($C2063,Log!D:D,Log!W:W,,,-1),"")</f>
        <v/>
      </c>
      <c r="P2063" s="35" t="str">
        <f>IFERROR(_xlfn.XLOOKUP($C2063,Log!D:D,Log!Y:Y,,,-1),"")</f>
        <v/>
      </c>
      <c r="Q2063" s="130"/>
      <c r="R2063" s="131" t="str">
        <f>IFERROR(IF(Tabela1[[#This Row],[Nome fantasia]]="","",_xlfn.XLOOKUP($C2063,Log!D:D,Log!X:X,,,-1)),"")</f>
        <v/>
      </c>
    </row>
    <row r="2064" spans="3:18" hidden="1" x14ac:dyDescent="0.2">
      <c r="C2064" s="30" t="s">
        <v>4379</v>
      </c>
      <c r="D2064" s="110" t="s">
        <v>4380</v>
      </c>
      <c r="E2064" s="33" t="s">
        <v>22</v>
      </c>
      <c r="F2064" s="38"/>
      <c r="G2064" s="38"/>
      <c r="H2064" s="31"/>
      <c r="I2064" s="32"/>
      <c r="J2064" s="32"/>
      <c r="K2064" s="45" t="s">
        <v>888</v>
      </c>
      <c r="L2064" s="129"/>
      <c r="M2064" s="33" t="str">
        <f t="shared" si="32"/>
        <v/>
      </c>
      <c r="N2064" s="34" t="str">
        <f>IFERROR(IF(Tabela1[[#This Row],[Nome fantasia]]="","",_xlfn.XLOOKUP($C2064,Log!D:D,Log!B:B,,,-1)),"")</f>
        <v/>
      </c>
      <c r="O2064" s="35" t="str">
        <f>IFERROR(_xlfn.XLOOKUP($C2064,Log!D:D,Log!W:W,,,-1),"")</f>
        <v/>
      </c>
      <c r="P2064" s="35" t="str">
        <f>IFERROR(_xlfn.XLOOKUP($C2064,Log!D:D,Log!Y:Y,,,-1),"")</f>
        <v/>
      </c>
      <c r="Q2064" s="130"/>
      <c r="R2064" s="131" t="str">
        <f>IFERROR(IF(Tabela1[[#This Row],[Nome fantasia]]="","",_xlfn.XLOOKUP($C2064,Log!D:D,Log!X:X,,,-1)),"")</f>
        <v/>
      </c>
    </row>
    <row r="2065" spans="3:18" hidden="1" x14ac:dyDescent="0.2">
      <c r="C2065" s="30" t="s">
        <v>4381</v>
      </c>
      <c r="D2065" s="110" t="s">
        <v>4382</v>
      </c>
      <c r="E2065" s="33" t="s">
        <v>22</v>
      </c>
      <c r="F2065" s="38"/>
      <c r="G2065" s="38"/>
      <c r="H2065" s="31"/>
      <c r="I2065" s="32"/>
      <c r="J2065" s="32"/>
      <c r="K2065" s="45" t="s">
        <v>888</v>
      </c>
      <c r="L2065" s="129"/>
      <c r="M2065" s="33" t="str">
        <f t="shared" si="32"/>
        <v/>
      </c>
      <c r="N2065" s="34" t="str">
        <f>IFERROR(IF(Tabela1[[#This Row],[Nome fantasia]]="","",_xlfn.XLOOKUP($C2065,Log!D:D,Log!B:B,,,-1)),"")</f>
        <v/>
      </c>
      <c r="O2065" s="35" t="str">
        <f>IFERROR(_xlfn.XLOOKUP($C2065,Log!D:D,Log!W:W,,,-1),"")</f>
        <v/>
      </c>
      <c r="P2065" s="35" t="str">
        <f>IFERROR(_xlfn.XLOOKUP($C2065,Log!D:D,Log!Y:Y,,,-1),"")</f>
        <v/>
      </c>
      <c r="Q2065" s="130"/>
      <c r="R2065" s="131" t="str">
        <f>IFERROR(IF(Tabela1[[#This Row],[Nome fantasia]]="","",_xlfn.XLOOKUP($C2065,Log!D:D,Log!X:X,,,-1)),"")</f>
        <v/>
      </c>
    </row>
    <row r="2066" spans="3:18" hidden="1" x14ac:dyDescent="0.2">
      <c r="C2066" s="30" t="s">
        <v>4383</v>
      </c>
      <c r="D2066" s="110" t="s">
        <v>4384</v>
      </c>
      <c r="E2066" s="33" t="s">
        <v>17</v>
      </c>
      <c r="F2066" s="38"/>
      <c r="G2066" s="38"/>
      <c r="H2066" s="31"/>
      <c r="I2066" s="32"/>
      <c r="J2066" s="32"/>
      <c r="K2066" s="45" t="s">
        <v>888</v>
      </c>
      <c r="L2066" s="129"/>
      <c r="M2066" s="33" t="str">
        <f t="shared" si="32"/>
        <v/>
      </c>
      <c r="N2066" s="34" t="str">
        <f>IFERROR(IF(Tabela1[[#This Row],[Nome fantasia]]="","",_xlfn.XLOOKUP($C2066,Log!D:D,Log!B:B,,,-1)),"")</f>
        <v/>
      </c>
      <c r="O2066" s="35" t="str">
        <f>IFERROR(_xlfn.XLOOKUP($C2066,Log!D:D,Log!W:W,,,-1),"")</f>
        <v/>
      </c>
      <c r="P2066" s="35" t="str">
        <f>IFERROR(_xlfn.XLOOKUP($C2066,Log!D:D,Log!Y:Y,,,-1),"")</f>
        <v/>
      </c>
      <c r="Q2066" s="130"/>
      <c r="R2066" s="131" t="str">
        <f>IFERROR(IF(Tabela1[[#This Row],[Nome fantasia]]="","",_xlfn.XLOOKUP($C2066,Log!D:D,Log!X:X,,,-1)),"")</f>
        <v/>
      </c>
    </row>
    <row r="2067" spans="3:18" hidden="1" x14ac:dyDescent="0.2">
      <c r="C2067" s="30" t="s">
        <v>4385</v>
      </c>
      <c r="D2067" s="110" t="s">
        <v>4386</v>
      </c>
      <c r="E2067" s="33" t="s">
        <v>17</v>
      </c>
      <c r="F2067" s="38"/>
      <c r="G2067" s="38"/>
      <c r="H2067" s="31"/>
      <c r="I2067" s="32"/>
      <c r="J2067" s="32"/>
      <c r="K2067" s="45" t="s">
        <v>888</v>
      </c>
      <c r="L2067" s="129"/>
      <c r="M2067" s="33" t="str">
        <f t="shared" si="32"/>
        <v/>
      </c>
      <c r="N2067" s="34" t="str">
        <f>IFERROR(IF(Tabela1[[#This Row],[Nome fantasia]]="","",_xlfn.XLOOKUP($C2067,Log!D:D,Log!B:B,,,-1)),"")</f>
        <v/>
      </c>
      <c r="O2067" s="35" t="str">
        <f>IFERROR(_xlfn.XLOOKUP($C2067,Log!D:D,Log!W:W,,,-1),"")</f>
        <v/>
      </c>
      <c r="P2067" s="35" t="str">
        <f>IFERROR(_xlfn.XLOOKUP($C2067,Log!D:D,Log!Y:Y,,,-1),"")</f>
        <v/>
      </c>
      <c r="Q2067" s="130"/>
      <c r="R2067" s="131" t="str">
        <f>IFERROR(IF(Tabela1[[#This Row],[Nome fantasia]]="","",_xlfn.XLOOKUP($C2067,Log!D:D,Log!X:X,,,-1)),"")</f>
        <v/>
      </c>
    </row>
    <row r="2068" spans="3:18" hidden="1" x14ac:dyDescent="0.2">
      <c r="C2068" s="30" t="s">
        <v>4387</v>
      </c>
      <c r="D2068" s="110" t="s">
        <v>4388</v>
      </c>
      <c r="E2068" s="33" t="s">
        <v>17</v>
      </c>
      <c r="F2068" s="38"/>
      <c r="G2068" s="38"/>
      <c r="H2068" s="31"/>
      <c r="I2068" s="32"/>
      <c r="J2068" s="32"/>
      <c r="K2068" s="45" t="s">
        <v>888</v>
      </c>
      <c r="L2068" s="129"/>
      <c r="M2068" s="33" t="str">
        <f t="shared" si="32"/>
        <v/>
      </c>
      <c r="N2068" s="34" t="str">
        <f>IFERROR(IF(Tabela1[[#This Row],[Nome fantasia]]="","",_xlfn.XLOOKUP($C2068,Log!D:D,Log!B:B,,,-1)),"")</f>
        <v/>
      </c>
      <c r="O2068" s="35" t="str">
        <f>IFERROR(_xlfn.XLOOKUP($C2068,Log!D:D,Log!W:W,,,-1),"")</f>
        <v/>
      </c>
      <c r="P2068" s="35" t="str">
        <f>IFERROR(_xlfn.XLOOKUP($C2068,Log!D:D,Log!Y:Y,,,-1),"")</f>
        <v/>
      </c>
      <c r="Q2068" s="130"/>
      <c r="R2068" s="131" t="str">
        <f>IFERROR(IF(Tabela1[[#This Row],[Nome fantasia]]="","",_xlfn.XLOOKUP($C2068,Log!D:D,Log!X:X,,,-1)),"")</f>
        <v/>
      </c>
    </row>
    <row r="2069" spans="3:18" hidden="1" x14ac:dyDescent="0.2">
      <c r="C2069" s="30" t="s">
        <v>4389</v>
      </c>
      <c r="D2069" s="110" t="s">
        <v>4390</v>
      </c>
      <c r="E2069" s="33" t="s">
        <v>22</v>
      </c>
      <c r="F2069" s="38"/>
      <c r="G2069" s="38"/>
      <c r="H2069" s="31"/>
      <c r="I2069" s="32"/>
      <c r="J2069" s="32"/>
      <c r="K2069" s="45" t="s">
        <v>888</v>
      </c>
      <c r="L2069" s="129"/>
      <c r="M2069" s="33" t="str">
        <f t="shared" si="32"/>
        <v/>
      </c>
      <c r="N2069" s="34" t="str">
        <f>IFERROR(IF(Tabela1[[#This Row],[Nome fantasia]]="","",_xlfn.XLOOKUP($C2069,Log!D:D,Log!B:B,,,-1)),"")</f>
        <v/>
      </c>
      <c r="O2069" s="35" t="str">
        <f>IFERROR(_xlfn.XLOOKUP($C2069,Log!D:D,Log!W:W,,,-1),"")</f>
        <v/>
      </c>
      <c r="P2069" s="35" t="str">
        <f>IFERROR(_xlfn.XLOOKUP($C2069,Log!D:D,Log!Y:Y,,,-1),"")</f>
        <v/>
      </c>
      <c r="Q2069" s="130"/>
      <c r="R2069" s="131" t="str">
        <f>IFERROR(IF(Tabela1[[#This Row],[Nome fantasia]]="","",_xlfn.XLOOKUP($C2069,Log!D:D,Log!X:X,,,-1)),"")</f>
        <v/>
      </c>
    </row>
    <row r="2070" spans="3:18" hidden="1" x14ac:dyDescent="0.2">
      <c r="C2070" s="30" t="s">
        <v>4391</v>
      </c>
      <c r="D2070" s="110" t="s">
        <v>4392</v>
      </c>
      <c r="E2070" s="33" t="s">
        <v>22</v>
      </c>
      <c r="F2070" s="38"/>
      <c r="G2070" s="38"/>
      <c r="H2070" s="31"/>
      <c r="I2070" s="32"/>
      <c r="J2070" s="32"/>
      <c r="K2070" s="45" t="s">
        <v>888</v>
      </c>
      <c r="L2070" s="129"/>
      <c r="M2070" s="33" t="str">
        <f t="shared" si="32"/>
        <v/>
      </c>
      <c r="N2070" s="34" t="str">
        <f>IFERROR(IF(Tabela1[[#This Row],[Nome fantasia]]="","",_xlfn.XLOOKUP($C2070,Log!D:D,Log!B:B,,,-1)),"")</f>
        <v/>
      </c>
      <c r="O2070" s="35" t="str">
        <f>IFERROR(_xlfn.XLOOKUP($C2070,Log!D:D,Log!W:W,,,-1),"")</f>
        <v/>
      </c>
      <c r="P2070" s="35" t="str">
        <f>IFERROR(_xlfn.XLOOKUP($C2070,Log!D:D,Log!Y:Y,,,-1),"")</f>
        <v/>
      </c>
      <c r="Q2070" s="130"/>
      <c r="R2070" s="131" t="str">
        <f>IFERROR(IF(Tabela1[[#This Row],[Nome fantasia]]="","",_xlfn.XLOOKUP($C2070,Log!D:D,Log!X:X,,,-1)),"")</f>
        <v/>
      </c>
    </row>
    <row r="2071" spans="3:18" hidden="1" x14ac:dyDescent="0.2">
      <c r="C2071" s="30" t="s">
        <v>4393</v>
      </c>
      <c r="D2071" s="110" t="s">
        <v>4394</v>
      </c>
      <c r="E2071" s="33" t="s">
        <v>22</v>
      </c>
      <c r="F2071" s="38"/>
      <c r="G2071" s="38"/>
      <c r="H2071" s="31"/>
      <c r="I2071" s="32"/>
      <c r="J2071" s="32"/>
      <c r="K2071" s="45" t="s">
        <v>888</v>
      </c>
      <c r="L2071" s="129"/>
      <c r="M2071" s="33" t="str">
        <f t="shared" si="32"/>
        <v/>
      </c>
      <c r="N2071" s="34" t="str">
        <f>IFERROR(IF(Tabela1[[#This Row],[Nome fantasia]]="","",_xlfn.XLOOKUP($C2071,Log!D:D,Log!B:B,,,-1)),"")</f>
        <v/>
      </c>
      <c r="O2071" s="35" t="str">
        <f>IFERROR(_xlfn.XLOOKUP($C2071,Log!D:D,Log!W:W,,,-1),"")</f>
        <v/>
      </c>
      <c r="P2071" s="35" t="str">
        <f>IFERROR(_xlfn.XLOOKUP($C2071,Log!D:D,Log!Y:Y,,,-1),"")</f>
        <v/>
      </c>
      <c r="Q2071" s="130"/>
      <c r="R2071" s="131" t="str">
        <f>IFERROR(IF(Tabela1[[#This Row],[Nome fantasia]]="","",_xlfn.XLOOKUP($C2071,Log!D:D,Log!X:X,,,-1)),"")</f>
        <v/>
      </c>
    </row>
    <row r="2072" spans="3:18" hidden="1" x14ac:dyDescent="0.2">
      <c r="C2072" s="30" t="s">
        <v>4395</v>
      </c>
      <c r="D2072" s="110" t="s">
        <v>4396</v>
      </c>
      <c r="E2072" s="33" t="s">
        <v>17</v>
      </c>
      <c r="F2072" s="38"/>
      <c r="G2072" s="38"/>
      <c r="H2072" s="31"/>
      <c r="I2072" s="32"/>
      <c r="J2072" s="32"/>
      <c r="K2072" s="45" t="s">
        <v>888</v>
      </c>
      <c r="L2072" s="129"/>
      <c r="M2072" s="33" t="str">
        <f t="shared" si="32"/>
        <v/>
      </c>
      <c r="N2072" s="34" t="str">
        <f>IFERROR(IF(Tabela1[[#This Row],[Nome fantasia]]="","",_xlfn.XLOOKUP($C2072,Log!D:D,Log!B:B,,,-1)),"")</f>
        <v/>
      </c>
      <c r="O2072" s="35" t="str">
        <f>IFERROR(_xlfn.XLOOKUP($C2072,Log!D:D,Log!W:W,,,-1),"")</f>
        <v/>
      </c>
      <c r="P2072" s="35" t="str">
        <f>IFERROR(_xlfn.XLOOKUP($C2072,Log!D:D,Log!Y:Y,,,-1),"")</f>
        <v/>
      </c>
      <c r="Q2072" s="130"/>
      <c r="R2072" s="131" t="str">
        <f>IFERROR(IF(Tabela1[[#This Row],[Nome fantasia]]="","",_xlfn.XLOOKUP($C2072,Log!D:D,Log!X:X,,,-1)),"")</f>
        <v/>
      </c>
    </row>
    <row r="2073" spans="3:18" hidden="1" x14ac:dyDescent="0.2">
      <c r="C2073" s="30" t="s">
        <v>4397</v>
      </c>
      <c r="D2073" s="110" t="s">
        <v>4398</v>
      </c>
      <c r="E2073" s="33" t="s">
        <v>46</v>
      </c>
      <c r="F2073" s="38"/>
      <c r="G2073" s="38"/>
      <c r="H2073" s="31"/>
      <c r="I2073" s="32"/>
      <c r="J2073" s="32"/>
      <c r="K2073" s="45" t="s">
        <v>888</v>
      </c>
      <c r="L2073" s="129"/>
      <c r="M2073" s="33" t="str">
        <f t="shared" si="32"/>
        <v/>
      </c>
      <c r="N2073" s="34" t="str">
        <f>IFERROR(IF(Tabela1[[#This Row],[Nome fantasia]]="","",_xlfn.XLOOKUP($C2073,Log!D:D,Log!B:B,,,-1)),"")</f>
        <v/>
      </c>
      <c r="O2073" s="35" t="str">
        <f>IFERROR(_xlfn.XLOOKUP($C2073,Log!D:D,Log!W:W,,,-1),"")</f>
        <v/>
      </c>
      <c r="P2073" s="35" t="str">
        <f>IFERROR(_xlfn.XLOOKUP($C2073,Log!D:D,Log!Y:Y,,,-1),"")</f>
        <v/>
      </c>
      <c r="Q2073" s="130"/>
      <c r="R2073" s="131" t="str">
        <f>IFERROR(IF(Tabela1[[#This Row],[Nome fantasia]]="","",_xlfn.XLOOKUP($C2073,Log!D:D,Log!X:X,,,-1)),"")</f>
        <v/>
      </c>
    </row>
    <row r="2074" spans="3:18" hidden="1" x14ac:dyDescent="0.2">
      <c r="C2074" s="30" t="s">
        <v>4399</v>
      </c>
      <c r="D2074" s="110" t="s">
        <v>4400</v>
      </c>
      <c r="E2074" s="33" t="s">
        <v>22</v>
      </c>
      <c r="F2074" s="38"/>
      <c r="G2074" s="38"/>
      <c r="H2074" s="31"/>
      <c r="I2074" s="32"/>
      <c r="J2074" s="32"/>
      <c r="K2074" s="45" t="s">
        <v>888</v>
      </c>
      <c r="L2074" s="129"/>
      <c r="M2074" s="33" t="str">
        <f t="shared" si="32"/>
        <v/>
      </c>
      <c r="N2074" s="34" t="str">
        <f>IFERROR(IF(Tabela1[[#This Row],[Nome fantasia]]="","",_xlfn.XLOOKUP($C2074,Log!D:D,Log!B:B,,,-1)),"")</f>
        <v/>
      </c>
      <c r="O2074" s="35" t="str">
        <f>IFERROR(_xlfn.XLOOKUP($C2074,Log!D:D,Log!W:W,,,-1),"")</f>
        <v/>
      </c>
      <c r="P2074" s="35" t="str">
        <f>IFERROR(_xlfn.XLOOKUP($C2074,Log!D:D,Log!Y:Y,,,-1),"")</f>
        <v/>
      </c>
      <c r="Q2074" s="130"/>
      <c r="R2074" s="131" t="str">
        <f>IFERROR(IF(Tabela1[[#This Row],[Nome fantasia]]="","",_xlfn.XLOOKUP($C2074,Log!D:D,Log!X:X,,,-1)),"")</f>
        <v/>
      </c>
    </row>
    <row r="2075" spans="3:18" hidden="1" x14ac:dyDescent="0.2">
      <c r="C2075" s="30" t="s">
        <v>4401</v>
      </c>
      <c r="D2075" s="110" t="s">
        <v>4402</v>
      </c>
      <c r="E2075" s="33" t="s">
        <v>46</v>
      </c>
      <c r="F2075" s="38"/>
      <c r="G2075" s="38"/>
      <c r="H2075" s="31"/>
      <c r="I2075" s="32"/>
      <c r="J2075" s="32"/>
      <c r="K2075" s="45" t="s">
        <v>888</v>
      </c>
      <c r="L2075" s="129"/>
      <c r="M2075" s="33" t="str">
        <f t="shared" si="32"/>
        <v/>
      </c>
      <c r="N2075" s="34" t="str">
        <f>IFERROR(IF(Tabela1[[#This Row],[Nome fantasia]]="","",_xlfn.XLOOKUP($C2075,Log!D:D,Log!B:B,,,-1)),"")</f>
        <v/>
      </c>
      <c r="O2075" s="35" t="str">
        <f>IFERROR(_xlfn.XLOOKUP($C2075,Log!D:D,Log!W:W,,,-1),"")</f>
        <v/>
      </c>
      <c r="P2075" s="35" t="str">
        <f>IFERROR(_xlfn.XLOOKUP($C2075,Log!D:D,Log!Y:Y,,,-1),"")</f>
        <v/>
      </c>
      <c r="Q2075" s="130"/>
      <c r="R2075" s="131" t="str">
        <f>IFERROR(IF(Tabela1[[#This Row],[Nome fantasia]]="","",_xlfn.XLOOKUP($C2075,Log!D:D,Log!X:X,,,-1)),"")</f>
        <v/>
      </c>
    </row>
    <row r="2076" spans="3:18" hidden="1" x14ac:dyDescent="0.2">
      <c r="C2076" s="30" t="s">
        <v>4403</v>
      </c>
      <c r="D2076" s="110" t="s">
        <v>4404</v>
      </c>
      <c r="E2076" s="33" t="s">
        <v>17</v>
      </c>
      <c r="F2076" s="38"/>
      <c r="G2076" s="38"/>
      <c r="H2076" s="31"/>
      <c r="I2076" s="32"/>
      <c r="J2076" s="32"/>
      <c r="K2076" s="45" t="s">
        <v>888</v>
      </c>
      <c r="L2076" s="129"/>
      <c r="M2076" s="33" t="str">
        <f t="shared" si="32"/>
        <v/>
      </c>
      <c r="N2076" s="34" t="str">
        <f>IFERROR(IF(Tabela1[[#This Row],[Nome fantasia]]="","",_xlfn.XLOOKUP($C2076,Log!D:D,Log!B:B,,,-1)),"")</f>
        <v/>
      </c>
      <c r="O2076" s="35" t="str">
        <f>IFERROR(_xlfn.XLOOKUP($C2076,Log!D:D,Log!W:W,,,-1),"")</f>
        <v/>
      </c>
      <c r="P2076" s="35" t="str">
        <f>IFERROR(_xlfn.XLOOKUP($C2076,Log!D:D,Log!Y:Y,,,-1),"")</f>
        <v/>
      </c>
      <c r="Q2076" s="130"/>
      <c r="R2076" s="131" t="str">
        <f>IFERROR(IF(Tabela1[[#This Row],[Nome fantasia]]="","",_xlfn.XLOOKUP($C2076,Log!D:D,Log!X:X,,,-1)),"")</f>
        <v/>
      </c>
    </row>
    <row r="2077" spans="3:18" hidden="1" x14ac:dyDescent="0.2">
      <c r="C2077" s="30" t="s">
        <v>4405</v>
      </c>
      <c r="D2077" s="110" t="s">
        <v>4406</v>
      </c>
      <c r="E2077" s="33" t="s">
        <v>17</v>
      </c>
      <c r="F2077" s="38"/>
      <c r="G2077" s="38"/>
      <c r="H2077" s="31"/>
      <c r="I2077" s="32"/>
      <c r="J2077" s="32"/>
      <c r="K2077" s="45" t="s">
        <v>888</v>
      </c>
      <c r="L2077" s="129"/>
      <c r="M2077" s="33" t="str">
        <f t="shared" si="32"/>
        <v/>
      </c>
      <c r="N2077" s="34" t="str">
        <f>IFERROR(IF(Tabela1[[#This Row],[Nome fantasia]]="","",_xlfn.XLOOKUP($C2077,Log!D:D,Log!B:B,,,-1)),"")</f>
        <v/>
      </c>
      <c r="O2077" s="35" t="str">
        <f>IFERROR(_xlfn.XLOOKUP($C2077,Log!D:D,Log!W:W,,,-1),"")</f>
        <v/>
      </c>
      <c r="P2077" s="35" t="str">
        <f>IFERROR(_xlfn.XLOOKUP($C2077,Log!D:D,Log!Y:Y,,,-1),"")</f>
        <v/>
      </c>
      <c r="Q2077" s="130"/>
      <c r="R2077" s="131" t="str">
        <f>IFERROR(IF(Tabela1[[#This Row],[Nome fantasia]]="","",_xlfn.XLOOKUP($C2077,Log!D:D,Log!X:X,,,-1)),"")</f>
        <v/>
      </c>
    </row>
    <row r="2078" spans="3:18" hidden="1" x14ac:dyDescent="0.2">
      <c r="C2078" s="30" t="s">
        <v>4407</v>
      </c>
      <c r="D2078" s="110" t="s">
        <v>4408</v>
      </c>
      <c r="E2078" s="33" t="s">
        <v>17</v>
      </c>
      <c r="F2078" s="38"/>
      <c r="G2078" s="38"/>
      <c r="H2078" s="31"/>
      <c r="I2078" s="32"/>
      <c r="J2078" s="32"/>
      <c r="K2078" s="45" t="s">
        <v>888</v>
      </c>
      <c r="L2078" s="129"/>
      <c r="M2078" s="33" t="str">
        <f t="shared" si="32"/>
        <v/>
      </c>
      <c r="N2078" s="34" t="str">
        <f>IFERROR(IF(Tabela1[[#This Row],[Nome fantasia]]="","",_xlfn.XLOOKUP($C2078,Log!D:D,Log!B:B,,,-1)),"")</f>
        <v/>
      </c>
      <c r="O2078" s="35" t="str">
        <f>IFERROR(_xlfn.XLOOKUP($C2078,Log!D:D,Log!W:W,,,-1),"")</f>
        <v/>
      </c>
      <c r="P2078" s="35" t="str">
        <f>IFERROR(_xlfn.XLOOKUP($C2078,Log!D:D,Log!Y:Y,,,-1),"")</f>
        <v/>
      </c>
      <c r="Q2078" s="130"/>
      <c r="R2078" s="131" t="str">
        <f>IFERROR(IF(Tabela1[[#This Row],[Nome fantasia]]="","",_xlfn.XLOOKUP($C2078,Log!D:D,Log!X:X,,,-1)),"")</f>
        <v/>
      </c>
    </row>
    <row r="2079" spans="3:18" hidden="1" x14ac:dyDescent="0.2">
      <c r="C2079" s="30" t="s">
        <v>4409</v>
      </c>
      <c r="D2079" s="110" t="s">
        <v>4410</v>
      </c>
      <c r="E2079" s="33" t="s">
        <v>46</v>
      </c>
      <c r="F2079" s="38"/>
      <c r="G2079" s="38"/>
      <c r="H2079" s="31"/>
      <c r="I2079" s="32"/>
      <c r="J2079" s="32"/>
      <c r="K2079" s="45" t="s">
        <v>888</v>
      </c>
      <c r="L2079" s="129"/>
      <c r="M2079" s="33" t="str">
        <f t="shared" si="32"/>
        <v/>
      </c>
      <c r="N2079" s="34" t="str">
        <f>IFERROR(IF(Tabela1[[#This Row],[Nome fantasia]]="","",_xlfn.XLOOKUP($C2079,Log!D:D,Log!B:B,,,-1)),"")</f>
        <v/>
      </c>
      <c r="O2079" s="35" t="str">
        <f>IFERROR(_xlfn.XLOOKUP($C2079,Log!D:D,Log!W:W,,,-1),"")</f>
        <v/>
      </c>
      <c r="P2079" s="35" t="str">
        <f>IFERROR(_xlfn.XLOOKUP($C2079,Log!D:D,Log!Y:Y,,,-1),"")</f>
        <v/>
      </c>
      <c r="Q2079" s="130"/>
      <c r="R2079" s="131" t="str">
        <f>IFERROR(IF(Tabela1[[#This Row],[Nome fantasia]]="","",_xlfn.XLOOKUP($C2079,Log!D:D,Log!X:X,,,-1)),"")</f>
        <v/>
      </c>
    </row>
    <row r="2080" spans="3:18" hidden="1" x14ac:dyDescent="0.2">
      <c r="C2080" s="30" t="s">
        <v>4411</v>
      </c>
      <c r="D2080" s="110" t="s">
        <v>4412</v>
      </c>
      <c r="E2080" s="33" t="s">
        <v>22</v>
      </c>
      <c r="F2080" s="38"/>
      <c r="G2080" s="38"/>
      <c r="H2080" s="31"/>
      <c r="I2080" s="32"/>
      <c r="J2080" s="32"/>
      <c r="K2080" s="45" t="s">
        <v>888</v>
      </c>
      <c r="L2080" s="129"/>
      <c r="M2080" s="33" t="str">
        <f t="shared" si="32"/>
        <v/>
      </c>
      <c r="N2080" s="34" t="str">
        <f>IFERROR(IF(Tabela1[[#This Row],[Nome fantasia]]="","",_xlfn.XLOOKUP($C2080,Log!D:D,Log!B:B,,,-1)),"")</f>
        <v/>
      </c>
      <c r="O2080" s="35" t="str">
        <f>IFERROR(_xlfn.XLOOKUP($C2080,Log!D:D,Log!W:W,,,-1),"")</f>
        <v/>
      </c>
      <c r="P2080" s="35" t="str">
        <f>IFERROR(_xlfn.XLOOKUP($C2080,Log!D:D,Log!Y:Y,,,-1),"")</f>
        <v/>
      </c>
      <c r="Q2080" s="130"/>
      <c r="R2080" s="131" t="str">
        <f>IFERROR(IF(Tabela1[[#This Row],[Nome fantasia]]="","",_xlfn.XLOOKUP($C2080,Log!D:D,Log!X:X,,,-1)),"")</f>
        <v/>
      </c>
    </row>
    <row r="2081" spans="3:18" hidden="1" x14ac:dyDescent="0.2">
      <c r="C2081" s="30" t="s">
        <v>4413</v>
      </c>
      <c r="D2081" s="110" t="s">
        <v>4414</v>
      </c>
      <c r="E2081" s="33" t="s">
        <v>22</v>
      </c>
      <c r="F2081" s="38"/>
      <c r="G2081" s="38"/>
      <c r="H2081" s="31"/>
      <c r="I2081" s="32"/>
      <c r="J2081" s="32"/>
      <c r="K2081" s="45" t="s">
        <v>888</v>
      </c>
      <c r="L2081" s="129"/>
      <c r="M2081" s="33" t="str">
        <f t="shared" si="32"/>
        <v/>
      </c>
      <c r="N2081" s="34" t="str">
        <f>IFERROR(IF(Tabela1[[#This Row],[Nome fantasia]]="","",_xlfn.XLOOKUP($C2081,Log!D:D,Log!B:B,,,-1)),"")</f>
        <v/>
      </c>
      <c r="O2081" s="35" t="str">
        <f>IFERROR(_xlfn.XLOOKUP($C2081,Log!D:D,Log!W:W,,,-1),"")</f>
        <v/>
      </c>
      <c r="P2081" s="35" t="str">
        <f>IFERROR(_xlfn.XLOOKUP($C2081,Log!D:D,Log!Y:Y,,,-1),"")</f>
        <v/>
      </c>
      <c r="Q2081" s="130"/>
      <c r="R2081" s="131" t="str">
        <f>IFERROR(IF(Tabela1[[#This Row],[Nome fantasia]]="","",_xlfn.XLOOKUP($C2081,Log!D:D,Log!X:X,,,-1)),"")</f>
        <v/>
      </c>
    </row>
    <row r="2082" spans="3:18" hidden="1" x14ac:dyDescent="0.2">
      <c r="C2082" s="30" t="s">
        <v>4415</v>
      </c>
      <c r="D2082" s="110" t="s">
        <v>4416</v>
      </c>
      <c r="E2082" s="33" t="s">
        <v>46</v>
      </c>
      <c r="F2082" s="38"/>
      <c r="G2082" s="38"/>
      <c r="H2082" s="31"/>
      <c r="I2082" s="32"/>
      <c r="J2082" s="32"/>
      <c r="K2082" s="45" t="s">
        <v>888</v>
      </c>
      <c r="L2082" s="129"/>
      <c r="M2082" s="33" t="str">
        <f t="shared" si="32"/>
        <v/>
      </c>
      <c r="N2082" s="34" t="str">
        <f>IFERROR(IF(Tabela1[[#This Row],[Nome fantasia]]="","",_xlfn.XLOOKUP($C2082,Log!D:D,Log!B:B,,,-1)),"")</f>
        <v/>
      </c>
      <c r="O2082" s="35" t="str">
        <f>IFERROR(_xlfn.XLOOKUP($C2082,Log!D:D,Log!W:W,,,-1),"")</f>
        <v/>
      </c>
      <c r="P2082" s="35" t="str">
        <f>IFERROR(_xlfn.XLOOKUP($C2082,Log!D:D,Log!Y:Y,,,-1),"")</f>
        <v/>
      </c>
      <c r="Q2082" s="130"/>
      <c r="R2082" s="131" t="str">
        <f>IFERROR(IF(Tabela1[[#This Row],[Nome fantasia]]="","",_xlfn.XLOOKUP($C2082,Log!D:D,Log!X:X,,,-1)),"")</f>
        <v/>
      </c>
    </row>
    <row r="2083" spans="3:18" hidden="1" x14ac:dyDescent="0.2">
      <c r="C2083" s="30" t="s">
        <v>4417</v>
      </c>
      <c r="D2083" s="110" t="s">
        <v>4418</v>
      </c>
      <c r="E2083" s="33" t="s">
        <v>46</v>
      </c>
      <c r="F2083" s="38"/>
      <c r="G2083" s="38"/>
      <c r="H2083" s="31"/>
      <c r="I2083" s="32"/>
      <c r="J2083" s="32"/>
      <c r="K2083" s="45" t="s">
        <v>888</v>
      </c>
      <c r="L2083" s="129"/>
      <c r="M2083" s="33" t="str">
        <f t="shared" si="32"/>
        <v/>
      </c>
      <c r="N2083" s="34" t="str">
        <f>IFERROR(IF(Tabela1[[#This Row],[Nome fantasia]]="","",_xlfn.XLOOKUP($C2083,Log!D:D,Log!B:B,,,-1)),"")</f>
        <v/>
      </c>
      <c r="O2083" s="35" t="str">
        <f>IFERROR(_xlfn.XLOOKUP($C2083,Log!D:D,Log!W:W,,,-1),"")</f>
        <v/>
      </c>
      <c r="P2083" s="35" t="str">
        <f>IFERROR(_xlfn.XLOOKUP($C2083,Log!D:D,Log!Y:Y,,,-1),"")</f>
        <v/>
      </c>
      <c r="Q2083" s="130"/>
      <c r="R2083" s="131" t="str">
        <f>IFERROR(IF(Tabela1[[#This Row],[Nome fantasia]]="","",_xlfn.XLOOKUP($C2083,Log!D:D,Log!X:X,,,-1)),"")</f>
        <v/>
      </c>
    </row>
    <row r="2084" spans="3:18" hidden="1" x14ac:dyDescent="0.2">
      <c r="C2084" s="30" t="s">
        <v>4419</v>
      </c>
      <c r="D2084" s="110" t="s">
        <v>4420</v>
      </c>
      <c r="E2084" s="33" t="s">
        <v>17</v>
      </c>
      <c r="F2084" s="38"/>
      <c r="G2084" s="38"/>
      <c r="H2084" s="31"/>
      <c r="I2084" s="32"/>
      <c r="J2084" s="32"/>
      <c r="K2084" s="45" t="s">
        <v>888</v>
      </c>
      <c r="L2084" s="129"/>
      <c r="M2084" s="33" t="str">
        <f t="shared" si="32"/>
        <v/>
      </c>
      <c r="N2084" s="34" t="str">
        <f>IFERROR(IF(Tabela1[[#This Row],[Nome fantasia]]="","",_xlfn.XLOOKUP($C2084,Log!D:D,Log!B:B,,,-1)),"")</f>
        <v/>
      </c>
      <c r="O2084" s="35" t="str">
        <f>IFERROR(_xlfn.XLOOKUP($C2084,Log!D:D,Log!W:W,,,-1),"")</f>
        <v/>
      </c>
      <c r="P2084" s="35" t="str">
        <f>IFERROR(_xlfn.XLOOKUP($C2084,Log!D:D,Log!Y:Y,,,-1),"")</f>
        <v/>
      </c>
      <c r="Q2084" s="130"/>
      <c r="R2084" s="131" t="str">
        <f>IFERROR(IF(Tabela1[[#This Row],[Nome fantasia]]="","",_xlfn.XLOOKUP($C2084,Log!D:D,Log!X:X,,,-1)),"")</f>
        <v/>
      </c>
    </row>
    <row r="2085" spans="3:18" hidden="1" x14ac:dyDescent="0.2">
      <c r="C2085" s="30" t="s">
        <v>4421</v>
      </c>
      <c r="D2085" s="110" t="s">
        <v>4422</v>
      </c>
      <c r="E2085" s="33" t="s">
        <v>46</v>
      </c>
      <c r="F2085" s="38"/>
      <c r="G2085" s="38"/>
      <c r="H2085" s="31"/>
      <c r="I2085" s="32"/>
      <c r="J2085" s="32"/>
      <c r="K2085" s="45" t="s">
        <v>888</v>
      </c>
      <c r="L2085" s="129"/>
      <c r="M2085" s="33" t="str">
        <f t="shared" si="32"/>
        <v/>
      </c>
      <c r="N2085" s="34" t="str">
        <f>IFERROR(IF(Tabela1[[#This Row],[Nome fantasia]]="","",_xlfn.XLOOKUP($C2085,Log!D:D,Log!B:B,,,-1)),"")</f>
        <v/>
      </c>
      <c r="O2085" s="35" t="str">
        <f>IFERROR(_xlfn.XLOOKUP($C2085,Log!D:D,Log!W:W,,,-1),"")</f>
        <v/>
      </c>
      <c r="P2085" s="35" t="str">
        <f>IFERROR(_xlfn.XLOOKUP($C2085,Log!D:D,Log!Y:Y,,,-1),"")</f>
        <v/>
      </c>
      <c r="Q2085" s="130"/>
      <c r="R2085" s="131" t="str">
        <f>IFERROR(IF(Tabela1[[#This Row],[Nome fantasia]]="","",_xlfn.XLOOKUP($C2085,Log!D:D,Log!X:X,,,-1)),"")</f>
        <v/>
      </c>
    </row>
    <row r="2086" spans="3:18" hidden="1" x14ac:dyDescent="0.2">
      <c r="C2086" s="30" t="s">
        <v>4423</v>
      </c>
      <c r="D2086" s="110" t="s">
        <v>4424</v>
      </c>
      <c r="E2086" s="33" t="s">
        <v>46</v>
      </c>
      <c r="F2086" s="38"/>
      <c r="G2086" s="38"/>
      <c r="H2086" s="31"/>
      <c r="I2086" s="32"/>
      <c r="J2086" s="32"/>
      <c r="K2086" s="45" t="s">
        <v>888</v>
      </c>
      <c r="L2086" s="129"/>
      <c r="M2086" s="33" t="str">
        <f t="shared" si="32"/>
        <v/>
      </c>
      <c r="N2086" s="34" t="str">
        <f>IFERROR(IF(Tabela1[[#This Row],[Nome fantasia]]="","",_xlfn.XLOOKUP($C2086,Log!D:D,Log!B:B,,,-1)),"")</f>
        <v/>
      </c>
      <c r="O2086" s="35" t="str">
        <f>IFERROR(_xlfn.XLOOKUP($C2086,Log!D:D,Log!W:W,,,-1),"")</f>
        <v/>
      </c>
      <c r="P2086" s="35" t="str">
        <f>IFERROR(_xlfn.XLOOKUP($C2086,Log!D:D,Log!Y:Y,,,-1),"")</f>
        <v/>
      </c>
      <c r="Q2086" s="130"/>
      <c r="R2086" s="131" t="str">
        <f>IFERROR(IF(Tabela1[[#This Row],[Nome fantasia]]="","",_xlfn.XLOOKUP($C2086,Log!D:D,Log!X:X,,,-1)),"")</f>
        <v/>
      </c>
    </row>
    <row r="2087" spans="3:18" hidden="1" x14ac:dyDescent="0.2">
      <c r="C2087" s="30" t="s">
        <v>4425</v>
      </c>
      <c r="D2087" s="110" t="s">
        <v>4426</v>
      </c>
      <c r="E2087" s="33" t="s">
        <v>22</v>
      </c>
      <c r="F2087" s="38"/>
      <c r="G2087" s="38"/>
      <c r="H2087" s="31"/>
      <c r="I2087" s="32"/>
      <c r="J2087" s="32"/>
      <c r="K2087" s="45" t="s">
        <v>888</v>
      </c>
      <c r="L2087" s="129"/>
      <c r="M2087" s="33" t="str">
        <f t="shared" si="32"/>
        <v/>
      </c>
      <c r="N2087" s="34" t="str">
        <f>IFERROR(IF(Tabela1[[#This Row],[Nome fantasia]]="","",_xlfn.XLOOKUP($C2087,Log!D:D,Log!B:B,,,-1)),"")</f>
        <v/>
      </c>
      <c r="O2087" s="35" t="str">
        <f>IFERROR(_xlfn.XLOOKUP($C2087,Log!D:D,Log!W:W,,,-1),"")</f>
        <v/>
      </c>
      <c r="P2087" s="35" t="str">
        <f>IFERROR(_xlfn.XLOOKUP($C2087,Log!D:D,Log!Y:Y,,,-1),"")</f>
        <v/>
      </c>
      <c r="Q2087" s="130"/>
      <c r="R2087" s="131" t="str">
        <f>IFERROR(IF(Tabela1[[#This Row],[Nome fantasia]]="","",_xlfn.XLOOKUP($C2087,Log!D:D,Log!X:X,,,-1)),"")</f>
        <v/>
      </c>
    </row>
    <row r="2088" spans="3:18" hidden="1" x14ac:dyDescent="0.2">
      <c r="C2088" s="30" t="s">
        <v>4427</v>
      </c>
      <c r="D2088" s="110" t="s">
        <v>4428</v>
      </c>
      <c r="E2088" s="33" t="s">
        <v>22</v>
      </c>
      <c r="F2088" s="38"/>
      <c r="G2088" s="38"/>
      <c r="H2088" s="31"/>
      <c r="I2088" s="32"/>
      <c r="J2088" s="32"/>
      <c r="K2088" s="45" t="s">
        <v>888</v>
      </c>
      <c r="L2088" s="129"/>
      <c r="M2088" s="33" t="str">
        <f t="shared" si="32"/>
        <v/>
      </c>
      <c r="N2088" s="34" t="str">
        <f>IFERROR(IF(Tabela1[[#This Row],[Nome fantasia]]="","",_xlfn.XLOOKUP($C2088,Log!D:D,Log!B:B,,,-1)),"")</f>
        <v/>
      </c>
      <c r="O2088" s="35" t="str">
        <f>IFERROR(_xlfn.XLOOKUP($C2088,Log!D:D,Log!W:W,,,-1),"")</f>
        <v/>
      </c>
      <c r="P2088" s="35" t="str">
        <f>IFERROR(_xlfn.XLOOKUP($C2088,Log!D:D,Log!Y:Y,,,-1),"")</f>
        <v/>
      </c>
      <c r="Q2088" s="130"/>
      <c r="R2088" s="131" t="str">
        <f>IFERROR(IF(Tabela1[[#This Row],[Nome fantasia]]="","",_xlfn.XLOOKUP($C2088,Log!D:D,Log!X:X,,,-1)),"")</f>
        <v/>
      </c>
    </row>
    <row r="2089" spans="3:18" hidden="1" x14ac:dyDescent="0.2">
      <c r="C2089" s="30" t="s">
        <v>4429</v>
      </c>
      <c r="D2089" s="110" t="s">
        <v>4430</v>
      </c>
      <c r="E2089" s="33" t="s">
        <v>22</v>
      </c>
      <c r="F2089" s="38"/>
      <c r="G2089" s="38"/>
      <c r="H2089" s="31"/>
      <c r="I2089" s="32"/>
      <c r="J2089" s="32"/>
      <c r="K2089" s="45" t="s">
        <v>888</v>
      </c>
      <c r="L2089" s="129"/>
      <c r="M2089" s="33" t="str">
        <f t="shared" si="32"/>
        <v/>
      </c>
      <c r="N2089" s="34" t="str">
        <f>IFERROR(IF(Tabela1[[#This Row],[Nome fantasia]]="","",_xlfn.XLOOKUP($C2089,Log!D:D,Log!B:B,,,-1)),"")</f>
        <v/>
      </c>
      <c r="O2089" s="35" t="str">
        <f>IFERROR(_xlfn.XLOOKUP($C2089,Log!D:D,Log!W:W,,,-1),"")</f>
        <v/>
      </c>
      <c r="P2089" s="35" t="str">
        <f>IFERROR(_xlfn.XLOOKUP($C2089,Log!D:D,Log!Y:Y,,,-1),"")</f>
        <v/>
      </c>
      <c r="Q2089" s="130"/>
      <c r="R2089" s="131" t="str">
        <f>IFERROR(IF(Tabela1[[#This Row],[Nome fantasia]]="","",_xlfn.XLOOKUP($C2089,Log!D:D,Log!X:X,,,-1)),"")</f>
        <v/>
      </c>
    </row>
    <row r="2090" spans="3:18" hidden="1" x14ac:dyDescent="0.2">
      <c r="C2090" s="30" t="s">
        <v>4431</v>
      </c>
      <c r="D2090" s="110" t="s">
        <v>4432</v>
      </c>
      <c r="E2090" s="33" t="s">
        <v>17</v>
      </c>
      <c r="F2090" s="38"/>
      <c r="G2090" s="38"/>
      <c r="H2090" s="31"/>
      <c r="I2090" s="32"/>
      <c r="J2090" s="32"/>
      <c r="K2090" s="45" t="s">
        <v>888</v>
      </c>
      <c r="L2090" s="129"/>
      <c r="M2090" s="33" t="str">
        <f t="shared" si="32"/>
        <v/>
      </c>
      <c r="N2090" s="34" t="str">
        <f>IFERROR(IF(Tabela1[[#This Row],[Nome fantasia]]="","",_xlfn.XLOOKUP($C2090,Log!D:D,Log!B:B,,,-1)),"")</f>
        <v/>
      </c>
      <c r="O2090" s="35" t="str">
        <f>IFERROR(_xlfn.XLOOKUP($C2090,Log!D:D,Log!W:W,,,-1),"")</f>
        <v/>
      </c>
      <c r="P2090" s="35" t="str">
        <f>IFERROR(_xlfn.XLOOKUP($C2090,Log!D:D,Log!Y:Y,,,-1),"")</f>
        <v/>
      </c>
      <c r="Q2090" s="130"/>
      <c r="R2090" s="131" t="str">
        <f>IFERROR(IF(Tabela1[[#This Row],[Nome fantasia]]="","",_xlfn.XLOOKUP($C2090,Log!D:D,Log!X:X,,,-1)),"")</f>
        <v/>
      </c>
    </row>
    <row r="2091" spans="3:18" hidden="1" x14ac:dyDescent="0.2">
      <c r="C2091" s="30" t="s">
        <v>4433</v>
      </c>
      <c r="D2091" s="110" t="s">
        <v>4434</v>
      </c>
      <c r="E2091" s="33" t="s">
        <v>17</v>
      </c>
      <c r="F2091" s="38"/>
      <c r="G2091" s="38"/>
      <c r="H2091" s="31"/>
      <c r="I2091" s="32"/>
      <c r="J2091" s="32"/>
      <c r="K2091" s="45" t="s">
        <v>888</v>
      </c>
      <c r="L2091" s="129"/>
      <c r="M2091" s="33" t="str">
        <f t="shared" si="32"/>
        <v/>
      </c>
      <c r="N2091" s="34" t="str">
        <f>IFERROR(IF(Tabela1[[#This Row],[Nome fantasia]]="","",_xlfn.XLOOKUP($C2091,Log!D:D,Log!B:B,,,-1)),"")</f>
        <v/>
      </c>
      <c r="O2091" s="35" t="str">
        <f>IFERROR(_xlfn.XLOOKUP($C2091,Log!D:D,Log!W:W,,,-1),"")</f>
        <v/>
      </c>
      <c r="P2091" s="35" t="str">
        <f>IFERROR(_xlfn.XLOOKUP($C2091,Log!D:D,Log!Y:Y,,,-1),"")</f>
        <v/>
      </c>
      <c r="Q2091" s="130"/>
      <c r="R2091" s="131" t="str">
        <f>IFERROR(IF(Tabela1[[#This Row],[Nome fantasia]]="","",_xlfn.XLOOKUP($C2091,Log!D:D,Log!X:X,,,-1)),"")</f>
        <v/>
      </c>
    </row>
    <row r="2092" spans="3:18" hidden="1" x14ac:dyDescent="0.2">
      <c r="C2092" s="30" t="s">
        <v>4435</v>
      </c>
      <c r="D2092" s="110" t="s">
        <v>4436</v>
      </c>
      <c r="E2092" s="33" t="s">
        <v>17</v>
      </c>
      <c r="F2092" s="38"/>
      <c r="G2092" s="38"/>
      <c r="H2092" s="31"/>
      <c r="I2092" s="32"/>
      <c r="J2092" s="32"/>
      <c r="K2092" s="45" t="s">
        <v>888</v>
      </c>
      <c r="L2092" s="129"/>
      <c r="M2092" s="33" t="str">
        <f t="shared" si="32"/>
        <v/>
      </c>
      <c r="N2092" s="34" t="str">
        <f>IFERROR(IF(Tabela1[[#This Row],[Nome fantasia]]="","",_xlfn.XLOOKUP($C2092,Log!D:D,Log!B:B,,,-1)),"")</f>
        <v/>
      </c>
      <c r="O2092" s="35" t="str">
        <f>IFERROR(_xlfn.XLOOKUP($C2092,Log!D:D,Log!W:W,,,-1),"")</f>
        <v/>
      </c>
      <c r="P2092" s="35" t="str">
        <f>IFERROR(_xlfn.XLOOKUP($C2092,Log!D:D,Log!Y:Y,,,-1),"")</f>
        <v/>
      </c>
      <c r="Q2092" s="130"/>
      <c r="R2092" s="131" t="str">
        <f>IFERROR(IF(Tabela1[[#This Row],[Nome fantasia]]="","",_xlfn.XLOOKUP($C2092,Log!D:D,Log!X:X,,,-1)),"")</f>
        <v/>
      </c>
    </row>
    <row r="2093" spans="3:18" hidden="1" x14ac:dyDescent="0.2">
      <c r="C2093" s="30" t="s">
        <v>4437</v>
      </c>
      <c r="D2093" s="110" t="s">
        <v>4438</v>
      </c>
      <c r="E2093" s="33" t="s">
        <v>22</v>
      </c>
      <c r="F2093" s="38"/>
      <c r="G2093" s="38"/>
      <c r="H2093" s="31"/>
      <c r="I2093" s="32"/>
      <c r="J2093" s="32"/>
      <c r="K2093" s="45" t="s">
        <v>888</v>
      </c>
      <c r="L2093" s="129"/>
      <c r="M2093" s="33" t="str">
        <f t="shared" si="32"/>
        <v/>
      </c>
      <c r="N2093" s="34" t="str">
        <f>IFERROR(IF(Tabela1[[#This Row],[Nome fantasia]]="","",_xlfn.XLOOKUP($C2093,Log!D:D,Log!B:B,,,-1)),"")</f>
        <v/>
      </c>
      <c r="O2093" s="35" t="str">
        <f>IFERROR(_xlfn.XLOOKUP($C2093,Log!D:D,Log!W:W,,,-1),"")</f>
        <v/>
      </c>
      <c r="P2093" s="35" t="str">
        <f>IFERROR(_xlfn.XLOOKUP($C2093,Log!D:D,Log!Y:Y,,,-1),"")</f>
        <v/>
      </c>
      <c r="Q2093" s="130"/>
      <c r="R2093" s="131" t="str">
        <f>IFERROR(IF(Tabela1[[#This Row],[Nome fantasia]]="","",_xlfn.XLOOKUP($C2093,Log!D:D,Log!X:X,,,-1)),"")</f>
        <v/>
      </c>
    </row>
    <row r="2094" spans="3:18" hidden="1" x14ac:dyDescent="0.2">
      <c r="C2094" s="30" t="s">
        <v>4439</v>
      </c>
      <c r="D2094" s="110" t="s">
        <v>4440</v>
      </c>
      <c r="E2094" s="33" t="s">
        <v>22</v>
      </c>
      <c r="F2094" s="38"/>
      <c r="G2094" s="38"/>
      <c r="H2094" s="31"/>
      <c r="I2094" s="32"/>
      <c r="J2094" s="32"/>
      <c r="K2094" s="45" t="s">
        <v>888</v>
      </c>
      <c r="L2094" s="129"/>
      <c r="M2094" s="33" t="str">
        <f t="shared" si="32"/>
        <v/>
      </c>
      <c r="N2094" s="34" t="str">
        <f>IFERROR(IF(Tabela1[[#This Row],[Nome fantasia]]="","",_xlfn.XLOOKUP($C2094,Log!D:D,Log!B:B,,,-1)),"")</f>
        <v/>
      </c>
      <c r="O2094" s="35" t="str">
        <f>IFERROR(_xlfn.XLOOKUP($C2094,Log!D:D,Log!W:W,,,-1),"")</f>
        <v/>
      </c>
      <c r="P2094" s="35" t="str">
        <f>IFERROR(_xlfn.XLOOKUP($C2094,Log!D:D,Log!Y:Y,,,-1),"")</f>
        <v/>
      </c>
      <c r="Q2094" s="130"/>
      <c r="R2094" s="131" t="str">
        <f>IFERROR(IF(Tabela1[[#This Row],[Nome fantasia]]="","",_xlfn.XLOOKUP($C2094,Log!D:D,Log!X:X,,,-1)),"")</f>
        <v/>
      </c>
    </row>
    <row r="2095" spans="3:18" hidden="1" x14ac:dyDescent="0.2">
      <c r="C2095" s="30" t="s">
        <v>4441</v>
      </c>
      <c r="D2095" s="110" t="s">
        <v>4442</v>
      </c>
      <c r="E2095" s="33" t="s">
        <v>22</v>
      </c>
      <c r="F2095" s="38"/>
      <c r="G2095" s="38"/>
      <c r="H2095" s="31"/>
      <c r="I2095" s="32"/>
      <c r="J2095" s="32"/>
      <c r="K2095" s="45" t="s">
        <v>888</v>
      </c>
      <c r="L2095" s="135"/>
      <c r="M2095" s="136" t="str">
        <f t="shared" si="32"/>
        <v/>
      </c>
      <c r="N2095" s="137" t="str">
        <f>IFERROR(IF(Tabela1[[#This Row],[Nome fantasia]]="","",_xlfn.XLOOKUP($C2095,Log!D:D,Log!B:B,,,-1)),"")</f>
        <v/>
      </c>
      <c r="O2095" s="138" t="str">
        <f>IFERROR(_xlfn.XLOOKUP($C2095,Log!D:D,Log!W:W,,,-1),"")</f>
        <v/>
      </c>
      <c r="P2095" s="138" t="str">
        <f>IFERROR(_xlfn.XLOOKUP($C2095,Log!D:D,Log!Y:Y,,,-1),"")</f>
        <v/>
      </c>
      <c r="Q2095" s="139"/>
      <c r="R2095" s="140" t="str">
        <f>IFERROR(IF(Tabela1[[#This Row],[Nome fantasia]]="","",_xlfn.XLOOKUP($C2095,Log!D:D,Log!X:X,,,-1)),"")</f>
        <v/>
      </c>
    </row>
    <row r="2096" spans="3:18" hidden="1" x14ac:dyDescent="0.2">
      <c r="C2096" s="30" t="s">
        <v>4443</v>
      </c>
      <c r="D2096" s="110" t="s">
        <v>4444</v>
      </c>
      <c r="E2096" s="33" t="s">
        <v>46</v>
      </c>
      <c r="F2096" s="38"/>
      <c r="G2096" s="38"/>
      <c r="H2096" s="31"/>
      <c r="I2096" s="32"/>
      <c r="J2096" s="32"/>
      <c r="K2096" s="45" t="s">
        <v>888</v>
      </c>
      <c r="L2096" s="135"/>
      <c r="M2096" s="136" t="str">
        <f t="shared" si="32"/>
        <v/>
      </c>
      <c r="N2096" s="137" t="str">
        <f>IFERROR(IF(Tabela1[[#This Row],[Nome fantasia]]="","",_xlfn.XLOOKUP($C2096,Log!D:D,Log!B:B,,,-1)),"")</f>
        <v/>
      </c>
      <c r="O2096" s="138" t="str">
        <f>IFERROR(_xlfn.XLOOKUP($C2096,Log!D:D,Log!W:W,,,-1),"")</f>
        <v/>
      </c>
      <c r="P2096" s="138" t="str">
        <f>IFERROR(_xlfn.XLOOKUP($C2096,Log!D:D,Log!Y:Y,,,-1),"")</f>
        <v/>
      </c>
      <c r="Q2096" s="139"/>
      <c r="R2096" s="140" t="str">
        <f>IFERROR(IF(Tabela1[[#This Row],[Nome fantasia]]="","",_xlfn.XLOOKUP($C2096,Log!D:D,Log!X:X,,,-1)),"")</f>
        <v/>
      </c>
    </row>
    <row r="2097" spans="3:18" hidden="1" x14ac:dyDescent="0.2">
      <c r="C2097" s="30" t="s">
        <v>4445</v>
      </c>
      <c r="D2097" s="110" t="s">
        <v>4446</v>
      </c>
      <c r="E2097" s="33" t="s">
        <v>46</v>
      </c>
      <c r="F2097" s="38"/>
      <c r="G2097" s="38"/>
      <c r="H2097" s="31"/>
      <c r="I2097" s="32"/>
      <c r="J2097" s="32"/>
      <c r="K2097" s="45" t="s">
        <v>888</v>
      </c>
      <c r="L2097" s="135"/>
      <c r="M2097" s="136" t="str">
        <f t="shared" si="32"/>
        <v/>
      </c>
      <c r="N2097" s="137" t="str">
        <f>IFERROR(IF(Tabela1[[#This Row],[Nome fantasia]]="","",_xlfn.XLOOKUP($C2097,Log!D:D,Log!B:B,,,-1)),"")</f>
        <v/>
      </c>
      <c r="O2097" s="138" t="str">
        <f>IFERROR(_xlfn.XLOOKUP($C2097,Log!D:D,Log!W:W,,,-1),"")</f>
        <v/>
      </c>
      <c r="P2097" s="138" t="str">
        <f>IFERROR(_xlfn.XLOOKUP($C2097,Log!D:D,Log!Y:Y,,,-1),"")</f>
        <v/>
      </c>
      <c r="Q2097" s="139"/>
      <c r="R2097" s="140" t="str">
        <f>IFERROR(IF(Tabela1[[#This Row],[Nome fantasia]]="","",_xlfn.XLOOKUP($C2097,Log!D:D,Log!X:X,,,-1)),"")</f>
        <v/>
      </c>
    </row>
    <row r="2098" spans="3:18" hidden="1" x14ac:dyDescent="0.2">
      <c r="C2098" s="30" t="s">
        <v>4447</v>
      </c>
      <c r="D2098" s="110" t="s">
        <v>4448</v>
      </c>
      <c r="E2098" s="33" t="s">
        <v>17</v>
      </c>
      <c r="F2098" s="38"/>
      <c r="G2098" s="38"/>
      <c r="H2098" s="31"/>
      <c r="I2098" s="32"/>
      <c r="J2098" s="32"/>
      <c r="K2098" s="45" t="s">
        <v>888</v>
      </c>
      <c r="L2098" s="135"/>
      <c r="M2098" s="136" t="str">
        <f t="shared" si="32"/>
        <v/>
      </c>
      <c r="N2098" s="137" t="str">
        <f>IFERROR(IF(Tabela1[[#This Row],[Nome fantasia]]="","",_xlfn.XLOOKUP($C2098,Log!D:D,Log!B:B,,,-1)),"")</f>
        <v/>
      </c>
      <c r="O2098" s="138" t="str">
        <f>IFERROR(_xlfn.XLOOKUP($C2098,Log!D:D,Log!W:W,,,-1),"")</f>
        <v/>
      </c>
      <c r="P2098" s="138" t="str">
        <f>IFERROR(_xlfn.XLOOKUP($C2098,Log!D:D,Log!Y:Y,,,-1),"")</f>
        <v/>
      </c>
      <c r="Q2098" s="139"/>
      <c r="R2098" s="140" t="str">
        <f>IFERROR(IF(Tabela1[[#This Row],[Nome fantasia]]="","",_xlfn.XLOOKUP($C2098,Log!D:D,Log!X:X,,,-1)),"")</f>
        <v/>
      </c>
    </row>
    <row r="2099" spans="3:18" hidden="1" x14ac:dyDescent="0.2">
      <c r="C2099" s="30" t="s">
        <v>4449</v>
      </c>
      <c r="D2099" s="110" t="s">
        <v>4450</v>
      </c>
      <c r="E2099" s="33" t="s">
        <v>22</v>
      </c>
      <c r="F2099" s="38"/>
      <c r="G2099" s="38"/>
      <c r="H2099" s="31"/>
      <c r="I2099" s="32"/>
      <c r="J2099" s="32"/>
      <c r="K2099" s="45" t="s">
        <v>888</v>
      </c>
      <c r="L2099" s="135"/>
      <c r="M2099" s="136" t="str">
        <f t="shared" si="32"/>
        <v/>
      </c>
      <c r="N2099" s="137" t="str">
        <f>IFERROR(IF(Tabela1[[#This Row],[Nome fantasia]]="","",_xlfn.XLOOKUP($C2099,Log!D:D,Log!B:B,,,-1)),"")</f>
        <v/>
      </c>
      <c r="O2099" s="138" t="str">
        <f>IFERROR(_xlfn.XLOOKUP($C2099,Log!D:D,Log!W:W,,,-1),"")</f>
        <v/>
      </c>
      <c r="P2099" s="138" t="str">
        <f>IFERROR(_xlfn.XLOOKUP($C2099,Log!D:D,Log!Y:Y,,,-1),"")</f>
        <v/>
      </c>
      <c r="Q2099" s="139"/>
      <c r="R2099" s="140" t="str">
        <f>IFERROR(IF(Tabela1[[#This Row],[Nome fantasia]]="","",_xlfn.XLOOKUP($C2099,Log!D:D,Log!X:X,,,-1)),"")</f>
        <v/>
      </c>
    </row>
    <row r="2100" spans="3:18" hidden="1" x14ac:dyDescent="0.2">
      <c r="C2100" s="30" t="s">
        <v>4451</v>
      </c>
      <c r="D2100" s="110" t="s">
        <v>4452</v>
      </c>
      <c r="E2100" s="33" t="s">
        <v>22</v>
      </c>
      <c r="F2100" s="38"/>
      <c r="G2100" s="38"/>
      <c r="H2100" s="31"/>
      <c r="I2100" s="32"/>
      <c r="J2100" s="32"/>
      <c r="K2100" s="45" t="s">
        <v>888</v>
      </c>
      <c r="L2100" s="135"/>
      <c r="M2100" s="136" t="str">
        <f t="shared" si="32"/>
        <v/>
      </c>
      <c r="N2100" s="137" t="str">
        <f>IFERROR(IF(Tabela1[[#This Row],[Nome fantasia]]="","",_xlfn.XLOOKUP($C2100,Log!D:D,Log!B:B,,,-1)),"")</f>
        <v/>
      </c>
      <c r="O2100" s="138" t="str">
        <f>IFERROR(_xlfn.XLOOKUP($C2100,Log!D:D,Log!W:W,,,-1),"")</f>
        <v/>
      </c>
      <c r="P2100" s="138" t="str">
        <f>IFERROR(_xlfn.XLOOKUP($C2100,Log!D:D,Log!Y:Y,,,-1),"")</f>
        <v/>
      </c>
      <c r="Q2100" s="139"/>
      <c r="R2100" s="140" t="str">
        <f>IFERROR(IF(Tabela1[[#This Row],[Nome fantasia]]="","",_xlfn.XLOOKUP($C2100,Log!D:D,Log!X:X,,,-1)),"")</f>
        <v/>
      </c>
    </row>
    <row r="2101" spans="3:18" hidden="1" x14ac:dyDescent="0.2">
      <c r="C2101" s="30" t="s">
        <v>4453</v>
      </c>
      <c r="D2101" s="110" t="s">
        <v>4454</v>
      </c>
      <c r="E2101" s="33" t="s">
        <v>22</v>
      </c>
      <c r="F2101" s="38"/>
      <c r="G2101" s="38"/>
      <c r="H2101" s="31"/>
      <c r="I2101" s="32"/>
      <c r="J2101" s="32"/>
      <c r="K2101" s="45" t="s">
        <v>888</v>
      </c>
      <c r="L2101" s="135"/>
      <c r="M2101" s="136" t="str">
        <f t="shared" si="32"/>
        <v/>
      </c>
      <c r="N2101" s="137" t="str">
        <f>IFERROR(IF(Tabela1[[#This Row],[Nome fantasia]]="","",_xlfn.XLOOKUP($C2101,Log!D:D,Log!B:B,,,-1)),"")</f>
        <v/>
      </c>
      <c r="O2101" s="138" t="str">
        <f>IFERROR(_xlfn.XLOOKUP($C2101,Log!D:D,Log!W:W,,,-1),"")</f>
        <v/>
      </c>
      <c r="P2101" s="138" t="str">
        <f>IFERROR(_xlfn.XLOOKUP($C2101,Log!D:D,Log!Y:Y,,,-1),"")</f>
        <v/>
      </c>
      <c r="Q2101" s="139"/>
      <c r="R2101" s="140" t="str">
        <f>IFERROR(IF(Tabela1[[#This Row],[Nome fantasia]]="","",_xlfn.XLOOKUP($C2101,Log!D:D,Log!X:X,,,-1)),"")</f>
        <v/>
      </c>
    </row>
    <row r="2102" spans="3:18" hidden="1" x14ac:dyDescent="0.2">
      <c r="C2102" s="30" t="s">
        <v>4455</v>
      </c>
      <c r="D2102" s="110" t="s">
        <v>1340</v>
      </c>
      <c r="E2102" s="33" t="s">
        <v>17</v>
      </c>
      <c r="F2102" s="38"/>
      <c r="G2102" s="38"/>
      <c r="H2102" s="31"/>
      <c r="I2102" s="32"/>
      <c r="J2102" s="32"/>
      <c r="K2102" s="45" t="s">
        <v>888</v>
      </c>
      <c r="L2102" s="129"/>
      <c r="M2102" s="33" t="str">
        <f t="shared" si="32"/>
        <v/>
      </c>
      <c r="N2102" s="34" t="str">
        <f>IFERROR(IF(Tabela1[[#This Row],[Nome fantasia]]="","",_xlfn.XLOOKUP($C2102,Log!D:D,Log!B:B,,,-1)),"")</f>
        <v/>
      </c>
      <c r="O2102" s="35" t="str">
        <f>IFERROR(_xlfn.XLOOKUP($C2102,Log!D:D,Log!W:W,,,-1),"")</f>
        <v/>
      </c>
      <c r="P2102" s="35" t="str">
        <f>IFERROR(_xlfn.XLOOKUP($C2102,Log!D:D,Log!Y:Y,,,-1),"")</f>
        <v/>
      </c>
      <c r="Q2102" s="130"/>
      <c r="R2102" s="131" t="str">
        <f>IFERROR(IF(Tabela1[[#This Row],[Nome fantasia]]="","",_xlfn.XLOOKUP($C2102,Log!D:D,Log!X:X,,,-1)),"")</f>
        <v/>
      </c>
    </row>
    <row r="2103" spans="3:18" hidden="1" x14ac:dyDescent="0.2">
      <c r="C2103" s="30" t="s">
        <v>4456</v>
      </c>
      <c r="D2103" s="110" t="s">
        <v>4457</v>
      </c>
      <c r="E2103" s="33" t="s">
        <v>46</v>
      </c>
      <c r="F2103" s="38"/>
      <c r="G2103" s="38"/>
      <c r="H2103" s="31"/>
      <c r="I2103" s="32"/>
      <c r="J2103" s="32"/>
      <c r="K2103" s="45" t="s">
        <v>888</v>
      </c>
      <c r="L2103" s="129"/>
      <c r="M2103" s="33" t="str">
        <f t="shared" si="32"/>
        <v/>
      </c>
      <c r="N2103" s="34" t="str">
        <f>IFERROR(IF(Tabela1[[#This Row],[Nome fantasia]]="","",_xlfn.XLOOKUP($C2103,Log!D:D,Log!B:B,,,-1)),"")</f>
        <v/>
      </c>
      <c r="O2103" s="35" t="str">
        <f>IFERROR(_xlfn.XLOOKUP($C2103,Log!D:D,Log!W:W,,,-1),"")</f>
        <v/>
      </c>
      <c r="P2103" s="35" t="str">
        <f>IFERROR(_xlfn.XLOOKUP($C2103,Log!D:D,Log!Y:Y,,,-1),"")</f>
        <v/>
      </c>
      <c r="Q2103" s="130"/>
      <c r="R2103" s="131" t="str">
        <f>IFERROR(IF(Tabela1[[#This Row],[Nome fantasia]]="","",_xlfn.XLOOKUP($C2103,Log!D:D,Log!X:X,,,-1)),"")</f>
        <v/>
      </c>
    </row>
    <row r="2104" spans="3:18" hidden="1" x14ac:dyDescent="0.2">
      <c r="C2104" s="30" t="s">
        <v>4458</v>
      </c>
      <c r="D2104" s="110" t="s">
        <v>4459</v>
      </c>
      <c r="E2104" s="33" t="s">
        <v>17</v>
      </c>
      <c r="F2104" s="38"/>
      <c r="G2104" s="38"/>
      <c r="H2104" s="31"/>
      <c r="I2104" s="32"/>
      <c r="J2104" s="32"/>
      <c r="K2104" s="45" t="s">
        <v>888</v>
      </c>
      <c r="L2104" s="129"/>
      <c r="M2104" s="33" t="str">
        <f t="shared" si="32"/>
        <v/>
      </c>
      <c r="N2104" s="34" t="str">
        <f>IFERROR(IF(Tabela1[[#This Row],[Nome fantasia]]="","",_xlfn.XLOOKUP($C2104,Log!D:D,Log!B:B,,,-1)),"")</f>
        <v/>
      </c>
      <c r="O2104" s="35" t="str">
        <f>IFERROR(_xlfn.XLOOKUP($C2104,Log!D:D,Log!W:W,,,-1),"")</f>
        <v/>
      </c>
      <c r="P2104" s="35" t="str">
        <f>IFERROR(_xlfn.XLOOKUP($C2104,Log!D:D,Log!Y:Y,,,-1),"")</f>
        <v/>
      </c>
      <c r="Q2104" s="130"/>
      <c r="R2104" s="131" t="str">
        <f>IFERROR(IF(Tabela1[[#This Row],[Nome fantasia]]="","",_xlfn.XLOOKUP($C2104,Log!D:D,Log!X:X,,,-1)),"")</f>
        <v/>
      </c>
    </row>
    <row r="2105" spans="3:18" hidden="1" x14ac:dyDescent="0.2">
      <c r="C2105" s="30" t="s">
        <v>4460</v>
      </c>
      <c r="D2105" s="110" t="s">
        <v>4461</v>
      </c>
      <c r="E2105" s="33" t="s">
        <v>46</v>
      </c>
      <c r="F2105" s="38"/>
      <c r="G2105" s="38"/>
      <c r="H2105" s="31"/>
      <c r="I2105" s="32"/>
      <c r="J2105" s="32"/>
      <c r="K2105" s="45" t="s">
        <v>888</v>
      </c>
      <c r="L2105" s="129"/>
      <c r="M2105" s="33" t="str">
        <f t="shared" si="32"/>
        <v/>
      </c>
      <c r="N2105" s="34">
        <f>IFERROR(IF(Tabela1[[#This Row],[Nome fantasia]]="","",_xlfn.XLOOKUP($C2105,Log!D:D,Log!B:B,,,-1)),"")</f>
        <v>45992</v>
      </c>
      <c r="O2105" s="35" t="str">
        <f>IFERROR(_xlfn.XLOOKUP($C2105,Log!D:D,Log!W:W,,,-1),"")</f>
        <v>SUPORTE</v>
      </c>
      <c r="P2105" s="35" t="str">
        <f>IFERROR(_xlfn.XLOOKUP($C2105,Log!D:D,Log!Y:Y,,,-1),"")</f>
        <v>CLIENTE GOSTARIA DE SABER SE JÁ FOI FATURADO</v>
      </c>
      <c r="Q2105" s="130"/>
      <c r="R2105" s="131" t="str">
        <f>IFERROR(IF(Tabela1[[#This Row],[Nome fantasia]]="","",_xlfn.XLOOKUP($C2105,Log!D:D,Log!X:X,,,-1)),"")</f>
        <v/>
      </c>
    </row>
    <row r="2106" spans="3:18" hidden="1" x14ac:dyDescent="0.2">
      <c r="C2106" s="30" t="s">
        <v>4462</v>
      </c>
      <c r="D2106" s="110" t="s">
        <v>4463</v>
      </c>
      <c r="E2106" s="33" t="s">
        <v>22</v>
      </c>
      <c r="F2106" s="38"/>
      <c r="G2106" s="38"/>
      <c r="H2106" s="31"/>
      <c r="I2106" s="32"/>
      <c r="J2106" s="32"/>
      <c r="K2106" s="45" t="s">
        <v>888</v>
      </c>
      <c r="L2106" s="135"/>
      <c r="M2106" s="136" t="str">
        <f t="shared" si="32"/>
        <v/>
      </c>
      <c r="N2106" s="137" t="str">
        <f>IFERROR(IF(Tabela1[[#This Row],[Nome fantasia]]="","",_xlfn.XLOOKUP($C2106,Log!D:D,Log!B:B,,,-1)),"")</f>
        <v/>
      </c>
      <c r="O2106" s="138" t="str">
        <f>IFERROR(_xlfn.XLOOKUP($C2106,Log!D:D,Log!W:W,,,-1),"")</f>
        <v/>
      </c>
      <c r="P2106" s="138" t="str">
        <f>IFERROR(_xlfn.XLOOKUP($C2106,Log!D:D,Log!Y:Y,,,-1),"")</f>
        <v/>
      </c>
      <c r="Q2106" s="139"/>
      <c r="R2106" s="140" t="str">
        <f>IFERROR(IF(Tabela1[[#This Row],[Nome fantasia]]="","",_xlfn.XLOOKUP($C2106,Log!D:D,Log!X:X,,,-1)),"")</f>
        <v/>
      </c>
    </row>
    <row r="2107" spans="3:18" hidden="1" x14ac:dyDescent="0.2">
      <c r="C2107" s="30" t="s">
        <v>4464</v>
      </c>
      <c r="D2107" s="110" t="s">
        <v>4465</v>
      </c>
      <c r="E2107" s="33" t="s">
        <v>22</v>
      </c>
      <c r="F2107" s="38"/>
      <c r="G2107" s="38"/>
      <c r="H2107" s="31"/>
      <c r="I2107" s="32"/>
      <c r="J2107" s="32"/>
      <c r="K2107" s="45" t="s">
        <v>888</v>
      </c>
      <c r="L2107" s="129"/>
      <c r="M2107" s="33" t="str">
        <f t="shared" si="32"/>
        <v/>
      </c>
      <c r="N2107" s="34" t="str">
        <f>IFERROR(IF(Tabela1[[#This Row],[Nome fantasia]]="","",_xlfn.XLOOKUP($C2107,Log!D:D,Log!B:B,,,-1)),"")</f>
        <v/>
      </c>
      <c r="O2107" s="35" t="str">
        <f>IFERROR(_xlfn.XLOOKUP($C2107,Log!D:D,Log!W:W,,,-1),"")</f>
        <v/>
      </c>
      <c r="P2107" s="35" t="str">
        <f>IFERROR(_xlfn.XLOOKUP($C2107,Log!D:D,Log!Y:Y,,,-1),"")</f>
        <v/>
      </c>
      <c r="Q2107" s="130"/>
      <c r="R2107" s="131" t="str">
        <f>IFERROR(IF(Tabela1[[#This Row],[Nome fantasia]]="","",_xlfn.XLOOKUP($C2107,Log!D:D,Log!X:X,,,-1)),"")</f>
        <v/>
      </c>
    </row>
    <row r="2108" spans="3:18" hidden="1" x14ac:dyDescent="0.2">
      <c r="C2108" s="30" t="s">
        <v>4466</v>
      </c>
      <c r="D2108" s="110" t="s">
        <v>4467</v>
      </c>
      <c r="E2108" s="33" t="s">
        <v>17</v>
      </c>
      <c r="F2108" s="38"/>
      <c r="G2108" s="38"/>
      <c r="H2108" s="31"/>
      <c r="I2108" s="32"/>
      <c r="J2108" s="32"/>
      <c r="K2108" s="45" t="s">
        <v>888</v>
      </c>
      <c r="L2108" s="135"/>
      <c r="M2108" s="136" t="str">
        <f t="shared" si="32"/>
        <v/>
      </c>
      <c r="N2108" s="137" t="str">
        <f>IFERROR(IF(Tabela1[[#This Row],[Nome fantasia]]="","",_xlfn.XLOOKUP($C2108,Log!D:D,Log!B:B,,,-1)),"")</f>
        <v/>
      </c>
      <c r="O2108" s="138" t="str">
        <f>IFERROR(_xlfn.XLOOKUP($C2108,Log!D:D,Log!W:W,,,-1),"")</f>
        <v/>
      </c>
      <c r="P2108" s="138" t="str">
        <f>IFERROR(_xlfn.XLOOKUP($C2108,Log!D:D,Log!Y:Y,,,-1),"")</f>
        <v/>
      </c>
      <c r="Q2108" s="139"/>
      <c r="R2108" s="140" t="str">
        <f>IFERROR(IF(Tabela1[[#This Row],[Nome fantasia]]="","",_xlfn.XLOOKUP($C2108,Log!D:D,Log!X:X,,,-1)),"")</f>
        <v/>
      </c>
    </row>
    <row r="2109" spans="3:18" hidden="1" x14ac:dyDescent="0.2">
      <c r="C2109" s="30" t="s">
        <v>4468</v>
      </c>
      <c r="D2109" s="110" t="s">
        <v>4469</v>
      </c>
      <c r="E2109" s="33" t="s">
        <v>22</v>
      </c>
      <c r="F2109" s="38"/>
      <c r="G2109" s="38"/>
      <c r="H2109" s="31"/>
      <c r="I2109" s="32"/>
      <c r="J2109" s="32"/>
      <c r="K2109" s="45" t="s">
        <v>888</v>
      </c>
      <c r="L2109" s="135"/>
      <c r="M2109" s="136" t="str">
        <f t="shared" si="32"/>
        <v/>
      </c>
      <c r="N2109" s="137" t="str">
        <f>IFERROR(IF(Tabela1[[#This Row],[Nome fantasia]]="","",_xlfn.XLOOKUP($C2109,Log!D:D,Log!B:B,,,-1)),"")</f>
        <v/>
      </c>
      <c r="O2109" s="138" t="str">
        <f>IFERROR(_xlfn.XLOOKUP($C2109,Log!D:D,Log!W:W,,,-1),"")</f>
        <v/>
      </c>
      <c r="P2109" s="138" t="str">
        <f>IFERROR(_xlfn.XLOOKUP($C2109,Log!D:D,Log!Y:Y,,,-1),"")</f>
        <v/>
      </c>
      <c r="Q2109" s="139"/>
      <c r="R2109" s="140" t="str">
        <f>IFERROR(IF(Tabela1[[#This Row],[Nome fantasia]]="","",_xlfn.XLOOKUP($C2109,Log!D:D,Log!X:X,,,-1)),"")</f>
        <v/>
      </c>
    </row>
    <row r="2110" spans="3:18" hidden="1" x14ac:dyDescent="0.2">
      <c r="C2110" s="30" t="s">
        <v>4470</v>
      </c>
      <c r="D2110" s="110" t="s">
        <v>4471</v>
      </c>
      <c r="E2110" s="33" t="s">
        <v>46</v>
      </c>
      <c r="F2110" s="38"/>
      <c r="G2110" s="38"/>
      <c r="H2110" s="31"/>
      <c r="I2110" s="32"/>
      <c r="J2110" s="32"/>
      <c r="K2110" s="45" t="s">
        <v>888</v>
      </c>
      <c r="L2110" s="129"/>
      <c r="M2110" s="33" t="str">
        <f t="shared" si="32"/>
        <v/>
      </c>
      <c r="N2110" s="34" t="str">
        <f>IFERROR(IF(Tabela1[[#This Row],[Nome fantasia]]="","",_xlfn.XLOOKUP($C2110,Log!D:D,Log!B:B,,,-1)),"")</f>
        <v/>
      </c>
      <c r="O2110" s="35" t="str">
        <f>IFERROR(_xlfn.XLOOKUP($C2110,Log!D:D,Log!W:W,,,-1),"")</f>
        <v/>
      </c>
      <c r="P2110" s="35" t="str">
        <f>IFERROR(_xlfn.XLOOKUP($C2110,Log!D:D,Log!Y:Y,,,-1),"")</f>
        <v/>
      </c>
      <c r="Q2110" s="130"/>
      <c r="R2110" s="131" t="str">
        <f>IFERROR(IF(Tabela1[[#This Row],[Nome fantasia]]="","",_xlfn.XLOOKUP($C2110,Log!D:D,Log!X:X,,,-1)),"")</f>
        <v/>
      </c>
    </row>
    <row r="2111" spans="3:18" hidden="1" x14ac:dyDescent="0.2">
      <c r="C2111" s="30" t="s">
        <v>1198</v>
      </c>
      <c r="D2111" s="110" t="s">
        <v>4472</v>
      </c>
      <c r="E2111" s="33" t="s">
        <v>46</v>
      </c>
      <c r="F2111" s="38"/>
      <c r="G2111" s="38"/>
      <c r="H2111" s="31"/>
      <c r="I2111" s="32"/>
      <c r="J2111" s="32"/>
      <c r="K2111" s="45" t="s">
        <v>888</v>
      </c>
      <c r="L2111" s="135"/>
      <c r="M2111" s="136" t="str">
        <f t="shared" si="32"/>
        <v/>
      </c>
      <c r="N2111" s="137">
        <f>IFERROR(IF(Tabela1[[#This Row],[Nome fantasia]]="","",_xlfn.XLOOKUP($C2111,Log!D:D,Log!B:B,,,-1)),"")</f>
        <v>46006</v>
      </c>
      <c r="O2111" s="138" t="str">
        <f>IFERROR(_xlfn.XLOOKUP($C2111,Log!D:D,Log!W:W,,,-1),"")</f>
        <v>EM ATENDIMENTO</v>
      </c>
      <c r="P2111" s="138" t="str">
        <f>IFERROR(_xlfn.XLOOKUP($C2111,Log!D:D,Log!Y:Y,,,-1),"")</f>
        <v>FEITO CONTATO PARA POSSIVEL RECOMPRA</v>
      </c>
      <c r="Q2111" s="139"/>
      <c r="R2111" s="140">
        <f>IFERROR(IF(Tabela1[[#This Row],[Nome fantasia]]="","",_xlfn.XLOOKUP($C2111,Log!D:D,Log!X:X,,,-1)),"")</f>
        <v>46008</v>
      </c>
    </row>
    <row r="2112" spans="3:18" hidden="1" x14ac:dyDescent="0.2">
      <c r="C2112" s="30" t="s">
        <v>4473</v>
      </c>
      <c r="D2112" s="110" t="s">
        <v>4474</v>
      </c>
      <c r="E2112" s="33" t="s">
        <v>46</v>
      </c>
      <c r="F2112" s="38"/>
      <c r="G2112" s="38"/>
      <c r="H2112" s="31"/>
      <c r="I2112" s="32"/>
      <c r="J2112" s="32"/>
      <c r="K2112" s="45" t="s">
        <v>888</v>
      </c>
      <c r="L2112" s="135"/>
      <c r="M2112" s="136" t="str">
        <f t="shared" si="32"/>
        <v/>
      </c>
      <c r="N2112" s="137" t="str">
        <f>IFERROR(IF(Tabela1[[#This Row],[Nome fantasia]]="","",_xlfn.XLOOKUP($C2112,Log!D:D,Log!B:B,,,-1)),"")</f>
        <v/>
      </c>
      <c r="O2112" s="138" t="str">
        <f>IFERROR(_xlfn.XLOOKUP($C2112,Log!D:D,Log!W:W,,,-1),"")</f>
        <v/>
      </c>
      <c r="P2112" s="138" t="str">
        <f>IFERROR(_xlfn.XLOOKUP($C2112,Log!D:D,Log!Y:Y,,,-1),"")</f>
        <v/>
      </c>
      <c r="Q2112" s="139"/>
      <c r="R2112" s="140" t="str">
        <f>IFERROR(IF(Tabela1[[#This Row],[Nome fantasia]]="","",_xlfn.XLOOKUP($C2112,Log!D:D,Log!X:X,,,-1)),"")</f>
        <v/>
      </c>
    </row>
    <row r="2113" spans="3:18" hidden="1" x14ac:dyDescent="0.2">
      <c r="C2113" s="30" t="s">
        <v>4475</v>
      </c>
      <c r="D2113" s="110" t="s">
        <v>4476</v>
      </c>
      <c r="E2113" s="33" t="s">
        <v>17</v>
      </c>
      <c r="F2113" s="38"/>
      <c r="G2113" s="38"/>
      <c r="H2113" s="31"/>
      <c r="I2113" s="32"/>
      <c r="J2113" s="32"/>
      <c r="K2113" s="45" t="s">
        <v>888</v>
      </c>
      <c r="L2113" s="135"/>
      <c r="M2113" s="136" t="str">
        <f t="shared" si="32"/>
        <v/>
      </c>
      <c r="N2113" s="137" t="str">
        <f>IFERROR(IF(Tabela1[[#This Row],[Nome fantasia]]="","",_xlfn.XLOOKUP($C2113,Log!D:D,Log!B:B,,,-1)),"")</f>
        <v/>
      </c>
      <c r="O2113" s="138" t="str">
        <f>IFERROR(_xlfn.XLOOKUP($C2113,Log!D:D,Log!W:W,,,-1),"")</f>
        <v/>
      </c>
      <c r="P2113" s="138" t="str">
        <f>IFERROR(_xlfn.XLOOKUP($C2113,Log!D:D,Log!Y:Y,,,-1),"")</f>
        <v/>
      </c>
      <c r="Q2113" s="139"/>
      <c r="R2113" s="140" t="str">
        <f>IFERROR(IF(Tabela1[[#This Row],[Nome fantasia]]="","",_xlfn.XLOOKUP($C2113,Log!D:D,Log!X:X,,,-1)),"")</f>
        <v/>
      </c>
    </row>
    <row r="2114" spans="3:18" hidden="1" x14ac:dyDescent="0.2">
      <c r="C2114" s="30" t="s">
        <v>4477</v>
      </c>
      <c r="D2114" s="110" t="s">
        <v>4478</v>
      </c>
      <c r="E2114" s="33" t="s">
        <v>46</v>
      </c>
      <c r="F2114" s="38"/>
      <c r="G2114" s="38"/>
      <c r="H2114" s="31"/>
      <c r="I2114" s="32"/>
      <c r="J2114" s="32"/>
      <c r="K2114" s="45" t="s">
        <v>888</v>
      </c>
      <c r="L2114" s="135"/>
      <c r="M2114" s="136" t="str">
        <f t="shared" si="32"/>
        <v/>
      </c>
      <c r="N2114" s="137" t="str">
        <f>IFERROR(IF(Tabela1[[#This Row],[Nome fantasia]]="","",_xlfn.XLOOKUP($C2114,Log!D:D,Log!B:B,,,-1)),"")</f>
        <v/>
      </c>
      <c r="O2114" s="138" t="str">
        <f>IFERROR(_xlfn.XLOOKUP($C2114,Log!D:D,Log!W:W,,,-1),"")</f>
        <v/>
      </c>
      <c r="P2114" s="138" t="str">
        <f>IFERROR(_xlfn.XLOOKUP($C2114,Log!D:D,Log!Y:Y,,,-1),"")</f>
        <v/>
      </c>
      <c r="Q2114" s="139"/>
      <c r="R2114" s="140" t="str">
        <f>IFERROR(IF(Tabela1[[#This Row],[Nome fantasia]]="","",_xlfn.XLOOKUP($C2114,Log!D:D,Log!X:X,,,-1)),"")</f>
        <v/>
      </c>
    </row>
    <row r="2115" spans="3:18" hidden="1" x14ac:dyDescent="0.2">
      <c r="C2115" s="30" t="s">
        <v>1198</v>
      </c>
      <c r="D2115" s="110" t="s">
        <v>4479</v>
      </c>
      <c r="E2115" s="33" t="s">
        <v>22</v>
      </c>
      <c r="F2115" s="38"/>
      <c r="G2115" s="38"/>
      <c r="H2115" s="31"/>
      <c r="I2115" s="32"/>
      <c r="J2115" s="32"/>
      <c r="K2115" s="45" t="s">
        <v>888</v>
      </c>
      <c r="L2115" s="135"/>
      <c r="M2115" s="136" t="str">
        <f t="shared" ref="M2115:M2174" si="33">IF(OR(J2115&lt;=0,J2115=""),"","Recompra")</f>
        <v/>
      </c>
      <c r="N2115" s="137">
        <f>IFERROR(IF(Tabela1[[#This Row],[Nome fantasia]]="","",_xlfn.XLOOKUP($C2115,Log!D:D,Log!B:B,,,-1)),"")</f>
        <v>46006</v>
      </c>
      <c r="O2115" s="138" t="str">
        <f>IFERROR(_xlfn.XLOOKUP($C2115,Log!D:D,Log!W:W,,,-1),"")</f>
        <v>EM ATENDIMENTO</v>
      </c>
      <c r="P2115" s="138" t="str">
        <f>IFERROR(_xlfn.XLOOKUP($C2115,Log!D:D,Log!Y:Y,,,-1),"")</f>
        <v>FEITO CONTATO PARA POSSIVEL RECOMPRA</v>
      </c>
      <c r="Q2115" s="139"/>
      <c r="R2115" s="140">
        <f>IFERROR(IF(Tabela1[[#This Row],[Nome fantasia]]="","",_xlfn.XLOOKUP($C2115,Log!D:D,Log!X:X,,,-1)),"")</f>
        <v>46008</v>
      </c>
    </row>
    <row r="2116" spans="3:18" hidden="1" x14ac:dyDescent="0.2">
      <c r="C2116" s="30" t="s">
        <v>4480</v>
      </c>
      <c r="D2116" s="110" t="s">
        <v>4481</v>
      </c>
      <c r="E2116" s="33" t="s">
        <v>17</v>
      </c>
      <c r="F2116" s="38"/>
      <c r="G2116" s="38"/>
      <c r="H2116" s="31"/>
      <c r="I2116" s="32"/>
      <c r="J2116" s="32"/>
      <c r="K2116" s="45" t="s">
        <v>888</v>
      </c>
      <c r="L2116" s="135"/>
      <c r="M2116" s="136" t="str">
        <f t="shared" si="33"/>
        <v/>
      </c>
      <c r="N2116" s="137" t="str">
        <f>IFERROR(IF(Tabela1[[#This Row],[Nome fantasia]]="","",_xlfn.XLOOKUP($C2116,Log!D:D,Log!B:B,,,-1)),"")</f>
        <v/>
      </c>
      <c r="O2116" s="138" t="str">
        <f>IFERROR(_xlfn.XLOOKUP($C2116,Log!D:D,Log!W:W,,,-1),"")</f>
        <v/>
      </c>
      <c r="P2116" s="138" t="str">
        <f>IFERROR(_xlfn.XLOOKUP($C2116,Log!D:D,Log!Y:Y,,,-1),"")</f>
        <v/>
      </c>
      <c r="Q2116" s="139"/>
      <c r="R2116" s="140" t="str">
        <f>IFERROR(IF(Tabela1[[#This Row],[Nome fantasia]]="","",_xlfn.XLOOKUP($C2116,Log!D:D,Log!X:X,,,-1)),"")</f>
        <v/>
      </c>
    </row>
    <row r="2117" spans="3:18" hidden="1" x14ac:dyDescent="0.2">
      <c r="C2117" s="30" t="s">
        <v>4482</v>
      </c>
      <c r="D2117" s="110" t="s">
        <v>4483</v>
      </c>
      <c r="E2117" s="33" t="s">
        <v>17</v>
      </c>
      <c r="F2117" s="38"/>
      <c r="G2117" s="38"/>
      <c r="H2117" s="31"/>
      <c r="I2117" s="32"/>
      <c r="J2117" s="32"/>
      <c r="K2117" s="45" t="s">
        <v>888</v>
      </c>
      <c r="L2117" s="129"/>
      <c r="M2117" s="33" t="str">
        <f t="shared" si="33"/>
        <v/>
      </c>
      <c r="N2117" s="34" t="str">
        <f>IFERROR(IF(Tabela1[[#This Row],[Nome fantasia]]="","",_xlfn.XLOOKUP($C2117,Log!D:D,Log!B:B,,,-1)),"")</f>
        <v/>
      </c>
      <c r="O2117" s="35" t="str">
        <f>IFERROR(_xlfn.XLOOKUP($C2117,Log!D:D,Log!W:W,,,-1),"")</f>
        <v/>
      </c>
      <c r="P2117" s="35" t="str">
        <f>IFERROR(_xlfn.XLOOKUP($C2117,Log!D:D,Log!Y:Y,,,-1),"")</f>
        <v/>
      </c>
      <c r="Q2117" s="130"/>
      <c r="R2117" s="131" t="str">
        <f>IFERROR(IF(Tabela1[[#This Row],[Nome fantasia]]="","",_xlfn.XLOOKUP($C2117,Log!D:D,Log!X:X,,,-1)),"")</f>
        <v/>
      </c>
    </row>
    <row r="2118" spans="3:18" hidden="1" x14ac:dyDescent="0.2">
      <c r="C2118" s="30" t="s">
        <v>4484</v>
      </c>
      <c r="D2118" s="110" t="s">
        <v>4485</v>
      </c>
      <c r="E2118" s="33" t="s">
        <v>46</v>
      </c>
      <c r="F2118" s="38"/>
      <c r="G2118" s="38"/>
      <c r="H2118" s="31"/>
      <c r="I2118" s="32"/>
      <c r="J2118" s="32"/>
      <c r="K2118" s="45" t="s">
        <v>888</v>
      </c>
      <c r="L2118" s="129"/>
      <c r="M2118" s="33" t="str">
        <f t="shared" si="33"/>
        <v/>
      </c>
      <c r="N2118" s="34" t="str">
        <f>IFERROR(IF(Tabela1[[#This Row],[Nome fantasia]]="","",_xlfn.XLOOKUP($C2118,Log!D:D,Log!B:B,,,-1)),"")</f>
        <v/>
      </c>
      <c r="O2118" s="35" t="str">
        <f>IFERROR(_xlfn.XLOOKUP($C2118,Log!D:D,Log!W:W,,,-1),"")</f>
        <v/>
      </c>
      <c r="P2118" s="35" t="str">
        <f>IFERROR(_xlfn.XLOOKUP($C2118,Log!D:D,Log!Y:Y,,,-1),"")</f>
        <v/>
      </c>
      <c r="Q2118" s="130"/>
      <c r="R2118" s="131" t="str">
        <f>IFERROR(IF(Tabela1[[#This Row],[Nome fantasia]]="","",_xlfn.XLOOKUP($C2118,Log!D:D,Log!X:X,,,-1)),"")</f>
        <v/>
      </c>
    </row>
    <row r="2119" spans="3:18" hidden="1" x14ac:dyDescent="0.2">
      <c r="C2119" s="30" t="s">
        <v>4486</v>
      </c>
      <c r="D2119" s="110" t="s">
        <v>944</v>
      </c>
      <c r="E2119" s="33" t="s">
        <v>22</v>
      </c>
      <c r="F2119" s="38"/>
      <c r="G2119" s="38"/>
      <c r="H2119" s="31"/>
      <c r="I2119" s="32"/>
      <c r="J2119" s="32"/>
      <c r="K2119" s="45" t="s">
        <v>888</v>
      </c>
      <c r="L2119" s="129"/>
      <c r="M2119" s="33" t="str">
        <f t="shared" si="33"/>
        <v/>
      </c>
      <c r="N2119" s="34">
        <f>IFERROR(IF(Tabela1[[#This Row],[Nome fantasia]]="","",_xlfn.XLOOKUP($C2119,Log!D:D,Log!B:B,,,-1)),"")</f>
        <v>46001</v>
      </c>
      <c r="O2119" s="35" t="str">
        <f>IFERROR(_xlfn.XLOOKUP($C2119,Log!D:D,Log!W:W,,,-1),"")</f>
        <v>FOLLOW UP 15</v>
      </c>
      <c r="P2119" s="35" t="str">
        <f>IFERROR(_xlfn.XLOOKUP($C2119,Log!D:D,Log!Y:Y,,,-1),"")</f>
        <v>CLIENTE VAI INAUGURAR AGORA DIA 12/12</v>
      </c>
      <c r="Q2119" s="130"/>
      <c r="R2119" s="131">
        <f>IFERROR(IF(Tabela1[[#This Row],[Nome fantasia]]="","",_xlfn.XLOOKUP($C2119,Log!D:D,Log!X:X,,,-1)),"")</f>
        <v>46022</v>
      </c>
    </row>
    <row r="2120" spans="3:18" hidden="1" x14ac:dyDescent="0.2">
      <c r="C2120" s="30" t="s">
        <v>4487</v>
      </c>
      <c r="D2120" s="110" t="s">
        <v>4488</v>
      </c>
      <c r="E2120" s="33" t="s">
        <v>46</v>
      </c>
      <c r="F2120" s="38"/>
      <c r="G2120" s="38"/>
      <c r="H2120" s="31"/>
      <c r="I2120" s="32"/>
      <c r="J2120" s="32"/>
      <c r="K2120" s="45" t="s">
        <v>888</v>
      </c>
      <c r="L2120" s="129"/>
      <c r="M2120" s="33" t="str">
        <f t="shared" si="33"/>
        <v/>
      </c>
      <c r="N2120" s="34" t="str">
        <f>IFERROR(IF(Tabela1[[#This Row],[Nome fantasia]]="","",_xlfn.XLOOKUP($C2120,Log!D:D,Log!B:B,,,-1)),"")</f>
        <v/>
      </c>
      <c r="O2120" s="35" t="str">
        <f>IFERROR(_xlfn.XLOOKUP($C2120,Log!D:D,Log!W:W,,,-1),"")</f>
        <v/>
      </c>
      <c r="P2120" s="35" t="str">
        <f>IFERROR(_xlfn.XLOOKUP($C2120,Log!D:D,Log!Y:Y,,,-1),"")</f>
        <v/>
      </c>
      <c r="Q2120" s="130"/>
      <c r="R2120" s="131" t="str">
        <f>IFERROR(IF(Tabela1[[#This Row],[Nome fantasia]]="","",_xlfn.XLOOKUP($C2120,Log!D:D,Log!X:X,,,-1)),"")</f>
        <v/>
      </c>
    </row>
    <row r="2121" spans="3:18" hidden="1" x14ac:dyDescent="0.2">
      <c r="C2121" s="30" t="s">
        <v>4489</v>
      </c>
      <c r="D2121" s="110" t="s">
        <v>4490</v>
      </c>
      <c r="E2121" s="33" t="s">
        <v>46</v>
      </c>
      <c r="F2121" s="38"/>
      <c r="G2121" s="38"/>
      <c r="H2121" s="31"/>
      <c r="I2121" s="32"/>
      <c r="J2121" s="32"/>
      <c r="K2121" s="45" t="s">
        <v>888</v>
      </c>
      <c r="L2121" s="129"/>
      <c r="M2121" s="33" t="str">
        <f t="shared" si="33"/>
        <v/>
      </c>
      <c r="N2121" s="34" t="str">
        <f>IFERROR(IF(Tabela1[[#This Row],[Nome fantasia]]="","",_xlfn.XLOOKUP($C2121,Log!D:D,Log!B:B,,,-1)),"")</f>
        <v/>
      </c>
      <c r="O2121" s="35" t="str">
        <f>IFERROR(_xlfn.XLOOKUP($C2121,Log!D:D,Log!W:W,,,-1),"")</f>
        <v/>
      </c>
      <c r="P2121" s="35" t="str">
        <f>IFERROR(_xlfn.XLOOKUP($C2121,Log!D:D,Log!Y:Y,,,-1),"")</f>
        <v/>
      </c>
      <c r="Q2121" s="130"/>
      <c r="R2121" s="131" t="str">
        <f>IFERROR(IF(Tabela1[[#This Row],[Nome fantasia]]="","",_xlfn.XLOOKUP($C2121,Log!D:D,Log!X:X,,,-1)),"")</f>
        <v/>
      </c>
    </row>
    <row r="2122" spans="3:18" hidden="1" x14ac:dyDescent="0.2">
      <c r="C2122" s="30" t="s">
        <v>4491</v>
      </c>
      <c r="D2122" s="110" t="s">
        <v>989</v>
      </c>
      <c r="E2122" s="33" t="s">
        <v>46</v>
      </c>
      <c r="F2122" s="38"/>
      <c r="G2122" s="38"/>
      <c r="H2122" s="31"/>
      <c r="I2122" s="32"/>
      <c r="J2122" s="32"/>
      <c r="K2122" s="45" t="s">
        <v>888</v>
      </c>
      <c r="L2122" s="129"/>
      <c r="M2122" s="33" t="str">
        <f t="shared" si="33"/>
        <v/>
      </c>
      <c r="N2122" s="34" t="str">
        <f>IFERROR(IF(Tabela1[[#This Row],[Nome fantasia]]="","",_xlfn.XLOOKUP($C2122,Log!D:D,Log!B:B,,,-1)),"")</f>
        <v/>
      </c>
      <c r="O2122" s="35" t="str">
        <f>IFERROR(_xlfn.XLOOKUP($C2122,Log!D:D,Log!W:W,,,-1),"")</f>
        <v/>
      </c>
      <c r="P2122" s="35" t="str">
        <f>IFERROR(_xlfn.XLOOKUP($C2122,Log!D:D,Log!Y:Y,,,-1),"")</f>
        <v/>
      </c>
      <c r="Q2122" s="130"/>
      <c r="R2122" s="131" t="str">
        <f>IFERROR(IF(Tabela1[[#This Row],[Nome fantasia]]="","",_xlfn.XLOOKUP($C2122,Log!D:D,Log!X:X,,,-1)),"")</f>
        <v/>
      </c>
    </row>
    <row r="2123" spans="3:18" hidden="1" x14ac:dyDescent="0.2">
      <c r="C2123" s="30" t="s">
        <v>1184</v>
      </c>
      <c r="D2123" s="110" t="s">
        <v>4492</v>
      </c>
      <c r="E2123" s="33" t="s">
        <v>46</v>
      </c>
      <c r="F2123" s="38"/>
      <c r="G2123" s="38"/>
      <c r="H2123" s="31"/>
      <c r="I2123" s="32"/>
      <c r="J2123" s="32"/>
      <c r="K2123" s="45" t="s">
        <v>888</v>
      </c>
      <c r="L2123" s="129"/>
      <c r="M2123" s="33" t="str">
        <f t="shared" si="33"/>
        <v/>
      </c>
      <c r="N2123" s="34" t="str">
        <f>IFERROR(IF(Tabela1[[#This Row],[Nome fantasia]]="","",_xlfn.XLOOKUP($C2123,Log!D:D,Log!B:B,,,-1)),"")</f>
        <v/>
      </c>
      <c r="O2123" s="35" t="str">
        <f>IFERROR(_xlfn.XLOOKUP($C2123,Log!D:D,Log!W:W,,,-1),"")</f>
        <v/>
      </c>
      <c r="P2123" s="35" t="str">
        <f>IFERROR(_xlfn.XLOOKUP($C2123,Log!D:D,Log!Y:Y,,,-1),"")</f>
        <v/>
      </c>
      <c r="Q2123" s="130"/>
      <c r="R2123" s="131" t="str">
        <f>IFERROR(IF(Tabela1[[#This Row],[Nome fantasia]]="","",_xlfn.XLOOKUP($C2123,Log!D:D,Log!X:X,,,-1)),"")</f>
        <v/>
      </c>
    </row>
    <row r="2124" spans="3:18" hidden="1" x14ac:dyDescent="0.2">
      <c r="C2124" s="30" t="s">
        <v>4493</v>
      </c>
      <c r="D2124" s="110" t="s">
        <v>4494</v>
      </c>
      <c r="E2124" s="33" t="s">
        <v>46</v>
      </c>
      <c r="F2124" s="38"/>
      <c r="G2124" s="38"/>
      <c r="H2124" s="31"/>
      <c r="I2124" s="32"/>
      <c r="J2124" s="32"/>
      <c r="K2124" s="45" t="s">
        <v>888</v>
      </c>
      <c r="L2124" s="129"/>
      <c r="M2124" s="33" t="str">
        <f t="shared" si="33"/>
        <v/>
      </c>
      <c r="N2124" s="34" t="str">
        <f>IFERROR(IF(Tabela1[[#This Row],[Nome fantasia]]="","",_xlfn.XLOOKUP($C2124,Log!D:D,Log!B:B,,,-1)),"")</f>
        <v/>
      </c>
      <c r="O2124" s="35" t="str">
        <f>IFERROR(_xlfn.XLOOKUP($C2124,Log!D:D,Log!W:W,,,-1),"")</f>
        <v/>
      </c>
      <c r="P2124" s="35" t="str">
        <f>IFERROR(_xlfn.XLOOKUP($C2124,Log!D:D,Log!Y:Y,,,-1),"")</f>
        <v/>
      </c>
      <c r="Q2124" s="130"/>
      <c r="R2124" s="131" t="str">
        <f>IFERROR(IF(Tabela1[[#This Row],[Nome fantasia]]="","",_xlfn.XLOOKUP($C2124,Log!D:D,Log!X:X,,,-1)),"")</f>
        <v/>
      </c>
    </row>
    <row r="2125" spans="3:18" hidden="1" x14ac:dyDescent="0.2">
      <c r="C2125" s="30" t="s">
        <v>4495</v>
      </c>
      <c r="D2125" s="110" t="s">
        <v>4496</v>
      </c>
      <c r="E2125" s="33" t="s">
        <v>22</v>
      </c>
      <c r="F2125" s="38"/>
      <c r="G2125" s="38"/>
      <c r="H2125" s="31"/>
      <c r="I2125" s="32"/>
      <c r="J2125" s="32"/>
      <c r="K2125" s="45" t="s">
        <v>888</v>
      </c>
      <c r="L2125" s="129"/>
      <c r="M2125" s="33" t="str">
        <f t="shared" si="33"/>
        <v/>
      </c>
      <c r="N2125" s="34" t="str">
        <f>IFERROR(IF(Tabela1[[#This Row],[Nome fantasia]]="","",_xlfn.XLOOKUP($C2125,Log!D:D,Log!B:B,,,-1)),"")</f>
        <v/>
      </c>
      <c r="O2125" s="35" t="str">
        <f>IFERROR(_xlfn.XLOOKUP($C2125,Log!D:D,Log!W:W,,,-1),"")</f>
        <v/>
      </c>
      <c r="P2125" s="35" t="str">
        <f>IFERROR(_xlfn.XLOOKUP($C2125,Log!D:D,Log!Y:Y,,,-1),"")</f>
        <v/>
      </c>
      <c r="Q2125" s="130"/>
      <c r="R2125" s="131" t="str">
        <f>IFERROR(IF(Tabela1[[#This Row],[Nome fantasia]]="","",_xlfn.XLOOKUP($C2125,Log!D:D,Log!X:X,,,-1)),"")</f>
        <v/>
      </c>
    </row>
    <row r="2126" spans="3:18" hidden="1" x14ac:dyDescent="0.2">
      <c r="C2126" s="30" t="s">
        <v>4497</v>
      </c>
      <c r="D2126" s="110" t="s">
        <v>1015</v>
      </c>
      <c r="E2126" s="33" t="s">
        <v>22</v>
      </c>
      <c r="F2126" s="38"/>
      <c r="G2126" s="38"/>
      <c r="H2126" s="31"/>
      <c r="I2126" s="32"/>
      <c r="J2126" s="32"/>
      <c r="K2126" s="45" t="s">
        <v>888</v>
      </c>
      <c r="L2126" s="135"/>
      <c r="M2126" s="136" t="str">
        <f t="shared" si="33"/>
        <v/>
      </c>
      <c r="N2126" s="137" t="str">
        <f>IFERROR(IF(Tabela1[[#This Row],[Nome fantasia]]="","",_xlfn.XLOOKUP($C2126,Log!D:D,Log!B:B,,,-1)),"")</f>
        <v/>
      </c>
      <c r="O2126" s="138" t="str">
        <f>IFERROR(_xlfn.XLOOKUP($C2126,Log!D:D,Log!W:W,,,-1),"")</f>
        <v/>
      </c>
      <c r="P2126" s="138" t="str">
        <f>IFERROR(_xlfn.XLOOKUP($C2126,Log!D:D,Log!Y:Y,,,-1),"")</f>
        <v/>
      </c>
      <c r="Q2126" s="139"/>
      <c r="R2126" s="140" t="str">
        <f>IFERROR(IF(Tabela1[[#This Row],[Nome fantasia]]="","",_xlfn.XLOOKUP($C2126,Log!D:D,Log!X:X,,,-1)),"")</f>
        <v/>
      </c>
    </row>
    <row r="2127" spans="3:18" hidden="1" x14ac:dyDescent="0.2">
      <c r="C2127" s="30" t="s">
        <v>4498</v>
      </c>
      <c r="D2127" s="110" t="s">
        <v>4499</v>
      </c>
      <c r="E2127" s="33" t="s">
        <v>22</v>
      </c>
      <c r="F2127" s="38"/>
      <c r="G2127" s="38"/>
      <c r="H2127" s="31"/>
      <c r="I2127" s="32"/>
      <c r="J2127" s="32"/>
      <c r="K2127" s="45" t="s">
        <v>888</v>
      </c>
      <c r="L2127" s="129"/>
      <c r="M2127" s="33" t="str">
        <f t="shared" si="33"/>
        <v/>
      </c>
      <c r="N2127" s="34" t="str">
        <f>IFERROR(IF(Tabela1[[#This Row],[Nome fantasia]]="","",_xlfn.XLOOKUP($C2127,Log!D:D,Log!B:B,,,-1)),"")</f>
        <v/>
      </c>
      <c r="O2127" s="35" t="str">
        <f>IFERROR(_xlfn.XLOOKUP($C2127,Log!D:D,Log!W:W,,,-1),"")</f>
        <v/>
      </c>
      <c r="P2127" s="35" t="str">
        <f>IFERROR(_xlfn.XLOOKUP($C2127,Log!D:D,Log!Y:Y,,,-1),"")</f>
        <v/>
      </c>
      <c r="Q2127" s="130"/>
      <c r="R2127" s="131" t="str">
        <f>IFERROR(IF(Tabela1[[#This Row],[Nome fantasia]]="","",_xlfn.XLOOKUP($C2127,Log!D:D,Log!X:X,,,-1)),"")</f>
        <v/>
      </c>
    </row>
    <row r="2128" spans="3:18" hidden="1" x14ac:dyDescent="0.2">
      <c r="C2128" s="30" t="s">
        <v>4500</v>
      </c>
      <c r="D2128" s="110" t="s">
        <v>4501</v>
      </c>
      <c r="E2128" s="33" t="s">
        <v>17</v>
      </c>
      <c r="F2128" s="38"/>
      <c r="G2128" s="38"/>
      <c r="H2128" s="31"/>
      <c r="I2128" s="32"/>
      <c r="J2128" s="32"/>
      <c r="K2128" s="45" t="s">
        <v>888</v>
      </c>
      <c r="L2128" s="135"/>
      <c r="M2128" s="136" t="str">
        <f t="shared" si="33"/>
        <v/>
      </c>
      <c r="N2128" s="137" t="str">
        <f>IFERROR(IF(Tabela1[[#This Row],[Nome fantasia]]="","",_xlfn.XLOOKUP($C2128,Log!D:D,Log!B:B,,,-1)),"")</f>
        <v/>
      </c>
      <c r="O2128" s="138" t="str">
        <f>IFERROR(_xlfn.XLOOKUP($C2128,Log!D:D,Log!W:W,,,-1),"")</f>
        <v/>
      </c>
      <c r="P2128" s="138" t="str">
        <f>IFERROR(_xlfn.XLOOKUP($C2128,Log!D:D,Log!Y:Y,,,-1),"")</f>
        <v/>
      </c>
      <c r="Q2128" s="139"/>
      <c r="R2128" s="140" t="str">
        <f>IFERROR(IF(Tabela1[[#This Row],[Nome fantasia]]="","",_xlfn.XLOOKUP($C2128,Log!D:D,Log!X:X,,,-1)),"")</f>
        <v/>
      </c>
    </row>
    <row r="2129" spans="3:18" hidden="1" x14ac:dyDescent="0.2">
      <c r="C2129" s="30" t="s">
        <v>4502</v>
      </c>
      <c r="D2129" s="110" t="s">
        <v>4503</v>
      </c>
      <c r="E2129" s="33" t="s">
        <v>22</v>
      </c>
      <c r="F2129" s="38"/>
      <c r="G2129" s="38"/>
      <c r="H2129" s="31"/>
      <c r="I2129" s="32"/>
      <c r="J2129" s="32"/>
      <c r="K2129" s="45" t="s">
        <v>888</v>
      </c>
      <c r="L2129" s="135"/>
      <c r="M2129" s="136" t="str">
        <f t="shared" si="33"/>
        <v/>
      </c>
      <c r="N2129" s="137" t="str">
        <f>IFERROR(IF(Tabela1[[#This Row],[Nome fantasia]]="","",_xlfn.XLOOKUP($C2129,Log!D:D,Log!B:B,,,-1)),"")</f>
        <v/>
      </c>
      <c r="O2129" s="138" t="str">
        <f>IFERROR(_xlfn.XLOOKUP($C2129,Log!D:D,Log!W:W,,,-1),"")</f>
        <v/>
      </c>
      <c r="P2129" s="138" t="str">
        <f>IFERROR(_xlfn.XLOOKUP($C2129,Log!D:D,Log!Y:Y,,,-1),"")</f>
        <v/>
      </c>
      <c r="Q2129" s="139"/>
      <c r="R2129" s="140" t="str">
        <f>IFERROR(IF(Tabela1[[#This Row],[Nome fantasia]]="","",_xlfn.XLOOKUP($C2129,Log!D:D,Log!X:X,,,-1)),"")</f>
        <v/>
      </c>
    </row>
    <row r="2130" spans="3:18" hidden="1" x14ac:dyDescent="0.2">
      <c r="C2130" s="30" t="s">
        <v>1198</v>
      </c>
      <c r="D2130" s="110" t="s">
        <v>1329</v>
      </c>
      <c r="E2130" s="33" t="s">
        <v>17</v>
      </c>
      <c r="F2130" s="38"/>
      <c r="G2130" s="38"/>
      <c r="H2130" s="31"/>
      <c r="I2130" s="32"/>
      <c r="J2130" s="32"/>
      <c r="K2130" s="45" t="s">
        <v>888</v>
      </c>
      <c r="L2130" s="135"/>
      <c r="M2130" s="136" t="str">
        <f t="shared" si="33"/>
        <v/>
      </c>
      <c r="N2130" s="137">
        <f>IFERROR(IF(Tabela1[[#This Row],[Nome fantasia]]="","",_xlfn.XLOOKUP($C2130,Log!D:D,Log!B:B,,,-1)),"")</f>
        <v>46006</v>
      </c>
      <c r="O2130" s="138" t="str">
        <f>IFERROR(_xlfn.XLOOKUP($C2130,Log!D:D,Log!W:W,,,-1),"")</f>
        <v>EM ATENDIMENTO</v>
      </c>
      <c r="P2130" s="138" t="str">
        <f>IFERROR(_xlfn.XLOOKUP($C2130,Log!D:D,Log!Y:Y,,,-1),"")</f>
        <v>FEITO CONTATO PARA POSSIVEL RECOMPRA</v>
      </c>
      <c r="Q2130" s="139"/>
      <c r="R2130" s="140">
        <f>IFERROR(IF(Tabela1[[#This Row],[Nome fantasia]]="","",_xlfn.XLOOKUP($C2130,Log!D:D,Log!X:X,,,-1)),"")</f>
        <v>46008</v>
      </c>
    </row>
    <row r="2131" spans="3:18" hidden="1" x14ac:dyDescent="0.2">
      <c r="C2131" s="30" t="s">
        <v>1198</v>
      </c>
      <c r="D2131" s="110" t="s">
        <v>1288</v>
      </c>
      <c r="E2131" s="33" t="s">
        <v>17</v>
      </c>
      <c r="F2131" s="38"/>
      <c r="G2131" s="38"/>
      <c r="H2131" s="31"/>
      <c r="I2131" s="32"/>
      <c r="J2131" s="32"/>
      <c r="K2131" s="45" t="s">
        <v>888</v>
      </c>
      <c r="L2131" s="129"/>
      <c r="M2131" s="33" t="str">
        <f t="shared" si="33"/>
        <v/>
      </c>
      <c r="N2131" s="34">
        <f>IFERROR(IF(Tabela1[[#This Row],[Nome fantasia]]="","",_xlfn.XLOOKUP($C2131,Log!D:D,Log!B:B,,,-1)),"")</f>
        <v>46006</v>
      </c>
      <c r="O2131" s="35" t="str">
        <f>IFERROR(_xlfn.XLOOKUP($C2131,Log!D:D,Log!W:W,,,-1),"")</f>
        <v>EM ATENDIMENTO</v>
      </c>
      <c r="P2131" s="35" t="str">
        <f>IFERROR(_xlfn.XLOOKUP($C2131,Log!D:D,Log!Y:Y,,,-1),"")</f>
        <v>FEITO CONTATO PARA POSSIVEL RECOMPRA</v>
      </c>
      <c r="Q2131" s="130"/>
      <c r="R2131" s="131">
        <f>IFERROR(IF(Tabela1[[#This Row],[Nome fantasia]]="","",_xlfn.XLOOKUP($C2131,Log!D:D,Log!X:X,,,-1)),"")</f>
        <v>46008</v>
      </c>
    </row>
    <row r="2132" spans="3:18" hidden="1" x14ac:dyDescent="0.2">
      <c r="C2132" s="30" t="s">
        <v>4504</v>
      </c>
      <c r="D2132" s="110" t="s">
        <v>1130</v>
      </c>
      <c r="E2132" s="33" t="s">
        <v>22</v>
      </c>
      <c r="F2132" s="38"/>
      <c r="G2132" s="38"/>
      <c r="H2132" s="31"/>
      <c r="I2132" s="32"/>
      <c r="J2132" s="32"/>
      <c r="K2132" s="45" t="s">
        <v>888</v>
      </c>
      <c r="L2132" s="135"/>
      <c r="M2132" s="136" t="str">
        <f t="shared" si="33"/>
        <v/>
      </c>
      <c r="N2132" s="137" t="str">
        <f>IFERROR(IF(Tabela1[[#This Row],[Nome fantasia]]="","",_xlfn.XLOOKUP($C2132,Log!D:D,Log!B:B,,,-1)),"")</f>
        <v/>
      </c>
      <c r="O2132" s="138" t="str">
        <f>IFERROR(_xlfn.XLOOKUP($C2132,Log!D:D,Log!W:W,,,-1),"")</f>
        <v/>
      </c>
      <c r="P2132" s="138" t="str">
        <f>IFERROR(_xlfn.XLOOKUP($C2132,Log!D:D,Log!Y:Y,,,-1),"")</f>
        <v/>
      </c>
      <c r="Q2132" s="139"/>
      <c r="R2132" s="140" t="str">
        <f>IFERROR(IF(Tabela1[[#This Row],[Nome fantasia]]="","",_xlfn.XLOOKUP($C2132,Log!D:D,Log!X:X,,,-1)),"")</f>
        <v/>
      </c>
    </row>
    <row r="2133" spans="3:18" hidden="1" x14ac:dyDescent="0.2">
      <c r="C2133" s="30" t="s">
        <v>4505</v>
      </c>
      <c r="D2133" s="110" t="s">
        <v>1126</v>
      </c>
      <c r="E2133" s="33" t="s">
        <v>17</v>
      </c>
      <c r="F2133" s="38"/>
      <c r="G2133" s="38"/>
      <c r="H2133" s="31"/>
      <c r="I2133" s="32"/>
      <c r="J2133" s="32"/>
      <c r="K2133" s="45" t="s">
        <v>888</v>
      </c>
      <c r="L2133" s="129"/>
      <c r="M2133" s="33" t="str">
        <f t="shared" si="33"/>
        <v/>
      </c>
      <c r="N2133" s="34" t="str">
        <f>IFERROR(IF(Tabela1[[#This Row],[Nome fantasia]]="","",_xlfn.XLOOKUP($C2133,Log!D:D,Log!B:B,,,-1)),"")</f>
        <v/>
      </c>
      <c r="O2133" s="35" t="str">
        <f>IFERROR(_xlfn.XLOOKUP($C2133,Log!D:D,Log!W:W,,,-1),"")</f>
        <v/>
      </c>
      <c r="P2133" s="35" t="str">
        <f>IFERROR(_xlfn.XLOOKUP($C2133,Log!D:D,Log!Y:Y,,,-1),"")</f>
        <v/>
      </c>
      <c r="Q2133" s="130"/>
      <c r="R2133" s="131" t="str">
        <f>IFERROR(IF(Tabela1[[#This Row],[Nome fantasia]]="","",_xlfn.XLOOKUP($C2133,Log!D:D,Log!X:X,,,-1)),"")</f>
        <v/>
      </c>
    </row>
    <row r="2134" spans="3:18" hidden="1" x14ac:dyDescent="0.2">
      <c r="C2134" s="30" t="s">
        <v>4506</v>
      </c>
      <c r="D2134" s="110" t="s">
        <v>1119</v>
      </c>
      <c r="E2134" s="33" t="s">
        <v>46</v>
      </c>
      <c r="F2134" s="38"/>
      <c r="G2134" s="38"/>
      <c r="H2134" s="31"/>
      <c r="I2134" s="32"/>
      <c r="J2134" s="32"/>
      <c r="K2134" s="45" t="s">
        <v>888</v>
      </c>
      <c r="L2134" s="129"/>
      <c r="M2134" s="33" t="str">
        <f t="shared" si="33"/>
        <v/>
      </c>
      <c r="N2134" s="34">
        <f>IFERROR(IF(Tabela1[[#This Row],[Nome fantasia]]="","",_xlfn.XLOOKUP($C2134,Log!D:D,Log!B:B,,,-1)),"")</f>
        <v>45994</v>
      </c>
      <c r="O2134" s="35" t="str">
        <f>IFERROR(_xlfn.XLOOKUP($C2134,Log!D:D,Log!W:W,,,-1),"")</f>
        <v>SUPORTE</v>
      </c>
      <c r="P2134" s="35" t="str">
        <f>IFERROR(_xlfn.XLOOKUP($C2134,Log!D:D,Log!Y:Y,,,-1),"")</f>
        <v>CLIENTE VEM BUSCAR MERCADORIA</v>
      </c>
      <c r="Q2134" s="130"/>
      <c r="R2134" s="131" t="str">
        <f>IFERROR(IF(Tabela1[[#This Row],[Nome fantasia]]="","",_xlfn.XLOOKUP($C2134,Log!D:D,Log!X:X,,,-1)),"")</f>
        <v/>
      </c>
    </row>
    <row r="2135" spans="3:18" hidden="1" x14ac:dyDescent="0.2">
      <c r="C2135" s="30" t="s">
        <v>4507</v>
      </c>
      <c r="D2135" s="110" t="s">
        <v>4508</v>
      </c>
      <c r="E2135" s="33" t="s">
        <v>17</v>
      </c>
      <c r="F2135" s="38"/>
      <c r="G2135" s="38"/>
      <c r="H2135" s="31"/>
      <c r="I2135" s="32"/>
      <c r="J2135" s="32"/>
      <c r="K2135" s="45" t="s">
        <v>888</v>
      </c>
      <c r="L2135" s="129"/>
      <c r="M2135" s="33" t="str">
        <f t="shared" si="33"/>
        <v/>
      </c>
      <c r="N2135" s="34" t="str">
        <f>IFERROR(IF(Tabela1[[#This Row],[Nome fantasia]]="","",_xlfn.XLOOKUP($C2135,Log!D:D,Log!B:B,,,-1)),"")</f>
        <v/>
      </c>
      <c r="O2135" s="35" t="str">
        <f>IFERROR(_xlfn.XLOOKUP($C2135,Log!D:D,Log!W:W,,,-1),"")</f>
        <v/>
      </c>
      <c r="P2135" s="35" t="str">
        <f>IFERROR(_xlfn.XLOOKUP($C2135,Log!D:D,Log!Y:Y,,,-1),"")</f>
        <v/>
      </c>
      <c r="Q2135" s="130"/>
      <c r="R2135" s="131" t="str">
        <f>IFERROR(IF(Tabela1[[#This Row],[Nome fantasia]]="","",_xlfn.XLOOKUP($C2135,Log!D:D,Log!X:X,,,-1)),"")</f>
        <v/>
      </c>
    </row>
    <row r="2136" spans="3:18" hidden="1" x14ac:dyDescent="0.2">
      <c r="C2136" s="30" t="s">
        <v>4509</v>
      </c>
      <c r="D2136" s="110" t="s">
        <v>4510</v>
      </c>
      <c r="E2136" s="33" t="s">
        <v>22</v>
      </c>
      <c r="F2136" s="38"/>
      <c r="G2136" s="38"/>
      <c r="H2136" s="31"/>
      <c r="I2136" s="32"/>
      <c r="J2136" s="32"/>
      <c r="K2136" s="45" t="s">
        <v>888</v>
      </c>
      <c r="L2136" s="129"/>
      <c r="M2136" s="33" t="str">
        <f t="shared" si="33"/>
        <v/>
      </c>
      <c r="N2136" s="34">
        <f>IFERROR(IF(Tabela1[[#This Row],[Nome fantasia]]="","",_xlfn.XLOOKUP($C2136,Log!D:D,Log!B:B,,,-1)),"")</f>
        <v>45999</v>
      </c>
      <c r="O2136" s="35" t="str">
        <f>IFERROR(_xlfn.XLOOKUP($C2136,Log!D:D,Log!W:W,,,-1),"")</f>
        <v>SUPORTE</v>
      </c>
      <c r="P2136" s="35" t="str">
        <f>IFERROR(_xlfn.XLOOKUP($C2136,Log!D:D,Log!Y:Y,,,-1),"")</f>
        <v>COBRADO SOBRE PAGAMENTO</v>
      </c>
      <c r="Q2136" s="130"/>
      <c r="R2136" s="131" t="str">
        <f>IFERROR(IF(Tabela1[[#This Row],[Nome fantasia]]="","",_xlfn.XLOOKUP($C2136,Log!D:D,Log!X:X,,,-1)),"")</f>
        <v/>
      </c>
    </row>
    <row r="2137" spans="3:18" hidden="1" x14ac:dyDescent="0.2">
      <c r="C2137" s="30" t="s">
        <v>1198</v>
      </c>
      <c r="D2137" s="110" t="s">
        <v>1290</v>
      </c>
      <c r="E2137" s="33" t="s">
        <v>22</v>
      </c>
      <c r="F2137" s="38"/>
      <c r="G2137" s="38"/>
      <c r="H2137" s="31"/>
      <c r="I2137" s="32"/>
      <c r="J2137" s="32"/>
      <c r="K2137" s="45" t="s">
        <v>888</v>
      </c>
      <c r="L2137" s="129"/>
      <c r="M2137" s="33" t="str">
        <f t="shared" si="33"/>
        <v/>
      </c>
      <c r="N2137" s="34">
        <f>IFERROR(IF(Tabela1[[#This Row],[Nome fantasia]]="","",_xlfn.XLOOKUP($C2137,Log!D:D,Log!B:B,,,-1)),"")</f>
        <v>46006</v>
      </c>
      <c r="O2137" s="35" t="str">
        <f>IFERROR(_xlfn.XLOOKUP($C2137,Log!D:D,Log!W:W,,,-1),"")</f>
        <v>EM ATENDIMENTO</v>
      </c>
      <c r="P2137" s="35" t="str">
        <f>IFERROR(_xlfn.XLOOKUP($C2137,Log!D:D,Log!Y:Y,,,-1),"")</f>
        <v>FEITO CONTATO PARA POSSIVEL RECOMPRA</v>
      </c>
      <c r="Q2137" s="130"/>
      <c r="R2137" s="131">
        <f>IFERROR(IF(Tabela1[[#This Row],[Nome fantasia]]="","",_xlfn.XLOOKUP($C2137,Log!D:D,Log!X:X,,,-1)),"")</f>
        <v>46008</v>
      </c>
    </row>
    <row r="2138" spans="3:18" hidden="1" x14ac:dyDescent="0.2">
      <c r="C2138" s="30" t="s">
        <v>535</v>
      </c>
      <c r="D2138" s="110" t="s">
        <v>536</v>
      </c>
      <c r="E2138" s="33" t="s">
        <v>140</v>
      </c>
      <c r="F2138" s="38" t="s">
        <v>12</v>
      </c>
      <c r="G2138" s="38" t="s">
        <v>528</v>
      </c>
      <c r="H2138" s="31">
        <v>2314.17</v>
      </c>
      <c r="I2138" s="32">
        <v>118</v>
      </c>
      <c r="J2138" s="32">
        <v>0</v>
      </c>
      <c r="K2138" s="45" t="s">
        <v>743</v>
      </c>
      <c r="M2138" s="33" t="str">
        <f t="shared" si="33"/>
        <v/>
      </c>
      <c r="N2138" s="34" t="str">
        <f>IFERROR(IF(Tabela1[[#This Row],[Nome fantasia]]="","",_xlfn.XLOOKUP($C2138,Log!D:D,Log!B:B,,,-1)),"")</f>
        <v/>
      </c>
      <c r="O2138" s="35" t="str">
        <f>IFERROR(_xlfn.XLOOKUP($C2138,Log!D:D,Log!W:W,,,-1),"")</f>
        <v/>
      </c>
      <c r="P2138" s="35" t="str">
        <f>IFERROR(_xlfn.XLOOKUP($C2138,Log!D:D,Log!Y:Y,,,-1),"")</f>
        <v/>
      </c>
      <c r="R2138" s="131" t="str">
        <f>IFERROR(IF(Tabela1[[#This Row],[Nome fantasia]]="","",_xlfn.XLOOKUP($C2138,Log!D:D,Log!X:X,,,-1)),"")</f>
        <v/>
      </c>
    </row>
    <row r="2139" spans="3:18" hidden="1" x14ac:dyDescent="0.2">
      <c r="C2139" s="30" t="s">
        <v>542</v>
      </c>
      <c r="D2139" s="110" t="s">
        <v>543</v>
      </c>
      <c r="E2139" s="33" t="s">
        <v>46</v>
      </c>
      <c r="F2139" s="38" t="s">
        <v>12</v>
      </c>
      <c r="G2139" s="38" t="s">
        <v>541</v>
      </c>
      <c r="H2139" s="31">
        <v>2979.24</v>
      </c>
      <c r="I2139" s="32">
        <v>120</v>
      </c>
      <c r="J2139" s="32">
        <v>0</v>
      </c>
      <c r="K2139" s="45" t="s">
        <v>743</v>
      </c>
      <c r="M2139" s="33" t="str">
        <f t="shared" si="33"/>
        <v/>
      </c>
      <c r="N2139" s="34">
        <f>IFERROR(IF(Tabela1[[#This Row],[Nome fantasia]]="","",_xlfn.XLOOKUP($C2139,Log!D:D,Log!B:B,,,-1)),"")</f>
        <v>46000</v>
      </c>
      <c r="O2139" s="35" t="str">
        <f>IFERROR(_xlfn.XLOOKUP($C2139,Log!D:D,Log!W:W,,,-1),"")</f>
        <v>PERDA / NÃO VENDA</v>
      </c>
      <c r="P2139" s="35" t="str">
        <f>IFERROR(_xlfn.XLOOKUP($C2139,Log!D:D,Log!Y:Y,,,-1),"")</f>
        <v>PERCA /  REPRESENTANTE COMEÇOU A ATENDER O CLIENTE</v>
      </c>
      <c r="R2139" s="131" t="str">
        <f>IFERROR(IF(Tabela1[[#This Row],[Nome fantasia]]="","",_xlfn.XLOOKUP($C2139,Log!D:D,Log!X:X,,,-1)),"")</f>
        <v/>
      </c>
    </row>
    <row r="2140" spans="3:18" hidden="1" x14ac:dyDescent="0.2">
      <c r="C2140" s="30" t="s">
        <v>546</v>
      </c>
      <c r="D2140" s="110" t="s">
        <v>547</v>
      </c>
      <c r="E2140" s="33" t="s">
        <v>22</v>
      </c>
      <c r="F2140" s="38" t="s">
        <v>12</v>
      </c>
      <c r="G2140" s="38" t="s">
        <v>548</v>
      </c>
      <c r="H2140" s="31">
        <v>674.11</v>
      </c>
      <c r="I2140" s="32">
        <v>123</v>
      </c>
      <c r="J2140" s="32">
        <v>0</v>
      </c>
      <c r="K2140" s="45" t="s">
        <v>743</v>
      </c>
      <c r="M2140" s="33" t="str">
        <f t="shared" si="33"/>
        <v/>
      </c>
      <c r="N2140" s="34" t="str">
        <f>IFERROR(IF(Tabela1[[#This Row],[Nome fantasia]]="","",_xlfn.XLOOKUP($C2140,Log!D:D,Log!B:B,,,-1)),"")</f>
        <v/>
      </c>
      <c r="O2140" s="35" t="str">
        <f>IFERROR(_xlfn.XLOOKUP($C2140,Log!D:D,Log!W:W,,,-1),"")</f>
        <v/>
      </c>
      <c r="P2140" s="35" t="str">
        <f>IFERROR(_xlfn.XLOOKUP($C2140,Log!D:D,Log!Y:Y,,,-1),"")</f>
        <v/>
      </c>
      <c r="R2140" s="131" t="str">
        <f>IFERROR(IF(Tabela1[[#This Row],[Nome fantasia]]="","",_xlfn.XLOOKUP($C2140,Log!D:D,Log!X:X,,,-1)),"")</f>
        <v/>
      </c>
    </row>
    <row r="2141" spans="3:18" hidden="1" x14ac:dyDescent="0.2">
      <c r="C2141" s="30" t="s">
        <v>549</v>
      </c>
      <c r="D2141" s="110" t="s">
        <v>550</v>
      </c>
      <c r="E2141" s="33" t="s">
        <v>22</v>
      </c>
      <c r="F2141" s="38" t="s">
        <v>12</v>
      </c>
      <c r="G2141" s="38" t="s">
        <v>551</v>
      </c>
      <c r="H2141" s="31">
        <v>10200.370000000001</v>
      </c>
      <c r="I2141" s="32">
        <v>124</v>
      </c>
      <c r="J2141" s="32">
        <v>0</v>
      </c>
      <c r="K2141" s="45" t="s">
        <v>743</v>
      </c>
      <c r="M2141" s="33" t="str">
        <f t="shared" si="33"/>
        <v/>
      </c>
      <c r="N2141" s="34">
        <f>IFERROR(IF(Tabela1[[#This Row],[Nome fantasia]]="","",_xlfn.XLOOKUP($C2141,Log!D:D,Log!B:B,,,-1)),"")</f>
        <v>45999</v>
      </c>
      <c r="O2141" s="35" t="str">
        <f>IFERROR(_xlfn.XLOOKUP($C2141,Log!D:D,Log!W:W,,,-1),"")</f>
        <v>EM ATENDIMENTO</v>
      </c>
      <c r="P2141" s="35" t="str">
        <f>IFERROR(_xlfn.XLOOKUP($C2141,Log!D:D,Log!Y:Y,,,-1),"")</f>
        <v>MANDEI WHATSAPP, NUMERO DE TELEFONE NÃO ATENDE</v>
      </c>
      <c r="R2141" s="131">
        <f>IFERROR(IF(Tabela1[[#This Row],[Nome fantasia]]="","",_xlfn.XLOOKUP($C2141,Log!D:D,Log!X:X,,,-1)),"")</f>
        <v>46001</v>
      </c>
    </row>
    <row r="2142" spans="3:18" hidden="1" x14ac:dyDescent="0.2">
      <c r="C2142" s="30" t="s">
        <v>554</v>
      </c>
      <c r="D2142" s="110" t="s">
        <v>555</v>
      </c>
      <c r="E2142" s="33" t="s">
        <v>46</v>
      </c>
      <c r="F2142" s="38" t="s">
        <v>12</v>
      </c>
      <c r="G2142" s="38" t="s">
        <v>551</v>
      </c>
      <c r="H2142" s="31">
        <v>661.57</v>
      </c>
      <c r="I2142" s="32">
        <v>124</v>
      </c>
      <c r="J2142" s="32">
        <v>0</v>
      </c>
      <c r="K2142" s="45" t="s">
        <v>743</v>
      </c>
      <c r="M2142" s="33" t="str">
        <f t="shared" si="33"/>
        <v/>
      </c>
      <c r="N2142" s="34">
        <f>IFERROR(IF(Tabela1[[#This Row],[Nome fantasia]]="","",_xlfn.XLOOKUP($C2142,Log!D:D,Log!B:B,,,-1)),"")</f>
        <v>45999</v>
      </c>
      <c r="O2142" s="35" t="str">
        <f>IFERROR(_xlfn.XLOOKUP($C2142,Log!D:D,Log!W:W,,,-1),"")</f>
        <v>EM ATENDIMENTO</v>
      </c>
      <c r="P2142" s="35" t="str">
        <f>IFERROR(_xlfn.XLOOKUP($C2142,Log!D:D,Log!Y:Y,,,-1),"")</f>
        <v>QUANDO INFORMEI QUE ERA DA VITAO DESLIGOU</v>
      </c>
      <c r="R2142" s="131">
        <f>IFERROR(IF(Tabela1[[#This Row],[Nome fantasia]]="","",_xlfn.XLOOKUP($C2142,Log!D:D,Log!X:X,,,-1)),"")</f>
        <v>46001</v>
      </c>
    </row>
    <row r="2143" spans="3:18" hidden="1" x14ac:dyDescent="0.2">
      <c r="C2143" s="30" t="s">
        <v>582</v>
      </c>
      <c r="D2143" s="110" t="s">
        <v>583</v>
      </c>
      <c r="E2143" s="33" t="s">
        <v>36</v>
      </c>
      <c r="F2143" s="38" t="s">
        <v>12</v>
      </c>
      <c r="G2143" s="38" t="s">
        <v>584</v>
      </c>
      <c r="H2143" s="31">
        <v>3147.22</v>
      </c>
      <c r="I2143" s="32">
        <v>138</v>
      </c>
      <c r="J2143" s="32">
        <v>0</v>
      </c>
      <c r="K2143" s="45" t="s">
        <v>743</v>
      </c>
      <c r="M2143" s="33" t="str">
        <f t="shared" si="33"/>
        <v/>
      </c>
      <c r="N2143" s="34" t="str">
        <f>IFERROR(IF(Tabela1[[#This Row],[Nome fantasia]]="","",_xlfn.XLOOKUP($C2143,Log!D:D,Log!B:B,,,-1)),"")</f>
        <v/>
      </c>
      <c r="O2143" s="35" t="str">
        <f>IFERROR(_xlfn.XLOOKUP($C2143,Log!D:D,Log!W:W,,,-1),"")</f>
        <v/>
      </c>
      <c r="P2143" s="35" t="str">
        <f>IFERROR(_xlfn.XLOOKUP($C2143,Log!D:D,Log!Y:Y,,,-1),"")</f>
        <v/>
      </c>
      <c r="R2143" s="131" t="str">
        <f>IFERROR(IF(Tabela1[[#This Row],[Nome fantasia]]="","",_xlfn.XLOOKUP($C2143,Log!D:D,Log!X:X,,,-1)),"")</f>
        <v/>
      </c>
    </row>
    <row r="2144" spans="3:18" hidden="1" x14ac:dyDescent="0.2">
      <c r="C2144" s="30" t="s">
        <v>596</v>
      </c>
      <c r="D2144" s="110" t="s">
        <v>597</v>
      </c>
      <c r="E2144" s="33" t="s">
        <v>17</v>
      </c>
      <c r="F2144" s="38" t="s">
        <v>12</v>
      </c>
      <c r="G2144" s="38" t="s">
        <v>598</v>
      </c>
      <c r="H2144" s="31">
        <v>671.1</v>
      </c>
      <c r="I2144" s="32">
        <v>141</v>
      </c>
      <c r="J2144" s="32">
        <v>0</v>
      </c>
      <c r="K2144" s="45" t="s">
        <v>743</v>
      </c>
      <c r="M2144" s="33" t="str">
        <f t="shared" si="33"/>
        <v/>
      </c>
      <c r="N2144" s="34" t="str">
        <f>IFERROR(IF(Tabela1[[#This Row],[Nome fantasia]]="","",_xlfn.XLOOKUP($C2144,Log!D:D,Log!B:B,,,-1)),"")</f>
        <v/>
      </c>
      <c r="O2144" s="35" t="str">
        <f>IFERROR(_xlfn.XLOOKUP($C2144,Log!D:D,Log!W:W,,,-1),"")</f>
        <v/>
      </c>
      <c r="P2144" s="35" t="str">
        <f>IFERROR(_xlfn.XLOOKUP($C2144,Log!D:D,Log!Y:Y,,,-1),"")</f>
        <v/>
      </c>
      <c r="R2144" s="131" t="str">
        <f>IFERROR(IF(Tabela1[[#This Row],[Nome fantasia]]="","",_xlfn.XLOOKUP($C2144,Log!D:D,Log!X:X,,,-1)),"")</f>
        <v/>
      </c>
    </row>
    <row r="2145" spans="3:18" hidden="1" x14ac:dyDescent="0.2">
      <c r="C2145" s="30" t="s">
        <v>601</v>
      </c>
      <c r="D2145" s="110" t="s">
        <v>602</v>
      </c>
      <c r="E2145" s="33" t="s">
        <v>46</v>
      </c>
      <c r="F2145" s="38" t="s">
        <v>12</v>
      </c>
      <c r="G2145" s="38" t="s">
        <v>603</v>
      </c>
      <c r="H2145" s="31">
        <v>659.3</v>
      </c>
      <c r="I2145" s="32">
        <v>144</v>
      </c>
      <c r="J2145" s="32">
        <v>0</v>
      </c>
      <c r="K2145" s="45" t="s">
        <v>743</v>
      </c>
      <c r="L2145" s="141"/>
      <c r="M2145" s="136" t="str">
        <f t="shared" si="33"/>
        <v/>
      </c>
      <c r="N2145" s="137">
        <f>IFERROR(IF(Tabela1[[#This Row],[Nome fantasia]]="","",_xlfn.XLOOKUP($C2145,Log!D:D,Log!B:B,,,-1)),"")</f>
        <v>45999</v>
      </c>
      <c r="O2145" s="138" t="str">
        <f>IFERROR(_xlfn.XLOOKUP($C2145,Log!D:D,Log!W:W,,,-1),"")</f>
        <v>EM ATENDIMENTO</v>
      </c>
      <c r="P2145" s="138" t="str">
        <f>IFERROR(_xlfn.XLOOKUP($C2145,Log!D:D,Log!Y:Y,,,-1),"")</f>
        <v>MANDEI WHATSAPP, NUMERO DE TELEFONE NÃO ATENDE</v>
      </c>
      <c r="Q2145" s="141"/>
      <c r="R2145" s="140" t="str">
        <f>IFERROR(IF(Tabela1[[#This Row],[Nome fantasia]]="","",_xlfn.XLOOKUP($C2145,Log!D:D,Log!X:X,,,-1)),"")</f>
        <v/>
      </c>
    </row>
    <row r="2146" spans="3:18" hidden="1" x14ac:dyDescent="0.2">
      <c r="C2146" s="30" t="s">
        <v>611</v>
      </c>
      <c r="D2146" s="110" t="s">
        <v>612</v>
      </c>
      <c r="E2146" s="33" t="s">
        <v>46</v>
      </c>
      <c r="F2146" s="38" t="s">
        <v>12</v>
      </c>
      <c r="G2146" s="38" t="s">
        <v>613</v>
      </c>
      <c r="H2146" s="31">
        <v>898.66</v>
      </c>
      <c r="I2146" s="32">
        <v>147</v>
      </c>
      <c r="J2146" s="32">
        <v>0</v>
      </c>
      <c r="K2146" s="45" t="s">
        <v>743</v>
      </c>
      <c r="L2146" s="141"/>
      <c r="M2146" s="136" t="str">
        <f t="shared" si="33"/>
        <v/>
      </c>
      <c r="N2146" s="137" t="str">
        <f>IFERROR(IF(Tabela1[[#This Row],[Nome fantasia]]="","",_xlfn.XLOOKUP($C2146,Log!D:D,Log!B:B,,,-1)),"")</f>
        <v/>
      </c>
      <c r="O2146" s="138" t="str">
        <f>IFERROR(_xlfn.XLOOKUP($C2146,Log!D:D,Log!W:W,,,-1),"")</f>
        <v/>
      </c>
      <c r="P2146" s="138" t="str">
        <f>IFERROR(_xlfn.XLOOKUP($C2146,Log!D:D,Log!Y:Y,,,-1),"")</f>
        <v/>
      </c>
      <c r="Q2146" s="141"/>
      <c r="R2146" s="140" t="str">
        <f>IFERROR(IF(Tabela1[[#This Row],[Nome fantasia]]="","",_xlfn.XLOOKUP($C2146,Log!D:D,Log!X:X,,,-1)),"")</f>
        <v/>
      </c>
    </row>
    <row r="2147" spans="3:18" hidden="1" x14ac:dyDescent="0.2">
      <c r="C2147" s="30" t="s">
        <v>653</v>
      </c>
      <c r="D2147" s="110" t="s">
        <v>654</v>
      </c>
      <c r="E2147" s="33" t="s">
        <v>46</v>
      </c>
      <c r="F2147" s="38" t="s">
        <v>12</v>
      </c>
      <c r="G2147" s="38" t="s">
        <v>655</v>
      </c>
      <c r="H2147" s="31">
        <v>873.05</v>
      </c>
      <c r="I2147" s="32">
        <v>158</v>
      </c>
      <c r="J2147" s="32">
        <v>44</v>
      </c>
      <c r="K2147" s="45" t="s">
        <v>743</v>
      </c>
      <c r="M2147" s="33" t="str">
        <f t="shared" si="33"/>
        <v>Recompra</v>
      </c>
      <c r="N2147" s="34">
        <f>IFERROR(IF(Tabela1[[#This Row],[Nome fantasia]]="","",_xlfn.XLOOKUP($C2147,Log!D:D,Log!B:B,,,-1)),"")</f>
        <v>45999</v>
      </c>
      <c r="O2147" s="35" t="str">
        <f>IFERROR(_xlfn.XLOOKUP($C2147,Log!D:D,Log!W:W,,,-1),"")</f>
        <v>EM ATENDIMENTO</v>
      </c>
      <c r="P2147" s="35" t="str">
        <f>IFERROR(_xlfn.XLOOKUP($C2147,Log!D:D,Log!Y:Y,,,-1),"")</f>
        <v>MANDEI WHATSAPP, CLIENTE TEM INTERESSE POREM PERDEU CREDITO</v>
      </c>
      <c r="R2147" s="131">
        <f>IFERROR(IF(Tabela1[[#This Row],[Nome fantasia]]="","",_xlfn.XLOOKUP($C2147,Log!D:D,Log!X:X,,,-1)),"")</f>
        <v>46001</v>
      </c>
    </row>
    <row r="2148" spans="3:18" hidden="1" x14ac:dyDescent="0.2">
      <c r="C2148" s="30" t="s">
        <v>678</v>
      </c>
      <c r="D2148" s="110" t="s">
        <v>679</v>
      </c>
      <c r="E2148" s="33" t="s">
        <v>22</v>
      </c>
      <c r="F2148" s="38" t="s">
        <v>12</v>
      </c>
      <c r="G2148" s="38" t="s">
        <v>680</v>
      </c>
      <c r="H2148" s="31">
        <v>1676.51</v>
      </c>
      <c r="I2148" s="32">
        <v>165</v>
      </c>
      <c r="J2148" s="32">
        <v>0</v>
      </c>
      <c r="K2148" s="45" t="s">
        <v>743</v>
      </c>
      <c r="M2148" s="33" t="str">
        <f t="shared" si="33"/>
        <v/>
      </c>
      <c r="N2148" s="34" t="str">
        <f>IFERROR(IF(Tabela1[[#This Row],[Nome fantasia]]="","",_xlfn.XLOOKUP($C2148,Log!D:D,Log!B:B,,,-1)),"")</f>
        <v/>
      </c>
      <c r="O2148" s="35" t="str">
        <f>IFERROR(_xlfn.XLOOKUP($C2148,Log!D:D,Log!W:W,,,-1),"")</f>
        <v/>
      </c>
      <c r="P2148" s="35" t="str">
        <f>IFERROR(_xlfn.XLOOKUP($C2148,Log!D:D,Log!Y:Y,,,-1),"")</f>
        <v/>
      </c>
      <c r="R2148" s="131" t="str">
        <f>IFERROR(IF(Tabela1[[#This Row],[Nome fantasia]]="","",_xlfn.XLOOKUP($C2148,Log!D:D,Log!X:X,,,-1)),"")</f>
        <v/>
      </c>
    </row>
    <row r="2149" spans="3:18" hidden="1" x14ac:dyDescent="0.2">
      <c r="C2149" s="30" t="s">
        <v>684</v>
      </c>
      <c r="D2149" s="110" t="s">
        <v>685</v>
      </c>
      <c r="E2149" s="33" t="s">
        <v>46</v>
      </c>
      <c r="F2149" s="38" t="s">
        <v>12</v>
      </c>
      <c r="G2149" s="38" t="s">
        <v>680</v>
      </c>
      <c r="H2149" s="31">
        <v>1072.0899999999999</v>
      </c>
      <c r="I2149" s="32">
        <v>165</v>
      </c>
      <c r="J2149" s="32">
        <v>0</v>
      </c>
      <c r="K2149" s="45" t="s">
        <v>743</v>
      </c>
      <c r="M2149" s="33" t="str">
        <f t="shared" si="33"/>
        <v/>
      </c>
      <c r="N2149" s="34">
        <f>IFERROR(IF(Tabela1[[#This Row],[Nome fantasia]]="","",_xlfn.XLOOKUP($C2149,Log!D:D,Log!B:B,,,-1)),"")</f>
        <v>45923</v>
      </c>
      <c r="O2149" s="35" t="str">
        <f>IFERROR(_xlfn.XLOOKUP($C2149,Log!D:D,Log!W:W,,,-1),"")</f>
        <v>PERDA / NÃO VENDA</v>
      </c>
      <c r="P2149" s="35" t="str">
        <f>IFERROR(_xlfn.XLOOKUP($C2149,Log!D:D,Log!Y:Y,,,-1),"")</f>
        <v>LOJA FECHADA</v>
      </c>
      <c r="R2149" s="131" t="str">
        <f>IFERROR(IF(Tabela1[[#This Row],[Nome fantasia]]="","",_xlfn.XLOOKUP($C2149,Log!D:D,Log!X:X,,,-1)),"")</f>
        <v/>
      </c>
    </row>
    <row r="2150" spans="3:18" hidden="1" x14ac:dyDescent="0.2">
      <c r="C2150" s="30" t="s">
        <v>691</v>
      </c>
      <c r="D2150" s="110" t="s">
        <v>692</v>
      </c>
      <c r="E2150" s="33" t="s">
        <v>17</v>
      </c>
      <c r="F2150" s="38" t="s">
        <v>12</v>
      </c>
      <c r="G2150" s="38" t="s">
        <v>693</v>
      </c>
      <c r="H2150" s="31">
        <v>1950</v>
      </c>
      <c r="I2150" s="32">
        <v>176</v>
      </c>
      <c r="J2150" s="32">
        <v>13</v>
      </c>
      <c r="K2150" s="45" t="s">
        <v>743</v>
      </c>
      <c r="M2150" s="33" t="str">
        <f t="shared" si="33"/>
        <v>Recompra</v>
      </c>
      <c r="N2150" s="34">
        <f>IFERROR(IF(Tabela1[[#This Row],[Nome fantasia]]="","",_xlfn.XLOOKUP($C2150,Log!D:D,Log!B:B,,,-1)),"")</f>
        <v>45996</v>
      </c>
      <c r="O2150" s="35" t="str">
        <f>IFERROR(_xlfn.XLOOKUP($C2150,Log!D:D,Log!W:W,,,-1),"")</f>
        <v>EM ATENDIMENTO</v>
      </c>
      <c r="P2150" s="35" t="str">
        <f>IFERROR(_xlfn.XLOOKUP($C2150,Log!D:D,Log!Y:Y,,,-1),"")</f>
        <v>CLIENTE ENTROU EM CONTATO, PORÉM NÃO RESPONDEU MAIS</v>
      </c>
      <c r="R2150" s="131">
        <f>IFERROR(IF(Tabela1[[#This Row],[Nome fantasia]]="","",_xlfn.XLOOKUP($C2150,Log!D:D,Log!X:X,,,-1)),"")</f>
        <v>46000</v>
      </c>
    </row>
    <row r="2151" spans="3:18" hidden="1" x14ac:dyDescent="0.2">
      <c r="C2151" s="30" t="s">
        <v>694</v>
      </c>
      <c r="D2151" s="110" t="s">
        <v>695</v>
      </c>
      <c r="E2151" s="33" t="s">
        <v>46</v>
      </c>
      <c r="F2151" s="38" t="s">
        <v>12</v>
      </c>
      <c r="G2151" s="38" t="s">
        <v>696</v>
      </c>
      <c r="H2151" s="31">
        <v>1270.04</v>
      </c>
      <c r="I2151" s="32">
        <v>180</v>
      </c>
      <c r="J2151" s="32">
        <v>0</v>
      </c>
      <c r="K2151" s="45" t="s">
        <v>743</v>
      </c>
      <c r="M2151" s="33" t="str">
        <f t="shared" si="33"/>
        <v/>
      </c>
      <c r="N2151" s="34" t="str">
        <f>IFERROR(IF(Tabela1[[#This Row],[Nome fantasia]]="","",_xlfn.XLOOKUP($C2151,Log!D:D,Log!B:B,,,-1)),"")</f>
        <v/>
      </c>
      <c r="O2151" s="35" t="str">
        <f>IFERROR(_xlfn.XLOOKUP($C2151,Log!D:D,Log!W:W,,,-1),"")</f>
        <v/>
      </c>
      <c r="P2151" s="35" t="str">
        <f>IFERROR(_xlfn.XLOOKUP($C2151,Log!D:D,Log!Y:Y,,,-1),"")</f>
        <v/>
      </c>
      <c r="R2151" s="131" t="str">
        <f>IFERROR(IF(Tabela1[[#This Row],[Nome fantasia]]="","",_xlfn.XLOOKUP($C2151,Log!D:D,Log!X:X,,,-1)),"")</f>
        <v/>
      </c>
    </row>
    <row r="2152" spans="3:18" hidden="1" x14ac:dyDescent="0.2">
      <c r="C2152" s="30" t="s">
        <v>707</v>
      </c>
      <c r="D2152" s="110" t="s">
        <v>708</v>
      </c>
      <c r="E2152" s="33" t="s">
        <v>46</v>
      </c>
      <c r="F2152" s="38" t="s">
        <v>12</v>
      </c>
      <c r="G2152" s="38" t="s">
        <v>706</v>
      </c>
      <c r="H2152" s="31">
        <v>2651.31</v>
      </c>
      <c r="I2152" s="32">
        <v>189</v>
      </c>
      <c r="J2152" s="32">
        <v>0</v>
      </c>
      <c r="K2152" s="45" t="s">
        <v>743</v>
      </c>
      <c r="M2152" s="33" t="str">
        <f t="shared" si="33"/>
        <v/>
      </c>
      <c r="N2152" s="34">
        <f>IFERROR(IF(Tabela1[[#This Row],[Nome fantasia]]="","",_xlfn.XLOOKUP($C2152,Log!D:D,Log!B:B,,,-1)),"")</f>
        <v>46006</v>
      </c>
      <c r="O2152" s="35" t="str">
        <f>IFERROR(_xlfn.XLOOKUP($C2152,Log!D:D,Log!W:W,,,-1),"")</f>
        <v>EM ATENDIMENTO</v>
      </c>
      <c r="P2152" s="35" t="str">
        <f>IFERROR(_xlfn.XLOOKUP($C2152,Log!D:D,Log!Y:Y,,,-1),"")</f>
        <v>FEITO CONTATO PARA POSSIVEL RECOMPRA</v>
      </c>
      <c r="R2152" s="131">
        <f>IFERROR(IF(Tabela1[[#This Row],[Nome fantasia]]="","",_xlfn.XLOOKUP($C2152,Log!D:D,Log!X:X,,,-1)),"")</f>
        <v>46008</v>
      </c>
    </row>
    <row r="2153" spans="3:18" hidden="1" x14ac:dyDescent="0.2">
      <c r="C2153" s="30" t="s">
        <v>724</v>
      </c>
      <c r="D2153" s="110" t="s">
        <v>725</v>
      </c>
      <c r="E2153" s="33" t="s">
        <v>17</v>
      </c>
      <c r="F2153" s="38" t="s">
        <v>12</v>
      </c>
      <c r="G2153" s="38" t="s">
        <v>726</v>
      </c>
      <c r="H2153" s="31">
        <v>704</v>
      </c>
      <c r="I2153" s="32">
        <v>203</v>
      </c>
      <c r="J2153" s="32">
        <v>0</v>
      </c>
      <c r="K2153" s="45" t="s">
        <v>743</v>
      </c>
      <c r="M2153" s="33" t="str">
        <f t="shared" si="33"/>
        <v/>
      </c>
      <c r="N2153" s="34" t="str">
        <f>IFERROR(IF(Tabela1[[#This Row],[Nome fantasia]]="","",_xlfn.XLOOKUP($C2153,Log!D:D,Log!B:B,,,-1)),"")</f>
        <v/>
      </c>
      <c r="O2153" s="35" t="str">
        <f>IFERROR(_xlfn.XLOOKUP($C2153,Log!D:D,Log!W:W,,,-1),"")</f>
        <v/>
      </c>
      <c r="P2153" s="35" t="str">
        <f>IFERROR(_xlfn.XLOOKUP($C2153,Log!D:D,Log!Y:Y,,,-1),"")</f>
        <v/>
      </c>
      <c r="R2153" s="131" t="str">
        <f>IFERROR(IF(Tabela1[[#This Row],[Nome fantasia]]="","",_xlfn.XLOOKUP($C2153,Log!D:D,Log!X:X,,,-1)),"")</f>
        <v/>
      </c>
    </row>
    <row r="2154" spans="3:18" hidden="1" x14ac:dyDescent="0.2">
      <c r="C2154" s="30" t="s">
        <v>825</v>
      </c>
      <c r="D2154" s="110" t="s">
        <v>933</v>
      </c>
      <c r="E2154" s="33" t="s">
        <v>49</v>
      </c>
      <c r="F2154" s="38" t="s">
        <v>12</v>
      </c>
      <c r="G2154" s="38" t="s">
        <v>933</v>
      </c>
      <c r="H2154" s="31" t="s">
        <v>933</v>
      </c>
      <c r="I2154" s="32" t="s">
        <v>933</v>
      </c>
      <c r="J2154" s="32" t="s">
        <v>933</v>
      </c>
      <c r="K2154" s="45" t="s">
        <v>888</v>
      </c>
      <c r="L2154" s="129"/>
      <c r="M2154" s="33" t="str">
        <f t="shared" si="33"/>
        <v>Recompra</v>
      </c>
      <c r="N2154" s="34">
        <f>IFERROR(IF(Tabela1[[#This Row],[Nome fantasia]]="","",_xlfn.XLOOKUP($C2154,Log!D:D,Log!B:B,,,-1)),"")</f>
        <v>45915</v>
      </c>
      <c r="O2154" s="35" t="str">
        <f>IFERROR(_xlfn.XLOOKUP($C2154,Log!D:D,Log!W:W,,,-1),"")</f>
        <v>PERDA / NÃO VENDA</v>
      </c>
      <c r="P2154" s="35">
        <f>IFERROR(_xlfn.XLOOKUP($C2154,Log!D:D,Log!Y:Y,,,-1),"")</f>
        <v>0</v>
      </c>
      <c r="Q2154" s="130"/>
      <c r="R2154" s="131" t="str">
        <f>IFERROR(IF(Tabela1[[#This Row],[Nome fantasia]]="","",_xlfn.XLOOKUP($C2154,Log!D:D,Log!X:X,,,-1)),"")</f>
        <v/>
      </c>
    </row>
    <row r="2155" spans="3:18" hidden="1" x14ac:dyDescent="0.2">
      <c r="C2155" s="30" t="s">
        <v>942</v>
      </c>
      <c r="D2155" s="110" t="s">
        <v>1005</v>
      </c>
      <c r="E2155" s="33" t="s">
        <v>31</v>
      </c>
      <c r="F2155" s="38" t="s">
        <v>829</v>
      </c>
      <c r="G2155" s="38" t="s">
        <v>933</v>
      </c>
      <c r="H2155" s="31" t="s">
        <v>933</v>
      </c>
      <c r="I2155" s="32" t="s">
        <v>933</v>
      </c>
      <c r="J2155" s="32" t="s">
        <v>933</v>
      </c>
      <c r="K2155" s="45" t="s">
        <v>888</v>
      </c>
      <c r="L2155" s="129"/>
      <c r="M2155" s="33" t="str">
        <f t="shared" si="33"/>
        <v>Recompra</v>
      </c>
      <c r="N2155" s="34">
        <f>IFERROR(IF(Tabela1[[#This Row],[Nome fantasia]]="","",_xlfn.XLOOKUP($C2155,Log!D:D,Log!B:B,,,-1)),"")</f>
        <v>45932</v>
      </c>
      <c r="O2155" s="35" t="str">
        <f>IFERROR(_xlfn.XLOOKUP($C2155,Log!D:D,Log!W:W,,,-1),"")</f>
        <v>SUPORTE</v>
      </c>
      <c r="P2155" s="35" t="str">
        <f>IFERROR(_xlfn.XLOOKUP($C2155,Log!D:D,Log!Y:Y,,,-1),"")</f>
        <v>RASTREIO DA ENTREGA</v>
      </c>
      <c r="Q2155" s="130"/>
      <c r="R2155" s="131" t="str">
        <f>IFERROR(IF(Tabela1[[#This Row],[Nome fantasia]]="","",_xlfn.XLOOKUP($C2155,Log!D:D,Log!X:X,,,-1)),"")</f>
        <v/>
      </c>
    </row>
    <row r="2156" spans="3:18" hidden="1" x14ac:dyDescent="0.2">
      <c r="C2156" s="30" t="s">
        <v>948</v>
      </c>
      <c r="D2156" s="110" t="s">
        <v>949</v>
      </c>
      <c r="E2156" s="33" t="s">
        <v>46</v>
      </c>
      <c r="F2156" s="38" t="s">
        <v>829</v>
      </c>
      <c r="G2156" s="38" t="s">
        <v>933</v>
      </c>
      <c r="H2156" s="31" t="s">
        <v>933</v>
      </c>
      <c r="I2156" s="32" t="s">
        <v>933</v>
      </c>
      <c r="J2156" s="32" t="s">
        <v>933</v>
      </c>
      <c r="K2156" s="45" t="s">
        <v>888</v>
      </c>
      <c r="L2156" s="129"/>
      <c r="M2156" s="33" t="str">
        <f t="shared" si="33"/>
        <v>Recompra</v>
      </c>
      <c r="N2156" s="34">
        <f>IFERROR(IF(Tabela1[[#This Row],[Nome fantasia]]="","",_xlfn.XLOOKUP($C2156,Log!D:D,Log!B:B,,,-1)),"")</f>
        <v>45922</v>
      </c>
      <c r="O2156" s="35" t="str">
        <f>IFERROR(_xlfn.XLOOKUP($C2156,Log!D:D,Log!W:W,,,-1),"")</f>
        <v>PERDA / NÃO VENDA</v>
      </c>
      <c r="P2156" s="35" t="str">
        <f>IFERROR(_xlfn.XLOOKUP($C2156,Log!D:D,Log!Y:Y,,,-1),"")</f>
        <v xml:space="preserve">CLIENTE NUNCA MAIS ATENDEU OU RESPONDEU </v>
      </c>
      <c r="Q2156" s="130"/>
      <c r="R2156" s="131" t="str">
        <f>IFERROR(IF(Tabela1[[#This Row],[Nome fantasia]]="","",_xlfn.XLOOKUP($C2156,Log!D:D,Log!X:X,,,-1)),"")</f>
        <v/>
      </c>
    </row>
    <row r="2157" spans="3:18" hidden="1" x14ac:dyDescent="0.2">
      <c r="C2157" s="30" t="s">
        <v>952</v>
      </c>
      <c r="D2157" s="110" t="s">
        <v>953</v>
      </c>
      <c r="E2157" s="33" t="s">
        <v>46</v>
      </c>
      <c r="F2157" s="38" t="s">
        <v>829</v>
      </c>
      <c r="G2157" s="38" t="s">
        <v>933</v>
      </c>
      <c r="H2157" s="31" t="s">
        <v>933</v>
      </c>
      <c r="I2157" s="32" t="s">
        <v>933</v>
      </c>
      <c r="J2157" s="32" t="s">
        <v>933</v>
      </c>
      <c r="K2157" s="45" t="s">
        <v>888</v>
      </c>
      <c r="L2157" s="129"/>
      <c r="M2157" s="33" t="str">
        <f t="shared" si="33"/>
        <v>Recompra</v>
      </c>
      <c r="N2157" s="34">
        <f>IFERROR(IF(Tabela1[[#This Row],[Nome fantasia]]="","",_xlfn.XLOOKUP($C2157,Log!D:D,Log!B:B,,,-1)),"")</f>
        <v>45922</v>
      </c>
      <c r="O2157" s="35" t="str">
        <f>IFERROR(_xlfn.XLOOKUP($C2157,Log!D:D,Log!W:W,,,-1),"")</f>
        <v>PERDA / NÃO VENDA</v>
      </c>
      <c r="P2157" s="35" t="str">
        <f>IFERROR(_xlfn.XLOOKUP($C2157,Log!D:D,Log!Y:Y,,,-1),"")</f>
        <v xml:space="preserve">CLIENTE NUNCA MAIS ATENDEU OU RESPONDEU </v>
      </c>
      <c r="Q2157" s="130"/>
      <c r="R2157" s="131" t="str">
        <f>IFERROR(IF(Tabela1[[#This Row],[Nome fantasia]]="","",_xlfn.XLOOKUP($C2157,Log!D:D,Log!X:X,,,-1)),"")</f>
        <v/>
      </c>
    </row>
    <row r="2158" spans="3:18" hidden="1" x14ac:dyDescent="0.2">
      <c r="C2158" s="30" t="s">
        <v>988</v>
      </c>
      <c r="D2158" s="110" t="s">
        <v>989</v>
      </c>
      <c r="E2158" s="33" t="s">
        <v>46</v>
      </c>
      <c r="F2158" s="38" t="s">
        <v>829</v>
      </c>
      <c r="G2158" s="38"/>
      <c r="H2158" s="31"/>
      <c r="I2158" s="32"/>
      <c r="J2158" s="32"/>
      <c r="K2158" s="45" t="s">
        <v>888</v>
      </c>
      <c r="L2158" s="129"/>
      <c r="M2158" s="33" t="str">
        <f t="shared" si="33"/>
        <v/>
      </c>
      <c r="N2158" s="34">
        <f>IFERROR(IF(Tabela1[[#This Row],[Nome fantasia]]="","",_xlfn.XLOOKUP($C2158,Log!D:D,Log!B:B,,,-1)),"")</f>
        <v>45923</v>
      </c>
      <c r="O2158" s="35" t="str">
        <f>IFERROR(_xlfn.XLOOKUP($C2158,Log!D:D,Log!W:W,,,-1),"")</f>
        <v>SUPORTE</v>
      </c>
      <c r="P2158" s="35" t="str">
        <f>IFERROR(_xlfn.XLOOKUP($C2158,Log!D:D,Log!Y:Y,,,-1),"")</f>
        <v>PRECISA DE UM DISTRIBUIDOR</v>
      </c>
      <c r="Q2158" s="130"/>
      <c r="R2158" s="131" t="str">
        <f>IFERROR(IF(Tabela1[[#This Row],[Nome fantasia]]="","",_xlfn.XLOOKUP($C2158,Log!D:D,Log!X:X,,,-1)),"")</f>
        <v/>
      </c>
    </row>
    <row r="2159" spans="3:18" hidden="1" x14ac:dyDescent="0.2">
      <c r="C2159" s="30" t="s">
        <v>942</v>
      </c>
      <c r="D2159" s="110" t="s">
        <v>1005</v>
      </c>
      <c r="E2159" s="33" t="s">
        <v>31</v>
      </c>
      <c r="F2159" s="38" t="s">
        <v>829</v>
      </c>
      <c r="G2159" s="38"/>
      <c r="H2159" s="31"/>
      <c r="I2159" s="32"/>
      <c r="J2159" s="32"/>
      <c r="K2159" s="45" t="s">
        <v>888</v>
      </c>
      <c r="L2159" s="129"/>
      <c r="M2159" s="33" t="str">
        <f t="shared" si="33"/>
        <v/>
      </c>
      <c r="N2159" s="34">
        <f>IFERROR(IF(Tabela1[[#This Row],[Nome fantasia]]="","",_xlfn.XLOOKUP($C2159,Log!D:D,Log!B:B,,,-1)),"")</f>
        <v>45932</v>
      </c>
      <c r="O2159" s="35" t="str">
        <f>IFERROR(_xlfn.XLOOKUP($C2159,Log!D:D,Log!W:W,,,-1),"")</f>
        <v>SUPORTE</v>
      </c>
      <c r="P2159" s="35" t="str">
        <f>IFERROR(_xlfn.XLOOKUP($C2159,Log!D:D,Log!Y:Y,,,-1),"")</f>
        <v>RASTREIO DA ENTREGA</v>
      </c>
      <c r="Q2159" s="130"/>
      <c r="R2159" s="131" t="str">
        <f>IFERROR(IF(Tabela1[[#This Row],[Nome fantasia]]="","",_xlfn.XLOOKUP($C2159,Log!D:D,Log!X:X,,,-1)),"")</f>
        <v/>
      </c>
    </row>
    <row r="2160" spans="3:18" hidden="1" x14ac:dyDescent="0.2">
      <c r="C2160" s="30" t="s">
        <v>1033</v>
      </c>
      <c r="D2160" s="110" t="s">
        <v>1024</v>
      </c>
      <c r="E2160" s="33" t="s">
        <v>46</v>
      </c>
      <c r="F2160" s="38" t="s">
        <v>829</v>
      </c>
      <c r="G2160" s="38"/>
      <c r="H2160" s="31"/>
      <c r="I2160" s="32"/>
      <c r="J2160" s="32"/>
      <c r="K2160" s="45" t="s">
        <v>888</v>
      </c>
      <c r="L2160" s="135"/>
      <c r="M2160" s="136" t="str">
        <f t="shared" si="33"/>
        <v/>
      </c>
      <c r="N2160" s="137">
        <f>IFERROR(IF(Tabela1[[#This Row],[Nome fantasia]]="","",_xlfn.XLOOKUP($C2160,Log!D:D,Log!B:B,,,-1)),"")</f>
        <v>45925</v>
      </c>
      <c r="O2160" s="138" t="str">
        <f>IFERROR(_xlfn.XLOOKUP($C2160,Log!D:D,Log!W:W,,,-1),"")</f>
        <v>PERDA / NÃO VENDA</v>
      </c>
      <c r="P2160" s="138" t="str">
        <f>IFERROR(_xlfn.XLOOKUP($C2160,Log!D:D,Log!Y:Y,,,-1),"")</f>
        <v>LOJA DA FRANQUIA FECHOU</v>
      </c>
      <c r="Q2160" s="139"/>
      <c r="R2160" s="140" t="str">
        <f>IFERROR(IF(Tabela1[[#This Row],[Nome fantasia]]="","",_xlfn.XLOOKUP($C2160,Log!D:D,Log!X:X,,,-1)),"")</f>
        <v/>
      </c>
    </row>
    <row r="2161" spans="3:18" hidden="1" x14ac:dyDescent="0.2">
      <c r="C2161" s="30" t="s">
        <v>1106</v>
      </c>
      <c r="D2161" s="110" t="s">
        <v>933</v>
      </c>
      <c r="E2161" s="33" t="s">
        <v>17</v>
      </c>
      <c r="F2161" s="38" t="s">
        <v>12</v>
      </c>
      <c r="G2161" s="38"/>
      <c r="H2161" s="31"/>
      <c r="I2161" s="32"/>
      <c r="J2161" s="32"/>
      <c r="K2161" s="45" t="s">
        <v>888</v>
      </c>
      <c r="L2161" s="129"/>
      <c r="M2161" s="33" t="str">
        <f t="shared" si="33"/>
        <v/>
      </c>
      <c r="N2161" s="34">
        <f>IFERROR(IF(Tabela1[[#This Row],[Nome fantasia]]="","",_xlfn.XLOOKUP($C2161,Log!D:D,Log!B:B,,,-1)),"")</f>
        <v>45932</v>
      </c>
      <c r="O2161" s="35" t="str">
        <f>IFERROR(_xlfn.XLOOKUP($C2161,Log!D:D,Log!W:W,,,-1),"")</f>
        <v>PERDA / NÃO VENDA</v>
      </c>
      <c r="P2161" s="35" t="str">
        <f>IFERROR(_xlfn.XLOOKUP($C2161,Log!D:D,Log!Y:Y,,,-1),"")</f>
        <v>CLIENTE COMPRA CHOCOLATE MUITO BARATO</v>
      </c>
      <c r="Q2161" s="130"/>
      <c r="R2161" s="131" t="str">
        <f>IFERROR(IF(Tabela1[[#This Row],[Nome fantasia]]="","",_xlfn.XLOOKUP($C2161,Log!D:D,Log!X:X,,,-1)),"")</f>
        <v/>
      </c>
    </row>
    <row r="2162" spans="3:18" hidden="1" x14ac:dyDescent="0.2">
      <c r="C2162" s="30" t="s">
        <v>1106</v>
      </c>
      <c r="D2162" s="110" t="s">
        <v>933</v>
      </c>
      <c r="E2162" s="33" t="s">
        <v>17</v>
      </c>
      <c r="F2162" s="38" t="s">
        <v>12</v>
      </c>
      <c r="G2162" s="38"/>
      <c r="H2162" s="31"/>
      <c r="I2162" s="32"/>
      <c r="J2162" s="32"/>
      <c r="K2162" s="45" t="s">
        <v>888</v>
      </c>
      <c r="L2162" s="129"/>
      <c r="M2162" s="33" t="str">
        <f t="shared" si="33"/>
        <v/>
      </c>
      <c r="N2162" s="34">
        <f>IFERROR(IF(Tabela1[[#This Row],[Nome fantasia]]="","",_xlfn.XLOOKUP($C2162,Log!D:D,Log!B:B,,,-1)),"")</f>
        <v>45932</v>
      </c>
      <c r="O2162" s="35" t="str">
        <f>IFERROR(_xlfn.XLOOKUP($C2162,Log!D:D,Log!W:W,,,-1),"")</f>
        <v>PERDA / NÃO VENDA</v>
      </c>
      <c r="P2162" s="35" t="str">
        <f>IFERROR(_xlfn.XLOOKUP($C2162,Log!D:D,Log!Y:Y,,,-1),"")</f>
        <v>CLIENTE COMPRA CHOCOLATE MUITO BARATO</v>
      </c>
      <c r="Q2162" s="130"/>
      <c r="R2162" s="131" t="str">
        <f>IFERROR(IF(Tabela1[[#This Row],[Nome fantasia]]="","",_xlfn.XLOOKUP($C2162,Log!D:D,Log!X:X,,,-1)),"")</f>
        <v/>
      </c>
    </row>
    <row r="2163" spans="3:18" hidden="1" x14ac:dyDescent="0.2">
      <c r="C2163" s="30" t="s">
        <v>1127</v>
      </c>
      <c r="D2163" s="110" t="s">
        <v>1126</v>
      </c>
      <c r="E2163" s="33" t="s">
        <v>17</v>
      </c>
      <c r="F2163" s="38" t="s">
        <v>12</v>
      </c>
      <c r="G2163" s="38"/>
      <c r="H2163" s="31"/>
      <c r="I2163" s="32"/>
      <c r="J2163" s="32"/>
      <c r="K2163" s="45" t="s">
        <v>888</v>
      </c>
      <c r="L2163" s="129"/>
      <c r="M2163" s="33" t="str">
        <f t="shared" si="33"/>
        <v/>
      </c>
      <c r="N2163" s="34">
        <f>IFERROR(IF(Tabela1[[#This Row],[Nome fantasia]]="","",_xlfn.XLOOKUP($C2163,Log!D:D,Log!B:B,,,-1)),"")</f>
        <v>45939</v>
      </c>
      <c r="O2163" s="35" t="str">
        <f>IFERROR(_xlfn.XLOOKUP($C2163,Log!D:D,Log!W:W,,,-1),"")</f>
        <v>PERDA / NÃO VENDA</v>
      </c>
      <c r="P2163" s="35" t="str">
        <f>IFERROR(_xlfn.XLOOKUP($C2163,Log!D:D,Log!Y:Y,,,-1),"")</f>
        <v>NÃO TEM COMO PAGAR E NÃO APROVA BOLETO</v>
      </c>
      <c r="Q2163" s="130"/>
      <c r="R2163" s="131" t="str">
        <f>IFERROR(IF(Tabela1[[#This Row],[Nome fantasia]]="","",_xlfn.XLOOKUP($C2163,Log!D:D,Log!X:X,,,-1)),"")</f>
        <v/>
      </c>
    </row>
    <row r="2164" spans="3:18" hidden="1" x14ac:dyDescent="0.2">
      <c r="C2164" s="30" t="s">
        <v>1129</v>
      </c>
      <c r="D2164" s="110" t="s">
        <v>1130</v>
      </c>
      <c r="E2164" s="33" t="s">
        <v>22</v>
      </c>
      <c r="F2164" s="38" t="s">
        <v>12</v>
      </c>
      <c r="G2164" s="38"/>
      <c r="H2164" s="31"/>
      <c r="I2164" s="32"/>
      <c r="J2164" s="32"/>
      <c r="K2164" s="45" t="s">
        <v>888</v>
      </c>
      <c r="L2164" s="129"/>
      <c r="M2164" s="33" t="str">
        <f t="shared" si="33"/>
        <v/>
      </c>
      <c r="N2164" s="34">
        <f>IFERROR(IF(Tabela1[[#This Row],[Nome fantasia]]="","",_xlfn.XLOOKUP($C2164,Log!D:D,Log!B:B,,,-1)),"")</f>
        <v>45938</v>
      </c>
      <c r="O2164" s="35" t="str">
        <f>IFERROR(_xlfn.XLOOKUP($C2164,Log!D:D,Log!W:W,,,-1),"")</f>
        <v>SUPORTE</v>
      </c>
      <c r="P2164" s="35" t="str">
        <f>IFERROR(_xlfn.XLOOKUP($C2164,Log!D:D,Log!Y:Y,,,-1),"")</f>
        <v>HOSPITAL PEDIU DEGUSTAÇÃO</v>
      </c>
      <c r="Q2164" s="130"/>
      <c r="R2164" s="131" t="str">
        <f>IFERROR(IF(Tabela1[[#This Row],[Nome fantasia]]="","",_xlfn.XLOOKUP($C2164,Log!D:D,Log!X:X,,,-1)),"")</f>
        <v/>
      </c>
    </row>
    <row r="2165" spans="3:18" hidden="1" x14ac:dyDescent="0.2">
      <c r="C2165" s="30" t="s">
        <v>1230</v>
      </c>
      <c r="D2165" s="110" t="s">
        <v>1242</v>
      </c>
      <c r="E2165" s="33" t="s">
        <v>22</v>
      </c>
      <c r="F2165" s="38" t="s">
        <v>12</v>
      </c>
      <c r="G2165" s="38"/>
      <c r="H2165" s="31"/>
      <c r="I2165" s="32"/>
      <c r="J2165" s="32"/>
      <c r="K2165" s="45" t="s">
        <v>888</v>
      </c>
      <c r="L2165" s="129"/>
      <c r="M2165" s="33" t="str">
        <f t="shared" si="33"/>
        <v/>
      </c>
      <c r="N2165" s="34">
        <f>IFERROR(IF(Tabela1[[#This Row],[Nome fantasia]]="","",_xlfn.XLOOKUP($C2165,Log!D:D,Log!B:B,,,-1)),"")</f>
        <v>45937</v>
      </c>
      <c r="O2165" s="35" t="str">
        <f>IFERROR(_xlfn.XLOOKUP($C2165,Log!D:D,Log!W:W,,,-1),"")</f>
        <v>PERDA / NÃO VENDA</v>
      </c>
      <c r="P2165" s="35" t="str">
        <f>IFERROR(_xlfn.XLOOKUP($C2165,Log!D:D,Log!Y:Y,,,-1),"")</f>
        <v>FECHOU</v>
      </c>
      <c r="Q2165" s="130"/>
      <c r="R2165" s="131" t="str">
        <f>IFERROR(IF(Tabela1[[#This Row],[Nome fantasia]]="","",_xlfn.XLOOKUP($C2165,Log!D:D,Log!X:X,,,-1)),"")</f>
        <v/>
      </c>
    </row>
    <row r="2166" spans="3:18" hidden="1" x14ac:dyDescent="0.2">
      <c r="C2166" s="30" t="s">
        <v>1234</v>
      </c>
      <c r="D2166" s="110" t="s">
        <v>1246</v>
      </c>
      <c r="E2166" s="33" t="s">
        <v>22</v>
      </c>
      <c r="F2166" s="38" t="s">
        <v>12</v>
      </c>
      <c r="G2166" s="38"/>
      <c r="H2166" s="31"/>
      <c r="I2166" s="32"/>
      <c r="J2166" s="32"/>
      <c r="K2166" s="45" t="s">
        <v>888</v>
      </c>
      <c r="L2166" s="129"/>
      <c r="M2166" s="33" t="str">
        <f t="shared" si="33"/>
        <v/>
      </c>
      <c r="N2166" s="34">
        <f>IFERROR(IF(Tabela1[[#This Row],[Nome fantasia]]="","",_xlfn.XLOOKUP($C2166,Log!D:D,Log!B:B,,,-1)),"")</f>
        <v>45937</v>
      </c>
      <c r="O2166" s="35" t="str">
        <f>IFERROR(_xlfn.XLOOKUP($C2166,Log!D:D,Log!W:W,,,-1),"")</f>
        <v>PERDA / NÃO VENDA</v>
      </c>
      <c r="P2166" s="35" t="str">
        <f>IFERROR(_xlfn.XLOOKUP($C2166,Log!D:D,Log!Y:Y,,,-1),"")</f>
        <v>FECHOU</v>
      </c>
      <c r="Q2166" s="130"/>
      <c r="R2166" s="131" t="str">
        <f>IFERROR(IF(Tabela1[[#This Row],[Nome fantasia]]="","",_xlfn.XLOOKUP($C2166,Log!D:D,Log!X:X,,,-1)),"")</f>
        <v/>
      </c>
    </row>
    <row r="2167" spans="3:18" hidden="1" x14ac:dyDescent="0.2">
      <c r="C2167" s="30" t="s">
        <v>1250</v>
      </c>
      <c r="D2167" s="110" t="s">
        <v>1134</v>
      </c>
      <c r="E2167" s="33" t="s">
        <v>31</v>
      </c>
      <c r="F2167" s="38" t="s">
        <v>12</v>
      </c>
      <c r="G2167" s="38"/>
      <c r="H2167" s="31"/>
      <c r="I2167" s="32"/>
      <c r="J2167" s="32"/>
      <c r="K2167" s="45" t="s">
        <v>888</v>
      </c>
      <c r="L2167" s="129"/>
      <c r="M2167" s="33" t="str">
        <f t="shared" si="33"/>
        <v/>
      </c>
      <c r="N2167" s="34">
        <f>IFERROR(IF(Tabela1[[#This Row],[Nome fantasia]]="","",_xlfn.XLOOKUP($C2167,Log!D:D,Log!B:B,,,-1)),"")</f>
        <v>45937</v>
      </c>
      <c r="O2167" s="35" t="str">
        <f>IFERROR(_xlfn.XLOOKUP($C2167,Log!D:D,Log!W:W,,,-1),"")</f>
        <v>PERDA / NÃO VENDA</v>
      </c>
      <c r="P2167" s="35" t="str">
        <f>IFERROR(_xlfn.XLOOKUP($C2167,Log!D:D,Log!Y:Y,,,-1),"")</f>
        <v>PASSADO PARA A LARISSA</v>
      </c>
      <c r="Q2167" s="130"/>
      <c r="R2167" s="131" t="str">
        <f>IFERROR(IF(Tabela1[[#This Row],[Nome fantasia]]="","",_xlfn.XLOOKUP($C2167,Log!D:D,Log!X:X,,,-1)),"")</f>
        <v/>
      </c>
    </row>
    <row r="2168" spans="3:18" hidden="1" x14ac:dyDescent="0.2">
      <c r="C2168" s="30" t="s">
        <v>1129</v>
      </c>
      <c r="D2168" s="110" t="s">
        <v>1130</v>
      </c>
      <c r="E2168" s="33" t="s">
        <v>22</v>
      </c>
      <c r="F2168" s="38" t="s">
        <v>12</v>
      </c>
      <c r="G2168" s="38" t="s">
        <v>269</v>
      </c>
      <c r="H2168" s="31">
        <v>1524.53</v>
      </c>
      <c r="I2168" s="32">
        <v>62</v>
      </c>
      <c r="J2168" s="32">
        <v>0</v>
      </c>
      <c r="K2168" s="45" t="s">
        <v>888</v>
      </c>
      <c r="L2168" s="129"/>
      <c r="M2168" s="33" t="str">
        <f t="shared" si="33"/>
        <v/>
      </c>
      <c r="N2168" s="34">
        <f>IFERROR(IF(Tabela1[[#This Row],[Nome fantasia]]="","",_xlfn.XLOOKUP($C2168,Log!D:D,Log!B:B,,,-1)),"")</f>
        <v>45938</v>
      </c>
      <c r="O2168" s="35" t="str">
        <f>IFERROR(_xlfn.XLOOKUP($C2168,Log!D:D,Log!W:W,,,-1),"")</f>
        <v>SUPORTE</v>
      </c>
      <c r="P2168" s="35" t="str">
        <f>IFERROR(_xlfn.XLOOKUP($C2168,Log!D:D,Log!Y:Y,,,-1),"")</f>
        <v>HOSPITAL PEDIU DEGUSTAÇÃO</v>
      </c>
      <c r="Q2168" s="130"/>
      <c r="R2168" s="131" t="str">
        <f>IFERROR(IF(Tabela1[[#This Row],[Nome fantasia]]="","",_xlfn.XLOOKUP($C2168,Log!D:D,Log!X:X,,,-1)),"")</f>
        <v/>
      </c>
    </row>
    <row r="2169" spans="3:18" hidden="1" x14ac:dyDescent="0.2">
      <c r="C2169" s="30" t="s">
        <v>1270</v>
      </c>
      <c r="D2169" s="110" t="s">
        <v>1280</v>
      </c>
      <c r="E2169" s="33" t="s">
        <v>22</v>
      </c>
      <c r="F2169" s="38" t="s">
        <v>12</v>
      </c>
      <c r="G2169" s="38" t="s">
        <v>933</v>
      </c>
      <c r="H2169" s="31" t="s">
        <v>933</v>
      </c>
      <c r="I2169" s="32" t="s">
        <v>933</v>
      </c>
      <c r="J2169" s="32" t="s">
        <v>933</v>
      </c>
      <c r="K2169" s="45" t="s">
        <v>888</v>
      </c>
      <c r="L2169" s="129"/>
      <c r="M2169" s="33" t="str">
        <f t="shared" si="33"/>
        <v>Recompra</v>
      </c>
      <c r="N2169" s="34">
        <f>IFERROR(IF(Tabela1[[#This Row],[Nome fantasia]]="","",_xlfn.XLOOKUP($C2169,Log!D:D,Log!B:B,,,-1)),"")</f>
        <v>45938</v>
      </c>
      <c r="O2169" s="35" t="str">
        <f>IFERROR(_xlfn.XLOOKUP($C2169,Log!D:D,Log!W:W,,,-1),"")</f>
        <v>PERDA / NÃO VENDA</v>
      </c>
      <c r="P2169" s="35" t="str">
        <f>IFERROR(_xlfn.XLOOKUP($C2169,Log!D:D,Log!Y:Y,,,-1),"")</f>
        <v>FECHOU</v>
      </c>
      <c r="Q2169" s="130"/>
      <c r="R2169" s="131" t="str">
        <f>IFERROR(IF(Tabela1[[#This Row],[Nome fantasia]]="","",_xlfn.XLOOKUP($C2169,Log!D:D,Log!X:X,,,-1)),"")</f>
        <v/>
      </c>
    </row>
    <row r="2170" spans="3:18" hidden="1" x14ac:dyDescent="0.2">
      <c r="C2170" s="30" t="s">
        <v>1275</v>
      </c>
      <c r="D2170" s="110" t="s">
        <v>1285</v>
      </c>
      <c r="E2170" s="33" t="s">
        <v>22</v>
      </c>
      <c r="F2170" s="38" t="s">
        <v>12</v>
      </c>
      <c r="G2170" s="38" t="s">
        <v>933</v>
      </c>
      <c r="H2170" s="31" t="s">
        <v>933</v>
      </c>
      <c r="I2170" s="32" t="s">
        <v>933</v>
      </c>
      <c r="J2170" s="32" t="s">
        <v>933</v>
      </c>
      <c r="K2170" s="45" t="s">
        <v>888</v>
      </c>
      <c r="L2170" s="129"/>
      <c r="M2170" s="33" t="str">
        <f t="shared" si="33"/>
        <v>Recompra</v>
      </c>
      <c r="N2170" s="34">
        <f>IFERROR(IF(Tabela1[[#This Row],[Nome fantasia]]="","",_xlfn.XLOOKUP($C2170,Log!D:D,Log!B:B,,,-1)),"")</f>
        <v>45938</v>
      </c>
      <c r="O2170" s="35" t="str">
        <f>IFERROR(_xlfn.XLOOKUP($C2170,Log!D:D,Log!W:W,,,-1),"")</f>
        <v>PERDA / NÃO VENDA</v>
      </c>
      <c r="P2170" s="35" t="str">
        <f>IFERROR(_xlfn.XLOOKUP($C2170,Log!D:D,Log!Y:Y,,,-1),"")</f>
        <v>FECHOU</v>
      </c>
      <c r="Q2170" s="130"/>
      <c r="R2170" s="131" t="str">
        <f>IFERROR(IF(Tabela1[[#This Row],[Nome fantasia]]="","",_xlfn.XLOOKUP($C2170,Log!D:D,Log!X:X,,,-1)),"")</f>
        <v/>
      </c>
    </row>
    <row r="2171" spans="3:18" hidden="1" x14ac:dyDescent="0.2">
      <c r="C2171" s="30" t="s">
        <v>1276</v>
      </c>
      <c r="D2171" s="110" t="s">
        <v>1286</v>
      </c>
      <c r="E2171" s="33" t="s">
        <v>22</v>
      </c>
      <c r="F2171" s="38" t="s">
        <v>12</v>
      </c>
      <c r="G2171" s="38" t="s">
        <v>933</v>
      </c>
      <c r="H2171" s="31" t="s">
        <v>933</v>
      </c>
      <c r="I2171" s="32" t="s">
        <v>933</v>
      </c>
      <c r="J2171" s="32" t="s">
        <v>933</v>
      </c>
      <c r="K2171" s="45" t="s">
        <v>888</v>
      </c>
      <c r="L2171" s="135"/>
      <c r="M2171" s="136" t="str">
        <f t="shared" si="33"/>
        <v>Recompra</v>
      </c>
      <c r="N2171" s="137">
        <f>IFERROR(IF(Tabela1[[#This Row],[Nome fantasia]]="","",_xlfn.XLOOKUP($C2171,Log!D:D,Log!B:B,,,-1)),"")</f>
        <v>45938</v>
      </c>
      <c r="O2171" s="138" t="str">
        <f>IFERROR(_xlfn.XLOOKUP($C2171,Log!D:D,Log!W:W,,,-1),"")</f>
        <v>PERDA / NÃO VENDA</v>
      </c>
      <c r="P2171" s="138" t="str">
        <f>IFERROR(_xlfn.XLOOKUP($C2171,Log!D:D,Log!Y:Y,,,-1),"")</f>
        <v>FECHOU</v>
      </c>
      <c r="Q2171" s="139"/>
      <c r="R2171" s="140" t="str">
        <f>IFERROR(IF(Tabela1[[#This Row],[Nome fantasia]]="","",_xlfn.XLOOKUP($C2171,Log!D:D,Log!X:X,,,-1)),"")</f>
        <v/>
      </c>
    </row>
    <row r="2172" spans="3:18" hidden="1" x14ac:dyDescent="0.2">
      <c r="C2172" s="30" t="s">
        <v>1127</v>
      </c>
      <c r="D2172" s="110" t="s">
        <v>1126</v>
      </c>
      <c r="E2172" s="33" t="s">
        <v>17</v>
      </c>
      <c r="F2172" s="38" t="s">
        <v>12</v>
      </c>
      <c r="G2172" s="38" t="s">
        <v>933</v>
      </c>
      <c r="H2172" s="31" t="s">
        <v>933</v>
      </c>
      <c r="I2172" s="32" t="s">
        <v>933</v>
      </c>
      <c r="J2172" s="32" t="s">
        <v>933</v>
      </c>
      <c r="K2172" s="45" t="s">
        <v>888</v>
      </c>
      <c r="L2172" s="135"/>
      <c r="M2172" s="136" t="str">
        <f t="shared" si="33"/>
        <v>Recompra</v>
      </c>
      <c r="N2172" s="137">
        <f>IFERROR(IF(Tabela1[[#This Row],[Nome fantasia]]="","",_xlfn.XLOOKUP($C2172,Log!D:D,Log!B:B,,,-1)),"")</f>
        <v>45939</v>
      </c>
      <c r="O2172" s="138" t="str">
        <f>IFERROR(_xlfn.XLOOKUP($C2172,Log!D:D,Log!W:W,,,-1),"")</f>
        <v>PERDA / NÃO VENDA</v>
      </c>
      <c r="P2172" s="138" t="str">
        <f>IFERROR(_xlfn.XLOOKUP($C2172,Log!D:D,Log!Y:Y,,,-1),"")</f>
        <v>NÃO TEM COMO PAGAR E NÃO APROVA BOLETO</v>
      </c>
      <c r="Q2172" s="139"/>
      <c r="R2172" s="140" t="str">
        <f>IFERROR(IF(Tabela1[[#This Row],[Nome fantasia]]="","",_xlfn.XLOOKUP($C2172,Log!D:D,Log!X:X,,,-1)),"")</f>
        <v/>
      </c>
    </row>
    <row r="2173" spans="3:18" hidden="1" x14ac:dyDescent="0.2">
      <c r="C2173" s="30" t="s">
        <v>1330</v>
      </c>
      <c r="D2173" s="110" t="s">
        <v>1329</v>
      </c>
      <c r="E2173" s="33" t="s">
        <v>17</v>
      </c>
      <c r="F2173" s="38" t="s">
        <v>12</v>
      </c>
      <c r="G2173" s="38" t="s">
        <v>933</v>
      </c>
      <c r="H2173" s="31" t="s">
        <v>933</v>
      </c>
      <c r="I2173" s="32" t="s">
        <v>933</v>
      </c>
      <c r="J2173" s="32" t="s">
        <v>933</v>
      </c>
      <c r="K2173" s="45" t="s">
        <v>888</v>
      </c>
      <c r="L2173" s="135"/>
      <c r="M2173" s="136" t="str">
        <f t="shared" si="33"/>
        <v>Recompra</v>
      </c>
      <c r="N2173" s="137">
        <f>IFERROR(IF(Tabela1[[#This Row],[Nome fantasia]]="","",_xlfn.XLOOKUP($C2173,Log!D:D,Log!B:B,,,-1)),"")</f>
        <v>45939</v>
      </c>
      <c r="O2173" s="138" t="str">
        <f>IFERROR(_xlfn.XLOOKUP($C2173,Log!D:D,Log!W:W,,,-1),"")</f>
        <v>PERDA / NÃO VENDA</v>
      </c>
      <c r="P2173" s="138" t="str">
        <f>IFERROR(_xlfn.XLOOKUP($C2173,Log!D:D,Log!Y:Y,,,-1),"")</f>
        <v>FALOU QUE NÃO TEM PRODUTOS QUE LHE INTERESSE</v>
      </c>
      <c r="Q2173" s="139"/>
      <c r="R2173" s="140" t="str">
        <f>IFERROR(IF(Tabela1[[#This Row],[Nome fantasia]]="","",_xlfn.XLOOKUP($C2173,Log!D:D,Log!X:X,,,-1)),"")</f>
        <v/>
      </c>
    </row>
    <row r="2174" spans="3:18" hidden="1" x14ac:dyDescent="0.2">
      <c r="C2174" s="30" t="s">
        <v>1127</v>
      </c>
      <c r="D2174" s="110" t="s">
        <v>1126</v>
      </c>
      <c r="E2174" s="33" t="s">
        <v>17</v>
      </c>
      <c r="F2174" s="38" t="s">
        <v>12</v>
      </c>
      <c r="G2174" s="38"/>
      <c r="H2174" s="31"/>
      <c r="I2174" s="32"/>
      <c r="J2174" s="32"/>
      <c r="K2174" s="45" t="s">
        <v>888</v>
      </c>
      <c r="L2174" s="135"/>
      <c r="M2174" s="136" t="str">
        <f t="shared" si="33"/>
        <v/>
      </c>
      <c r="N2174" s="137">
        <f>IFERROR(IF(Tabela1[[#This Row],[Nome fantasia]]="","",_xlfn.XLOOKUP($C2174,Log!D:D,Log!B:B,,,-1)),"")</f>
        <v>45939</v>
      </c>
      <c r="O2174" s="138" t="str">
        <f>IFERROR(_xlfn.XLOOKUP($C2174,Log!D:D,Log!W:W,,,-1),"")</f>
        <v>PERDA / NÃO VENDA</v>
      </c>
      <c r="P2174" s="138" t="str">
        <f>IFERROR(_xlfn.XLOOKUP($C2174,Log!D:D,Log!Y:Y,,,-1),"")</f>
        <v>NÃO TEM COMO PAGAR E NÃO APROVA BOLETO</v>
      </c>
      <c r="Q2174" s="139"/>
      <c r="R2174" s="140" t="str">
        <f>IFERROR(IF(Tabela1[[#This Row],[Nome fantasia]]="","",_xlfn.XLOOKUP($C2174,Log!D:D,Log!X:X,,,-1)),"")</f>
        <v/>
      </c>
    </row>
    <row r="2175" spans="3:18" x14ac:dyDescent="0.2">
      <c r="C2175" s="105"/>
      <c r="D2175" s="107"/>
      <c r="E2175" s="105"/>
      <c r="F2175" s="105"/>
      <c r="G2175" s="105"/>
      <c r="H2175" s="105"/>
      <c r="I2175" s="120"/>
      <c r="J2175" s="106"/>
      <c r="K2175" s="105"/>
    </row>
    <row r="2176" spans="3:18" x14ac:dyDescent="0.2">
      <c r="C2176" s="105"/>
      <c r="D2176" s="107"/>
      <c r="E2176" s="105"/>
      <c r="F2176" s="105"/>
      <c r="G2176" s="105"/>
      <c r="H2176" s="105"/>
      <c r="I2176" s="120"/>
      <c r="J2176" s="107"/>
      <c r="K2176" s="105"/>
    </row>
    <row r="2177" spans="3:11" x14ac:dyDescent="0.2">
      <c r="C2177" s="105"/>
      <c r="D2177" s="107"/>
      <c r="E2177" s="105"/>
      <c r="F2177" s="105"/>
      <c r="G2177" s="105"/>
      <c r="H2177" s="105"/>
      <c r="I2177" s="120"/>
      <c r="J2177" s="106"/>
      <c r="K2177" s="105"/>
    </row>
    <row r="2178" spans="3:11" x14ac:dyDescent="0.2">
      <c r="C2178" s="105"/>
      <c r="D2178" s="107"/>
      <c r="E2178" s="105"/>
      <c r="F2178" s="105"/>
      <c r="G2178" s="105"/>
      <c r="H2178" s="105"/>
      <c r="I2178" s="120"/>
      <c r="J2178" s="106"/>
      <c r="K2178" s="105"/>
    </row>
    <row r="2179" spans="3:11" x14ac:dyDescent="0.2">
      <c r="C2179" s="105"/>
      <c r="D2179" s="107"/>
      <c r="E2179" s="105"/>
      <c r="F2179" s="105"/>
      <c r="G2179" s="105"/>
      <c r="H2179" s="105"/>
      <c r="I2179" s="120"/>
      <c r="J2179" s="106"/>
      <c r="K2179" s="105"/>
    </row>
    <row r="2180" spans="3:11" x14ac:dyDescent="0.2">
      <c r="C2180" s="105"/>
      <c r="D2180" s="107"/>
      <c r="E2180" s="105"/>
      <c r="F2180" s="105"/>
      <c r="G2180" s="105"/>
      <c r="H2180" s="105"/>
      <c r="I2180" s="120"/>
      <c r="J2180" s="106"/>
      <c r="K2180" s="105"/>
    </row>
    <row r="2181" spans="3:11" x14ac:dyDescent="0.2">
      <c r="C2181" s="105"/>
      <c r="D2181" s="107"/>
      <c r="E2181" s="105"/>
      <c r="F2181" s="105"/>
      <c r="G2181" s="105"/>
      <c r="H2181" s="105"/>
      <c r="I2181" s="120"/>
      <c r="J2181" s="106"/>
      <c r="K2181" s="105"/>
    </row>
    <row r="2182" spans="3:11" x14ac:dyDescent="0.2">
      <c r="C2182" s="105"/>
      <c r="D2182" s="107"/>
      <c r="E2182" s="105"/>
      <c r="F2182" s="105"/>
      <c r="G2182" s="105"/>
      <c r="H2182" s="105"/>
      <c r="I2182" s="120"/>
      <c r="J2182" s="106"/>
      <c r="K2182" s="105"/>
    </row>
    <row r="2183" spans="3:11" x14ac:dyDescent="0.2">
      <c r="C2183" s="105"/>
      <c r="D2183" s="107"/>
      <c r="E2183" s="105"/>
      <c r="F2183" s="105"/>
      <c r="G2183" s="105"/>
      <c r="H2183" s="105"/>
      <c r="I2183" s="120"/>
      <c r="J2183" s="106"/>
      <c r="K2183" s="105"/>
    </row>
    <row r="2184" spans="3:11" x14ac:dyDescent="0.2">
      <c r="C2184" s="105"/>
      <c r="D2184" s="107"/>
      <c r="E2184" s="105"/>
      <c r="F2184" s="105"/>
      <c r="G2184" s="105"/>
      <c r="H2184" s="105"/>
      <c r="I2184" s="120"/>
      <c r="J2184" s="106"/>
      <c r="K2184" s="105"/>
    </row>
    <row r="2185" spans="3:11" x14ac:dyDescent="0.2">
      <c r="C2185" s="105"/>
      <c r="D2185" s="107"/>
      <c r="E2185" s="105"/>
      <c r="F2185" s="105"/>
      <c r="G2185" s="105"/>
      <c r="H2185" s="105"/>
      <c r="I2185" s="120"/>
      <c r="J2185" s="106"/>
      <c r="K2185" s="105"/>
    </row>
    <row r="2186" spans="3:11" x14ac:dyDescent="0.2">
      <c r="C2186" s="105"/>
      <c r="D2186" s="107"/>
      <c r="E2186" s="105"/>
      <c r="F2186" s="105"/>
      <c r="G2186" s="105"/>
      <c r="H2186" s="105"/>
      <c r="I2186" s="120"/>
      <c r="J2186" s="107"/>
      <c r="K2186" s="105"/>
    </row>
    <row r="2187" spans="3:11" x14ac:dyDescent="0.2">
      <c r="C2187" s="105"/>
      <c r="D2187" s="107"/>
      <c r="E2187" s="105"/>
      <c r="F2187" s="105"/>
      <c r="G2187" s="105"/>
      <c r="H2187" s="105"/>
      <c r="I2187" s="120"/>
      <c r="J2187" s="106"/>
      <c r="K2187" s="105"/>
    </row>
    <row r="2188" spans="3:11" x14ac:dyDescent="0.2">
      <c r="C2188" s="105"/>
      <c r="D2188" s="107"/>
      <c r="E2188" s="105"/>
      <c r="F2188" s="105"/>
      <c r="G2188" s="105"/>
      <c r="H2188" s="105"/>
      <c r="I2188" s="120"/>
      <c r="J2188" s="106"/>
      <c r="K2188" s="105"/>
    </row>
    <row r="2189" spans="3:11" x14ac:dyDescent="0.2">
      <c r="C2189" s="105"/>
      <c r="D2189" s="107"/>
      <c r="E2189" s="105"/>
      <c r="F2189" s="105"/>
      <c r="G2189" s="105"/>
      <c r="H2189" s="105"/>
      <c r="I2189" s="120"/>
      <c r="J2189" s="107"/>
      <c r="K2189" s="105"/>
    </row>
    <row r="2190" spans="3:11" x14ac:dyDescent="0.2">
      <c r="C2190" s="105"/>
      <c r="D2190" s="107"/>
      <c r="E2190" s="105"/>
      <c r="F2190" s="105"/>
      <c r="G2190" s="105"/>
      <c r="H2190" s="105"/>
      <c r="I2190" s="120"/>
      <c r="J2190" s="106"/>
      <c r="K2190" s="105"/>
    </row>
    <row r="2191" spans="3:11" x14ac:dyDescent="0.2">
      <c r="C2191" s="105"/>
      <c r="D2191" s="107"/>
      <c r="E2191" s="105"/>
      <c r="F2191" s="105"/>
      <c r="G2191" s="105"/>
      <c r="H2191" s="105"/>
      <c r="I2191" s="120"/>
      <c r="J2191" s="106"/>
      <c r="K2191" s="105"/>
    </row>
    <row r="2192" spans="3:11" x14ac:dyDescent="0.2">
      <c r="C2192" s="105"/>
      <c r="D2192" s="107"/>
      <c r="E2192" s="105"/>
      <c r="F2192" s="105"/>
      <c r="G2192" s="105"/>
      <c r="H2192" s="105"/>
      <c r="I2192" s="120"/>
      <c r="J2192" s="106"/>
      <c r="K2192" s="105"/>
    </row>
    <row r="2193" spans="3:11" x14ac:dyDescent="0.2">
      <c r="C2193" s="105"/>
      <c r="D2193" s="107"/>
      <c r="E2193" s="105"/>
      <c r="F2193" s="105"/>
      <c r="G2193" s="105"/>
      <c r="H2193" s="105"/>
      <c r="I2193" s="120"/>
      <c r="J2193" s="106"/>
      <c r="K2193" s="105"/>
    </row>
    <row r="2194" spans="3:11" x14ac:dyDescent="0.2">
      <c r="C2194" s="105"/>
      <c r="D2194" s="107"/>
      <c r="E2194" s="105"/>
      <c r="F2194" s="105"/>
      <c r="G2194" s="105"/>
      <c r="H2194" s="105"/>
      <c r="I2194" s="120"/>
      <c r="J2194" s="107"/>
      <c r="K2194" s="105"/>
    </row>
    <row r="2195" spans="3:11" x14ac:dyDescent="0.2">
      <c r="C2195" s="105"/>
      <c r="D2195" s="107"/>
      <c r="E2195" s="105"/>
      <c r="F2195" s="105"/>
      <c r="G2195" s="105"/>
      <c r="H2195" s="105"/>
      <c r="I2195" s="120"/>
      <c r="J2195" s="106"/>
      <c r="K2195" s="105"/>
    </row>
    <row r="2196" spans="3:11" x14ac:dyDescent="0.2">
      <c r="C2196" s="105"/>
      <c r="D2196" s="107"/>
      <c r="E2196" s="105"/>
      <c r="F2196" s="105"/>
      <c r="G2196" s="105"/>
      <c r="H2196" s="105"/>
      <c r="I2196" s="120"/>
      <c r="J2196" s="106"/>
      <c r="K2196" s="105"/>
    </row>
    <row r="2197" spans="3:11" x14ac:dyDescent="0.2">
      <c r="C2197" s="105"/>
      <c r="D2197" s="107"/>
      <c r="E2197" s="105"/>
      <c r="F2197" s="105"/>
      <c r="G2197" s="105"/>
      <c r="H2197" s="105"/>
      <c r="I2197" s="120"/>
      <c r="J2197" s="106"/>
      <c r="K2197" s="105"/>
    </row>
    <row r="2198" spans="3:11" x14ac:dyDescent="0.2">
      <c r="C2198" s="105"/>
      <c r="D2198" s="107"/>
      <c r="E2198" s="105"/>
      <c r="F2198" s="105"/>
      <c r="G2198" s="105"/>
      <c r="H2198" s="105"/>
      <c r="I2198" s="120"/>
      <c r="J2198" s="107"/>
      <c r="K2198" s="105"/>
    </row>
    <row r="2199" spans="3:11" x14ac:dyDescent="0.2">
      <c r="C2199" s="105"/>
      <c r="D2199" s="107"/>
      <c r="E2199" s="105"/>
      <c r="F2199" s="105"/>
      <c r="G2199" s="105"/>
      <c r="H2199" s="105"/>
      <c r="I2199" s="120"/>
      <c r="J2199" s="106"/>
      <c r="K2199" s="105"/>
    </row>
    <row r="2200" spans="3:11" x14ac:dyDescent="0.2">
      <c r="C2200" s="105"/>
      <c r="D2200" s="107"/>
      <c r="E2200" s="105"/>
      <c r="F2200" s="105"/>
      <c r="G2200" s="105"/>
      <c r="H2200" s="105"/>
      <c r="I2200" s="120"/>
      <c r="J2200" s="107"/>
      <c r="K2200" s="105"/>
    </row>
    <row r="2201" spans="3:11" x14ac:dyDescent="0.2">
      <c r="C2201" s="105"/>
      <c r="D2201" s="107"/>
      <c r="E2201" s="105"/>
      <c r="F2201" s="105"/>
      <c r="G2201" s="105"/>
      <c r="H2201" s="105"/>
      <c r="I2201" s="120"/>
      <c r="J2201" s="106"/>
      <c r="K2201" s="105"/>
    </row>
    <row r="2202" spans="3:11" x14ac:dyDescent="0.2">
      <c r="C2202" s="105"/>
      <c r="D2202" s="107"/>
      <c r="E2202" s="105"/>
      <c r="F2202" s="105"/>
      <c r="G2202" s="105"/>
      <c r="H2202" s="105"/>
      <c r="I2202" s="120"/>
      <c r="J2202" s="106"/>
      <c r="K2202" s="105"/>
    </row>
    <row r="2203" spans="3:11" x14ac:dyDescent="0.2">
      <c r="C2203" s="105"/>
      <c r="D2203" s="107"/>
      <c r="E2203" s="105"/>
      <c r="F2203" s="105"/>
      <c r="G2203" s="105"/>
      <c r="H2203" s="105"/>
      <c r="I2203" s="120"/>
      <c r="J2203" s="106"/>
      <c r="K2203" s="105"/>
    </row>
    <row r="2204" spans="3:11" x14ac:dyDescent="0.2">
      <c r="C2204" s="105"/>
      <c r="D2204" s="107"/>
      <c r="E2204" s="105"/>
      <c r="F2204" s="105"/>
      <c r="G2204" s="105"/>
      <c r="H2204" s="105"/>
      <c r="I2204" s="120"/>
      <c r="J2204" s="106"/>
      <c r="K2204" s="105"/>
    </row>
    <row r="2205" spans="3:11" x14ac:dyDescent="0.2">
      <c r="C2205" s="105"/>
      <c r="D2205" s="107"/>
      <c r="E2205" s="105"/>
      <c r="F2205" s="105"/>
      <c r="G2205" s="105"/>
      <c r="H2205" s="105"/>
      <c r="I2205" s="120"/>
      <c r="J2205" s="106"/>
      <c r="K2205" s="105"/>
    </row>
    <row r="2206" spans="3:11" x14ac:dyDescent="0.2">
      <c r="C2206" s="105"/>
      <c r="D2206" s="107"/>
      <c r="E2206" s="105"/>
      <c r="F2206" s="105"/>
      <c r="G2206" s="105"/>
      <c r="H2206" s="105"/>
      <c r="I2206" s="120"/>
      <c r="J2206" s="106"/>
      <c r="K2206" s="105"/>
    </row>
    <row r="2207" spans="3:11" x14ac:dyDescent="0.2">
      <c r="C2207" s="105"/>
      <c r="D2207" s="107"/>
      <c r="E2207" s="105"/>
      <c r="F2207" s="105"/>
      <c r="G2207" s="105"/>
      <c r="H2207" s="105"/>
      <c r="I2207" s="120"/>
      <c r="J2207" s="106"/>
      <c r="K2207" s="105"/>
    </row>
    <row r="2208" spans="3:11" x14ac:dyDescent="0.2">
      <c r="C2208" s="105"/>
      <c r="D2208" s="107"/>
      <c r="E2208" s="105"/>
      <c r="F2208" s="105"/>
      <c r="G2208" s="105"/>
      <c r="H2208" s="105"/>
      <c r="I2208" s="120"/>
      <c r="J2208" s="106"/>
      <c r="K2208" s="105"/>
    </row>
    <row r="2209" spans="3:11" x14ac:dyDescent="0.2">
      <c r="C2209" s="105"/>
      <c r="D2209" s="107"/>
      <c r="E2209" s="105"/>
      <c r="F2209" s="105"/>
      <c r="G2209" s="105"/>
      <c r="H2209" s="105"/>
      <c r="I2209" s="120"/>
      <c r="J2209" s="107"/>
      <c r="K2209" s="105"/>
    </row>
    <row r="2210" spans="3:11" x14ac:dyDescent="0.2">
      <c r="C2210" s="105"/>
      <c r="D2210" s="107"/>
      <c r="E2210" s="105"/>
      <c r="F2210" s="105"/>
      <c r="G2210" s="105"/>
      <c r="H2210" s="105"/>
      <c r="I2210" s="120"/>
      <c r="J2210" s="106"/>
      <c r="K2210" s="105"/>
    </row>
    <row r="2211" spans="3:11" x14ac:dyDescent="0.2">
      <c r="C2211" s="105"/>
      <c r="D2211" s="107"/>
      <c r="E2211" s="105"/>
      <c r="F2211" s="105"/>
      <c r="G2211" s="105"/>
      <c r="H2211" s="105"/>
      <c r="I2211" s="120"/>
      <c r="J2211" s="106"/>
      <c r="K2211" s="105"/>
    </row>
    <row r="2212" spans="3:11" x14ac:dyDescent="0.2">
      <c r="C2212" s="105"/>
      <c r="D2212" s="107"/>
      <c r="E2212" s="105"/>
      <c r="F2212" s="105"/>
      <c r="G2212" s="105"/>
      <c r="H2212" s="105"/>
      <c r="I2212" s="120"/>
      <c r="J2212" s="106"/>
      <c r="K2212" s="105"/>
    </row>
    <row r="2213" spans="3:11" x14ac:dyDescent="0.2">
      <c r="C2213" s="105"/>
      <c r="D2213" s="107"/>
      <c r="E2213" s="105"/>
      <c r="F2213" s="105"/>
      <c r="G2213" s="105"/>
      <c r="H2213" s="105"/>
      <c r="I2213" s="120"/>
      <c r="J2213" s="107"/>
      <c r="K2213" s="105"/>
    </row>
    <row r="2214" spans="3:11" x14ac:dyDescent="0.2">
      <c r="C2214" s="105"/>
      <c r="D2214" s="107"/>
      <c r="E2214" s="105"/>
      <c r="F2214" s="105"/>
      <c r="G2214" s="105"/>
      <c r="H2214" s="105"/>
      <c r="I2214" s="120"/>
      <c r="J2214" s="107"/>
      <c r="K2214" s="105"/>
    </row>
    <row r="2215" spans="3:11" x14ac:dyDescent="0.2">
      <c r="C2215" s="105"/>
      <c r="D2215" s="107"/>
      <c r="E2215" s="105"/>
      <c r="F2215" s="105"/>
      <c r="G2215" s="105"/>
      <c r="H2215" s="105"/>
      <c r="I2215" s="120"/>
      <c r="J2215" s="106"/>
      <c r="K2215" s="105"/>
    </row>
    <row r="2216" spans="3:11" x14ac:dyDescent="0.2">
      <c r="C2216" s="105"/>
      <c r="D2216" s="107"/>
      <c r="E2216" s="105"/>
      <c r="F2216" s="105"/>
      <c r="G2216" s="105"/>
      <c r="H2216" s="105"/>
      <c r="I2216" s="120"/>
      <c r="J2216" s="106"/>
      <c r="K2216" s="105"/>
    </row>
    <row r="2217" spans="3:11" x14ac:dyDescent="0.2">
      <c r="C2217" s="105"/>
      <c r="D2217" s="107"/>
      <c r="E2217" s="105"/>
      <c r="F2217" s="105"/>
      <c r="G2217" s="105"/>
      <c r="H2217" s="105"/>
      <c r="I2217" s="120"/>
      <c r="J2217" s="106"/>
      <c r="K2217" s="105"/>
    </row>
    <row r="2218" spans="3:11" x14ac:dyDescent="0.2">
      <c r="C2218" s="105"/>
      <c r="D2218" s="107"/>
      <c r="E2218" s="105"/>
      <c r="F2218" s="105"/>
      <c r="G2218" s="105"/>
      <c r="H2218" s="105"/>
      <c r="I2218" s="120"/>
      <c r="J2218" s="106"/>
      <c r="K2218" s="105"/>
    </row>
    <row r="2219" spans="3:11" x14ac:dyDescent="0.2">
      <c r="C2219" s="105"/>
      <c r="D2219" s="107"/>
      <c r="E2219" s="105"/>
      <c r="F2219" s="105"/>
      <c r="G2219" s="105"/>
      <c r="H2219" s="105"/>
      <c r="I2219" s="120"/>
      <c r="J2219" s="106"/>
      <c r="K2219" s="105"/>
    </row>
    <row r="2220" spans="3:11" x14ac:dyDescent="0.2">
      <c r="C2220" s="105"/>
      <c r="D2220" s="107"/>
      <c r="E2220" s="105"/>
      <c r="F2220" s="105"/>
      <c r="G2220" s="105"/>
      <c r="H2220" s="105"/>
      <c r="I2220" s="120"/>
      <c r="J2220" s="106"/>
      <c r="K2220" s="105"/>
    </row>
    <row r="2221" spans="3:11" x14ac:dyDescent="0.2">
      <c r="C2221" s="105"/>
      <c r="D2221" s="107"/>
      <c r="E2221" s="105"/>
      <c r="F2221" s="105"/>
      <c r="G2221" s="105"/>
      <c r="H2221" s="105"/>
      <c r="I2221" s="120"/>
      <c r="J2221" s="107"/>
      <c r="K2221" s="105"/>
    </row>
    <row r="2222" spans="3:11" x14ac:dyDescent="0.2">
      <c r="C2222" s="105"/>
      <c r="D2222" s="107"/>
      <c r="E2222" s="105"/>
      <c r="F2222" s="105"/>
      <c r="G2222" s="105"/>
      <c r="H2222" s="105"/>
      <c r="I2222" s="120"/>
      <c r="J2222" s="107"/>
      <c r="K2222" s="105"/>
    </row>
    <row r="2223" spans="3:11" x14ac:dyDescent="0.2">
      <c r="C2223" s="105"/>
      <c r="D2223" s="107"/>
      <c r="E2223" s="105"/>
      <c r="F2223" s="105"/>
      <c r="G2223" s="105"/>
      <c r="H2223" s="105"/>
      <c r="I2223" s="120"/>
      <c r="J2223" s="106"/>
      <c r="K2223" s="105"/>
    </row>
    <row r="2224" spans="3:11" x14ac:dyDescent="0.2">
      <c r="C2224" s="105"/>
      <c r="D2224" s="107"/>
      <c r="E2224" s="105"/>
      <c r="F2224" s="105"/>
      <c r="G2224" s="105"/>
      <c r="H2224" s="105"/>
      <c r="I2224" s="120"/>
      <c r="J2224" s="106"/>
      <c r="K2224" s="105"/>
    </row>
    <row r="2225" spans="3:11" x14ac:dyDescent="0.2">
      <c r="C2225" s="105"/>
      <c r="D2225" s="107"/>
      <c r="E2225" s="105"/>
      <c r="F2225" s="105"/>
      <c r="G2225" s="105"/>
      <c r="H2225" s="105"/>
      <c r="I2225" s="120"/>
      <c r="J2225" s="106"/>
      <c r="K2225" s="105"/>
    </row>
    <row r="2226" spans="3:11" x14ac:dyDescent="0.2">
      <c r="C2226" s="105"/>
      <c r="D2226" s="107"/>
      <c r="E2226" s="105"/>
      <c r="F2226" s="105"/>
      <c r="G2226" s="105"/>
      <c r="H2226" s="105"/>
      <c r="I2226" s="120"/>
      <c r="J2226" s="106"/>
      <c r="K2226" s="105"/>
    </row>
    <row r="2227" spans="3:11" x14ac:dyDescent="0.2">
      <c r="C2227" s="105"/>
      <c r="D2227" s="107"/>
      <c r="E2227" s="105"/>
      <c r="F2227" s="105"/>
      <c r="G2227" s="105"/>
      <c r="H2227" s="105"/>
      <c r="I2227" s="120"/>
      <c r="J2227" s="106"/>
      <c r="K2227" s="105"/>
    </row>
    <row r="2228" spans="3:11" x14ac:dyDescent="0.2">
      <c r="C2228" s="105"/>
      <c r="D2228" s="107"/>
      <c r="E2228" s="105"/>
      <c r="F2228" s="105"/>
      <c r="G2228" s="105"/>
      <c r="H2228" s="105"/>
      <c r="I2228" s="120"/>
      <c r="J2228" s="107"/>
      <c r="K2228" s="105"/>
    </row>
    <row r="2229" spans="3:11" x14ac:dyDescent="0.2">
      <c r="C2229" s="105"/>
      <c r="D2229" s="107"/>
      <c r="E2229" s="105"/>
      <c r="F2229" s="105"/>
      <c r="G2229" s="105"/>
      <c r="H2229" s="105"/>
      <c r="I2229" s="120"/>
      <c r="J2229" s="106"/>
      <c r="K2229" s="105"/>
    </row>
    <row r="2230" spans="3:11" x14ac:dyDescent="0.2">
      <c r="C2230" s="105"/>
      <c r="D2230" s="107"/>
      <c r="E2230" s="105"/>
      <c r="F2230" s="105"/>
      <c r="G2230" s="105"/>
      <c r="H2230" s="105"/>
      <c r="I2230" s="120"/>
      <c r="J2230" s="107"/>
      <c r="K2230" s="105"/>
    </row>
    <row r="2231" spans="3:11" x14ac:dyDescent="0.2">
      <c r="C2231" s="105"/>
      <c r="D2231" s="107"/>
      <c r="E2231" s="105"/>
      <c r="F2231" s="105"/>
      <c r="G2231" s="105"/>
      <c r="H2231" s="105"/>
      <c r="I2231" s="120"/>
      <c r="J2231" s="107"/>
      <c r="K2231" s="105"/>
    </row>
    <row r="2232" spans="3:11" x14ac:dyDescent="0.2">
      <c r="C2232" s="105"/>
      <c r="D2232" s="107"/>
      <c r="E2232" s="105"/>
      <c r="F2232" s="105"/>
      <c r="G2232" s="105"/>
      <c r="H2232" s="105"/>
      <c r="I2232" s="120"/>
      <c r="J2232" s="107"/>
      <c r="K2232" s="105"/>
    </row>
    <row r="2233" spans="3:11" x14ac:dyDescent="0.2">
      <c r="C2233" s="105"/>
      <c r="D2233" s="107"/>
      <c r="E2233" s="105"/>
      <c r="F2233" s="105"/>
      <c r="G2233" s="105"/>
      <c r="H2233" s="105"/>
      <c r="I2233" s="120"/>
      <c r="J2233" s="106"/>
      <c r="K2233" s="105"/>
    </row>
    <row r="2234" spans="3:11" x14ac:dyDescent="0.2">
      <c r="C2234" s="105"/>
      <c r="D2234" s="107"/>
      <c r="E2234" s="105"/>
      <c r="F2234" s="105"/>
      <c r="G2234" s="105"/>
      <c r="H2234" s="105"/>
      <c r="I2234" s="120"/>
      <c r="J2234" s="106"/>
      <c r="K2234" s="105"/>
    </row>
    <row r="2235" spans="3:11" x14ac:dyDescent="0.2">
      <c r="C2235" s="105"/>
      <c r="D2235" s="107"/>
      <c r="E2235" s="105"/>
      <c r="F2235" s="105"/>
      <c r="G2235" s="105"/>
      <c r="H2235" s="105"/>
      <c r="I2235" s="120"/>
      <c r="J2235" s="106"/>
      <c r="K2235" s="105"/>
    </row>
    <row r="2236" spans="3:11" x14ac:dyDescent="0.2">
      <c r="C2236" s="105"/>
      <c r="D2236" s="107"/>
      <c r="E2236" s="105"/>
      <c r="F2236" s="105"/>
      <c r="G2236" s="105"/>
      <c r="H2236" s="105"/>
      <c r="I2236" s="120"/>
      <c r="J2236" s="106"/>
      <c r="K2236" s="105"/>
    </row>
    <row r="2237" spans="3:11" x14ac:dyDescent="0.2">
      <c r="C2237" s="105"/>
      <c r="D2237" s="107"/>
      <c r="E2237" s="105"/>
      <c r="F2237" s="105"/>
      <c r="G2237" s="105"/>
      <c r="H2237" s="105"/>
      <c r="I2237" s="120"/>
      <c r="J2237" s="107"/>
      <c r="K2237" s="105"/>
    </row>
    <row r="2238" spans="3:11" x14ac:dyDescent="0.2">
      <c r="C2238" s="105"/>
      <c r="D2238" s="107"/>
      <c r="E2238" s="105"/>
      <c r="F2238" s="105"/>
      <c r="G2238" s="105"/>
      <c r="H2238" s="105"/>
      <c r="I2238" s="120"/>
      <c r="J2238" s="107"/>
      <c r="K2238" s="105"/>
    </row>
    <row r="2239" spans="3:11" x14ac:dyDescent="0.2">
      <c r="C2239" s="105"/>
      <c r="D2239" s="107"/>
      <c r="E2239" s="105"/>
      <c r="F2239" s="105"/>
      <c r="G2239" s="105"/>
      <c r="H2239" s="105"/>
      <c r="I2239" s="120"/>
      <c r="J2239" s="107"/>
      <c r="K2239" s="105"/>
    </row>
    <row r="2240" spans="3:11" x14ac:dyDescent="0.2">
      <c r="C2240" s="105"/>
      <c r="D2240" s="107"/>
      <c r="E2240" s="105"/>
      <c r="F2240" s="105"/>
      <c r="G2240" s="105"/>
      <c r="H2240" s="105"/>
      <c r="I2240" s="120"/>
      <c r="J2240" s="106"/>
      <c r="K2240" s="105"/>
    </row>
    <row r="2241" spans="3:11" x14ac:dyDescent="0.2">
      <c r="C2241" s="105"/>
      <c r="D2241" s="107"/>
      <c r="E2241" s="105"/>
      <c r="F2241" s="105"/>
      <c r="G2241" s="105"/>
      <c r="H2241" s="105"/>
      <c r="I2241" s="120"/>
      <c r="J2241" s="107"/>
      <c r="K2241" s="105"/>
    </row>
    <row r="2242" spans="3:11" x14ac:dyDescent="0.2">
      <c r="C2242" s="105"/>
      <c r="D2242" s="107"/>
      <c r="E2242" s="105"/>
      <c r="F2242" s="105"/>
      <c r="G2242" s="105"/>
      <c r="H2242" s="105"/>
      <c r="I2242" s="120"/>
      <c r="J2242" s="106"/>
      <c r="K2242" s="105"/>
    </row>
    <row r="2243" spans="3:11" x14ac:dyDescent="0.2">
      <c r="C2243" s="105"/>
      <c r="D2243" s="107"/>
      <c r="E2243" s="105"/>
      <c r="F2243" s="105"/>
      <c r="G2243" s="105"/>
      <c r="H2243" s="105"/>
      <c r="I2243" s="120"/>
      <c r="J2243" s="106"/>
      <c r="K2243" s="105"/>
    </row>
    <row r="2244" spans="3:11" x14ac:dyDescent="0.2">
      <c r="C2244" s="105"/>
      <c r="D2244" s="107"/>
      <c r="E2244" s="105"/>
      <c r="F2244" s="105"/>
      <c r="G2244" s="105"/>
      <c r="H2244" s="105"/>
      <c r="I2244" s="120"/>
      <c r="J2244" s="106"/>
      <c r="K2244" s="105"/>
    </row>
    <row r="2245" spans="3:11" x14ac:dyDescent="0.2">
      <c r="C2245" s="105"/>
      <c r="D2245" s="107"/>
      <c r="E2245" s="105"/>
      <c r="F2245" s="105"/>
      <c r="G2245" s="105"/>
      <c r="H2245" s="105"/>
      <c r="I2245" s="120"/>
      <c r="J2245" s="107"/>
      <c r="K2245" s="105"/>
    </row>
    <row r="2246" spans="3:11" x14ac:dyDescent="0.2">
      <c r="C2246" s="105"/>
      <c r="D2246" s="107"/>
      <c r="E2246" s="105"/>
      <c r="F2246" s="105"/>
      <c r="G2246" s="105"/>
      <c r="H2246" s="105"/>
      <c r="I2246" s="120"/>
      <c r="J2246" s="107"/>
      <c r="K2246" s="105"/>
    </row>
    <row r="2247" spans="3:11" x14ac:dyDescent="0.2">
      <c r="C2247" s="105"/>
      <c r="D2247" s="107"/>
      <c r="E2247" s="105"/>
      <c r="F2247" s="105"/>
      <c r="G2247" s="105"/>
      <c r="H2247" s="105"/>
      <c r="I2247" s="120"/>
      <c r="J2247" s="107"/>
      <c r="K2247" s="105"/>
    </row>
    <row r="2248" spans="3:11" x14ac:dyDescent="0.2">
      <c r="C2248" s="105"/>
      <c r="D2248" s="107"/>
      <c r="E2248" s="105"/>
      <c r="F2248" s="105"/>
      <c r="G2248" s="105"/>
      <c r="H2248" s="105"/>
      <c r="I2248" s="120"/>
      <c r="J2248" s="107"/>
      <c r="K2248" s="105"/>
    </row>
    <row r="2249" spans="3:11" x14ac:dyDescent="0.2">
      <c r="C2249" s="105"/>
      <c r="D2249" s="107"/>
      <c r="E2249" s="105"/>
      <c r="F2249" s="105"/>
      <c r="G2249" s="105"/>
      <c r="H2249" s="105"/>
      <c r="I2249" s="120"/>
      <c r="J2249" s="106"/>
      <c r="K2249" s="105"/>
    </row>
    <row r="2250" spans="3:11" x14ac:dyDescent="0.2">
      <c r="C2250" s="105"/>
      <c r="D2250" s="107"/>
      <c r="E2250" s="105"/>
      <c r="F2250" s="105"/>
      <c r="G2250" s="105"/>
      <c r="H2250" s="105"/>
      <c r="I2250" s="120"/>
      <c r="J2250" s="107"/>
      <c r="K2250" s="105"/>
    </row>
    <row r="2251" spans="3:11" x14ac:dyDescent="0.2">
      <c r="C2251" s="105"/>
      <c r="D2251" s="107"/>
      <c r="E2251" s="105"/>
      <c r="F2251" s="105"/>
      <c r="G2251" s="105"/>
      <c r="H2251" s="105"/>
      <c r="I2251" s="120"/>
      <c r="J2251" s="107"/>
      <c r="K2251" s="105"/>
    </row>
    <row r="2252" spans="3:11" x14ac:dyDescent="0.2">
      <c r="C2252" s="105"/>
      <c r="D2252" s="107"/>
      <c r="E2252" s="105"/>
      <c r="F2252" s="105"/>
      <c r="G2252" s="105"/>
      <c r="H2252" s="105"/>
      <c r="I2252" s="120"/>
      <c r="J2252" s="107"/>
      <c r="K2252" s="105"/>
    </row>
    <row r="2253" spans="3:11" x14ac:dyDescent="0.2">
      <c r="C2253" s="105"/>
      <c r="D2253" s="107"/>
      <c r="E2253" s="105"/>
      <c r="F2253" s="105"/>
      <c r="G2253" s="105"/>
      <c r="H2253" s="105"/>
      <c r="I2253" s="120"/>
      <c r="J2253" s="106"/>
      <c r="K2253" s="105"/>
    </row>
    <row r="2254" spans="3:11" x14ac:dyDescent="0.2">
      <c r="C2254" s="105"/>
      <c r="D2254" s="107"/>
      <c r="E2254" s="105"/>
      <c r="F2254" s="105"/>
      <c r="G2254" s="105"/>
      <c r="H2254" s="105"/>
      <c r="I2254" s="120"/>
      <c r="J2254" s="107"/>
      <c r="K2254" s="105"/>
    </row>
    <row r="2255" spans="3:11" x14ac:dyDescent="0.2">
      <c r="C2255" s="105"/>
      <c r="D2255" s="107"/>
      <c r="E2255" s="105"/>
      <c r="F2255" s="105"/>
      <c r="G2255" s="105"/>
      <c r="H2255" s="105"/>
      <c r="I2255" s="120"/>
      <c r="J2255" s="106"/>
      <c r="K2255" s="105"/>
    </row>
    <row r="2256" spans="3:11" x14ac:dyDescent="0.2">
      <c r="C2256" s="105"/>
      <c r="D2256" s="107"/>
      <c r="E2256" s="105"/>
      <c r="F2256" s="105"/>
      <c r="G2256" s="105"/>
      <c r="H2256" s="105"/>
      <c r="I2256" s="120"/>
      <c r="J2256" s="107"/>
      <c r="K2256" s="105"/>
    </row>
    <row r="2257" spans="3:11" x14ac:dyDescent="0.2">
      <c r="C2257" s="105"/>
      <c r="D2257" s="107"/>
      <c r="E2257" s="105"/>
      <c r="F2257" s="105"/>
      <c r="G2257" s="105"/>
      <c r="H2257" s="105"/>
      <c r="I2257" s="120"/>
      <c r="J2257" s="107"/>
      <c r="K2257" s="105"/>
    </row>
    <row r="2258" spans="3:11" x14ac:dyDescent="0.2">
      <c r="C2258" s="105"/>
      <c r="D2258" s="107"/>
      <c r="E2258" s="105"/>
      <c r="F2258" s="105"/>
      <c r="G2258" s="105"/>
      <c r="H2258" s="105"/>
      <c r="I2258" s="120"/>
      <c r="J2258" s="106"/>
      <c r="K2258" s="105"/>
    </row>
    <row r="2259" spans="3:11" x14ac:dyDescent="0.2">
      <c r="C2259" s="105"/>
      <c r="D2259" s="107"/>
      <c r="E2259" s="105"/>
      <c r="F2259" s="105"/>
      <c r="G2259" s="105"/>
      <c r="H2259" s="105"/>
      <c r="I2259" s="120"/>
      <c r="J2259" s="107"/>
      <c r="K2259" s="105"/>
    </row>
    <row r="2260" spans="3:11" x14ac:dyDescent="0.2">
      <c r="C2260" s="105"/>
      <c r="D2260" s="107"/>
      <c r="E2260" s="105"/>
      <c r="F2260" s="105"/>
      <c r="G2260" s="105"/>
      <c r="H2260" s="105"/>
      <c r="I2260" s="120"/>
      <c r="J2260" s="107"/>
      <c r="K2260" s="105"/>
    </row>
    <row r="2261" spans="3:11" x14ac:dyDescent="0.2">
      <c r="C2261" s="105"/>
      <c r="D2261" s="107"/>
      <c r="E2261" s="105"/>
      <c r="F2261" s="105"/>
      <c r="G2261" s="105"/>
      <c r="H2261" s="105"/>
      <c r="I2261" s="120"/>
      <c r="J2261" s="107"/>
      <c r="K2261" s="105"/>
    </row>
    <row r="2262" spans="3:11" x14ac:dyDescent="0.2">
      <c r="C2262" s="105"/>
      <c r="D2262" s="107"/>
      <c r="E2262" s="105"/>
      <c r="F2262" s="105"/>
      <c r="G2262" s="105"/>
      <c r="H2262" s="105"/>
      <c r="I2262" s="120"/>
      <c r="J2262" s="107"/>
      <c r="K2262" s="105"/>
    </row>
    <row r="2263" spans="3:11" x14ac:dyDescent="0.2">
      <c r="C2263" s="105"/>
      <c r="D2263" s="107"/>
      <c r="E2263" s="105"/>
      <c r="F2263" s="105"/>
      <c r="G2263" s="105"/>
      <c r="H2263" s="105"/>
      <c r="I2263" s="120"/>
      <c r="J2263" s="106"/>
      <c r="K2263" s="105"/>
    </row>
    <row r="2264" spans="3:11" x14ac:dyDescent="0.2">
      <c r="C2264" s="105"/>
      <c r="D2264" s="107"/>
      <c r="E2264" s="105"/>
      <c r="F2264" s="105"/>
      <c r="G2264" s="105"/>
      <c r="H2264" s="105"/>
      <c r="I2264" s="120"/>
      <c r="J2264" s="107"/>
      <c r="K2264" s="105"/>
    </row>
    <row r="2265" spans="3:11" x14ac:dyDescent="0.2">
      <c r="C2265" s="105"/>
      <c r="D2265" s="107"/>
      <c r="E2265" s="105"/>
      <c r="F2265" s="105"/>
      <c r="G2265" s="105"/>
      <c r="H2265" s="105"/>
      <c r="I2265" s="120"/>
      <c r="J2265" s="107"/>
      <c r="K2265" s="105"/>
    </row>
    <row r="2266" spans="3:11" x14ac:dyDescent="0.2">
      <c r="C2266" s="105"/>
      <c r="D2266" s="107"/>
      <c r="E2266" s="105"/>
      <c r="F2266" s="105"/>
      <c r="G2266" s="105"/>
      <c r="H2266" s="105"/>
      <c r="I2266" s="120"/>
      <c r="J2266" s="106"/>
      <c r="K2266" s="105"/>
    </row>
    <row r="2267" spans="3:11" x14ac:dyDescent="0.2">
      <c r="C2267" s="105"/>
      <c r="D2267" s="107"/>
      <c r="E2267" s="105"/>
      <c r="F2267" s="105"/>
      <c r="G2267" s="105"/>
      <c r="H2267" s="105"/>
      <c r="I2267" s="120"/>
      <c r="J2267" s="106"/>
      <c r="K2267" s="105"/>
    </row>
    <row r="2268" spans="3:11" x14ac:dyDescent="0.2">
      <c r="C2268" s="105"/>
      <c r="D2268" s="107"/>
      <c r="E2268" s="105"/>
      <c r="F2268" s="105"/>
      <c r="G2268" s="105"/>
      <c r="H2268" s="105"/>
      <c r="I2268" s="120"/>
      <c r="J2268" s="106"/>
      <c r="K2268" s="105"/>
    </row>
    <row r="2269" spans="3:11" x14ac:dyDescent="0.2">
      <c r="C2269" s="105"/>
      <c r="D2269" s="107"/>
      <c r="E2269" s="105"/>
      <c r="F2269" s="105"/>
      <c r="G2269" s="105"/>
      <c r="H2269" s="105"/>
      <c r="I2269" s="120"/>
      <c r="J2269" s="106"/>
      <c r="K2269" s="105"/>
    </row>
    <row r="2270" spans="3:11" x14ac:dyDescent="0.2">
      <c r="C2270" s="105"/>
      <c r="D2270" s="107"/>
      <c r="E2270" s="105"/>
      <c r="F2270" s="105"/>
      <c r="G2270" s="105"/>
      <c r="H2270" s="105"/>
      <c r="I2270" s="120"/>
      <c r="J2270" s="106"/>
      <c r="K2270" s="105"/>
    </row>
    <row r="2271" spans="3:11" x14ac:dyDescent="0.2">
      <c r="C2271" s="105"/>
      <c r="D2271" s="107"/>
      <c r="E2271" s="105"/>
      <c r="F2271" s="105"/>
      <c r="G2271" s="105"/>
      <c r="H2271" s="105"/>
      <c r="I2271" s="120"/>
      <c r="J2271" s="107"/>
      <c r="K2271" s="105"/>
    </row>
    <row r="2272" spans="3:11" x14ac:dyDescent="0.2">
      <c r="C2272" s="105"/>
      <c r="D2272" s="107"/>
      <c r="E2272" s="105"/>
      <c r="F2272" s="105"/>
      <c r="G2272" s="105"/>
      <c r="H2272" s="105"/>
      <c r="I2272" s="120"/>
      <c r="J2272" s="107"/>
      <c r="K2272" s="105"/>
    </row>
    <row r="2273" spans="3:11" x14ac:dyDescent="0.2">
      <c r="C2273" s="105"/>
      <c r="D2273" s="107"/>
      <c r="E2273" s="105"/>
      <c r="F2273" s="105"/>
      <c r="G2273" s="105"/>
      <c r="H2273" s="105"/>
      <c r="I2273" s="120"/>
      <c r="J2273" s="106"/>
      <c r="K2273" s="105"/>
    </row>
    <row r="2274" spans="3:11" x14ac:dyDescent="0.2">
      <c r="C2274" s="105"/>
      <c r="D2274" s="107"/>
      <c r="E2274" s="105"/>
      <c r="F2274" s="105"/>
      <c r="G2274" s="105"/>
      <c r="H2274" s="105"/>
      <c r="I2274" s="120"/>
      <c r="J2274" s="107"/>
      <c r="K2274" s="105"/>
    </row>
    <row r="2275" spans="3:11" x14ac:dyDescent="0.2">
      <c r="C2275" s="105"/>
      <c r="D2275" s="107"/>
      <c r="E2275" s="105"/>
      <c r="F2275" s="105"/>
      <c r="G2275" s="105"/>
      <c r="H2275" s="105"/>
      <c r="I2275" s="120"/>
      <c r="J2275" s="107"/>
      <c r="K2275" s="105"/>
    </row>
    <row r="2276" spans="3:11" x14ac:dyDescent="0.2">
      <c r="C2276" s="105"/>
      <c r="D2276" s="107"/>
      <c r="E2276" s="105"/>
      <c r="F2276" s="105"/>
      <c r="G2276" s="105"/>
      <c r="H2276" s="105"/>
      <c r="I2276" s="120"/>
      <c r="J2276" s="106"/>
      <c r="K2276" s="105"/>
    </row>
    <row r="2277" spans="3:11" x14ac:dyDescent="0.2">
      <c r="C2277" s="105"/>
      <c r="D2277" s="107"/>
      <c r="E2277" s="105"/>
      <c r="F2277" s="105"/>
      <c r="G2277" s="105"/>
      <c r="H2277" s="105"/>
      <c r="I2277" s="120"/>
      <c r="J2277" s="107"/>
      <c r="K2277" s="105"/>
    </row>
    <row r="2278" spans="3:11" x14ac:dyDescent="0.2">
      <c r="C2278" s="105"/>
      <c r="D2278" s="107"/>
      <c r="E2278" s="105"/>
      <c r="F2278" s="105"/>
      <c r="G2278" s="105"/>
      <c r="H2278" s="105"/>
      <c r="I2278" s="120"/>
      <c r="J2278" s="107"/>
      <c r="K2278" s="105"/>
    </row>
    <row r="2279" spans="3:11" x14ac:dyDescent="0.2">
      <c r="C2279" s="105"/>
      <c r="D2279" s="107"/>
      <c r="E2279" s="105"/>
      <c r="F2279" s="105"/>
      <c r="G2279" s="105"/>
      <c r="H2279" s="105"/>
      <c r="I2279" s="120"/>
      <c r="J2279" s="106"/>
      <c r="K2279" s="105"/>
    </row>
    <row r="2280" spans="3:11" x14ac:dyDescent="0.2">
      <c r="C2280" s="105"/>
      <c r="D2280" s="107"/>
      <c r="E2280" s="105"/>
      <c r="F2280" s="105"/>
      <c r="G2280" s="105"/>
      <c r="H2280" s="105"/>
      <c r="I2280" s="120"/>
      <c r="J2280" s="106"/>
      <c r="K2280" s="105"/>
    </row>
    <row r="2281" spans="3:11" x14ac:dyDescent="0.2">
      <c r="C2281" s="105"/>
      <c r="D2281" s="107"/>
      <c r="E2281" s="105"/>
      <c r="F2281" s="105"/>
      <c r="G2281" s="105"/>
      <c r="H2281" s="105"/>
      <c r="I2281" s="120"/>
      <c r="J2281" s="106"/>
      <c r="K2281" s="105"/>
    </row>
    <row r="2282" spans="3:11" x14ac:dyDescent="0.2">
      <c r="C2282" s="105"/>
      <c r="D2282" s="107"/>
      <c r="E2282" s="105"/>
      <c r="F2282" s="105"/>
      <c r="G2282" s="105"/>
      <c r="H2282" s="105"/>
      <c r="I2282" s="120"/>
      <c r="J2282" s="106"/>
      <c r="K2282" s="105"/>
    </row>
    <row r="2283" spans="3:11" x14ac:dyDescent="0.2">
      <c r="C2283" s="105"/>
      <c r="D2283" s="107"/>
      <c r="E2283" s="105"/>
      <c r="F2283" s="105"/>
      <c r="G2283" s="105"/>
      <c r="H2283" s="105"/>
      <c r="I2283" s="120"/>
      <c r="J2283" s="107"/>
      <c r="K2283" s="105"/>
    </row>
    <row r="2284" spans="3:11" x14ac:dyDescent="0.2">
      <c r="C2284" s="105"/>
      <c r="D2284" s="107"/>
      <c r="E2284" s="105"/>
      <c r="F2284" s="105"/>
      <c r="G2284" s="105"/>
      <c r="H2284" s="105"/>
      <c r="I2284" s="120"/>
      <c r="J2284" s="107"/>
      <c r="K2284" s="105"/>
    </row>
    <row r="2285" spans="3:11" x14ac:dyDescent="0.2">
      <c r="C2285" s="105"/>
      <c r="D2285" s="107"/>
      <c r="E2285" s="105"/>
      <c r="F2285" s="105"/>
      <c r="G2285" s="105"/>
      <c r="H2285" s="105"/>
      <c r="I2285" s="120"/>
      <c r="J2285" s="106"/>
      <c r="K2285" s="105"/>
    </row>
    <row r="2286" spans="3:11" x14ac:dyDescent="0.2">
      <c r="C2286" s="105"/>
      <c r="D2286" s="107"/>
      <c r="E2286" s="105"/>
      <c r="F2286" s="105"/>
      <c r="G2286" s="105"/>
      <c r="H2286" s="105"/>
      <c r="I2286" s="120"/>
      <c r="J2286" s="106"/>
      <c r="K2286" s="105"/>
    </row>
    <row r="2287" spans="3:11" x14ac:dyDescent="0.2">
      <c r="C2287" s="105"/>
      <c r="D2287" s="107"/>
      <c r="E2287" s="105"/>
      <c r="F2287" s="105"/>
      <c r="G2287" s="105"/>
      <c r="H2287" s="105"/>
      <c r="I2287" s="120"/>
      <c r="J2287" s="107"/>
      <c r="K2287" s="105"/>
    </row>
    <row r="2288" spans="3:11" x14ac:dyDescent="0.2">
      <c r="C2288" s="105"/>
      <c r="D2288" s="107"/>
      <c r="E2288" s="105"/>
      <c r="F2288" s="105"/>
      <c r="G2288" s="105"/>
      <c r="H2288" s="105"/>
      <c r="I2288" s="120"/>
      <c r="J2288" s="107"/>
      <c r="K2288" s="105"/>
    </row>
    <row r="2289" spans="3:11" x14ac:dyDescent="0.2">
      <c r="C2289" s="105"/>
      <c r="D2289" s="107"/>
      <c r="E2289" s="105"/>
      <c r="F2289" s="105"/>
      <c r="G2289" s="105"/>
      <c r="H2289" s="105"/>
      <c r="I2289" s="120"/>
      <c r="J2289" s="107"/>
      <c r="K2289" s="105"/>
    </row>
    <row r="2290" spans="3:11" x14ac:dyDescent="0.2">
      <c r="C2290" s="105"/>
      <c r="D2290" s="107"/>
      <c r="E2290" s="105"/>
      <c r="F2290" s="105"/>
      <c r="G2290" s="105"/>
      <c r="H2290" s="105"/>
      <c r="I2290" s="120"/>
      <c r="J2290" s="106"/>
      <c r="K2290" s="105"/>
    </row>
    <row r="2291" spans="3:11" x14ac:dyDescent="0.2">
      <c r="C2291" s="105"/>
      <c r="D2291" s="107"/>
      <c r="E2291" s="105"/>
      <c r="F2291" s="105"/>
      <c r="G2291" s="105"/>
      <c r="H2291" s="105"/>
      <c r="I2291" s="120"/>
      <c r="J2291" s="106"/>
      <c r="K2291" s="105"/>
    </row>
    <row r="2292" spans="3:11" x14ac:dyDescent="0.2">
      <c r="C2292" s="105"/>
      <c r="D2292" s="107"/>
      <c r="E2292" s="105"/>
      <c r="F2292" s="105"/>
      <c r="G2292" s="105"/>
      <c r="H2292" s="105"/>
      <c r="I2292" s="120"/>
      <c r="J2292" s="107"/>
      <c r="K2292" s="105"/>
    </row>
    <row r="2293" spans="3:11" x14ac:dyDescent="0.2">
      <c r="C2293" s="105"/>
      <c r="D2293" s="107"/>
      <c r="E2293" s="105"/>
      <c r="F2293" s="105"/>
      <c r="G2293" s="105"/>
      <c r="H2293" s="105"/>
      <c r="I2293" s="120"/>
      <c r="J2293" s="106"/>
      <c r="K2293" s="105"/>
    </row>
    <row r="2294" spans="3:11" x14ac:dyDescent="0.2">
      <c r="C2294" s="105"/>
      <c r="D2294" s="107"/>
      <c r="E2294" s="105"/>
      <c r="F2294" s="105"/>
      <c r="G2294" s="105"/>
      <c r="H2294" s="105"/>
      <c r="I2294" s="120"/>
      <c r="J2294" s="107"/>
      <c r="K2294" s="105"/>
    </row>
    <row r="2295" spans="3:11" x14ac:dyDescent="0.2">
      <c r="C2295" s="105"/>
      <c r="D2295" s="107"/>
      <c r="E2295" s="105"/>
      <c r="F2295" s="105"/>
      <c r="G2295" s="105"/>
      <c r="H2295" s="105"/>
      <c r="I2295" s="120"/>
      <c r="J2295" s="107"/>
      <c r="K2295" s="105"/>
    </row>
    <row r="2296" spans="3:11" x14ac:dyDescent="0.2">
      <c r="C2296" s="105"/>
      <c r="D2296" s="107"/>
      <c r="E2296" s="105"/>
      <c r="F2296" s="105"/>
      <c r="G2296" s="105"/>
      <c r="H2296" s="105"/>
      <c r="I2296" s="120"/>
      <c r="J2296" s="106"/>
      <c r="K2296" s="105"/>
    </row>
    <row r="2297" spans="3:11" x14ac:dyDescent="0.2">
      <c r="C2297" s="105"/>
      <c r="D2297" s="107"/>
      <c r="E2297" s="105"/>
      <c r="F2297" s="105"/>
      <c r="G2297" s="105"/>
      <c r="H2297" s="105"/>
      <c r="I2297" s="120"/>
      <c r="J2297" s="107"/>
      <c r="K2297" s="105"/>
    </row>
    <row r="2298" spans="3:11" x14ac:dyDescent="0.2">
      <c r="C2298" s="105"/>
      <c r="D2298" s="107"/>
      <c r="E2298" s="105"/>
      <c r="F2298" s="105"/>
      <c r="G2298" s="105"/>
      <c r="H2298" s="105"/>
      <c r="I2298" s="120"/>
      <c r="J2298" s="107"/>
      <c r="K2298" s="105"/>
    </row>
    <row r="2299" spans="3:11" x14ac:dyDescent="0.2">
      <c r="C2299" s="105"/>
      <c r="D2299" s="107"/>
      <c r="E2299" s="105"/>
      <c r="F2299" s="105"/>
      <c r="G2299" s="105"/>
      <c r="H2299" s="105"/>
      <c r="I2299" s="120"/>
      <c r="J2299" s="107"/>
      <c r="K2299" s="105"/>
    </row>
    <row r="2300" spans="3:11" x14ac:dyDescent="0.2">
      <c r="C2300" s="105"/>
      <c r="D2300" s="107"/>
      <c r="E2300" s="105"/>
      <c r="F2300" s="105"/>
      <c r="G2300" s="105"/>
      <c r="H2300" s="105"/>
      <c r="I2300" s="120"/>
      <c r="J2300" s="107"/>
      <c r="K2300" s="105"/>
    </row>
    <row r="2301" spans="3:11" x14ac:dyDescent="0.2">
      <c r="C2301" s="105"/>
      <c r="D2301" s="107"/>
      <c r="E2301" s="105"/>
      <c r="F2301" s="105"/>
      <c r="G2301" s="105"/>
      <c r="H2301" s="105"/>
      <c r="I2301" s="120"/>
      <c r="J2301" s="107"/>
      <c r="K2301" s="105"/>
    </row>
    <row r="2302" spans="3:11" x14ac:dyDescent="0.2">
      <c r="C2302" s="105"/>
      <c r="D2302" s="107"/>
      <c r="E2302" s="105"/>
      <c r="F2302" s="105"/>
      <c r="G2302" s="105"/>
      <c r="H2302" s="105"/>
      <c r="I2302" s="120"/>
      <c r="J2302" s="107"/>
      <c r="K2302" s="105"/>
    </row>
    <row r="2303" spans="3:11" x14ac:dyDescent="0.2">
      <c r="C2303" s="105"/>
      <c r="D2303" s="107"/>
      <c r="E2303" s="105"/>
      <c r="F2303" s="105"/>
      <c r="G2303" s="105"/>
      <c r="H2303" s="105"/>
      <c r="I2303" s="120"/>
      <c r="J2303" s="106"/>
      <c r="K2303" s="105"/>
    </row>
    <row r="2304" spans="3:11" x14ac:dyDescent="0.2">
      <c r="C2304" s="105"/>
      <c r="D2304" s="107"/>
      <c r="E2304" s="105"/>
      <c r="F2304" s="105"/>
      <c r="G2304" s="105"/>
      <c r="H2304" s="105"/>
      <c r="I2304" s="120"/>
      <c r="J2304" s="107"/>
      <c r="K2304" s="105"/>
    </row>
    <row r="2305" spans="3:11" x14ac:dyDescent="0.2">
      <c r="C2305" s="105"/>
      <c r="D2305" s="107"/>
      <c r="E2305" s="105"/>
      <c r="F2305" s="105"/>
      <c r="G2305" s="105"/>
      <c r="H2305" s="105"/>
      <c r="I2305" s="120"/>
      <c r="J2305" s="107"/>
      <c r="K2305" s="105"/>
    </row>
    <row r="2306" spans="3:11" x14ac:dyDescent="0.2">
      <c r="C2306" s="105"/>
      <c r="D2306" s="107"/>
      <c r="E2306" s="105"/>
      <c r="F2306" s="105"/>
      <c r="G2306" s="105"/>
      <c r="H2306" s="105"/>
      <c r="I2306" s="120"/>
      <c r="J2306" s="107"/>
      <c r="K2306" s="105"/>
    </row>
    <row r="2307" spans="3:11" x14ac:dyDescent="0.2">
      <c r="C2307" s="105"/>
      <c r="D2307" s="107"/>
      <c r="E2307" s="105"/>
      <c r="F2307" s="105"/>
      <c r="G2307" s="105"/>
      <c r="H2307" s="105"/>
      <c r="I2307" s="120"/>
      <c r="J2307" s="107"/>
      <c r="K2307" s="105"/>
    </row>
    <row r="2308" spans="3:11" x14ac:dyDescent="0.2">
      <c r="C2308" s="105"/>
      <c r="D2308" s="107"/>
      <c r="E2308" s="105"/>
      <c r="F2308" s="105"/>
      <c r="G2308" s="105"/>
      <c r="H2308" s="105"/>
      <c r="I2308" s="120"/>
      <c r="J2308" s="107"/>
      <c r="K2308" s="105"/>
    </row>
    <row r="2309" spans="3:11" x14ac:dyDescent="0.2">
      <c r="C2309" s="105"/>
      <c r="D2309" s="107"/>
      <c r="E2309" s="105"/>
      <c r="F2309" s="105"/>
      <c r="G2309" s="105"/>
      <c r="H2309" s="105"/>
      <c r="I2309" s="120"/>
      <c r="J2309" s="107"/>
      <c r="K2309" s="105"/>
    </row>
    <row r="2310" spans="3:11" x14ac:dyDescent="0.2">
      <c r="C2310" s="105"/>
      <c r="D2310" s="107"/>
      <c r="E2310" s="105"/>
      <c r="F2310" s="105"/>
      <c r="G2310" s="105"/>
      <c r="H2310" s="105"/>
      <c r="I2310" s="120"/>
      <c r="J2310" s="107"/>
      <c r="K2310" s="105"/>
    </row>
    <row r="2311" spans="3:11" x14ac:dyDescent="0.2">
      <c r="C2311" s="105"/>
      <c r="D2311" s="107"/>
      <c r="E2311" s="105"/>
      <c r="F2311" s="105"/>
      <c r="G2311" s="105"/>
      <c r="H2311" s="105"/>
      <c r="I2311" s="120"/>
      <c r="J2311" s="107"/>
      <c r="K2311" s="105"/>
    </row>
    <row r="2312" spans="3:11" x14ac:dyDescent="0.2">
      <c r="C2312" s="105"/>
      <c r="D2312" s="107"/>
      <c r="E2312" s="105"/>
      <c r="F2312" s="105"/>
      <c r="G2312" s="105"/>
      <c r="H2312" s="105"/>
      <c r="I2312" s="120"/>
      <c r="J2312" s="107"/>
      <c r="K2312" s="105"/>
    </row>
    <row r="2313" spans="3:11" x14ac:dyDescent="0.2">
      <c r="C2313" s="105"/>
      <c r="D2313" s="107"/>
      <c r="E2313" s="105"/>
      <c r="F2313" s="105"/>
      <c r="G2313" s="105"/>
      <c r="H2313" s="105"/>
      <c r="I2313" s="120"/>
      <c r="J2313" s="106"/>
      <c r="K2313" s="105"/>
    </row>
    <row r="2314" spans="3:11" x14ac:dyDescent="0.2">
      <c r="C2314" s="105"/>
      <c r="D2314" s="107"/>
      <c r="E2314" s="105"/>
      <c r="F2314" s="105"/>
      <c r="G2314" s="105"/>
      <c r="H2314" s="105"/>
      <c r="I2314" s="120"/>
      <c r="J2314" s="107"/>
      <c r="K2314" s="105"/>
    </row>
    <row r="2315" spans="3:11" x14ac:dyDescent="0.2">
      <c r="C2315" s="105"/>
      <c r="D2315" s="107"/>
      <c r="E2315" s="105"/>
      <c r="F2315" s="105"/>
      <c r="G2315" s="105"/>
      <c r="H2315" s="105"/>
      <c r="I2315" s="120"/>
      <c r="J2315" s="107"/>
      <c r="K2315" s="105"/>
    </row>
    <row r="2316" spans="3:11" x14ac:dyDescent="0.2">
      <c r="C2316" s="105"/>
      <c r="D2316" s="107"/>
      <c r="E2316" s="105"/>
      <c r="F2316" s="105"/>
      <c r="G2316" s="105"/>
      <c r="H2316" s="105"/>
      <c r="I2316" s="120"/>
      <c r="J2316" s="106"/>
      <c r="K2316" s="105"/>
    </row>
    <row r="2317" spans="3:11" x14ac:dyDescent="0.2">
      <c r="C2317" s="105"/>
      <c r="D2317" s="107"/>
      <c r="E2317" s="105"/>
      <c r="F2317" s="105"/>
      <c r="G2317" s="105"/>
      <c r="H2317" s="105"/>
      <c r="I2317" s="120"/>
      <c r="J2317" s="107"/>
      <c r="K2317" s="105"/>
    </row>
    <row r="2318" spans="3:11" x14ac:dyDescent="0.2">
      <c r="C2318" s="105"/>
      <c r="D2318" s="107"/>
      <c r="E2318" s="105"/>
      <c r="F2318" s="105"/>
      <c r="G2318" s="105"/>
      <c r="H2318" s="105"/>
      <c r="I2318" s="120"/>
      <c r="J2318" s="106"/>
      <c r="K2318" s="105"/>
    </row>
    <row r="2319" spans="3:11" x14ac:dyDescent="0.2">
      <c r="C2319" s="105"/>
      <c r="D2319" s="107"/>
      <c r="E2319" s="105"/>
      <c r="F2319" s="105"/>
      <c r="G2319" s="105"/>
      <c r="H2319" s="105"/>
      <c r="I2319" s="120"/>
      <c r="J2319" s="107"/>
      <c r="K2319" s="105"/>
    </row>
    <row r="2320" spans="3:11" x14ac:dyDescent="0.2">
      <c r="C2320" s="105"/>
      <c r="D2320" s="107"/>
      <c r="E2320" s="105"/>
      <c r="F2320" s="105"/>
      <c r="G2320" s="105"/>
      <c r="H2320" s="105"/>
      <c r="I2320" s="120"/>
      <c r="J2320" s="107"/>
      <c r="K2320" s="105"/>
    </row>
    <row r="2321" spans="3:11" x14ac:dyDescent="0.2">
      <c r="C2321" s="105"/>
      <c r="D2321" s="107"/>
      <c r="E2321" s="105"/>
      <c r="F2321" s="105"/>
      <c r="G2321" s="105"/>
      <c r="H2321" s="105"/>
      <c r="I2321" s="120"/>
      <c r="J2321" s="106"/>
      <c r="K2321" s="105"/>
    </row>
    <row r="2322" spans="3:11" x14ac:dyDescent="0.2">
      <c r="C2322" s="105"/>
      <c r="D2322" s="107"/>
      <c r="E2322" s="105"/>
      <c r="F2322" s="105"/>
      <c r="G2322" s="105"/>
      <c r="H2322" s="105"/>
      <c r="I2322" s="120"/>
      <c r="J2322" s="106"/>
      <c r="K2322" s="105"/>
    </row>
    <row r="2323" spans="3:11" x14ac:dyDescent="0.2">
      <c r="C2323" s="105"/>
      <c r="D2323" s="107"/>
      <c r="E2323" s="105"/>
      <c r="F2323" s="105"/>
      <c r="G2323" s="105"/>
      <c r="H2323" s="105"/>
      <c r="I2323" s="120"/>
      <c r="J2323" s="106"/>
      <c r="K2323" s="105"/>
    </row>
    <row r="2324" spans="3:11" x14ac:dyDescent="0.2">
      <c r="C2324" s="105"/>
      <c r="D2324" s="107"/>
      <c r="E2324" s="105"/>
      <c r="F2324" s="105"/>
      <c r="G2324" s="105"/>
      <c r="H2324" s="105"/>
      <c r="I2324" s="120"/>
      <c r="J2324" s="107"/>
      <c r="K2324" s="105"/>
    </row>
    <row r="2325" spans="3:11" x14ac:dyDescent="0.2">
      <c r="C2325" s="105"/>
      <c r="D2325" s="107"/>
      <c r="E2325" s="105"/>
      <c r="F2325" s="105"/>
      <c r="G2325" s="105"/>
      <c r="H2325" s="105"/>
      <c r="I2325" s="120"/>
      <c r="J2325" s="107"/>
      <c r="K2325" s="105"/>
    </row>
    <row r="2326" spans="3:11" x14ac:dyDescent="0.2">
      <c r="C2326" s="105"/>
      <c r="D2326" s="107"/>
      <c r="E2326" s="105"/>
      <c r="F2326" s="105"/>
      <c r="G2326" s="105"/>
      <c r="H2326" s="105"/>
      <c r="I2326" s="120"/>
      <c r="J2326" s="107"/>
      <c r="K2326" s="105"/>
    </row>
    <row r="2327" spans="3:11" x14ac:dyDescent="0.2">
      <c r="C2327" s="105"/>
      <c r="D2327" s="107"/>
      <c r="E2327" s="105"/>
      <c r="F2327" s="105"/>
      <c r="G2327" s="105"/>
      <c r="H2327" s="105"/>
      <c r="I2327" s="120"/>
      <c r="J2327" s="107"/>
      <c r="K2327" s="105"/>
    </row>
    <row r="2328" spans="3:11" x14ac:dyDescent="0.2">
      <c r="C2328" s="105"/>
      <c r="D2328" s="107"/>
      <c r="E2328" s="105"/>
      <c r="F2328" s="105"/>
      <c r="G2328" s="105"/>
      <c r="H2328" s="105"/>
      <c r="I2328" s="120"/>
      <c r="J2328" s="107"/>
      <c r="K2328" s="105"/>
    </row>
    <row r="2329" spans="3:11" x14ac:dyDescent="0.2">
      <c r="C2329" s="105"/>
      <c r="D2329" s="107"/>
      <c r="E2329" s="105"/>
      <c r="F2329" s="105"/>
      <c r="G2329" s="105"/>
      <c r="H2329" s="105"/>
      <c r="I2329" s="120"/>
      <c r="J2329" s="106"/>
      <c r="K2329" s="105"/>
    </row>
    <row r="2330" spans="3:11" x14ac:dyDescent="0.2">
      <c r="C2330" s="105"/>
      <c r="D2330" s="107"/>
      <c r="E2330" s="105"/>
      <c r="F2330" s="105"/>
      <c r="G2330" s="105"/>
      <c r="H2330" s="105"/>
      <c r="I2330" s="120"/>
      <c r="J2330" s="107"/>
      <c r="K2330" s="105"/>
    </row>
    <row r="2331" spans="3:11" x14ac:dyDescent="0.2">
      <c r="C2331" s="105"/>
      <c r="D2331" s="107"/>
      <c r="E2331" s="105"/>
      <c r="F2331" s="105"/>
      <c r="G2331" s="105"/>
      <c r="H2331" s="105"/>
      <c r="I2331" s="120"/>
      <c r="J2331" s="107"/>
      <c r="K2331" s="105"/>
    </row>
    <row r="2332" spans="3:11" x14ac:dyDescent="0.2">
      <c r="C2332" s="105"/>
      <c r="D2332" s="107"/>
      <c r="E2332" s="105"/>
      <c r="F2332" s="105"/>
      <c r="G2332" s="105"/>
      <c r="H2332" s="105"/>
      <c r="I2332" s="120"/>
      <c r="J2332" s="107"/>
      <c r="K2332" s="105"/>
    </row>
    <row r="2333" spans="3:11" x14ac:dyDescent="0.2">
      <c r="C2333" s="105"/>
      <c r="D2333" s="107"/>
      <c r="E2333" s="105"/>
      <c r="F2333" s="105"/>
      <c r="G2333" s="105"/>
      <c r="H2333" s="105"/>
      <c r="I2333" s="120"/>
      <c r="J2333" s="107"/>
      <c r="K2333" s="105"/>
    </row>
    <row r="2334" spans="3:11" x14ac:dyDescent="0.2">
      <c r="C2334" s="105"/>
      <c r="D2334" s="107"/>
      <c r="E2334" s="105"/>
      <c r="F2334" s="105"/>
      <c r="G2334" s="105"/>
      <c r="H2334" s="105"/>
      <c r="I2334" s="120"/>
      <c r="J2334" s="107"/>
      <c r="K2334" s="105"/>
    </row>
    <row r="2335" spans="3:11" x14ac:dyDescent="0.2">
      <c r="C2335" s="105"/>
      <c r="D2335" s="107"/>
      <c r="E2335" s="105"/>
      <c r="F2335" s="105"/>
      <c r="G2335" s="105"/>
      <c r="H2335" s="105"/>
      <c r="I2335" s="120"/>
      <c r="J2335" s="107"/>
      <c r="K2335" s="105"/>
    </row>
    <row r="2336" spans="3:11" x14ac:dyDescent="0.2">
      <c r="C2336" s="105"/>
      <c r="D2336" s="107"/>
      <c r="E2336" s="105"/>
      <c r="F2336" s="105"/>
      <c r="G2336" s="105"/>
      <c r="H2336" s="105"/>
      <c r="I2336" s="120"/>
      <c r="J2336" s="106"/>
      <c r="K2336" s="105"/>
    </row>
    <row r="2337" spans="3:11" x14ac:dyDescent="0.2">
      <c r="C2337" s="105"/>
      <c r="D2337" s="107"/>
      <c r="E2337" s="105"/>
      <c r="F2337" s="105"/>
      <c r="G2337" s="105"/>
      <c r="H2337" s="105"/>
      <c r="I2337" s="120"/>
      <c r="J2337" s="107"/>
      <c r="K2337" s="105"/>
    </row>
    <row r="2338" spans="3:11" x14ac:dyDescent="0.2">
      <c r="C2338" s="105"/>
      <c r="D2338" s="107"/>
      <c r="E2338" s="105"/>
      <c r="F2338" s="105"/>
      <c r="G2338" s="105"/>
      <c r="H2338" s="105"/>
      <c r="I2338" s="120"/>
      <c r="J2338" s="107"/>
      <c r="K2338" s="105"/>
    </row>
    <row r="2339" spans="3:11" x14ac:dyDescent="0.2">
      <c r="C2339" s="105"/>
      <c r="D2339" s="107"/>
      <c r="E2339" s="105"/>
      <c r="F2339" s="105"/>
      <c r="G2339" s="105"/>
      <c r="H2339" s="105"/>
      <c r="I2339" s="120"/>
      <c r="J2339" s="107"/>
      <c r="K2339" s="105"/>
    </row>
    <row r="2340" spans="3:11" x14ac:dyDescent="0.2">
      <c r="C2340" s="105"/>
      <c r="D2340" s="107"/>
      <c r="E2340" s="105"/>
      <c r="F2340" s="105"/>
      <c r="G2340" s="105"/>
      <c r="H2340" s="105"/>
      <c r="I2340" s="120"/>
      <c r="J2340" s="107"/>
      <c r="K2340" s="105"/>
    </row>
    <row r="2341" spans="3:11" x14ac:dyDescent="0.2">
      <c r="C2341" s="105"/>
      <c r="D2341" s="107"/>
      <c r="E2341" s="105"/>
      <c r="F2341" s="105"/>
      <c r="G2341" s="105"/>
      <c r="H2341" s="105"/>
      <c r="I2341" s="120"/>
      <c r="J2341" s="107"/>
      <c r="K2341" s="105"/>
    </row>
    <row r="2342" spans="3:11" x14ac:dyDescent="0.2">
      <c r="C2342" s="105"/>
      <c r="D2342" s="107"/>
      <c r="E2342" s="105"/>
      <c r="F2342" s="105"/>
      <c r="G2342" s="105"/>
      <c r="H2342" s="105"/>
      <c r="I2342" s="120"/>
      <c r="J2342" s="107"/>
      <c r="K2342" s="105"/>
    </row>
    <row r="2343" spans="3:11" x14ac:dyDescent="0.2">
      <c r="C2343" s="105"/>
      <c r="D2343" s="107"/>
      <c r="E2343" s="105"/>
      <c r="F2343" s="105"/>
      <c r="G2343" s="105"/>
      <c r="H2343" s="105"/>
      <c r="I2343" s="120"/>
      <c r="J2343" s="106"/>
      <c r="K2343" s="105"/>
    </row>
    <row r="2344" spans="3:11" x14ac:dyDescent="0.2">
      <c r="C2344" s="105"/>
      <c r="D2344" s="107"/>
      <c r="E2344" s="105"/>
      <c r="F2344" s="105"/>
      <c r="G2344" s="105"/>
      <c r="H2344" s="105"/>
      <c r="I2344" s="120"/>
      <c r="J2344" s="106"/>
      <c r="K2344" s="105"/>
    </row>
    <row r="2345" spans="3:11" x14ac:dyDescent="0.2">
      <c r="C2345" s="105"/>
      <c r="D2345" s="107"/>
      <c r="E2345" s="105"/>
      <c r="F2345" s="105"/>
      <c r="G2345" s="105"/>
      <c r="H2345" s="105"/>
      <c r="I2345" s="120"/>
      <c r="J2345" s="106"/>
      <c r="K2345" s="105"/>
    </row>
    <row r="2346" spans="3:11" x14ac:dyDescent="0.2">
      <c r="C2346" s="105"/>
      <c r="D2346" s="107"/>
      <c r="E2346" s="105"/>
      <c r="F2346" s="105"/>
      <c r="G2346" s="105"/>
      <c r="H2346" s="105"/>
      <c r="I2346" s="120"/>
      <c r="J2346" s="107"/>
      <c r="K2346" s="105"/>
    </row>
    <row r="2347" spans="3:11" x14ac:dyDescent="0.2">
      <c r="C2347" s="105"/>
      <c r="D2347" s="107"/>
      <c r="E2347" s="105"/>
      <c r="F2347" s="105"/>
      <c r="G2347" s="105"/>
      <c r="H2347" s="105"/>
      <c r="I2347" s="120"/>
      <c r="J2347" s="106"/>
      <c r="K2347" s="105"/>
    </row>
    <row r="2348" spans="3:11" x14ac:dyDescent="0.2">
      <c r="C2348" s="105"/>
      <c r="D2348" s="107"/>
      <c r="E2348" s="105"/>
      <c r="F2348" s="105"/>
      <c r="G2348" s="105"/>
      <c r="H2348" s="105"/>
      <c r="I2348" s="120"/>
      <c r="J2348" s="107"/>
      <c r="K2348" s="105"/>
    </row>
    <row r="2349" spans="3:11" x14ac:dyDescent="0.2">
      <c r="C2349" s="105"/>
      <c r="D2349" s="107"/>
      <c r="E2349" s="105"/>
      <c r="F2349" s="105"/>
      <c r="G2349" s="105"/>
      <c r="H2349" s="105"/>
      <c r="I2349" s="120"/>
      <c r="J2349" s="107"/>
      <c r="K2349" s="105"/>
    </row>
    <row r="2350" spans="3:11" x14ac:dyDescent="0.2">
      <c r="C2350" s="105"/>
      <c r="D2350" s="107"/>
      <c r="E2350" s="105"/>
      <c r="F2350" s="105"/>
      <c r="G2350" s="105"/>
      <c r="H2350" s="105"/>
      <c r="I2350" s="120"/>
      <c r="J2350" s="107"/>
      <c r="K2350" s="105"/>
    </row>
    <row r="2351" spans="3:11" x14ac:dyDescent="0.2">
      <c r="C2351" s="105"/>
      <c r="D2351" s="107"/>
      <c r="E2351" s="105"/>
      <c r="F2351" s="105"/>
      <c r="G2351" s="105"/>
      <c r="H2351" s="105"/>
      <c r="I2351" s="120"/>
      <c r="J2351" s="106"/>
      <c r="K2351" s="105"/>
    </row>
    <row r="2352" spans="3:11" x14ac:dyDescent="0.2">
      <c r="C2352" s="105"/>
      <c r="D2352" s="107"/>
      <c r="E2352" s="105"/>
      <c r="F2352" s="105"/>
      <c r="G2352" s="105"/>
      <c r="H2352" s="105"/>
      <c r="I2352" s="120"/>
      <c r="J2352" s="106"/>
      <c r="K2352" s="105"/>
    </row>
    <row r="2353" spans="3:11" x14ac:dyDescent="0.2">
      <c r="C2353" s="105"/>
      <c r="D2353" s="107"/>
      <c r="E2353" s="105"/>
      <c r="F2353" s="105"/>
      <c r="G2353" s="105"/>
      <c r="H2353" s="105"/>
      <c r="I2353" s="120"/>
      <c r="J2353" s="107"/>
      <c r="K2353" s="105"/>
    </row>
    <row r="2354" spans="3:11" x14ac:dyDescent="0.2">
      <c r="C2354" s="105"/>
      <c r="D2354" s="107"/>
      <c r="E2354" s="105"/>
      <c r="F2354" s="105"/>
      <c r="G2354" s="105"/>
      <c r="H2354" s="105"/>
      <c r="I2354" s="120"/>
      <c r="J2354" s="107"/>
      <c r="K2354" s="105"/>
    </row>
    <row r="2355" spans="3:11" x14ac:dyDescent="0.2">
      <c r="C2355" s="105"/>
      <c r="D2355" s="107"/>
      <c r="E2355" s="105"/>
      <c r="F2355" s="105"/>
      <c r="G2355" s="105"/>
      <c r="H2355" s="105"/>
      <c r="I2355" s="120"/>
      <c r="J2355" s="107"/>
      <c r="K2355" s="105"/>
    </row>
    <row r="2356" spans="3:11" x14ac:dyDescent="0.2">
      <c r="C2356" s="105"/>
      <c r="D2356" s="107"/>
      <c r="E2356" s="105"/>
      <c r="F2356" s="105"/>
      <c r="G2356" s="105"/>
      <c r="H2356" s="105"/>
      <c r="I2356" s="120"/>
      <c r="J2356" s="107"/>
      <c r="K2356" s="105"/>
    </row>
    <row r="2357" spans="3:11" x14ac:dyDescent="0.2">
      <c r="C2357" s="105"/>
      <c r="D2357" s="107"/>
      <c r="E2357" s="105"/>
      <c r="F2357" s="105"/>
      <c r="G2357" s="105"/>
      <c r="H2357" s="105"/>
      <c r="I2357" s="120"/>
      <c r="J2357" s="106"/>
      <c r="K2357" s="105"/>
    </row>
    <row r="2358" spans="3:11" x14ac:dyDescent="0.2">
      <c r="C2358" s="105"/>
      <c r="D2358" s="107"/>
      <c r="E2358" s="105"/>
      <c r="F2358" s="105"/>
      <c r="G2358" s="105"/>
      <c r="H2358" s="105"/>
      <c r="I2358" s="120"/>
      <c r="J2358" s="106"/>
      <c r="K2358" s="105"/>
    </row>
    <row r="2359" spans="3:11" x14ac:dyDescent="0.2">
      <c r="C2359" s="105"/>
      <c r="D2359" s="107"/>
      <c r="E2359" s="105"/>
      <c r="F2359" s="105"/>
      <c r="G2359" s="105"/>
      <c r="H2359" s="105"/>
      <c r="I2359" s="120"/>
      <c r="J2359" s="106"/>
      <c r="K2359" s="105"/>
    </row>
    <row r="2360" spans="3:11" x14ac:dyDescent="0.2">
      <c r="C2360" s="105"/>
      <c r="D2360" s="107"/>
      <c r="E2360" s="105"/>
      <c r="F2360" s="105"/>
      <c r="G2360" s="105"/>
      <c r="H2360" s="105"/>
      <c r="I2360" s="120"/>
      <c r="J2360" s="107"/>
      <c r="K2360" s="105"/>
    </row>
    <row r="2361" spans="3:11" x14ac:dyDescent="0.2">
      <c r="C2361" s="105"/>
      <c r="D2361" s="107"/>
      <c r="E2361" s="105"/>
      <c r="F2361" s="105"/>
      <c r="G2361" s="105"/>
      <c r="H2361" s="105"/>
      <c r="I2361" s="120"/>
      <c r="J2361" s="107"/>
      <c r="K2361" s="105"/>
    </row>
    <row r="2362" spans="3:11" x14ac:dyDescent="0.2">
      <c r="C2362" s="105"/>
      <c r="D2362" s="107"/>
      <c r="E2362" s="105"/>
      <c r="F2362" s="105"/>
      <c r="G2362" s="105"/>
      <c r="H2362" s="105"/>
      <c r="I2362" s="120"/>
      <c r="J2362" s="106"/>
      <c r="K2362" s="105"/>
    </row>
    <row r="2363" spans="3:11" x14ac:dyDescent="0.2">
      <c r="C2363" s="105"/>
      <c r="D2363" s="107"/>
      <c r="E2363" s="105"/>
      <c r="F2363" s="105"/>
      <c r="G2363" s="105"/>
      <c r="H2363" s="105"/>
      <c r="I2363" s="120"/>
      <c r="J2363" s="107"/>
      <c r="K2363" s="105"/>
    </row>
    <row r="2364" spans="3:11" x14ac:dyDescent="0.2">
      <c r="C2364" s="105"/>
      <c r="D2364" s="107"/>
      <c r="E2364" s="105"/>
      <c r="F2364" s="105"/>
      <c r="G2364" s="105"/>
      <c r="H2364" s="105"/>
      <c r="I2364" s="120"/>
      <c r="J2364" s="106"/>
      <c r="K2364" s="105"/>
    </row>
    <row r="2365" spans="3:11" x14ac:dyDescent="0.2">
      <c r="C2365" s="105"/>
      <c r="D2365" s="107"/>
      <c r="E2365" s="105"/>
      <c r="F2365" s="105"/>
      <c r="G2365" s="105"/>
      <c r="H2365" s="105"/>
      <c r="I2365" s="120"/>
      <c r="J2365" s="107"/>
      <c r="K2365" s="105"/>
    </row>
    <row r="2366" spans="3:11" x14ac:dyDescent="0.2">
      <c r="C2366" s="105"/>
      <c r="D2366" s="107"/>
      <c r="E2366" s="105"/>
      <c r="F2366" s="105"/>
      <c r="G2366" s="105"/>
      <c r="H2366" s="105"/>
      <c r="I2366" s="120"/>
      <c r="J2366" s="107"/>
      <c r="K2366" s="105"/>
    </row>
    <row r="2367" spans="3:11" x14ac:dyDescent="0.2">
      <c r="C2367" s="105"/>
      <c r="D2367" s="107"/>
      <c r="E2367" s="105"/>
      <c r="F2367" s="105"/>
      <c r="G2367" s="105"/>
      <c r="H2367" s="105"/>
      <c r="I2367" s="120"/>
      <c r="J2367" s="107"/>
      <c r="K2367" s="105"/>
    </row>
    <row r="2368" spans="3:11" x14ac:dyDescent="0.2">
      <c r="C2368" s="105"/>
      <c r="D2368" s="107"/>
      <c r="E2368" s="105"/>
      <c r="F2368" s="105"/>
      <c r="G2368" s="105"/>
      <c r="H2368" s="105"/>
      <c r="I2368" s="120"/>
      <c r="J2368" s="107"/>
      <c r="K2368" s="105"/>
    </row>
    <row r="2369" spans="3:11" x14ac:dyDescent="0.2">
      <c r="C2369" s="105"/>
      <c r="D2369" s="107"/>
      <c r="E2369" s="105"/>
      <c r="F2369" s="105"/>
      <c r="G2369" s="105"/>
      <c r="H2369" s="105"/>
      <c r="I2369" s="120"/>
      <c r="J2369" s="107"/>
      <c r="K2369" s="105"/>
    </row>
    <row r="2370" spans="3:11" x14ac:dyDescent="0.2">
      <c r="C2370" s="105"/>
      <c r="D2370" s="107"/>
      <c r="E2370" s="105"/>
      <c r="F2370" s="105"/>
      <c r="G2370" s="105"/>
      <c r="H2370" s="105"/>
      <c r="I2370" s="120"/>
      <c r="J2370" s="107"/>
      <c r="K2370" s="105"/>
    </row>
    <row r="2371" spans="3:11" x14ac:dyDescent="0.2">
      <c r="C2371" s="105"/>
      <c r="D2371" s="107"/>
      <c r="E2371" s="105"/>
      <c r="F2371" s="105"/>
      <c r="G2371" s="105"/>
      <c r="H2371" s="105"/>
      <c r="I2371" s="120"/>
      <c r="J2371" s="107"/>
      <c r="K2371" s="105"/>
    </row>
    <row r="2372" spans="3:11" x14ac:dyDescent="0.2">
      <c r="C2372" s="105"/>
      <c r="D2372" s="107"/>
      <c r="E2372" s="105"/>
      <c r="F2372" s="105"/>
      <c r="G2372" s="105"/>
      <c r="H2372" s="105"/>
      <c r="I2372" s="120"/>
      <c r="J2372" s="107"/>
      <c r="K2372" s="105"/>
    </row>
    <row r="2373" spans="3:11" x14ac:dyDescent="0.2">
      <c r="C2373" s="105"/>
      <c r="D2373" s="107"/>
      <c r="E2373" s="105"/>
      <c r="F2373" s="105"/>
      <c r="G2373" s="105"/>
      <c r="H2373" s="105"/>
      <c r="I2373" s="120"/>
      <c r="J2373" s="107"/>
      <c r="K2373" s="105"/>
    </row>
    <row r="2374" spans="3:11" x14ac:dyDescent="0.2">
      <c r="C2374" s="105"/>
      <c r="D2374" s="107"/>
      <c r="E2374" s="105"/>
      <c r="F2374" s="105"/>
      <c r="G2374" s="105"/>
      <c r="H2374" s="105"/>
      <c r="I2374" s="120"/>
      <c r="J2374" s="106"/>
      <c r="K2374" s="105"/>
    </row>
    <row r="2375" spans="3:11" x14ac:dyDescent="0.2">
      <c r="C2375" s="105"/>
      <c r="D2375" s="107"/>
      <c r="E2375" s="105"/>
      <c r="F2375" s="105"/>
      <c r="G2375" s="105"/>
      <c r="H2375" s="105"/>
      <c r="I2375" s="120"/>
      <c r="J2375" s="106"/>
      <c r="K2375" s="105"/>
    </row>
    <row r="2376" spans="3:11" x14ac:dyDescent="0.2">
      <c r="C2376" s="105"/>
      <c r="D2376" s="107"/>
      <c r="E2376" s="105"/>
      <c r="F2376" s="105"/>
      <c r="G2376" s="105"/>
      <c r="H2376" s="105"/>
      <c r="I2376" s="120"/>
      <c r="J2376" s="107"/>
      <c r="K2376" s="105"/>
    </row>
    <row r="2377" spans="3:11" x14ac:dyDescent="0.2">
      <c r="C2377" s="105"/>
      <c r="D2377" s="107"/>
      <c r="E2377" s="105"/>
      <c r="F2377" s="105"/>
      <c r="G2377" s="105"/>
      <c r="H2377" s="105"/>
      <c r="I2377" s="120"/>
      <c r="J2377" s="107"/>
      <c r="K2377" s="105"/>
    </row>
    <row r="2378" spans="3:11" x14ac:dyDescent="0.2">
      <c r="C2378" s="105"/>
      <c r="D2378" s="107"/>
      <c r="E2378" s="105"/>
      <c r="F2378" s="105"/>
      <c r="G2378" s="105"/>
      <c r="H2378" s="105"/>
      <c r="I2378" s="120"/>
      <c r="J2378" s="107"/>
      <c r="K2378" s="105"/>
    </row>
    <row r="2379" spans="3:11" x14ac:dyDescent="0.2">
      <c r="C2379" s="105"/>
      <c r="D2379" s="107"/>
      <c r="E2379" s="105"/>
      <c r="F2379" s="105"/>
      <c r="G2379" s="105"/>
      <c r="H2379" s="105"/>
      <c r="I2379" s="120"/>
      <c r="J2379" s="107"/>
      <c r="K2379" s="105"/>
    </row>
    <row r="2380" spans="3:11" x14ac:dyDescent="0.2">
      <c r="C2380" s="105"/>
      <c r="D2380" s="107"/>
      <c r="E2380" s="105"/>
      <c r="F2380" s="105"/>
      <c r="G2380" s="105"/>
      <c r="H2380" s="105"/>
      <c r="I2380" s="120"/>
      <c r="J2380" s="107"/>
      <c r="K2380" s="105"/>
    </row>
    <row r="2381" spans="3:11" x14ac:dyDescent="0.2">
      <c r="C2381" s="105"/>
      <c r="D2381" s="107"/>
      <c r="E2381" s="105"/>
      <c r="F2381" s="105"/>
      <c r="G2381" s="105"/>
      <c r="H2381" s="105"/>
      <c r="I2381" s="120"/>
      <c r="J2381" s="107"/>
      <c r="K2381" s="105"/>
    </row>
    <row r="2382" spans="3:11" x14ac:dyDescent="0.2">
      <c r="C2382" s="105"/>
      <c r="D2382" s="107"/>
      <c r="E2382" s="105"/>
      <c r="F2382" s="105"/>
      <c r="G2382" s="105"/>
      <c r="H2382" s="105"/>
      <c r="I2382" s="120"/>
      <c r="J2382" s="106"/>
      <c r="K2382" s="105"/>
    </row>
    <row r="2383" spans="3:11" x14ac:dyDescent="0.2">
      <c r="C2383" s="105"/>
      <c r="D2383" s="107"/>
      <c r="E2383" s="105"/>
      <c r="F2383" s="105"/>
      <c r="G2383" s="105"/>
      <c r="H2383" s="105"/>
      <c r="I2383" s="120"/>
      <c r="J2383" s="107"/>
      <c r="K2383" s="105"/>
    </row>
    <row r="2384" spans="3:11" x14ac:dyDescent="0.2">
      <c r="C2384" s="105"/>
      <c r="D2384" s="107"/>
      <c r="E2384" s="105"/>
      <c r="F2384" s="105"/>
      <c r="G2384" s="105"/>
      <c r="H2384" s="105"/>
      <c r="I2384" s="120"/>
      <c r="J2384" s="107"/>
      <c r="K2384" s="105"/>
    </row>
    <row r="2385" spans="3:11" x14ac:dyDescent="0.2">
      <c r="C2385" s="105"/>
      <c r="D2385" s="107"/>
      <c r="E2385" s="105"/>
      <c r="F2385" s="105"/>
      <c r="G2385" s="105"/>
      <c r="H2385" s="105"/>
      <c r="I2385" s="120"/>
      <c r="J2385" s="107"/>
      <c r="K2385" s="105"/>
    </row>
    <row r="2386" spans="3:11" x14ac:dyDescent="0.2">
      <c r="C2386" s="105"/>
      <c r="D2386" s="107"/>
      <c r="E2386" s="105"/>
      <c r="F2386" s="105"/>
      <c r="G2386" s="105"/>
      <c r="H2386" s="105"/>
      <c r="I2386" s="120"/>
      <c r="J2386" s="107"/>
      <c r="K2386" s="105"/>
    </row>
    <row r="2387" spans="3:11" x14ac:dyDescent="0.2">
      <c r="C2387" s="105"/>
      <c r="D2387" s="107"/>
      <c r="E2387" s="105"/>
      <c r="F2387" s="105"/>
      <c r="G2387" s="105"/>
      <c r="H2387" s="105"/>
      <c r="I2387" s="120"/>
      <c r="J2387" s="107"/>
      <c r="K2387" s="105"/>
    </row>
    <row r="2388" spans="3:11" x14ac:dyDescent="0.2">
      <c r="C2388" s="105"/>
      <c r="D2388" s="107"/>
      <c r="E2388" s="105"/>
      <c r="F2388" s="105"/>
      <c r="G2388" s="105"/>
      <c r="H2388" s="105"/>
      <c r="I2388" s="120"/>
      <c r="J2388" s="107"/>
      <c r="K2388" s="105"/>
    </row>
    <row r="2389" spans="3:11" x14ac:dyDescent="0.2">
      <c r="C2389" s="105"/>
      <c r="D2389" s="107"/>
      <c r="E2389" s="105"/>
      <c r="F2389" s="105"/>
      <c r="G2389" s="105"/>
      <c r="H2389" s="105"/>
      <c r="I2389" s="120"/>
      <c r="J2389" s="107"/>
      <c r="K2389" s="105"/>
    </row>
    <row r="2390" spans="3:11" x14ac:dyDescent="0.2">
      <c r="C2390" s="105"/>
      <c r="D2390" s="107"/>
      <c r="E2390" s="105"/>
      <c r="F2390" s="105"/>
      <c r="G2390" s="105"/>
      <c r="H2390" s="105"/>
      <c r="I2390" s="120"/>
      <c r="J2390" s="107"/>
      <c r="K2390" s="105"/>
    </row>
    <row r="2391" spans="3:11" x14ac:dyDescent="0.2">
      <c r="C2391" s="105"/>
      <c r="D2391" s="107"/>
      <c r="E2391" s="105"/>
      <c r="F2391" s="105"/>
      <c r="G2391" s="105"/>
      <c r="H2391" s="105"/>
      <c r="I2391" s="120"/>
      <c r="J2391" s="107"/>
      <c r="K2391" s="105"/>
    </row>
    <row r="2392" spans="3:11" x14ac:dyDescent="0.2">
      <c r="C2392" s="105"/>
      <c r="D2392" s="107"/>
      <c r="E2392" s="105"/>
      <c r="F2392" s="105"/>
      <c r="G2392" s="105"/>
      <c r="H2392" s="105"/>
      <c r="I2392" s="120"/>
      <c r="J2392" s="107"/>
      <c r="K2392" s="105"/>
    </row>
    <row r="2393" spans="3:11" x14ac:dyDescent="0.2">
      <c r="C2393" s="105"/>
      <c r="D2393" s="107"/>
      <c r="E2393" s="105"/>
      <c r="F2393" s="105"/>
      <c r="G2393" s="105"/>
      <c r="H2393" s="105"/>
      <c r="I2393" s="120"/>
      <c r="J2393" s="107"/>
      <c r="K2393" s="105"/>
    </row>
    <row r="2394" spans="3:11" x14ac:dyDescent="0.2">
      <c r="C2394" s="105"/>
      <c r="D2394" s="107"/>
      <c r="E2394" s="105"/>
      <c r="F2394" s="105"/>
      <c r="G2394" s="105"/>
      <c r="H2394" s="105"/>
      <c r="I2394" s="120"/>
      <c r="J2394" s="107"/>
      <c r="K2394" s="105"/>
    </row>
    <row r="2395" spans="3:11" x14ac:dyDescent="0.2">
      <c r="C2395" s="105"/>
      <c r="D2395" s="107"/>
      <c r="E2395" s="105"/>
      <c r="F2395" s="105"/>
      <c r="G2395" s="105"/>
      <c r="H2395" s="105"/>
      <c r="I2395" s="120"/>
      <c r="J2395" s="107"/>
      <c r="K2395" s="105"/>
    </row>
    <row r="2396" spans="3:11" x14ac:dyDescent="0.2">
      <c r="C2396" s="105"/>
      <c r="D2396" s="107"/>
      <c r="E2396" s="105"/>
      <c r="F2396" s="105"/>
      <c r="G2396" s="105"/>
      <c r="H2396" s="105"/>
      <c r="I2396" s="120"/>
      <c r="J2396" s="107"/>
      <c r="K2396" s="105"/>
    </row>
    <row r="2397" spans="3:11" x14ac:dyDescent="0.2">
      <c r="C2397" s="105"/>
      <c r="D2397" s="107"/>
      <c r="E2397" s="105"/>
      <c r="F2397" s="105"/>
      <c r="G2397" s="105"/>
      <c r="H2397" s="105"/>
      <c r="I2397" s="120"/>
      <c r="J2397" s="107"/>
      <c r="K2397" s="105"/>
    </row>
    <row r="2398" spans="3:11" x14ac:dyDescent="0.2">
      <c r="C2398" s="105"/>
      <c r="D2398" s="107"/>
      <c r="E2398" s="105"/>
      <c r="F2398" s="105"/>
      <c r="G2398" s="105"/>
      <c r="H2398" s="105"/>
      <c r="I2398" s="120"/>
      <c r="J2398" s="107"/>
      <c r="K2398" s="105"/>
    </row>
    <row r="2399" spans="3:11" x14ac:dyDescent="0.2">
      <c r="C2399" s="105"/>
      <c r="D2399" s="107"/>
      <c r="E2399" s="105"/>
      <c r="F2399" s="105"/>
      <c r="G2399" s="105"/>
      <c r="H2399" s="105"/>
      <c r="I2399" s="120"/>
      <c r="J2399" s="107"/>
      <c r="K2399" s="105"/>
    </row>
    <row r="2400" spans="3:11" x14ac:dyDescent="0.2">
      <c r="C2400" s="105"/>
      <c r="D2400" s="107"/>
      <c r="E2400" s="105"/>
      <c r="F2400" s="105"/>
      <c r="G2400" s="105"/>
      <c r="H2400" s="105"/>
      <c r="I2400" s="120"/>
      <c r="J2400" s="107"/>
      <c r="K2400" s="105"/>
    </row>
    <row r="2401" spans="3:11" x14ac:dyDescent="0.2">
      <c r="C2401" s="105"/>
      <c r="D2401" s="107"/>
      <c r="E2401" s="105"/>
      <c r="F2401" s="105"/>
      <c r="G2401" s="105"/>
      <c r="H2401" s="105"/>
      <c r="I2401" s="120"/>
      <c r="J2401" s="107"/>
      <c r="K2401" s="105"/>
    </row>
    <row r="2402" spans="3:11" x14ac:dyDescent="0.2">
      <c r="C2402" s="105"/>
      <c r="D2402" s="107"/>
      <c r="E2402" s="105"/>
      <c r="F2402" s="105"/>
      <c r="G2402" s="105"/>
      <c r="H2402" s="105"/>
      <c r="I2402" s="120"/>
      <c r="J2402" s="106"/>
      <c r="K2402" s="105"/>
    </row>
    <row r="2403" spans="3:11" x14ac:dyDescent="0.2">
      <c r="C2403" s="105"/>
      <c r="D2403" s="107"/>
      <c r="E2403" s="105"/>
      <c r="F2403" s="105"/>
      <c r="G2403" s="105"/>
      <c r="H2403" s="105"/>
      <c r="I2403" s="120"/>
      <c r="J2403" s="107"/>
      <c r="K2403" s="105"/>
    </row>
    <row r="2404" spans="3:11" x14ac:dyDescent="0.2">
      <c r="C2404" s="105"/>
      <c r="D2404" s="107"/>
      <c r="E2404" s="105"/>
      <c r="F2404" s="105"/>
      <c r="G2404" s="105"/>
      <c r="H2404" s="105"/>
      <c r="I2404" s="120"/>
      <c r="J2404" s="107"/>
      <c r="K2404" s="105"/>
    </row>
    <row r="2405" spans="3:11" x14ac:dyDescent="0.2">
      <c r="C2405" s="105"/>
      <c r="D2405" s="107"/>
      <c r="E2405" s="105"/>
      <c r="F2405" s="105"/>
      <c r="G2405" s="105"/>
      <c r="H2405" s="105"/>
      <c r="I2405" s="120"/>
      <c r="J2405" s="107"/>
      <c r="K2405" s="105"/>
    </row>
    <row r="2406" spans="3:11" x14ac:dyDescent="0.2">
      <c r="C2406" s="105"/>
      <c r="D2406" s="107"/>
      <c r="E2406" s="105"/>
      <c r="F2406" s="105"/>
      <c r="G2406" s="105"/>
      <c r="H2406" s="105"/>
      <c r="I2406" s="120"/>
      <c r="J2406" s="107"/>
      <c r="K2406" s="105"/>
    </row>
    <row r="2407" spans="3:11" x14ac:dyDescent="0.2">
      <c r="C2407" s="105"/>
      <c r="D2407" s="107"/>
      <c r="E2407" s="105"/>
      <c r="F2407" s="105"/>
      <c r="G2407" s="105"/>
      <c r="H2407" s="105"/>
      <c r="I2407" s="120"/>
      <c r="J2407" s="107"/>
      <c r="K2407" s="105"/>
    </row>
    <row r="2408" spans="3:11" x14ac:dyDescent="0.2">
      <c r="C2408" s="105"/>
      <c r="D2408" s="107"/>
      <c r="E2408" s="105"/>
      <c r="F2408" s="105"/>
      <c r="G2408" s="105"/>
      <c r="H2408" s="105"/>
      <c r="I2408" s="120"/>
      <c r="J2408" s="107"/>
      <c r="K2408" s="105"/>
    </row>
    <row r="2409" spans="3:11" x14ac:dyDescent="0.2">
      <c r="C2409" s="105"/>
      <c r="D2409" s="107"/>
      <c r="E2409" s="105"/>
      <c r="F2409" s="105"/>
      <c r="G2409" s="105"/>
      <c r="H2409" s="105"/>
      <c r="I2409" s="120"/>
      <c r="J2409" s="107"/>
      <c r="K2409" s="105"/>
    </row>
    <row r="2410" spans="3:11" x14ac:dyDescent="0.2">
      <c r="C2410" s="105"/>
      <c r="D2410" s="107"/>
      <c r="E2410" s="105"/>
      <c r="F2410" s="105"/>
      <c r="G2410" s="105"/>
      <c r="H2410" s="105"/>
      <c r="I2410" s="120"/>
      <c r="J2410" s="107"/>
      <c r="K2410" s="105"/>
    </row>
    <row r="2411" spans="3:11" x14ac:dyDescent="0.2">
      <c r="C2411" s="105"/>
      <c r="D2411" s="107"/>
      <c r="E2411" s="105"/>
      <c r="F2411" s="105"/>
      <c r="G2411" s="105"/>
      <c r="H2411" s="105"/>
      <c r="I2411" s="120"/>
      <c r="J2411" s="107"/>
      <c r="K2411" s="105"/>
    </row>
    <row r="2412" spans="3:11" x14ac:dyDescent="0.2">
      <c r="C2412" s="105"/>
      <c r="D2412" s="107"/>
      <c r="E2412" s="105"/>
      <c r="F2412" s="105"/>
      <c r="G2412" s="105"/>
      <c r="H2412" s="105"/>
      <c r="I2412" s="120"/>
      <c r="J2412" s="106"/>
      <c r="K2412" s="105"/>
    </row>
    <row r="2413" spans="3:11" x14ac:dyDescent="0.2">
      <c r="C2413" s="105"/>
      <c r="D2413" s="107"/>
      <c r="E2413" s="105"/>
      <c r="F2413" s="105"/>
      <c r="G2413" s="105"/>
      <c r="H2413" s="105"/>
      <c r="I2413" s="120"/>
      <c r="J2413" s="107"/>
      <c r="K2413" s="105"/>
    </row>
    <row r="2414" spans="3:11" x14ac:dyDescent="0.2">
      <c r="C2414" s="105"/>
      <c r="D2414" s="107"/>
      <c r="E2414" s="105"/>
      <c r="F2414" s="105"/>
      <c r="G2414" s="105"/>
      <c r="H2414" s="105"/>
      <c r="I2414" s="120"/>
      <c r="J2414" s="107"/>
      <c r="K2414" s="105"/>
    </row>
    <row r="2415" spans="3:11" x14ac:dyDescent="0.2">
      <c r="C2415" s="105"/>
      <c r="D2415" s="107"/>
      <c r="E2415" s="105"/>
      <c r="F2415" s="105"/>
      <c r="G2415" s="105"/>
      <c r="H2415" s="105"/>
      <c r="I2415" s="120"/>
      <c r="J2415" s="107"/>
      <c r="K2415" s="105"/>
    </row>
    <row r="2416" spans="3:11" x14ac:dyDescent="0.2">
      <c r="C2416" s="105"/>
      <c r="D2416" s="107"/>
      <c r="E2416" s="105"/>
      <c r="F2416" s="105"/>
      <c r="G2416" s="105"/>
      <c r="H2416" s="105"/>
      <c r="I2416" s="120"/>
      <c r="J2416" s="106"/>
      <c r="K2416" s="105"/>
    </row>
    <row r="2417" spans="3:11" x14ac:dyDescent="0.2">
      <c r="C2417" s="105"/>
      <c r="D2417" s="107"/>
      <c r="E2417" s="105"/>
      <c r="F2417" s="105"/>
      <c r="G2417" s="105"/>
      <c r="H2417" s="105"/>
      <c r="I2417" s="120"/>
      <c r="J2417" s="107"/>
      <c r="K2417" s="105"/>
    </row>
    <row r="2418" spans="3:11" x14ac:dyDescent="0.2">
      <c r="C2418" s="105"/>
      <c r="D2418" s="107"/>
      <c r="E2418" s="105"/>
      <c r="F2418" s="105"/>
      <c r="G2418" s="105"/>
      <c r="H2418" s="105"/>
      <c r="I2418" s="120"/>
      <c r="J2418" s="107"/>
      <c r="K2418" s="105"/>
    </row>
    <row r="2419" spans="3:11" x14ac:dyDescent="0.2">
      <c r="C2419" s="105"/>
      <c r="D2419" s="107"/>
      <c r="E2419" s="105"/>
      <c r="F2419" s="105"/>
      <c r="G2419" s="105"/>
      <c r="H2419" s="105"/>
      <c r="I2419" s="120"/>
      <c r="J2419" s="107"/>
      <c r="K2419" s="105"/>
    </row>
    <row r="2420" spans="3:11" x14ac:dyDescent="0.2">
      <c r="C2420" s="105"/>
      <c r="D2420" s="107"/>
      <c r="E2420" s="105"/>
      <c r="F2420" s="105"/>
      <c r="G2420" s="105"/>
      <c r="H2420" s="105"/>
      <c r="I2420" s="120"/>
      <c r="J2420" s="107"/>
      <c r="K2420" s="105"/>
    </row>
    <row r="2421" spans="3:11" x14ac:dyDescent="0.2">
      <c r="C2421" s="105"/>
      <c r="D2421" s="107"/>
      <c r="E2421" s="105"/>
      <c r="F2421" s="105"/>
      <c r="G2421" s="105"/>
      <c r="H2421" s="105"/>
      <c r="I2421" s="120"/>
      <c r="J2421" s="107"/>
      <c r="K2421" s="105"/>
    </row>
    <row r="2422" spans="3:11" x14ac:dyDescent="0.2">
      <c r="C2422" s="105"/>
      <c r="D2422" s="107"/>
      <c r="E2422" s="105"/>
      <c r="F2422" s="105"/>
      <c r="G2422" s="105"/>
      <c r="H2422" s="105"/>
      <c r="I2422" s="120"/>
      <c r="J2422" s="107"/>
      <c r="K2422" s="105"/>
    </row>
    <row r="2423" spans="3:11" x14ac:dyDescent="0.2">
      <c r="C2423" s="105"/>
      <c r="D2423" s="107"/>
      <c r="E2423" s="105"/>
      <c r="F2423" s="105"/>
      <c r="G2423" s="105"/>
      <c r="H2423" s="105"/>
      <c r="I2423" s="120"/>
      <c r="J2423" s="107"/>
      <c r="K2423" s="105"/>
    </row>
    <row r="2424" spans="3:11" x14ac:dyDescent="0.2">
      <c r="C2424" s="105"/>
      <c r="D2424" s="107"/>
      <c r="E2424" s="105"/>
      <c r="F2424" s="105"/>
      <c r="G2424" s="105"/>
      <c r="H2424" s="105"/>
      <c r="I2424" s="120"/>
      <c r="J2424" s="107"/>
      <c r="K2424" s="105"/>
    </row>
    <row r="2425" spans="3:11" x14ac:dyDescent="0.2">
      <c r="C2425" s="105"/>
      <c r="D2425" s="107"/>
      <c r="E2425" s="105"/>
      <c r="F2425" s="105"/>
      <c r="G2425" s="105"/>
      <c r="H2425" s="105"/>
      <c r="I2425" s="120"/>
      <c r="J2425" s="107"/>
      <c r="K2425" s="105"/>
    </row>
    <row r="2426" spans="3:11" x14ac:dyDescent="0.2">
      <c r="C2426" s="105"/>
      <c r="D2426" s="107"/>
      <c r="E2426" s="105"/>
      <c r="F2426" s="105"/>
      <c r="G2426" s="105"/>
      <c r="H2426" s="105"/>
      <c r="I2426" s="120"/>
      <c r="J2426" s="107"/>
      <c r="K2426" s="105"/>
    </row>
    <row r="2427" spans="3:11" x14ac:dyDescent="0.2">
      <c r="C2427" s="105"/>
      <c r="D2427" s="107"/>
      <c r="E2427" s="105"/>
      <c r="F2427" s="105"/>
      <c r="G2427" s="105"/>
      <c r="H2427" s="105"/>
      <c r="I2427" s="120"/>
      <c r="J2427" s="107"/>
      <c r="K2427" s="105"/>
    </row>
    <row r="2428" spans="3:11" x14ac:dyDescent="0.2">
      <c r="C2428" s="105"/>
      <c r="D2428" s="107"/>
      <c r="E2428" s="105"/>
      <c r="F2428" s="105"/>
      <c r="G2428" s="105"/>
      <c r="H2428" s="105"/>
      <c r="I2428" s="120"/>
      <c r="J2428" s="107"/>
      <c r="K2428" s="105"/>
    </row>
    <row r="2429" spans="3:11" x14ac:dyDescent="0.2">
      <c r="C2429" s="105"/>
      <c r="D2429" s="107"/>
      <c r="E2429" s="105"/>
      <c r="F2429" s="105"/>
      <c r="G2429" s="105"/>
      <c r="H2429" s="105"/>
      <c r="I2429" s="120"/>
      <c r="J2429" s="107"/>
      <c r="K2429" s="105"/>
    </row>
    <row r="2430" spans="3:11" x14ac:dyDescent="0.2">
      <c r="C2430" s="105"/>
      <c r="D2430" s="107"/>
      <c r="E2430" s="105"/>
      <c r="F2430" s="105"/>
      <c r="G2430" s="105"/>
      <c r="H2430" s="105"/>
      <c r="I2430" s="120"/>
      <c r="J2430" s="107"/>
      <c r="K2430" s="105"/>
    </row>
    <row r="2431" spans="3:11" x14ac:dyDescent="0.2">
      <c r="C2431" s="105"/>
      <c r="D2431" s="107"/>
      <c r="E2431" s="105"/>
      <c r="F2431" s="105"/>
      <c r="G2431" s="105"/>
      <c r="H2431" s="105"/>
      <c r="I2431" s="120"/>
      <c r="J2431" s="107"/>
      <c r="K2431" s="105"/>
    </row>
    <row r="2432" spans="3:11" x14ac:dyDescent="0.2">
      <c r="C2432" s="105"/>
      <c r="D2432" s="107"/>
      <c r="E2432" s="105"/>
      <c r="F2432" s="105"/>
      <c r="G2432" s="105"/>
      <c r="H2432" s="105"/>
      <c r="I2432" s="120"/>
      <c r="J2432" s="107"/>
      <c r="K2432" s="105"/>
    </row>
  </sheetData>
  <conditionalFormatting sqref="C2126:C2174">
    <cfRule type="expression" dxfId="125" priority="7">
      <formula>$R2126&lt;=TODAY()</formula>
    </cfRule>
  </conditionalFormatting>
  <conditionalFormatting sqref="C2115:E2115">
    <cfRule type="expression" dxfId="124" priority="28">
      <formula>$R2115&lt;=TODAY()</formula>
    </cfRule>
  </conditionalFormatting>
  <conditionalFormatting sqref="C2160:G2160">
    <cfRule type="expression" dxfId="123" priority="16">
      <formula>$R2160&lt;=TODAY()</formula>
    </cfRule>
  </conditionalFormatting>
  <conditionalFormatting sqref="C2084:J2099 C2100 E2100:J2100 F2107:F2109 I2147:J2170">
    <cfRule type="expression" dxfId="122" priority="46">
      <formula>$R2084&lt;=TODAY()</formula>
    </cfRule>
  </conditionalFormatting>
  <conditionalFormatting sqref="C2101:J2109 J2113:K2113 C2113:D2114">
    <cfRule type="expression" dxfId="121" priority="38">
      <formula>$R2101&lt;=TODAY()</formula>
    </cfRule>
  </conditionalFormatting>
  <conditionalFormatting sqref="C2126:J2126">
    <cfRule type="expression" dxfId="120" priority="26">
      <formula>$R2126&lt;=TODAY()</formula>
    </cfRule>
  </conditionalFormatting>
  <conditionalFormatting sqref="C3:K2174 D2127:K2130 D2131:F2132 E2133:F2140">
    <cfRule type="expression" dxfId="119" priority="29">
      <formula>$R3&lt;=TODAY()</formula>
    </cfRule>
  </conditionalFormatting>
  <conditionalFormatting sqref="D2097:D2109">
    <cfRule type="expression" dxfId="118" priority="40">
      <formula>$R2097&lt;=TODAY()</formula>
    </cfRule>
  </conditionalFormatting>
  <conditionalFormatting sqref="D2115:D2124">
    <cfRule type="expression" dxfId="117" priority="27">
      <formula>$R2115&lt;=TODAY()</formula>
    </cfRule>
  </conditionalFormatting>
  <conditionalFormatting sqref="D2133:D2174">
    <cfRule type="expression" dxfId="116" priority="9">
      <formula>$R2133&lt;=TODAY()</formula>
    </cfRule>
  </conditionalFormatting>
  <conditionalFormatting sqref="D2145:D2146">
    <cfRule type="expression" dxfId="115" priority="18">
      <formula>$S2145&lt;=TODAY()</formula>
    </cfRule>
  </conditionalFormatting>
  <conditionalFormatting sqref="D2158:E2160">
    <cfRule type="expression" dxfId="114" priority="11">
      <formula>$R2158&lt;=TODAY()</formula>
    </cfRule>
  </conditionalFormatting>
  <conditionalFormatting sqref="D2113:F2113">
    <cfRule type="expression" dxfId="113" priority="32">
      <formula>$R2113&lt;=TODAY()</formula>
    </cfRule>
  </conditionalFormatting>
  <conditionalFormatting sqref="E2097">
    <cfRule type="expression" dxfId="112" priority="42">
      <formula>$R2096&lt;=TODAY()</formula>
    </cfRule>
  </conditionalFormatting>
  <conditionalFormatting sqref="E2115:E2131">
    <cfRule type="expression" dxfId="111" priority="21">
      <formula>$R2115&lt;=TODAY()</formula>
    </cfRule>
  </conditionalFormatting>
  <conditionalFormatting sqref="E2136:E2174">
    <cfRule type="expression" dxfId="110" priority="3">
      <formula>$R2136&lt;=TODAY()</formula>
    </cfRule>
  </conditionalFormatting>
  <conditionalFormatting sqref="E2127:J2135 E2132:K2134 G2133:I2174 K2135:K2145">
    <cfRule type="expression" dxfId="109" priority="23">
      <formula>$R2127&lt;=TODAY()</formula>
    </cfRule>
  </conditionalFormatting>
  <conditionalFormatting sqref="E2104:K2104 D2106:K2106">
    <cfRule type="expression" dxfId="108" priority="37">
      <formula>$R2104&lt;=TODAY()</formula>
    </cfRule>
  </conditionalFormatting>
  <conditionalFormatting sqref="F2114:F2115">
    <cfRule type="expression" dxfId="107" priority="30">
      <formula>$R2114&lt;=TODAY()</formula>
    </cfRule>
  </conditionalFormatting>
  <conditionalFormatting sqref="F2130">
    <cfRule type="expression" dxfId="106" priority="22">
      <formula>$R2130&lt;=TODAY()</formula>
    </cfRule>
  </conditionalFormatting>
  <conditionalFormatting sqref="F2146:F2174">
    <cfRule type="expression" dxfId="105" priority="13">
      <formula>$R2146&lt;=TODAY()</formula>
    </cfRule>
  </conditionalFormatting>
  <conditionalFormatting sqref="F2158:G2159 G2171:J2174">
    <cfRule type="expression" dxfId="104" priority="12">
      <formula>$R2158&lt;=TODAY()</formula>
    </cfRule>
  </conditionalFormatting>
  <conditionalFormatting sqref="F2136:J2140 E2141:J2145">
    <cfRule type="expression" dxfId="103" priority="19">
      <formula>$R2136&lt;=TODAY()</formula>
    </cfRule>
  </conditionalFormatting>
  <conditionalFormatting sqref="F2126:K2132">
    <cfRule type="expression" dxfId="102" priority="20">
      <formula>$R2126&lt;=TODAY()</formula>
    </cfRule>
  </conditionalFormatting>
  <conditionalFormatting sqref="G2145:G2172">
    <cfRule type="expression" dxfId="101" priority="4">
      <formula>$R2145&lt;=TODAY()</formula>
    </cfRule>
  </conditionalFormatting>
  <conditionalFormatting sqref="G2174 J2174">
    <cfRule type="expression" dxfId="100" priority="1">
      <formula>$R2174&lt;=TODAY()</formula>
    </cfRule>
  </conditionalFormatting>
  <conditionalFormatting sqref="G2113:I2115">
    <cfRule type="expression" dxfId="99" priority="31">
      <formula>$R2113&lt;=TODAY()</formula>
    </cfRule>
  </conditionalFormatting>
  <conditionalFormatting sqref="G2118:J2128 F2123:F2128">
    <cfRule type="expression" dxfId="98" priority="25">
      <formula>$R2118&lt;=TODAY()</formula>
    </cfRule>
  </conditionalFormatting>
  <conditionalFormatting sqref="G2146:K2146">
    <cfRule type="expression" dxfId="97" priority="14">
      <formula>$R2146&lt;=TODAY()</formula>
    </cfRule>
  </conditionalFormatting>
  <conditionalFormatting sqref="H2084:H2170">
    <cfRule type="expression" dxfId="96" priority="44">
      <formula>$R2084&lt;=TODAY()</formula>
    </cfRule>
  </conditionalFormatting>
  <conditionalFormatting sqref="H2101:J2174">
    <cfRule type="expression" dxfId="95" priority="10">
      <formula>$R2101&lt;=TODAY()</formula>
    </cfRule>
  </conditionalFormatting>
  <conditionalFormatting sqref="I2139:I2174">
    <cfRule type="expression" dxfId="94" priority="17">
      <formula>$R2139&lt;=TODAY()</formula>
    </cfRule>
  </conditionalFormatting>
  <conditionalFormatting sqref="J2147:J2172">
    <cfRule type="expression" dxfId="93" priority="6">
      <formula>$R2147&lt;=TODAY()</formula>
    </cfRule>
  </conditionalFormatting>
  <conditionalFormatting sqref="K2084:K2103">
    <cfRule type="expression" dxfId="92" priority="39">
      <formula>$R2084&lt;=TODAY()</formula>
    </cfRule>
  </conditionalFormatting>
  <conditionalFormatting sqref="K2105">
    <cfRule type="expression" dxfId="91" priority="36">
      <formula>$R2105&lt;=TODAY()</formula>
    </cfRule>
  </conditionalFormatting>
  <conditionalFormatting sqref="K2107:K2109">
    <cfRule type="expression" dxfId="90" priority="35">
      <formula>$R2107&lt;=TODAY()</formula>
    </cfRule>
  </conditionalFormatting>
  <conditionalFormatting sqref="K2112:K2132">
    <cfRule type="expression" dxfId="89" priority="33">
      <formula>$R2112&lt;=TODAY()</formula>
    </cfRule>
  </conditionalFormatting>
  <conditionalFormatting sqref="K2147:K2174">
    <cfRule type="expression" dxfId="88" priority="2">
      <formula>$R2147&lt;=TODAY()</formula>
    </cfRule>
  </conditionalFormatting>
  <conditionalFormatting sqref="R3:R2174 M3:P2174">
    <cfRule type="expression" dxfId="87" priority="49">
      <formula>$R3&lt;=TODAY()</formula>
    </cfRule>
  </conditionalFormatting>
  <conditionalFormatting sqref="R3:R2174">
    <cfRule type="expression" dxfId="86" priority="48">
      <formula>$R3&lt;TODAY()</formula>
    </cfRule>
  </conditionalFormatting>
  <hyperlinks>
    <hyperlink ref="C7" r:id="rId1" xr:uid="{46252E78-E538-4422-AD60-5921E1B1E6DB}"/>
    <hyperlink ref="C84" r:id="rId2" display="https://app.mercos.com/399424/clientes/56025650/" xr:uid="{53D8539B-52D4-47A0-9FA6-98478896DABC}"/>
    <hyperlink ref="C2167" r:id="rId3" display="https://app.mercos.com/399424/clientes/55846044/" xr:uid="{A7736783-F22A-4878-B208-260147D89E0D}"/>
  </hyperlinks>
  <pageMargins left="0.511811024" right="0.511811024" top="0.78740157499999996" bottom="0.78740157499999996" header="0.31496062000000002" footer="0.31496062000000002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24E0CCF-DA76-48E8-B423-DDF1A962B733}">
          <x14:formula1>
            <xm:f>Regras!$D$3:$D$11</xm:f>
          </x14:formula1>
          <xm:sqref>K3:K1048576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A4AA5-DF7B-4C33-B6DB-A3720B439023}">
  <dimension ref="B2:AB1910"/>
  <sheetViews>
    <sheetView showGridLines="0" tabSelected="1" topLeftCell="A772" zoomScale="87" zoomScaleNormal="87" workbookViewId="0">
      <pane xSplit="4" topLeftCell="S1" activePane="topRight" state="frozen"/>
      <selection activeCell="M9" sqref="M9"/>
      <selection pane="topRight" activeCell="V811" sqref="V811"/>
    </sheetView>
  </sheetViews>
  <sheetFormatPr defaultColWidth="9.140625" defaultRowHeight="14.25" x14ac:dyDescent="0.2"/>
  <cols>
    <col min="1" max="1" width="2.7109375" style="51" customWidth="1"/>
    <col min="2" max="2" width="13.28515625" style="96" customWidth="1"/>
    <col min="3" max="3" width="2.85546875" style="52" customWidth="1"/>
    <col min="4" max="4" width="49.85546875" style="51" customWidth="1"/>
    <col min="5" max="5" width="19.85546875" style="124" customWidth="1"/>
    <col min="6" max="6" width="11.28515625" style="53" customWidth="1"/>
    <col min="7" max="7" width="23.140625" style="51" customWidth="1"/>
    <col min="8" max="8" width="20.140625" style="149" customWidth="1"/>
    <col min="9" max="9" width="18.28515625" style="145" customWidth="1"/>
    <col min="10" max="10" width="18.140625" style="146" customWidth="1"/>
    <col min="11" max="11" width="17.28515625" style="146" customWidth="1"/>
    <col min="12" max="12" width="18.85546875" style="51" bestFit="1" customWidth="1"/>
    <col min="13" max="13" width="2.140625" style="52" customWidth="1"/>
    <col min="14" max="14" width="5.140625" style="54" customWidth="1"/>
    <col min="15" max="16" width="5.140625" style="51" customWidth="1"/>
    <col min="17" max="17" width="2.28515625" style="62" customWidth="1"/>
    <col min="18" max="19" width="14" style="51" customWidth="1"/>
    <col min="20" max="20" width="15" style="51" customWidth="1"/>
    <col min="21" max="21" width="14.85546875" style="51" customWidth="1"/>
    <col min="22" max="22" width="37.28515625" style="51" bestFit="1" customWidth="1"/>
    <col min="23" max="23" width="25.140625" style="51" customWidth="1"/>
    <col min="24" max="24" width="16.7109375" style="51" customWidth="1"/>
    <col min="25" max="25" width="39.42578125" style="152" customWidth="1"/>
    <col min="26" max="26" width="19" style="51" customWidth="1"/>
    <col min="27" max="27" width="16.28515625" style="51" hidden="1" customWidth="1"/>
    <col min="28" max="28" width="55.28515625" style="155" customWidth="1"/>
    <col min="29" max="16384" width="9.140625" style="51"/>
  </cols>
  <sheetData>
    <row r="2" spans="2:28" s="57" customFormat="1" ht="60.6" customHeight="1" x14ac:dyDescent="0.25">
      <c r="B2" s="97" t="s">
        <v>744</v>
      </c>
      <c r="C2" s="55"/>
      <c r="D2" s="47" t="s">
        <v>745</v>
      </c>
      <c r="E2" s="132" t="s">
        <v>1</v>
      </c>
      <c r="F2" s="47" t="s">
        <v>746</v>
      </c>
      <c r="G2" s="48" t="s">
        <v>747</v>
      </c>
      <c r="H2" s="147" t="s">
        <v>748</v>
      </c>
      <c r="I2" s="143" t="s">
        <v>749</v>
      </c>
      <c r="J2" s="143" t="s">
        <v>750</v>
      </c>
      <c r="K2" s="143" t="s">
        <v>751</v>
      </c>
      <c r="L2" s="47" t="s">
        <v>752</v>
      </c>
      <c r="M2" s="49" t="s">
        <v>734</v>
      </c>
      <c r="N2" s="47" t="s">
        <v>753</v>
      </c>
      <c r="O2" s="47" t="s">
        <v>736</v>
      </c>
      <c r="P2" s="47" t="s">
        <v>737</v>
      </c>
      <c r="Q2" s="63" t="s">
        <v>738</v>
      </c>
      <c r="R2" s="56" t="s">
        <v>754</v>
      </c>
      <c r="S2" s="56" t="s">
        <v>755</v>
      </c>
      <c r="T2" s="56" t="s">
        <v>756</v>
      </c>
      <c r="U2" s="56" t="s">
        <v>757</v>
      </c>
      <c r="V2" s="56" t="s">
        <v>758</v>
      </c>
      <c r="W2" s="56" t="s">
        <v>759</v>
      </c>
      <c r="X2" s="56" t="s">
        <v>760</v>
      </c>
      <c r="Y2" s="153" t="s">
        <v>738</v>
      </c>
      <c r="Z2" s="56" t="s">
        <v>761</v>
      </c>
      <c r="AA2" s="56" t="s">
        <v>762</v>
      </c>
      <c r="AB2" s="154" t="s">
        <v>763</v>
      </c>
    </row>
    <row r="3" spans="2:28" x14ac:dyDescent="0.2">
      <c r="B3" s="89">
        <v>45910</v>
      </c>
      <c r="D3" s="85" t="s">
        <v>15</v>
      </c>
      <c r="E3" s="125" t="s">
        <v>16</v>
      </c>
      <c r="F3" s="85" t="s">
        <v>17</v>
      </c>
      <c r="G3" s="85" t="s">
        <v>18</v>
      </c>
      <c r="H3" s="148" t="s">
        <v>19</v>
      </c>
      <c r="I3" s="142">
        <v>2088.6999999999998</v>
      </c>
      <c r="J3" s="144">
        <v>1</v>
      </c>
      <c r="K3" s="144">
        <v>17.5</v>
      </c>
      <c r="L3" s="86" t="s">
        <v>741</v>
      </c>
      <c r="M3" s="58"/>
      <c r="N3" s="59"/>
      <c r="O3" s="50"/>
      <c r="P3" s="60"/>
      <c r="R3" s="53" t="s">
        <v>764</v>
      </c>
      <c r="S3" s="53" t="s">
        <v>764</v>
      </c>
      <c r="T3" s="53" t="s">
        <v>769</v>
      </c>
      <c r="U3" s="53" t="s">
        <v>741</v>
      </c>
      <c r="V3" s="53" t="s">
        <v>770</v>
      </c>
      <c r="W3" s="53" t="s">
        <v>766</v>
      </c>
      <c r="X3" s="61">
        <f>IFERROR(IF(W3="","",WORKDAY.INTL(B3,_xlfn.XLOOKUP(W3,Regras!$F$2:$F$11,Regras!$G$2:$G$11))),"")</f>
        <v>45973</v>
      </c>
      <c r="Y3" s="150" t="s">
        <v>767</v>
      </c>
      <c r="Z3" s="53" t="s">
        <v>764</v>
      </c>
      <c r="AA3" s="53"/>
    </row>
    <row r="4" spans="2:28" x14ac:dyDescent="0.2">
      <c r="B4" s="89">
        <v>45905</v>
      </c>
      <c r="D4" s="85" t="s">
        <v>20</v>
      </c>
      <c r="E4" s="125" t="s">
        <v>21</v>
      </c>
      <c r="F4" s="85" t="s">
        <v>22</v>
      </c>
      <c r="G4" s="85" t="s">
        <v>12</v>
      </c>
      <c r="H4" s="148" t="s">
        <v>23</v>
      </c>
      <c r="I4" s="142">
        <v>795.71</v>
      </c>
      <c r="J4" s="144">
        <v>6</v>
      </c>
      <c r="K4" s="144">
        <v>134</v>
      </c>
      <c r="L4" s="86" t="s">
        <v>741</v>
      </c>
      <c r="M4" s="58"/>
      <c r="N4" s="59"/>
      <c r="O4" s="50"/>
      <c r="P4" s="60"/>
      <c r="R4" s="53" t="s">
        <v>764</v>
      </c>
      <c r="S4" s="53" t="s">
        <v>764</v>
      </c>
      <c r="T4" s="53" t="s">
        <v>764</v>
      </c>
      <c r="U4" s="53" t="s">
        <v>741</v>
      </c>
      <c r="V4" s="53" t="s">
        <v>765</v>
      </c>
      <c r="W4" s="53" t="s">
        <v>766</v>
      </c>
      <c r="X4" s="61">
        <f>IFERROR(IF(W4="","",WORKDAY.INTL(B4,_xlfn.XLOOKUP(W4,Regras!$F$2:$F$11,Regras!$G$2:$G$11))),"")</f>
        <v>45968</v>
      </c>
      <c r="Y4" s="150" t="s">
        <v>767</v>
      </c>
      <c r="Z4" s="53" t="s">
        <v>764</v>
      </c>
      <c r="AA4" s="53"/>
    </row>
    <row r="5" spans="2:28" x14ac:dyDescent="0.2">
      <c r="B5" s="89">
        <v>45905</v>
      </c>
      <c r="D5" s="85" t="s">
        <v>27</v>
      </c>
      <c r="E5" s="125" t="s">
        <v>28</v>
      </c>
      <c r="F5" s="85" t="s">
        <v>17</v>
      </c>
      <c r="G5" s="85" t="s">
        <v>12</v>
      </c>
      <c r="H5" s="148" t="s">
        <v>23</v>
      </c>
      <c r="I5" s="142">
        <v>1560.86</v>
      </c>
      <c r="J5" s="144">
        <v>6</v>
      </c>
      <c r="K5" s="148" t="s">
        <v>933</v>
      </c>
      <c r="L5" s="86" t="s">
        <v>741</v>
      </c>
      <c r="M5" s="58"/>
      <c r="N5" s="59"/>
      <c r="O5" s="50"/>
      <c r="P5" s="60"/>
      <c r="R5" s="53" t="s">
        <v>764</v>
      </c>
      <c r="S5" s="53" t="s">
        <v>764</v>
      </c>
      <c r="T5" s="53" t="s">
        <v>764</v>
      </c>
      <c r="U5" s="53" t="s">
        <v>741</v>
      </c>
      <c r="V5" s="53" t="s">
        <v>768</v>
      </c>
      <c r="W5" s="53" t="s">
        <v>766</v>
      </c>
      <c r="X5" s="61">
        <f>IFERROR(IF(W5="","",WORKDAY.INTL(B5,_xlfn.XLOOKUP(W5,Regras!$F$2:$F$11,Regras!$G$2:$G$11))),"")</f>
        <v>45968</v>
      </c>
      <c r="Y5" s="150" t="s">
        <v>767</v>
      </c>
      <c r="Z5" s="53" t="s">
        <v>764</v>
      </c>
      <c r="AA5" s="53"/>
    </row>
    <row r="6" spans="2:28" ht="14.25" customHeight="1" x14ac:dyDescent="0.2">
      <c r="B6" s="89">
        <v>45905</v>
      </c>
      <c r="D6" s="85" t="s">
        <v>24</v>
      </c>
      <c r="E6" s="125" t="s">
        <v>25</v>
      </c>
      <c r="F6" s="85" t="s">
        <v>26</v>
      </c>
      <c r="G6" s="85" t="s">
        <v>12</v>
      </c>
      <c r="H6" s="148" t="s">
        <v>23</v>
      </c>
      <c r="I6" s="142">
        <v>5970</v>
      </c>
      <c r="J6" s="144">
        <v>6</v>
      </c>
      <c r="K6" s="144">
        <v>33.5</v>
      </c>
      <c r="L6" s="86" t="s">
        <v>741</v>
      </c>
      <c r="M6" s="58"/>
      <c r="N6" s="59"/>
      <c r="O6" s="50"/>
      <c r="P6" s="60"/>
      <c r="R6" s="53" t="s">
        <v>764</v>
      </c>
      <c r="S6" s="53" t="s">
        <v>764</v>
      </c>
      <c r="T6" s="53" t="s">
        <v>769</v>
      </c>
      <c r="U6" s="53" t="s">
        <v>741</v>
      </c>
      <c r="V6" s="53" t="s">
        <v>770</v>
      </c>
      <c r="W6" s="53" t="s">
        <v>766</v>
      </c>
      <c r="X6" s="61">
        <f>IFERROR(IF(W6="","",WORKDAY.INTL(B6,_xlfn.XLOOKUP(W6,Regras!$F$2:$F$11,Regras!$G$2:$G$11))),"")</f>
        <v>45968</v>
      </c>
      <c r="Y6" s="150" t="s">
        <v>767</v>
      </c>
      <c r="Z6" s="53" t="s">
        <v>764</v>
      </c>
      <c r="AA6" s="53"/>
    </row>
    <row r="7" spans="2:28" x14ac:dyDescent="0.2">
      <c r="B7" s="89">
        <v>45904</v>
      </c>
      <c r="D7" s="85" t="s">
        <v>37</v>
      </c>
      <c r="E7" s="125" t="s">
        <v>38</v>
      </c>
      <c r="F7" s="85" t="s">
        <v>11</v>
      </c>
      <c r="G7" s="85" t="s">
        <v>12</v>
      </c>
      <c r="H7" s="148" t="s">
        <v>33</v>
      </c>
      <c r="I7" s="142">
        <v>769.47</v>
      </c>
      <c r="J7" s="144">
        <v>7</v>
      </c>
      <c r="K7" s="144">
        <v>30</v>
      </c>
      <c r="L7" s="86" t="s">
        <v>741</v>
      </c>
      <c r="M7" s="58"/>
      <c r="N7" s="59"/>
      <c r="O7" s="50"/>
      <c r="P7" s="60"/>
      <c r="R7" s="53" t="s">
        <v>764</v>
      </c>
      <c r="S7" s="53" t="s">
        <v>764</v>
      </c>
      <c r="T7" s="53" t="s">
        <v>764</v>
      </c>
      <c r="U7" s="53" t="s">
        <v>741</v>
      </c>
      <c r="V7" s="53" t="s">
        <v>770</v>
      </c>
      <c r="W7" s="53" t="s">
        <v>766</v>
      </c>
      <c r="X7" s="61">
        <f>IFERROR(IF(W7="","",WORKDAY.INTL(B7,_xlfn.XLOOKUP(W7,Regras!$F$2:$F$11,Regras!$G$2:$G$11))),"")</f>
        <v>45967</v>
      </c>
      <c r="Y7" s="150" t="s">
        <v>767</v>
      </c>
      <c r="Z7" s="53" t="s">
        <v>764</v>
      </c>
      <c r="AA7" s="53"/>
    </row>
    <row r="8" spans="2:28" x14ac:dyDescent="0.2">
      <c r="B8" s="89">
        <v>45904</v>
      </c>
      <c r="D8" s="85" t="s">
        <v>29</v>
      </c>
      <c r="E8" s="125" t="s">
        <v>30</v>
      </c>
      <c r="F8" s="85" t="s">
        <v>31</v>
      </c>
      <c r="G8" s="85" t="s">
        <v>32</v>
      </c>
      <c r="H8" s="148" t="s">
        <v>33</v>
      </c>
      <c r="I8" s="142">
        <v>5983.46</v>
      </c>
      <c r="J8" s="144">
        <v>7</v>
      </c>
      <c r="K8" s="144">
        <v>20</v>
      </c>
      <c r="L8" s="86" t="s">
        <v>741</v>
      </c>
      <c r="M8" s="58"/>
      <c r="N8" s="59"/>
      <c r="O8" s="50"/>
      <c r="P8" s="60"/>
      <c r="R8" s="53" t="s">
        <v>764</v>
      </c>
      <c r="S8" s="53" t="s">
        <v>764</v>
      </c>
      <c r="T8" s="53" t="s">
        <v>764</v>
      </c>
      <c r="U8" s="53" t="s">
        <v>741</v>
      </c>
      <c r="V8" s="53" t="s">
        <v>770</v>
      </c>
      <c r="W8" s="53" t="s">
        <v>766</v>
      </c>
      <c r="X8" s="61">
        <f>IFERROR(IF(W8="","",WORKDAY.INTL(B8,_xlfn.XLOOKUP(W8,Regras!$F$2:$F$11,Regras!$G$2:$G$11))),"")</f>
        <v>45967</v>
      </c>
      <c r="Y8" s="150" t="s">
        <v>767</v>
      </c>
      <c r="Z8" s="53" t="s">
        <v>764</v>
      </c>
      <c r="AA8" s="53"/>
    </row>
    <row r="9" spans="2:28" x14ac:dyDescent="0.2">
      <c r="B9" s="89">
        <v>45904</v>
      </c>
      <c r="D9" s="85" t="s">
        <v>34</v>
      </c>
      <c r="E9" s="125" t="s">
        <v>35</v>
      </c>
      <c r="F9" s="85" t="s">
        <v>36</v>
      </c>
      <c r="G9" s="85" t="s">
        <v>12</v>
      </c>
      <c r="H9" s="148" t="s">
        <v>33</v>
      </c>
      <c r="I9" s="142">
        <v>2873.11</v>
      </c>
      <c r="J9" s="144">
        <v>7</v>
      </c>
      <c r="K9" s="144">
        <v>90</v>
      </c>
      <c r="L9" s="86" t="s">
        <v>741</v>
      </c>
      <c r="M9" s="58"/>
      <c r="N9" s="59"/>
      <c r="O9" s="50"/>
      <c r="P9" s="60"/>
      <c r="R9" s="53" t="s">
        <v>764</v>
      </c>
      <c r="S9" s="53" t="s">
        <v>764</v>
      </c>
      <c r="T9" s="53" t="s">
        <v>764</v>
      </c>
      <c r="U9" s="53" t="s">
        <v>741</v>
      </c>
      <c r="V9" s="53" t="s">
        <v>770</v>
      </c>
      <c r="W9" s="53" t="s">
        <v>766</v>
      </c>
      <c r="X9" s="61">
        <f>IFERROR(IF(W9="","",WORKDAY.INTL(B9,_xlfn.XLOOKUP(W9,Regras!$F$2:$F$11,Regras!$G$2:$G$11))),"")</f>
        <v>45967</v>
      </c>
      <c r="Y9" s="150" t="s">
        <v>767</v>
      </c>
      <c r="Z9" s="53" t="s">
        <v>764</v>
      </c>
      <c r="AA9" s="53"/>
    </row>
    <row r="10" spans="2:28" ht="14.25" customHeight="1" x14ac:dyDescent="0.2">
      <c r="B10" s="89">
        <v>45904</v>
      </c>
      <c r="D10" s="100" t="s">
        <v>39</v>
      </c>
      <c r="E10" s="126" t="s">
        <v>40</v>
      </c>
      <c r="F10" s="100" t="s">
        <v>41</v>
      </c>
      <c r="G10" s="100" t="s">
        <v>32</v>
      </c>
      <c r="H10" s="148" t="s">
        <v>33</v>
      </c>
      <c r="I10" s="142">
        <v>675.96</v>
      </c>
      <c r="J10" s="144">
        <v>7</v>
      </c>
      <c r="K10" s="148" t="s">
        <v>933</v>
      </c>
      <c r="L10" s="86" t="s">
        <v>741</v>
      </c>
      <c r="M10" s="58"/>
      <c r="N10" s="59"/>
      <c r="O10" s="50"/>
      <c r="P10" s="60"/>
      <c r="R10" s="53" t="s">
        <v>764</v>
      </c>
      <c r="S10" s="53" t="s">
        <v>764</v>
      </c>
      <c r="T10" s="53" t="s">
        <v>764</v>
      </c>
      <c r="U10" s="53" t="s">
        <v>741</v>
      </c>
      <c r="V10" s="53" t="s">
        <v>768</v>
      </c>
      <c r="W10" s="53" t="s">
        <v>766</v>
      </c>
      <c r="X10" s="61">
        <f>IFERROR(IF(W10="","",WORKDAY.INTL(B10,_xlfn.XLOOKUP(W10,Regras!$F$2:$F$11,Regras!$G$2:$G$11))),"")</f>
        <v>45967</v>
      </c>
      <c r="Y10" s="150" t="s">
        <v>767</v>
      </c>
      <c r="Z10" s="53" t="s">
        <v>764</v>
      </c>
      <c r="AA10" s="53"/>
    </row>
    <row r="11" spans="2:28" x14ac:dyDescent="0.2">
      <c r="B11" s="89">
        <v>45904</v>
      </c>
      <c r="D11" s="85" t="s">
        <v>47</v>
      </c>
      <c r="E11" s="125" t="s">
        <v>48</v>
      </c>
      <c r="F11" s="85" t="s">
        <v>49</v>
      </c>
      <c r="G11" s="85" t="s">
        <v>18</v>
      </c>
      <c r="H11" s="148" t="s">
        <v>33</v>
      </c>
      <c r="I11" s="142">
        <v>704.66</v>
      </c>
      <c r="J11" s="144">
        <v>7</v>
      </c>
      <c r="K11" s="148" t="s">
        <v>933</v>
      </c>
      <c r="L11" s="86" t="s">
        <v>741</v>
      </c>
      <c r="M11" s="58"/>
      <c r="N11" s="59"/>
      <c r="O11" s="50"/>
      <c r="P11" s="60"/>
      <c r="R11" s="53" t="s">
        <v>764</v>
      </c>
      <c r="S11" s="53" t="s">
        <v>764</v>
      </c>
      <c r="T11" s="53" t="s">
        <v>769</v>
      </c>
      <c r="U11" s="53" t="s">
        <v>741</v>
      </c>
      <c r="V11" s="53" t="s">
        <v>768</v>
      </c>
      <c r="W11" s="53" t="s">
        <v>766</v>
      </c>
      <c r="X11" s="61">
        <f>IFERROR(IF(W11="","",WORKDAY.INTL(B11,_xlfn.XLOOKUP(W11,Regras!$F$2:$F$11,Regras!$G$2:$G$11))),"")</f>
        <v>45967</v>
      </c>
      <c r="Y11" s="150" t="s">
        <v>767</v>
      </c>
      <c r="Z11" s="53" t="s">
        <v>764</v>
      </c>
      <c r="AA11" s="53"/>
    </row>
    <row r="12" spans="2:28" x14ac:dyDescent="0.2">
      <c r="B12" s="89">
        <v>45904</v>
      </c>
      <c r="D12" s="85" t="s">
        <v>44</v>
      </c>
      <c r="E12" s="125" t="s">
        <v>45</v>
      </c>
      <c r="F12" s="85" t="s">
        <v>46</v>
      </c>
      <c r="G12" s="85" t="s">
        <v>32</v>
      </c>
      <c r="H12" s="148" t="s">
        <v>33</v>
      </c>
      <c r="I12" s="142">
        <v>775.04</v>
      </c>
      <c r="J12" s="144">
        <v>7</v>
      </c>
      <c r="K12" s="148" t="s">
        <v>933</v>
      </c>
      <c r="L12" s="86" t="s">
        <v>741</v>
      </c>
      <c r="M12" s="58"/>
      <c r="N12" s="59"/>
      <c r="O12" s="50"/>
      <c r="P12" s="60"/>
      <c r="R12" s="53" t="s">
        <v>764</v>
      </c>
      <c r="S12" s="53" t="s">
        <v>764</v>
      </c>
      <c r="T12" s="53" t="s">
        <v>769</v>
      </c>
      <c r="U12" s="53" t="s">
        <v>741</v>
      </c>
      <c r="V12" s="53" t="s">
        <v>768</v>
      </c>
      <c r="W12" s="53" t="s">
        <v>766</v>
      </c>
      <c r="X12" s="61">
        <f>IFERROR(IF(W12="","",WORKDAY.INTL(B12,_xlfn.XLOOKUP(W12,Regras!$F$2:$F$11,Regras!$G$2:$G$11))),"")</f>
        <v>45967</v>
      </c>
      <c r="Y12" s="150" t="s">
        <v>767</v>
      </c>
      <c r="Z12" s="53" t="s">
        <v>764</v>
      </c>
      <c r="AA12" s="53"/>
    </row>
    <row r="13" spans="2:28" x14ac:dyDescent="0.2">
      <c r="B13" s="89">
        <v>45904</v>
      </c>
      <c r="D13" s="85" t="s">
        <v>42</v>
      </c>
      <c r="E13" s="125" t="s">
        <v>43</v>
      </c>
      <c r="F13" s="85" t="s">
        <v>11</v>
      </c>
      <c r="G13" s="85" t="s">
        <v>12</v>
      </c>
      <c r="H13" s="148" t="s">
        <v>33</v>
      </c>
      <c r="I13" s="142">
        <v>397.4</v>
      </c>
      <c r="J13" s="144">
        <v>7</v>
      </c>
      <c r="K13" s="144">
        <v>10.5</v>
      </c>
      <c r="L13" s="86" t="s">
        <v>741</v>
      </c>
      <c r="M13" s="58"/>
      <c r="N13" s="59"/>
      <c r="O13" s="50"/>
      <c r="P13" s="60"/>
      <c r="R13" s="53" t="s">
        <v>764</v>
      </c>
      <c r="S13" s="53" t="s">
        <v>764</v>
      </c>
      <c r="T13" s="53" t="s">
        <v>769</v>
      </c>
      <c r="U13" s="53" t="s">
        <v>741</v>
      </c>
      <c r="V13" s="53" t="s">
        <v>770</v>
      </c>
      <c r="W13" s="53" t="s">
        <v>766</v>
      </c>
      <c r="X13" s="61">
        <f>IFERROR(IF(W13="","",WORKDAY.INTL(B13,_xlfn.XLOOKUP(W13,Regras!$F$2:$F$11,Regras!$G$2:$G$11))),"")</f>
        <v>45967</v>
      </c>
      <c r="Y13" s="150" t="s">
        <v>767</v>
      </c>
      <c r="Z13" s="53" t="s">
        <v>764</v>
      </c>
      <c r="AA13" s="53"/>
    </row>
    <row r="14" spans="2:28" ht="15" customHeight="1" x14ac:dyDescent="0.2">
      <c r="B14" s="89">
        <v>45903</v>
      </c>
      <c r="D14" s="85" t="s">
        <v>50</v>
      </c>
      <c r="E14" s="125" t="s">
        <v>51</v>
      </c>
      <c r="F14" s="85" t="s">
        <v>52</v>
      </c>
      <c r="G14" s="85" t="s">
        <v>53</v>
      </c>
      <c r="H14" s="148" t="s">
        <v>54</v>
      </c>
      <c r="I14" s="142">
        <v>1572.57</v>
      </c>
      <c r="J14" s="144">
        <v>8</v>
      </c>
      <c r="K14" s="144">
        <v>53.5</v>
      </c>
      <c r="L14" s="86" t="s">
        <v>741</v>
      </c>
      <c r="M14" s="58"/>
      <c r="N14" s="59"/>
      <c r="O14" s="50"/>
      <c r="P14" s="60"/>
      <c r="R14" s="53" t="s">
        <v>764</v>
      </c>
      <c r="S14" s="53" t="s">
        <v>764</v>
      </c>
      <c r="T14" s="53" t="s">
        <v>769</v>
      </c>
      <c r="U14" s="53" t="s">
        <v>773</v>
      </c>
      <c r="V14" s="53" t="s">
        <v>770</v>
      </c>
      <c r="W14" s="53" t="s">
        <v>766</v>
      </c>
      <c r="X14" s="61">
        <f>IFERROR(IF(W14="","",WORKDAY.INTL(B14,_xlfn.XLOOKUP(W14,Regras!$F$2:$F$11,Regras!$G$2:$G$11))),"")</f>
        <v>45966</v>
      </c>
      <c r="Y14" s="150" t="s">
        <v>767</v>
      </c>
      <c r="Z14" s="53" t="s">
        <v>764</v>
      </c>
      <c r="AA14" s="53"/>
    </row>
    <row r="15" spans="2:28" x14ac:dyDescent="0.2">
      <c r="B15" s="89">
        <v>45903</v>
      </c>
      <c r="D15" s="85" t="s">
        <v>55</v>
      </c>
      <c r="E15" s="125" t="s">
        <v>56</v>
      </c>
      <c r="F15" s="85" t="s">
        <v>11</v>
      </c>
      <c r="G15" s="85" t="s">
        <v>12</v>
      </c>
      <c r="H15" s="148" t="s">
        <v>54</v>
      </c>
      <c r="I15" s="142">
        <v>1873.36</v>
      </c>
      <c r="J15" s="144">
        <v>8</v>
      </c>
      <c r="K15" s="144">
        <v>22</v>
      </c>
      <c r="L15" s="86" t="s">
        <v>741</v>
      </c>
      <c r="M15" s="58"/>
      <c r="N15" s="59"/>
      <c r="O15" s="50"/>
      <c r="P15" s="60"/>
      <c r="R15" s="53" t="s">
        <v>764</v>
      </c>
      <c r="S15" s="53" t="s">
        <v>764</v>
      </c>
      <c r="T15" s="53" t="s">
        <v>769</v>
      </c>
      <c r="U15" s="53" t="s">
        <v>741</v>
      </c>
      <c r="V15" s="53" t="s">
        <v>770</v>
      </c>
      <c r="W15" s="53" t="s">
        <v>766</v>
      </c>
      <c r="X15" s="61">
        <f>IFERROR(IF(W15="","",WORKDAY.INTL(B15,_xlfn.XLOOKUP(W15,Regras!$F$2:$F$11,Regras!$G$2:$G$11))),"")</f>
        <v>45966</v>
      </c>
      <c r="Y15" s="150" t="s">
        <v>767</v>
      </c>
      <c r="Z15" s="53" t="s">
        <v>764</v>
      </c>
      <c r="AA15" s="53"/>
    </row>
    <row r="16" spans="2:28" x14ac:dyDescent="0.2">
      <c r="B16" s="89">
        <v>45902</v>
      </c>
      <c r="D16" s="85" t="s">
        <v>63</v>
      </c>
      <c r="E16" s="125" t="s">
        <v>64</v>
      </c>
      <c r="F16" s="85" t="s">
        <v>31</v>
      </c>
      <c r="G16" s="85" t="s">
        <v>12</v>
      </c>
      <c r="H16" s="148" t="s">
        <v>60</v>
      </c>
      <c r="I16" s="142">
        <v>2021.53</v>
      </c>
      <c r="J16" s="144">
        <v>9</v>
      </c>
      <c r="K16" s="148" t="s">
        <v>933</v>
      </c>
      <c r="L16" s="86" t="s">
        <v>741</v>
      </c>
      <c r="M16" s="58"/>
      <c r="N16" s="59"/>
      <c r="O16" s="50"/>
      <c r="P16" s="60"/>
      <c r="R16" s="53" t="s">
        <v>764</v>
      </c>
      <c r="S16" s="53" t="s">
        <v>764</v>
      </c>
      <c r="T16" s="53" t="s">
        <v>764</v>
      </c>
      <c r="U16" s="53" t="s">
        <v>741</v>
      </c>
      <c r="V16" s="53" t="s">
        <v>768</v>
      </c>
      <c r="W16" s="53" t="s">
        <v>766</v>
      </c>
      <c r="X16" s="61">
        <f>IFERROR(IF(W16="","",WORKDAY.INTL(B16,_xlfn.XLOOKUP(W16,Regras!$F$2:$F$11,Regras!$G$2:$G$11))),"")</f>
        <v>45965</v>
      </c>
      <c r="Y16" s="150" t="s">
        <v>767</v>
      </c>
      <c r="Z16" s="53" t="s">
        <v>764</v>
      </c>
      <c r="AA16" s="53"/>
    </row>
    <row r="17" spans="2:28" x14ac:dyDescent="0.2">
      <c r="B17" s="89">
        <v>45902</v>
      </c>
      <c r="D17" s="85" t="s">
        <v>61</v>
      </c>
      <c r="E17" s="125" t="s">
        <v>62</v>
      </c>
      <c r="F17" s="85" t="s">
        <v>17</v>
      </c>
      <c r="G17" s="85" t="s">
        <v>12</v>
      </c>
      <c r="H17" s="148" t="s">
        <v>60</v>
      </c>
      <c r="I17" s="142">
        <v>1387.75</v>
      </c>
      <c r="J17" s="144">
        <v>9</v>
      </c>
      <c r="K17" s="148" t="s">
        <v>933</v>
      </c>
      <c r="L17" s="86" t="s">
        <v>741</v>
      </c>
      <c r="M17" s="58"/>
      <c r="N17" s="59"/>
      <c r="O17" s="50"/>
      <c r="P17" s="60"/>
      <c r="R17" s="53" t="s">
        <v>764</v>
      </c>
      <c r="S17" s="53" t="s">
        <v>764</v>
      </c>
      <c r="T17" s="53" t="s">
        <v>769</v>
      </c>
      <c r="U17" s="53" t="s">
        <v>741</v>
      </c>
      <c r="V17" s="53" t="s">
        <v>768</v>
      </c>
      <c r="W17" s="53" t="s">
        <v>766</v>
      </c>
      <c r="X17" s="61">
        <f>IFERROR(IF(W17="","",WORKDAY.INTL(B17,_xlfn.XLOOKUP(W17,Regras!$F$2:$F$11,Regras!$G$2:$G$11))),"")</f>
        <v>45965</v>
      </c>
      <c r="Y17" s="150" t="s">
        <v>767</v>
      </c>
      <c r="Z17" s="53" t="s">
        <v>764</v>
      </c>
      <c r="AA17" s="53"/>
    </row>
    <row r="18" spans="2:28" x14ac:dyDescent="0.2">
      <c r="B18" s="89">
        <v>45902</v>
      </c>
      <c r="D18" s="85" t="s">
        <v>57</v>
      </c>
      <c r="E18" s="125" t="s">
        <v>58</v>
      </c>
      <c r="F18" s="85" t="s">
        <v>59</v>
      </c>
      <c r="G18" s="85" t="s">
        <v>12</v>
      </c>
      <c r="H18" s="148" t="s">
        <v>60</v>
      </c>
      <c r="I18" s="142">
        <v>1216.68</v>
      </c>
      <c r="J18" s="144">
        <v>9</v>
      </c>
      <c r="K18" s="144">
        <v>61</v>
      </c>
      <c r="L18" s="86" t="s">
        <v>741</v>
      </c>
      <c r="M18" s="58"/>
      <c r="N18" s="59"/>
      <c r="O18" s="50"/>
      <c r="P18" s="60"/>
      <c r="R18" s="53" t="s">
        <v>764</v>
      </c>
      <c r="S18" s="53" t="s">
        <v>764</v>
      </c>
      <c r="T18" s="53" t="s">
        <v>764</v>
      </c>
      <c r="U18" s="53" t="s">
        <v>741</v>
      </c>
      <c r="V18" s="53" t="s">
        <v>770</v>
      </c>
      <c r="W18" s="53" t="s">
        <v>766</v>
      </c>
      <c r="X18" s="61">
        <f>IFERROR(IF(W18="","",WORKDAY.INTL(B18,_xlfn.XLOOKUP(W18,Regras!$F$2:$F$11,Regras!$G$2:$G$11))),"")</f>
        <v>45965</v>
      </c>
      <c r="Y18" s="150" t="s">
        <v>767</v>
      </c>
      <c r="Z18" s="53" t="s">
        <v>764</v>
      </c>
      <c r="AA18" s="53"/>
    </row>
    <row r="19" spans="2:28" x14ac:dyDescent="0.2">
      <c r="B19" s="89">
        <v>45901</v>
      </c>
      <c r="D19" s="85" t="s">
        <v>65</v>
      </c>
      <c r="E19" s="125" t="s">
        <v>66</v>
      </c>
      <c r="F19" s="85" t="s">
        <v>67</v>
      </c>
      <c r="G19" s="85" t="s">
        <v>18</v>
      </c>
      <c r="H19" s="148" t="s">
        <v>68</v>
      </c>
      <c r="I19" s="142">
        <v>858.48</v>
      </c>
      <c r="J19" s="144">
        <v>10</v>
      </c>
      <c r="K19" s="144">
        <v>153</v>
      </c>
      <c r="L19" s="86" t="s">
        <v>741</v>
      </c>
      <c r="M19" s="58"/>
      <c r="N19" s="59"/>
      <c r="O19" s="50"/>
      <c r="P19" s="60"/>
      <c r="R19" s="53" t="s">
        <v>764</v>
      </c>
      <c r="S19" s="53" t="s">
        <v>764</v>
      </c>
      <c r="T19" s="53" t="s">
        <v>764</v>
      </c>
      <c r="U19" s="53" t="s">
        <v>741</v>
      </c>
      <c r="V19" s="53" t="s">
        <v>765</v>
      </c>
      <c r="W19" s="53" t="s">
        <v>766</v>
      </c>
      <c r="X19" s="61">
        <f>IFERROR(IF(W19="","",WORKDAY.INTL(B19,_xlfn.XLOOKUP(W19,Regras!$F$2:$F$11,Regras!$G$2:$G$11))),"")</f>
        <v>45964</v>
      </c>
      <c r="Y19" s="150" t="s">
        <v>767</v>
      </c>
      <c r="Z19" s="53" t="s">
        <v>764</v>
      </c>
      <c r="AA19" s="53"/>
    </row>
    <row r="20" spans="2:28" x14ac:dyDescent="0.2">
      <c r="B20" s="89">
        <v>45898</v>
      </c>
      <c r="D20" s="85" t="s">
        <v>73</v>
      </c>
      <c r="E20" s="125" t="s">
        <v>74</v>
      </c>
      <c r="F20" s="85" t="s">
        <v>46</v>
      </c>
      <c r="G20" s="85" t="s">
        <v>18</v>
      </c>
      <c r="H20" s="148" t="s">
        <v>72</v>
      </c>
      <c r="I20" s="142">
        <v>906.11</v>
      </c>
      <c r="J20" s="144">
        <v>13</v>
      </c>
      <c r="K20" s="144">
        <v>56.5</v>
      </c>
      <c r="L20" s="86" t="s">
        <v>741</v>
      </c>
      <c r="M20" s="58"/>
      <c r="N20" s="59"/>
      <c r="O20" s="50"/>
      <c r="P20" s="60"/>
      <c r="R20" s="53" t="s">
        <v>764</v>
      </c>
      <c r="S20" s="53" t="s">
        <v>764</v>
      </c>
      <c r="T20" s="53" t="s">
        <v>764</v>
      </c>
      <c r="U20" s="53" t="s">
        <v>741</v>
      </c>
      <c r="V20" s="53" t="s">
        <v>765</v>
      </c>
      <c r="W20" s="53" t="s">
        <v>766</v>
      </c>
      <c r="X20" s="61">
        <f>IFERROR(IF(W20="","",WORKDAY.INTL(B20,_xlfn.XLOOKUP(W20,Regras!$F$2:$F$11,Regras!$G$2:$G$11))),"")</f>
        <v>45961</v>
      </c>
      <c r="Y20" s="150" t="s">
        <v>767</v>
      </c>
      <c r="Z20" s="53" t="s">
        <v>764</v>
      </c>
      <c r="AA20" s="53"/>
    </row>
    <row r="21" spans="2:28" x14ac:dyDescent="0.2">
      <c r="B21" s="89">
        <v>45898</v>
      </c>
      <c r="D21" s="85" t="s">
        <v>75</v>
      </c>
      <c r="E21" s="125" t="s">
        <v>76</v>
      </c>
      <c r="F21" s="85" t="s">
        <v>46</v>
      </c>
      <c r="G21" s="85" t="s">
        <v>12</v>
      </c>
      <c r="H21" s="148" t="s">
        <v>72</v>
      </c>
      <c r="I21" s="142">
        <v>1267.1099999999999</v>
      </c>
      <c r="J21" s="144">
        <v>13</v>
      </c>
      <c r="K21" s="144">
        <v>58</v>
      </c>
      <c r="L21" s="86" t="s">
        <v>741</v>
      </c>
      <c r="M21" s="58"/>
      <c r="N21" s="59"/>
      <c r="O21" s="50"/>
      <c r="P21" s="60"/>
      <c r="R21" s="53" t="s">
        <v>764</v>
      </c>
      <c r="S21" s="53" t="s">
        <v>764</v>
      </c>
      <c r="T21" s="53" t="s">
        <v>764</v>
      </c>
      <c r="U21" s="53" t="s">
        <v>741</v>
      </c>
      <c r="V21" s="53" t="s">
        <v>765</v>
      </c>
      <c r="W21" s="53" t="s">
        <v>766</v>
      </c>
      <c r="X21" s="61">
        <f>IFERROR(IF(W21="","",WORKDAY.INTL(B21,_xlfn.XLOOKUP(W21,Regras!$F$2:$F$11,Regras!$G$2:$G$11))),"")</f>
        <v>45961</v>
      </c>
      <c r="Y21" s="150" t="s">
        <v>767</v>
      </c>
      <c r="Z21" s="53" t="s">
        <v>764</v>
      </c>
      <c r="AA21" s="53"/>
    </row>
    <row r="22" spans="2:28" x14ac:dyDescent="0.2">
      <c r="B22" s="89">
        <v>45898</v>
      </c>
      <c r="D22" s="85" t="s">
        <v>69</v>
      </c>
      <c r="E22" s="125" t="s">
        <v>70</v>
      </c>
      <c r="F22" s="85" t="s">
        <v>71</v>
      </c>
      <c r="G22" s="85" t="s">
        <v>12</v>
      </c>
      <c r="H22" s="148" t="s">
        <v>72</v>
      </c>
      <c r="I22" s="142">
        <v>1715.21</v>
      </c>
      <c r="J22" s="144">
        <v>13</v>
      </c>
      <c r="K22" s="144">
        <v>88</v>
      </c>
      <c r="L22" s="86" t="s">
        <v>741</v>
      </c>
      <c r="M22" s="58"/>
      <c r="N22" s="59"/>
      <c r="O22" s="50"/>
      <c r="P22" s="60"/>
      <c r="R22" s="53" t="s">
        <v>764</v>
      </c>
      <c r="S22" s="53" t="s">
        <v>764</v>
      </c>
      <c r="T22" s="53" t="s">
        <v>764</v>
      </c>
      <c r="U22" s="53" t="s">
        <v>741</v>
      </c>
      <c r="V22" s="53" t="s">
        <v>770</v>
      </c>
      <c r="W22" s="53" t="s">
        <v>766</v>
      </c>
      <c r="X22" s="61">
        <f>IFERROR(IF(W22="","",WORKDAY.INTL(B22,_xlfn.XLOOKUP(W22,Regras!$F$2:$F$11,Regras!$G$2:$G$11))),"")</f>
        <v>45961</v>
      </c>
      <c r="Y22" s="150" t="s">
        <v>767</v>
      </c>
      <c r="Z22" s="53" t="s">
        <v>764</v>
      </c>
      <c r="AA22" s="53"/>
    </row>
    <row r="23" spans="2:28" x14ac:dyDescent="0.2">
      <c r="B23" s="89">
        <v>45898</v>
      </c>
      <c r="D23" s="100" t="s">
        <v>79</v>
      </c>
      <c r="E23" s="126" t="s">
        <v>80</v>
      </c>
      <c r="F23" s="100" t="s">
        <v>31</v>
      </c>
      <c r="G23" s="100" t="s">
        <v>12</v>
      </c>
      <c r="H23" s="148" t="s">
        <v>72</v>
      </c>
      <c r="I23" s="142">
        <v>3767.53</v>
      </c>
      <c r="J23" s="144">
        <v>13</v>
      </c>
      <c r="K23" s="148" t="s">
        <v>933</v>
      </c>
      <c r="L23" s="86" t="s">
        <v>741</v>
      </c>
      <c r="M23" s="58"/>
      <c r="N23" s="59"/>
      <c r="O23" s="50"/>
      <c r="P23" s="60"/>
      <c r="R23" s="53" t="s">
        <v>764</v>
      </c>
      <c r="S23" s="53" t="s">
        <v>764</v>
      </c>
      <c r="T23" s="53" t="s">
        <v>769</v>
      </c>
      <c r="U23" s="53" t="s">
        <v>741</v>
      </c>
      <c r="V23" s="53" t="s">
        <v>768</v>
      </c>
      <c r="W23" s="53" t="s">
        <v>766</v>
      </c>
      <c r="X23" s="61">
        <f>IFERROR(IF(W23="","",WORKDAY.INTL(B23,_xlfn.XLOOKUP(W23,Regras!$F$2:$F$11,Regras!$G$2:$G$11))),"")</f>
        <v>45961</v>
      </c>
      <c r="Y23" s="150" t="s">
        <v>767</v>
      </c>
      <c r="Z23" s="53" t="s">
        <v>764</v>
      </c>
      <c r="AA23" s="53"/>
    </row>
    <row r="24" spans="2:28" x14ac:dyDescent="0.2">
      <c r="B24" s="89">
        <v>45898</v>
      </c>
      <c r="D24" s="100" t="s">
        <v>77</v>
      </c>
      <c r="E24" s="126" t="s">
        <v>78</v>
      </c>
      <c r="F24" s="100" t="s">
        <v>17</v>
      </c>
      <c r="G24" s="100" t="s">
        <v>12</v>
      </c>
      <c r="H24" s="148" t="s">
        <v>72</v>
      </c>
      <c r="I24" s="142">
        <v>2969.26</v>
      </c>
      <c r="J24" s="144">
        <v>13</v>
      </c>
      <c r="K24" s="148" t="s">
        <v>933</v>
      </c>
      <c r="L24" s="86" t="s">
        <v>741</v>
      </c>
      <c r="M24" s="58"/>
      <c r="N24" s="59"/>
      <c r="O24" s="50"/>
      <c r="P24" s="60"/>
      <c r="R24" s="53" t="s">
        <v>764</v>
      </c>
      <c r="S24" s="53" t="s">
        <v>764</v>
      </c>
      <c r="T24" s="53" t="s">
        <v>769</v>
      </c>
      <c r="U24" s="53" t="s">
        <v>741</v>
      </c>
      <c r="V24" s="53" t="s">
        <v>768</v>
      </c>
      <c r="W24" s="53" t="s">
        <v>766</v>
      </c>
      <c r="X24" s="61">
        <f>IFERROR(IF(W24="","",WORKDAY.INTL(B24,_xlfn.XLOOKUP(W24,Regras!$F$2:$F$11,Regras!$G$2:$G$11))),"")</f>
        <v>45961</v>
      </c>
      <c r="Y24" s="150" t="s">
        <v>767</v>
      </c>
      <c r="Z24" s="53" t="s">
        <v>764</v>
      </c>
      <c r="AA24" s="53"/>
    </row>
    <row r="25" spans="2:28" x14ac:dyDescent="0.2">
      <c r="B25" s="89">
        <v>45897</v>
      </c>
      <c r="D25" s="85" t="s">
        <v>90</v>
      </c>
      <c r="E25" s="125" t="s">
        <v>91</v>
      </c>
      <c r="F25" s="85" t="s">
        <v>46</v>
      </c>
      <c r="G25" s="85" t="s">
        <v>18</v>
      </c>
      <c r="H25" s="148" t="s">
        <v>83</v>
      </c>
      <c r="I25" s="142">
        <v>876.13</v>
      </c>
      <c r="J25" s="144">
        <v>14</v>
      </c>
      <c r="K25" s="144">
        <v>63</v>
      </c>
      <c r="L25" s="86" t="s">
        <v>741</v>
      </c>
      <c r="M25" s="58"/>
      <c r="N25" s="59"/>
      <c r="O25" s="50"/>
      <c r="P25" s="60"/>
      <c r="R25" s="53" t="s">
        <v>764</v>
      </c>
      <c r="S25" s="53" t="s">
        <v>764</v>
      </c>
      <c r="T25" s="53" t="s">
        <v>769</v>
      </c>
      <c r="U25" s="53" t="s">
        <v>741</v>
      </c>
      <c r="V25" s="53" t="s">
        <v>765</v>
      </c>
      <c r="W25" s="53" t="s">
        <v>766</v>
      </c>
      <c r="X25" s="61">
        <f>IFERROR(IF(W25="","",WORKDAY.INTL(B25,_xlfn.XLOOKUP(W25,Regras!$F$2:$F$11,Regras!$G$2:$G$11))),"")</f>
        <v>45960</v>
      </c>
      <c r="Y25" s="150" t="s">
        <v>767</v>
      </c>
      <c r="Z25" s="53" t="s">
        <v>764</v>
      </c>
      <c r="AA25" s="53"/>
    </row>
    <row r="26" spans="2:28" ht="14.25" customHeight="1" x14ac:dyDescent="0.2">
      <c r="B26" s="89">
        <v>45897</v>
      </c>
      <c r="D26" s="85" t="s">
        <v>84</v>
      </c>
      <c r="E26" s="125" t="s">
        <v>85</v>
      </c>
      <c r="F26" s="85" t="s">
        <v>26</v>
      </c>
      <c r="G26" s="85" t="s">
        <v>18</v>
      </c>
      <c r="H26" s="148" t="s">
        <v>83</v>
      </c>
      <c r="I26" s="142">
        <v>1570.64</v>
      </c>
      <c r="J26" s="144">
        <v>14</v>
      </c>
      <c r="K26" s="148" t="s">
        <v>933</v>
      </c>
      <c r="L26" s="86" t="s">
        <v>741</v>
      </c>
      <c r="M26" s="58"/>
      <c r="N26" s="59"/>
      <c r="O26" s="50"/>
      <c r="P26" s="60"/>
      <c r="R26" s="53" t="s">
        <v>764</v>
      </c>
      <c r="S26" s="53" t="s">
        <v>764</v>
      </c>
      <c r="T26" s="53" t="s">
        <v>769</v>
      </c>
      <c r="U26" s="53" t="s">
        <v>773</v>
      </c>
      <c r="V26" s="53" t="s">
        <v>768</v>
      </c>
      <c r="W26" s="53" t="s">
        <v>766</v>
      </c>
      <c r="X26" s="61">
        <f>IFERROR(IF(W26="","",WORKDAY.INTL(B26,_xlfn.XLOOKUP(W26,Regras!$F$2:$F$11,Regras!$G$2:$G$11))),"")</f>
        <v>45960</v>
      </c>
      <c r="Y26" s="150" t="s">
        <v>767</v>
      </c>
      <c r="Z26" s="53" t="s">
        <v>764</v>
      </c>
      <c r="AA26" s="53"/>
    </row>
    <row r="27" spans="2:28" x14ac:dyDescent="0.2">
      <c r="B27" s="89">
        <v>45897</v>
      </c>
      <c r="D27" s="85" t="s">
        <v>81</v>
      </c>
      <c r="E27" s="125" t="s">
        <v>82</v>
      </c>
      <c r="F27" s="85" t="s">
        <v>46</v>
      </c>
      <c r="G27" s="85" t="s">
        <v>12</v>
      </c>
      <c r="H27" s="148" t="s">
        <v>83</v>
      </c>
      <c r="I27" s="142">
        <v>5094</v>
      </c>
      <c r="J27" s="144">
        <v>14</v>
      </c>
      <c r="K27" s="144">
        <v>62.5</v>
      </c>
      <c r="L27" s="86" t="s">
        <v>741</v>
      </c>
      <c r="M27" s="58"/>
      <c r="N27" s="59"/>
      <c r="O27" s="50"/>
      <c r="P27" s="60"/>
      <c r="R27" s="53" t="s">
        <v>764</v>
      </c>
      <c r="S27" s="53" t="s">
        <v>764</v>
      </c>
      <c r="T27" s="53" t="s">
        <v>769</v>
      </c>
      <c r="U27" s="53" t="s">
        <v>741</v>
      </c>
      <c r="V27" s="53" t="s">
        <v>765</v>
      </c>
      <c r="W27" s="53" t="s">
        <v>766</v>
      </c>
      <c r="X27" s="61">
        <f>IFERROR(IF(W27="","",WORKDAY.INTL(B27,_xlfn.XLOOKUP(W27,Regras!$F$2:$F$11,Regras!$G$2:$G$11))),"")</f>
        <v>45960</v>
      </c>
      <c r="Y27" s="150" t="s">
        <v>767</v>
      </c>
      <c r="Z27" s="53" t="s">
        <v>764</v>
      </c>
      <c r="AA27" s="53"/>
    </row>
    <row r="28" spans="2:28" x14ac:dyDescent="0.2">
      <c r="B28" s="89">
        <v>45897</v>
      </c>
      <c r="D28" s="85" t="s">
        <v>92</v>
      </c>
      <c r="E28" s="125" t="s">
        <v>93</v>
      </c>
      <c r="F28" s="85" t="s">
        <v>22</v>
      </c>
      <c r="G28" s="85" t="s">
        <v>12</v>
      </c>
      <c r="H28" s="148" t="s">
        <v>83</v>
      </c>
      <c r="I28" s="142">
        <v>904.49</v>
      </c>
      <c r="J28" s="144">
        <v>14</v>
      </c>
      <c r="K28" s="148" t="s">
        <v>933</v>
      </c>
      <c r="L28" s="86" t="s">
        <v>741</v>
      </c>
      <c r="M28" s="58"/>
      <c r="N28" s="59"/>
      <c r="O28" s="50"/>
      <c r="P28" s="60"/>
      <c r="R28" s="53" t="s">
        <v>764</v>
      </c>
      <c r="S28" s="53" t="s">
        <v>764</v>
      </c>
      <c r="T28" s="53" t="s">
        <v>764</v>
      </c>
      <c r="U28" s="53" t="s">
        <v>741</v>
      </c>
      <c r="V28" s="53" t="s">
        <v>768</v>
      </c>
      <c r="W28" s="53" t="s">
        <v>766</v>
      </c>
      <c r="X28" s="61">
        <f>IFERROR(IF(W28="","",WORKDAY.INTL(B28,_xlfn.XLOOKUP(W28,Regras!$F$2:$F$11,Regras!$G$2:$G$11))),"")</f>
        <v>45960</v>
      </c>
      <c r="Y28" s="150" t="s">
        <v>805</v>
      </c>
      <c r="Z28" s="53" t="s">
        <v>764</v>
      </c>
      <c r="AA28" s="53"/>
    </row>
    <row r="29" spans="2:28" x14ac:dyDescent="0.2">
      <c r="B29" s="89">
        <v>45897</v>
      </c>
      <c r="D29" s="85" t="s">
        <v>86</v>
      </c>
      <c r="E29" s="125" t="s">
        <v>87</v>
      </c>
      <c r="F29" s="85" t="s">
        <v>59</v>
      </c>
      <c r="G29" s="85" t="s">
        <v>12</v>
      </c>
      <c r="H29" s="148" t="s">
        <v>83</v>
      </c>
      <c r="I29" s="142">
        <v>998.4</v>
      </c>
      <c r="J29" s="144">
        <v>14</v>
      </c>
      <c r="K29" s="144">
        <v>60.5</v>
      </c>
      <c r="L29" s="86" t="s">
        <v>741</v>
      </c>
      <c r="M29" s="58"/>
      <c r="N29" s="59"/>
      <c r="O29" s="50"/>
      <c r="P29" s="60"/>
      <c r="R29" s="53" t="s">
        <v>764</v>
      </c>
      <c r="S29" s="53" t="s">
        <v>764</v>
      </c>
      <c r="T29" s="53" t="s">
        <v>769</v>
      </c>
      <c r="U29" s="53" t="s">
        <v>741</v>
      </c>
      <c r="V29" s="53" t="s">
        <v>765</v>
      </c>
      <c r="W29" s="53" t="s">
        <v>766</v>
      </c>
      <c r="X29" s="61">
        <f>IFERROR(IF(W29="","",WORKDAY.INTL(B29,_xlfn.XLOOKUP(W29,Regras!$F$2:$F$11,Regras!$G$2:$G$11))),"")</f>
        <v>45960</v>
      </c>
      <c r="Y29" s="150" t="s">
        <v>767</v>
      </c>
      <c r="Z29" s="53" t="s">
        <v>764</v>
      </c>
      <c r="AA29" s="53"/>
    </row>
    <row r="30" spans="2:28" x14ac:dyDescent="0.2">
      <c r="B30" s="89">
        <v>45897</v>
      </c>
      <c r="D30" s="85" t="s">
        <v>88</v>
      </c>
      <c r="E30" s="125" t="s">
        <v>89</v>
      </c>
      <c r="F30" s="85" t="s">
        <v>59</v>
      </c>
      <c r="G30" s="85" t="s">
        <v>12</v>
      </c>
      <c r="H30" s="148" t="s">
        <v>83</v>
      </c>
      <c r="I30" s="142">
        <v>8406.6299999999992</v>
      </c>
      <c r="J30" s="144">
        <v>14</v>
      </c>
      <c r="K30" s="144">
        <v>33</v>
      </c>
      <c r="L30" s="86" t="s">
        <v>741</v>
      </c>
      <c r="M30" s="58"/>
      <c r="N30" s="59"/>
      <c r="O30" s="50"/>
      <c r="P30" s="60"/>
      <c r="R30" s="53" t="s">
        <v>764</v>
      </c>
      <c r="S30" s="53" t="s">
        <v>764</v>
      </c>
      <c r="T30" s="53" t="s">
        <v>764</v>
      </c>
      <c r="U30" s="53" t="s">
        <v>741</v>
      </c>
      <c r="V30" s="53" t="s">
        <v>765</v>
      </c>
      <c r="W30" s="53" t="s">
        <v>766</v>
      </c>
      <c r="X30" s="61">
        <f>IFERROR(IF(W30="","",WORKDAY.INTL(B30,_xlfn.XLOOKUP(W30,Regras!$F$2:$F$11,Regras!$G$2:$G$11))),"")</f>
        <v>45960</v>
      </c>
      <c r="Y30" s="150" t="s">
        <v>767</v>
      </c>
      <c r="Z30" s="53" t="s">
        <v>764</v>
      </c>
      <c r="AA30" s="53"/>
    </row>
    <row r="31" spans="2:28" x14ac:dyDescent="0.2">
      <c r="B31" s="89">
        <v>45897</v>
      </c>
      <c r="D31" s="85" t="s">
        <v>86</v>
      </c>
      <c r="E31" s="125" t="s">
        <v>87</v>
      </c>
      <c r="F31" s="85" t="s">
        <v>59</v>
      </c>
      <c r="G31" s="85" t="s">
        <v>12</v>
      </c>
      <c r="H31" s="148" t="s">
        <v>83</v>
      </c>
      <c r="I31" s="142">
        <v>998.4</v>
      </c>
      <c r="J31" s="144">
        <v>14</v>
      </c>
      <c r="K31" s="144">
        <v>60.5</v>
      </c>
      <c r="L31" s="86" t="s">
        <v>741</v>
      </c>
      <c r="M31" s="58"/>
      <c r="N31" s="59"/>
      <c r="O31" s="50"/>
      <c r="P31" s="60"/>
      <c r="R31" s="53" t="s">
        <v>764</v>
      </c>
      <c r="S31" s="53" t="s">
        <v>769</v>
      </c>
      <c r="T31" s="53" t="s">
        <v>769</v>
      </c>
      <c r="U31" s="53" t="s">
        <v>741</v>
      </c>
      <c r="V31" s="53" t="s">
        <v>776</v>
      </c>
      <c r="W31" s="53" t="s">
        <v>740</v>
      </c>
      <c r="X31" s="61">
        <v>45919</v>
      </c>
      <c r="Y31" s="150" t="s">
        <v>778</v>
      </c>
      <c r="Z31" s="53" t="s">
        <v>764</v>
      </c>
      <c r="AA31" s="53"/>
      <c r="AB31" s="155" t="s">
        <v>806</v>
      </c>
    </row>
    <row r="32" spans="2:28" x14ac:dyDescent="0.2">
      <c r="B32" s="89">
        <v>45897</v>
      </c>
      <c r="D32" s="85" t="s">
        <v>92</v>
      </c>
      <c r="E32" s="125" t="s">
        <v>93</v>
      </c>
      <c r="F32" s="85" t="s">
        <v>22</v>
      </c>
      <c r="G32" s="85" t="s">
        <v>12</v>
      </c>
      <c r="H32" s="148" t="s">
        <v>83</v>
      </c>
      <c r="I32" s="142">
        <v>904.49</v>
      </c>
      <c r="J32" s="144">
        <v>14</v>
      </c>
      <c r="K32" s="148" t="s">
        <v>933</v>
      </c>
      <c r="L32" s="86" t="s">
        <v>741</v>
      </c>
      <c r="M32" s="58"/>
      <c r="N32" s="59"/>
      <c r="O32" s="50"/>
      <c r="P32" s="60"/>
      <c r="R32" s="53" t="s">
        <v>764</v>
      </c>
      <c r="S32" s="53" t="s">
        <v>769</v>
      </c>
      <c r="T32" s="53" t="s">
        <v>769</v>
      </c>
      <c r="U32" s="53" t="s">
        <v>773</v>
      </c>
      <c r="V32" s="53" t="s">
        <v>770</v>
      </c>
      <c r="W32" s="53" t="s">
        <v>766</v>
      </c>
      <c r="X32" s="61"/>
      <c r="Y32" s="150" t="s">
        <v>767</v>
      </c>
      <c r="Z32" s="53" t="s">
        <v>764</v>
      </c>
      <c r="AA32" s="53"/>
      <c r="AB32" s="155" t="s">
        <v>807</v>
      </c>
    </row>
    <row r="33" spans="2:28" x14ac:dyDescent="0.2">
      <c r="B33" s="89">
        <v>45896</v>
      </c>
      <c r="D33" s="85" t="s">
        <v>94</v>
      </c>
      <c r="E33" s="125" t="s">
        <v>95</v>
      </c>
      <c r="F33" s="85" t="s">
        <v>11</v>
      </c>
      <c r="G33" s="85" t="s">
        <v>12</v>
      </c>
      <c r="H33" s="148" t="s">
        <v>96</v>
      </c>
      <c r="I33" s="142">
        <v>2571.8200000000002</v>
      </c>
      <c r="J33" s="144">
        <v>15</v>
      </c>
      <c r="K33" s="144">
        <v>91</v>
      </c>
      <c r="L33" s="86" t="s">
        <v>741</v>
      </c>
      <c r="M33" s="58"/>
      <c r="N33" s="59"/>
      <c r="O33" s="50"/>
      <c r="P33" s="60"/>
      <c r="R33" s="53" t="s">
        <v>764</v>
      </c>
      <c r="S33" s="53" t="s">
        <v>764</v>
      </c>
      <c r="T33" s="53" t="s">
        <v>764</v>
      </c>
      <c r="U33" s="53" t="s">
        <v>773</v>
      </c>
      <c r="V33" s="53" t="s">
        <v>765</v>
      </c>
      <c r="W33" s="53" t="s">
        <v>766</v>
      </c>
      <c r="X33" s="61">
        <f>IFERROR(IF(W33="","",WORKDAY.INTL(B33,_xlfn.XLOOKUP(W33,Regras!$F$2:$F$11,Regras!$G$2:$G$11))),"")</f>
        <v>45959</v>
      </c>
      <c r="Y33" s="150" t="s">
        <v>767</v>
      </c>
      <c r="Z33" s="53" t="s">
        <v>764</v>
      </c>
      <c r="AA33" s="53"/>
    </row>
    <row r="34" spans="2:28" x14ac:dyDescent="0.2">
      <c r="B34" s="89">
        <v>45896</v>
      </c>
      <c r="D34" s="85" t="s">
        <v>101</v>
      </c>
      <c r="E34" s="125" t="s">
        <v>102</v>
      </c>
      <c r="F34" s="85" t="s">
        <v>11</v>
      </c>
      <c r="G34" s="85" t="s">
        <v>12</v>
      </c>
      <c r="H34" s="148" t="s">
        <v>96</v>
      </c>
      <c r="I34" s="142">
        <v>901.53</v>
      </c>
      <c r="J34" s="144">
        <v>15</v>
      </c>
      <c r="K34" s="148" t="s">
        <v>933</v>
      </c>
      <c r="L34" s="86" t="s">
        <v>741</v>
      </c>
      <c r="M34" s="58"/>
      <c r="N34" s="59"/>
      <c r="O34" s="50"/>
      <c r="P34" s="60"/>
      <c r="R34" s="53" t="s">
        <v>764</v>
      </c>
      <c r="S34" s="53" t="s">
        <v>764</v>
      </c>
      <c r="T34" s="53" t="s">
        <v>764</v>
      </c>
      <c r="U34" s="53" t="s">
        <v>741</v>
      </c>
      <c r="V34" s="53" t="s">
        <v>768</v>
      </c>
      <c r="W34" s="53" t="s">
        <v>766</v>
      </c>
      <c r="X34" s="61">
        <f>IFERROR(IF(W34="","",WORKDAY.INTL(B34,_xlfn.XLOOKUP(W34,Regras!$F$2:$F$11,Regras!$G$2:$G$11))),"")</f>
        <v>45959</v>
      </c>
      <c r="Y34" s="150" t="s">
        <v>767</v>
      </c>
      <c r="Z34" s="53" t="s">
        <v>764</v>
      </c>
      <c r="AA34" s="53"/>
    </row>
    <row r="35" spans="2:28" x14ac:dyDescent="0.2">
      <c r="B35" s="89">
        <v>45896</v>
      </c>
      <c r="D35" s="85" t="s">
        <v>107</v>
      </c>
      <c r="E35" s="125" t="s">
        <v>108</v>
      </c>
      <c r="F35" s="85" t="s">
        <v>46</v>
      </c>
      <c r="G35" s="85" t="s">
        <v>12</v>
      </c>
      <c r="H35" s="148" t="s">
        <v>96</v>
      </c>
      <c r="I35" s="142">
        <v>2161.62</v>
      </c>
      <c r="J35" s="144">
        <v>15</v>
      </c>
      <c r="K35" s="148" t="s">
        <v>933</v>
      </c>
      <c r="L35" s="86" t="s">
        <v>741</v>
      </c>
      <c r="M35" s="58"/>
      <c r="N35" s="59"/>
      <c r="O35" s="50"/>
      <c r="P35" s="60"/>
      <c r="R35" s="53" t="s">
        <v>764</v>
      </c>
      <c r="S35" s="53" t="s">
        <v>764</v>
      </c>
      <c r="T35" s="53" t="s">
        <v>769</v>
      </c>
      <c r="U35" s="53" t="s">
        <v>773</v>
      </c>
      <c r="V35" s="53" t="s">
        <v>768</v>
      </c>
      <c r="W35" s="53" t="s">
        <v>766</v>
      </c>
      <c r="X35" s="61">
        <f>IFERROR(IF(W35="","",WORKDAY.INTL(B35,_xlfn.XLOOKUP(W35,Regras!$F$2:$F$11,Regras!$G$2:$G$11))),"")</f>
        <v>45959</v>
      </c>
      <c r="Y35" s="150" t="s">
        <v>767</v>
      </c>
      <c r="Z35" s="53" t="s">
        <v>764</v>
      </c>
      <c r="AA35" s="53"/>
    </row>
    <row r="36" spans="2:28" x14ac:dyDescent="0.2">
      <c r="B36" s="89">
        <v>45896</v>
      </c>
      <c r="D36" s="85" t="s">
        <v>103</v>
      </c>
      <c r="E36" s="125" t="s">
        <v>104</v>
      </c>
      <c r="F36" s="85" t="s">
        <v>11</v>
      </c>
      <c r="G36" s="85" t="s">
        <v>12</v>
      </c>
      <c r="H36" s="148" t="s">
        <v>96</v>
      </c>
      <c r="I36" s="142">
        <v>650.29999999999995</v>
      </c>
      <c r="J36" s="144">
        <v>15</v>
      </c>
      <c r="K36" s="148" t="s">
        <v>933</v>
      </c>
      <c r="L36" s="86" t="s">
        <v>741</v>
      </c>
      <c r="M36" s="58"/>
      <c r="N36" s="59"/>
      <c r="O36" s="50"/>
      <c r="P36" s="60"/>
      <c r="R36" s="53" t="s">
        <v>764</v>
      </c>
      <c r="S36" s="53" t="s">
        <v>769</v>
      </c>
      <c r="T36" s="53" t="s">
        <v>769</v>
      </c>
      <c r="U36" s="53" t="s">
        <v>741</v>
      </c>
      <c r="V36" s="53" t="s">
        <v>768</v>
      </c>
      <c r="W36" s="53" t="s">
        <v>766</v>
      </c>
      <c r="X36" s="61">
        <f>IFERROR(IF(W36="","",WORKDAY.INTL(B36,_xlfn.XLOOKUP(W36,Regras!$F$2:$F$11,Regras!$G$2:$G$11))),"")</f>
        <v>45959</v>
      </c>
      <c r="Y36" s="150" t="s">
        <v>801</v>
      </c>
      <c r="Z36" s="53" t="s">
        <v>764</v>
      </c>
      <c r="AA36" s="53"/>
    </row>
    <row r="37" spans="2:28" x14ac:dyDescent="0.2">
      <c r="B37" s="89">
        <v>45896</v>
      </c>
      <c r="D37" s="85" t="s">
        <v>97</v>
      </c>
      <c r="E37" s="125" t="s">
        <v>98</v>
      </c>
      <c r="F37" s="85" t="s">
        <v>36</v>
      </c>
      <c r="G37" s="85" t="s">
        <v>12</v>
      </c>
      <c r="H37" s="148" t="s">
        <v>96</v>
      </c>
      <c r="I37" s="142">
        <v>1490.4</v>
      </c>
      <c r="J37" s="144">
        <v>15</v>
      </c>
      <c r="K37" s="144">
        <v>72</v>
      </c>
      <c r="L37" s="86" t="s">
        <v>741</v>
      </c>
      <c r="M37" s="58"/>
      <c r="N37" s="59"/>
      <c r="O37" s="50"/>
      <c r="P37" s="60"/>
      <c r="R37" s="53" t="s">
        <v>764</v>
      </c>
      <c r="S37" s="53" t="s">
        <v>764</v>
      </c>
      <c r="T37" s="53" t="s">
        <v>764</v>
      </c>
      <c r="U37" s="53" t="s">
        <v>773</v>
      </c>
      <c r="V37" s="53" t="s">
        <v>765</v>
      </c>
      <c r="W37" s="53" t="s">
        <v>766</v>
      </c>
      <c r="X37" s="61">
        <f>IFERROR(IF(W37="","",WORKDAY.INTL(B37,_xlfn.XLOOKUP(W37,Regras!$F$2:$F$11,Regras!$G$2:$G$11))),"")</f>
        <v>45959</v>
      </c>
      <c r="Y37" s="150" t="s">
        <v>767</v>
      </c>
      <c r="Z37" s="53" t="s">
        <v>764</v>
      </c>
      <c r="AA37" s="53"/>
    </row>
    <row r="38" spans="2:28" x14ac:dyDescent="0.2">
      <c r="B38" s="89">
        <v>45896</v>
      </c>
      <c r="D38" s="85" t="s">
        <v>99</v>
      </c>
      <c r="E38" s="125" t="s">
        <v>100</v>
      </c>
      <c r="F38" s="85" t="s">
        <v>46</v>
      </c>
      <c r="G38" s="85" t="s">
        <v>12</v>
      </c>
      <c r="H38" s="148" t="s">
        <v>96</v>
      </c>
      <c r="I38" s="142">
        <v>1148.79</v>
      </c>
      <c r="J38" s="144">
        <v>15</v>
      </c>
      <c r="K38" s="144">
        <v>21.5</v>
      </c>
      <c r="L38" s="86" t="s">
        <v>741</v>
      </c>
      <c r="M38" s="58"/>
      <c r="N38" s="59"/>
      <c r="O38" s="50"/>
      <c r="P38" s="60"/>
      <c r="R38" s="53" t="s">
        <v>764</v>
      </c>
      <c r="S38" s="53" t="s">
        <v>764</v>
      </c>
      <c r="T38" s="53" t="s">
        <v>764</v>
      </c>
      <c r="U38" s="53" t="s">
        <v>773</v>
      </c>
      <c r="V38" s="53" t="s">
        <v>770</v>
      </c>
      <c r="W38" s="53" t="s">
        <v>766</v>
      </c>
      <c r="X38" s="61">
        <f>IFERROR(IF(W38="","",WORKDAY.INTL(B38,_xlfn.XLOOKUP(W38,Regras!$F$2:$F$11,Regras!$G$2:$G$11))),"")</f>
        <v>45959</v>
      </c>
      <c r="Y38" s="150" t="s">
        <v>767</v>
      </c>
      <c r="Z38" s="53" t="s">
        <v>764</v>
      </c>
      <c r="AA38" s="53"/>
    </row>
    <row r="39" spans="2:28" ht="15" customHeight="1" x14ac:dyDescent="0.2">
      <c r="B39" s="89">
        <v>45896</v>
      </c>
      <c r="D39" s="85" t="s">
        <v>105</v>
      </c>
      <c r="E39" s="125" t="s">
        <v>106</v>
      </c>
      <c r="F39" s="85" t="s">
        <v>17</v>
      </c>
      <c r="G39" s="85" t="s">
        <v>12</v>
      </c>
      <c r="H39" s="148" t="s">
        <v>96</v>
      </c>
      <c r="I39" s="142">
        <v>1199</v>
      </c>
      <c r="J39" s="144">
        <v>15</v>
      </c>
      <c r="K39" s="148" t="s">
        <v>933</v>
      </c>
      <c r="L39" s="86" t="s">
        <v>741</v>
      </c>
      <c r="M39" s="58"/>
      <c r="N39" s="59"/>
      <c r="O39" s="50"/>
      <c r="P39" s="60"/>
      <c r="R39" s="53" t="s">
        <v>764</v>
      </c>
      <c r="S39" s="53" t="s">
        <v>764</v>
      </c>
      <c r="T39" s="53" t="s">
        <v>769</v>
      </c>
      <c r="U39" s="53" t="s">
        <v>773</v>
      </c>
      <c r="V39" s="53" t="s">
        <v>768</v>
      </c>
      <c r="W39" s="53" t="s">
        <v>766</v>
      </c>
      <c r="X39" s="61">
        <f>IFERROR(IF(W39="","",WORKDAY.INTL(B39,_xlfn.XLOOKUP(W39,Regras!$F$2:$F$11,Regras!$G$2:$G$11))),"")</f>
        <v>45959</v>
      </c>
      <c r="Y39" s="150" t="s">
        <v>767</v>
      </c>
      <c r="Z39" s="53" t="s">
        <v>764</v>
      </c>
      <c r="AA39" s="53"/>
    </row>
    <row r="40" spans="2:28" x14ac:dyDescent="0.2">
      <c r="B40" s="89">
        <v>45896</v>
      </c>
      <c r="D40" s="85" t="s">
        <v>94</v>
      </c>
      <c r="E40" s="125" t="s">
        <v>95</v>
      </c>
      <c r="F40" s="85" t="s">
        <v>11</v>
      </c>
      <c r="G40" s="85" t="s">
        <v>12</v>
      </c>
      <c r="H40" s="148" t="s">
        <v>96</v>
      </c>
      <c r="I40" s="142">
        <v>2571.8200000000002</v>
      </c>
      <c r="J40" s="144">
        <v>15</v>
      </c>
      <c r="K40" s="144">
        <v>91</v>
      </c>
      <c r="L40" s="86" t="s">
        <v>741</v>
      </c>
      <c r="M40" s="58"/>
      <c r="N40" s="59"/>
      <c r="O40" s="50"/>
      <c r="P40" s="60"/>
      <c r="R40" s="53" t="s">
        <v>764</v>
      </c>
      <c r="S40" s="53" t="s">
        <v>769</v>
      </c>
      <c r="T40" s="53" t="s">
        <v>769</v>
      </c>
      <c r="U40" s="53" t="s">
        <v>741</v>
      </c>
      <c r="V40" s="53" t="s">
        <v>776</v>
      </c>
      <c r="W40" s="53" t="s">
        <v>740</v>
      </c>
      <c r="X40" s="61">
        <v>45919</v>
      </c>
      <c r="Y40" s="150" t="s">
        <v>767</v>
      </c>
      <c r="Z40" s="53" t="s">
        <v>764</v>
      </c>
      <c r="AA40" s="53"/>
      <c r="AB40" s="155" t="s">
        <v>802</v>
      </c>
    </row>
    <row r="41" spans="2:28" x14ac:dyDescent="0.2">
      <c r="B41" s="89">
        <v>45896</v>
      </c>
      <c r="D41" s="85" t="s">
        <v>97</v>
      </c>
      <c r="E41" s="125" t="s">
        <v>98</v>
      </c>
      <c r="F41" s="85" t="s">
        <v>36</v>
      </c>
      <c r="G41" s="85" t="s">
        <v>12</v>
      </c>
      <c r="H41" s="148" t="s">
        <v>96</v>
      </c>
      <c r="I41" s="142">
        <v>1490.4</v>
      </c>
      <c r="J41" s="144">
        <v>15</v>
      </c>
      <c r="K41" s="144">
        <v>72</v>
      </c>
      <c r="L41" s="86" t="s">
        <v>741</v>
      </c>
      <c r="M41" s="58"/>
      <c r="N41" s="59"/>
      <c r="O41" s="50"/>
      <c r="P41" s="60"/>
      <c r="R41" s="53" t="s">
        <v>764</v>
      </c>
      <c r="S41" s="53" t="s">
        <v>769</v>
      </c>
      <c r="T41" s="53" t="s">
        <v>769</v>
      </c>
      <c r="U41" s="53" t="s">
        <v>741</v>
      </c>
      <c r="V41" s="53" t="s">
        <v>776</v>
      </c>
      <c r="W41" s="53" t="s">
        <v>740</v>
      </c>
      <c r="X41" s="61">
        <v>45919</v>
      </c>
      <c r="Y41" s="150" t="s">
        <v>778</v>
      </c>
      <c r="Z41" s="53" t="s">
        <v>764</v>
      </c>
      <c r="AA41" s="53"/>
      <c r="AB41" s="155" t="s">
        <v>803</v>
      </c>
    </row>
    <row r="42" spans="2:28" x14ac:dyDescent="0.2">
      <c r="B42" s="89">
        <v>45896</v>
      </c>
      <c r="D42" s="85" t="s">
        <v>103</v>
      </c>
      <c r="E42" s="125" t="s">
        <v>104</v>
      </c>
      <c r="F42" s="85" t="s">
        <v>11</v>
      </c>
      <c r="G42" s="85" t="s">
        <v>12</v>
      </c>
      <c r="H42" s="148" t="s">
        <v>96</v>
      </c>
      <c r="I42" s="142">
        <v>650.29999999999995</v>
      </c>
      <c r="J42" s="144">
        <v>15</v>
      </c>
      <c r="K42" s="148" t="s">
        <v>933</v>
      </c>
      <c r="L42" s="86" t="s">
        <v>741</v>
      </c>
      <c r="M42" s="58"/>
      <c r="N42" s="59"/>
      <c r="O42" s="50"/>
      <c r="P42" s="60"/>
      <c r="R42" s="53" t="s">
        <v>764</v>
      </c>
      <c r="S42" s="53" t="s">
        <v>764</v>
      </c>
      <c r="T42" s="53" t="s">
        <v>769</v>
      </c>
      <c r="U42" s="53" t="s">
        <v>741</v>
      </c>
      <c r="V42" s="53" t="s">
        <v>768</v>
      </c>
      <c r="W42" s="53" t="s">
        <v>780</v>
      </c>
      <c r="X42" s="61">
        <v>45894</v>
      </c>
      <c r="Y42" s="150" t="s">
        <v>755</v>
      </c>
      <c r="Z42" s="53" t="s">
        <v>764</v>
      </c>
      <c r="AA42" s="53"/>
      <c r="AB42" s="156" t="s">
        <v>804</v>
      </c>
    </row>
    <row r="43" spans="2:28" x14ac:dyDescent="0.2">
      <c r="B43" s="89">
        <v>45926</v>
      </c>
      <c r="D43" s="85" t="s">
        <v>94</v>
      </c>
      <c r="E43" s="125" t="s">
        <v>95</v>
      </c>
      <c r="F43" s="85" t="s">
        <v>11</v>
      </c>
      <c r="G43" s="85" t="s">
        <v>12</v>
      </c>
      <c r="H43" s="148" t="s">
        <v>96</v>
      </c>
      <c r="I43" s="142">
        <v>2571.8200000000002</v>
      </c>
      <c r="J43" s="144">
        <v>15</v>
      </c>
      <c r="K43" s="144">
        <v>91</v>
      </c>
      <c r="L43" s="86" t="s">
        <v>741</v>
      </c>
      <c r="M43" s="58"/>
      <c r="N43" s="59"/>
      <c r="O43" s="50"/>
      <c r="P43" s="60"/>
      <c r="R43" s="53" t="s">
        <v>764</v>
      </c>
      <c r="S43" s="53" t="s">
        <v>769</v>
      </c>
      <c r="T43" s="53" t="s">
        <v>769</v>
      </c>
      <c r="U43" s="53" t="s">
        <v>741</v>
      </c>
      <c r="V43" s="53" t="s">
        <v>770</v>
      </c>
      <c r="W43" s="53" t="s">
        <v>780</v>
      </c>
      <c r="X43" s="61">
        <f>IFERROR(IF(W43="","",WORKDAY.INTL(B43,_xlfn.XLOOKUP(W43,Regras!$F$2:$F$11,Regras!$G$2:$G$11))),"")</f>
        <v>45930</v>
      </c>
      <c r="Y43" s="150" t="s">
        <v>1045</v>
      </c>
      <c r="Z43" s="53" t="s">
        <v>764</v>
      </c>
      <c r="AA43" s="53"/>
      <c r="AB43" s="155" t="s">
        <v>1046</v>
      </c>
    </row>
    <row r="44" spans="2:28" x14ac:dyDescent="0.2">
      <c r="B44" s="89">
        <v>45926</v>
      </c>
      <c r="D44" s="85" t="s">
        <v>97</v>
      </c>
      <c r="E44" s="125" t="s">
        <v>98</v>
      </c>
      <c r="F44" s="85" t="s">
        <v>36</v>
      </c>
      <c r="G44" s="85" t="s">
        <v>12</v>
      </c>
      <c r="H44" s="148" t="s">
        <v>96</v>
      </c>
      <c r="I44" s="142">
        <v>1490.4</v>
      </c>
      <c r="J44" s="144">
        <v>15</v>
      </c>
      <c r="K44" s="144">
        <v>72</v>
      </c>
      <c r="L44" s="86" t="s">
        <v>741</v>
      </c>
      <c r="M44" s="58"/>
      <c r="N44" s="59"/>
      <c r="O44" s="50"/>
      <c r="P44" s="60"/>
      <c r="R44" s="53" t="s">
        <v>769</v>
      </c>
      <c r="S44" s="53" t="s">
        <v>769</v>
      </c>
      <c r="T44" s="53" t="s">
        <v>769</v>
      </c>
      <c r="U44" s="53" t="s">
        <v>741</v>
      </c>
      <c r="V44" s="53" t="s">
        <v>770</v>
      </c>
      <c r="W44" s="53" t="s">
        <v>1054</v>
      </c>
      <c r="X44" s="61">
        <f>IFERROR(IF(W44="","",WORKDAY.INTL(B44,_xlfn.XLOOKUP(W44,Regras!$F$2:$F$11,Regras!$G$2:$G$11))),"")</f>
        <v>45947</v>
      </c>
      <c r="Y44" s="150" t="s">
        <v>1047</v>
      </c>
      <c r="Z44" s="53" t="s">
        <v>764</v>
      </c>
      <c r="AA44" s="53"/>
      <c r="AB44" s="155" t="s">
        <v>1048</v>
      </c>
    </row>
    <row r="45" spans="2:28" x14ac:dyDescent="0.2">
      <c r="B45" s="89">
        <v>45930</v>
      </c>
      <c r="D45" s="85" t="s">
        <v>94</v>
      </c>
      <c r="E45" s="125" t="s">
        <v>95</v>
      </c>
      <c r="F45" s="85" t="s">
        <v>11</v>
      </c>
      <c r="G45" s="85" t="s">
        <v>12</v>
      </c>
      <c r="H45" s="148" t="s">
        <v>96</v>
      </c>
      <c r="I45" s="142">
        <v>2571.8200000000002</v>
      </c>
      <c r="J45" s="144">
        <v>15</v>
      </c>
      <c r="K45" s="144">
        <v>91</v>
      </c>
      <c r="L45" s="86" t="s">
        <v>741</v>
      </c>
      <c r="M45" s="58"/>
      <c r="N45" s="59"/>
      <c r="O45" s="50"/>
      <c r="P45" s="60"/>
      <c r="R45" s="53" t="s">
        <v>764</v>
      </c>
      <c r="S45" s="53" t="s">
        <v>769</v>
      </c>
      <c r="T45" s="53" t="s">
        <v>769</v>
      </c>
      <c r="U45" s="53" t="s">
        <v>741</v>
      </c>
      <c r="V45" s="53" t="s">
        <v>770</v>
      </c>
      <c r="W45" s="53" t="s">
        <v>780</v>
      </c>
      <c r="X45" s="61">
        <f>IFERROR(IF(W45="","",WORKDAY.INTL(B45,_xlfn.XLOOKUP(W45,Regras!$F$2:$F$11,Regras!$G$2:$G$11))),"")</f>
        <v>45932</v>
      </c>
      <c r="Y45" s="150" t="s">
        <v>1046</v>
      </c>
      <c r="Z45" s="53" t="s">
        <v>764</v>
      </c>
      <c r="AA45" s="53"/>
      <c r="AB45" s="155" t="s">
        <v>1091</v>
      </c>
    </row>
    <row r="46" spans="2:28" x14ac:dyDescent="0.2">
      <c r="B46" s="89">
        <v>45932</v>
      </c>
      <c r="D46" s="85" t="s">
        <v>94</v>
      </c>
      <c r="E46" s="125" t="s">
        <v>95</v>
      </c>
      <c r="F46" s="85" t="s">
        <v>11</v>
      </c>
      <c r="G46" s="85" t="s">
        <v>12</v>
      </c>
      <c r="H46" s="148" t="s">
        <v>96</v>
      </c>
      <c r="I46" s="142">
        <v>2571.8200000000002</v>
      </c>
      <c r="J46" s="144">
        <v>15</v>
      </c>
      <c r="K46" s="144">
        <v>91</v>
      </c>
      <c r="L46" s="86" t="s">
        <v>741</v>
      </c>
      <c r="M46" s="58"/>
      <c r="N46" s="59"/>
      <c r="O46" s="50"/>
      <c r="P46" s="60"/>
      <c r="R46" s="53" t="s">
        <v>764</v>
      </c>
      <c r="S46" s="53" t="s">
        <v>764</v>
      </c>
      <c r="T46" s="53" t="s">
        <v>769</v>
      </c>
      <c r="U46" s="53" t="s">
        <v>741</v>
      </c>
      <c r="V46" s="53" t="s">
        <v>770</v>
      </c>
      <c r="W46" s="53" t="s">
        <v>1053</v>
      </c>
      <c r="X46" s="61">
        <f>IFERROR(IF(W46="","",WORKDAY.INTL(B46,_xlfn.XLOOKUP(W46,Regras!$F$2:$F$11,Regras!$G$2:$G$11))),"")</f>
        <v>45943</v>
      </c>
      <c r="Y46" s="150" t="s">
        <v>1114</v>
      </c>
      <c r="Z46" s="53" t="s">
        <v>764</v>
      </c>
      <c r="AA46" s="53"/>
      <c r="AB46" s="156" t="s">
        <v>1114</v>
      </c>
    </row>
    <row r="47" spans="2:28" x14ac:dyDescent="0.2">
      <c r="B47" s="89">
        <v>45895</v>
      </c>
      <c r="D47" s="85" t="s">
        <v>109</v>
      </c>
      <c r="E47" s="125" t="s">
        <v>110</v>
      </c>
      <c r="F47" s="85" t="s">
        <v>46</v>
      </c>
      <c r="G47" s="85" t="s">
        <v>18</v>
      </c>
      <c r="H47" s="148" t="s">
        <v>111</v>
      </c>
      <c r="I47" s="142">
        <v>1990.59</v>
      </c>
      <c r="J47" s="144">
        <v>16</v>
      </c>
      <c r="K47" s="148" t="s">
        <v>933</v>
      </c>
      <c r="L47" s="86" t="s">
        <v>741</v>
      </c>
      <c r="M47" s="58"/>
      <c r="N47" s="59"/>
      <c r="O47" s="50"/>
      <c r="P47" s="60"/>
      <c r="R47" s="53" t="s">
        <v>764</v>
      </c>
      <c r="S47" s="53" t="s">
        <v>764</v>
      </c>
      <c r="T47" s="53" t="s">
        <v>769</v>
      </c>
      <c r="U47" s="53" t="s">
        <v>773</v>
      </c>
      <c r="V47" s="53" t="s">
        <v>768</v>
      </c>
      <c r="W47" s="53" t="s">
        <v>766</v>
      </c>
      <c r="X47" s="61">
        <f>IFERROR(IF(W47="","",WORKDAY.INTL(B47,_xlfn.XLOOKUP(W47,Regras!$F$2:$F$11,Regras!$G$2:$G$11))),"")</f>
        <v>45958</v>
      </c>
      <c r="Y47" s="150" t="s">
        <v>767</v>
      </c>
      <c r="Z47" s="53" t="s">
        <v>764</v>
      </c>
      <c r="AA47" s="53"/>
    </row>
    <row r="48" spans="2:28" x14ac:dyDescent="0.2">
      <c r="B48" s="89">
        <v>45895</v>
      </c>
      <c r="D48" s="85" t="s">
        <v>121</v>
      </c>
      <c r="E48" s="125" t="s">
        <v>122</v>
      </c>
      <c r="F48" s="85" t="s">
        <v>17</v>
      </c>
      <c r="G48" s="85" t="s">
        <v>18</v>
      </c>
      <c r="H48" s="148" t="s">
        <v>111</v>
      </c>
      <c r="I48" s="142">
        <v>924.68</v>
      </c>
      <c r="J48" s="144">
        <v>16</v>
      </c>
      <c r="K48" s="148" t="s">
        <v>933</v>
      </c>
      <c r="L48" s="86" t="s">
        <v>741</v>
      </c>
      <c r="M48" s="58"/>
      <c r="N48" s="59"/>
      <c r="O48" s="50"/>
      <c r="P48" s="60"/>
      <c r="R48" s="53" t="s">
        <v>764</v>
      </c>
      <c r="S48" s="53" t="s">
        <v>764</v>
      </c>
      <c r="T48" s="53" t="s">
        <v>764</v>
      </c>
      <c r="U48" s="53" t="s">
        <v>741</v>
      </c>
      <c r="V48" s="53" t="s">
        <v>768</v>
      </c>
      <c r="W48" s="53" t="s">
        <v>766</v>
      </c>
      <c r="X48" s="61">
        <f>IFERROR(IF(W48="","",WORKDAY.INTL(B48,_xlfn.XLOOKUP(W48,Regras!$F$2:$F$11,Regras!$G$2:$G$11))),"")</f>
        <v>45958</v>
      </c>
      <c r="Y48" s="150" t="s">
        <v>767</v>
      </c>
      <c r="Z48" s="53" t="s">
        <v>764</v>
      </c>
      <c r="AA48" s="53"/>
    </row>
    <row r="49" spans="2:28" x14ac:dyDescent="0.2">
      <c r="B49" s="89">
        <v>45895</v>
      </c>
      <c r="D49" s="85" t="s">
        <v>112</v>
      </c>
      <c r="E49" s="125" t="s">
        <v>113</v>
      </c>
      <c r="F49" s="85" t="s">
        <v>46</v>
      </c>
      <c r="G49" s="85" t="s">
        <v>18</v>
      </c>
      <c r="H49" s="148" t="s">
        <v>111</v>
      </c>
      <c r="I49" s="142">
        <v>1566.56</v>
      </c>
      <c r="J49" s="144">
        <v>16</v>
      </c>
      <c r="K49" s="144">
        <v>49.5</v>
      </c>
      <c r="L49" s="86" t="s">
        <v>741</v>
      </c>
      <c r="M49" s="58"/>
      <c r="N49" s="59"/>
      <c r="O49" s="50"/>
      <c r="P49" s="60"/>
      <c r="R49" s="53" t="s">
        <v>764</v>
      </c>
      <c r="S49" s="53" t="s">
        <v>764</v>
      </c>
      <c r="T49" s="53" t="s">
        <v>769</v>
      </c>
      <c r="U49" s="53" t="s">
        <v>773</v>
      </c>
      <c r="V49" s="53" t="s">
        <v>765</v>
      </c>
      <c r="W49" s="53" t="s">
        <v>766</v>
      </c>
      <c r="X49" s="61">
        <f>IFERROR(IF(W49="","",WORKDAY.INTL(B49,_xlfn.XLOOKUP(W49,Regras!$F$2:$F$11,Regras!$G$2:$G$11))),"")</f>
        <v>45958</v>
      </c>
      <c r="Y49" s="150" t="s">
        <v>767</v>
      </c>
      <c r="Z49" s="53" t="s">
        <v>764</v>
      </c>
      <c r="AA49" s="53"/>
    </row>
    <row r="50" spans="2:28" ht="15" customHeight="1" x14ac:dyDescent="0.2">
      <c r="B50" s="89">
        <v>45895</v>
      </c>
      <c r="D50" s="85" t="s">
        <v>114</v>
      </c>
      <c r="E50" s="125" t="s">
        <v>115</v>
      </c>
      <c r="F50" s="85" t="s">
        <v>46</v>
      </c>
      <c r="G50" s="85" t="s">
        <v>18</v>
      </c>
      <c r="H50" s="148" t="s">
        <v>111</v>
      </c>
      <c r="I50" s="142">
        <v>4220.08</v>
      </c>
      <c r="J50" s="144">
        <v>16</v>
      </c>
      <c r="K50" s="144">
        <v>25.333300000000001</v>
      </c>
      <c r="L50" s="86" t="s">
        <v>741</v>
      </c>
      <c r="M50" s="58"/>
      <c r="N50" s="59"/>
      <c r="O50" s="50"/>
      <c r="P50" s="60"/>
      <c r="R50" s="53" t="s">
        <v>764</v>
      </c>
      <c r="S50" s="53" t="s">
        <v>764</v>
      </c>
      <c r="T50" s="53" t="s">
        <v>764</v>
      </c>
      <c r="U50" s="53" t="s">
        <v>773</v>
      </c>
      <c r="V50" s="53" t="s">
        <v>770</v>
      </c>
      <c r="W50" s="53" t="s">
        <v>766</v>
      </c>
      <c r="X50" s="61">
        <f>IFERROR(IF(W50="","",WORKDAY.INTL(B50,_xlfn.XLOOKUP(W50,Regras!$F$2:$F$11,Regras!$G$2:$G$11))),"")</f>
        <v>45958</v>
      </c>
      <c r="Y50" s="150" t="s">
        <v>767</v>
      </c>
      <c r="Z50" s="53" t="s">
        <v>764</v>
      </c>
      <c r="AA50" s="53"/>
    </row>
    <row r="51" spans="2:28" x14ac:dyDescent="0.2">
      <c r="B51" s="89">
        <v>45895</v>
      </c>
      <c r="D51" s="85" t="s">
        <v>118</v>
      </c>
      <c r="E51" s="125" t="s">
        <v>119</v>
      </c>
      <c r="F51" s="85" t="s">
        <v>120</v>
      </c>
      <c r="G51" s="85" t="s">
        <v>12</v>
      </c>
      <c r="H51" s="148" t="s">
        <v>111</v>
      </c>
      <c r="I51" s="142">
        <v>2596.83</v>
      </c>
      <c r="J51" s="144">
        <v>16</v>
      </c>
      <c r="K51" s="144">
        <v>60</v>
      </c>
      <c r="L51" s="86" t="s">
        <v>741</v>
      </c>
      <c r="M51" s="58"/>
      <c r="N51" s="59"/>
      <c r="O51" s="50"/>
      <c r="P51" s="60"/>
      <c r="R51" s="53" t="s">
        <v>764</v>
      </c>
      <c r="S51" s="53" t="s">
        <v>764</v>
      </c>
      <c r="T51" s="53" t="s">
        <v>764</v>
      </c>
      <c r="U51" s="53" t="s">
        <v>741</v>
      </c>
      <c r="V51" s="53" t="s">
        <v>765</v>
      </c>
      <c r="W51" s="53" t="s">
        <v>766</v>
      </c>
      <c r="X51" s="61">
        <f>IFERROR(IF(W51="","",WORKDAY.INTL(B51,_xlfn.XLOOKUP(W51,Regras!$F$2:$F$11,Regras!$G$2:$G$11))),"")</f>
        <v>45958</v>
      </c>
      <c r="Y51" s="150" t="s">
        <v>767</v>
      </c>
      <c r="Z51" s="53" t="s">
        <v>764</v>
      </c>
      <c r="AA51" s="53"/>
    </row>
    <row r="52" spans="2:28" x14ac:dyDescent="0.2">
      <c r="B52" s="89">
        <v>45895</v>
      </c>
      <c r="D52" s="85" t="s">
        <v>127</v>
      </c>
      <c r="E52" s="125" t="s">
        <v>128</v>
      </c>
      <c r="F52" s="85" t="s">
        <v>67</v>
      </c>
      <c r="G52" s="85" t="s">
        <v>12</v>
      </c>
      <c r="H52" s="148" t="s">
        <v>111</v>
      </c>
      <c r="I52" s="142">
        <v>1160.8499999999999</v>
      </c>
      <c r="J52" s="144">
        <v>16</v>
      </c>
      <c r="K52" s="148" t="s">
        <v>933</v>
      </c>
      <c r="L52" s="86" t="s">
        <v>741</v>
      </c>
      <c r="M52" s="58"/>
      <c r="N52" s="59"/>
      <c r="O52" s="50"/>
      <c r="P52" s="60"/>
      <c r="R52" s="53" t="s">
        <v>764</v>
      </c>
      <c r="S52" s="53" t="s">
        <v>764</v>
      </c>
      <c r="T52" s="53" t="s">
        <v>764</v>
      </c>
      <c r="U52" s="53" t="s">
        <v>741</v>
      </c>
      <c r="V52" s="53" t="s">
        <v>768</v>
      </c>
      <c r="W52" s="53" t="s">
        <v>766</v>
      </c>
      <c r="X52" s="61">
        <f>IFERROR(IF(W52="","",WORKDAY.INTL(B52,_xlfn.XLOOKUP(W52,Regras!$F$2:$F$11,Regras!$G$2:$G$11))),"")</f>
        <v>45958</v>
      </c>
      <c r="Y52" s="150" t="s">
        <v>767</v>
      </c>
      <c r="Z52" s="53" t="s">
        <v>764</v>
      </c>
      <c r="AA52" s="53"/>
    </row>
    <row r="53" spans="2:28" x14ac:dyDescent="0.2">
      <c r="B53" s="89">
        <v>45895</v>
      </c>
      <c r="D53" s="85" t="s">
        <v>123</v>
      </c>
      <c r="E53" s="125" t="s">
        <v>124</v>
      </c>
      <c r="F53" s="85" t="s">
        <v>11</v>
      </c>
      <c r="G53" s="85" t="s">
        <v>12</v>
      </c>
      <c r="H53" s="148" t="s">
        <v>111</v>
      </c>
      <c r="I53" s="142">
        <v>936.23</v>
      </c>
      <c r="J53" s="144">
        <v>16</v>
      </c>
      <c r="K53" s="144">
        <v>21</v>
      </c>
      <c r="L53" s="86" t="s">
        <v>741</v>
      </c>
      <c r="M53" s="58"/>
      <c r="N53" s="59"/>
      <c r="O53" s="50"/>
      <c r="P53" s="60"/>
      <c r="R53" s="53" t="s">
        <v>764</v>
      </c>
      <c r="S53" s="53" t="s">
        <v>764</v>
      </c>
      <c r="T53" s="53" t="s">
        <v>764</v>
      </c>
      <c r="U53" s="53" t="s">
        <v>741</v>
      </c>
      <c r="V53" s="53" t="s">
        <v>770</v>
      </c>
      <c r="W53" s="53" t="s">
        <v>766</v>
      </c>
      <c r="X53" s="61">
        <f>IFERROR(IF(W53="","",WORKDAY.INTL(B53,_xlfn.XLOOKUP(W53,Regras!$F$2:$F$11,Regras!$G$2:$G$11))),"")</f>
        <v>45958</v>
      </c>
      <c r="Y53" s="150" t="s">
        <v>767</v>
      </c>
      <c r="Z53" s="53" t="s">
        <v>764</v>
      </c>
      <c r="AA53" s="53"/>
    </row>
    <row r="54" spans="2:28" ht="15" customHeight="1" x14ac:dyDescent="0.2">
      <c r="B54" s="89">
        <v>45895</v>
      </c>
      <c r="D54" s="85" t="s">
        <v>116</v>
      </c>
      <c r="E54" s="125" t="s">
        <v>117</v>
      </c>
      <c r="F54" s="85" t="s">
        <v>11</v>
      </c>
      <c r="G54" s="85" t="s">
        <v>12</v>
      </c>
      <c r="H54" s="148" t="s">
        <v>111</v>
      </c>
      <c r="I54" s="142">
        <v>1068.5999999999999</v>
      </c>
      <c r="J54" s="144">
        <v>16</v>
      </c>
      <c r="K54" s="144">
        <v>21</v>
      </c>
      <c r="L54" s="86" t="s">
        <v>741</v>
      </c>
      <c r="M54" s="58"/>
      <c r="N54" s="59"/>
      <c r="O54" s="50"/>
      <c r="P54" s="60"/>
      <c r="R54" s="53" t="s">
        <v>764</v>
      </c>
      <c r="S54" s="53" t="s">
        <v>764</v>
      </c>
      <c r="T54" s="53" t="s">
        <v>769</v>
      </c>
      <c r="U54" s="53" t="s">
        <v>741</v>
      </c>
      <c r="V54" s="53" t="s">
        <v>770</v>
      </c>
      <c r="W54" s="53" t="s">
        <v>766</v>
      </c>
      <c r="X54" s="61">
        <f>IFERROR(IF(W54="","",WORKDAY.INTL(B54,_xlfn.XLOOKUP(W54,Regras!$F$2:$F$11,Regras!$G$2:$G$11))),"")</f>
        <v>45958</v>
      </c>
      <c r="Y54" s="150" t="s">
        <v>767</v>
      </c>
      <c r="Z54" s="53" t="s">
        <v>764</v>
      </c>
      <c r="AA54" s="53"/>
    </row>
    <row r="55" spans="2:28" ht="14.25" customHeight="1" x14ac:dyDescent="0.2">
      <c r="B55" s="89">
        <v>45895</v>
      </c>
      <c r="D55" s="100" t="s">
        <v>125</v>
      </c>
      <c r="E55" s="126" t="s">
        <v>126</v>
      </c>
      <c r="F55" s="100" t="s">
        <v>49</v>
      </c>
      <c r="G55" s="100" t="s">
        <v>12</v>
      </c>
      <c r="H55" s="148" t="s">
        <v>111</v>
      </c>
      <c r="I55" s="142">
        <v>4119.1000000000004</v>
      </c>
      <c r="J55" s="144">
        <v>16</v>
      </c>
      <c r="K55" s="148" t="s">
        <v>933</v>
      </c>
      <c r="L55" s="86" t="s">
        <v>741</v>
      </c>
      <c r="M55" s="58"/>
      <c r="N55" s="59"/>
      <c r="O55" s="50"/>
      <c r="P55" s="60"/>
      <c r="R55" s="53" t="s">
        <v>764</v>
      </c>
      <c r="S55" s="53" t="s">
        <v>764</v>
      </c>
      <c r="T55" s="53" t="s">
        <v>764</v>
      </c>
      <c r="U55" s="53" t="s">
        <v>741</v>
      </c>
      <c r="V55" s="53" t="s">
        <v>768</v>
      </c>
      <c r="W55" s="53" t="s">
        <v>766</v>
      </c>
      <c r="X55" s="61">
        <f>IFERROR(IF(W55="","",WORKDAY.INTL(B55,_xlfn.XLOOKUP(W55,Regras!$F$2:$F$11,Regras!$G$2:$G$11))),"")</f>
        <v>45958</v>
      </c>
      <c r="Y55" s="150" t="s">
        <v>767</v>
      </c>
      <c r="Z55" s="53" t="s">
        <v>764</v>
      </c>
      <c r="AA55" s="53"/>
    </row>
    <row r="56" spans="2:28" x14ac:dyDescent="0.2">
      <c r="B56" s="89">
        <v>45895</v>
      </c>
      <c r="D56" s="85" t="s">
        <v>123</v>
      </c>
      <c r="E56" s="125" t="s">
        <v>124</v>
      </c>
      <c r="F56" s="85" t="s">
        <v>11</v>
      </c>
      <c r="G56" s="85" t="s">
        <v>12</v>
      </c>
      <c r="H56" s="148" t="s">
        <v>111</v>
      </c>
      <c r="I56" s="142">
        <v>936.23</v>
      </c>
      <c r="J56" s="144">
        <v>16</v>
      </c>
      <c r="K56" s="144">
        <v>21</v>
      </c>
      <c r="L56" s="86" t="s">
        <v>741</v>
      </c>
      <c r="M56" s="58"/>
      <c r="N56" s="59"/>
      <c r="O56" s="50"/>
      <c r="P56" s="60"/>
      <c r="R56" s="53" t="s">
        <v>764</v>
      </c>
      <c r="S56" s="53" t="s">
        <v>769</v>
      </c>
      <c r="T56" s="53" t="s">
        <v>769</v>
      </c>
      <c r="U56" s="53" t="s">
        <v>741</v>
      </c>
      <c r="V56" s="53" t="s">
        <v>776</v>
      </c>
      <c r="W56" s="53" t="s">
        <v>740</v>
      </c>
      <c r="X56" s="61">
        <v>45919</v>
      </c>
      <c r="Y56" s="150" t="s">
        <v>778</v>
      </c>
      <c r="Z56" s="53" t="s">
        <v>764</v>
      </c>
      <c r="AA56" s="53"/>
      <c r="AB56" s="155" t="s">
        <v>800</v>
      </c>
    </row>
    <row r="57" spans="2:28" x14ac:dyDescent="0.2">
      <c r="B57" s="89">
        <v>45894</v>
      </c>
      <c r="D57" s="85" t="s">
        <v>141</v>
      </c>
      <c r="E57" s="125" t="s">
        <v>142</v>
      </c>
      <c r="F57" s="85" t="s">
        <v>11</v>
      </c>
      <c r="G57" s="85" t="s">
        <v>12</v>
      </c>
      <c r="H57" s="148" t="s">
        <v>131</v>
      </c>
      <c r="I57" s="142">
        <v>812.27</v>
      </c>
      <c r="J57" s="144">
        <v>17</v>
      </c>
      <c r="K57" s="144">
        <v>73.5</v>
      </c>
      <c r="L57" s="86" t="s">
        <v>741</v>
      </c>
      <c r="M57" s="58"/>
      <c r="N57" s="59"/>
      <c r="O57" s="50"/>
      <c r="P57" s="60"/>
      <c r="R57" s="53" t="s">
        <v>764</v>
      </c>
      <c r="S57" s="53" t="s">
        <v>764</v>
      </c>
      <c r="T57" s="53" t="s">
        <v>764</v>
      </c>
      <c r="U57" s="53" t="s">
        <v>741</v>
      </c>
      <c r="V57" s="53" t="s">
        <v>765</v>
      </c>
      <c r="W57" s="53" t="s">
        <v>766</v>
      </c>
      <c r="X57" s="61">
        <f>IFERROR(IF(W57="","",WORKDAY.INTL(B57,_xlfn.XLOOKUP(W57,Regras!$F$2:$F$11,Regras!$G$2:$G$11))),"")</f>
        <v>45957</v>
      </c>
      <c r="Y57" s="150" t="s">
        <v>767</v>
      </c>
      <c r="Z57" s="53" t="s">
        <v>764</v>
      </c>
      <c r="AA57" s="53"/>
    </row>
    <row r="58" spans="2:28" x14ac:dyDescent="0.2">
      <c r="B58" s="89">
        <v>45894</v>
      </c>
      <c r="D58" s="85" t="s">
        <v>132</v>
      </c>
      <c r="E58" s="125" t="s">
        <v>133</v>
      </c>
      <c r="F58" s="85" t="s">
        <v>46</v>
      </c>
      <c r="G58" s="85" t="s">
        <v>18</v>
      </c>
      <c r="H58" s="148" t="s">
        <v>131</v>
      </c>
      <c r="I58" s="142">
        <v>1377.68</v>
      </c>
      <c r="J58" s="144">
        <v>17</v>
      </c>
      <c r="K58" s="144">
        <v>61.5</v>
      </c>
      <c r="L58" s="86" t="s">
        <v>741</v>
      </c>
      <c r="M58" s="58"/>
      <c r="N58" s="59"/>
      <c r="O58" s="50"/>
      <c r="P58" s="60"/>
      <c r="R58" s="53" t="s">
        <v>764</v>
      </c>
      <c r="S58" s="53" t="s">
        <v>764</v>
      </c>
      <c r="T58" s="53" t="s">
        <v>769</v>
      </c>
      <c r="U58" s="53" t="s">
        <v>773</v>
      </c>
      <c r="V58" s="53" t="s">
        <v>765</v>
      </c>
      <c r="W58" s="53" t="s">
        <v>766</v>
      </c>
      <c r="X58" s="61">
        <f>IFERROR(IF(W58="","",WORKDAY.INTL(B58,_xlfn.XLOOKUP(W58,Regras!$F$2:$F$11,Regras!$G$2:$G$11))),"")</f>
        <v>45957</v>
      </c>
      <c r="Y58" s="150" t="s">
        <v>767</v>
      </c>
      <c r="Z58" s="53" t="s">
        <v>764</v>
      </c>
      <c r="AA58" s="53"/>
    </row>
    <row r="59" spans="2:28" ht="15" customHeight="1" x14ac:dyDescent="0.2">
      <c r="B59" s="89">
        <v>45894</v>
      </c>
      <c r="D59" s="85" t="s">
        <v>152</v>
      </c>
      <c r="E59" s="125" t="s">
        <v>153</v>
      </c>
      <c r="F59" s="85" t="s">
        <v>11</v>
      </c>
      <c r="G59" s="85" t="s">
        <v>12</v>
      </c>
      <c r="H59" s="148" t="s">
        <v>131</v>
      </c>
      <c r="I59" s="142">
        <v>658.02</v>
      </c>
      <c r="J59" s="144">
        <v>17</v>
      </c>
      <c r="K59" s="148" t="s">
        <v>933</v>
      </c>
      <c r="L59" s="86" t="s">
        <v>741</v>
      </c>
      <c r="M59" s="58"/>
      <c r="N59" s="59"/>
      <c r="O59" s="50"/>
      <c r="P59" s="60"/>
      <c r="R59" s="53" t="s">
        <v>764</v>
      </c>
      <c r="S59" s="53" t="s">
        <v>764</v>
      </c>
      <c r="T59" s="53" t="s">
        <v>764</v>
      </c>
      <c r="U59" s="53" t="s">
        <v>741</v>
      </c>
      <c r="V59" s="53" t="s">
        <v>768</v>
      </c>
      <c r="W59" s="53" t="s">
        <v>766</v>
      </c>
      <c r="X59" s="61">
        <f>IFERROR(IF(W59="","",WORKDAY.INTL(B59,_xlfn.XLOOKUP(W59,Regras!$F$2:$F$11,Regras!$G$2:$G$11))),"")</f>
        <v>45957</v>
      </c>
      <c r="Y59" s="150" t="s">
        <v>767</v>
      </c>
      <c r="Z59" s="53" t="s">
        <v>764</v>
      </c>
      <c r="AA59" s="53"/>
    </row>
    <row r="60" spans="2:28" x14ac:dyDescent="0.2">
      <c r="B60" s="89">
        <v>45894</v>
      </c>
      <c r="D60" s="85" t="s">
        <v>138</v>
      </c>
      <c r="E60" s="125" t="s">
        <v>139</v>
      </c>
      <c r="F60" s="85" t="s">
        <v>140</v>
      </c>
      <c r="G60" s="85" t="s">
        <v>12</v>
      </c>
      <c r="H60" s="148" t="s">
        <v>131</v>
      </c>
      <c r="I60" s="142">
        <v>2426.2800000000002</v>
      </c>
      <c r="J60" s="144">
        <v>17</v>
      </c>
      <c r="K60" s="144">
        <v>29.666699999999999</v>
      </c>
      <c r="L60" s="86" t="s">
        <v>741</v>
      </c>
      <c r="M60" s="58"/>
      <c r="N60" s="59"/>
      <c r="O60" s="50"/>
      <c r="P60" s="60"/>
      <c r="R60" s="53" t="s">
        <v>764</v>
      </c>
      <c r="S60" s="53" t="s">
        <v>764</v>
      </c>
      <c r="T60" s="53" t="s">
        <v>769</v>
      </c>
      <c r="U60" s="53" t="s">
        <v>741</v>
      </c>
      <c r="V60" s="53" t="s">
        <v>770</v>
      </c>
      <c r="W60" s="53" t="s">
        <v>766</v>
      </c>
      <c r="X60" s="61">
        <f>IFERROR(IF(W60="","",WORKDAY.INTL(B60,_xlfn.XLOOKUP(W60,Regras!$F$2:$F$11,Regras!$G$2:$G$11))),"")</f>
        <v>45957</v>
      </c>
      <c r="Y60" s="150" t="s">
        <v>767</v>
      </c>
      <c r="Z60" s="53" t="s">
        <v>764</v>
      </c>
      <c r="AA60" s="53"/>
    </row>
    <row r="61" spans="2:28" x14ac:dyDescent="0.2">
      <c r="B61" s="89">
        <v>45894</v>
      </c>
      <c r="D61" s="85" t="s">
        <v>129</v>
      </c>
      <c r="E61" s="125" t="s">
        <v>130</v>
      </c>
      <c r="F61" s="85" t="s">
        <v>46</v>
      </c>
      <c r="G61" s="85" t="s">
        <v>18</v>
      </c>
      <c r="H61" s="148" t="s">
        <v>131</v>
      </c>
      <c r="I61" s="142">
        <v>2176.64</v>
      </c>
      <c r="J61" s="144">
        <v>17</v>
      </c>
      <c r="K61" s="144">
        <v>25</v>
      </c>
      <c r="L61" s="86" t="s">
        <v>741</v>
      </c>
      <c r="M61" s="58"/>
      <c r="N61" s="59"/>
      <c r="O61" s="50"/>
      <c r="P61" s="60"/>
      <c r="R61" s="53" t="s">
        <v>764</v>
      </c>
      <c r="S61" s="53" t="s">
        <v>764</v>
      </c>
      <c r="T61" s="53" t="s">
        <v>769</v>
      </c>
      <c r="U61" s="53" t="s">
        <v>741</v>
      </c>
      <c r="V61" s="53" t="s">
        <v>770</v>
      </c>
      <c r="W61" s="53" t="s">
        <v>766</v>
      </c>
      <c r="X61" s="61">
        <f>IFERROR(IF(W61="","",WORKDAY.INTL(B61,_xlfn.XLOOKUP(W61,Regras!$F$2:$F$11,Regras!$G$2:$G$11))),"")</f>
        <v>45957</v>
      </c>
      <c r="Y61" s="150" t="s">
        <v>767</v>
      </c>
      <c r="Z61" s="53" t="s">
        <v>764</v>
      </c>
      <c r="AA61" s="53"/>
    </row>
    <row r="62" spans="2:28" x14ac:dyDescent="0.2">
      <c r="B62" s="89">
        <v>45894</v>
      </c>
      <c r="D62" s="85" t="s">
        <v>134</v>
      </c>
      <c r="E62" s="125" t="s">
        <v>135</v>
      </c>
      <c r="F62" s="85" t="s">
        <v>46</v>
      </c>
      <c r="G62" s="85" t="s">
        <v>18</v>
      </c>
      <c r="H62" s="148" t="s">
        <v>131</v>
      </c>
      <c r="I62" s="142">
        <v>2303.38</v>
      </c>
      <c r="J62" s="144">
        <v>17</v>
      </c>
      <c r="K62" s="144">
        <v>77</v>
      </c>
      <c r="L62" s="86" t="s">
        <v>741</v>
      </c>
      <c r="M62" s="58"/>
      <c r="N62" s="59"/>
      <c r="O62" s="50"/>
      <c r="P62" s="60"/>
      <c r="R62" s="53" t="s">
        <v>764</v>
      </c>
      <c r="S62" s="53" t="s">
        <v>764</v>
      </c>
      <c r="T62" s="53" t="s">
        <v>769</v>
      </c>
      <c r="U62" s="53" t="s">
        <v>773</v>
      </c>
      <c r="V62" s="53" t="s">
        <v>765</v>
      </c>
      <c r="W62" s="53" t="s">
        <v>766</v>
      </c>
      <c r="X62" s="61">
        <f>IFERROR(IF(W62="","",WORKDAY.INTL(B62,_xlfn.XLOOKUP(W62,Regras!$F$2:$F$11,Regras!$G$2:$G$11))),"")</f>
        <v>45957</v>
      </c>
      <c r="Y62" s="150" t="s">
        <v>767</v>
      </c>
      <c r="Z62" s="53" t="s">
        <v>764</v>
      </c>
      <c r="AA62" s="53"/>
    </row>
    <row r="63" spans="2:28" x14ac:dyDescent="0.2">
      <c r="B63" s="89">
        <v>45894</v>
      </c>
      <c r="D63" s="85" t="s">
        <v>150</v>
      </c>
      <c r="E63" s="125" t="s">
        <v>151</v>
      </c>
      <c r="F63" s="85" t="s">
        <v>22</v>
      </c>
      <c r="G63" s="85" t="s">
        <v>12</v>
      </c>
      <c r="H63" s="148" t="s">
        <v>131</v>
      </c>
      <c r="I63" s="142">
        <v>689.46</v>
      </c>
      <c r="J63" s="144">
        <v>17</v>
      </c>
      <c r="K63" s="148" t="s">
        <v>933</v>
      </c>
      <c r="L63" s="86" t="s">
        <v>741</v>
      </c>
      <c r="M63" s="58"/>
      <c r="N63" s="59"/>
      <c r="O63" s="50"/>
      <c r="P63" s="60"/>
      <c r="R63" s="53" t="s">
        <v>764</v>
      </c>
      <c r="S63" s="53" t="s">
        <v>764</v>
      </c>
      <c r="T63" s="53" t="s">
        <v>764</v>
      </c>
      <c r="U63" s="53" t="s">
        <v>741</v>
      </c>
      <c r="V63" s="53" t="s">
        <v>768</v>
      </c>
      <c r="W63" s="53" t="s">
        <v>766</v>
      </c>
      <c r="X63" s="61">
        <f>IFERROR(IF(W63="","",WORKDAY.INTL(B63,_xlfn.XLOOKUP(W63,Regras!$F$2:$F$11,Regras!$G$2:$G$11))),"")</f>
        <v>45957</v>
      </c>
      <c r="Y63" s="150" t="s">
        <v>767</v>
      </c>
      <c r="Z63" s="53" t="s">
        <v>764</v>
      </c>
      <c r="AA63" s="53"/>
    </row>
    <row r="64" spans="2:28" x14ac:dyDescent="0.2">
      <c r="B64" s="89">
        <v>45894</v>
      </c>
      <c r="D64" s="85" t="s">
        <v>143</v>
      </c>
      <c r="E64" s="125" t="s">
        <v>144</v>
      </c>
      <c r="F64" s="85" t="s">
        <v>145</v>
      </c>
      <c r="G64" s="85" t="s">
        <v>12</v>
      </c>
      <c r="H64" s="148" t="s">
        <v>131</v>
      </c>
      <c r="I64" s="142">
        <v>2363.33</v>
      </c>
      <c r="J64" s="144">
        <v>17</v>
      </c>
      <c r="K64" s="144">
        <v>144</v>
      </c>
      <c r="L64" s="86" t="s">
        <v>741</v>
      </c>
      <c r="M64" s="58"/>
      <c r="N64" s="59"/>
      <c r="O64" s="50"/>
      <c r="P64" s="60"/>
      <c r="R64" s="53" t="s">
        <v>764</v>
      </c>
      <c r="S64" s="53" t="s">
        <v>764</v>
      </c>
      <c r="T64" s="53" t="s">
        <v>769</v>
      </c>
      <c r="U64" s="53" t="s">
        <v>741</v>
      </c>
      <c r="V64" s="53" t="s">
        <v>765</v>
      </c>
      <c r="W64" s="53" t="s">
        <v>766</v>
      </c>
      <c r="X64" s="61">
        <f>IFERROR(IF(W64="","",WORKDAY.INTL(B64,_xlfn.XLOOKUP(W64,Regras!$F$2:$F$11,Regras!$G$2:$G$11))),"")</f>
        <v>45957</v>
      </c>
      <c r="Y64" s="150" t="s">
        <v>767</v>
      </c>
      <c r="Z64" s="53" t="s">
        <v>764</v>
      </c>
      <c r="AA64" s="53"/>
    </row>
    <row r="65" spans="2:28" x14ac:dyDescent="0.2">
      <c r="B65" s="89">
        <v>45894</v>
      </c>
      <c r="D65" s="100" t="s">
        <v>146</v>
      </c>
      <c r="E65" s="126" t="s">
        <v>147</v>
      </c>
      <c r="F65" s="100" t="s">
        <v>140</v>
      </c>
      <c r="G65" s="100" t="s">
        <v>12</v>
      </c>
      <c r="H65" s="148" t="s">
        <v>131</v>
      </c>
      <c r="I65" s="142">
        <v>1556.38</v>
      </c>
      <c r="J65" s="144">
        <v>17</v>
      </c>
      <c r="K65" s="144">
        <v>82</v>
      </c>
      <c r="L65" s="86" t="s">
        <v>741</v>
      </c>
      <c r="M65" s="58"/>
      <c r="N65" s="59"/>
      <c r="O65" s="50"/>
      <c r="P65" s="60"/>
      <c r="R65" s="53" t="s">
        <v>764</v>
      </c>
      <c r="S65" s="53" t="s">
        <v>764</v>
      </c>
      <c r="T65" s="53" t="s">
        <v>764</v>
      </c>
      <c r="U65" s="53" t="s">
        <v>741</v>
      </c>
      <c r="V65" s="53" t="s">
        <v>765</v>
      </c>
      <c r="W65" s="53" t="s">
        <v>766</v>
      </c>
      <c r="X65" s="61">
        <f>IFERROR(IF(W65="","",WORKDAY.INTL(B65,_xlfn.XLOOKUP(W65,Regras!$F$2:$F$11,Regras!$G$2:$G$11))),"")</f>
        <v>45957</v>
      </c>
      <c r="Y65" s="150" t="s">
        <v>767</v>
      </c>
      <c r="Z65" s="53" t="s">
        <v>764</v>
      </c>
      <c r="AA65" s="53"/>
    </row>
    <row r="66" spans="2:28" ht="14.25" customHeight="1" x14ac:dyDescent="0.2">
      <c r="B66" s="89">
        <v>45894</v>
      </c>
      <c r="D66" s="85" t="s">
        <v>148</v>
      </c>
      <c r="E66" s="125" t="s">
        <v>149</v>
      </c>
      <c r="F66" s="85" t="s">
        <v>22</v>
      </c>
      <c r="G66" s="85" t="s">
        <v>12</v>
      </c>
      <c r="H66" s="148" t="s">
        <v>131</v>
      </c>
      <c r="I66" s="142">
        <v>665.76</v>
      </c>
      <c r="J66" s="144">
        <v>17</v>
      </c>
      <c r="K66" s="144">
        <v>26</v>
      </c>
      <c r="L66" s="86" t="s">
        <v>741</v>
      </c>
      <c r="M66" s="58"/>
      <c r="N66" s="59"/>
      <c r="O66" s="50"/>
      <c r="P66" s="60"/>
      <c r="R66" s="53" t="s">
        <v>764</v>
      </c>
      <c r="S66" s="53" t="s">
        <v>764</v>
      </c>
      <c r="T66" s="53" t="s">
        <v>764</v>
      </c>
      <c r="U66" s="53" t="s">
        <v>741</v>
      </c>
      <c r="V66" s="53" t="s">
        <v>770</v>
      </c>
      <c r="W66" s="53" t="s">
        <v>766</v>
      </c>
      <c r="X66" s="61">
        <f>IFERROR(IF(W66="","",WORKDAY.INTL(B66,_xlfn.XLOOKUP(W66,Regras!$F$2:$F$11,Regras!$G$2:$G$11))),"")</f>
        <v>45957</v>
      </c>
      <c r="Y66" s="150" t="s">
        <v>767</v>
      </c>
      <c r="Z66" s="53" t="s">
        <v>764</v>
      </c>
      <c r="AA66" s="53"/>
    </row>
    <row r="67" spans="2:28" x14ac:dyDescent="0.2">
      <c r="B67" s="89">
        <v>45894</v>
      </c>
      <c r="D67" s="85" t="s">
        <v>136</v>
      </c>
      <c r="E67" s="125" t="s">
        <v>137</v>
      </c>
      <c r="F67" s="85" t="s">
        <v>17</v>
      </c>
      <c r="G67" s="85" t="s">
        <v>12</v>
      </c>
      <c r="H67" s="148" t="s">
        <v>131</v>
      </c>
      <c r="I67" s="142">
        <v>675.58</v>
      </c>
      <c r="J67" s="144">
        <v>17</v>
      </c>
      <c r="K67" s="144">
        <v>97</v>
      </c>
      <c r="L67" s="86" t="s">
        <v>741</v>
      </c>
      <c r="M67" s="58"/>
      <c r="N67" s="59"/>
      <c r="O67" s="50"/>
      <c r="P67" s="60"/>
      <c r="R67" s="53" t="s">
        <v>764</v>
      </c>
      <c r="S67" s="53" t="s">
        <v>764</v>
      </c>
      <c r="T67" s="53" t="s">
        <v>769</v>
      </c>
      <c r="U67" s="53" t="s">
        <v>741</v>
      </c>
      <c r="V67" s="53" t="s">
        <v>765</v>
      </c>
      <c r="W67" s="53" t="s">
        <v>766</v>
      </c>
      <c r="X67" s="61">
        <f>IFERROR(IF(W67="","",WORKDAY.INTL(B67,_xlfn.XLOOKUP(W67,Regras!$F$2:$F$11,Regras!$G$2:$G$11))),"")</f>
        <v>45957</v>
      </c>
      <c r="Y67" s="150" t="s">
        <v>767</v>
      </c>
      <c r="Z67" s="53" t="s">
        <v>764</v>
      </c>
      <c r="AA67" s="53"/>
    </row>
    <row r="68" spans="2:28" ht="15" customHeight="1" x14ac:dyDescent="0.2">
      <c r="B68" s="89">
        <v>45926</v>
      </c>
      <c r="D68" s="85" t="s">
        <v>148</v>
      </c>
      <c r="E68" s="125" t="s">
        <v>149</v>
      </c>
      <c r="F68" s="85" t="s">
        <v>22</v>
      </c>
      <c r="G68" s="85" t="s">
        <v>12</v>
      </c>
      <c r="H68" s="148" t="s">
        <v>131</v>
      </c>
      <c r="I68" s="142">
        <v>665.76</v>
      </c>
      <c r="J68" s="144">
        <v>17</v>
      </c>
      <c r="K68" s="144">
        <v>26</v>
      </c>
      <c r="L68" s="86" t="s">
        <v>741</v>
      </c>
      <c r="M68" s="58"/>
      <c r="N68" s="59"/>
      <c r="O68" s="50"/>
      <c r="P68" s="60"/>
      <c r="R68" s="53" t="s">
        <v>764</v>
      </c>
      <c r="S68" s="53" t="s">
        <v>764</v>
      </c>
      <c r="T68" s="53" t="s">
        <v>769</v>
      </c>
      <c r="U68" s="53" t="s">
        <v>741</v>
      </c>
      <c r="V68" s="53" t="s">
        <v>770</v>
      </c>
      <c r="W68" s="53" t="s">
        <v>1054</v>
      </c>
      <c r="X68" s="61">
        <f>IFERROR(IF(W68="","",WORKDAY.INTL(B68,_xlfn.XLOOKUP(W68,Regras!$F$2:$F$11,Regras!$G$2:$G$11))),"")</f>
        <v>45947</v>
      </c>
      <c r="Y68" s="150" t="s">
        <v>1045</v>
      </c>
      <c r="Z68" s="53" t="s">
        <v>764</v>
      </c>
      <c r="AA68" s="53"/>
      <c r="AB68" s="155" t="s">
        <v>1049</v>
      </c>
    </row>
    <row r="69" spans="2:28" x14ac:dyDescent="0.2">
      <c r="B69" s="89">
        <v>45926</v>
      </c>
      <c r="D69" s="85" t="s">
        <v>150</v>
      </c>
      <c r="E69" s="125" t="s">
        <v>151</v>
      </c>
      <c r="F69" s="85" t="s">
        <v>22</v>
      </c>
      <c r="G69" s="85" t="s">
        <v>12</v>
      </c>
      <c r="H69" s="148" t="s">
        <v>131</v>
      </c>
      <c r="I69" s="142">
        <v>689.46</v>
      </c>
      <c r="J69" s="144">
        <v>17</v>
      </c>
      <c r="K69" s="148" t="s">
        <v>933</v>
      </c>
      <c r="L69" s="86" t="s">
        <v>741</v>
      </c>
      <c r="M69" s="58"/>
      <c r="N69" s="59"/>
      <c r="O69" s="50"/>
      <c r="P69" s="60"/>
      <c r="R69" s="53" t="s">
        <v>764</v>
      </c>
      <c r="S69" s="53" t="s">
        <v>764</v>
      </c>
      <c r="T69" s="53" t="s">
        <v>769</v>
      </c>
      <c r="U69" s="53" t="s">
        <v>741</v>
      </c>
      <c r="V69" s="53" t="s">
        <v>770</v>
      </c>
      <c r="W69" s="53" t="s">
        <v>780</v>
      </c>
      <c r="X69" s="61">
        <f>IFERROR(IF(W69="","",WORKDAY.INTL(B69,_xlfn.XLOOKUP(W69,Regras!$F$2:$F$11,Regras!$G$2:$G$11))),"")</f>
        <v>45930</v>
      </c>
      <c r="Y69" s="150" t="s">
        <v>1045</v>
      </c>
      <c r="Z69" s="53" t="s">
        <v>764</v>
      </c>
      <c r="AA69" s="53"/>
      <c r="AB69" s="155" t="s">
        <v>1046</v>
      </c>
    </row>
    <row r="70" spans="2:28" x14ac:dyDescent="0.2">
      <c r="B70" s="89">
        <v>45891</v>
      </c>
      <c r="D70" s="85" t="s">
        <v>157</v>
      </c>
      <c r="E70" s="125" t="s">
        <v>158</v>
      </c>
      <c r="F70" s="85" t="s">
        <v>11</v>
      </c>
      <c r="G70" s="85" t="s">
        <v>18</v>
      </c>
      <c r="H70" s="148" t="s">
        <v>156</v>
      </c>
      <c r="I70" s="142">
        <v>784.65</v>
      </c>
      <c r="J70" s="144">
        <v>20</v>
      </c>
      <c r="K70" s="144">
        <v>24</v>
      </c>
      <c r="L70" s="86" t="s">
        <v>741</v>
      </c>
      <c r="M70" s="58"/>
      <c r="N70" s="59"/>
      <c r="O70" s="50"/>
      <c r="P70" s="60"/>
      <c r="R70" s="53" t="s">
        <v>764</v>
      </c>
      <c r="S70" s="53" t="s">
        <v>764</v>
      </c>
      <c r="T70" s="53" t="s">
        <v>769</v>
      </c>
      <c r="U70" s="53" t="s">
        <v>741</v>
      </c>
      <c r="V70" s="53" t="s">
        <v>770</v>
      </c>
      <c r="W70" s="53" t="s">
        <v>766</v>
      </c>
      <c r="X70" s="61">
        <f>IFERROR(IF(W70="","",WORKDAY.INTL(B70,_xlfn.XLOOKUP(W70,Regras!$F$2:$F$11,Regras!$G$2:$G$11))),"")</f>
        <v>45954</v>
      </c>
      <c r="Y70" s="150" t="s">
        <v>767</v>
      </c>
      <c r="Z70" s="53" t="s">
        <v>764</v>
      </c>
      <c r="AA70" s="53"/>
    </row>
    <row r="71" spans="2:28" ht="14.25" customHeight="1" x14ac:dyDescent="0.2">
      <c r="B71" s="89">
        <v>45891</v>
      </c>
      <c r="D71" s="85" t="s">
        <v>154</v>
      </c>
      <c r="E71" s="125" t="s">
        <v>155</v>
      </c>
      <c r="F71" s="85" t="s">
        <v>17</v>
      </c>
      <c r="G71" s="85" t="s">
        <v>18</v>
      </c>
      <c r="H71" s="148" t="s">
        <v>156</v>
      </c>
      <c r="I71" s="142">
        <v>1233.6600000000001</v>
      </c>
      <c r="J71" s="144">
        <v>20</v>
      </c>
      <c r="K71" s="148" t="s">
        <v>933</v>
      </c>
      <c r="L71" s="86" t="s">
        <v>741</v>
      </c>
      <c r="M71" s="58"/>
      <c r="N71" s="59"/>
      <c r="O71" s="50"/>
      <c r="P71" s="60"/>
      <c r="R71" s="53" t="s">
        <v>764</v>
      </c>
      <c r="S71" s="53" t="s">
        <v>764</v>
      </c>
      <c r="T71" s="53" t="s">
        <v>764</v>
      </c>
      <c r="U71" s="53" t="s">
        <v>741</v>
      </c>
      <c r="V71" s="53" t="s">
        <v>768</v>
      </c>
      <c r="W71" s="53" t="s">
        <v>766</v>
      </c>
      <c r="X71" s="61">
        <f>IFERROR(IF(W71="","",WORKDAY.INTL(B71,_xlfn.XLOOKUP(W71,Regras!$F$2:$F$11,Regras!$G$2:$G$11))),"")</f>
        <v>45954</v>
      </c>
      <c r="Y71" s="150" t="s">
        <v>767</v>
      </c>
      <c r="Z71" s="53" t="s">
        <v>764</v>
      </c>
      <c r="AA71" s="53"/>
    </row>
    <row r="72" spans="2:28" x14ac:dyDescent="0.2">
      <c r="B72" s="89">
        <v>45890</v>
      </c>
      <c r="D72" s="85" t="s">
        <v>159</v>
      </c>
      <c r="E72" s="125" t="s">
        <v>160</v>
      </c>
      <c r="F72" s="85" t="s">
        <v>59</v>
      </c>
      <c r="G72" s="85" t="s">
        <v>12</v>
      </c>
      <c r="H72" s="148" t="s">
        <v>161</v>
      </c>
      <c r="I72" s="142">
        <v>1322.32</v>
      </c>
      <c r="J72" s="144">
        <v>21</v>
      </c>
      <c r="K72" s="148" t="s">
        <v>933</v>
      </c>
      <c r="L72" s="86" t="s">
        <v>741</v>
      </c>
      <c r="M72" s="58"/>
      <c r="N72" s="59"/>
      <c r="O72" s="50"/>
      <c r="P72" s="60"/>
      <c r="R72" s="53" t="s">
        <v>764</v>
      </c>
      <c r="S72" s="53" t="s">
        <v>764</v>
      </c>
      <c r="T72" s="53" t="s">
        <v>769</v>
      </c>
      <c r="U72" s="53" t="s">
        <v>741</v>
      </c>
      <c r="V72" s="53" t="s">
        <v>768</v>
      </c>
      <c r="W72" s="53" t="s">
        <v>766</v>
      </c>
      <c r="X72" s="61">
        <f>IFERROR(IF(W72="","",WORKDAY.INTL(B72,_xlfn.XLOOKUP(W72,Regras!$F$2:$F$11,Regras!$G$2:$G$11))),"")</f>
        <v>45953</v>
      </c>
      <c r="Y72" s="150" t="s">
        <v>767</v>
      </c>
      <c r="Z72" s="53" t="s">
        <v>764</v>
      </c>
      <c r="AA72" s="53"/>
    </row>
    <row r="73" spans="2:28" x14ac:dyDescent="0.2">
      <c r="B73" s="89">
        <v>45890</v>
      </c>
      <c r="D73" s="85" t="s">
        <v>166</v>
      </c>
      <c r="E73" s="125" t="s">
        <v>167</v>
      </c>
      <c r="F73" s="85" t="s">
        <v>140</v>
      </c>
      <c r="G73" s="85" t="s">
        <v>12</v>
      </c>
      <c r="H73" s="148" t="s">
        <v>161</v>
      </c>
      <c r="I73" s="142">
        <v>933.42</v>
      </c>
      <c r="J73" s="144">
        <v>21</v>
      </c>
      <c r="K73" s="148" t="s">
        <v>933</v>
      </c>
      <c r="L73" s="86" t="s">
        <v>741</v>
      </c>
      <c r="M73" s="58"/>
      <c r="N73" s="59"/>
      <c r="O73" s="50"/>
      <c r="P73" s="60"/>
      <c r="R73" s="53" t="s">
        <v>764</v>
      </c>
      <c r="S73" s="53" t="s">
        <v>764</v>
      </c>
      <c r="T73" s="53" t="s">
        <v>769</v>
      </c>
      <c r="U73" s="53" t="s">
        <v>741</v>
      </c>
      <c r="V73" s="53" t="s">
        <v>768</v>
      </c>
      <c r="W73" s="53" t="s">
        <v>766</v>
      </c>
      <c r="X73" s="61">
        <f>IFERROR(IF(W73="","",WORKDAY.INTL(B73,_xlfn.XLOOKUP(W73,Regras!$F$2:$F$11,Regras!$G$2:$G$11))),"")</f>
        <v>45953</v>
      </c>
      <c r="Y73" s="150" t="s">
        <v>767</v>
      </c>
      <c r="Z73" s="53" t="s">
        <v>764</v>
      </c>
      <c r="AA73" s="53"/>
    </row>
    <row r="74" spans="2:28" x14ac:dyDescent="0.2">
      <c r="B74" s="89">
        <v>45890</v>
      </c>
      <c r="D74" s="85" t="s">
        <v>164</v>
      </c>
      <c r="E74" s="125" t="s">
        <v>165</v>
      </c>
      <c r="F74" s="85" t="s">
        <v>140</v>
      </c>
      <c r="G74" s="85" t="s">
        <v>12</v>
      </c>
      <c r="H74" s="148" t="s">
        <v>161</v>
      </c>
      <c r="I74" s="142">
        <v>2116.36</v>
      </c>
      <c r="J74" s="144">
        <v>21</v>
      </c>
      <c r="K74" s="144">
        <v>52</v>
      </c>
      <c r="L74" s="86" t="s">
        <v>741</v>
      </c>
      <c r="M74" s="58"/>
      <c r="N74" s="59"/>
      <c r="O74" s="50"/>
      <c r="P74" s="60"/>
      <c r="R74" s="53" t="s">
        <v>764</v>
      </c>
      <c r="S74" s="53" t="s">
        <v>764</v>
      </c>
      <c r="T74" s="53" t="s">
        <v>769</v>
      </c>
      <c r="U74" s="53" t="s">
        <v>773</v>
      </c>
      <c r="V74" s="53" t="s">
        <v>765</v>
      </c>
      <c r="W74" s="53" t="s">
        <v>766</v>
      </c>
      <c r="X74" s="61">
        <f>IFERROR(IF(W74="","",WORKDAY.INTL(B74,_xlfn.XLOOKUP(W74,Regras!$F$2:$F$11,Regras!$G$2:$G$11))),"")</f>
        <v>45953</v>
      </c>
      <c r="Y74" s="150" t="s">
        <v>767</v>
      </c>
      <c r="Z74" s="53" t="s">
        <v>764</v>
      </c>
      <c r="AA74" s="53"/>
    </row>
    <row r="75" spans="2:28" x14ac:dyDescent="0.2">
      <c r="B75" s="89">
        <v>45890</v>
      </c>
      <c r="D75" s="85" t="s">
        <v>162</v>
      </c>
      <c r="E75" s="125" t="s">
        <v>163</v>
      </c>
      <c r="F75" s="85" t="s">
        <v>31</v>
      </c>
      <c r="G75" s="85" t="s">
        <v>12</v>
      </c>
      <c r="H75" s="148" t="s">
        <v>161</v>
      </c>
      <c r="I75" s="142">
        <v>1859.19</v>
      </c>
      <c r="J75" s="144">
        <v>21</v>
      </c>
      <c r="K75" s="144">
        <v>59.5</v>
      </c>
      <c r="L75" s="86" t="s">
        <v>741</v>
      </c>
      <c r="M75" s="58"/>
      <c r="N75" s="59"/>
      <c r="O75" s="50"/>
      <c r="P75" s="60"/>
      <c r="R75" s="53" t="s">
        <v>764</v>
      </c>
      <c r="S75" s="53" t="s">
        <v>764</v>
      </c>
      <c r="T75" s="53" t="s">
        <v>769</v>
      </c>
      <c r="U75" s="53" t="s">
        <v>773</v>
      </c>
      <c r="V75" s="53" t="s">
        <v>765</v>
      </c>
      <c r="W75" s="53" t="s">
        <v>766</v>
      </c>
      <c r="X75" s="61">
        <f>IFERROR(IF(W75="","",WORKDAY.INTL(B75,_xlfn.XLOOKUP(W75,Regras!$F$2:$F$11,Regras!$G$2:$G$11))),"")</f>
        <v>45953</v>
      </c>
      <c r="Y75" s="150" t="s">
        <v>767</v>
      </c>
      <c r="Z75" s="53" t="s">
        <v>764</v>
      </c>
      <c r="AA75" s="53"/>
    </row>
    <row r="76" spans="2:28" x14ac:dyDescent="0.2">
      <c r="B76" s="89">
        <v>45889</v>
      </c>
      <c r="D76" s="85" t="s">
        <v>171</v>
      </c>
      <c r="E76" s="125" t="s">
        <v>172</v>
      </c>
      <c r="F76" s="85" t="s">
        <v>22</v>
      </c>
      <c r="G76" s="85" t="s">
        <v>12</v>
      </c>
      <c r="H76" s="148" t="s">
        <v>170</v>
      </c>
      <c r="I76" s="142">
        <v>684.92</v>
      </c>
      <c r="J76" s="144">
        <v>22</v>
      </c>
      <c r="K76" s="148" t="s">
        <v>933</v>
      </c>
      <c r="L76" s="86" t="s">
        <v>741</v>
      </c>
      <c r="M76" s="58"/>
      <c r="N76" s="59"/>
      <c r="O76" s="50"/>
      <c r="P76" s="60"/>
      <c r="R76" s="53" t="s">
        <v>764</v>
      </c>
      <c r="S76" s="53" t="s">
        <v>764</v>
      </c>
      <c r="T76" s="53" t="s">
        <v>769</v>
      </c>
      <c r="U76" s="53" t="s">
        <v>741</v>
      </c>
      <c r="V76" s="53" t="s">
        <v>768</v>
      </c>
      <c r="W76" s="53" t="s">
        <v>766</v>
      </c>
      <c r="X76" s="61">
        <f>IFERROR(IF(W76="","",WORKDAY.INTL(B76,_xlfn.XLOOKUP(W76,Regras!$F$2:$F$11,Regras!$G$2:$G$11))),"")</f>
        <v>45952</v>
      </c>
      <c r="Y76" s="150" t="s">
        <v>767</v>
      </c>
      <c r="Z76" s="53" t="s">
        <v>764</v>
      </c>
      <c r="AA76" s="53"/>
    </row>
    <row r="77" spans="2:28" x14ac:dyDescent="0.2">
      <c r="B77" s="89">
        <v>45889</v>
      </c>
      <c r="D77" s="85" t="s">
        <v>168</v>
      </c>
      <c r="E77" s="125" t="s">
        <v>169</v>
      </c>
      <c r="F77" s="85" t="s">
        <v>46</v>
      </c>
      <c r="G77" s="85" t="s">
        <v>12</v>
      </c>
      <c r="H77" s="148" t="s">
        <v>170</v>
      </c>
      <c r="I77" s="142">
        <v>1137.8399999999999</v>
      </c>
      <c r="J77" s="144">
        <v>22</v>
      </c>
      <c r="K77" s="144">
        <v>16</v>
      </c>
      <c r="L77" s="86" t="s">
        <v>741</v>
      </c>
      <c r="M77" s="58"/>
      <c r="N77" s="59"/>
      <c r="O77" s="50"/>
      <c r="P77" s="60"/>
      <c r="R77" s="53" t="s">
        <v>764</v>
      </c>
      <c r="S77" s="53" t="s">
        <v>764</v>
      </c>
      <c r="T77" s="53" t="s">
        <v>764</v>
      </c>
      <c r="U77" s="53" t="s">
        <v>741</v>
      </c>
      <c r="V77" s="53" t="s">
        <v>770</v>
      </c>
      <c r="W77" s="53" t="s">
        <v>766</v>
      </c>
      <c r="X77" s="61">
        <f>IFERROR(IF(W77="","",WORKDAY.INTL(B77,_xlfn.XLOOKUP(W77,Regras!$F$2:$F$11,Regras!$G$2:$G$11))),"")</f>
        <v>45952</v>
      </c>
      <c r="Y77" s="150" t="s">
        <v>767</v>
      </c>
      <c r="Z77" s="53" t="s">
        <v>764</v>
      </c>
      <c r="AA77" s="53"/>
    </row>
    <row r="78" spans="2:28" x14ac:dyDescent="0.2">
      <c r="B78" s="89">
        <v>45889</v>
      </c>
      <c r="D78" s="85" t="s">
        <v>173</v>
      </c>
      <c r="E78" s="125" t="s">
        <v>174</v>
      </c>
      <c r="F78" s="85" t="s">
        <v>22</v>
      </c>
      <c r="G78" s="85" t="s">
        <v>32</v>
      </c>
      <c r="H78" s="148" t="s">
        <v>170</v>
      </c>
      <c r="I78" s="142">
        <v>1443.35</v>
      </c>
      <c r="J78" s="144">
        <v>22</v>
      </c>
      <c r="K78" s="148" t="s">
        <v>933</v>
      </c>
      <c r="L78" s="86" t="s">
        <v>741</v>
      </c>
      <c r="M78" s="58"/>
      <c r="N78" s="59"/>
      <c r="O78" s="50"/>
      <c r="P78" s="60"/>
      <c r="R78" s="53" t="s">
        <v>764</v>
      </c>
      <c r="S78" s="53" t="s">
        <v>764</v>
      </c>
      <c r="T78" s="53" t="s">
        <v>764</v>
      </c>
      <c r="U78" s="53" t="s">
        <v>741</v>
      </c>
      <c r="V78" s="53" t="s">
        <v>768</v>
      </c>
      <c r="W78" s="53" t="s">
        <v>766</v>
      </c>
      <c r="X78" s="61">
        <f>IFERROR(IF(W78="","",WORKDAY.INTL(B78,_xlfn.XLOOKUP(W78,Regras!$F$2:$F$11,Regras!$G$2:$G$11))),"")</f>
        <v>45952</v>
      </c>
      <c r="Y78" s="150" t="s">
        <v>767</v>
      </c>
      <c r="Z78" s="53" t="s">
        <v>764</v>
      </c>
      <c r="AA78" s="53"/>
    </row>
    <row r="79" spans="2:28" x14ac:dyDescent="0.2">
      <c r="B79" s="89">
        <v>45926</v>
      </c>
      <c r="D79" s="85" t="s">
        <v>171</v>
      </c>
      <c r="E79" s="125" t="s">
        <v>172</v>
      </c>
      <c r="F79" s="85" t="s">
        <v>22</v>
      </c>
      <c r="G79" s="85" t="s">
        <v>12</v>
      </c>
      <c r="H79" s="148" t="s">
        <v>170</v>
      </c>
      <c r="I79" s="142">
        <v>684.92</v>
      </c>
      <c r="J79" s="144">
        <v>22</v>
      </c>
      <c r="K79" s="148" t="s">
        <v>933</v>
      </c>
      <c r="L79" s="86" t="s">
        <v>741</v>
      </c>
      <c r="M79" s="58"/>
      <c r="N79" s="59"/>
      <c r="O79" s="50"/>
      <c r="P79" s="60"/>
      <c r="R79" s="53" t="s">
        <v>764</v>
      </c>
      <c r="S79" s="53" t="s">
        <v>764</v>
      </c>
      <c r="T79" s="53" t="s">
        <v>769</v>
      </c>
      <c r="U79" s="53" t="s">
        <v>741</v>
      </c>
      <c r="V79" s="53" t="s">
        <v>770</v>
      </c>
      <c r="W79" s="53" t="s">
        <v>1054</v>
      </c>
      <c r="X79" s="61">
        <f>IFERROR(IF(W79="","",WORKDAY.INTL(B79,_xlfn.XLOOKUP(W79,Regras!$F$2:$F$11,Regras!$G$2:$G$11))),"")</f>
        <v>45947</v>
      </c>
      <c r="Y79" s="152" t="s">
        <v>1051</v>
      </c>
      <c r="Z79" s="53" t="s">
        <v>764</v>
      </c>
      <c r="AA79" s="53"/>
      <c r="AB79" s="155" t="s">
        <v>1050</v>
      </c>
    </row>
    <row r="80" spans="2:28" x14ac:dyDescent="0.2">
      <c r="B80" s="89">
        <v>45888</v>
      </c>
      <c r="D80" s="85" t="s">
        <v>178</v>
      </c>
      <c r="E80" s="125" t="s">
        <v>179</v>
      </c>
      <c r="F80" s="85" t="s">
        <v>71</v>
      </c>
      <c r="G80" s="85" t="s">
        <v>53</v>
      </c>
      <c r="H80" s="148" t="s">
        <v>177</v>
      </c>
      <c r="I80" s="142">
        <v>3912.71</v>
      </c>
      <c r="J80" s="144">
        <v>23</v>
      </c>
      <c r="K80" s="148" t="s">
        <v>933</v>
      </c>
      <c r="L80" s="86" t="s">
        <v>741</v>
      </c>
      <c r="M80" s="58"/>
      <c r="N80" s="59"/>
      <c r="O80" s="50"/>
      <c r="P80" s="60"/>
      <c r="R80" s="53" t="s">
        <v>764</v>
      </c>
      <c r="S80" s="53" t="s">
        <v>764</v>
      </c>
      <c r="T80" s="53" t="s">
        <v>764</v>
      </c>
      <c r="U80" s="53" t="s">
        <v>741</v>
      </c>
      <c r="V80" s="53" t="s">
        <v>768</v>
      </c>
      <c r="W80" s="53" t="s">
        <v>766</v>
      </c>
      <c r="X80" s="61">
        <f>IFERROR(IF(W80="","",WORKDAY.INTL(B80,_xlfn.XLOOKUP(W80,Regras!$F$2:$F$11,Regras!$G$2:$G$11))),"")</f>
        <v>45951</v>
      </c>
      <c r="Y80" s="150" t="s">
        <v>767</v>
      </c>
      <c r="Z80" s="53" t="s">
        <v>764</v>
      </c>
      <c r="AA80" s="53"/>
    </row>
    <row r="81" spans="2:28" x14ac:dyDescent="0.2">
      <c r="B81" s="89">
        <v>45888</v>
      </c>
      <c r="D81" s="85" t="s">
        <v>175</v>
      </c>
      <c r="E81" s="125" t="s">
        <v>176</v>
      </c>
      <c r="F81" s="85" t="s">
        <v>46</v>
      </c>
      <c r="G81" s="85" t="s">
        <v>12</v>
      </c>
      <c r="H81" s="148" t="s">
        <v>177</v>
      </c>
      <c r="I81" s="142">
        <v>1508.79</v>
      </c>
      <c r="J81" s="144">
        <v>23</v>
      </c>
      <c r="K81" s="144">
        <v>48</v>
      </c>
      <c r="L81" s="86" t="s">
        <v>741</v>
      </c>
      <c r="M81" s="58"/>
      <c r="N81" s="59"/>
      <c r="O81" s="50"/>
      <c r="P81" s="60"/>
      <c r="R81" s="53" t="s">
        <v>764</v>
      </c>
      <c r="S81" s="53" t="s">
        <v>764</v>
      </c>
      <c r="T81" s="53" t="s">
        <v>764</v>
      </c>
      <c r="U81" s="53" t="s">
        <v>741</v>
      </c>
      <c r="V81" s="53" t="s">
        <v>765</v>
      </c>
      <c r="W81" s="53" t="s">
        <v>766</v>
      </c>
      <c r="X81" s="61">
        <f>IFERROR(IF(W81="","",WORKDAY.INTL(B81,_xlfn.XLOOKUP(W81,Regras!$F$2:$F$11,Regras!$G$2:$G$11))),"")</f>
        <v>45951</v>
      </c>
      <c r="Y81" s="150" t="s">
        <v>767</v>
      </c>
      <c r="Z81" s="53" t="s">
        <v>764</v>
      </c>
      <c r="AA81" s="53"/>
    </row>
    <row r="82" spans="2:28" x14ac:dyDescent="0.2">
      <c r="B82" s="89">
        <v>45926</v>
      </c>
      <c r="D82" s="85" t="s">
        <v>175</v>
      </c>
      <c r="E82" s="125" t="s">
        <v>176</v>
      </c>
      <c r="F82" s="85" t="s">
        <v>46</v>
      </c>
      <c r="G82" s="85" t="s">
        <v>12</v>
      </c>
      <c r="H82" s="148" t="s">
        <v>177</v>
      </c>
      <c r="I82" s="142">
        <v>1508.79</v>
      </c>
      <c r="J82" s="144">
        <v>23</v>
      </c>
      <c r="K82" s="144">
        <v>48</v>
      </c>
      <c r="L82" s="86" t="s">
        <v>741</v>
      </c>
      <c r="M82" s="58"/>
      <c r="N82" s="59"/>
      <c r="O82" s="50"/>
      <c r="P82" s="60"/>
      <c r="R82" s="53" t="s">
        <v>764</v>
      </c>
      <c r="S82" s="53" t="s">
        <v>764</v>
      </c>
      <c r="T82" s="53" t="s">
        <v>769</v>
      </c>
      <c r="U82" s="53" t="s">
        <v>741</v>
      </c>
      <c r="V82" s="53" t="s">
        <v>770</v>
      </c>
      <c r="W82" s="53" t="s">
        <v>780</v>
      </c>
      <c r="X82" s="61">
        <f>IFERROR(IF(W82="","",WORKDAY.INTL(B82,_xlfn.XLOOKUP(W82,Regras!$F$2:$F$11,Regras!$G$2:$G$11))),"")</f>
        <v>45930</v>
      </c>
      <c r="Y82" s="152" t="s">
        <v>1052</v>
      </c>
      <c r="Z82" s="53" t="s">
        <v>764</v>
      </c>
      <c r="AA82" s="53"/>
      <c r="AB82" s="155" t="s">
        <v>1046</v>
      </c>
    </row>
    <row r="83" spans="2:28" x14ac:dyDescent="0.2">
      <c r="B83" s="89">
        <v>45930</v>
      </c>
      <c r="D83" s="85" t="s">
        <v>175</v>
      </c>
      <c r="E83" s="125" t="s">
        <v>176</v>
      </c>
      <c r="F83" s="85" t="s">
        <v>46</v>
      </c>
      <c r="G83" s="85" t="s">
        <v>12</v>
      </c>
      <c r="H83" s="148" t="s">
        <v>177</v>
      </c>
      <c r="I83" s="142">
        <v>1508.79</v>
      </c>
      <c r="J83" s="144">
        <v>23</v>
      </c>
      <c r="K83" s="144">
        <v>48</v>
      </c>
      <c r="L83" s="86" t="s">
        <v>741</v>
      </c>
      <c r="M83" s="58"/>
      <c r="N83" s="59"/>
      <c r="O83" s="50"/>
      <c r="P83" s="60"/>
      <c r="R83" s="53" t="s">
        <v>764</v>
      </c>
      <c r="S83" s="53" t="s">
        <v>764</v>
      </c>
      <c r="T83" s="53" t="s">
        <v>769</v>
      </c>
      <c r="U83" s="53" t="s">
        <v>741</v>
      </c>
      <c r="V83" s="53" t="s">
        <v>770</v>
      </c>
      <c r="W83" s="53" t="s">
        <v>780</v>
      </c>
      <c r="X83" s="61">
        <f>IFERROR(IF(W83="","",WORKDAY.INTL(B83,_xlfn.XLOOKUP(W83,Regras!$F$2:$F$11,Regras!$G$2:$G$11))),"")</f>
        <v>45932</v>
      </c>
      <c r="Y83" s="150" t="s">
        <v>1046</v>
      </c>
      <c r="Z83" s="53" t="s">
        <v>764</v>
      </c>
      <c r="AA83" s="53"/>
      <c r="AB83" s="155" t="s">
        <v>1091</v>
      </c>
    </row>
    <row r="84" spans="2:28" x14ac:dyDescent="0.2">
      <c r="B84" s="89">
        <v>45932</v>
      </c>
      <c r="D84" s="85" t="s">
        <v>175</v>
      </c>
      <c r="E84" s="125" t="s">
        <v>176</v>
      </c>
      <c r="F84" s="85" t="s">
        <v>46</v>
      </c>
      <c r="G84" s="85" t="s">
        <v>12</v>
      </c>
      <c r="H84" s="148" t="s">
        <v>177</v>
      </c>
      <c r="I84" s="142">
        <v>1508.79</v>
      </c>
      <c r="J84" s="144">
        <v>23</v>
      </c>
      <c r="K84" s="144">
        <v>48</v>
      </c>
      <c r="L84" s="86" t="s">
        <v>741</v>
      </c>
      <c r="M84" s="58"/>
      <c r="N84" s="59"/>
      <c r="O84" s="50"/>
      <c r="P84" s="60"/>
      <c r="R84" s="53" t="s">
        <v>764</v>
      </c>
      <c r="S84" s="53" t="s">
        <v>769</v>
      </c>
      <c r="T84" s="53" t="s">
        <v>769</v>
      </c>
      <c r="U84" s="53" t="s">
        <v>773</v>
      </c>
      <c r="V84" s="53" t="s">
        <v>813</v>
      </c>
      <c r="W84" s="53" t="s">
        <v>777</v>
      </c>
      <c r="X84" s="61" t="str">
        <f>IFERROR(IF(W84="","",WORKDAY.INTL(B84,_xlfn.XLOOKUP(W84,Regras!$F$2:$F$11,Regras!$G$2:$G$11))),"")</f>
        <v/>
      </c>
      <c r="Y84" s="150" t="s">
        <v>1113</v>
      </c>
      <c r="Z84" s="53" t="s">
        <v>764</v>
      </c>
      <c r="AA84" s="53"/>
      <c r="AB84" s="156" t="s">
        <v>1113</v>
      </c>
    </row>
    <row r="85" spans="2:28" x14ac:dyDescent="0.2">
      <c r="B85" s="89">
        <v>45932</v>
      </c>
      <c r="D85" s="85" t="s">
        <v>175</v>
      </c>
      <c r="E85" s="125" t="s">
        <v>176</v>
      </c>
      <c r="F85" s="85" t="s">
        <v>46</v>
      </c>
      <c r="G85" s="85" t="s">
        <v>12</v>
      </c>
      <c r="H85" s="148" t="s">
        <v>177</v>
      </c>
      <c r="I85" s="142">
        <v>1508.79</v>
      </c>
      <c r="J85" s="144">
        <v>23</v>
      </c>
      <c r="K85" s="144">
        <v>48</v>
      </c>
      <c r="L85" s="86" t="s">
        <v>741</v>
      </c>
      <c r="M85" s="58"/>
      <c r="N85" s="59"/>
      <c r="O85" s="50"/>
      <c r="P85" s="60"/>
      <c r="R85" s="53" t="s">
        <v>764</v>
      </c>
      <c r="S85" s="53" t="s">
        <v>764</v>
      </c>
      <c r="T85" s="53" t="s">
        <v>769</v>
      </c>
      <c r="U85" s="53" t="s">
        <v>741</v>
      </c>
      <c r="V85" s="53" t="s">
        <v>770</v>
      </c>
      <c r="W85" s="53" t="s">
        <v>1053</v>
      </c>
      <c r="X85" s="61">
        <f>IFERROR(IF(W85="","",WORKDAY.INTL(B85,_xlfn.XLOOKUP(W85,Regras!$F$2:$F$11,Regras!$G$2:$G$11))),"")</f>
        <v>45943</v>
      </c>
      <c r="Y85" s="150" t="s">
        <v>1114</v>
      </c>
      <c r="Z85" s="53" t="s">
        <v>764</v>
      </c>
      <c r="AA85" s="53"/>
      <c r="AB85" s="156" t="s">
        <v>1114</v>
      </c>
    </row>
    <row r="86" spans="2:28" x14ac:dyDescent="0.2">
      <c r="B86" s="89">
        <v>45887</v>
      </c>
      <c r="D86" s="85" t="s">
        <v>180</v>
      </c>
      <c r="E86" s="125" t="s">
        <v>181</v>
      </c>
      <c r="F86" s="85" t="s">
        <v>67</v>
      </c>
      <c r="G86" s="85" t="s">
        <v>53</v>
      </c>
      <c r="H86" s="148" t="s">
        <v>182</v>
      </c>
      <c r="I86" s="142">
        <v>2016.25</v>
      </c>
      <c r="J86" s="144">
        <v>24</v>
      </c>
      <c r="K86" s="148" t="s">
        <v>933</v>
      </c>
      <c r="L86" s="86" t="s">
        <v>741</v>
      </c>
      <c r="M86" s="58"/>
      <c r="N86" s="59"/>
      <c r="O86" s="50"/>
      <c r="P86" s="60"/>
      <c r="R86" s="53" t="s">
        <v>764</v>
      </c>
      <c r="S86" s="53" t="s">
        <v>764</v>
      </c>
      <c r="T86" s="53" t="s">
        <v>764</v>
      </c>
      <c r="U86" s="53" t="s">
        <v>741</v>
      </c>
      <c r="V86" s="53" t="s">
        <v>768</v>
      </c>
      <c r="W86" s="53" t="s">
        <v>766</v>
      </c>
      <c r="X86" s="61">
        <f>IFERROR(IF(W86="","",WORKDAY.INTL(B86,_xlfn.XLOOKUP(W86,Regras!$F$2:$F$11,Regras!$G$2:$G$11))),"")</f>
        <v>45950</v>
      </c>
      <c r="Y86" s="150" t="s">
        <v>767</v>
      </c>
      <c r="Z86" s="53" t="s">
        <v>764</v>
      </c>
      <c r="AA86" s="53"/>
    </row>
    <row r="87" spans="2:28" x14ac:dyDescent="0.2">
      <c r="B87" s="89">
        <v>45884</v>
      </c>
      <c r="D87" s="85" t="s">
        <v>188</v>
      </c>
      <c r="E87" s="125" t="s">
        <v>189</v>
      </c>
      <c r="F87" s="85" t="s">
        <v>22</v>
      </c>
      <c r="G87" s="85" t="s">
        <v>12</v>
      </c>
      <c r="H87" s="148" t="s">
        <v>185</v>
      </c>
      <c r="I87" s="142">
        <v>940.5</v>
      </c>
      <c r="J87" s="144">
        <v>27</v>
      </c>
      <c r="K87" s="144">
        <v>33.799999999999997</v>
      </c>
      <c r="L87" s="86" t="s">
        <v>741</v>
      </c>
      <c r="M87" s="58"/>
      <c r="N87" s="59"/>
      <c r="O87" s="50"/>
      <c r="P87" s="60"/>
      <c r="R87" s="53" t="s">
        <v>764</v>
      </c>
      <c r="S87" s="53" t="s">
        <v>764</v>
      </c>
      <c r="T87" s="53" t="s">
        <v>769</v>
      </c>
      <c r="U87" s="53" t="s">
        <v>773</v>
      </c>
      <c r="V87" s="53" t="s">
        <v>770</v>
      </c>
      <c r="W87" s="53" t="s">
        <v>766</v>
      </c>
      <c r="X87" s="61">
        <f>IFERROR(IF(W87="","",WORKDAY.INTL(B87,_xlfn.XLOOKUP(W87,Regras!$F$2:$F$11,Regras!$G$2:$G$11))),"")</f>
        <v>45947</v>
      </c>
      <c r="Y87" s="150" t="s">
        <v>767</v>
      </c>
      <c r="Z87" s="53" t="s">
        <v>764</v>
      </c>
      <c r="AA87" s="53"/>
    </row>
    <row r="88" spans="2:28" x14ac:dyDescent="0.2">
      <c r="B88" s="89">
        <v>45884</v>
      </c>
      <c r="D88" s="85" t="s">
        <v>186</v>
      </c>
      <c r="E88" s="125" t="s">
        <v>187</v>
      </c>
      <c r="F88" s="85" t="s">
        <v>46</v>
      </c>
      <c r="G88" s="85" t="s">
        <v>18</v>
      </c>
      <c r="H88" s="148" t="s">
        <v>185</v>
      </c>
      <c r="I88" s="142">
        <v>674.68</v>
      </c>
      <c r="J88" s="144">
        <v>27</v>
      </c>
      <c r="K88" s="148" t="s">
        <v>933</v>
      </c>
      <c r="L88" s="86" t="s">
        <v>741</v>
      </c>
      <c r="M88" s="58"/>
      <c r="N88" s="59"/>
      <c r="O88" s="50"/>
      <c r="P88" s="60"/>
      <c r="R88" s="53" t="s">
        <v>764</v>
      </c>
      <c r="S88" s="53" t="s">
        <v>764</v>
      </c>
      <c r="T88" s="53" t="s">
        <v>769</v>
      </c>
      <c r="U88" s="53" t="s">
        <v>773</v>
      </c>
      <c r="V88" s="53" t="s">
        <v>768</v>
      </c>
      <c r="W88" s="53" t="s">
        <v>766</v>
      </c>
      <c r="X88" s="61">
        <f>IFERROR(IF(W88="","",WORKDAY.INTL(B88,_xlfn.XLOOKUP(W88,Regras!$F$2:$F$11,Regras!$G$2:$G$11))),"")</f>
        <v>45947</v>
      </c>
      <c r="Y88" s="150" t="s">
        <v>767</v>
      </c>
      <c r="Z88" s="53" t="s">
        <v>764</v>
      </c>
      <c r="AA88" s="53"/>
    </row>
    <row r="89" spans="2:28" x14ac:dyDescent="0.2">
      <c r="B89" s="89">
        <v>45884</v>
      </c>
      <c r="D89" s="85" t="s">
        <v>183</v>
      </c>
      <c r="E89" s="125" t="s">
        <v>184</v>
      </c>
      <c r="F89" s="85" t="s">
        <v>46</v>
      </c>
      <c r="G89" s="85" t="s">
        <v>18</v>
      </c>
      <c r="H89" s="148" t="s">
        <v>185</v>
      </c>
      <c r="I89" s="142">
        <v>820.8</v>
      </c>
      <c r="J89" s="144">
        <v>27</v>
      </c>
      <c r="K89" s="144">
        <v>52</v>
      </c>
      <c r="L89" s="86" t="s">
        <v>741</v>
      </c>
      <c r="M89" s="58"/>
      <c r="N89" s="59"/>
      <c r="O89" s="50"/>
      <c r="P89" s="60"/>
      <c r="R89" s="53" t="s">
        <v>764</v>
      </c>
      <c r="S89" s="53" t="s">
        <v>764</v>
      </c>
      <c r="T89" s="53" t="s">
        <v>764</v>
      </c>
      <c r="U89" s="53" t="s">
        <v>741</v>
      </c>
      <c r="V89" s="53" t="s">
        <v>765</v>
      </c>
      <c r="W89" s="53" t="s">
        <v>766</v>
      </c>
      <c r="X89" s="61">
        <f>IFERROR(IF(W89="","",WORKDAY.INTL(B89,_xlfn.XLOOKUP(W89,Regras!$F$2:$F$11,Regras!$G$2:$G$11))),"")</f>
        <v>45947</v>
      </c>
      <c r="Y89" s="150" t="s">
        <v>767</v>
      </c>
      <c r="Z89" s="53" t="s">
        <v>764</v>
      </c>
      <c r="AA89" s="53"/>
    </row>
    <row r="90" spans="2:28" x14ac:dyDescent="0.2">
      <c r="B90" s="89">
        <v>45884</v>
      </c>
      <c r="D90" s="85" t="s">
        <v>194</v>
      </c>
      <c r="E90" s="125" t="s">
        <v>195</v>
      </c>
      <c r="F90" s="85" t="s">
        <v>17</v>
      </c>
      <c r="G90" s="85" t="s">
        <v>12</v>
      </c>
      <c r="H90" s="148" t="s">
        <v>185</v>
      </c>
      <c r="I90" s="142">
        <v>490.02</v>
      </c>
      <c r="J90" s="144">
        <v>27</v>
      </c>
      <c r="K90" s="148" t="s">
        <v>933</v>
      </c>
      <c r="L90" s="86" t="s">
        <v>741</v>
      </c>
      <c r="M90" s="58"/>
      <c r="N90" s="59"/>
      <c r="O90" s="50"/>
      <c r="P90" s="60"/>
      <c r="R90" s="53" t="s">
        <v>764</v>
      </c>
      <c r="S90" s="53" t="s">
        <v>764</v>
      </c>
      <c r="T90" s="53" t="s">
        <v>764</v>
      </c>
      <c r="U90" s="53" t="s">
        <v>741</v>
      </c>
      <c r="V90" s="53" t="s">
        <v>768</v>
      </c>
      <c r="W90" s="53" t="s">
        <v>766</v>
      </c>
      <c r="X90" s="61">
        <f>IFERROR(IF(W90="","",WORKDAY.INTL(B90,_xlfn.XLOOKUP(W90,Regras!$F$2:$F$11,Regras!$G$2:$G$11))),"")</f>
        <v>45947</v>
      </c>
      <c r="Y90" s="150" t="s">
        <v>767</v>
      </c>
      <c r="Z90" s="53" t="s">
        <v>764</v>
      </c>
      <c r="AA90" s="53"/>
    </row>
    <row r="91" spans="2:28" x14ac:dyDescent="0.2">
      <c r="B91" s="89">
        <v>45884</v>
      </c>
      <c r="D91" s="85" t="s">
        <v>192</v>
      </c>
      <c r="E91" s="125" t="s">
        <v>193</v>
      </c>
      <c r="F91" s="85" t="s">
        <v>17</v>
      </c>
      <c r="G91" s="85" t="s">
        <v>12</v>
      </c>
      <c r="H91" s="148" t="s">
        <v>185</v>
      </c>
      <c r="I91" s="142">
        <v>2105.6</v>
      </c>
      <c r="J91" s="144">
        <v>27</v>
      </c>
      <c r="K91" s="148" t="s">
        <v>933</v>
      </c>
      <c r="L91" s="86" t="s">
        <v>741</v>
      </c>
      <c r="M91" s="58"/>
      <c r="N91" s="59"/>
      <c r="O91" s="50"/>
      <c r="P91" s="60"/>
      <c r="R91" s="53" t="s">
        <v>764</v>
      </c>
      <c r="S91" s="53" t="s">
        <v>764</v>
      </c>
      <c r="T91" s="53" t="s">
        <v>764</v>
      </c>
      <c r="U91" s="53" t="s">
        <v>741</v>
      </c>
      <c r="V91" s="53" t="s">
        <v>768</v>
      </c>
      <c r="W91" s="53" t="s">
        <v>766</v>
      </c>
      <c r="X91" s="61">
        <f>IFERROR(IF(W91="","",WORKDAY.INTL(B91,_xlfn.XLOOKUP(W91,Regras!$F$2:$F$11,Regras!$G$2:$G$11))),"")</f>
        <v>45947</v>
      </c>
      <c r="Y91" s="150" t="s">
        <v>767</v>
      </c>
      <c r="Z91" s="53" t="s">
        <v>764</v>
      </c>
      <c r="AA91" s="53"/>
    </row>
    <row r="92" spans="2:28" x14ac:dyDescent="0.2">
      <c r="B92" s="89">
        <v>45884</v>
      </c>
      <c r="D92" s="85" t="s">
        <v>190</v>
      </c>
      <c r="E92" s="125" t="s">
        <v>191</v>
      </c>
      <c r="F92" s="85" t="s">
        <v>46</v>
      </c>
      <c r="G92" s="85" t="s">
        <v>12</v>
      </c>
      <c r="H92" s="148" t="s">
        <v>185</v>
      </c>
      <c r="I92" s="142">
        <v>1514.06</v>
      </c>
      <c r="J92" s="144">
        <v>27</v>
      </c>
      <c r="K92" s="144">
        <v>37</v>
      </c>
      <c r="L92" s="86" t="s">
        <v>741</v>
      </c>
      <c r="M92" s="58"/>
      <c r="N92" s="59"/>
      <c r="O92" s="50"/>
      <c r="P92" s="60"/>
      <c r="R92" s="53" t="s">
        <v>764</v>
      </c>
      <c r="S92" s="53" t="s">
        <v>764</v>
      </c>
      <c r="T92" s="53" t="s">
        <v>769</v>
      </c>
      <c r="U92" s="53" t="s">
        <v>741</v>
      </c>
      <c r="V92" s="53" t="s">
        <v>770</v>
      </c>
      <c r="W92" s="53" t="s">
        <v>766</v>
      </c>
      <c r="X92" s="61">
        <f>IFERROR(IF(W92="","",WORKDAY.INTL(B92,_xlfn.XLOOKUP(W92,Regras!$F$2:$F$11,Regras!$G$2:$G$11))),"")</f>
        <v>45947</v>
      </c>
      <c r="Y92" s="150" t="s">
        <v>767</v>
      </c>
      <c r="Z92" s="53" t="s">
        <v>764</v>
      </c>
      <c r="AA92" s="53"/>
    </row>
    <row r="93" spans="2:28" x14ac:dyDescent="0.2">
      <c r="B93" s="89">
        <v>45884</v>
      </c>
      <c r="D93" s="85" t="s">
        <v>194</v>
      </c>
      <c r="E93" s="125" t="s">
        <v>195</v>
      </c>
      <c r="F93" s="85" t="s">
        <v>17</v>
      </c>
      <c r="G93" s="85" t="s">
        <v>12</v>
      </c>
      <c r="H93" s="148" t="s">
        <v>185</v>
      </c>
      <c r="I93" s="142">
        <v>490.02</v>
      </c>
      <c r="J93" s="144">
        <v>27</v>
      </c>
      <c r="K93" s="148" t="s">
        <v>933</v>
      </c>
      <c r="L93" s="86" t="s">
        <v>741</v>
      </c>
      <c r="M93" s="58"/>
      <c r="N93" s="59"/>
      <c r="O93" s="50"/>
      <c r="P93" s="60"/>
      <c r="R93" s="53" t="s">
        <v>764</v>
      </c>
      <c r="S93" s="53" t="s">
        <v>769</v>
      </c>
      <c r="T93" s="53" t="s">
        <v>769</v>
      </c>
      <c r="U93" s="53" t="s">
        <v>741</v>
      </c>
      <c r="V93" s="53" t="s">
        <v>770</v>
      </c>
      <c r="W93" s="53" t="s">
        <v>766</v>
      </c>
      <c r="X93" s="61"/>
      <c r="Y93" s="150" t="s">
        <v>767</v>
      </c>
      <c r="Z93" s="53" t="s">
        <v>764</v>
      </c>
      <c r="AA93" s="53"/>
      <c r="AB93" s="155" t="s">
        <v>788</v>
      </c>
    </row>
    <row r="94" spans="2:28" x14ac:dyDescent="0.2">
      <c r="B94" s="89">
        <v>45926</v>
      </c>
      <c r="D94" s="85" t="s">
        <v>192</v>
      </c>
      <c r="E94" s="125" t="s">
        <v>193</v>
      </c>
      <c r="F94" s="85" t="s">
        <v>17</v>
      </c>
      <c r="G94" s="85" t="s">
        <v>12</v>
      </c>
      <c r="H94" s="148" t="s">
        <v>185</v>
      </c>
      <c r="I94" s="142">
        <v>2105.6</v>
      </c>
      <c r="J94" s="144">
        <v>27</v>
      </c>
      <c r="K94" s="148" t="s">
        <v>933</v>
      </c>
      <c r="L94" s="86" t="s">
        <v>741</v>
      </c>
      <c r="M94" s="58"/>
      <c r="N94" s="59"/>
      <c r="O94" s="50"/>
      <c r="P94" s="60"/>
      <c r="R94" s="53" t="s">
        <v>764</v>
      </c>
      <c r="S94" s="53" t="s">
        <v>769</v>
      </c>
      <c r="T94" s="53" t="s">
        <v>769</v>
      </c>
      <c r="U94" s="53" t="s">
        <v>741</v>
      </c>
      <c r="V94" s="53" t="s">
        <v>765</v>
      </c>
      <c r="W94" s="53" t="s">
        <v>1054</v>
      </c>
      <c r="X94" s="61">
        <f>IFERROR(IF(W94="","",WORKDAY.INTL(B94,_xlfn.XLOOKUP(W94,Regras!$F$2:$F$11,Regras!$G$2:$G$11))),"")</f>
        <v>45947</v>
      </c>
      <c r="Y94" s="150" t="s">
        <v>1055</v>
      </c>
      <c r="Z94" s="53" t="s">
        <v>764</v>
      </c>
      <c r="AA94" s="53"/>
      <c r="AB94" s="156" t="s">
        <v>1055</v>
      </c>
    </row>
    <row r="95" spans="2:28" x14ac:dyDescent="0.2">
      <c r="B95" s="89">
        <v>45926</v>
      </c>
      <c r="D95" s="85" t="s">
        <v>107</v>
      </c>
      <c r="E95" s="125" t="s">
        <v>108</v>
      </c>
      <c r="F95" s="85" t="s">
        <v>46</v>
      </c>
      <c r="G95" s="85" t="s">
        <v>829</v>
      </c>
      <c r="H95" s="148" t="s">
        <v>96</v>
      </c>
      <c r="I95" s="142">
        <v>2161.62</v>
      </c>
      <c r="J95" s="144">
        <v>27</v>
      </c>
      <c r="K95" s="148" t="s">
        <v>933</v>
      </c>
      <c r="L95" s="86" t="s">
        <v>741</v>
      </c>
      <c r="M95" s="58"/>
      <c r="N95" s="59"/>
      <c r="O95" s="50"/>
      <c r="P95" s="60"/>
      <c r="R95" s="53" t="s">
        <v>764</v>
      </c>
      <c r="S95" s="53" t="s">
        <v>764</v>
      </c>
      <c r="T95" s="53" t="s">
        <v>764</v>
      </c>
      <c r="U95" s="53" t="s">
        <v>741</v>
      </c>
      <c r="V95" s="53" t="s">
        <v>770</v>
      </c>
      <c r="W95" s="53" t="s">
        <v>1054</v>
      </c>
      <c r="X95" s="61">
        <f>IFERROR(IF(W95="","",WORKDAY.INTL(B95,_xlfn.XLOOKUP(W95,Regras!$F$2:$F$11,Regras!$G$2:$G$11))),"")</f>
        <v>45947</v>
      </c>
      <c r="Y95" s="150" t="s">
        <v>1070</v>
      </c>
      <c r="Z95" s="53" t="s">
        <v>764</v>
      </c>
      <c r="AA95" s="53"/>
      <c r="AB95" s="156" t="s">
        <v>1070</v>
      </c>
    </row>
    <row r="96" spans="2:28" ht="14.25" customHeight="1" x14ac:dyDescent="0.2">
      <c r="B96" s="89">
        <v>45883</v>
      </c>
      <c r="D96" s="85" t="s">
        <v>199</v>
      </c>
      <c r="E96" s="125" t="s">
        <v>200</v>
      </c>
      <c r="F96" s="85" t="s">
        <v>22</v>
      </c>
      <c r="G96" s="85" t="s">
        <v>12</v>
      </c>
      <c r="H96" s="148" t="s">
        <v>198</v>
      </c>
      <c r="I96" s="142">
        <v>653</v>
      </c>
      <c r="J96" s="144">
        <v>28</v>
      </c>
      <c r="K96" s="148" t="s">
        <v>933</v>
      </c>
      <c r="L96" s="86" t="s">
        <v>741</v>
      </c>
      <c r="M96" s="58"/>
      <c r="N96" s="59"/>
      <c r="O96" s="50"/>
      <c r="P96" s="60"/>
      <c r="R96" s="53" t="s">
        <v>764</v>
      </c>
      <c r="S96" s="53" t="s">
        <v>764</v>
      </c>
      <c r="T96" s="53" t="s">
        <v>764</v>
      </c>
      <c r="U96" s="53" t="s">
        <v>773</v>
      </c>
      <c r="V96" s="53" t="s">
        <v>768</v>
      </c>
      <c r="W96" s="53" t="s">
        <v>766</v>
      </c>
      <c r="X96" s="61">
        <f>IFERROR(IF(W96="","",WORKDAY.INTL(B96,_xlfn.XLOOKUP(W96,Regras!$F$2:$F$11,Regras!$G$2:$G$11))),"")</f>
        <v>45946</v>
      </c>
      <c r="Y96" s="150" t="s">
        <v>767</v>
      </c>
      <c r="Z96" s="53" t="s">
        <v>764</v>
      </c>
      <c r="AA96" s="53"/>
    </row>
    <row r="97" spans="2:28" x14ac:dyDescent="0.2">
      <c r="B97" s="89">
        <v>45883</v>
      </c>
      <c r="D97" s="85" t="s">
        <v>201</v>
      </c>
      <c r="E97" s="125" t="s">
        <v>202</v>
      </c>
      <c r="F97" s="85" t="s">
        <v>46</v>
      </c>
      <c r="G97" s="85" t="s">
        <v>12</v>
      </c>
      <c r="H97" s="148" t="s">
        <v>198</v>
      </c>
      <c r="I97" s="142">
        <v>2505.4299999999998</v>
      </c>
      <c r="J97" s="144">
        <v>28</v>
      </c>
      <c r="K97" s="148" t="s">
        <v>933</v>
      </c>
      <c r="L97" s="86" t="s">
        <v>741</v>
      </c>
      <c r="M97" s="58"/>
      <c r="N97" s="59"/>
      <c r="O97" s="50"/>
      <c r="P97" s="60"/>
      <c r="R97" s="53" t="s">
        <v>764</v>
      </c>
      <c r="S97" s="53" t="s">
        <v>764</v>
      </c>
      <c r="T97" s="53" t="s">
        <v>764</v>
      </c>
      <c r="U97" s="53" t="s">
        <v>773</v>
      </c>
      <c r="V97" s="53" t="s">
        <v>768</v>
      </c>
      <c r="W97" s="53" t="s">
        <v>766</v>
      </c>
      <c r="X97" s="61">
        <f>IFERROR(IF(W97="","",WORKDAY.INTL(B97,_xlfn.XLOOKUP(W97,Regras!$F$2:$F$11,Regras!$G$2:$G$11))),"")</f>
        <v>45946</v>
      </c>
      <c r="Y97" s="150" t="s">
        <v>767</v>
      </c>
      <c r="Z97" s="53" t="s">
        <v>764</v>
      </c>
      <c r="AA97" s="53"/>
    </row>
    <row r="98" spans="2:28" x14ac:dyDescent="0.2">
      <c r="B98" s="89">
        <v>45883</v>
      </c>
      <c r="D98" s="85" t="s">
        <v>196</v>
      </c>
      <c r="E98" s="125" t="s">
        <v>197</v>
      </c>
      <c r="F98" s="85" t="s">
        <v>11</v>
      </c>
      <c r="G98" s="85" t="s">
        <v>12</v>
      </c>
      <c r="H98" s="148" t="s">
        <v>198</v>
      </c>
      <c r="I98" s="142">
        <v>3448</v>
      </c>
      <c r="J98" s="144">
        <v>28</v>
      </c>
      <c r="K98" s="148">
        <v>30</v>
      </c>
      <c r="L98" s="86" t="s">
        <v>741</v>
      </c>
      <c r="M98" s="58"/>
      <c r="N98" s="59"/>
      <c r="O98" s="50"/>
      <c r="P98" s="60"/>
      <c r="R98" s="53" t="s">
        <v>764</v>
      </c>
      <c r="S98" s="53" t="s">
        <v>764</v>
      </c>
      <c r="T98" s="53" t="s">
        <v>764</v>
      </c>
      <c r="U98" s="53" t="s">
        <v>741</v>
      </c>
      <c r="V98" s="53" t="s">
        <v>770</v>
      </c>
      <c r="W98" s="53" t="s">
        <v>766</v>
      </c>
      <c r="X98" s="61">
        <f>IFERROR(IF(W98="","",WORKDAY.INTL(B98,_xlfn.XLOOKUP(W98,Regras!$F$2:$F$11,Regras!$G$2:$G$11))),"")</f>
        <v>45946</v>
      </c>
      <c r="Y98" s="150" t="s">
        <v>767</v>
      </c>
      <c r="Z98" s="53" t="s">
        <v>764</v>
      </c>
      <c r="AA98" s="53"/>
      <c r="AB98" s="156" t="s">
        <v>767</v>
      </c>
    </row>
    <row r="99" spans="2:28" x14ac:dyDescent="0.2">
      <c r="B99" s="89">
        <v>45883</v>
      </c>
      <c r="D99" s="85" t="s">
        <v>201</v>
      </c>
      <c r="E99" s="125" t="s">
        <v>202</v>
      </c>
      <c r="F99" s="85" t="s">
        <v>46</v>
      </c>
      <c r="G99" s="85" t="s">
        <v>12</v>
      </c>
      <c r="H99" s="148" t="s">
        <v>198</v>
      </c>
      <c r="I99" s="142">
        <v>2505.4299999999998</v>
      </c>
      <c r="J99" s="144">
        <v>28</v>
      </c>
      <c r="K99" s="148" t="s">
        <v>933</v>
      </c>
      <c r="L99" s="86" t="s">
        <v>741</v>
      </c>
      <c r="M99" s="58"/>
      <c r="N99" s="59"/>
      <c r="O99" s="50"/>
      <c r="P99" s="60"/>
      <c r="R99" s="53" t="s">
        <v>764</v>
      </c>
      <c r="S99" s="53" t="s">
        <v>769</v>
      </c>
      <c r="T99" s="53" t="s">
        <v>769</v>
      </c>
      <c r="U99" s="53" t="s">
        <v>741</v>
      </c>
      <c r="V99" s="53" t="s">
        <v>813</v>
      </c>
      <c r="W99" s="53" t="s">
        <v>777</v>
      </c>
      <c r="X99" s="61"/>
      <c r="Y99" s="150" t="s">
        <v>778</v>
      </c>
      <c r="Z99" s="53" t="s">
        <v>764</v>
      </c>
      <c r="AA99" s="53"/>
      <c r="AB99" s="155" t="s">
        <v>787</v>
      </c>
    </row>
    <row r="100" spans="2:28" x14ac:dyDescent="0.2">
      <c r="B100" s="89">
        <v>45919</v>
      </c>
      <c r="D100" s="85" t="s">
        <v>196</v>
      </c>
      <c r="E100" s="125" t="s">
        <v>197</v>
      </c>
      <c r="F100" s="85" t="s">
        <v>11</v>
      </c>
      <c r="G100" s="85" t="s">
        <v>12</v>
      </c>
      <c r="H100" s="148" t="s">
        <v>198</v>
      </c>
      <c r="I100" s="142">
        <v>3448</v>
      </c>
      <c r="J100" s="144">
        <v>28</v>
      </c>
      <c r="K100" s="144">
        <v>30</v>
      </c>
      <c r="L100" s="86" t="s">
        <v>741</v>
      </c>
      <c r="M100" s="58"/>
      <c r="N100" s="59"/>
      <c r="O100" s="50"/>
      <c r="P100" s="60"/>
      <c r="R100" s="53" t="s">
        <v>764</v>
      </c>
      <c r="S100" s="53" t="s">
        <v>769</v>
      </c>
      <c r="T100" s="53" t="s">
        <v>769</v>
      </c>
      <c r="U100" s="53" t="s">
        <v>741</v>
      </c>
      <c r="V100" s="53" t="s">
        <v>770</v>
      </c>
      <c r="W100" s="53" t="s">
        <v>766</v>
      </c>
      <c r="X100" s="61">
        <f>IFERROR(IF(W100="","",WORKDAY.INTL(B100,_xlfn.XLOOKUP(W100,Regras!$F$2:$F$11,Regras!$G$2:$G$11))),"")</f>
        <v>45982</v>
      </c>
      <c r="Y100" s="150" t="s">
        <v>767</v>
      </c>
      <c r="Z100" s="53" t="s">
        <v>764</v>
      </c>
      <c r="AA100" s="53"/>
      <c r="AB100" s="156" t="s">
        <v>767</v>
      </c>
    </row>
    <row r="101" spans="2:28" x14ac:dyDescent="0.2">
      <c r="B101" s="89">
        <v>45882</v>
      </c>
      <c r="D101" s="85" t="s">
        <v>214</v>
      </c>
      <c r="E101" s="125" t="s">
        <v>215</v>
      </c>
      <c r="F101" s="85" t="s">
        <v>26</v>
      </c>
      <c r="G101" s="85" t="s">
        <v>53</v>
      </c>
      <c r="H101" s="148" t="s">
        <v>205</v>
      </c>
      <c r="I101" s="142">
        <v>2105.0500000000002</v>
      </c>
      <c r="J101" s="144">
        <v>29</v>
      </c>
      <c r="K101" s="148" t="s">
        <v>933</v>
      </c>
      <c r="L101" s="86" t="s">
        <v>741</v>
      </c>
      <c r="M101" s="58"/>
      <c r="N101" s="59"/>
      <c r="O101" s="50"/>
      <c r="P101" s="60"/>
      <c r="R101" s="53" t="s">
        <v>764</v>
      </c>
      <c r="S101" s="53" t="s">
        <v>764</v>
      </c>
      <c r="T101" s="53" t="s">
        <v>764</v>
      </c>
      <c r="U101" s="53" t="s">
        <v>741</v>
      </c>
      <c r="V101" s="53" t="s">
        <v>768</v>
      </c>
      <c r="W101" s="53" t="s">
        <v>766</v>
      </c>
      <c r="X101" s="61">
        <f>IFERROR(IF(W101="","",WORKDAY.INTL(B101,_xlfn.XLOOKUP(W101,Regras!$F$2:$F$11,Regras!$G$2:$G$11))),"")</f>
        <v>45945</v>
      </c>
      <c r="Y101" s="150" t="s">
        <v>767</v>
      </c>
      <c r="Z101" s="53" t="s">
        <v>764</v>
      </c>
      <c r="AA101" s="53"/>
    </row>
    <row r="102" spans="2:28" x14ac:dyDescent="0.2">
      <c r="B102" s="89">
        <v>45882</v>
      </c>
      <c r="D102" s="85" t="s">
        <v>218</v>
      </c>
      <c r="E102" s="125" t="s">
        <v>219</v>
      </c>
      <c r="F102" s="85" t="s">
        <v>11</v>
      </c>
      <c r="G102" s="85" t="s">
        <v>220</v>
      </c>
      <c r="H102" s="148" t="s">
        <v>205</v>
      </c>
      <c r="I102" s="142">
        <v>1012.6</v>
      </c>
      <c r="J102" s="144">
        <v>29</v>
      </c>
      <c r="K102" s="148" t="s">
        <v>933</v>
      </c>
      <c r="L102" s="86" t="s">
        <v>741</v>
      </c>
      <c r="M102" s="58"/>
      <c r="N102" s="59"/>
      <c r="O102" s="50"/>
      <c r="P102" s="60"/>
      <c r="R102" s="53" t="s">
        <v>764</v>
      </c>
      <c r="S102" s="53" t="s">
        <v>764</v>
      </c>
      <c r="T102" s="53" t="s">
        <v>764</v>
      </c>
      <c r="U102" s="53" t="s">
        <v>741</v>
      </c>
      <c r="V102" s="53" t="s">
        <v>768</v>
      </c>
      <c r="W102" s="53" t="s">
        <v>766</v>
      </c>
      <c r="X102" s="61">
        <f>IFERROR(IF(W102="","",WORKDAY.INTL(B102,_xlfn.XLOOKUP(W102,Regras!$F$2:$F$11,Regras!$G$2:$G$11))),"")</f>
        <v>45945</v>
      </c>
      <c r="Y102" s="150" t="s">
        <v>767</v>
      </c>
      <c r="Z102" s="53" t="s">
        <v>764</v>
      </c>
      <c r="AA102" s="53"/>
    </row>
    <row r="103" spans="2:28" x14ac:dyDescent="0.2">
      <c r="B103" s="89">
        <v>45882</v>
      </c>
      <c r="D103" s="100" t="s">
        <v>203</v>
      </c>
      <c r="E103" s="126" t="s">
        <v>204</v>
      </c>
      <c r="F103" s="100" t="s">
        <v>36</v>
      </c>
      <c r="G103" s="100" t="s">
        <v>12</v>
      </c>
      <c r="H103" s="148" t="s">
        <v>205</v>
      </c>
      <c r="I103" s="142">
        <v>1385.71</v>
      </c>
      <c r="J103" s="144">
        <v>29</v>
      </c>
      <c r="K103" s="148" t="s">
        <v>933</v>
      </c>
      <c r="L103" s="86" t="s">
        <v>741</v>
      </c>
      <c r="M103" s="58"/>
      <c r="N103" s="59"/>
      <c r="O103" s="50"/>
      <c r="P103" s="60"/>
      <c r="R103" s="53" t="s">
        <v>764</v>
      </c>
      <c r="S103" s="53" t="s">
        <v>764</v>
      </c>
      <c r="T103" s="53" t="s">
        <v>764</v>
      </c>
      <c r="U103" s="53" t="s">
        <v>741</v>
      </c>
      <c r="V103" s="53" t="s">
        <v>768</v>
      </c>
      <c r="W103" s="53" t="s">
        <v>766</v>
      </c>
      <c r="X103" s="61">
        <f>IFERROR(IF(W103="","",WORKDAY.INTL(B103,_xlfn.XLOOKUP(W103,Regras!$F$2:$F$11,Regras!$G$2:$G$11))),"")</f>
        <v>45945</v>
      </c>
      <c r="Y103" s="150" t="s">
        <v>767</v>
      </c>
      <c r="Z103" s="53" t="s">
        <v>764</v>
      </c>
      <c r="AA103" s="53"/>
    </row>
    <row r="104" spans="2:28" ht="15" customHeight="1" x14ac:dyDescent="0.2">
      <c r="B104" s="89">
        <v>45882</v>
      </c>
      <c r="D104" s="85" t="s">
        <v>209</v>
      </c>
      <c r="E104" s="125" t="s">
        <v>210</v>
      </c>
      <c r="F104" s="85" t="s">
        <v>17</v>
      </c>
      <c r="G104" s="85" t="s">
        <v>12</v>
      </c>
      <c r="H104" s="148" t="s">
        <v>205</v>
      </c>
      <c r="I104" s="142">
        <v>1322.95</v>
      </c>
      <c r="J104" s="144">
        <v>29</v>
      </c>
      <c r="K104" s="144">
        <v>56</v>
      </c>
      <c r="L104" s="86" t="s">
        <v>741</v>
      </c>
      <c r="M104" s="58"/>
      <c r="N104" s="59"/>
      <c r="O104" s="50"/>
      <c r="P104" s="60"/>
      <c r="R104" s="53" t="s">
        <v>764</v>
      </c>
      <c r="S104" s="53" t="s">
        <v>764</v>
      </c>
      <c r="T104" s="53" t="s">
        <v>764</v>
      </c>
      <c r="U104" s="53" t="s">
        <v>741</v>
      </c>
      <c r="V104" s="53" t="s">
        <v>765</v>
      </c>
      <c r="W104" s="53" t="s">
        <v>766</v>
      </c>
      <c r="X104" s="61">
        <f>IFERROR(IF(W104="","",WORKDAY.INTL(B104,_xlfn.XLOOKUP(W104,Regras!$F$2:$F$11,Regras!$G$2:$G$11))),"")</f>
        <v>45945</v>
      </c>
      <c r="Y104" s="150" t="s">
        <v>767</v>
      </c>
      <c r="Z104" s="53" t="s">
        <v>764</v>
      </c>
      <c r="AA104" s="53"/>
    </row>
    <row r="105" spans="2:28" x14ac:dyDescent="0.2">
      <c r="B105" s="89">
        <v>45882</v>
      </c>
      <c r="D105" s="85" t="s">
        <v>209</v>
      </c>
      <c r="E105" s="125" t="s">
        <v>211</v>
      </c>
      <c r="F105" s="85" t="s">
        <v>17</v>
      </c>
      <c r="G105" s="85" t="s">
        <v>12</v>
      </c>
      <c r="H105" s="148" t="s">
        <v>205</v>
      </c>
      <c r="I105" s="142">
        <v>1869.77</v>
      </c>
      <c r="J105" s="144">
        <v>29</v>
      </c>
      <c r="K105" s="144">
        <v>56</v>
      </c>
      <c r="L105" s="86" t="s">
        <v>741</v>
      </c>
      <c r="M105" s="58"/>
      <c r="N105" s="59"/>
      <c r="O105" s="50"/>
      <c r="P105" s="60"/>
      <c r="R105" s="53" t="s">
        <v>764</v>
      </c>
      <c r="S105" s="53" t="s">
        <v>764</v>
      </c>
      <c r="T105" s="53" t="s">
        <v>764</v>
      </c>
      <c r="U105" s="53" t="s">
        <v>741</v>
      </c>
      <c r="V105" s="53" t="s">
        <v>765</v>
      </c>
      <c r="W105" s="53" t="s">
        <v>766</v>
      </c>
      <c r="X105" s="61">
        <f>IFERROR(IF(W105="","",WORKDAY.INTL(B105,_xlfn.XLOOKUP(W105,Regras!$F$2:$F$11,Regras!$G$2:$G$11))),"")</f>
        <v>45945</v>
      </c>
      <c r="Y105" s="150" t="s">
        <v>767</v>
      </c>
      <c r="Z105" s="53" t="s">
        <v>764</v>
      </c>
      <c r="AA105" s="53"/>
    </row>
    <row r="106" spans="2:28" x14ac:dyDescent="0.2">
      <c r="B106" s="89">
        <v>45882</v>
      </c>
      <c r="D106" s="85" t="s">
        <v>212</v>
      </c>
      <c r="E106" s="125" t="s">
        <v>213</v>
      </c>
      <c r="F106" s="85" t="s">
        <v>17</v>
      </c>
      <c r="G106" s="85" t="s">
        <v>12</v>
      </c>
      <c r="H106" s="148" t="s">
        <v>205</v>
      </c>
      <c r="I106" s="142">
        <v>1830.83</v>
      </c>
      <c r="J106" s="144">
        <v>29</v>
      </c>
      <c r="K106" s="144">
        <v>56</v>
      </c>
      <c r="L106" s="86" t="s">
        <v>741</v>
      </c>
      <c r="M106" s="58"/>
      <c r="N106" s="59"/>
      <c r="O106" s="50"/>
      <c r="P106" s="60"/>
      <c r="R106" s="53" t="s">
        <v>764</v>
      </c>
      <c r="S106" s="53" t="s">
        <v>764</v>
      </c>
      <c r="T106" s="53" t="s">
        <v>764</v>
      </c>
      <c r="U106" s="53" t="s">
        <v>741</v>
      </c>
      <c r="V106" s="53" t="s">
        <v>765</v>
      </c>
      <c r="W106" s="53" t="s">
        <v>766</v>
      </c>
      <c r="X106" s="61">
        <f>IFERROR(IF(W106="","",WORKDAY.INTL(B106,_xlfn.XLOOKUP(W106,Regras!$F$2:$F$11,Regras!$G$2:$G$11))),"")</f>
        <v>45945</v>
      </c>
      <c r="Y106" s="150" t="s">
        <v>767</v>
      </c>
      <c r="Z106" s="53" t="s">
        <v>764</v>
      </c>
      <c r="AA106" s="53"/>
    </row>
    <row r="107" spans="2:28" x14ac:dyDescent="0.2">
      <c r="B107" s="89">
        <v>45882</v>
      </c>
      <c r="D107" s="85" t="s">
        <v>206</v>
      </c>
      <c r="E107" s="125" t="s">
        <v>207</v>
      </c>
      <c r="F107" s="85" t="s">
        <v>208</v>
      </c>
      <c r="G107" s="85" t="s">
        <v>53</v>
      </c>
      <c r="H107" s="148" t="s">
        <v>205</v>
      </c>
      <c r="I107" s="142">
        <v>1699.72</v>
      </c>
      <c r="J107" s="144">
        <v>29</v>
      </c>
      <c r="K107" s="144">
        <v>84</v>
      </c>
      <c r="L107" s="86" t="s">
        <v>741</v>
      </c>
      <c r="M107" s="58"/>
      <c r="N107" s="59"/>
      <c r="O107" s="50"/>
      <c r="P107" s="60"/>
      <c r="R107" s="53" t="s">
        <v>764</v>
      </c>
      <c r="S107" s="53" t="s">
        <v>764</v>
      </c>
      <c r="T107" s="53" t="s">
        <v>764</v>
      </c>
      <c r="U107" s="53" t="s">
        <v>741</v>
      </c>
      <c r="V107" s="53" t="s">
        <v>765</v>
      </c>
      <c r="W107" s="53" t="s">
        <v>766</v>
      </c>
      <c r="X107" s="61">
        <f>IFERROR(IF(W107="","",WORKDAY.INTL(B107,_xlfn.XLOOKUP(W107,Regras!$F$2:$F$11,Regras!$G$2:$G$11))),"")</f>
        <v>45945</v>
      </c>
      <c r="Y107" s="150" t="s">
        <v>767</v>
      </c>
      <c r="Z107" s="53" t="s">
        <v>764</v>
      </c>
      <c r="AA107" s="53"/>
    </row>
    <row r="108" spans="2:28" x14ac:dyDescent="0.2">
      <c r="B108" s="89">
        <v>45882</v>
      </c>
      <c r="D108" s="100" t="s">
        <v>216</v>
      </c>
      <c r="E108" s="126" t="s">
        <v>217</v>
      </c>
      <c r="F108" s="100" t="s">
        <v>11</v>
      </c>
      <c r="G108" s="100" t="s">
        <v>12</v>
      </c>
      <c r="H108" s="148" t="s">
        <v>205</v>
      </c>
      <c r="I108" s="142">
        <v>1341.15</v>
      </c>
      <c r="J108" s="144">
        <v>29</v>
      </c>
      <c r="K108" s="148" t="s">
        <v>933</v>
      </c>
      <c r="L108" s="86" t="s">
        <v>741</v>
      </c>
      <c r="M108" s="58"/>
      <c r="N108" s="59"/>
      <c r="O108" s="50"/>
      <c r="P108" s="60"/>
      <c r="R108" s="53" t="s">
        <v>764</v>
      </c>
      <c r="S108" s="53" t="s">
        <v>764</v>
      </c>
      <c r="T108" s="53" t="s">
        <v>764</v>
      </c>
      <c r="U108" s="53" t="s">
        <v>741</v>
      </c>
      <c r="V108" s="53" t="s">
        <v>768</v>
      </c>
      <c r="W108" s="53" t="s">
        <v>766</v>
      </c>
      <c r="X108" s="61">
        <f>IFERROR(IF(W108="","",WORKDAY.INTL(B108,_xlfn.XLOOKUP(W108,Regras!$F$2:$F$11,Regras!$G$2:$G$11))),"")</f>
        <v>45945</v>
      </c>
      <c r="Y108" s="150" t="s">
        <v>767</v>
      </c>
      <c r="Z108" s="53" t="s">
        <v>764</v>
      </c>
      <c r="AA108" s="53"/>
    </row>
    <row r="109" spans="2:28" x14ac:dyDescent="0.2">
      <c r="B109" s="89">
        <v>45881</v>
      </c>
      <c r="D109" s="85" t="s">
        <v>232</v>
      </c>
      <c r="E109" s="125" t="s">
        <v>233</v>
      </c>
      <c r="F109" s="85" t="s">
        <v>140</v>
      </c>
      <c r="G109" s="85" t="s">
        <v>53</v>
      </c>
      <c r="H109" s="148" t="s">
        <v>223</v>
      </c>
      <c r="I109" s="142">
        <v>9180</v>
      </c>
      <c r="J109" s="144">
        <v>30</v>
      </c>
      <c r="K109" s="144">
        <v>63</v>
      </c>
      <c r="L109" s="86" t="s">
        <v>741</v>
      </c>
      <c r="M109" s="58"/>
      <c r="N109" s="59"/>
      <c r="O109" s="50"/>
      <c r="P109" s="60"/>
      <c r="R109" s="53" t="s">
        <v>764</v>
      </c>
      <c r="S109" s="53" t="s">
        <v>764</v>
      </c>
      <c r="T109" s="53" t="s">
        <v>764</v>
      </c>
      <c r="U109" s="53" t="s">
        <v>773</v>
      </c>
      <c r="V109" s="53" t="s">
        <v>770</v>
      </c>
      <c r="W109" s="53" t="s">
        <v>766</v>
      </c>
      <c r="X109" s="61">
        <f>IFERROR(IF(W109="","",WORKDAY.INTL(B109,_xlfn.XLOOKUP(W109,Regras!$F$2:$F$11,Regras!$G$2:$G$11))),"")</f>
        <v>45944</v>
      </c>
      <c r="Y109" s="150" t="s">
        <v>767</v>
      </c>
      <c r="Z109" s="53" t="s">
        <v>764</v>
      </c>
      <c r="AA109" s="53"/>
    </row>
    <row r="110" spans="2:28" x14ac:dyDescent="0.2">
      <c r="B110" s="89">
        <v>45881</v>
      </c>
      <c r="D110" s="85" t="s">
        <v>230</v>
      </c>
      <c r="E110" s="125" t="s">
        <v>231</v>
      </c>
      <c r="F110" s="85" t="s">
        <v>145</v>
      </c>
      <c r="G110" s="85" t="s">
        <v>53</v>
      </c>
      <c r="H110" s="148" t="s">
        <v>223</v>
      </c>
      <c r="I110" s="142">
        <v>2217.02</v>
      </c>
      <c r="J110" s="144">
        <v>30</v>
      </c>
      <c r="K110" s="148" t="s">
        <v>933</v>
      </c>
      <c r="L110" s="86" t="s">
        <v>741</v>
      </c>
      <c r="M110" s="58"/>
      <c r="N110" s="59"/>
      <c r="O110" s="50"/>
      <c r="P110" s="60"/>
      <c r="R110" s="53" t="s">
        <v>764</v>
      </c>
      <c r="S110" s="53" t="s">
        <v>764</v>
      </c>
      <c r="T110" s="53" t="s">
        <v>764</v>
      </c>
      <c r="U110" s="53" t="s">
        <v>741</v>
      </c>
      <c r="V110" s="53" t="s">
        <v>768</v>
      </c>
      <c r="W110" s="53" t="s">
        <v>766</v>
      </c>
      <c r="X110" s="61">
        <f>IFERROR(IF(W110="","",WORKDAY.INTL(B110,_xlfn.XLOOKUP(W110,Regras!$F$2:$F$11,Regras!$G$2:$G$11))),"")</f>
        <v>45944</v>
      </c>
      <c r="Y110" s="150" t="s">
        <v>767</v>
      </c>
      <c r="Z110" s="53" t="s">
        <v>764</v>
      </c>
      <c r="AA110" s="53"/>
    </row>
    <row r="111" spans="2:28" ht="15" customHeight="1" x14ac:dyDescent="0.2">
      <c r="B111" s="89">
        <v>45881</v>
      </c>
      <c r="D111" s="85" t="s">
        <v>221</v>
      </c>
      <c r="E111" s="125" t="s">
        <v>222</v>
      </c>
      <c r="F111" s="85" t="s">
        <v>22</v>
      </c>
      <c r="G111" s="85" t="s">
        <v>12</v>
      </c>
      <c r="H111" s="148" t="s">
        <v>223</v>
      </c>
      <c r="I111" s="142">
        <v>2931.2</v>
      </c>
      <c r="J111" s="144">
        <v>30</v>
      </c>
      <c r="K111" s="148" t="s">
        <v>933</v>
      </c>
      <c r="L111" s="86" t="s">
        <v>741</v>
      </c>
      <c r="M111" s="58"/>
      <c r="N111" s="59"/>
      <c r="O111" s="50"/>
      <c r="P111" s="60"/>
      <c r="R111" s="53" t="s">
        <v>764</v>
      </c>
      <c r="S111" s="53" t="s">
        <v>764</v>
      </c>
      <c r="T111" s="53" t="s">
        <v>764</v>
      </c>
      <c r="U111" s="53" t="s">
        <v>741</v>
      </c>
      <c r="V111" s="53" t="s">
        <v>768</v>
      </c>
      <c r="W111" s="53" t="s">
        <v>766</v>
      </c>
      <c r="X111" s="61">
        <f>IFERROR(IF(W111="","",WORKDAY.INTL(B111,_xlfn.XLOOKUP(W111,Regras!$F$2:$F$11,Regras!$G$2:$G$11))),"")</f>
        <v>45944</v>
      </c>
      <c r="Y111" s="150" t="s">
        <v>767</v>
      </c>
      <c r="Z111" s="53" t="s">
        <v>764</v>
      </c>
      <c r="AA111" s="53"/>
    </row>
    <row r="112" spans="2:28" x14ac:dyDescent="0.2">
      <c r="B112" s="89">
        <v>45881</v>
      </c>
      <c r="D112" s="85" t="s">
        <v>236</v>
      </c>
      <c r="E112" s="125" t="s">
        <v>237</v>
      </c>
      <c r="F112" s="85" t="s">
        <v>11</v>
      </c>
      <c r="G112" s="85" t="s">
        <v>220</v>
      </c>
      <c r="H112" s="148" t="s">
        <v>223</v>
      </c>
      <c r="I112" s="142">
        <v>898.7</v>
      </c>
      <c r="J112" s="144">
        <v>30</v>
      </c>
      <c r="K112" s="144">
        <v>40</v>
      </c>
      <c r="L112" s="86" t="s">
        <v>741</v>
      </c>
      <c r="M112" s="58"/>
      <c r="N112" s="59"/>
      <c r="O112" s="50"/>
      <c r="P112" s="60"/>
      <c r="R112" s="53" t="s">
        <v>764</v>
      </c>
      <c r="S112" s="53" t="s">
        <v>764</v>
      </c>
      <c r="T112" s="53" t="s">
        <v>764</v>
      </c>
      <c r="U112" s="53" t="s">
        <v>741</v>
      </c>
      <c r="V112" s="53" t="s">
        <v>770</v>
      </c>
      <c r="W112" s="53" t="s">
        <v>766</v>
      </c>
      <c r="X112" s="61">
        <f>IFERROR(IF(W112="","",WORKDAY.INTL(B112,_xlfn.XLOOKUP(W112,Regras!$F$2:$F$11,Regras!$G$2:$G$11))),"")</f>
        <v>45944</v>
      </c>
      <c r="Y112" s="150" t="s">
        <v>767</v>
      </c>
      <c r="Z112" s="53" t="s">
        <v>764</v>
      </c>
      <c r="AA112" s="53"/>
    </row>
    <row r="113" spans="2:28" x14ac:dyDescent="0.2">
      <c r="B113" s="89">
        <v>45881</v>
      </c>
      <c r="D113" s="100" t="s">
        <v>228</v>
      </c>
      <c r="E113" s="126" t="s">
        <v>229</v>
      </c>
      <c r="F113" s="100" t="s">
        <v>36</v>
      </c>
      <c r="G113" s="100" t="s">
        <v>12</v>
      </c>
      <c r="H113" s="148" t="s">
        <v>223</v>
      </c>
      <c r="I113" s="142">
        <v>1448.73</v>
      </c>
      <c r="J113" s="144">
        <v>30</v>
      </c>
      <c r="K113" s="144">
        <v>56</v>
      </c>
      <c r="L113" s="86" t="s">
        <v>741</v>
      </c>
      <c r="M113" s="58"/>
      <c r="N113" s="59"/>
      <c r="O113" s="50"/>
      <c r="P113" s="60"/>
      <c r="R113" s="53" t="s">
        <v>764</v>
      </c>
      <c r="S113" s="53" t="s">
        <v>764</v>
      </c>
      <c r="T113" s="53" t="s">
        <v>764</v>
      </c>
      <c r="U113" s="53" t="s">
        <v>741</v>
      </c>
      <c r="V113" s="53" t="s">
        <v>770</v>
      </c>
      <c r="W113" s="53" t="s">
        <v>766</v>
      </c>
      <c r="X113" s="61">
        <f>IFERROR(IF(W113="","",WORKDAY.INTL(B113,_xlfn.XLOOKUP(W113,Regras!$F$2:$F$11,Regras!$G$2:$G$11))),"")</f>
        <v>45944</v>
      </c>
      <c r="Y113" s="150" t="s">
        <v>767</v>
      </c>
      <c r="Z113" s="53" t="s">
        <v>764</v>
      </c>
      <c r="AA113" s="53"/>
    </row>
    <row r="114" spans="2:28" x14ac:dyDescent="0.2">
      <c r="B114" s="89">
        <v>45881</v>
      </c>
      <c r="D114" s="85" t="s">
        <v>234</v>
      </c>
      <c r="E114" s="125" t="s">
        <v>235</v>
      </c>
      <c r="F114" s="85" t="s">
        <v>140</v>
      </c>
      <c r="G114" s="85" t="s">
        <v>53</v>
      </c>
      <c r="H114" s="148" t="s">
        <v>223</v>
      </c>
      <c r="I114" s="142">
        <v>6768.79</v>
      </c>
      <c r="J114" s="144">
        <v>30</v>
      </c>
      <c r="K114" s="148" t="s">
        <v>933</v>
      </c>
      <c r="L114" s="86" t="s">
        <v>741</v>
      </c>
      <c r="M114" s="58"/>
      <c r="N114" s="59"/>
      <c r="O114" s="50"/>
      <c r="P114" s="60"/>
      <c r="R114" s="53" t="s">
        <v>764</v>
      </c>
      <c r="S114" s="53" t="s">
        <v>764</v>
      </c>
      <c r="T114" s="53" t="s">
        <v>764</v>
      </c>
      <c r="U114" s="53" t="s">
        <v>773</v>
      </c>
      <c r="V114" s="53" t="s">
        <v>768</v>
      </c>
      <c r="W114" s="53" t="s">
        <v>766</v>
      </c>
      <c r="X114" s="61">
        <f>IFERROR(IF(W114="","",WORKDAY.INTL(B114,_xlfn.XLOOKUP(W114,Regras!$F$2:$F$11,Regras!$G$2:$G$11))),"")</f>
        <v>45944</v>
      </c>
      <c r="Y114" s="150" t="s">
        <v>767</v>
      </c>
      <c r="Z114" s="53" t="s">
        <v>764</v>
      </c>
      <c r="AA114" s="53"/>
    </row>
    <row r="115" spans="2:28" x14ac:dyDescent="0.2">
      <c r="B115" s="89">
        <v>45881</v>
      </c>
      <c r="D115" s="85" t="s">
        <v>226</v>
      </c>
      <c r="E115" s="125" t="s">
        <v>227</v>
      </c>
      <c r="F115" s="85" t="s">
        <v>22</v>
      </c>
      <c r="G115" s="85" t="s">
        <v>12</v>
      </c>
      <c r="H115" s="148" t="s">
        <v>223</v>
      </c>
      <c r="I115" s="142">
        <v>708.5</v>
      </c>
      <c r="J115" s="144">
        <v>30</v>
      </c>
      <c r="K115" s="148" t="s">
        <v>933</v>
      </c>
      <c r="L115" s="86" t="s">
        <v>741</v>
      </c>
      <c r="M115" s="58"/>
      <c r="N115" s="59"/>
      <c r="O115" s="50"/>
      <c r="P115" s="60"/>
      <c r="R115" s="53" t="s">
        <v>764</v>
      </c>
      <c r="S115" s="53" t="s">
        <v>764</v>
      </c>
      <c r="T115" s="53" t="s">
        <v>764</v>
      </c>
      <c r="U115" s="53" t="s">
        <v>741</v>
      </c>
      <c r="V115" s="53" t="s">
        <v>768</v>
      </c>
      <c r="W115" s="53" t="s">
        <v>766</v>
      </c>
      <c r="X115" s="61">
        <f>IFERROR(IF(W115="","",WORKDAY.INTL(B115,_xlfn.XLOOKUP(W115,Regras!$F$2:$F$11,Regras!$G$2:$G$11))),"")</f>
        <v>45944</v>
      </c>
      <c r="Y115" s="150" t="s">
        <v>767</v>
      </c>
      <c r="Z115" s="53" t="s">
        <v>764</v>
      </c>
      <c r="AA115" s="53"/>
    </row>
    <row r="116" spans="2:28" ht="14.25" customHeight="1" x14ac:dyDescent="0.2">
      <c r="B116" s="89">
        <v>45881</v>
      </c>
      <c r="D116" s="85" t="s">
        <v>238</v>
      </c>
      <c r="E116" s="125" t="s">
        <v>239</v>
      </c>
      <c r="F116" s="85" t="s">
        <v>22</v>
      </c>
      <c r="G116" s="85" t="s">
        <v>12</v>
      </c>
      <c r="H116" s="148" t="s">
        <v>223</v>
      </c>
      <c r="I116" s="142">
        <v>750.5</v>
      </c>
      <c r="J116" s="144">
        <v>30</v>
      </c>
      <c r="K116" s="148" t="s">
        <v>933</v>
      </c>
      <c r="L116" s="86" t="s">
        <v>741</v>
      </c>
      <c r="M116" s="58"/>
      <c r="N116" s="59"/>
      <c r="O116" s="50"/>
      <c r="P116" s="60"/>
      <c r="R116" s="53" t="s">
        <v>764</v>
      </c>
      <c r="S116" s="53" t="s">
        <v>764</v>
      </c>
      <c r="T116" s="53" t="s">
        <v>764</v>
      </c>
      <c r="U116" s="53" t="s">
        <v>741</v>
      </c>
      <c r="V116" s="53" t="s">
        <v>768</v>
      </c>
      <c r="W116" s="53" t="s">
        <v>766</v>
      </c>
      <c r="X116" s="61">
        <f>IFERROR(IF(W116="","",WORKDAY.INTL(B116,_xlfn.XLOOKUP(W116,Regras!$F$2:$F$11,Regras!$G$2:$G$11))),"")</f>
        <v>45944</v>
      </c>
      <c r="Y116" s="150" t="s">
        <v>767</v>
      </c>
      <c r="Z116" s="53" t="s">
        <v>764</v>
      </c>
      <c r="AA116" s="53"/>
    </row>
    <row r="117" spans="2:28" x14ac:dyDescent="0.2">
      <c r="B117" s="89">
        <v>45881</v>
      </c>
      <c r="D117" s="85" t="s">
        <v>224</v>
      </c>
      <c r="E117" s="125" t="s">
        <v>225</v>
      </c>
      <c r="F117" s="85" t="s">
        <v>22</v>
      </c>
      <c r="G117" s="85" t="s">
        <v>12</v>
      </c>
      <c r="H117" s="148" t="s">
        <v>223</v>
      </c>
      <c r="I117" s="142">
        <v>739.5</v>
      </c>
      <c r="J117" s="144">
        <v>30</v>
      </c>
      <c r="K117" s="148" t="s">
        <v>933</v>
      </c>
      <c r="L117" s="86" t="s">
        <v>741</v>
      </c>
      <c r="M117" s="58"/>
      <c r="N117" s="59"/>
      <c r="O117" s="50"/>
      <c r="P117" s="60"/>
      <c r="R117" s="53" t="s">
        <v>764</v>
      </c>
      <c r="S117" s="53" t="s">
        <v>764</v>
      </c>
      <c r="T117" s="53" t="s">
        <v>764</v>
      </c>
      <c r="U117" s="53" t="s">
        <v>741</v>
      </c>
      <c r="V117" s="53" t="s">
        <v>768</v>
      </c>
      <c r="W117" s="53" t="s">
        <v>766</v>
      </c>
      <c r="X117" s="61">
        <f>IFERROR(IF(W117="","",WORKDAY.INTL(B117,_xlfn.XLOOKUP(W117,Regras!$F$2:$F$11,Regras!$G$2:$G$11))),"")</f>
        <v>45944</v>
      </c>
      <c r="Y117" s="150" t="s">
        <v>767</v>
      </c>
      <c r="Z117" s="53" t="s">
        <v>764</v>
      </c>
      <c r="AA117" s="53"/>
    </row>
    <row r="118" spans="2:28" x14ac:dyDescent="0.2">
      <c r="B118" s="89">
        <v>45880</v>
      </c>
      <c r="D118" s="85" t="s">
        <v>247</v>
      </c>
      <c r="E118" s="125" t="s">
        <v>248</v>
      </c>
      <c r="F118" s="85" t="s">
        <v>17</v>
      </c>
      <c r="G118" s="85" t="s">
        <v>12</v>
      </c>
      <c r="H118" s="148" t="s">
        <v>242</v>
      </c>
      <c r="I118" s="142">
        <v>801.51</v>
      </c>
      <c r="J118" s="144">
        <v>31</v>
      </c>
      <c r="K118" s="148" t="s">
        <v>933</v>
      </c>
      <c r="L118" s="86" t="s">
        <v>741</v>
      </c>
      <c r="M118" s="58"/>
      <c r="N118" s="59"/>
      <c r="O118" s="50"/>
      <c r="P118" s="60"/>
      <c r="R118" s="53" t="s">
        <v>764</v>
      </c>
      <c r="S118" s="53" t="s">
        <v>764</v>
      </c>
      <c r="T118" s="53" t="s">
        <v>764</v>
      </c>
      <c r="U118" s="53" t="s">
        <v>741</v>
      </c>
      <c r="V118" s="53" t="s">
        <v>768</v>
      </c>
      <c r="W118" s="53" t="s">
        <v>766</v>
      </c>
      <c r="X118" s="61">
        <f>IFERROR(IF(W118="","",WORKDAY.INTL(B118,_xlfn.XLOOKUP(W118,Regras!$F$2:$F$11,Regras!$G$2:$G$11))),"")</f>
        <v>45943</v>
      </c>
      <c r="Y118" s="150" t="s">
        <v>767</v>
      </c>
      <c r="Z118" s="53" t="s">
        <v>764</v>
      </c>
      <c r="AA118" s="53"/>
    </row>
    <row r="119" spans="2:28" x14ac:dyDescent="0.2">
      <c r="B119" s="89">
        <v>45880</v>
      </c>
      <c r="D119" s="85" t="s">
        <v>245</v>
      </c>
      <c r="E119" s="125" t="s">
        <v>246</v>
      </c>
      <c r="F119" s="85" t="s">
        <v>26</v>
      </c>
      <c r="G119" s="85" t="s">
        <v>53</v>
      </c>
      <c r="H119" s="148" t="s">
        <v>242</v>
      </c>
      <c r="I119" s="142">
        <v>2046.8</v>
      </c>
      <c r="J119" s="144">
        <v>31</v>
      </c>
      <c r="K119" s="144">
        <v>26</v>
      </c>
      <c r="L119" s="86" t="s">
        <v>741</v>
      </c>
      <c r="M119" s="58"/>
      <c r="N119" s="59"/>
      <c r="O119" s="50"/>
      <c r="P119" s="60"/>
      <c r="R119" s="53" t="s">
        <v>764</v>
      </c>
      <c r="S119" s="53" t="s">
        <v>764</v>
      </c>
      <c r="T119" s="53" t="s">
        <v>764</v>
      </c>
      <c r="U119" s="53" t="s">
        <v>773</v>
      </c>
      <c r="V119" s="53" t="s">
        <v>770</v>
      </c>
      <c r="W119" s="53" t="s">
        <v>766</v>
      </c>
      <c r="X119" s="61">
        <f>IFERROR(IF(W119="","",WORKDAY.INTL(B119,_xlfn.XLOOKUP(W119,Regras!$F$2:$F$11,Regras!$G$2:$G$11))),"")</f>
        <v>45943</v>
      </c>
      <c r="Y119" s="150" t="s">
        <v>767</v>
      </c>
      <c r="Z119" s="53" t="s">
        <v>764</v>
      </c>
      <c r="AA119" s="53"/>
    </row>
    <row r="120" spans="2:28" ht="15" customHeight="1" x14ac:dyDescent="0.2">
      <c r="B120" s="89">
        <v>45880</v>
      </c>
      <c r="D120" s="85" t="s">
        <v>249</v>
      </c>
      <c r="E120" s="125" t="s">
        <v>250</v>
      </c>
      <c r="F120" s="85" t="s">
        <v>46</v>
      </c>
      <c r="G120" s="85" t="s">
        <v>18</v>
      </c>
      <c r="H120" s="148" t="s">
        <v>242</v>
      </c>
      <c r="I120" s="142">
        <v>1256.1199999999999</v>
      </c>
      <c r="J120" s="144">
        <v>31</v>
      </c>
      <c r="K120" s="148" t="s">
        <v>933</v>
      </c>
      <c r="L120" s="86" t="s">
        <v>741</v>
      </c>
      <c r="M120" s="58"/>
      <c r="N120" s="59"/>
      <c r="O120" s="50"/>
      <c r="P120" s="60"/>
      <c r="R120" s="53" t="s">
        <v>764</v>
      </c>
      <c r="S120" s="53" t="s">
        <v>764</v>
      </c>
      <c r="T120" s="53" t="s">
        <v>764</v>
      </c>
      <c r="U120" s="53" t="s">
        <v>741</v>
      </c>
      <c r="V120" s="53" t="s">
        <v>768</v>
      </c>
      <c r="W120" s="53" t="s">
        <v>766</v>
      </c>
      <c r="X120" s="61">
        <f>IFERROR(IF(W120="","",WORKDAY.INTL(B120,_xlfn.XLOOKUP(W120,Regras!$F$2:$F$11,Regras!$G$2:$G$11))),"")</f>
        <v>45943</v>
      </c>
      <c r="Y120" s="150" t="s">
        <v>767</v>
      </c>
      <c r="Z120" s="53" t="s">
        <v>764</v>
      </c>
      <c r="AA120" s="53"/>
    </row>
    <row r="121" spans="2:28" ht="14.25" customHeight="1" x14ac:dyDescent="0.2">
      <c r="B121" s="89">
        <v>45880</v>
      </c>
      <c r="D121" s="85" t="s">
        <v>240</v>
      </c>
      <c r="E121" s="125" t="s">
        <v>241</v>
      </c>
      <c r="F121" s="85" t="s">
        <v>67</v>
      </c>
      <c r="G121" s="85" t="s">
        <v>53</v>
      </c>
      <c r="H121" s="148" t="s">
        <v>242</v>
      </c>
      <c r="I121" s="142">
        <v>3280.39</v>
      </c>
      <c r="J121" s="144">
        <v>31</v>
      </c>
      <c r="K121" s="144">
        <v>48.5</v>
      </c>
      <c r="L121" s="86" t="s">
        <v>741</v>
      </c>
      <c r="M121" s="58"/>
      <c r="N121" s="59"/>
      <c r="O121" s="50"/>
      <c r="P121" s="60"/>
      <c r="R121" s="53" t="s">
        <v>764</v>
      </c>
      <c r="S121" s="53" t="s">
        <v>764</v>
      </c>
      <c r="T121" s="53" t="s">
        <v>764</v>
      </c>
      <c r="U121" s="53" t="s">
        <v>773</v>
      </c>
      <c r="V121" s="53" t="s">
        <v>770</v>
      </c>
      <c r="W121" s="53" t="s">
        <v>766</v>
      </c>
      <c r="X121" s="61">
        <f>IFERROR(IF(W121="","",WORKDAY.INTL(B121,_xlfn.XLOOKUP(W121,Regras!$F$2:$F$11,Regras!$G$2:$G$11))),"")</f>
        <v>45943</v>
      </c>
      <c r="Y121" s="150" t="s">
        <v>767</v>
      </c>
      <c r="Z121" s="53" t="s">
        <v>764</v>
      </c>
      <c r="AA121" s="53"/>
    </row>
    <row r="122" spans="2:28" x14ac:dyDescent="0.2">
      <c r="B122" s="89">
        <v>45880</v>
      </c>
      <c r="D122" s="85" t="s">
        <v>243</v>
      </c>
      <c r="E122" s="125" t="s">
        <v>244</v>
      </c>
      <c r="F122" s="85" t="s">
        <v>11</v>
      </c>
      <c r="G122" s="85" t="s">
        <v>53</v>
      </c>
      <c r="H122" s="148" t="s">
        <v>242</v>
      </c>
      <c r="I122" s="142">
        <v>5337.2</v>
      </c>
      <c r="J122" s="144">
        <v>31</v>
      </c>
      <c r="K122" s="144">
        <v>33</v>
      </c>
      <c r="L122" s="86" t="s">
        <v>741</v>
      </c>
      <c r="M122" s="58"/>
      <c r="N122" s="59"/>
      <c r="O122" s="50"/>
      <c r="P122" s="60"/>
      <c r="R122" s="53" t="s">
        <v>764</v>
      </c>
      <c r="S122" s="53" t="s">
        <v>764</v>
      </c>
      <c r="T122" s="53" t="s">
        <v>764</v>
      </c>
      <c r="U122" s="53" t="s">
        <v>773</v>
      </c>
      <c r="V122" s="53" t="s">
        <v>770</v>
      </c>
      <c r="W122" s="53" t="s">
        <v>766</v>
      </c>
      <c r="X122" s="61">
        <f>IFERROR(IF(W122="","",WORKDAY.INTL(B122,_xlfn.XLOOKUP(W122,Regras!$F$2:$F$11,Regras!$G$2:$G$11))),"")</f>
        <v>45943</v>
      </c>
      <c r="Y122" s="150" t="s">
        <v>767</v>
      </c>
      <c r="Z122" s="53" t="s">
        <v>764</v>
      </c>
      <c r="AA122" s="53"/>
    </row>
    <row r="123" spans="2:28" x14ac:dyDescent="0.2">
      <c r="B123" s="89">
        <v>45926</v>
      </c>
      <c r="D123" s="85" t="s">
        <v>247</v>
      </c>
      <c r="E123" s="125" t="s">
        <v>248</v>
      </c>
      <c r="F123" s="85" t="s">
        <v>17</v>
      </c>
      <c r="G123" s="85" t="s">
        <v>12</v>
      </c>
      <c r="H123" s="148" t="s">
        <v>242</v>
      </c>
      <c r="I123" s="142">
        <v>801.51</v>
      </c>
      <c r="J123" s="144">
        <v>31</v>
      </c>
      <c r="K123" s="148" t="s">
        <v>933</v>
      </c>
      <c r="L123" s="86" t="s">
        <v>741</v>
      </c>
      <c r="M123" s="58"/>
      <c r="N123" s="59"/>
      <c r="O123" s="50"/>
      <c r="P123" s="60"/>
      <c r="R123" s="53" t="s">
        <v>764</v>
      </c>
      <c r="S123" s="53" t="s">
        <v>764</v>
      </c>
      <c r="T123" s="53" t="s">
        <v>764</v>
      </c>
      <c r="U123" s="53" t="s">
        <v>741</v>
      </c>
      <c r="V123" s="53" t="s">
        <v>770</v>
      </c>
      <c r="W123" s="53" t="s">
        <v>796</v>
      </c>
      <c r="X123" s="61" t="str">
        <f>IFERROR(IF(W123="","",WORKDAY.INTL(B123,_xlfn.XLOOKUP(W123,Regras!$F$2:$F$11,Regras!$G$2:$G$11))),"")</f>
        <v/>
      </c>
      <c r="Y123" s="150" t="s">
        <v>1059</v>
      </c>
      <c r="Z123" s="53" t="s">
        <v>764</v>
      </c>
      <c r="AA123" s="53"/>
      <c r="AB123" s="156" t="s">
        <v>1059</v>
      </c>
    </row>
    <row r="124" spans="2:28" x14ac:dyDescent="0.2">
      <c r="B124" s="89">
        <v>45877</v>
      </c>
      <c r="D124" s="85" t="s">
        <v>256</v>
      </c>
      <c r="E124" s="125" t="s">
        <v>257</v>
      </c>
      <c r="F124" s="85" t="s">
        <v>11</v>
      </c>
      <c r="G124" s="85" t="s">
        <v>53</v>
      </c>
      <c r="H124" s="148" t="s">
        <v>253</v>
      </c>
      <c r="I124" s="142">
        <v>2040.89</v>
      </c>
      <c r="J124" s="144">
        <v>34</v>
      </c>
      <c r="K124" s="144">
        <v>91</v>
      </c>
      <c r="L124" s="86" t="s">
        <v>741</v>
      </c>
      <c r="M124" s="58"/>
      <c r="N124" s="59"/>
      <c r="O124" s="50"/>
      <c r="P124" s="60"/>
      <c r="R124" s="53" t="s">
        <v>764</v>
      </c>
      <c r="S124" s="53" t="s">
        <v>764</v>
      </c>
      <c r="T124" s="53" t="s">
        <v>764</v>
      </c>
      <c r="U124" s="53" t="s">
        <v>741</v>
      </c>
      <c r="V124" s="53" t="s">
        <v>770</v>
      </c>
      <c r="W124" s="53" t="s">
        <v>766</v>
      </c>
      <c r="X124" s="61">
        <f>IFERROR(IF(W124="","",WORKDAY.INTL(B124,_xlfn.XLOOKUP(W124,Regras!$F$2:$F$11,Regras!$G$2:$G$11))),"")</f>
        <v>45940</v>
      </c>
      <c r="Y124" s="150" t="s">
        <v>767</v>
      </c>
      <c r="Z124" s="53" t="s">
        <v>764</v>
      </c>
      <c r="AA124" s="53"/>
    </row>
    <row r="125" spans="2:28" x14ac:dyDescent="0.2">
      <c r="B125" s="89">
        <v>45877</v>
      </c>
      <c r="D125" s="85" t="s">
        <v>251</v>
      </c>
      <c r="E125" s="125" t="s">
        <v>252</v>
      </c>
      <c r="F125" s="85" t="s">
        <v>31</v>
      </c>
      <c r="G125" s="85" t="s">
        <v>53</v>
      </c>
      <c r="H125" s="148" t="s">
        <v>253</v>
      </c>
      <c r="I125" s="142">
        <v>2308.6</v>
      </c>
      <c r="J125" s="144">
        <v>34</v>
      </c>
      <c r="K125" s="148" t="s">
        <v>933</v>
      </c>
      <c r="L125" s="86" t="s">
        <v>741</v>
      </c>
      <c r="M125" s="58"/>
      <c r="N125" s="59"/>
      <c r="O125" s="50"/>
      <c r="P125" s="60"/>
      <c r="R125" s="53" t="s">
        <v>764</v>
      </c>
      <c r="S125" s="53" t="s">
        <v>764</v>
      </c>
      <c r="T125" s="53" t="s">
        <v>764</v>
      </c>
      <c r="U125" s="53" t="s">
        <v>741</v>
      </c>
      <c r="V125" s="53" t="s">
        <v>768</v>
      </c>
      <c r="W125" s="53" t="s">
        <v>766</v>
      </c>
      <c r="X125" s="61">
        <f>IFERROR(IF(W125="","",WORKDAY.INTL(B125,_xlfn.XLOOKUP(W125,Regras!$F$2:$F$11,Regras!$G$2:$G$11))),"")</f>
        <v>45940</v>
      </c>
      <c r="Y125" s="150" t="s">
        <v>767</v>
      </c>
      <c r="Z125" s="53" t="s">
        <v>764</v>
      </c>
      <c r="AA125" s="53"/>
    </row>
    <row r="126" spans="2:28" x14ac:dyDescent="0.2">
      <c r="B126" s="89">
        <v>45877</v>
      </c>
      <c r="D126" s="85" t="s">
        <v>254</v>
      </c>
      <c r="E126" s="125" t="s">
        <v>255</v>
      </c>
      <c r="F126" s="85" t="s">
        <v>46</v>
      </c>
      <c r="G126" s="85" t="s">
        <v>12</v>
      </c>
      <c r="H126" s="148" t="s">
        <v>253</v>
      </c>
      <c r="I126" s="142">
        <v>697.63</v>
      </c>
      <c r="J126" s="144">
        <v>34</v>
      </c>
      <c r="K126" s="144">
        <v>33.333300000000001</v>
      </c>
      <c r="L126" s="86" t="s">
        <v>741</v>
      </c>
      <c r="M126" s="58"/>
      <c r="N126" s="59"/>
      <c r="O126" s="50"/>
      <c r="P126" s="60"/>
      <c r="R126" s="53" t="s">
        <v>764</v>
      </c>
      <c r="S126" s="53" t="s">
        <v>764</v>
      </c>
      <c r="T126" s="53" t="s">
        <v>764</v>
      </c>
      <c r="U126" s="53" t="s">
        <v>741</v>
      </c>
      <c r="V126" s="53" t="s">
        <v>770</v>
      </c>
      <c r="W126" s="53" t="s">
        <v>766</v>
      </c>
      <c r="X126" s="61">
        <f>IFERROR(IF(W126="","",WORKDAY.INTL(B126,_xlfn.XLOOKUP(W126,Regras!$F$2:$F$11,Regras!$G$2:$G$11))),"")</f>
        <v>45940</v>
      </c>
      <c r="Y126" s="150" t="s">
        <v>767</v>
      </c>
      <c r="Z126" s="53" t="s">
        <v>764</v>
      </c>
      <c r="AA126" s="53"/>
    </row>
    <row r="127" spans="2:28" x14ac:dyDescent="0.2">
      <c r="B127" s="89">
        <v>45877</v>
      </c>
      <c r="D127" s="85" t="s">
        <v>258</v>
      </c>
      <c r="E127" s="125" t="s">
        <v>259</v>
      </c>
      <c r="F127" s="85" t="s">
        <v>26</v>
      </c>
      <c r="G127" s="85" t="s">
        <v>53</v>
      </c>
      <c r="H127" s="148" t="s">
        <v>253</v>
      </c>
      <c r="I127" s="142">
        <v>1009.9</v>
      </c>
      <c r="J127" s="144">
        <v>34</v>
      </c>
      <c r="K127" s="144">
        <v>59</v>
      </c>
      <c r="L127" s="86" t="s">
        <v>741</v>
      </c>
      <c r="M127" s="58"/>
      <c r="N127" s="59"/>
      <c r="O127" s="50"/>
      <c r="P127" s="60"/>
      <c r="R127" s="53" t="s">
        <v>764</v>
      </c>
      <c r="S127" s="53" t="s">
        <v>764</v>
      </c>
      <c r="T127" s="53" t="s">
        <v>764</v>
      </c>
      <c r="U127" s="53" t="s">
        <v>741</v>
      </c>
      <c r="V127" s="53" t="s">
        <v>770</v>
      </c>
      <c r="W127" s="53" t="s">
        <v>766</v>
      </c>
      <c r="X127" s="61">
        <f>IFERROR(IF(W127="","",WORKDAY.INTL(B127,_xlfn.XLOOKUP(W127,Regras!$F$2:$F$11,Regras!$G$2:$G$11))),"")</f>
        <v>45940</v>
      </c>
      <c r="Y127" s="150" t="s">
        <v>767</v>
      </c>
      <c r="Z127" s="53" t="s">
        <v>764</v>
      </c>
      <c r="AA127" s="53"/>
    </row>
    <row r="128" spans="2:28" x14ac:dyDescent="0.2">
      <c r="B128" s="89">
        <v>45876</v>
      </c>
      <c r="D128" s="85" t="s">
        <v>265</v>
      </c>
      <c r="E128" s="125" t="s">
        <v>266</v>
      </c>
      <c r="F128" s="85" t="s">
        <v>71</v>
      </c>
      <c r="G128" s="85" t="s">
        <v>18</v>
      </c>
      <c r="H128" s="148" t="s">
        <v>262</v>
      </c>
      <c r="I128" s="142">
        <v>1215.54</v>
      </c>
      <c r="J128" s="144">
        <v>35</v>
      </c>
      <c r="K128" s="148" t="s">
        <v>933</v>
      </c>
      <c r="L128" s="86" t="s">
        <v>741</v>
      </c>
      <c r="M128" s="58"/>
      <c r="N128" s="59"/>
      <c r="O128" s="50"/>
      <c r="P128" s="60"/>
      <c r="R128" s="53" t="s">
        <v>764</v>
      </c>
      <c r="S128" s="53" t="s">
        <v>764</v>
      </c>
      <c r="T128" s="53" t="s">
        <v>769</v>
      </c>
      <c r="U128" s="53" t="s">
        <v>741</v>
      </c>
      <c r="V128" s="53" t="s">
        <v>768</v>
      </c>
      <c r="W128" s="53" t="s">
        <v>766</v>
      </c>
      <c r="X128" s="61">
        <f>IFERROR(IF(W128="","",WORKDAY.INTL(B128,_xlfn.XLOOKUP(W128,Regras!$F$2:$F$11,Regras!$G$2:$G$11))),"")</f>
        <v>45939</v>
      </c>
      <c r="Y128" s="150" t="s">
        <v>767</v>
      </c>
      <c r="Z128" s="53" t="s">
        <v>764</v>
      </c>
      <c r="AA128" s="53"/>
    </row>
    <row r="129" spans="2:28" ht="14.25" customHeight="1" x14ac:dyDescent="0.2">
      <c r="B129" s="89">
        <v>45876</v>
      </c>
      <c r="D129" s="85" t="s">
        <v>263</v>
      </c>
      <c r="E129" s="125" t="s">
        <v>264</v>
      </c>
      <c r="F129" s="85" t="s">
        <v>49</v>
      </c>
      <c r="G129" s="85" t="s">
        <v>18</v>
      </c>
      <c r="H129" s="148" t="s">
        <v>262</v>
      </c>
      <c r="I129" s="142">
        <v>1021.87</v>
      </c>
      <c r="J129" s="144">
        <v>35</v>
      </c>
      <c r="K129" s="148" t="s">
        <v>933</v>
      </c>
      <c r="L129" s="86" t="s">
        <v>741</v>
      </c>
      <c r="M129" s="58"/>
      <c r="N129" s="59"/>
      <c r="O129" s="50"/>
      <c r="P129" s="60"/>
      <c r="R129" s="53" t="s">
        <v>764</v>
      </c>
      <c r="S129" s="53" t="s">
        <v>764</v>
      </c>
      <c r="T129" s="53" t="s">
        <v>764</v>
      </c>
      <c r="U129" s="53" t="s">
        <v>741</v>
      </c>
      <c r="V129" s="53" t="s">
        <v>768</v>
      </c>
      <c r="W129" s="53" t="s">
        <v>766</v>
      </c>
      <c r="X129" s="61">
        <f>IFERROR(IF(W129="","",WORKDAY.INTL(B129,_xlfn.XLOOKUP(W129,Regras!$F$2:$F$11,Regras!$G$2:$G$11))),"")</f>
        <v>45939</v>
      </c>
      <c r="Y129" s="150" t="s">
        <v>767</v>
      </c>
      <c r="Z129" s="53" t="s">
        <v>764</v>
      </c>
      <c r="AA129" s="53"/>
    </row>
    <row r="130" spans="2:28" x14ac:dyDescent="0.2">
      <c r="B130" s="89">
        <v>45876</v>
      </c>
      <c r="D130" s="85" t="s">
        <v>260</v>
      </c>
      <c r="E130" s="125" t="s">
        <v>261</v>
      </c>
      <c r="F130" s="85" t="s">
        <v>22</v>
      </c>
      <c r="G130" s="85" t="s">
        <v>12</v>
      </c>
      <c r="H130" s="148" t="s">
        <v>262</v>
      </c>
      <c r="I130" s="142">
        <v>1033.22</v>
      </c>
      <c r="J130" s="144">
        <v>35</v>
      </c>
      <c r="K130" s="144">
        <v>59</v>
      </c>
      <c r="L130" s="86" t="s">
        <v>741</v>
      </c>
      <c r="M130" s="58"/>
      <c r="N130" s="59"/>
      <c r="O130" s="50"/>
      <c r="P130" s="60"/>
      <c r="R130" s="53" t="s">
        <v>764</v>
      </c>
      <c r="S130" s="53" t="s">
        <v>764</v>
      </c>
      <c r="T130" s="53" t="s">
        <v>769</v>
      </c>
      <c r="U130" s="53" t="s">
        <v>741</v>
      </c>
      <c r="V130" s="53" t="s">
        <v>770</v>
      </c>
      <c r="W130" s="53" t="s">
        <v>766</v>
      </c>
      <c r="X130" s="61">
        <f>IFERROR(IF(W130="","",WORKDAY.INTL(B130,_xlfn.XLOOKUP(W130,Regras!$F$2:$F$11,Regras!$G$2:$G$11))),"")</f>
        <v>45939</v>
      </c>
      <c r="Y130" s="150" t="s">
        <v>767</v>
      </c>
      <c r="Z130" s="53" t="s">
        <v>764</v>
      </c>
      <c r="AA130" s="53"/>
    </row>
    <row r="131" spans="2:28" x14ac:dyDescent="0.2">
      <c r="B131" s="89">
        <v>45926</v>
      </c>
      <c r="D131" s="85" t="s">
        <v>260</v>
      </c>
      <c r="E131" s="125" t="s">
        <v>261</v>
      </c>
      <c r="F131" s="85" t="s">
        <v>22</v>
      </c>
      <c r="G131" s="85" t="s">
        <v>12</v>
      </c>
      <c r="H131" s="148" t="s">
        <v>262</v>
      </c>
      <c r="I131" s="142">
        <v>1033.22</v>
      </c>
      <c r="J131" s="144">
        <v>35</v>
      </c>
      <c r="K131" s="144">
        <v>59</v>
      </c>
      <c r="L131" s="86" t="s">
        <v>741</v>
      </c>
      <c r="M131" s="58"/>
      <c r="N131" s="59"/>
      <c r="O131" s="50"/>
      <c r="P131" s="60"/>
      <c r="R131" s="53" t="s">
        <v>764</v>
      </c>
      <c r="S131" s="53" t="s">
        <v>764</v>
      </c>
      <c r="T131" s="53" t="s">
        <v>764</v>
      </c>
      <c r="U131" s="53" t="s">
        <v>741</v>
      </c>
      <c r="V131" s="53" t="s">
        <v>770</v>
      </c>
      <c r="W131" s="53" t="s">
        <v>1054</v>
      </c>
      <c r="X131" s="61">
        <f>IFERROR(IF(W131="","",WORKDAY.INTL(B131,_xlfn.XLOOKUP(W131,Regras!$F$2:$F$11,Regras!$G$2:$G$11))),"")</f>
        <v>45947</v>
      </c>
      <c r="Y131" s="150" t="s">
        <v>1056</v>
      </c>
      <c r="Z131" s="53" t="s">
        <v>764</v>
      </c>
      <c r="AA131" s="53"/>
      <c r="AB131" s="155" t="s">
        <v>1057</v>
      </c>
    </row>
    <row r="132" spans="2:28" x14ac:dyDescent="0.2">
      <c r="B132" s="89">
        <v>45875</v>
      </c>
      <c r="D132" s="85" t="s">
        <v>280</v>
      </c>
      <c r="E132" s="125" t="s">
        <v>281</v>
      </c>
      <c r="F132" s="85" t="s">
        <v>22</v>
      </c>
      <c r="G132" s="85" t="s">
        <v>12</v>
      </c>
      <c r="H132" s="148" t="s">
        <v>269</v>
      </c>
      <c r="I132" s="142">
        <v>983.87</v>
      </c>
      <c r="J132" s="144">
        <v>36</v>
      </c>
      <c r="K132" s="148" t="s">
        <v>933</v>
      </c>
      <c r="L132" s="86" t="s">
        <v>741</v>
      </c>
      <c r="M132" s="58"/>
      <c r="N132" s="59"/>
      <c r="O132" s="50"/>
      <c r="P132" s="60"/>
      <c r="R132" s="53" t="s">
        <v>764</v>
      </c>
      <c r="S132" s="53" t="s">
        <v>764</v>
      </c>
      <c r="T132" s="53" t="s">
        <v>769</v>
      </c>
      <c r="U132" s="53" t="s">
        <v>773</v>
      </c>
      <c r="V132" s="53" t="s">
        <v>768</v>
      </c>
      <c r="W132" s="53" t="s">
        <v>766</v>
      </c>
      <c r="X132" s="61">
        <f>IFERROR(IF(W132="","",WORKDAY.INTL(B132,_xlfn.XLOOKUP(W132,Regras!$F$2:$F$11,Regras!$G$2:$G$11))),"")</f>
        <v>45938</v>
      </c>
      <c r="Y132" s="150" t="s">
        <v>767</v>
      </c>
      <c r="Z132" s="53" t="s">
        <v>764</v>
      </c>
      <c r="AA132" s="53"/>
    </row>
    <row r="133" spans="2:28" ht="15" customHeight="1" x14ac:dyDescent="0.2">
      <c r="B133" s="89">
        <v>45875</v>
      </c>
      <c r="D133" s="85" t="s">
        <v>278</v>
      </c>
      <c r="E133" s="125" t="s">
        <v>279</v>
      </c>
      <c r="F133" s="85" t="s">
        <v>140</v>
      </c>
      <c r="G133" s="85" t="s">
        <v>53</v>
      </c>
      <c r="H133" s="148" t="s">
        <v>269</v>
      </c>
      <c r="I133" s="142">
        <v>658.55</v>
      </c>
      <c r="J133" s="144">
        <v>36</v>
      </c>
      <c r="K133" s="148" t="s">
        <v>933</v>
      </c>
      <c r="L133" s="86" t="s">
        <v>741</v>
      </c>
      <c r="M133" s="58"/>
      <c r="N133" s="59"/>
      <c r="O133" s="50"/>
      <c r="P133" s="60"/>
      <c r="R133" s="53" t="s">
        <v>764</v>
      </c>
      <c r="S133" s="53" t="s">
        <v>764</v>
      </c>
      <c r="T133" s="53" t="s">
        <v>764</v>
      </c>
      <c r="U133" s="53" t="s">
        <v>741</v>
      </c>
      <c r="V133" s="53" t="s">
        <v>768</v>
      </c>
      <c r="W133" s="53" t="s">
        <v>766</v>
      </c>
      <c r="X133" s="61">
        <f>IFERROR(IF(W133="","",WORKDAY.INTL(B133,_xlfn.XLOOKUP(W133,Regras!$F$2:$F$11,Regras!$G$2:$G$11))),"")</f>
        <v>45938</v>
      </c>
      <c r="Y133" s="150" t="s">
        <v>767</v>
      </c>
      <c r="Z133" s="53" t="s">
        <v>764</v>
      </c>
      <c r="AA133" s="53"/>
    </row>
    <row r="134" spans="2:28" x14ac:dyDescent="0.2">
      <c r="B134" s="89">
        <v>45875</v>
      </c>
      <c r="D134" s="85" t="s">
        <v>274</v>
      </c>
      <c r="E134" s="125" t="s">
        <v>275</v>
      </c>
      <c r="F134" s="85" t="s">
        <v>22</v>
      </c>
      <c r="G134" s="85" t="s">
        <v>12</v>
      </c>
      <c r="H134" s="148" t="s">
        <v>269</v>
      </c>
      <c r="I134" s="142">
        <v>2072.25</v>
      </c>
      <c r="J134" s="144">
        <v>36</v>
      </c>
      <c r="K134" s="144">
        <v>41.333300000000001</v>
      </c>
      <c r="L134" s="86" t="s">
        <v>741</v>
      </c>
      <c r="M134" s="58"/>
      <c r="N134" s="59"/>
      <c r="O134" s="50"/>
      <c r="P134" s="60"/>
      <c r="R134" s="53" t="s">
        <v>764</v>
      </c>
      <c r="S134" s="53" t="s">
        <v>764</v>
      </c>
      <c r="T134" s="53" t="s">
        <v>769</v>
      </c>
      <c r="U134" s="53" t="s">
        <v>773</v>
      </c>
      <c r="V134" s="53" t="s">
        <v>770</v>
      </c>
      <c r="W134" s="53" t="s">
        <v>766</v>
      </c>
      <c r="X134" s="61">
        <f>IFERROR(IF(W134="","",WORKDAY.INTL(B134,_xlfn.XLOOKUP(W134,Regras!$F$2:$F$11,Regras!$G$2:$G$11))),"")</f>
        <v>45938</v>
      </c>
      <c r="Y134" s="150" t="s">
        <v>767</v>
      </c>
      <c r="Z134" s="53" t="s">
        <v>764</v>
      </c>
      <c r="AA134" s="53"/>
    </row>
    <row r="135" spans="2:28" x14ac:dyDescent="0.2">
      <c r="B135" s="89">
        <v>45875</v>
      </c>
      <c r="D135" s="85" t="s">
        <v>267</v>
      </c>
      <c r="E135" s="125" t="s">
        <v>268</v>
      </c>
      <c r="F135" s="85" t="s">
        <v>22</v>
      </c>
      <c r="G135" s="85" t="s">
        <v>18</v>
      </c>
      <c r="H135" s="148" t="s">
        <v>269</v>
      </c>
      <c r="I135" s="142">
        <v>1036.8699999999999</v>
      </c>
      <c r="J135" s="144">
        <v>36</v>
      </c>
      <c r="K135" s="148" t="s">
        <v>933</v>
      </c>
      <c r="L135" s="86" t="s">
        <v>741</v>
      </c>
      <c r="M135" s="58"/>
      <c r="N135" s="59"/>
      <c r="O135" s="50"/>
      <c r="P135" s="60"/>
      <c r="R135" s="53" t="s">
        <v>764</v>
      </c>
      <c r="S135" s="53" t="s">
        <v>764</v>
      </c>
      <c r="T135" s="53" t="s">
        <v>764</v>
      </c>
      <c r="U135" s="53" t="s">
        <v>741</v>
      </c>
      <c r="V135" s="53" t="s">
        <v>768</v>
      </c>
      <c r="W135" s="53" t="s">
        <v>766</v>
      </c>
      <c r="X135" s="61">
        <f>IFERROR(IF(W135="","",WORKDAY.INTL(B135,_xlfn.XLOOKUP(W135,Regras!$F$2:$F$11,Regras!$G$2:$G$11))),"")</f>
        <v>45938</v>
      </c>
      <c r="Y135" s="150" t="s">
        <v>767</v>
      </c>
      <c r="Z135" s="53" t="s">
        <v>764</v>
      </c>
      <c r="AA135" s="53"/>
    </row>
    <row r="136" spans="2:28" x14ac:dyDescent="0.2">
      <c r="B136" s="89">
        <v>45875</v>
      </c>
      <c r="D136" s="100" t="s">
        <v>272</v>
      </c>
      <c r="E136" s="126" t="s">
        <v>273</v>
      </c>
      <c r="F136" s="100" t="s">
        <v>140</v>
      </c>
      <c r="G136" s="100" t="s">
        <v>53</v>
      </c>
      <c r="H136" s="148" t="s">
        <v>269</v>
      </c>
      <c r="I136" s="142">
        <v>1745.52</v>
      </c>
      <c r="J136" s="144">
        <v>36</v>
      </c>
      <c r="K136" s="148" t="s">
        <v>933</v>
      </c>
      <c r="L136" s="86" t="s">
        <v>741</v>
      </c>
      <c r="M136" s="58"/>
      <c r="N136" s="59"/>
      <c r="O136" s="50"/>
      <c r="P136" s="60"/>
      <c r="R136" s="53" t="s">
        <v>764</v>
      </c>
      <c r="S136" s="53" t="s">
        <v>764</v>
      </c>
      <c r="T136" s="53" t="s">
        <v>769</v>
      </c>
      <c r="U136" s="53" t="s">
        <v>741</v>
      </c>
      <c r="V136" s="53" t="s">
        <v>768</v>
      </c>
      <c r="W136" s="53" t="s">
        <v>766</v>
      </c>
      <c r="X136" s="61">
        <f>IFERROR(IF(W136="","",WORKDAY.INTL(B136,_xlfn.XLOOKUP(W136,Regras!$F$2:$F$11,Regras!$G$2:$G$11))),"")</f>
        <v>45938</v>
      </c>
      <c r="Y136" s="150" t="s">
        <v>767</v>
      </c>
      <c r="Z136" s="53" t="s">
        <v>764</v>
      </c>
      <c r="AA136" s="53"/>
    </row>
    <row r="137" spans="2:28" x14ac:dyDescent="0.2">
      <c r="B137" s="89">
        <v>45875</v>
      </c>
      <c r="D137" s="100" t="s">
        <v>270</v>
      </c>
      <c r="E137" s="126" t="s">
        <v>271</v>
      </c>
      <c r="F137" s="100" t="s">
        <v>11</v>
      </c>
      <c r="G137" s="100" t="s">
        <v>12</v>
      </c>
      <c r="H137" s="148" t="s">
        <v>269</v>
      </c>
      <c r="I137" s="142">
        <v>2996.37</v>
      </c>
      <c r="J137" s="144">
        <v>36</v>
      </c>
      <c r="K137" s="148" t="s">
        <v>933</v>
      </c>
      <c r="L137" s="86" t="s">
        <v>741</v>
      </c>
      <c r="M137" s="58"/>
      <c r="N137" s="59"/>
      <c r="O137" s="50"/>
      <c r="P137" s="60"/>
      <c r="R137" s="53" t="s">
        <v>764</v>
      </c>
      <c r="S137" s="53" t="s">
        <v>764</v>
      </c>
      <c r="T137" s="53" t="s">
        <v>764</v>
      </c>
      <c r="U137" s="53" t="s">
        <v>741</v>
      </c>
      <c r="V137" s="53" t="s">
        <v>768</v>
      </c>
      <c r="W137" s="53" t="s">
        <v>766</v>
      </c>
      <c r="X137" s="61">
        <f>IFERROR(IF(W137="","",WORKDAY.INTL(B137,_xlfn.XLOOKUP(W137,Regras!$F$2:$F$11,Regras!$G$2:$G$11))),"")</f>
        <v>45938</v>
      </c>
      <c r="Y137" s="150" t="s">
        <v>767</v>
      </c>
      <c r="Z137" s="53" t="s">
        <v>764</v>
      </c>
      <c r="AA137" s="53"/>
    </row>
    <row r="138" spans="2:28" x14ac:dyDescent="0.2">
      <c r="B138" s="89">
        <v>45875</v>
      </c>
      <c r="D138" s="85" t="s">
        <v>276</v>
      </c>
      <c r="E138" s="125" t="s">
        <v>277</v>
      </c>
      <c r="F138" s="85" t="s">
        <v>26</v>
      </c>
      <c r="G138" s="85" t="s">
        <v>53</v>
      </c>
      <c r="H138" s="148" t="s">
        <v>269</v>
      </c>
      <c r="I138" s="142">
        <v>4108.7299999999996</v>
      </c>
      <c r="J138" s="144">
        <v>36</v>
      </c>
      <c r="K138" s="148" t="s">
        <v>933</v>
      </c>
      <c r="L138" s="86" t="s">
        <v>741</v>
      </c>
      <c r="M138" s="58"/>
      <c r="N138" s="59"/>
      <c r="O138" s="50"/>
      <c r="P138" s="60"/>
      <c r="R138" s="53" t="s">
        <v>764</v>
      </c>
      <c r="S138" s="53" t="s">
        <v>764</v>
      </c>
      <c r="T138" s="53" t="s">
        <v>769</v>
      </c>
      <c r="U138" s="53" t="s">
        <v>741</v>
      </c>
      <c r="V138" s="53" t="s">
        <v>768</v>
      </c>
      <c r="W138" s="53" t="s">
        <v>766</v>
      </c>
      <c r="X138" s="61">
        <f>IFERROR(IF(W138="","",WORKDAY.INTL(B138,_xlfn.XLOOKUP(W138,Regras!$F$2:$F$11,Regras!$G$2:$G$11))),"")</f>
        <v>45938</v>
      </c>
      <c r="Y138" s="150" t="s">
        <v>767</v>
      </c>
      <c r="Z138" s="53" t="s">
        <v>764</v>
      </c>
      <c r="AA138" s="53"/>
    </row>
    <row r="139" spans="2:28" x14ac:dyDescent="0.2">
      <c r="B139" s="89">
        <v>45875</v>
      </c>
      <c r="D139" s="85" t="s">
        <v>282</v>
      </c>
      <c r="E139" s="125" t="s">
        <v>283</v>
      </c>
      <c r="F139" s="85" t="s">
        <v>46</v>
      </c>
      <c r="G139" s="85" t="s">
        <v>12</v>
      </c>
      <c r="H139" s="148" t="s">
        <v>269</v>
      </c>
      <c r="I139" s="142">
        <v>1524.53</v>
      </c>
      <c r="J139" s="144">
        <v>36</v>
      </c>
      <c r="K139" s="148" t="s">
        <v>933</v>
      </c>
      <c r="L139" s="86" t="s">
        <v>741</v>
      </c>
      <c r="M139" s="58"/>
      <c r="N139" s="59"/>
      <c r="O139" s="50"/>
      <c r="P139" s="60"/>
      <c r="R139" s="53" t="s">
        <v>764</v>
      </c>
      <c r="S139" s="53" t="s">
        <v>764</v>
      </c>
      <c r="T139" s="53" t="s">
        <v>769</v>
      </c>
      <c r="U139" s="53" t="s">
        <v>773</v>
      </c>
      <c r="V139" s="53" t="s">
        <v>768</v>
      </c>
      <c r="W139" s="53" t="s">
        <v>766</v>
      </c>
      <c r="X139" s="61">
        <f>IFERROR(IF(W139="","",WORKDAY.INTL(B139,_xlfn.XLOOKUP(W139,Regras!$F$2:$F$11,Regras!$G$2:$G$11))),"")</f>
        <v>45938</v>
      </c>
      <c r="Y139" s="150" t="s">
        <v>767</v>
      </c>
      <c r="Z139" s="53" t="s">
        <v>764</v>
      </c>
      <c r="AA139" s="53"/>
    </row>
    <row r="140" spans="2:28" x14ac:dyDescent="0.2">
      <c r="B140" s="89">
        <v>45875</v>
      </c>
      <c r="D140" s="85" t="s">
        <v>278</v>
      </c>
      <c r="E140" s="125" t="s">
        <v>279</v>
      </c>
      <c r="F140" s="85" t="s">
        <v>140</v>
      </c>
      <c r="G140" s="85" t="s">
        <v>53</v>
      </c>
      <c r="H140" s="148" t="s">
        <v>269</v>
      </c>
      <c r="I140" s="142">
        <v>658.55</v>
      </c>
      <c r="J140" s="144">
        <v>36</v>
      </c>
      <c r="K140" s="148" t="s">
        <v>933</v>
      </c>
      <c r="L140" s="86" t="s">
        <v>741</v>
      </c>
      <c r="M140" s="58"/>
      <c r="N140" s="59"/>
      <c r="O140" s="50"/>
      <c r="P140" s="60"/>
      <c r="R140" s="53" t="s">
        <v>764</v>
      </c>
      <c r="S140" s="53" t="s">
        <v>764</v>
      </c>
      <c r="T140" s="53" t="s">
        <v>764</v>
      </c>
      <c r="U140" s="53" t="s">
        <v>741</v>
      </c>
      <c r="V140" s="53" t="s">
        <v>813</v>
      </c>
      <c r="W140" s="53" t="s">
        <v>777</v>
      </c>
      <c r="X140" s="61"/>
      <c r="Y140" s="150" t="s">
        <v>778</v>
      </c>
      <c r="Z140" s="53" t="s">
        <v>764</v>
      </c>
      <c r="AA140" s="53"/>
      <c r="AB140" s="155" t="s">
        <v>779</v>
      </c>
    </row>
    <row r="141" spans="2:28" x14ac:dyDescent="0.2">
      <c r="B141" s="89">
        <v>45874</v>
      </c>
      <c r="D141" s="85" t="s">
        <v>284</v>
      </c>
      <c r="E141" s="125" t="s">
        <v>285</v>
      </c>
      <c r="F141" s="85" t="s">
        <v>22</v>
      </c>
      <c r="G141" s="85" t="s">
        <v>12</v>
      </c>
      <c r="H141" s="148" t="s">
        <v>286</v>
      </c>
      <c r="I141" s="142">
        <v>767.84</v>
      </c>
      <c r="J141" s="144">
        <v>37</v>
      </c>
      <c r="K141" s="144">
        <v>42.5</v>
      </c>
      <c r="L141" s="86" t="s">
        <v>741</v>
      </c>
      <c r="M141" s="58"/>
      <c r="N141" s="59"/>
      <c r="O141" s="50"/>
      <c r="P141" s="60"/>
      <c r="R141" s="53" t="s">
        <v>764</v>
      </c>
      <c r="S141" s="53" t="s">
        <v>764</v>
      </c>
      <c r="T141" s="53" t="s">
        <v>769</v>
      </c>
      <c r="U141" s="53" t="s">
        <v>773</v>
      </c>
      <c r="V141" s="53" t="s">
        <v>770</v>
      </c>
      <c r="W141" s="53" t="s">
        <v>766</v>
      </c>
      <c r="X141" s="61">
        <f>IFERROR(IF(W141="","",WORKDAY.INTL(B141,_xlfn.XLOOKUP(W141,Regras!$F$2:$F$11,Regras!$G$2:$G$11))),"")</f>
        <v>45937</v>
      </c>
      <c r="Y141" s="150" t="s">
        <v>767</v>
      </c>
      <c r="Z141" s="53" t="s">
        <v>764</v>
      </c>
      <c r="AA141" s="53"/>
    </row>
    <row r="142" spans="2:28" ht="15" customHeight="1" x14ac:dyDescent="0.2">
      <c r="B142" s="89">
        <v>45874</v>
      </c>
      <c r="D142" s="85" t="s">
        <v>287</v>
      </c>
      <c r="E142" s="125" t="s">
        <v>288</v>
      </c>
      <c r="F142" s="85" t="s">
        <v>17</v>
      </c>
      <c r="G142" s="85" t="s">
        <v>12</v>
      </c>
      <c r="H142" s="148" t="s">
        <v>286</v>
      </c>
      <c r="I142" s="142">
        <v>1547.8</v>
      </c>
      <c r="J142" s="144">
        <v>37</v>
      </c>
      <c r="K142" s="144">
        <v>65.5</v>
      </c>
      <c r="L142" s="86" t="s">
        <v>741</v>
      </c>
      <c r="M142" s="58"/>
      <c r="N142" s="59"/>
      <c r="O142" s="50"/>
      <c r="P142" s="60"/>
      <c r="R142" s="53" t="s">
        <v>764</v>
      </c>
      <c r="S142" s="53" t="s">
        <v>764</v>
      </c>
      <c r="T142" s="53" t="s">
        <v>764</v>
      </c>
      <c r="U142" s="53" t="s">
        <v>741</v>
      </c>
      <c r="V142" s="53" t="s">
        <v>770</v>
      </c>
      <c r="W142" s="53" t="s">
        <v>766</v>
      </c>
      <c r="X142" s="61">
        <f>IFERROR(IF(W142="","",WORKDAY.INTL(B142,_xlfn.XLOOKUP(W142,Regras!$F$2:$F$11,Regras!$G$2:$G$11))),"")</f>
        <v>45937</v>
      </c>
      <c r="Y142" s="150" t="s">
        <v>767</v>
      </c>
      <c r="Z142" s="53" t="s">
        <v>764</v>
      </c>
      <c r="AA142" s="53"/>
    </row>
    <row r="143" spans="2:28" x14ac:dyDescent="0.2">
      <c r="B143" s="89">
        <v>45874</v>
      </c>
      <c r="D143" s="85" t="s">
        <v>291</v>
      </c>
      <c r="E143" s="125" t="s">
        <v>292</v>
      </c>
      <c r="F143" s="85" t="s">
        <v>46</v>
      </c>
      <c r="G143" s="85" t="s">
        <v>12</v>
      </c>
      <c r="H143" s="148" t="s">
        <v>286</v>
      </c>
      <c r="I143" s="142">
        <v>1263.69</v>
      </c>
      <c r="J143" s="144">
        <v>37</v>
      </c>
      <c r="K143" s="144"/>
      <c r="L143" s="86" t="s">
        <v>741</v>
      </c>
      <c r="M143" s="58"/>
      <c r="N143" s="59"/>
      <c r="O143" s="50"/>
      <c r="P143" s="60"/>
      <c r="R143" s="53" t="s">
        <v>764</v>
      </c>
      <c r="S143" s="53" t="s">
        <v>764</v>
      </c>
      <c r="T143" s="53" t="s">
        <v>764</v>
      </c>
      <c r="U143" s="53" t="s">
        <v>741</v>
      </c>
      <c r="V143" s="53" t="s">
        <v>768</v>
      </c>
      <c r="W143" s="53" t="s">
        <v>766</v>
      </c>
      <c r="X143" s="61">
        <f>IFERROR(IF(W143="","",WORKDAY.INTL(B143,_xlfn.XLOOKUP(W143,Regras!$F$2:$F$11,Regras!$G$2:$G$11))),"")</f>
        <v>45937</v>
      </c>
      <c r="Y143" s="150" t="s">
        <v>767</v>
      </c>
      <c r="Z143" s="53" t="s">
        <v>764</v>
      </c>
      <c r="AA143" s="53"/>
    </row>
    <row r="144" spans="2:28" x14ac:dyDescent="0.2">
      <c r="B144" s="89">
        <v>45874</v>
      </c>
      <c r="D144" s="85" t="s">
        <v>289</v>
      </c>
      <c r="E144" s="125" t="s">
        <v>290</v>
      </c>
      <c r="F144" s="85" t="s">
        <v>46</v>
      </c>
      <c r="G144" s="85" t="s">
        <v>12</v>
      </c>
      <c r="H144" s="148" t="s">
        <v>286</v>
      </c>
      <c r="I144" s="142">
        <v>667.16</v>
      </c>
      <c r="J144" s="144">
        <v>37</v>
      </c>
      <c r="K144" s="144">
        <v>18</v>
      </c>
      <c r="L144" s="86" t="s">
        <v>741</v>
      </c>
      <c r="M144" s="58"/>
      <c r="N144" s="59"/>
      <c r="O144" s="50"/>
      <c r="P144" s="60"/>
      <c r="R144" s="53" t="s">
        <v>764</v>
      </c>
      <c r="S144" s="53" t="s">
        <v>764</v>
      </c>
      <c r="T144" s="53" t="s">
        <v>764</v>
      </c>
      <c r="U144" s="53" t="s">
        <v>741</v>
      </c>
      <c r="V144" s="53" t="s">
        <v>770</v>
      </c>
      <c r="W144" s="53" t="s">
        <v>766</v>
      </c>
      <c r="X144" s="61">
        <f>IFERROR(IF(W144="","",WORKDAY.INTL(B144,_xlfn.XLOOKUP(W144,Regras!$F$2:$F$11,Regras!$G$2:$G$11))),"")</f>
        <v>45937</v>
      </c>
      <c r="Y144" s="150" t="s">
        <v>767</v>
      </c>
      <c r="Z144" s="53" t="s">
        <v>764</v>
      </c>
      <c r="AA144" s="53"/>
    </row>
    <row r="145" spans="2:28" x14ac:dyDescent="0.2">
      <c r="B145" s="89">
        <v>45926</v>
      </c>
      <c r="D145" s="85" t="s">
        <v>284</v>
      </c>
      <c r="E145" s="125" t="s">
        <v>285</v>
      </c>
      <c r="F145" s="85" t="s">
        <v>22</v>
      </c>
      <c r="G145" s="85" t="s">
        <v>12</v>
      </c>
      <c r="H145" s="148" t="s">
        <v>286</v>
      </c>
      <c r="I145" s="142">
        <v>767.84</v>
      </c>
      <c r="J145" s="144">
        <v>37</v>
      </c>
      <c r="K145" s="144">
        <v>42.5</v>
      </c>
      <c r="L145" s="86" t="s">
        <v>741</v>
      </c>
      <c r="M145" s="58"/>
      <c r="N145" s="59"/>
      <c r="O145" s="50"/>
      <c r="P145" s="60"/>
      <c r="R145" s="53" t="s">
        <v>764</v>
      </c>
      <c r="S145" s="53" t="s">
        <v>769</v>
      </c>
      <c r="T145" s="53" t="s">
        <v>769</v>
      </c>
      <c r="U145" s="53" t="s">
        <v>741</v>
      </c>
      <c r="V145" s="53" t="s">
        <v>770</v>
      </c>
      <c r="W145" s="53" t="s">
        <v>780</v>
      </c>
      <c r="X145" s="61">
        <f>IFERROR(IF(W145="","",WORKDAY.INTL(B145,_xlfn.XLOOKUP(W145,Regras!$F$2:$F$11,Regras!$G$2:$G$11))),"")</f>
        <v>45930</v>
      </c>
      <c r="Y145" s="150" t="s">
        <v>1058</v>
      </c>
      <c r="Z145" s="53" t="s">
        <v>764</v>
      </c>
      <c r="AA145" s="53"/>
      <c r="AB145" s="156" t="s">
        <v>1058</v>
      </c>
    </row>
    <row r="146" spans="2:28" x14ac:dyDescent="0.2">
      <c r="B146" s="89">
        <v>45926</v>
      </c>
      <c r="D146" s="85" t="s">
        <v>287</v>
      </c>
      <c r="E146" s="125" t="s">
        <v>288</v>
      </c>
      <c r="F146" s="85" t="s">
        <v>17</v>
      </c>
      <c r="G146" s="85" t="s">
        <v>12</v>
      </c>
      <c r="H146" s="148" t="s">
        <v>286</v>
      </c>
      <c r="I146" s="142">
        <v>1547.8</v>
      </c>
      <c r="J146" s="144">
        <v>37</v>
      </c>
      <c r="K146" s="144">
        <v>65.5</v>
      </c>
      <c r="L146" s="86" t="s">
        <v>741</v>
      </c>
      <c r="M146" s="58"/>
      <c r="N146" s="59"/>
      <c r="O146" s="50"/>
      <c r="P146" s="60"/>
      <c r="R146" s="53" t="s">
        <v>764</v>
      </c>
      <c r="S146" s="53" t="s">
        <v>764</v>
      </c>
      <c r="T146" s="53" t="s">
        <v>769</v>
      </c>
      <c r="U146" s="53" t="s">
        <v>741</v>
      </c>
      <c r="V146" s="53" t="s">
        <v>770</v>
      </c>
      <c r="W146" s="53" t="s">
        <v>780</v>
      </c>
      <c r="X146" s="61">
        <f>IFERROR(IF(W146="","",WORKDAY.INTL(B146,_xlfn.XLOOKUP(W146,Regras!$F$2:$F$11,Regras!$G$2:$G$11))),"")</f>
        <v>45930</v>
      </c>
      <c r="Y146" s="150" t="s">
        <v>1060</v>
      </c>
      <c r="Z146" s="53" t="s">
        <v>764</v>
      </c>
      <c r="AA146" s="53"/>
      <c r="AB146" s="155" t="s">
        <v>1061</v>
      </c>
    </row>
    <row r="147" spans="2:28" x14ac:dyDescent="0.2">
      <c r="B147" s="89">
        <v>45926</v>
      </c>
      <c r="D147" s="85" t="s">
        <v>289</v>
      </c>
      <c r="E147" s="125" t="s">
        <v>290</v>
      </c>
      <c r="F147" s="85" t="s">
        <v>46</v>
      </c>
      <c r="G147" s="85" t="s">
        <v>12</v>
      </c>
      <c r="H147" s="148" t="s">
        <v>286</v>
      </c>
      <c r="I147" s="142">
        <v>667.16</v>
      </c>
      <c r="J147" s="144">
        <v>37</v>
      </c>
      <c r="K147" s="144">
        <v>18</v>
      </c>
      <c r="L147" s="86" t="s">
        <v>741</v>
      </c>
      <c r="M147" s="58"/>
      <c r="N147" s="59"/>
      <c r="O147" s="50"/>
      <c r="P147" s="60"/>
      <c r="R147" s="53" t="s">
        <v>764</v>
      </c>
      <c r="S147" s="53" t="s">
        <v>764</v>
      </c>
      <c r="T147" s="53" t="s">
        <v>764</v>
      </c>
      <c r="U147" s="53" t="s">
        <v>741</v>
      </c>
      <c r="V147" s="53" t="s">
        <v>770</v>
      </c>
      <c r="W147" s="53" t="s">
        <v>780</v>
      </c>
      <c r="X147" s="61">
        <f>IFERROR(IF(W147="","",WORKDAY.INTL(B147,_xlfn.XLOOKUP(W147,Regras!$F$2:$F$11,Regras!$G$2:$G$11))),"")</f>
        <v>45930</v>
      </c>
      <c r="Y147" s="150" t="s">
        <v>1062</v>
      </c>
      <c r="Z147" s="53" t="s">
        <v>764</v>
      </c>
      <c r="AA147" s="53"/>
      <c r="AB147" s="156" t="s">
        <v>1062</v>
      </c>
    </row>
    <row r="148" spans="2:28" x14ac:dyDescent="0.2">
      <c r="B148" s="89">
        <v>45930</v>
      </c>
      <c r="D148" s="85" t="s">
        <v>284</v>
      </c>
      <c r="E148" s="125" t="s">
        <v>285</v>
      </c>
      <c r="F148" s="85" t="s">
        <v>22</v>
      </c>
      <c r="G148" s="85" t="s">
        <v>12</v>
      </c>
      <c r="H148" s="148" t="s">
        <v>286</v>
      </c>
      <c r="I148" s="142">
        <v>767.84</v>
      </c>
      <c r="J148" s="144">
        <v>37</v>
      </c>
      <c r="K148" s="144">
        <v>42.5</v>
      </c>
      <c r="L148" s="86" t="s">
        <v>741</v>
      </c>
      <c r="M148" s="58"/>
      <c r="N148" s="59"/>
      <c r="O148" s="50"/>
      <c r="P148" s="60"/>
      <c r="R148" s="53" t="s">
        <v>764</v>
      </c>
      <c r="S148" s="53" t="s">
        <v>764</v>
      </c>
      <c r="T148" s="53" t="s">
        <v>764</v>
      </c>
      <c r="U148" s="53" t="s">
        <v>741</v>
      </c>
      <c r="V148" s="53" t="s">
        <v>770</v>
      </c>
      <c r="W148" s="53" t="s">
        <v>780</v>
      </c>
      <c r="X148" s="61">
        <f>IFERROR(IF(W148="","",WORKDAY.INTL(B148,_xlfn.XLOOKUP(W148,Regras!$F$2:$F$11,Regras!$G$2:$G$11))),"")</f>
        <v>45932</v>
      </c>
      <c r="Y148" s="150" t="s">
        <v>1046</v>
      </c>
      <c r="Z148" s="53" t="s">
        <v>764</v>
      </c>
      <c r="AA148" s="53"/>
      <c r="AB148" s="155" t="s">
        <v>1091</v>
      </c>
    </row>
    <row r="149" spans="2:28" x14ac:dyDescent="0.2">
      <c r="B149" s="89">
        <v>45930</v>
      </c>
      <c r="D149" s="85" t="s">
        <v>287</v>
      </c>
      <c r="E149" s="125" t="s">
        <v>288</v>
      </c>
      <c r="F149" s="85" t="s">
        <v>17</v>
      </c>
      <c r="G149" s="85" t="s">
        <v>12</v>
      </c>
      <c r="H149" s="148" t="s">
        <v>286</v>
      </c>
      <c r="I149" s="142">
        <v>1547.8</v>
      </c>
      <c r="J149" s="144">
        <v>37</v>
      </c>
      <c r="K149" s="144">
        <v>65.5</v>
      </c>
      <c r="L149" s="86" t="s">
        <v>741</v>
      </c>
      <c r="M149" s="58"/>
      <c r="N149" s="59"/>
      <c r="O149" s="50"/>
      <c r="P149" s="60"/>
      <c r="R149" s="53" t="s">
        <v>764</v>
      </c>
      <c r="S149" s="53" t="s">
        <v>764</v>
      </c>
      <c r="T149" s="53" t="s">
        <v>764</v>
      </c>
      <c r="U149" s="53" t="s">
        <v>741</v>
      </c>
      <c r="V149" s="53" t="s">
        <v>770</v>
      </c>
      <c r="W149" s="53" t="s">
        <v>796</v>
      </c>
      <c r="X149" s="61" t="str">
        <f>IFERROR(IF(W149="","",WORKDAY.INTL(B149,_xlfn.XLOOKUP(W149,Regras!$F$2:$F$11,Regras!$G$2:$G$11))),"")</f>
        <v/>
      </c>
      <c r="Y149" s="150" t="s">
        <v>1092</v>
      </c>
      <c r="Z149" s="53" t="s">
        <v>764</v>
      </c>
      <c r="AA149" s="53"/>
      <c r="AB149" s="156" t="s">
        <v>1092</v>
      </c>
    </row>
    <row r="150" spans="2:28" x14ac:dyDescent="0.2">
      <c r="B150" s="89">
        <v>45932</v>
      </c>
      <c r="D150" s="85" t="s">
        <v>289</v>
      </c>
      <c r="E150" s="125" t="s">
        <v>290</v>
      </c>
      <c r="F150" s="85" t="s">
        <v>46</v>
      </c>
      <c r="G150" s="85" t="s">
        <v>12</v>
      </c>
      <c r="H150" s="148" t="s">
        <v>286</v>
      </c>
      <c r="I150" s="142">
        <v>667.16</v>
      </c>
      <c r="J150" s="144">
        <v>37</v>
      </c>
      <c r="K150" s="144">
        <v>18</v>
      </c>
      <c r="L150" s="86" t="s">
        <v>741</v>
      </c>
      <c r="M150" s="58"/>
      <c r="N150" s="59"/>
      <c r="O150" s="50"/>
      <c r="P150" s="60"/>
      <c r="R150" s="53" t="s">
        <v>764</v>
      </c>
      <c r="S150" s="53" t="s">
        <v>769</v>
      </c>
      <c r="T150" s="53" t="s">
        <v>769</v>
      </c>
      <c r="U150" s="53" t="s">
        <v>741</v>
      </c>
      <c r="V150" s="53" t="s">
        <v>770</v>
      </c>
      <c r="W150" s="53" t="s">
        <v>1053</v>
      </c>
      <c r="X150" s="61">
        <f>IFERROR(IF(W150="","",WORKDAY.INTL(B150,_xlfn.XLOOKUP(W150,Regras!$F$2:$F$11,Regras!$G$2:$G$11))),"")</f>
        <v>45943</v>
      </c>
      <c r="Y150" s="150" t="s">
        <v>1114</v>
      </c>
      <c r="Z150" s="53" t="s">
        <v>764</v>
      </c>
      <c r="AA150" s="53"/>
      <c r="AB150" s="156" t="s">
        <v>1114</v>
      </c>
    </row>
    <row r="151" spans="2:28" x14ac:dyDescent="0.2">
      <c r="B151" s="89">
        <v>45873</v>
      </c>
      <c r="D151" s="85" t="s">
        <v>293</v>
      </c>
      <c r="E151" s="125" t="s">
        <v>294</v>
      </c>
      <c r="F151" s="85" t="s">
        <v>11</v>
      </c>
      <c r="G151" s="85" t="s">
        <v>53</v>
      </c>
      <c r="H151" s="148" t="s">
        <v>295</v>
      </c>
      <c r="I151" s="142">
        <v>725.05</v>
      </c>
      <c r="J151" s="144">
        <v>38</v>
      </c>
      <c r="K151" s="144">
        <v>67</v>
      </c>
      <c r="L151" s="86" t="s">
        <v>741</v>
      </c>
      <c r="M151" s="58"/>
      <c r="N151" s="59"/>
      <c r="O151" s="50"/>
      <c r="P151" s="60"/>
      <c r="R151" s="53" t="s">
        <v>764</v>
      </c>
      <c r="S151" s="53" t="s">
        <v>764</v>
      </c>
      <c r="T151" s="53" t="s">
        <v>769</v>
      </c>
      <c r="U151" s="53" t="s">
        <v>741</v>
      </c>
      <c r="V151" s="53" t="s">
        <v>770</v>
      </c>
      <c r="W151" s="53" t="s">
        <v>766</v>
      </c>
      <c r="X151" s="61">
        <f>IFERROR(IF(W151="","",WORKDAY.INTL(B151,_xlfn.XLOOKUP(W151,Regras!$F$2:$F$11,Regras!$G$2:$G$11))),"")</f>
        <v>45936</v>
      </c>
      <c r="Y151" s="150" t="s">
        <v>767</v>
      </c>
      <c r="Z151" s="53" t="s">
        <v>764</v>
      </c>
      <c r="AA151" s="53"/>
    </row>
    <row r="152" spans="2:28" x14ac:dyDescent="0.2">
      <c r="B152" s="89">
        <v>45869</v>
      </c>
      <c r="D152" s="85" t="s">
        <v>302</v>
      </c>
      <c r="E152" s="125" t="s">
        <v>303</v>
      </c>
      <c r="F152" s="85" t="s">
        <v>140</v>
      </c>
      <c r="G152" s="85" t="s">
        <v>53</v>
      </c>
      <c r="H152" s="148" t="s">
        <v>298</v>
      </c>
      <c r="I152" s="142">
        <v>747.14</v>
      </c>
      <c r="J152" s="144">
        <v>42</v>
      </c>
      <c r="K152" s="148" t="s">
        <v>933</v>
      </c>
      <c r="L152" s="86" t="s">
        <v>741</v>
      </c>
      <c r="M152" s="58"/>
      <c r="N152" s="59"/>
      <c r="O152" s="50"/>
      <c r="P152" s="60"/>
      <c r="R152" s="53" t="s">
        <v>764</v>
      </c>
      <c r="S152" s="53" t="s">
        <v>769</v>
      </c>
      <c r="T152" s="53" t="s">
        <v>769</v>
      </c>
      <c r="U152" s="53" t="s">
        <v>741</v>
      </c>
      <c r="V152" s="53" t="s">
        <v>768</v>
      </c>
      <c r="W152" s="53" t="s">
        <v>766</v>
      </c>
      <c r="X152" s="61">
        <f>IFERROR(IF(W152="","",WORKDAY.INTL(B152,_xlfn.XLOOKUP(W152,Regras!$F$2:$F$11,Regras!$G$2:$G$11))),"")</f>
        <v>45932</v>
      </c>
      <c r="Y152" s="150" t="s">
        <v>771</v>
      </c>
      <c r="Z152" s="53" t="s">
        <v>764</v>
      </c>
      <c r="AA152" s="53"/>
      <c r="AB152" s="155" t="s">
        <v>782</v>
      </c>
    </row>
    <row r="153" spans="2:28" x14ac:dyDescent="0.2">
      <c r="B153" s="89">
        <v>45869</v>
      </c>
      <c r="D153" s="85" t="s">
        <v>302</v>
      </c>
      <c r="E153" s="125" t="s">
        <v>303</v>
      </c>
      <c r="F153" s="85" t="s">
        <v>140</v>
      </c>
      <c r="G153" s="85" t="s">
        <v>53</v>
      </c>
      <c r="H153" s="148" t="s">
        <v>298</v>
      </c>
      <c r="I153" s="142">
        <v>747.14</v>
      </c>
      <c r="J153" s="144">
        <v>42</v>
      </c>
      <c r="K153" s="148" t="s">
        <v>933</v>
      </c>
      <c r="L153" s="86" t="s">
        <v>741</v>
      </c>
      <c r="M153" s="58"/>
      <c r="N153" s="59"/>
      <c r="O153" s="50"/>
      <c r="P153" s="60"/>
      <c r="R153" s="53" t="s">
        <v>764</v>
      </c>
      <c r="S153" s="53" t="s">
        <v>769</v>
      </c>
      <c r="T153" s="53" t="s">
        <v>769</v>
      </c>
      <c r="U153" s="53" t="s">
        <v>773</v>
      </c>
      <c r="V153" s="53" t="s">
        <v>813</v>
      </c>
      <c r="W153" s="53" t="s">
        <v>777</v>
      </c>
      <c r="X153" s="61"/>
      <c r="Y153" s="150" t="s">
        <v>814</v>
      </c>
      <c r="Z153" s="53" t="s">
        <v>764</v>
      </c>
      <c r="AA153" s="53"/>
      <c r="AB153" s="156" t="s">
        <v>814</v>
      </c>
    </row>
    <row r="154" spans="2:28" x14ac:dyDescent="0.2">
      <c r="B154" s="89">
        <v>45926</v>
      </c>
      <c r="D154" s="85" t="s">
        <v>300</v>
      </c>
      <c r="E154" s="125" t="s">
        <v>301</v>
      </c>
      <c r="F154" s="85" t="s">
        <v>22</v>
      </c>
      <c r="G154" s="85" t="s">
        <v>12</v>
      </c>
      <c r="H154" s="148" t="s">
        <v>298</v>
      </c>
      <c r="I154" s="142">
        <v>944.22</v>
      </c>
      <c r="J154" s="144">
        <v>42</v>
      </c>
      <c r="K154" s="144">
        <v>35.333300000000001</v>
      </c>
      <c r="L154" s="86" t="s">
        <v>741</v>
      </c>
      <c r="M154" s="58"/>
      <c r="N154" s="59"/>
      <c r="O154" s="50"/>
      <c r="P154" s="60"/>
      <c r="R154" s="53" t="s">
        <v>764</v>
      </c>
      <c r="S154" s="53" t="s">
        <v>769</v>
      </c>
      <c r="T154" s="53" t="s">
        <v>769</v>
      </c>
      <c r="U154" s="53" t="s">
        <v>741</v>
      </c>
      <c r="V154" s="53" t="s">
        <v>770</v>
      </c>
      <c r="W154" s="53" t="s">
        <v>780</v>
      </c>
      <c r="X154" s="61">
        <f>IFERROR(IF(W154="","",WORKDAY.INTL(B154,_xlfn.XLOOKUP(W154,Regras!$F$2:$F$11,Regras!$G$2:$G$11))),"")</f>
        <v>45930</v>
      </c>
      <c r="Y154" s="150" t="s">
        <v>1063</v>
      </c>
      <c r="Z154" s="53" t="s">
        <v>764</v>
      </c>
      <c r="AA154" s="53"/>
      <c r="AB154" s="156" t="s">
        <v>1063</v>
      </c>
    </row>
    <row r="155" spans="2:28" x14ac:dyDescent="0.2">
      <c r="B155" s="89">
        <v>45932</v>
      </c>
      <c r="D155" s="85" t="s">
        <v>300</v>
      </c>
      <c r="E155" s="125" t="s">
        <v>301</v>
      </c>
      <c r="F155" s="85" t="s">
        <v>22</v>
      </c>
      <c r="G155" s="85" t="s">
        <v>12</v>
      </c>
      <c r="H155" s="148" t="s">
        <v>298</v>
      </c>
      <c r="I155" s="142">
        <v>944.22</v>
      </c>
      <c r="J155" s="144">
        <v>42</v>
      </c>
      <c r="K155" s="144">
        <v>35.333300000000001</v>
      </c>
      <c r="L155" s="86" t="s">
        <v>741</v>
      </c>
      <c r="M155" s="58"/>
      <c r="N155" s="59"/>
      <c r="O155" s="50"/>
      <c r="P155" s="60"/>
      <c r="R155" s="53" t="s">
        <v>764</v>
      </c>
      <c r="S155" s="53" t="s">
        <v>769</v>
      </c>
      <c r="T155" s="53" t="s">
        <v>769</v>
      </c>
      <c r="U155" s="53" t="s">
        <v>741</v>
      </c>
      <c r="V155" s="53" t="s">
        <v>770</v>
      </c>
      <c r="W155" s="53" t="s">
        <v>1053</v>
      </c>
      <c r="X155" s="61">
        <f>IFERROR(IF(W155="","",WORKDAY.INTL(B155,_xlfn.XLOOKUP(W155,Regras!$F$2:$F$11,Regras!$G$2:$G$11))),"")</f>
        <v>45943</v>
      </c>
      <c r="Y155" s="150" t="s">
        <v>1115</v>
      </c>
      <c r="Z155" s="53" t="s">
        <v>764</v>
      </c>
      <c r="AA155" s="53"/>
      <c r="AB155" s="156" t="s">
        <v>1115</v>
      </c>
    </row>
    <row r="156" spans="2:28" x14ac:dyDescent="0.2">
      <c r="B156" s="89"/>
      <c r="D156" s="85" t="s">
        <v>309</v>
      </c>
      <c r="E156" s="125" t="s">
        <v>310</v>
      </c>
      <c r="F156" s="85" t="s">
        <v>46</v>
      </c>
      <c r="G156" s="85" t="s">
        <v>12</v>
      </c>
      <c r="H156" s="148" t="s">
        <v>308</v>
      </c>
      <c r="I156" s="142">
        <v>671.86</v>
      </c>
      <c r="J156" s="144">
        <v>43</v>
      </c>
      <c r="K156" s="148" t="s">
        <v>933</v>
      </c>
      <c r="L156" s="86" t="s">
        <v>741</v>
      </c>
      <c r="M156" s="58"/>
      <c r="N156" s="59"/>
      <c r="O156" s="50"/>
      <c r="P156" s="60"/>
      <c r="R156" s="53"/>
      <c r="S156" s="53"/>
      <c r="T156" s="53"/>
      <c r="U156" s="53"/>
      <c r="V156" s="53"/>
      <c r="W156" s="53"/>
      <c r="X156" s="61" t="str">
        <f>IFERROR(IF(W156="","",WORKDAY.INTL(B156,_xlfn.XLOOKUP(W156,Regras!$F$2:$F$11,Regras!$G$2:$G$11))),"")</f>
        <v/>
      </c>
      <c r="Y156" s="150"/>
      <c r="Z156" s="53"/>
      <c r="AA156" s="53"/>
    </row>
    <row r="157" spans="2:28" x14ac:dyDescent="0.2">
      <c r="B157" s="89">
        <v>45929</v>
      </c>
      <c r="D157" s="85" t="s">
        <v>318</v>
      </c>
      <c r="E157" s="125" t="s">
        <v>319</v>
      </c>
      <c r="F157" s="85" t="s">
        <v>22</v>
      </c>
      <c r="G157" s="85" t="s">
        <v>12</v>
      </c>
      <c r="H157" s="148" t="s">
        <v>315</v>
      </c>
      <c r="I157" s="142">
        <v>2490.0100000000002</v>
      </c>
      <c r="J157" s="144">
        <v>44</v>
      </c>
      <c r="K157" s="144">
        <v>39</v>
      </c>
      <c r="L157" s="86" t="s">
        <v>741</v>
      </c>
      <c r="M157" s="58"/>
      <c r="N157" s="59"/>
      <c r="O157" s="50"/>
      <c r="P157" s="60"/>
      <c r="R157" s="53" t="s">
        <v>764</v>
      </c>
      <c r="S157" s="53" t="s">
        <v>764</v>
      </c>
      <c r="T157" s="53" t="s">
        <v>764</v>
      </c>
      <c r="U157" s="53" t="s">
        <v>741</v>
      </c>
      <c r="V157" s="53" t="s">
        <v>770</v>
      </c>
      <c r="W157" s="53" t="s">
        <v>1053</v>
      </c>
      <c r="X157" s="61">
        <f>IFERROR(IF(W157="","",WORKDAY.INTL(B157,_xlfn.XLOOKUP(W157,Regras!$F$2:$F$11,Regras!$G$2:$G$11))),"")</f>
        <v>45938</v>
      </c>
      <c r="Y157" s="150" t="s">
        <v>1073</v>
      </c>
      <c r="Z157" s="53" t="s">
        <v>764</v>
      </c>
      <c r="AA157" s="53"/>
      <c r="AB157" s="156" t="s">
        <v>1073</v>
      </c>
    </row>
    <row r="158" spans="2:28" x14ac:dyDescent="0.2">
      <c r="B158" s="89">
        <v>45929</v>
      </c>
      <c r="D158" s="100" t="s">
        <v>329</v>
      </c>
      <c r="E158" s="126" t="s">
        <v>330</v>
      </c>
      <c r="F158" s="100" t="s">
        <v>22</v>
      </c>
      <c r="G158" s="100" t="s">
        <v>12</v>
      </c>
      <c r="H158" s="148" t="s">
        <v>315</v>
      </c>
      <c r="I158" s="142">
        <v>770.86</v>
      </c>
      <c r="J158" s="144">
        <v>44</v>
      </c>
      <c r="K158" s="148" t="s">
        <v>933</v>
      </c>
      <c r="L158" s="86" t="s">
        <v>741</v>
      </c>
      <c r="M158" s="58"/>
      <c r="N158" s="59"/>
      <c r="O158" s="50"/>
      <c r="P158" s="60"/>
      <c r="R158" s="53" t="s">
        <v>764</v>
      </c>
      <c r="S158" s="53" t="s">
        <v>764</v>
      </c>
      <c r="T158" s="53" t="s">
        <v>764</v>
      </c>
      <c r="U158" s="53" t="s">
        <v>741</v>
      </c>
      <c r="V158" s="53" t="s">
        <v>770</v>
      </c>
      <c r="W158" s="53" t="s">
        <v>780</v>
      </c>
      <c r="X158" s="61">
        <f>IFERROR(IF(W158="","",WORKDAY.INTL(B158,_xlfn.XLOOKUP(W158,Regras!$F$2:$F$11,Regras!$G$2:$G$11))),"")</f>
        <v>45931</v>
      </c>
      <c r="Y158" s="150" t="s">
        <v>1074</v>
      </c>
      <c r="Z158" s="53" t="s">
        <v>764</v>
      </c>
      <c r="AA158" s="53"/>
      <c r="AB158" s="156" t="s">
        <v>1074</v>
      </c>
    </row>
    <row r="159" spans="2:28" x14ac:dyDescent="0.2">
      <c r="B159" s="89">
        <v>45933</v>
      </c>
      <c r="D159" s="85" t="s">
        <v>329</v>
      </c>
      <c r="E159" s="125" t="s">
        <v>330</v>
      </c>
      <c r="F159" s="85" t="s">
        <v>22</v>
      </c>
      <c r="G159" s="85" t="s">
        <v>12</v>
      </c>
      <c r="H159" s="148" t="s">
        <v>315</v>
      </c>
      <c r="I159" s="142">
        <v>770.86</v>
      </c>
      <c r="J159" s="144">
        <v>44</v>
      </c>
      <c r="K159" s="148" t="s">
        <v>933</v>
      </c>
      <c r="L159" s="86" t="s">
        <v>741</v>
      </c>
      <c r="M159" s="58"/>
      <c r="N159" s="59"/>
      <c r="O159" s="50"/>
      <c r="P159" s="60"/>
      <c r="R159" s="53" t="s">
        <v>769</v>
      </c>
      <c r="S159" s="53" t="s">
        <v>769</v>
      </c>
      <c r="T159" s="53" t="s">
        <v>769</v>
      </c>
      <c r="U159" s="53" t="s">
        <v>741</v>
      </c>
      <c r="V159" s="53" t="s">
        <v>813</v>
      </c>
      <c r="W159" s="53" t="s">
        <v>777</v>
      </c>
      <c r="X159" s="61" t="str">
        <f>IFERROR(IF(W159="","",WORKDAY.INTL(B159,_xlfn.XLOOKUP(W159,Regras!$F$2:$F$11,Regras!$G$2:$G$11))),"")</f>
        <v/>
      </c>
      <c r="Y159" s="150" t="s">
        <v>1133</v>
      </c>
      <c r="Z159" s="53" t="s">
        <v>764</v>
      </c>
      <c r="AA159" s="53"/>
      <c r="AB159" s="156" t="s">
        <v>1133</v>
      </c>
    </row>
    <row r="160" spans="2:28" x14ac:dyDescent="0.2">
      <c r="B160" s="89">
        <v>45929</v>
      </c>
      <c r="D160" s="85" t="s">
        <v>331</v>
      </c>
      <c r="E160" s="125" t="s">
        <v>332</v>
      </c>
      <c r="F160" s="85" t="s">
        <v>17</v>
      </c>
      <c r="G160" s="85" t="s">
        <v>12</v>
      </c>
      <c r="H160" s="148" t="s">
        <v>333</v>
      </c>
      <c r="I160" s="142">
        <v>859.97</v>
      </c>
      <c r="J160" s="144">
        <v>45</v>
      </c>
      <c r="K160" s="144">
        <v>125</v>
      </c>
      <c r="L160" s="86" t="s">
        <v>741</v>
      </c>
      <c r="M160" s="58"/>
      <c r="N160" s="59"/>
      <c r="O160" s="50"/>
      <c r="P160" s="60"/>
      <c r="R160" s="53" t="s">
        <v>764</v>
      </c>
      <c r="S160" s="53" t="s">
        <v>769</v>
      </c>
      <c r="T160" s="53" t="s">
        <v>769</v>
      </c>
      <c r="U160" s="53" t="s">
        <v>741</v>
      </c>
      <c r="V160" s="53" t="s">
        <v>770</v>
      </c>
      <c r="W160" s="53" t="s">
        <v>780</v>
      </c>
      <c r="X160" s="61">
        <f>IFERROR(IF(W160="","",WORKDAY.INTL(B160,_xlfn.XLOOKUP(W160,Regras!$F$2:$F$11,Regras!$G$2:$G$11))),"")</f>
        <v>45931</v>
      </c>
      <c r="Y160" s="150" t="s">
        <v>970</v>
      </c>
      <c r="Z160" s="53" t="s">
        <v>764</v>
      </c>
      <c r="AA160" s="53"/>
      <c r="AB160" s="156" t="s">
        <v>1075</v>
      </c>
    </row>
    <row r="161" spans="2:28" x14ac:dyDescent="0.2">
      <c r="B161" s="89">
        <v>45863</v>
      </c>
      <c r="D161" s="85" t="s">
        <v>337</v>
      </c>
      <c r="E161" s="125" t="s">
        <v>338</v>
      </c>
      <c r="F161" s="85" t="s">
        <v>11</v>
      </c>
      <c r="G161" s="85" t="s">
        <v>12</v>
      </c>
      <c r="H161" s="148" t="s">
        <v>336</v>
      </c>
      <c r="I161" s="142">
        <v>2406.4699999999998</v>
      </c>
      <c r="J161" s="144">
        <v>48</v>
      </c>
      <c r="K161" s="144">
        <v>28</v>
      </c>
      <c r="L161" s="86" t="s">
        <v>741</v>
      </c>
      <c r="M161" s="58"/>
      <c r="N161" s="59"/>
      <c r="O161" s="50"/>
      <c r="P161" s="60"/>
      <c r="R161" s="53" t="s">
        <v>764</v>
      </c>
      <c r="S161" s="53" t="s">
        <v>769</v>
      </c>
      <c r="T161" s="53" t="s">
        <v>769</v>
      </c>
      <c r="U161" s="53" t="s">
        <v>741</v>
      </c>
      <c r="V161" s="53" t="s">
        <v>776</v>
      </c>
      <c r="W161" s="53" t="s">
        <v>740</v>
      </c>
      <c r="X161" s="61">
        <v>45916</v>
      </c>
      <c r="Y161" s="150" t="s">
        <v>798</v>
      </c>
      <c r="Z161" s="53" t="s">
        <v>764</v>
      </c>
      <c r="AA161" s="53"/>
      <c r="AB161" s="155" t="s">
        <v>799</v>
      </c>
    </row>
    <row r="162" spans="2:28" x14ac:dyDescent="0.2">
      <c r="B162" s="89">
        <v>45929</v>
      </c>
      <c r="D162" s="85" t="s">
        <v>334</v>
      </c>
      <c r="E162" s="125" t="s">
        <v>335</v>
      </c>
      <c r="F162" s="85" t="s">
        <v>46</v>
      </c>
      <c r="G162" s="85" t="s">
        <v>12</v>
      </c>
      <c r="H162" s="148" t="s">
        <v>336</v>
      </c>
      <c r="I162" s="142">
        <v>1253.1300000000001</v>
      </c>
      <c r="J162" s="144">
        <v>48</v>
      </c>
      <c r="K162" s="148" t="s">
        <v>933</v>
      </c>
      <c r="L162" s="86" t="s">
        <v>741</v>
      </c>
      <c r="M162" s="58"/>
      <c r="N162" s="59"/>
      <c r="O162" s="50"/>
      <c r="P162" s="60"/>
      <c r="R162" s="53" t="s">
        <v>764</v>
      </c>
      <c r="S162" s="53" t="s">
        <v>769</v>
      </c>
      <c r="T162" s="53" t="s">
        <v>769</v>
      </c>
      <c r="U162" s="53" t="s">
        <v>741</v>
      </c>
      <c r="V162" s="53" t="s">
        <v>770</v>
      </c>
      <c r="W162" s="53" t="s">
        <v>780</v>
      </c>
      <c r="X162" s="61">
        <f>IFERROR(IF(W162="","",WORKDAY.INTL(B162,_xlfn.XLOOKUP(W162,Regras!$F$2:$F$11,Regras!$G$2:$G$11))),"")</f>
        <v>45931</v>
      </c>
      <c r="Y162" s="150" t="s">
        <v>1076</v>
      </c>
      <c r="Z162" s="53" t="s">
        <v>764</v>
      </c>
      <c r="AA162" s="53"/>
      <c r="AB162" s="156" t="s">
        <v>1076</v>
      </c>
    </row>
    <row r="163" spans="2:28" x14ac:dyDescent="0.2">
      <c r="B163" s="89">
        <v>45932</v>
      </c>
      <c r="D163" s="85" t="s">
        <v>334</v>
      </c>
      <c r="E163" s="125" t="s">
        <v>335</v>
      </c>
      <c r="F163" s="85" t="s">
        <v>46</v>
      </c>
      <c r="G163" s="85" t="s">
        <v>12</v>
      </c>
      <c r="H163" s="148" t="s">
        <v>336</v>
      </c>
      <c r="I163" s="142">
        <v>1253.1300000000001</v>
      </c>
      <c r="J163" s="144">
        <v>48</v>
      </c>
      <c r="K163" s="148" t="s">
        <v>933</v>
      </c>
      <c r="L163" s="86" t="s">
        <v>741</v>
      </c>
      <c r="M163" s="62"/>
      <c r="N163" s="59"/>
      <c r="O163" s="50"/>
      <c r="P163" s="60"/>
      <c r="R163" s="53" t="s">
        <v>764</v>
      </c>
      <c r="S163" s="53" t="s">
        <v>769</v>
      </c>
      <c r="T163" s="53" t="s">
        <v>769</v>
      </c>
      <c r="U163" s="53" t="s">
        <v>741</v>
      </c>
      <c r="V163" s="53" t="s">
        <v>770</v>
      </c>
      <c r="W163" s="53" t="s">
        <v>1054</v>
      </c>
      <c r="X163" s="61">
        <f>IFERROR(IF(W163="","",WORKDAY.INTL(B163,_xlfn.XLOOKUP(W163,Regras!$F$2:$F$11,Regras!$G$2:$G$11))),"")</f>
        <v>45953</v>
      </c>
      <c r="Y163" s="150" t="s">
        <v>1116</v>
      </c>
      <c r="Z163" s="53" t="s">
        <v>764</v>
      </c>
      <c r="AA163" s="53"/>
      <c r="AB163" s="156" t="s">
        <v>1116</v>
      </c>
    </row>
    <row r="164" spans="2:28" x14ac:dyDescent="0.2">
      <c r="B164" s="89">
        <v>45862</v>
      </c>
      <c r="D164" s="85" t="s">
        <v>348</v>
      </c>
      <c r="E164" s="125" t="s">
        <v>349</v>
      </c>
      <c r="F164" s="85" t="s">
        <v>22</v>
      </c>
      <c r="G164" s="85" t="s">
        <v>12</v>
      </c>
      <c r="H164" s="148" t="s">
        <v>347</v>
      </c>
      <c r="I164" s="142">
        <v>2102.89</v>
      </c>
      <c r="J164" s="144">
        <v>49</v>
      </c>
      <c r="K164" s="148" t="s">
        <v>933</v>
      </c>
      <c r="L164" s="86" t="s">
        <v>741</v>
      </c>
      <c r="M164" s="58"/>
      <c r="N164" s="59"/>
      <c r="O164" s="50"/>
      <c r="P164" s="60"/>
      <c r="R164" s="53" t="s">
        <v>764</v>
      </c>
      <c r="S164" s="53" t="s">
        <v>764</v>
      </c>
      <c r="T164" s="53" t="s">
        <v>764</v>
      </c>
      <c r="U164" s="53" t="s">
        <v>741</v>
      </c>
      <c r="V164" s="53" t="s">
        <v>768</v>
      </c>
      <c r="W164" s="53" t="s">
        <v>740</v>
      </c>
      <c r="X164" s="61" t="str">
        <f>IFERROR(IF(W164="","",WORKDAY.INTL(B164,_xlfn.XLOOKUP(W164,Regras!$F$2:$F$11,Regras!$G$2:$G$11))),"")</f>
        <v/>
      </c>
      <c r="Y164" s="150" t="s">
        <v>794</v>
      </c>
      <c r="Z164" s="53" t="s">
        <v>764</v>
      </c>
      <c r="AA164" s="53"/>
      <c r="AB164" s="155" t="s">
        <v>795</v>
      </c>
    </row>
    <row r="165" spans="2:28" x14ac:dyDescent="0.2">
      <c r="B165" s="89">
        <v>45862</v>
      </c>
      <c r="D165" s="100" t="s">
        <v>345</v>
      </c>
      <c r="E165" s="126" t="s">
        <v>346</v>
      </c>
      <c r="F165" s="100" t="s">
        <v>46</v>
      </c>
      <c r="G165" s="100" t="s">
        <v>12</v>
      </c>
      <c r="H165" s="148" t="s">
        <v>347</v>
      </c>
      <c r="I165" s="142">
        <v>6306.96</v>
      </c>
      <c r="J165" s="144">
        <v>49</v>
      </c>
      <c r="K165" s="144">
        <v>53.5</v>
      </c>
      <c r="L165" s="86" t="s">
        <v>741</v>
      </c>
      <c r="M165" s="58"/>
      <c r="N165" s="59"/>
      <c r="O165" s="50"/>
      <c r="P165" s="60"/>
      <c r="R165" s="53" t="s">
        <v>764</v>
      </c>
      <c r="S165" s="53" t="s">
        <v>769</v>
      </c>
      <c r="T165" s="53"/>
      <c r="U165" s="53" t="s">
        <v>741</v>
      </c>
      <c r="V165" s="53" t="s">
        <v>770</v>
      </c>
      <c r="W165" s="53" t="s">
        <v>766</v>
      </c>
      <c r="X165" s="61">
        <f>IFERROR(IF(W165="","",WORKDAY.INTL(B165,_xlfn.XLOOKUP(W165,Regras!$F$2:$F$11,Regras!$G$2:$G$11))),"")</f>
        <v>45925</v>
      </c>
      <c r="Y165" s="150" t="s">
        <v>771</v>
      </c>
      <c r="Z165" s="53" t="s">
        <v>764</v>
      </c>
      <c r="AA165" s="53" t="s">
        <v>772</v>
      </c>
    </row>
    <row r="166" spans="2:28" x14ac:dyDescent="0.2">
      <c r="B166" s="89">
        <v>45929</v>
      </c>
      <c r="D166" s="100" t="s">
        <v>345</v>
      </c>
      <c r="E166" s="126" t="s">
        <v>346</v>
      </c>
      <c r="F166" s="100" t="s">
        <v>46</v>
      </c>
      <c r="G166" s="100" t="s">
        <v>12</v>
      </c>
      <c r="H166" s="148" t="s">
        <v>347</v>
      </c>
      <c r="I166" s="142">
        <v>6306.96</v>
      </c>
      <c r="J166" s="144">
        <v>49</v>
      </c>
      <c r="K166" s="144">
        <v>53.5</v>
      </c>
      <c r="L166" s="86" t="s">
        <v>741</v>
      </c>
      <c r="M166" s="58"/>
      <c r="N166" s="59"/>
      <c r="O166" s="50"/>
      <c r="P166" s="60"/>
      <c r="R166" s="53" t="s">
        <v>764</v>
      </c>
      <c r="S166" s="53" t="s">
        <v>764</v>
      </c>
      <c r="T166" s="53" t="s">
        <v>769</v>
      </c>
      <c r="U166" s="53" t="s">
        <v>741</v>
      </c>
      <c r="V166" s="53" t="s">
        <v>770</v>
      </c>
      <c r="W166" s="53" t="s">
        <v>780</v>
      </c>
      <c r="X166" s="61">
        <f>IFERROR(IF(W166="","",WORKDAY.INTL(B166,_xlfn.XLOOKUP(W166,Regras!$F$2:$F$11,Regras!$G$2:$G$11))),"")</f>
        <v>45931</v>
      </c>
      <c r="Y166" s="150" t="s">
        <v>1046</v>
      </c>
      <c r="Z166" s="53" t="s">
        <v>764</v>
      </c>
      <c r="AA166" s="53"/>
      <c r="AB166" s="156" t="s">
        <v>1046</v>
      </c>
    </row>
    <row r="167" spans="2:28" x14ac:dyDescent="0.2">
      <c r="B167" s="89">
        <v>45933</v>
      </c>
      <c r="D167" s="85" t="s">
        <v>345</v>
      </c>
      <c r="E167" s="125" t="s">
        <v>346</v>
      </c>
      <c r="F167" s="85" t="s">
        <v>46</v>
      </c>
      <c r="G167" s="85" t="s">
        <v>12</v>
      </c>
      <c r="H167" s="148" t="s">
        <v>347</v>
      </c>
      <c r="I167" s="142">
        <v>6306.96</v>
      </c>
      <c r="J167" s="144">
        <v>49</v>
      </c>
      <c r="K167" s="144">
        <v>53.5</v>
      </c>
      <c r="L167" s="86" t="s">
        <v>741</v>
      </c>
      <c r="M167" s="58"/>
      <c r="N167" s="59"/>
      <c r="O167" s="50"/>
      <c r="P167" s="60"/>
      <c r="R167" s="53" t="s">
        <v>769</v>
      </c>
      <c r="S167" s="53" t="s">
        <v>769</v>
      </c>
      <c r="T167" s="53" t="s">
        <v>769</v>
      </c>
      <c r="U167" s="53" t="s">
        <v>741</v>
      </c>
      <c r="V167" s="53" t="s">
        <v>813</v>
      </c>
      <c r="W167" s="53" t="s">
        <v>777</v>
      </c>
      <c r="X167" s="61" t="str">
        <f>IFERROR(IF(W167="","",WORKDAY.INTL(B167,_xlfn.XLOOKUP(W167,Regras!$F$2:$F$11,Regras!$G$2:$G$11))),"")</f>
        <v/>
      </c>
      <c r="Y167" s="150" t="s">
        <v>1133</v>
      </c>
      <c r="Z167" s="53" t="s">
        <v>764</v>
      </c>
      <c r="AA167" s="53"/>
      <c r="AB167" s="156" t="s">
        <v>1133</v>
      </c>
    </row>
    <row r="168" spans="2:28" x14ac:dyDescent="0.2">
      <c r="B168" s="89">
        <v>45852</v>
      </c>
      <c r="D168" s="85" t="s">
        <v>398</v>
      </c>
      <c r="E168" s="125" t="s">
        <v>399</v>
      </c>
      <c r="F168" s="85" t="s">
        <v>11</v>
      </c>
      <c r="G168" s="85" t="s">
        <v>53</v>
      </c>
      <c r="H168" s="148" t="s">
        <v>390</v>
      </c>
      <c r="I168" s="142">
        <v>959.79</v>
      </c>
      <c r="J168" s="144">
        <v>59</v>
      </c>
      <c r="K168" s="148" t="s">
        <v>933</v>
      </c>
      <c r="L168" s="86" t="s">
        <v>741</v>
      </c>
      <c r="M168" s="58"/>
      <c r="N168" s="59"/>
      <c r="O168" s="50"/>
      <c r="P168" s="60"/>
      <c r="R168" s="53" t="s">
        <v>764</v>
      </c>
      <c r="S168" s="53" t="s">
        <v>769</v>
      </c>
      <c r="T168" s="53" t="s">
        <v>769</v>
      </c>
      <c r="U168" s="53" t="s">
        <v>741</v>
      </c>
      <c r="V168" s="53" t="s">
        <v>813</v>
      </c>
      <c r="W168" s="53" t="s">
        <v>777</v>
      </c>
      <c r="X168" s="61" t="str">
        <f>IFERROR(IF(W168="","",WORKDAY.INTL(B168,_xlfn.XLOOKUP(W168,Regras!$F$2:$F$11,Regras!$G$2:$G$11))),"")</f>
        <v/>
      </c>
      <c r="Y168" s="150" t="s">
        <v>784</v>
      </c>
      <c r="Z168" s="53" t="s">
        <v>764</v>
      </c>
      <c r="AA168" s="53"/>
      <c r="AB168" s="155" t="s">
        <v>785</v>
      </c>
    </row>
    <row r="169" spans="2:28" x14ac:dyDescent="0.2">
      <c r="B169" s="89">
        <v>45852</v>
      </c>
      <c r="D169" s="85" t="s">
        <v>393</v>
      </c>
      <c r="E169" s="125" t="s">
        <v>394</v>
      </c>
      <c r="F169" s="85" t="s">
        <v>59</v>
      </c>
      <c r="G169" s="85" t="s">
        <v>53</v>
      </c>
      <c r="H169" s="148" t="s">
        <v>390</v>
      </c>
      <c r="I169" s="142">
        <v>1452.42</v>
      </c>
      <c r="J169" s="144">
        <v>59</v>
      </c>
      <c r="K169" s="144">
        <v>53</v>
      </c>
      <c r="L169" s="86" t="s">
        <v>741</v>
      </c>
      <c r="M169" s="58"/>
      <c r="N169" s="59"/>
      <c r="O169" s="50"/>
      <c r="P169" s="60"/>
      <c r="R169" s="53" t="s">
        <v>764</v>
      </c>
      <c r="S169" s="53" t="s">
        <v>769</v>
      </c>
      <c r="T169" s="53" t="s">
        <v>769</v>
      </c>
      <c r="U169" s="53" t="s">
        <v>741</v>
      </c>
      <c r="V169" s="53" t="s">
        <v>770</v>
      </c>
      <c r="W169" s="53" t="s">
        <v>766</v>
      </c>
      <c r="X169" s="61">
        <v>45923</v>
      </c>
      <c r="Y169" s="150" t="s">
        <v>782</v>
      </c>
      <c r="Z169" s="53" t="s">
        <v>764</v>
      </c>
      <c r="AA169" s="53"/>
      <c r="AB169" s="155" t="s">
        <v>786</v>
      </c>
    </row>
    <row r="170" spans="2:28" x14ac:dyDescent="0.2">
      <c r="B170" s="89">
        <v>45849</v>
      </c>
      <c r="D170" s="85" t="s">
        <v>400</v>
      </c>
      <c r="E170" s="125" t="s">
        <v>401</v>
      </c>
      <c r="F170" s="85" t="s">
        <v>67</v>
      </c>
      <c r="G170" s="85" t="s">
        <v>53</v>
      </c>
      <c r="H170" s="148" t="s">
        <v>402</v>
      </c>
      <c r="I170" s="142">
        <v>7216.91</v>
      </c>
      <c r="J170" s="144">
        <v>62</v>
      </c>
      <c r="K170" s="144">
        <v>102</v>
      </c>
      <c r="L170" s="103" t="s">
        <v>742</v>
      </c>
      <c r="M170" s="58"/>
      <c r="N170" s="59"/>
      <c r="O170" s="50"/>
      <c r="P170" s="60"/>
      <c r="R170" s="53" t="s">
        <v>764</v>
      </c>
      <c r="S170" s="53" t="s">
        <v>769</v>
      </c>
      <c r="T170" s="53"/>
      <c r="U170" s="53"/>
      <c r="V170" s="53" t="s">
        <v>765</v>
      </c>
      <c r="W170" s="53" t="s">
        <v>780</v>
      </c>
      <c r="X170" s="61">
        <f>IFERROR(IF(W170="","",WORKDAY.INTL(B170,_xlfn.XLOOKUP(W170,Regras!$F$2:$F$11,Regras!$G$2:$G$11))),"")</f>
        <v>45853</v>
      </c>
      <c r="Y170" s="150"/>
      <c r="Z170" s="53"/>
      <c r="AA170" s="53"/>
    </row>
    <row r="171" spans="2:28" x14ac:dyDescent="0.2">
      <c r="B171" s="89">
        <v>45841</v>
      </c>
      <c r="D171" s="85" t="s">
        <v>417</v>
      </c>
      <c r="E171" s="125" t="s">
        <v>418</v>
      </c>
      <c r="F171" s="85" t="s">
        <v>22</v>
      </c>
      <c r="G171" s="85" t="s">
        <v>12</v>
      </c>
      <c r="H171" s="148" t="s">
        <v>419</v>
      </c>
      <c r="I171" s="142">
        <v>944.16</v>
      </c>
      <c r="J171" s="144">
        <v>70</v>
      </c>
      <c r="K171" s="144">
        <v>15</v>
      </c>
      <c r="L171" s="87" t="s">
        <v>742</v>
      </c>
      <c r="M171" s="58"/>
      <c r="N171" s="59"/>
      <c r="O171" s="50"/>
      <c r="P171" s="60"/>
      <c r="R171" s="53" t="s">
        <v>764</v>
      </c>
      <c r="S171" s="53" t="s">
        <v>769</v>
      </c>
      <c r="T171" s="53"/>
      <c r="U171" s="53" t="s">
        <v>741</v>
      </c>
      <c r="V171" s="53" t="s">
        <v>770</v>
      </c>
      <c r="W171" s="53" t="s">
        <v>766</v>
      </c>
      <c r="X171" s="61">
        <f>IFERROR(IF(W171="","",WORKDAY.INTL(B171,_xlfn.XLOOKUP(W171,Regras!$F$2:$F$11,Regras!$G$2:$G$11))),"")</f>
        <v>45904</v>
      </c>
      <c r="Y171" s="150" t="s">
        <v>771</v>
      </c>
      <c r="Z171" s="53" t="s">
        <v>764</v>
      </c>
      <c r="AA171" s="53"/>
      <c r="AB171" s="155" t="s">
        <v>772</v>
      </c>
    </row>
    <row r="172" spans="2:28" x14ac:dyDescent="0.2">
      <c r="B172" s="89"/>
      <c r="D172" s="85" t="s">
        <v>417</v>
      </c>
      <c r="E172" s="125" t="s">
        <v>418</v>
      </c>
      <c r="F172" s="85" t="s">
        <v>22</v>
      </c>
      <c r="G172" s="85" t="s">
        <v>12</v>
      </c>
      <c r="H172" s="148" t="s">
        <v>419</v>
      </c>
      <c r="I172" s="142">
        <v>944.16</v>
      </c>
      <c r="J172" s="144">
        <v>70</v>
      </c>
      <c r="K172" s="144">
        <v>15</v>
      </c>
      <c r="L172" s="102" t="s">
        <v>742</v>
      </c>
      <c r="M172" s="58"/>
      <c r="N172" s="59"/>
      <c r="O172" s="50"/>
      <c r="P172" s="60"/>
      <c r="R172" s="53"/>
      <c r="S172" s="53"/>
      <c r="T172" s="53"/>
      <c r="U172" s="53"/>
      <c r="V172" s="53"/>
      <c r="W172" s="53"/>
      <c r="X172" s="61" t="str">
        <f>IFERROR(IF(W172="","",WORKDAY.INTL(B172,_xlfn.XLOOKUP(W172,Regras!$F$2:$F$11,Regras!$G$2:$G$11))),"")</f>
        <v/>
      </c>
      <c r="Y172" s="150"/>
      <c r="Z172" s="53"/>
      <c r="AA172" s="53"/>
    </row>
    <row r="173" spans="2:28" x14ac:dyDescent="0.2">
      <c r="B173" s="89">
        <v>45838</v>
      </c>
      <c r="D173" s="85" t="s">
        <v>430</v>
      </c>
      <c r="E173" s="125" t="s">
        <v>431</v>
      </c>
      <c r="F173" s="85" t="s">
        <v>46</v>
      </c>
      <c r="G173" s="85" t="s">
        <v>12</v>
      </c>
      <c r="H173" s="148" t="s">
        <v>425</v>
      </c>
      <c r="I173" s="142">
        <v>1792.87</v>
      </c>
      <c r="J173" s="144">
        <v>73</v>
      </c>
      <c r="K173" s="148" t="s">
        <v>933</v>
      </c>
      <c r="L173" s="46" t="s">
        <v>742</v>
      </c>
      <c r="M173" s="58"/>
      <c r="N173" s="59"/>
      <c r="O173" s="50"/>
      <c r="P173" s="60"/>
      <c r="R173" s="53" t="s">
        <v>764</v>
      </c>
      <c r="S173" s="53" t="s">
        <v>764</v>
      </c>
      <c r="T173" s="53" t="s">
        <v>764</v>
      </c>
      <c r="U173" s="53" t="s">
        <v>741</v>
      </c>
      <c r="V173" s="53" t="s">
        <v>765</v>
      </c>
      <c r="W173" s="53" t="s">
        <v>839</v>
      </c>
      <c r="X173" s="61">
        <v>45915</v>
      </c>
      <c r="Y173" s="150" t="s">
        <v>808</v>
      </c>
      <c r="Z173" s="53" t="s">
        <v>764</v>
      </c>
      <c r="AA173" s="53"/>
      <c r="AB173" s="155" t="s">
        <v>809</v>
      </c>
    </row>
    <row r="174" spans="2:28" x14ac:dyDescent="0.2">
      <c r="B174" s="89">
        <v>45838</v>
      </c>
      <c r="D174" s="85" t="s">
        <v>436</v>
      </c>
      <c r="E174" s="125" t="s">
        <v>437</v>
      </c>
      <c r="F174" s="85" t="s">
        <v>140</v>
      </c>
      <c r="G174" s="85" t="s">
        <v>53</v>
      </c>
      <c r="H174" s="148" t="s">
        <v>425</v>
      </c>
      <c r="I174" s="142">
        <v>2134.2600000000002</v>
      </c>
      <c r="J174" s="144">
        <v>73</v>
      </c>
      <c r="K174" s="148" t="s">
        <v>933</v>
      </c>
      <c r="L174" s="46" t="s">
        <v>742</v>
      </c>
      <c r="M174" s="58"/>
      <c r="N174" s="59"/>
      <c r="O174" s="50"/>
      <c r="P174" s="60"/>
      <c r="R174" s="53" t="s">
        <v>764</v>
      </c>
      <c r="S174" s="53" t="s">
        <v>764</v>
      </c>
      <c r="T174" s="53" t="s">
        <v>764</v>
      </c>
      <c r="U174" s="53" t="s">
        <v>741</v>
      </c>
      <c r="V174" s="53" t="s">
        <v>813</v>
      </c>
      <c r="W174" s="53" t="s">
        <v>777</v>
      </c>
      <c r="X174" s="61">
        <v>45919</v>
      </c>
      <c r="Y174" s="150" t="s">
        <v>810</v>
      </c>
      <c r="Z174" s="53"/>
      <c r="AA174" s="53"/>
      <c r="AB174" s="155" t="s">
        <v>811</v>
      </c>
    </row>
    <row r="175" spans="2:28" x14ac:dyDescent="0.2">
      <c r="B175" s="89">
        <v>45915</v>
      </c>
      <c r="D175" s="85" t="s">
        <v>430</v>
      </c>
      <c r="E175" s="125" t="s">
        <v>431</v>
      </c>
      <c r="F175" s="85" t="s">
        <v>46</v>
      </c>
      <c r="G175" s="85" t="s">
        <v>12</v>
      </c>
      <c r="H175" s="148" t="s">
        <v>425</v>
      </c>
      <c r="I175" s="142">
        <v>1792.87</v>
      </c>
      <c r="J175" s="144">
        <v>73</v>
      </c>
      <c r="K175" s="148" t="s">
        <v>933</v>
      </c>
      <c r="L175" s="46" t="s">
        <v>742</v>
      </c>
      <c r="R175" s="53" t="s">
        <v>764</v>
      </c>
      <c r="S175" s="53" t="s">
        <v>769</v>
      </c>
      <c r="T175" s="53" t="s">
        <v>769</v>
      </c>
      <c r="U175" s="53" t="s">
        <v>741</v>
      </c>
      <c r="V175" s="53" t="s">
        <v>765</v>
      </c>
      <c r="W175" s="53" t="s">
        <v>1053</v>
      </c>
      <c r="X175" s="61">
        <f>IFERROR(IF(W175="","",WORKDAY.INTL(B175,_xlfn.XLOOKUP(W175,Regras!$F$2:$F$11,Regras!$G$2:$G$11))),"")</f>
        <v>45924</v>
      </c>
      <c r="Y175" s="150" t="s">
        <v>808</v>
      </c>
      <c r="Z175" s="53" t="s">
        <v>764</v>
      </c>
      <c r="AB175" s="155" t="s">
        <v>812</v>
      </c>
    </row>
    <row r="176" spans="2:28" x14ac:dyDescent="0.2">
      <c r="B176" s="89">
        <v>45929</v>
      </c>
      <c r="D176" s="85" t="s">
        <v>430</v>
      </c>
      <c r="E176" s="125" t="s">
        <v>431</v>
      </c>
      <c r="F176" s="85" t="s">
        <v>46</v>
      </c>
      <c r="G176" s="85" t="s">
        <v>12</v>
      </c>
      <c r="H176" s="148" t="s">
        <v>425</v>
      </c>
      <c r="I176" s="142">
        <v>1792.87</v>
      </c>
      <c r="J176" s="144">
        <v>73</v>
      </c>
      <c r="K176" s="148" t="s">
        <v>933</v>
      </c>
      <c r="L176" s="98" t="s">
        <v>742</v>
      </c>
      <c r="M176" s="58"/>
      <c r="N176" s="59"/>
      <c r="O176" s="50"/>
      <c r="P176" s="60"/>
      <c r="R176" s="53" t="s">
        <v>764</v>
      </c>
      <c r="S176" s="53" t="s">
        <v>764</v>
      </c>
      <c r="T176" s="53" t="s">
        <v>769</v>
      </c>
      <c r="U176" s="53" t="s">
        <v>741</v>
      </c>
      <c r="V176" s="53" t="s">
        <v>765</v>
      </c>
      <c r="W176" s="53" t="s">
        <v>780</v>
      </c>
      <c r="X176" s="61">
        <f>IFERROR(IF(W176="","",WORKDAY.INTL(B176,_xlfn.XLOOKUP(W176,Regras!$F$2:$F$11,Regras!$G$2:$G$11))),"")</f>
        <v>45931</v>
      </c>
      <c r="Y176" s="150" t="s">
        <v>1077</v>
      </c>
      <c r="Z176" s="53" t="s">
        <v>764</v>
      </c>
      <c r="AA176" s="53"/>
      <c r="AB176" s="155" t="s">
        <v>1078</v>
      </c>
    </row>
    <row r="177" spans="2:28" x14ac:dyDescent="0.2">
      <c r="B177" s="89">
        <v>45932</v>
      </c>
      <c r="D177" s="85" t="s">
        <v>430</v>
      </c>
      <c r="E177" s="125" t="s">
        <v>431</v>
      </c>
      <c r="F177" s="85" t="s">
        <v>46</v>
      </c>
      <c r="G177" s="85" t="s">
        <v>12</v>
      </c>
      <c r="H177" s="148" t="s">
        <v>425</v>
      </c>
      <c r="I177" s="142">
        <v>1792.87</v>
      </c>
      <c r="J177" s="144">
        <v>73</v>
      </c>
      <c r="K177" s="148" t="s">
        <v>933</v>
      </c>
      <c r="L177" s="102" t="s">
        <v>742</v>
      </c>
      <c r="M177" s="58"/>
      <c r="N177" s="59"/>
      <c r="O177" s="50"/>
      <c r="P177" s="60"/>
      <c r="R177" s="53" t="s">
        <v>764</v>
      </c>
      <c r="S177" s="53" t="s">
        <v>764</v>
      </c>
      <c r="T177" s="53" t="s">
        <v>769</v>
      </c>
      <c r="U177" s="53" t="s">
        <v>741</v>
      </c>
      <c r="V177" s="53" t="s">
        <v>765</v>
      </c>
      <c r="W177" s="53" t="s">
        <v>1053</v>
      </c>
      <c r="X177" s="61">
        <f>IFERROR(IF(W177="","",WORKDAY.INTL(B177,_xlfn.XLOOKUP(W177,Regras!$F$2:$F$11,Regras!$G$2:$G$11))),"")</f>
        <v>45943</v>
      </c>
      <c r="Y177" s="150" t="s">
        <v>1114</v>
      </c>
      <c r="Z177" s="53" t="s">
        <v>764</v>
      </c>
      <c r="AA177" s="53"/>
      <c r="AB177" s="156" t="s">
        <v>1114</v>
      </c>
    </row>
    <row r="178" spans="2:28" x14ac:dyDescent="0.2">
      <c r="B178" s="89">
        <v>45832</v>
      </c>
      <c r="D178" s="85" t="s">
        <v>478</v>
      </c>
      <c r="E178" s="125" t="s">
        <v>479</v>
      </c>
      <c r="F178" s="85" t="s">
        <v>46</v>
      </c>
      <c r="G178" s="85" t="s">
        <v>792</v>
      </c>
      <c r="H178" s="148" t="s">
        <v>480</v>
      </c>
      <c r="I178" s="142">
        <v>2350.33</v>
      </c>
      <c r="J178" s="144">
        <v>79</v>
      </c>
      <c r="K178" s="148" t="s">
        <v>933</v>
      </c>
      <c r="L178" s="46" t="s">
        <v>742</v>
      </c>
      <c r="M178" s="58"/>
      <c r="N178" s="59"/>
      <c r="O178" s="50"/>
      <c r="P178" s="60"/>
      <c r="R178" s="53" t="s">
        <v>764</v>
      </c>
      <c r="S178" s="53" t="s">
        <v>764</v>
      </c>
      <c r="T178" s="53" t="s">
        <v>769</v>
      </c>
      <c r="U178" s="53" t="s">
        <v>741</v>
      </c>
      <c r="V178" s="53" t="s">
        <v>765</v>
      </c>
      <c r="W178" s="53" t="s">
        <v>766</v>
      </c>
      <c r="X178" s="61"/>
      <c r="Y178" s="150" t="s">
        <v>793</v>
      </c>
      <c r="Z178" s="53" t="s">
        <v>764</v>
      </c>
      <c r="AA178" s="53"/>
    </row>
    <row r="179" spans="2:28" x14ac:dyDescent="0.2">
      <c r="B179" s="89">
        <v>45929</v>
      </c>
      <c r="D179" s="85" t="s">
        <v>496</v>
      </c>
      <c r="E179" s="125" t="s">
        <v>497</v>
      </c>
      <c r="F179" s="85" t="s">
        <v>11</v>
      </c>
      <c r="G179" s="85" t="s">
        <v>12</v>
      </c>
      <c r="H179" s="148" t="s">
        <v>489</v>
      </c>
      <c r="I179" s="142">
        <v>963.58</v>
      </c>
      <c r="J179" s="144">
        <v>83</v>
      </c>
      <c r="K179" s="148" t="s">
        <v>933</v>
      </c>
      <c r="L179" s="88" t="s">
        <v>743</v>
      </c>
      <c r="M179" s="58"/>
      <c r="N179" s="59"/>
      <c r="O179" s="50"/>
      <c r="P179" s="60"/>
      <c r="R179" s="53" t="s">
        <v>764</v>
      </c>
      <c r="S179" s="53" t="s">
        <v>769</v>
      </c>
      <c r="T179" s="53" t="s">
        <v>769</v>
      </c>
      <c r="U179" s="53" t="s">
        <v>741</v>
      </c>
      <c r="V179" s="53" t="s">
        <v>765</v>
      </c>
      <c r="W179" s="53" t="s">
        <v>780</v>
      </c>
      <c r="X179" s="61">
        <f>IFERROR(IF(W179="","",WORKDAY.INTL(B179,_xlfn.XLOOKUP(W179,Regras!$F$2:$F$11,Regras!$G$2:$G$11))),"")</f>
        <v>45931</v>
      </c>
      <c r="Y179" s="150" t="s">
        <v>1079</v>
      </c>
      <c r="Z179" s="53" t="s">
        <v>764</v>
      </c>
      <c r="AA179" s="53"/>
      <c r="AB179" s="156" t="s">
        <v>1079</v>
      </c>
    </row>
    <row r="180" spans="2:28" x14ac:dyDescent="0.2">
      <c r="B180" s="89">
        <v>45932</v>
      </c>
      <c r="D180" s="85" t="s">
        <v>496</v>
      </c>
      <c r="E180" s="125" t="s">
        <v>497</v>
      </c>
      <c r="F180" s="85" t="s">
        <v>11</v>
      </c>
      <c r="G180" s="85" t="s">
        <v>12</v>
      </c>
      <c r="H180" s="148" t="s">
        <v>489</v>
      </c>
      <c r="I180" s="142">
        <v>963.58</v>
      </c>
      <c r="J180" s="144">
        <v>83</v>
      </c>
      <c r="K180" s="148" t="s">
        <v>933</v>
      </c>
      <c r="L180" s="88" t="s">
        <v>743</v>
      </c>
      <c r="M180" s="58"/>
      <c r="N180" s="59"/>
      <c r="O180" s="50"/>
      <c r="P180" s="60"/>
      <c r="R180" s="53" t="s">
        <v>764</v>
      </c>
      <c r="S180" s="53" t="s">
        <v>769</v>
      </c>
      <c r="T180" s="53" t="s">
        <v>769</v>
      </c>
      <c r="U180" s="53" t="s">
        <v>741</v>
      </c>
      <c r="V180" s="53" t="s">
        <v>765</v>
      </c>
      <c r="W180" s="53" t="s">
        <v>1053</v>
      </c>
      <c r="X180" s="61">
        <f>IFERROR(IF(W180="","",WORKDAY.INTL(B180,_xlfn.XLOOKUP(W180,Regras!$F$2:$F$11,Regras!$G$2:$G$11))),"")</f>
        <v>45943</v>
      </c>
      <c r="Y180" s="150" t="s">
        <v>1114</v>
      </c>
      <c r="Z180" s="53" t="s">
        <v>764</v>
      </c>
      <c r="AA180" s="53"/>
      <c r="AB180" s="156" t="s">
        <v>1117</v>
      </c>
    </row>
    <row r="181" spans="2:28" x14ac:dyDescent="0.2">
      <c r="B181" s="89">
        <v>45824</v>
      </c>
      <c r="D181" s="85" t="s">
        <v>509</v>
      </c>
      <c r="E181" s="125" t="s">
        <v>510</v>
      </c>
      <c r="F181" s="85" t="s">
        <v>511</v>
      </c>
      <c r="G181" s="85" t="s">
        <v>53</v>
      </c>
      <c r="H181" s="148" t="s">
        <v>508</v>
      </c>
      <c r="I181" s="142">
        <v>2212.34</v>
      </c>
      <c r="J181" s="144">
        <v>87</v>
      </c>
      <c r="K181" s="144">
        <v>48</v>
      </c>
      <c r="L181" s="88" t="s">
        <v>743</v>
      </c>
      <c r="M181" s="58"/>
      <c r="N181" s="59"/>
      <c r="O181" s="50"/>
      <c r="P181" s="60"/>
      <c r="R181" s="53" t="s">
        <v>764</v>
      </c>
      <c r="S181" s="53" t="s">
        <v>769</v>
      </c>
      <c r="T181" s="53" t="s">
        <v>769</v>
      </c>
      <c r="U181" s="53" t="s">
        <v>741</v>
      </c>
      <c r="V181" s="53" t="s">
        <v>776</v>
      </c>
      <c r="W181" s="53" t="s">
        <v>740</v>
      </c>
      <c r="X181" s="61">
        <v>45919</v>
      </c>
      <c r="Y181" s="150" t="s">
        <v>789</v>
      </c>
      <c r="Z181" s="53" t="s">
        <v>764</v>
      </c>
      <c r="AA181" s="53"/>
      <c r="AB181" s="155" t="s">
        <v>790</v>
      </c>
    </row>
    <row r="182" spans="2:28" x14ac:dyDescent="0.2">
      <c r="B182" s="89">
        <v>45933</v>
      </c>
      <c r="D182" s="85" t="s">
        <v>514</v>
      </c>
      <c r="E182" s="125" t="s">
        <v>515</v>
      </c>
      <c r="F182" s="85" t="s">
        <v>22</v>
      </c>
      <c r="G182" s="85" t="s">
        <v>12</v>
      </c>
      <c r="H182" s="148" t="s">
        <v>508</v>
      </c>
      <c r="I182" s="142">
        <v>699.03</v>
      </c>
      <c r="J182" s="144">
        <v>87</v>
      </c>
      <c r="K182" s="148" t="s">
        <v>933</v>
      </c>
      <c r="L182" s="88" t="s">
        <v>743</v>
      </c>
      <c r="M182" s="58"/>
      <c r="N182" s="59"/>
      <c r="O182" s="50"/>
      <c r="P182" s="60"/>
      <c r="R182" s="53" t="s">
        <v>769</v>
      </c>
      <c r="S182" s="53" t="s">
        <v>769</v>
      </c>
      <c r="T182" s="53" t="s">
        <v>769</v>
      </c>
      <c r="U182" s="53" t="s">
        <v>741</v>
      </c>
      <c r="V182" s="53" t="s">
        <v>813</v>
      </c>
      <c r="W182" s="53" t="s">
        <v>777</v>
      </c>
      <c r="X182" s="61" t="str">
        <f>IFERROR(IF(W182="","",WORKDAY.INTL(B182,_xlfn.XLOOKUP(W182,Regras!$F$2:$F$11,Regras!$G$2:$G$11))),"")</f>
        <v/>
      </c>
      <c r="Y182" s="150" t="s">
        <v>1133</v>
      </c>
      <c r="Z182" s="53" t="s">
        <v>764</v>
      </c>
      <c r="AA182" s="53"/>
      <c r="AB182" s="156" t="s">
        <v>1133</v>
      </c>
    </row>
    <row r="183" spans="2:28" x14ac:dyDescent="0.2">
      <c r="B183" s="89">
        <v>45929</v>
      </c>
      <c r="D183" s="85" t="s">
        <v>539</v>
      </c>
      <c r="E183" s="125" t="s">
        <v>540</v>
      </c>
      <c r="F183" s="85" t="s">
        <v>22</v>
      </c>
      <c r="G183" s="85" t="s">
        <v>12</v>
      </c>
      <c r="H183" s="148" t="s">
        <v>541</v>
      </c>
      <c r="I183" s="142">
        <v>11358.43</v>
      </c>
      <c r="J183" s="144">
        <v>94</v>
      </c>
      <c r="K183" s="148" t="s">
        <v>933</v>
      </c>
      <c r="L183" s="88" t="s">
        <v>743</v>
      </c>
      <c r="M183" s="58"/>
      <c r="N183" s="59"/>
      <c r="O183" s="50"/>
      <c r="P183" s="60"/>
      <c r="R183" s="53"/>
      <c r="S183" s="53"/>
      <c r="T183" s="53"/>
      <c r="U183" s="53"/>
      <c r="V183" s="53"/>
      <c r="W183" s="53"/>
      <c r="X183" s="61" t="str">
        <f>IFERROR(IF(W183="","",WORKDAY.INTL(B183,_xlfn.XLOOKUP(W183,Regras!$F$2:$F$11,Regras!$G$2:$G$11))),"")</f>
        <v/>
      </c>
      <c r="Y183" s="150"/>
      <c r="Z183" s="53"/>
      <c r="AA183" s="53"/>
    </row>
    <row r="184" spans="2:28" x14ac:dyDescent="0.2">
      <c r="B184" s="89">
        <v>45813</v>
      </c>
      <c r="D184" s="85" t="s">
        <v>549</v>
      </c>
      <c r="E184" s="125" t="s">
        <v>550</v>
      </c>
      <c r="F184" s="85" t="s">
        <v>22</v>
      </c>
      <c r="G184" s="85" t="s">
        <v>12</v>
      </c>
      <c r="H184" s="148" t="s">
        <v>551</v>
      </c>
      <c r="I184" s="142">
        <v>10200.370000000001</v>
      </c>
      <c r="J184" s="144">
        <v>98</v>
      </c>
      <c r="K184" s="148" t="s">
        <v>933</v>
      </c>
      <c r="L184" s="88" t="s">
        <v>743</v>
      </c>
      <c r="M184" s="58"/>
      <c r="N184" s="59"/>
      <c r="O184" s="50"/>
      <c r="P184" s="60"/>
      <c r="R184" s="53" t="s">
        <v>764</v>
      </c>
      <c r="S184" s="53" t="s">
        <v>764</v>
      </c>
      <c r="T184" s="53" t="s">
        <v>769</v>
      </c>
      <c r="U184" s="53" t="s">
        <v>741</v>
      </c>
      <c r="V184" s="53" t="s">
        <v>765</v>
      </c>
      <c r="W184" s="53" t="s">
        <v>740</v>
      </c>
      <c r="X184" s="61">
        <v>45919</v>
      </c>
      <c r="Y184" s="150" t="s">
        <v>774</v>
      </c>
      <c r="Z184" s="53" t="s">
        <v>764</v>
      </c>
      <c r="AA184" s="53"/>
      <c r="AB184" s="155" t="s">
        <v>775</v>
      </c>
    </row>
    <row r="185" spans="2:28" x14ac:dyDescent="0.2">
      <c r="B185" s="89">
        <v>45926</v>
      </c>
      <c r="D185" s="85" t="s">
        <v>549</v>
      </c>
      <c r="E185" s="125" t="s">
        <v>550</v>
      </c>
      <c r="F185" s="85" t="s">
        <v>22</v>
      </c>
      <c r="G185" s="85" t="s">
        <v>12</v>
      </c>
      <c r="H185" s="148" t="s">
        <v>551</v>
      </c>
      <c r="I185" s="142">
        <v>10200.370000000001</v>
      </c>
      <c r="J185" s="144">
        <v>98</v>
      </c>
      <c r="K185" s="148" t="s">
        <v>933</v>
      </c>
      <c r="L185" s="88" t="s">
        <v>743</v>
      </c>
      <c r="M185" s="58"/>
      <c r="N185" s="59"/>
      <c r="O185" s="50"/>
      <c r="P185" s="60"/>
      <c r="R185" s="53" t="s">
        <v>764</v>
      </c>
      <c r="S185" s="53" t="s">
        <v>764</v>
      </c>
      <c r="T185" s="53" t="s">
        <v>764</v>
      </c>
      <c r="U185" s="53" t="s">
        <v>741</v>
      </c>
      <c r="V185" s="53" t="s">
        <v>765</v>
      </c>
      <c r="W185" s="53" t="s">
        <v>796</v>
      </c>
      <c r="X185" s="61" t="str">
        <f>IFERROR(IF(W185="","",WORKDAY.INTL(B185,_xlfn.XLOOKUP(W185,Regras!$F$2:$F$11,Regras!$G$2:$G$11))),"")</f>
        <v/>
      </c>
      <c r="Y185" s="150" t="s">
        <v>1069</v>
      </c>
      <c r="Z185" s="53" t="s">
        <v>764</v>
      </c>
      <c r="AA185" s="53"/>
      <c r="AB185" s="156" t="s">
        <v>1069</v>
      </c>
    </row>
    <row r="186" spans="2:28" x14ac:dyDescent="0.2">
      <c r="B186" s="89"/>
      <c r="D186" s="85" t="s">
        <v>585</v>
      </c>
      <c r="E186" s="125" t="s">
        <v>586</v>
      </c>
      <c r="F186" s="85" t="s">
        <v>140</v>
      </c>
      <c r="G186" s="85" t="s">
        <v>12</v>
      </c>
      <c r="H186" s="148" t="s">
        <v>584</v>
      </c>
      <c r="I186" s="142">
        <v>1415.8</v>
      </c>
      <c r="J186" s="144">
        <v>112</v>
      </c>
      <c r="K186" s="148" t="s">
        <v>933</v>
      </c>
      <c r="L186" s="88" t="s">
        <v>743</v>
      </c>
      <c r="M186" s="58"/>
      <c r="N186" s="59"/>
      <c r="O186" s="50"/>
      <c r="P186" s="60"/>
      <c r="R186" s="53"/>
      <c r="S186" s="53"/>
      <c r="T186" s="53"/>
      <c r="U186" s="53"/>
      <c r="V186" s="53"/>
      <c r="W186" s="53"/>
      <c r="X186" s="61" t="str">
        <f>IFERROR(IF(W186="","",WORKDAY.INTL(B186,_xlfn.XLOOKUP(W186,Regras!$F$2:$F$11,Regras!$G$2:$G$11))),"")</f>
        <v/>
      </c>
      <c r="Y186" s="150"/>
      <c r="Z186" s="53"/>
      <c r="AA186" s="53"/>
    </row>
    <row r="187" spans="2:28" x14ac:dyDescent="0.2">
      <c r="B187" s="89">
        <v>45798</v>
      </c>
      <c r="D187" s="100" t="s">
        <v>587</v>
      </c>
      <c r="E187" s="126" t="s">
        <v>588</v>
      </c>
      <c r="F187" s="100" t="s">
        <v>26</v>
      </c>
      <c r="G187" s="100" t="s">
        <v>53</v>
      </c>
      <c r="H187" s="148" t="s">
        <v>589</v>
      </c>
      <c r="I187" s="142">
        <v>657.21</v>
      </c>
      <c r="J187" s="144">
        <v>113</v>
      </c>
      <c r="K187" s="144">
        <v>41</v>
      </c>
      <c r="L187" s="88" t="s">
        <v>743</v>
      </c>
      <c r="M187" s="58"/>
      <c r="N187" s="59"/>
      <c r="O187" s="50"/>
      <c r="P187" s="60"/>
      <c r="R187" s="53" t="s">
        <v>764</v>
      </c>
      <c r="S187" s="53" t="s">
        <v>764</v>
      </c>
      <c r="T187" s="53" t="s">
        <v>769</v>
      </c>
      <c r="U187" s="53" t="s">
        <v>741</v>
      </c>
      <c r="V187" s="53" t="s">
        <v>765</v>
      </c>
      <c r="W187" s="53" t="s">
        <v>740</v>
      </c>
      <c r="X187" s="61">
        <v>45919</v>
      </c>
      <c r="Y187" s="150" t="s">
        <v>782</v>
      </c>
      <c r="Z187" s="53" t="s">
        <v>764</v>
      </c>
      <c r="AA187" s="53"/>
      <c r="AB187" s="155" t="s">
        <v>791</v>
      </c>
    </row>
    <row r="188" spans="2:28" x14ac:dyDescent="0.2">
      <c r="B188" s="89">
        <v>45793</v>
      </c>
      <c r="D188" s="85" t="s">
        <v>604</v>
      </c>
      <c r="E188" s="125" t="s">
        <v>605</v>
      </c>
      <c r="F188" s="85" t="s">
        <v>22</v>
      </c>
      <c r="G188" s="85" t="s">
        <v>32</v>
      </c>
      <c r="H188" s="148" t="s">
        <v>603</v>
      </c>
      <c r="I188" s="142">
        <v>528.27</v>
      </c>
      <c r="J188" s="144">
        <v>118</v>
      </c>
      <c r="K188" s="148" t="s">
        <v>933</v>
      </c>
      <c r="L188" s="88" t="s">
        <v>743</v>
      </c>
      <c r="M188" s="58"/>
      <c r="N188" s="59"/>
      <c r="O188" s="50"/>
      <c r="P188" s="60"/>
      <c r="R188" s="53" t="s">
        <v>764</v>
      </c>
      <c r="S188" s="53" t="s">
        <v>769</v>
      </c>
      <c r="T188" s="53" t="s">
        <v>769</v>
      </c>
      <c r="U188" s="53" t="s">
        <v>741</v>
      </c>
      <c r="V188" s="53" t="s">
        <v>768</v>
      </c>
      <c r="W188" s="53" t="s">
        <v>766</v>
      </c>
      <c r="X188" s="61">
        <f>IFERROR(IF(W188="","",WORKDAY.INTL(B188,_xlfn.XLOOKUP(W188,Regras!$F$2:$F$11,Regras!$G$2:$G$11))),"")</f>
        <v>45856</v>
      </c>
      <c r="Y188" s="150" t="s">
        <v>771</v>
      </c>
      <c r="Z188" s="53" t="s">
        <v>764</v>
      </c>
      <c r="AA188" s="53"/>
      <c r="AB188" s="155" t="s">
        <v>772</v>
      </c>
    </row>
    <row r="189" spans="2:28" x14ac:dyDescent="0.2">
      <c r="B189" s="89">
        <v>45789</v>
      </c>
      <c r="D189" s="85" t="s">
        <v>620</v>
      </c>
      <c r="E189" s="125" t="s">
        <v>621</v>
      </c>
      <c r="F189" s="85" t="s">
        <v>17</v>
      </c>
      <c r="G189" s="85" t="s">
        <v>32</v>
      </c>
      <c r="H189" s="148" t="s">
        <v>619</v>
      </c>
      <c r="I189" s="142">
        <v>1558.74</v>
      </c>
      <c r="J189" s="144">
        <v>122</v>
      </c>
      <c r="K189" s="148" t="s">
        <v>933</v>
      </c>
      <c r="L189" s="88" t="s">
        <v>743</v>
      </c>
      <c r="M189" s="58"/>
      <c r="N189" s="59"/>
      <c r="O189" s="50"/>
      <c r="P189" s="60"/>
      <c r="R189" s="53" t="s">
        <v>764</v>
      </c>
      <c r="S189" s="53" t="s">
        <v>769</v>
      </c>
      <c r="T189" s="53" t="s">
        <v>769</v>
      </c>
      <c r="U189" s="53" t="s">
        <v>741</v>
      </c>
      <c r="V189" s="53" t="s">
        <v>768</v>
      </c>
      <c r="W189" s="53" t="s">
        <v>766</v>
      </c>
      <c r="X189" s="61">
        <f>IFERROR(IF(W189="","",WORKDAY.INTL(B189,_xlfn.XLOOKUP(W189,Regras!$F$2:$F$11,Regras!$G$2:$G$11))),"")</f>
        <v>45852</v>
      </c>
      <c r="Y189" s="150" t="s">
        <v>771</v>
      </c>
      <c r="Z189" s="53" t="s">
        <v>764</v>
      </c>
      <c r="AA189" s="53"/>
      <c r="AB189" s="155" t="s">
        <v>781</v>
      </c>
    </row>
    <row r="190" spans="2:28" x14ac:dyDescent="0.2">
      <c r="B190" s="89"/>
      <c r="D190" s="85" t="s">
        <v>675</v>
      </c>
      <c r="E190" s="125" t="s">
        <v>676</v>
      </c>
      <c r="F190" s="85" t="s">
        <v>17</v>
      </c>
      <c r="G190" s="85" t="s">
        <v>12</v>
      </c>
      <c r="H190" s="148" t="s">
        <v>677</v>
      </c>
      <c r="I190" s="142">
        <v>838.45</v>
      </c>
      <c r="J190" s="144">
        <v>136</v>
      </c>
      <c r="K190" s="148" t="s">
        <v>933</v>
      </c>
      <c r="L190" s="88" t="s">
        <v>743</v>
      </c>
      <c r="M190" s="58"/>
      <c r="N190" s="59"/>
      <c r="O190" s="50"/>
      <c r="P190" s="60"/>
      <c r="R190" s="53"/>
      <c r="S190" s="53"/>
      <c r="T190" s="53"/>
      <c r="U190" s="53"/>
      <c r="V190" s="53"/>
      <c r="W190" s="53"/>
      <c r="X190" s="61" t="str">
        <f>IFERROR(IF(W190="","",WORKDAY.INTL(B190,_xlfn.XLOOKUP(W190,Regras!$F$2:$F$11,Regras!$G$2:$G$11))),"")</f>
        <v/>
      </c>
      <c r="Y190" s="150"/>
      <c r="Z190" s="53"/>
      <c r="AA190" s="53"/>
    </row>
    <row r="191" spans="2:28" x14ac:dyDescent="0.2">
      <c r="B191" s="89">
        <v>45772</v>
      </c>
      <c r="D191" s="85" t="s">
        <v>684</v>
      </c>
      <c r="E191" s="125" t="s">
        <v>685</v>
      </c>
      <c r="F191" s="85" t="s">
        <v>46</v>
      </c>
      <c r="G191" s="85" t="s">
        <v>12</v>
      </c>
      <c r="H191" s="148" t="s">
        <v>680</v>
      </c>
      <c r="I191" s="142">
        <v>1072.0899999999999</v>
      </c>
      <c r="J191" s="144">
        <v>139</v>
      </c>
      <c r="K191" s="148" t="s">
        <v>933</v>
      </c>
      <c r="L191" s="88" t="s">
        <v>743</v>
      </c>
      <c r="M191" s="58"/>
      <c r="N191" s="59"/>
      <c r="O191" s="50"/>
      <c r="P191" s="60"/>
      <c r="R191" s="53" t="s">
        <v>764</v>
      </c>
      <c r="S191" s="53" t="s">
        <v>764</v>
      </c>
      <c r="T191" s="53" t="s">
        <v>769</v>
      </c>
      <c r="U191" s="53" t="s">
        <v>741</v>
      </c>
      <c r="V191" s="53" t="s">
        <v>768</v>
      </c>
      <c r="W191" s="53" t="s">
        <v>796</v>
      </c>
      <c r="X191" s="61" t="str">
        <f>IFERROR(IF(W191="","",WORKDAY.INTL(B191,_xlfn.XLOOKUP(W191,Regras!$F$2:$F$11,Regras!$G$2:$G$11))),"")</f>
        <v/>
      </c>
      <c r="Y191" s="150"/>
      <c r="Z191" s="53"/>
      <c r="AA191" s="53" t="s">
        <v>797</v>
      </c>
      <c r="AB191" s="155" t="s">
        <v>797</v>
      </c>
    </row>
    <row r="192" spans="2:28" ht="14.25" customHeight="1" x14ac:dyDescent="0.2">
      <c r="B192" s="89">
        <v>45772</v>
      </c>
      <c r="D192" s="85" t="s">
        <v>684</v>
      </c>
      <c r="E192" s="125" t="s">
        <v>685</v>
      </c>
      <c r="F192" s="85" t="s">
        <v>46</v>
      </c>
      <c r="G192" s="85" t="s">
        <v>12</v>
      </c>
      <c r="H192" s="148" t="s">
        <v>680</v>
      </c>
      <c r="I192" s="142">
        <v>1072.0899999999999</v>
      </c>
      <c r="J192" s="144">
        <v>139</v>
      </c>
      <c r="K192" s="148" t="s">
        <v>933</v>
      </c>
      <c r="L192" s="88" t="s">
        <v>743</v>
      </c>
      <c r="M192" s="58"/>
      <c r="N192" s="59"/>
      <c r="O192" s="50"/>
      <c r="P192" s="60"/>
      <c r="R192" s="53" t="s">
        <v>764</v>
      </c>
      <c r="S192" s="53" t="s">
        <v>764</v>
      </c>
      <c r="T192" s="53" t="s">
        <v>769</v>
      </c>
      <c r="U192" s="53" t="s">
        <v>741</v>
      </c>
      <c r="V192" s="53" t="s">
        <v>768</v>
      </c>
      <c r="W192" s="53" t="s">
        <v>796</v>
      </c>
      <c r="X192" s="61" t="str">
        <f>IFERROR(IF(W192="","",WORKDAY.INTL(B192,_xlfn.XLOOKUP(W192,Regras!$F$2:$F$11,Regras!$G$2:$G$11))),"")</f>
        <v/>
      </c>
      <c r="Y192" s="150"/>
      <c r="Z192" s="53"/>
      <c r="AA192" s="53"/>
      <c r="AB192" s="155" t="s">
        <v>797</v>
      </c>
    </row>
    <row r="193" spans="2:28" x14ac:dyDescent="0.2">
      <c r="B193" s="89">
        <v>45854</v>
      </c>
      <c r="D193" s="85" t="s">
        <v>815</v>
      </c>
      <c r="E193" s="133" t="s">
        <v>816</v>
      </c>
      <c r="F193" s="85" t="s">
        <v>22</v>
      </c>
      <c r="G193" s="85" t="s">
        <v>12</v>
      </c>
      <c r="H193" s="148" t="s">
        <v>933</v>
      </c>
      <c r="I193" s="142" t="s">
        <v>933</v>
      </c>
      <c r="J193" s="144" t="s">
        <v>933</v>
      </c>
      <c r="K193" s="144" t="s">
        <v>933</v>
      </c>
      <c r="L193" s="101" t="s">
        <v>888</v>
      </c>
      <c r="M193" s="58"/>
      <c r="N193" s="59"/>
      <c r="O193" s="50"/>
      <c r="P193" s="60"/>
      <c r="R193" s="53" t="s">
        <v>764</v>
      </c>
      <c r="S193" s="53" t="s">
        <v>769</v>
      </c>
      <c r="T193" s="53" t="s">
        <v>764</v>
      </c>
      <c r="U193" s="53" t="s">
        <v>741</v>
      </c>
      <c r="V193" s="53" t="s">
        <v>768</v>
      </c>
      <c r="W193" s="53" t="s">
        <v>780</v>
      </c>
      <c r="X193" s="61">
        <f>IFERROR(IF(W193="","",WORKDAY.INTL(B193,_xlfn.XLOOKUP(W193,Regras!$F$2:$F$11,Regras!$G$2:$G$11))),"")</f>
        <v>45856</v>
      </c>
      <c r="Y193" s="150"/>
      <c r="Z193" s="53"/>
      <c r="AA193" s="53"/>
    </row>
    <row r="194" spans="2:28" x14ac:dyDescent="0.2">
      <c r="B194" s="89">
        <v>45915</v>
      </c>
      <c r="D194" s="85" t="s">
        <v>815</v>
      </c>
      <c r="E194" s="133" t="s">
        <v>816</v>
      </c>
      <c r="F194" s="85" t="s">
        <v>22</v>
      </c>
      <c r="G194" s="85" t="s">
        <v>12</v>
      </c>
      <c r="H194" s="148" t="s">
        <v>933</v>
      </c>
      <c r="I194" s="142" t="s">
        <v>933</v>
      </c>
      <c r="J194" s="144" t="s">
        <v>933</v>
      </c>
      <c r="K194" s="144" t="s">
        <v>933</v>
      </c>
      <c r="L194" s="101" t="s">
        <v>888</v>
      </c>
      <c r="M194" s="58"/>
      <c r="N194" s="59"/>
      <c r="O194" s="50"/>
      <c r="P194" s="60"/>
      <c r="R194" s="53" t="s">
        <v>764</v>
      </c>
      <c r="S194" s="53" t="s">
        <v>769</v>
      </c>
      <c r="T194" s="53" t="s">
        <v>769</v>
      </c>
      <c r="U194" s="53" t="s">
        <v>741</v>
      </c>
      <c r="V194" s="53" t="s">
        <v>768</v>
      </c>
      <c r="W194" s="53" t="s">
        <v>1053</v>
      </c>
      <c r="X194" s="61">
        <f>IFERROR(IF(W194="","",WORKDAY.INTL(B194,_xlfn.XLOOKUP(W194,Regras!$F$2:$F$11,Regras!$G$2:$G$11))),"")</f>
        <v>45924</v>
      </c>
      <c r="Y194" s="150" t="s">
        <v>755</v>
      </c>
      <c r="Z194" s="53" t="s">
        <v>764</v>
      </c>
      <c r="AA194" s="53"/>
      <c r="AB194" s="155" t="s">
        <v>817</v>
      </c>
    </row>
    <row r="195" spans="2:28" x14ac:dyDescent="0.2">
      <c r="B195" s="89">
        <v>45865</v>
      </c>
      <c r="D195" s="85" t="s">
        <v>818</v>
      </c>
      <c r="E195" s="133" t="s">
        <v>819</v>
      </c>
      <c r="F195" s="85" t="s">
        <v>46</v>
      </c>
      <c r="G195" s="85" t="s">
        <v>12</v>
      </c>
      <c r="H195" s="148" t="s">
        <v>933</v>
      </c>
      <c r="I195" s="142" t="s">
        <v>933</v>
      </c>
      <c r="J195" s="144" t="s">
        <v>933</v>
      </c>
      <c r="K195" s="144" t="s">
        <v>933</v>
      </c>
      <c r="L195" s="101" t="s">
        <v>888</v>
      </c>
      <c r="M195" s="58"/>
      <c r="N195" s="59"/>
      <c r="O195" s="50"/>
      <c r="P195" s="60"/>
      <c r="R195" s="53" t="s">
        <v>764</v>
      </c>
      <c r="S195" s="53" t="s">
        <v>764</v>
      </c>
      <c r="T195" s="53" t="s">
        <v>764</v>
      </c>
      <c r="U195" s="53" t="s">
        <v>773</v>
      </c>
      <c r="V195" s="53" t="s">
        <v>768</v>
      </c>
      <c r="W195" s="53" t="s">
        <v>780</v>
      </c>
      <c r="X195" s="61">
        <f>IFERROR(IF(W195="","",WORKDAY.INTL(B195,_xlfn.XLOOKUP(W195,Regras!$F$2:$F$11,Regras!$G$2:$G$11))),"")</f>
        <v>45867</v>
      </c>
      <c r="Y195" s="150" t="s">
        <v>755</v>
      </c>
      <c r="Z195" s="53" t="s">
        <v>764</v>
      </c>
      <c r="AA195" s="53"/>
      <c r="AB195" s="155" t="s">
        <v>820</v>
      </c>
    </row>
    <row r="196" spans="2:28" x14ac:dyDescent="0.2">
      <c r="B196" s="89">
        <v>45915</v>
      </c>
      <c r="D196" s="85" t="s">
        <v>818</v>
      </c>
      <c r="E196" s="133" t="s">
        <v>819</v>
      </c>
      <c r="F196" s="85" t="s">
        <v>46</v>
      </c>
      <c r="G196" s="85" t="s">
        <v>12</v>
      </c>
      <c r="H196" s="148" t="s">
        <v>933</v>
      </c>
      <c r="I196" s="142" t="s">
        <v>933</v>
      </c>
      <c r="J196" s="144" t="s">
        <v>933</v>
      </c>
      <c r="K196" s="144" t="s">
        <v>933</v>
      </c>
      <c r="L196" s="101" t="s">
        <v>888</v>
      </c>
      <c r="M196" s="58"/>
      <c r="N196" s="59"/>
      <c r="O196" s="50"/>
      <c r="P196" s="60"/>
      <c r="R196" s="53" t="s">
        <v>764</v>
      </c>
      <c r="S196" s="53" t="s">
        <v>769</v>
      </c>
      <c r="T196" s="53" t="s">
        <v>769</v>
      </c>
      <c r="U196" s="53" t="s">
        <v>741</v>
      </c>
      <c r="V196" s="53" t="s">
        <v>768</v>
      </c>
      <c r="W196" s="53" t="s">
        <v>1053</v>
      </c>
      <c r="X196" s="61">
        <f>IFERROR(IF(W196="","",WORKDAY.INTL(B196,_xlfn.XLOOKUP(W196,Regras!$F$2:$F$11,Regras!$G$2:$G$11))),"")</f>
        <v>45924</v>
      </c>
      <c r="Y196" s="150" t="s">
        <v>755</v>
      </c>
      <c r="Z196" s="53" t="s">
        <v>764</v>
      </c>
      <c r="AA196" s="53"/>
      <c r="AB196" s="155" t="s">
        <v>817</v>
      </c>
    </row>
    <row r="197" spans="2:28" x14ac:dyDescent="0.2">
      <c r="B197" s="89">
        <v>45915</v>
      </c>
      <c r="D197" s="85" t="s">
        <v>821</v>
      </c>
      <c r="E197" s="133" t="s">
        <v>822</v>
      </c>
      <c r="F197" s="85" t="s">
        <v>31</v>
      </c>
      <c r="G197" s="85" t="s">
        <v>12</v>
      </c>
      <c r="H197" s="148" t="s">
        <v>933</v>
      </c>
      <c r="I197" s="142" t="s">
        <v>933</v>
      </c>
      <c r="J197" s="144" t="s">
        <v>933</v>
      </c>
      <c r="K197" s="144" t="s">
        <v>933</v>
      </c>
      <c r="L197" s="101" t="s">
        <v>888</v>
      </c>
      <c r="M197" s="58"/>
      <c r="N197" s="59"/>
      <c r="O197" s="50"/>
      <c r="P197" s="60"/>
      <c r="R197" s="53" t="s">
        <v>764</v>
      </c>
      <c r="S197" s="53" t="s">
        <v>764</v>
      </c>
      <c r="T197" s="53" t="s">
        <v>764</v>
      </c>
      <c r="U197" s="53" t="s">
        <v>741</v>
      </c>
      <c r="V197" s="53" t="s">
        <v>768</v>
      </c>
      <c r="W197" s="53" t="s">
        <v>1053</v>
      </c>
      <c r="X197" s="61">
        <f>IFERROR(IF(W197="","",WORKDAY.INTL(B197,_xlfn.XLOOKUP(W197,Regras!$F$2:$F$11,Regras!$G$2:$G$11))),"")</f>
        <v>45924</v>
      </c>
      <c r="Y197" s="150" t="s">
        <v>823</v>
      </c>
      <c r="Z197" s="53"/>
      <c r="AA197" s="53"/>
      <c r="AB197" s="155" t="s">
        <v>824</v>
      </c>
    </row>
    <row r="198" spans="2:28" x14ac:dyDescent="0.2">
      <c r="B198" s="89">
        <v>45915</v>
      </c>
      <c r="D198" s="85" t="s">
        <v>825</v>
      </c>
      <c r="E198" s="133" t="s">
        <v>933</v>
      </c>
      <c r="F198" s="85" t="s">
        <v>49</v>
      </c>
      <c r="G198" s="85" t="s">
        <v>12</v>
      </c>
      <c r="H198" s="148" t="s">
        <v>933</v>
      </c>
      <c r="I198" s="142" t="s">
        <v>933</v>
      </c>
      <c r="J198" s="144" t="s">
        <v>933</v>
      </c>
      <c r="K198" s="144" t="s">
        <v>933</v>
      </c>
      <c r="L198" s="101" t="s">
        <v>888</v>
      </c>
      <c r="M198" s="58"/>
      <c r="N198" s="59"/>
      <c r="O198" s="50"/>
      <c r="P198" s="60"/>
      <c r="R198" s="53" t="s">
        <v>764</v>
      </c>
      <c r="S198" s="53" t="s">
        <v>764</v>
      </c>
      <c r="T198" s="53" t="s">
        <v>764</v>
      </c>
      <c r="U198" s="53" t="s">
        <v>773</v>
      </c>
      <c r="V198" s="53" t="s">
        <v>768</v>
      </c>
      <c r="W198" s="53" t="s">
        <v>796</v>
      </c>
      <c r="X198" s="61" t="str">
        <f>IFERROR(IF(W198="","",WORKDAY.INTL(B198,_xlfn.XLOOKUP(W198,Regras!$F$2:$F$11,Regras!$G$2:$G$11))),"")</f>
        <v/>
      </c>
      <c r="Y198" s="150"/>
      <c r="Z198" s="53" t="s">
        <v>769</v>
      </c>
      <c r="AA198" s="53"/>
      <c r="AB198" s="155" t="s">
        <v>826</v>
      </c>
    </row>
    <row r="199" spans="2:28" x14ac:dyDescent="0.2">
      <c r="B199" s="89">
        <v>45915</v>
      </c>
      <c r="D199" s="85" t="s">
        <v>827</v>
      </c>
      <c r="E199" s="133" t="s">
        <v>828</v>
      </c>
      <c r="F199" s="85" t="s">
        <v>11</v>
      </c>
      <c r="G199" s="85" t="s">
        <v>829</v>
      </c>
      <c r="H199" s="148" t="s">
        <v>933</v>
      </c>
      <c r="I199" s="142" t="s">
        <v>933</v>
      </c>
      <c r="J199" s="144" t="s">
        <v>933</v>
      </c>
      <c r="K199" s="144" t="s">
        <v>933</v>
      </c>
      <c r="L199" s="101" t="s">
        <v>888</v>
      </c>
      <c r="M199" s="58"/>
      <c r="N199" s="59"/>
      <c r="O199" s="50"/>
      <c r="P199" s="60"/>
      <c r="R199" s="53" t="s">
        <v>764</v>
      </c>
      <c r="S199" s="53" t="s">
        <v>769</v>
      </c>
      <c r="T199" s="53" t="s">
        <v>769</v>
      </c>
      <c r="U199" s="53" t="s">
        <v>773</v>
      </c>
      <c r="V199" s="53" t="s">
        <v>768</v>
      </c>
      <c r="W199" s="53" t="s">
        <v>1053</v>
      </c>
      <c r="X199" s="61">
        <f>IFERROR(IF(W199="","",WORKDAY.INTL(B199,_xlfn.XLOOKUP(W199,Regras!$F$2:$F$11,Regras!$G$2:$G$11))),"")</f>
        <v>45924</v>
      </c>
      <c r="Y199" s="150" t="s">
        <v>830</v>
      </c>
      <c r="Z199" s="53" t="s">
        <v>764</v>
      </c>
      <c r="AA199" s="53"/>
      <c r="AB199" s="155" t="s">
        <v>831</v>
      </c>
    </row>
    <row r="200" spans="2:28" x14ac:dyDescent="0.2">
      <c r="B200" s="89">
        <v>45915</v>
      </c>
      <c r="D200" s="85" t="s">
        <v>832</v>
      </c>
      <c r="E200" s="133" t="s">
        <v>933</v>
      </c>
      <c r="F200" s="85" t="s">
        <v>22</v>
      </c>
      <c r="G200" s="85" t="s">
        <v>829</v>
      </c>
      <c r="H200" s="148" t="s">
        <v>933</v>
      </c>
      <c r="I200" s="142" t="s">
        <v>933</v>
      </c>
      <c r="J200" s="144" t="s">
        <v>933</v>
      </c>
      <c r="K200" s="144" t="s">
        <v>933</v>
      </c>
      <c r="L200" s="101" t="s">
        <v>888</v>
      </c>
      <c r="M200" s="58"/>
      <c r="N200" s="59"/>
      <c r="O200" s="50"/>
      <c r="P200" s="60"/>
      <c r="R200" s="53" t="s">
        <v>764</v>
      </c>
      <c r="S200" s="53" t="s">
        <v>764</v>
      </c>
      <c r="T200" s="53" t="s">
        <v>769</v>
      </c>
      <c r="U200" s="53" t="s">
        <v>741</v>
      </c>
      <c r="V200" s="53" t="s">
        <v>768</v>
      </c>
      <c r="W200" s="53" t="s">
        <v>780</v>
      </c>
      <c r="X200" s="61">
        <f>IFERROR(IF(W200="","",WORKDAY.INTL(B200,_xlfn.XLOOKUP(W200,Regras!$F$2:$F$11,Regras!$G$2:$G$11))),"")</f>
        <v>45917</v>
      </c>
      <c r="Y200" s="150" t="s">
        <v>833</v>
      </c>
      <c r="Z200" s="53" t="s">
        <v>769</v>
      </c>
      <c r="AA200" s="53"/>
    </row>
    <row r="201" spans="2:28" x14ac:dyDescent="0.2">
      <c r="B201" s="89">
        <v>45915</v>
      </c>
      <c r="D201" s="85" t="s">
        <v>834</v>
      </c>
      <c r="E201" s="133" t="s">
        <v>835</v>
      </c>
      <c r="F201" s="85" t="s">
        <v>17</v>
      </c>
      <c r="G201" s="85" t="s">
        <v>829</v>
      </c>
      <c r="H201" s="148" t="s">
        <v>933</v>
      </c>
      <c r="I201" s="142" t="s">
        <v>933</v>
      </c>
      <c r="J201" s="144" t="s">
        <v>933</v>
      </c>
      <c r="K201" s="144" t="s">
        <v>933</v>
      </c>
      <c r="L201" s="101" t="s">
        <v>888</v>
      </c>
      <c r="M201" s="58"/>
      <c r="N201" s="59"/>
      <c r="O201" s="50"/>
      <c r="P201" s="60"/>
      <c r="R201" s="53" t="s">
        <v>764</v>
      </c>
      <c r="S201" s="53" t="s">
        <v>769</v>
      </c>
      <c r="T201" s="53" t="s">
        <v>769</v>
      </c>
      <c r="U201" s="53" t="s">
        <v>741</v>
      </c>
      <c r="V201" s="53" t="s">
        <v>768</v>
      </c>
      <c r="W201" s="53" t="s">
        <v>766</v>
      </c>
      <c r="X201" s="61">
        <f>IFERROR(IF(W201="","",WORKDAY.INTL(B201,_xlfn.XLOOKUP(W201,Regras!$F$2:$F$11,Regras!$G$2:$G$11))),"")</f>
        <v>45978</v>
      </c>
      <c r="Y201" s="150" t="s">
        <v>836</v>
      </c>
      <c r="Z201" s="53" t="s">
        <v>764</v>
      </c>
      <c r="AA201" s="53"/>
      <c r="AB201" s="155" t="s">
        <v>837</v>
      </c>
    </row>
    <row r="202" spans="2:28" x14ac:dyDescent="0.2">
      <c r="B202" s="89">
        <v>45915</v>
      </c>
      <c r="D202" s="85" t="s">
        <v>838</v>
      </c>
      <c r="E202" s="133" t="s">
        <v>933</v>
      </c>
      <c r="F202" s="85" t="s">
        <v>22</v>
      </c>
      <c r="G202" s="85" t="s">
        <v>829</v>
      </c>
      <c r="H202" s="148" t="s">
        <v>933</v>
      </c>
      <c r="I202" s="142" t="s">
        <v>933</v>
      </c>
      <c r="J202" s="144" t="s">
        <v>933</v>
      </c>
      <c r="K202" s="144" t="s">
        <v>933</v>
      </c>
      <c r="L202" s="101" t="s">
        <v>888</v>
      </c>
      <c r="M202" s="58"/>
      <c r="N202" s="59"/>
      <c r="O202" s="50"/>
      <c r="P202" s="60"/>
      <c r="R202" s="53" t="s">
        <v>764</v>
      </c>
      <c r="S202" s="53" t="s">
        <v>769</v>
      </c>
      <c r="T202" s="53" t="s">
        <v>769</v>
      </c>
      <c r="U202" s="53" t="s">
        <v>773</v>
      </c>
      <c r="V202" s="53" t="s">
        <v>813</v>
      </c>
      <c r="W202" s="53" t="s">
        <v>839</v>
      </c>
      <c r="X202" s="61">
        <f>IFERROR(IF(W202="","",WORKDAY.INTL(B202,_xlfn.XLOOKUP(W202,Regras!$F$2:$F$11,Regras!$G$2:$G$11))),"")</f>
        <v>45916</v>
      </c>
      <c r="Y202" s="150" t="s">
        <v>840</v>
      </c>
      <c r="Z202" s="53" t="s">
        <v>764</v>
      </c>
      <c r="AA202" s="53"/>
      <c r="AB202" s="156" t="s">
        <v>840</v>
      </c>
    </row>
    <row r="203" spans="2:28" x14ac:dyDescent="0.2">
      <c r="B203" s="89">
        <v>45915</v>
      </c>
      <c r="D203" s="85" t="s">
        <v>841</v>
      </c>
      <c r="E203" s="133" t="s">
        <v>842</v>
      </c>
      <c r="F203" s="85"/>
      <c r="G203" s="85" t="s">
        <v>829</v>
      </c>
      <c r="H203" s="148" t="s">
        <v>933</v>
      </c>
      <c r="I203" s="142" t="s">
        <v>933</v>
      </c>
      <c r="J203" s="144" t="s">
        <v>933</v>
      </c>
      <c r="K203" s="144" t="s">
        <v>933</v>
      </c>
      <c r="L203" s="101" t="s">
        <v>888</v>
      </c>
      <c r="M203" s="58"/>
      <c r="N203" s="59"/>
      <c r="O203" s="50"/>
      <c r="P203" s="60"/>
      <c r="R203" s="53" t="s">
        <v>769</v>
      </c>
      <c r="S203" s="53" t="s">
        <v>769</v>
      </c>
      <c r="T203" s="53" t="s">
        <v>769</v>
      </c>
      <c r="U203" s="53" t="s">
        <v>741</v>
      </c>
      <c r="V203" s="53" t="s">
        <v>768</v>
      </c>
      <c r="W203" s="53" t="s">
        <v>839</v>
      </c>
      <c r="X203" s="61">
        <f>IFERROR(IF(W203="","",WORKDAY.INTL(B203,_xlfn.XLOOKUP(W203,Regras!$F$2:$F$11,Regras!$G$2:$G$11))),"")</f>
        <v>45916</v>
      </c>
      <c r="Y203" s="150" t="s">
        <v>843</v>
      </c>
      <c r="Z203" s="53" t="s">
        <v>764</v>
      </c>
      <c r="AA203" s="53"/>
      <c r="AB203" s="156" t="s">
        <v>843</v>
      </c>
    </row>
    <row r="204" spans="2:28" x14ac:dyDescent="0.2">
      <c r="B204" s="89">
        <v>45915</v>
      </c>
      <c r="D204" s="85" t="s">
        <v>827</v>
      </c>
      <c r="E204" s="133" t="s">
        <v>828</v>
      </c>
      <c r="F204" s="85" t="s">
        <v>11</v>
      </c>
      <c r="G204" s="85" t="s">
        <v>829</v>
      </c>
      <c r="H204" s="148" t="s">
        <v>933</v>
      </c>
      <c r="I204" s="142" t="s">
        <v>933</v>
      </c>
      <c r="J204" s="144" t="s">
        <v>933</v>
      </c>
      <c r="K204" s="144" t="s">
        <v>933</v>
      </c>
      <c r="L204" s="101" t="s">
        <v>888</v>
      </c>
      <c r="M204" s="58"/>
      <c r="N204" s="59"/>
      <c r="O204" s="50"/>
      <c r="P204" s="60"/>
      <c r="R204" s="53" t="s">
        <v>764</v>
      </c>
      <c r="S204" s="53" t="s">
        <v>769</v>
      </c>
      <c r="T204" s="53" t="s">
        <v>769</v>
      </c>
      <c r="U204" s="53" t="s">
        <v>741</v>
      </c>
      <c r="V204" s="53" t="s">
        <v>768</v>
      </c>
      <c r="W204" s="53" t="s">
        <v>780</v>
      </c>
      <c r="X204" s="61">
        <f>IFERROR(IF(W204="","",WORKDAY.INTL(B204,_xlfn.XLOOKUP(W204,Regras!$F$2:$F$11,Regras!$G$2:$G$11))),"")</f>
        <v>45917</v>
      </c>
      <c r="Y204" s="150" t="s">
        <v>844</v>
      </c>
      <c r="Z204" s="53" t="s">
        <v>764</v>
      </c>
      <c r="AA204" s="53"/>
      <c r="AB204" s="155" t="s">
        <v>845</v>
      </c>
    </row>
    <row r="205" spans="2:28" x14ac:dyDescent="0.2">
      <c r="B205" s="89">
        <v>45916</v>
      </c>
      <c r="D205" s="85" t="s">
        <v>224</v>
      </c>
      <c r="E205" s="125" t="s">
        <v>225</v>
      </c>
      <c r="F205" s="85" t="s">
        <v>22</v>
      </c>
      <c r="G205" s="85" t="s">
        <v>12</v>
      </c>
      <c r="H205" s="148" t="s">
        <v>933</v>
      </c>
      <c r="I205" s="142" t="s">
        <v>933</v>
      </c>
      <c r="J205" s="144" t="s">
        <v>933</v>
      </c>
      <c r="K205" s="144" t="s">
        <v>933</v>
      </c>
      <c r="L205" s="86" t="s">
        <v>741</v>
      </c>
      <c r="M205" s="58"/>
      <c r="N205" s="59"/>
      <c r="O205" s="50"/>
      <c r="P205" s="60"/>
      <c r="R205" s="53" t="s">
        <v>764</v>
      </c>
      <c r="S205" s="53" t="s">
        <v>769</v>
      </c>
      <c r="T205" s="53" t="s">
        <v>769</v>
      </c>
      <c r="U205" s="53" t="s">
        <v>741</v>
      </c>
      <c r="V205" s="53" t="s">
        <v>770</v>
      </c>
      <c r="W205" s="53" t="s">
        <v>766</v>
      </c>
      <c r="X205" s="61">
        <f>IFERROR(IF(W205="","",WORKDAY.INTL(B205,_xlfn.XLOOKUP(W205,Regras!$F$2:$F$11,Regras!$G$2:$G$11))),"")</f>
        <v>45979</v>
      </c>
      <c r="Y205" s="150" t="s">
        <v>782</v>
      </c>
      <c r="Z205" s="53" t="s">
        <v>764</v>
      </c>
      <c r="AA205" s="53"/>
      <c r="AB205" s="155" t="s">
        <v>846</v>
      </c>
    </row>
    <row r="206" spans="2:28" x14ac:dyDescent="0.2">
      <c r="B206" s="89">
        <v>45916</v>
      </c>
      <c r="D206" s="85" t="s">
        <v>847</v>
      </c>
      <c r="E206" s="125" t="s">
        <v>848</v>
      </c>
      <c r="F206" s="85" t="s">
        <v>36</v>
      </c>
      <c r="G206" s="85" t="s">
        <v>12</v>
      </c>
      <c r="H206" s="148" t="s">
        <v>933</v>
      </c>
      <c r="I206" s="142" t="s">
        <v>933</v>
      </c>
      <c r="J206" s="144" t="s">
        <v>933</v>
      </c>
      <c r="K206" s="144" t="s">
        <v>933</v>
      </c>
      <c r="L206" s="86" t="s">
        <v>741</v>
      </c>
      <c r="M206" s="58"/>
      <c r="N206" s="59"/>
      <c r="O206" s="50"/>
      <c r="P206" s="60"/>
      <c r="R206" s="53" t="s">
        <v>764</v>
      </c>
      <c r="S206" s="53" t="s">
        <v>764</v>
      </c>
      <c r="T206" s="53" t="s">
        <v>769</v>
      </c>
      <c r="U206" s="53" t="s">
        <v>741</v>
      </c>
      <c r="V206" s="53" t="s">
        <v>768</v>
      </c>
      <c r="W206" s="53" t="s">
        <v>849</v>
      </c>
      <c r="X206" s="61">
        <f>IFERROR(IF(W206="","",WORKDAY.INTL(B206,_xlfn.XLOOKUP(W206,Regras!$F$2:$F$11,Regras!$G$2:$G$11))),"")</f>
        <v>45918</v>
      </c>
      <c r="Y206" s="150" t="s">
        <v>801</v>
      </c>
      <c r="Z206" s="53" t="s">
        <v>764</v>
      </c>
      <c r="AA206" s="53"/>
      <c r="AB206" s="156" t="s">
        <v>850</v>
      </c>
    </row>
    <row r="207" spans="2:28" x14ac:dyDescent="0.2">
      <c r="B207" s="89">
        <v>45916</v>
      </c>
      <c r="D207" s="85" t="s">
        <v>851</v>
      </c>
      <c r="E207" s="125" t="s">
        <v>852</v>
      </c>
      <c r="F207" s="85" t="s">
        <v>36</v>
      </c>
      <c r="G207" s="85" t="s">
        <v>12</v>
      </c>
      <c r="H207" s="148" t="s">
        <v>933</v>
      </c>
      <c r="I207" s="142" t="s">
        <v>933</v>
      </c>
      <c r="J207" s="144" t="s">
        <v>933</v>
      </c>
      <c r="K207" s="144" t="s">
        <v>933</v>
      </c>
      <c r="L207" s="86" t="s">
        <v>741</v>
      </c>
      <c r="M207" s="58"/>
      <c r="N207" s="59"/>
      <c r="O207" s="50"/>
      <c r="P207" s="60"/>
      <c r="R207" s="53" t="s">
        <v>764</v>
      </c>
      <c r="S207" s="53" t="s">
        <v>769</v>
      </c>
      <c r="T207" s="53" t="s">
        <v>769</v>
      </c>
      <c r="U207" s="53" t="s">
        <v>741</v>
      </c>
      <c r="V207" s="53" t="s">
        <v>768</v>
      </c>
      <c r="W207" s="53" t="s">
        <v>849</v>
      </c>
      <c r="X207" s="61">
        <f>IFERROR(IF(W207="","",WORKDAY.INTL(B207,_xlfn.XLOOKUP(W207,Regras!$F$2:$F$11,Regras!$G$2:$G$11))),"")</f>
        <v>45918</v>
      </c>
      <c r="Y207" s="150" t="s">
        <v>801</v>
      </c>
      <c r="Z207" s="53" t="s">
        <v>764</v>
      </c>
      <c r="AA207" s="53"/>
      <c r="AB207" s="156" t="s">
        <v>850</v>
      </c>
    </row>
    <row r="208" spans="2:28" x14ac:dyDescent="0.2">
      <c r="B208" s="89">
        <v>45916</v>
      </c>
      <c r="D208" s="85" t="s">
        <v>853</v>
      </c>
      <c r="E208" s="125" t="s">
        <v>271</v>
      </c>
      <c r="F208" s="85" t="s">
        <v>11</v>
      </c>
      <c r="G208" s="85" t="s">
        <v>12</v>
      </c>
      <c r="H208" s="148" t="s">
        <v>933</v>
      </c>
      <c r="I208" s="142" t="s">
        <v>933</v>
      </c>
      <c r="J208" s="144" t="s">
        <v>933</v>
      </c>
      <c r="K208" s="144" t="s">
        <v>933</v>
      </c>
      <c r="L208" s="86" t="s">
        <v>741</v>
      </c>
      <c r="M208" s="58"/>
      <c r="N208" s="59"/>
      <c r="O208" s="50"/>
      <c r="P208" s="60"/>
      <c r="R208" s="53" t="s">
        <v>764</v>
      </c>
      <c r="S208" s="53" t="s">
        <v>769</v>
      </c>
      <c r="T208" s="53" t="s">
        <v>769</v>
      </c>
      <c r="U208" s="53" t="s">
        <v>773</v>
      </c>
      <c r="V208" s="53" t="s">
        <v>813</v>
      </c>
      <c r="W208" s="53" t="s">
        <v>777</v>
      </c>
      <c r="X208" s="61" t="str">
        <f>IFERROR(IF(W208="","",WORKDAY.INTL(B208,_xlfn.XLOOKUP(W208,Regras!$F$2:$F$11,Regras!$G$2:$G$11))),"")</f>
        <v/>
      </c>
      <c r="Y208" s="150" t="s">
        <v>854</v>
      </c>
      <c r="Z208" s="53" t="s">
        <v>764</v>
      </c>
      <c r="AA208" s="53"/>
      <c r="AB208" s="156" t="s">
        <v>855</v>
      </c>
    </row>
    <row r="209" spans="2:28" x14ac:dyDescent="0.2">
      <c r="B209" s="89">
        <v>45916</v>
      </c>
      <c r="D209" s="85" t="s">
        <v>856</v>
      </c>
      <c r="E209" s="133" t="s">
        <v>857</v>
      </c>
      <c r="F209" s="85" t="s">
        <v>328</v>
      </c>
      <c r="G209" s="85" t="s">
        <v>12</v>
      </c>
      <c r="H209" s="148" t="s">
        <v>933</v>
      </c>
      <c r="I209" s="142" t="s">
        <v>933</v>
      </c>
      <c r="J209" s="144" t="s">
        <v>933</v>
      </c>
      <c r="K209" s="144" t="s">
        <v>933</v>
      </c>
      <c r="L209" s="95" t="s">
        <v>888</v>
      </c>
      <c r="M209" s="58"/>
      <c r="N209" s="59"/>
      <c r="O209" s="50"/>
      <c r="P209" s="60"/>
      <c r="R209" s="53" t="s">
        <v>764</v>
      </c>
      <c r="S209" s="53" t="s">
        <v>769</v>
      </c>
      <c r="T209" s="53" t="s">
        <v>769</v>
      </c>
      <c r="U209" s="53" t="s">
        <v>773</v>
      </c>
      <c r="V209" s="53" t="s">
        <v>768</v>
      </c>
      <c r="W209" s="53" t="s">
        <v>849</v>
      </c>
      <c r="X209" s="61">
        <f>IFERROR(IF(W209="","",WORKDAY.INTL(B209,_xlfn.XLOOKUP(W209,Regras!$F$2:$F$11,Regras!$G$2:$G$11))),"")</f>
        <v>45918</v>
      </c>
      <c r="Y209" s="150" t="s">
        <v>801</v>
      </c>
      <c r="Z209" s="53" t="s">
        <v>764</v>
      </c>
      <c r="AA209" s="53"/>
      <c r="AB209" s="156" t="s">
        <v>850</v>
      </c>
    </row>
    <row r="210" spans="2:28" x14ac:dyDescent="0.2">
      <c r="B210" s="89">
        <v>45916</v>
      </c>
      <c r="D210" s="85" t="s">
        <v>858</v>
      </c>
      <c r="E210" s="125" t="s">
        <v>244</v>
      </c>
      <c r="F210" s="85" t="s">
        <v>11</v>
      </c>
      <c r="G210" s="85" t="s">
        <v>12</v>
      </c>
      <c r="H210" s="148" t="s">
        <v>933</v>
      </c>
      <c r="I210" s="142" t="s">
        <v>933</v>
      </c>
      <c r="J210" s="144" t="s">
        <v>933</v>
      </c>
      <c r="K210" s="144" t="s">
        <v>933</v>
      </c>
      <c r="L210" s="86" t="s">
        <v>741</v>
      </c>
      <c r="M210" s="58"/>
      <c r="N210" s="59"/>
      <c r="O210" s="50"/>
      <c r="P210" s="60"/>
      <c r="R210" s="53" t="s">
        <v>764</v>
      </c>
      <c r="S210" s="53" t="s">
        <v>764</v>
      </c>
      <c r="T210" s="53" t="s">
        <v>764</v>
      </c>
      <c r="U210" s="53" t="s">
        <v>773</v>
      </c>
      <c r="V210" s="53" t="s">
        <v>813</v>
      </c>
      <c r="W210" s="53" t="s">
        <v>777</v>
      </c>
      <c r="X210" s="61" t="str">
        <f>IFERROR(IF(W210="","",WORKDAY.INTL(B210,_xlfn.XLOOKUP(W210,Regras!$F$2:$F$11,Regras!$G$2:$G$11))),"")</f>
        <v/>
      </c>
      <c r="Y210" s="150" t="s">
        <v>777</v>
      </c>
      <c r="Z210" s="53" t="s">
        <v>764</v>
      </c>
      <c r="AA210" s="53"/>
      <c r="AB210" s="156" t="s">
        <v>859</v>
      </c>
    </row>
    <row r="211" spans="2:28" x14ac:dyDescent="0.2">
      <c r="B211" s="89">
        <v>45916</v>
      </c>
      <c r="D211" s="100" t="s">
        <v>125</v>
      </c>
      <c r="E211" s="126" t="s">
        <v>126</v>
      </c>
      <c r="F211" s="100" t="s">
        <v>49</v>
      </c>
      <c r="G211" s="100" t="s">
        <v>12</v>
      </c>
      <c r="H211" s="148" t="s">
        <v>933</v>
      </c>
      <c r="I211" s="142" t="s">
        <v>933</v>
      </c>
      <c r="J211" s="144" t="s">
        <v>933</v>
      </c>
      <c r="K211" s="144" t="s">
        <v>933</v>
      </c>
      <c r="L211" s="86" t="s">
        <v>741</v>
      </c>
      <c r="M211" s="58"/>
      <c r="N211" s="59"/>
      <c r="O211" s="50"/>
      <c r="P211" s="60"/>
      <c r="R211" s="53" t="s">
        <v>764</v>
      </c>
      <c r="S211" s="53" t="s">
        <v>769</v>
      </c>
      <c r="T211" s="53" t="s">
        <v>769</v>
      </c>
      <c r="U211" s="53" t="s">
        <v>741</v>
      </c>
      <c r="V211" s="53" t="s">
        <v>813</v>
      </c>
      <c r="W211" s="53" t="s">
        <v>777</v>
      </c>
      <c r="X211" s="61" t="str">
        <f>IFERROR(IF(W211="","",WORKDAY.INTL(B211,_xlfn.XLOOKUP(W211,Regras!$F$2:$F$11,Regras!$G$2:$G$11))),"")</f>
        <v/>
      </c>
      <c r="Y211" s="150" t="s">
        <v>777</v>
      </c>
      <c r="Z211" s="53" t="s">
        <v>764</v>
      </c>
      <c r="AA211" s="53"/>
      <c r="AB211" s="156" t="s">
        <v>860</v>
      </c>
    </row>
    <row r="212" spans="2:28" x14ac:dyDescent="0.2">
      <c r="B212" s="89">
        <v>45916</v>
      </c>
      <c r="D212" s="85" t="s">
        <v>861</v>
      </c>
      <c r="E212" s="125" t="s">
        <v>435</v>
      </c>
      <c r="F212" s="85" t="s">
        <v>11</v>
      </c>
      <c r="G212" s="85" t="s">
        <v>12</v>
      </c>
      <c r="H212" s="148" t="s">
        <v>933</v>
      </c>
      <c r="I212" s="142" t="s">
        <v>933</v>
      </c>
      <c r="J212" s="144" t="s">
        <v>933</v>
      </c>
      <c r="K212" s="144" t="s">
        <v>933</v>
      </c>
      <c r="L212" s="86" t="s">
        <v>741</v>
      </c>
      <c r="M212" s="58"/>
      <c r="N212" s="59"/>
      <c r="O212" s="50"/>
      <c r="P212" s="60"/>
      <c r="R212" s="53" t="s">
        <v>764</v>
      </c>
      <c r="S212" s="53" t="s">
        <v>769</v>
      </c>
      <c r="T212" s="53" t="s">
        <v>769</v>
      </c>
      <c r="U212" s="53" t="s">
        <v>741</v>
      </c>
      <c r="V212" s="53" t="s">
        <v>813</v>
      </c>
      <c r="W212" s="53" t="s">
        <v>777</v>
      </c>
      <c r="X212" s="61" t="str">
        <f>IFERROR(IF(W212="","",WORKDAY.INTL(B212,_xlfn.XLOOKUP(W212,Regras!$F$2:$F$11,Regras!$G$2:$G$11))),"")</f>
        <v/>
      </c>
      <c r="Y212" s="150" t="s">
        <v>777</v>
      </c>
      <c r="Z212" s="53" t="s">
        <v>764</v>
      </c>
      <c r="AA212" s="53"/>
      <c r="AB212" s="155" t="s">
        <v>862</v>
      </c>
    </row>
    <row r="213" spans="2:28" x14ac:dyDescent="0.2">
      <c r="B213" s="89">
        <v>45916</v>
      </c>
      <c r="D213" s="85" t="s">
        <v>863</v>
      </c>
      <c r="E213" s="125" t="s">
        <v>864</v>
      </c>
      <c r="F213" s="85" t="s">
        <v>11</v>
      </c>
      <c r="G213" s="85" t="s">
        <v>12</v>
      </c>
      <c r="H213" s="148" t="s">
        <v>933</v>
      </c>
      <c r="I213" s="142" t="s">
        <v>933</v>
      </c>
      <c r="J213" s="144" t="s">
        <v>933</v>
      </c>
      <c r="K213" s="144" t="s">
        <v>933</v>
      </c>
      <c r="L213" s="86" t="s">
        <v>741</v>
      </c>
      <c r="M213" s="58"/>
      <c r="N213" s="59"/>
      <c r="O213" s="50"/>
      <c r="P213" s="60"/>
      <c r="R213" s="53" t="s">
        <v>764</v>
      </c>
      <c r="S213" s="53" t="s">
        <v>764</v>
      </c>
      <c r="T213" s="53" t="s">
        <v>764</v>
      </c>
      <c r="U213" s="53" t="s">
        <v>741</v>
      </c>
      <c r="V213" s="53" t="s">
        <v>813</v>
      </c>
      <c r="W213" s="53" t="s">
        <v>777</v>
      </c>
      <c r="X213" s="61" t="str">
        <f>IFERROR(IF(W213="","",WORKDAY.INTL(B213,_xlfn.XLOOKUP(W213,Regras!$F$2:$F$11,Regras!$G$2:$G$11))),"")</f>
        <v/>
      </c>
      <c r="Y213" s="150" t="s">
        <v>777</v>
      </c>
      <c r="Z213" s="53" t="s">
        <v>764</v>
      </c>
      <c r="AA213" s="53"/>
      <c r="AB213" s="155" t="s">
        <v>865</v>
      </c>
    </row>
    <row r="214" spans="2:28" x14ac:dyDescent="0.2">
      <c r="B214" s="89">
        <v>45917</v>
      </c>
      <c r="D214" s="85" t="s">
        <v>196</v>
      </c>
      <c r="E214" s="125" t="s">
        <v>197</v>
      </c>
      <c r="F214" s="85" t="s">
        <v>11</v>
      </c>
      <c r="G214" s="85" t="s">
        <v>12</v>
      </c>
      <c r="H214" s="148" t="s">
        <v>933</v>
      </c>
      <c r="I214" s="142" t="s">
        <v>933</v>
      </c>
      <c r="J214" s="144" t="s">
        <v>933</v>
      </c>
      <c r="K214" s="144" t="s">
        <v>933</v>
      </c>
      <c r="L214" s="86" t="s">
        <v>741</v>
      </c>
      <c r="M214" s="58"/>
      <c r="N214" s="59"/>
      <c r="O214" s="50"/>
      <c r="P214" s="60"/>
      <c r="R214" s="53" t="s">
        <v>764</v>
      </c>
      <c r="S214" s="53" t="s">
        <v>769</v>
      </c>
      <c r="T214" s="53" t="s">
        <v>769</v>
      </c>
      <c r="U214" s="53" t="s">
        <v>773</v>
      </c>
      <c r="V214" s="53" t="s">
        <v>770</v>
      </c>
      <c r="W214" s="53" t="s">
        <v>839</v>
      </c>
      <c r="X214" s="61">
        <f>IFERROR(IF(W214="","",WORKDAY.INTL(B214,_xlfn.XLOOKUP(W214,Regras!$F$2:$F$11,Regras!$G$2:$G$11))),"")</f>
        <v>45918</v>
      </c>
      <c r="Y214" s="150" t="s">
        <v>839</v>
      </c>
      <c r="Z214" s="53" t="s">
        <v>764</v>
      </c>
      <c r="AA214" s="53"/>
      <c r="AB214" s="155" t="s">
        <v>866</v>
      </c>
    </row>
    <row r="215" spans="2:28" x14ac:dyDescent="0.2">
      <c r="B215" s="89">
        <v>45917</v>
      </c>
      <c r="D215" s="85" t="s">
        <v>867</v>
      </c>
      <c r="E215" s="133" t="s">
        <v>868</v>
      </c>
      <c r="F215" s="85" t="s">
        <v>22</v>
      </c>
      <c r="G215" s="85" t="s">
        <v>12</v>
      </c>
      <c r="H215" s="148" t="s">
        <v>933</v>
      </c>
      <c r="I215" s="142" t="s">
        <v>933</v>
      </c>
      <c r="J215" s="144" t="s">
        <v>933</v>
      </c>
      <c r="K215" s="144" t="s">
        <v>933</v>
      </c>
      <c r="L215" s="95" t="s">
        <v>888</v>
      </c>
      <c r="M215" s="58"/>
      <c r="N215" s="59"/>
      <c r="O215" s="50"/>
      <c r="P215" s="60"/>
      <c r="R215" s="53" t="s">
        <v>764</v>
      </c>
      <c r="S215" s="53" t="s">
        <v>769</v>
      </c>
      <c r="T215" s="53" t="s">
        <v>769</v>
      </c>
      <c r="U215" s="53" t="s">
        <v>773</v>
      </c>
      <c r="V215" s="53" t="s">
        <v>768</v>
      </c>
      <c r="W215" s="53" t="s">
        <v>780</v>
      </c>
      <c r="X215" s="61">
        <f>IFERROR(IF(W215="","",WORKDAY.INTL(B215,_xlfn.XLOOKUP(W215,Regras!$F$2:$F$11,Regras!$G$2:$G$11))),"")</f>
        <v>45919</v>
      </c>
      <c r="Y215" s="150" t="s">
        <v>869</v>
      </c>
      <c r="Z215" s="53" t="s">
        <v>764</v>
      </c>
      <c r="AA215" s="53"/>
      <c r="AB215" s="155" t="s">
        <v>870</v>
      </c>
    </row>
    <row r="216" spans="2:28" x14ac:dyDescent="0.2">
      <c r="B216" s="89">
        <v>45918</v>
      </c>
      <c r="D216" s="85" t="s">
        <v>148</v>
      </c>
      <c r="E216" s="125" t="s">
        <v>149</v>
      </c>
      <c r="F216" s="85" t="s">
        <v>22</v>
      </c>
      <c r="G216" s="85" t="s">
        <v>12</v>
      </c>
      <c r="H216" s="148" t="s">
        <v>933</v>
      </c>
      <c r="I216" s="142" t="s">
        <v>933</v>
      </c>
      <c r="J216" s="144" t="s">
        <v>933</v>
      </c>
      <c r="K216" s="144" t="s">
        <v>933</v>
      </c>
      <c r="L216" s="86" t="s">
        <v>741</v>
      </c>
      <c r="M216" s="58"/>
      <c r="N216" s="59"/>
      <c r="O216" s="50"/>
      <c r="P216" s="60"/>
      <c r="R216" s="53" t="s">
        <v>764</v>
      </c>
      <c r="S216" s="53" t="s">
        <v>769</v>
      </c>
      <c r="T216" s="53" t="s">
        <v>769</v>
      </c>
      <c r="U216" s="53" t="s">
        <v>741</v>
      </c>
      <c r="V216" s="53" t="s">
        <v>770</v>
      </c>
      <c r="W216" s="53" t="s">
        <v>780</v>
      </c>
      <c r="X216" s="61">
        <f>IFERROR(IF(W216="","",WORKDAY.INTL(B216,_xlfn.XLOOKUP(W216,Regras!$F$2:$F$11,Regras!$G$2:$G$11))),"")</f>
        <v>45922</v>
      </c>
      <c r="Y216" s="150" t="s">
        <v>871</v>
      </c>
      <c r="Z216" s="53" t="s">
        <v>764</v>
      </c>
      <c r="AA216" s="53"/>
    </row>
    <row r="217" spans="2:28" x14ac:dyDescent="0.2">
      <c r="B217" s="89">
        <v>45918</v>
      </c>
      <c r="D217" s="85" t="s">
        <v>175</v>
      </c>
      <c r="E217" s="125" t="s">
        <v>176</v>
      </c>
      <c r="F217" s="85" t="s">
        <v>46</v>
      </c>
      <c r="G217" s="85" t="s">
        <v>12</v>
      </c>
      <c r="H217" s="148" t="s">
        <v>933</v>
      </c>
      <c r="I217" s="142" t="s">
        <v>933</v>
      </c>
      <c r="J217" s="144" t="s">
        <v>933</v>
      </c>
      <c r="K217" s="144" t="s">
        <v>933</v>
      </c>
      <c r="L217" s="86" t="s">
        <v>741</v>
      </c>
      <c r="M217" s="58"/>
      <c r="N217" s="59"/>
      <c r="O217" s="50"/>
      <c r="P217" s="60"/>
      <c r="R217" s="53" t="s">
        <v>764</v>
      </c>
      <c r="S217" s="53" t="s">
        <v>769</v>
      </c>
      <c r="T217" s="53" t="s">
        <v>769</v>
      </c>
      <c r="U217" s="53" t="s">
        <v>741</v>
      </c>
      <c r="V217" s="53" t="s">
        <v>770</v>
      </c>
      <c r="W217" s="53" t="s">
        <v>780</v>
      </c>
      <c r="X217" s="61">
        <f>IFERROR(IF(W217="","",WORKDAY.INTL(B217,_xlfn.XLOOKUP(W217,Regras!$F$2:$F$11,Regras!$G$2:$G$11))),"")</f>
        <v>45922</v>
      </c>
      <c r="Y217" s="150" t="s">
        <v>871</v>
      </c>
      <c r="Z217" s="53" t="s">
        <v>764</v>
      </c>
      <c r="AA217" s="53"/>
    </row>
    <row r="218" spans="2:28" x14ac:dyDescent="0.2">
      <c r="B218" s="89">
        <v>45918</v>
      </c>
      <c r="D218" s="85" t="s">
        <v>190</v>
      </c>
      <c r="E218" s="125" t="s">
        <v>191</v>
      </c>
      <c r="F218" s="85" t="s">
        <v>46</v>
      </c>
      <c r="G218" s="85" t="s">
        <v>12</v>
      </c>
      <c r="H218" s="148" t="s">
        <v>933</v>
      </c>
      <c r="I218" s="142" t="s">
        <v>933</v>
      </c>
      <c r="J218" s="144" t="s">
        <v>933</v>
      </c>
      <c r="K218" s="144" t="s">
        <v>933</v>
      </c>
      <c r="L218" s="86" t="s">
        <v>741</v>
      </c>
      <c r="M218" s="58"/>
      <c r="N218" s="59"/>
      <c r="O218" s="50"/>
      <c r="P218" s="60"/>
      <c r="R218" s="53" t="s">
        <v>764</v>
      </c>
      <c r="S218" s="53" t="s">
        <v>764</v>
      </c>
      <c r="T218" s="53" t="s">
        <v>764</v>
      </c>
      <c r="U218" s="53" t="s">
        <v>741</v>
      </c>
      <c r="V218" s="53" t="s">
        <v>770</v>
      </c>
      <c r="W218" s="53" t="s">
        <v>780</v>
      </c>
      <c r="X218" s="61">
        <f>IFERROR(IF(W218="","",WORKDAY.INTL(B218,_xlfn.XLOOKUP(W218,Regras!$F$2:$F$11,Regras!$G$2:$G$11))),"")</f>
        <v>45922</v>
      </c>
      <c r="Y218" s="150" t="s">
        <v>871</v>
      </c>
      <c r="Z218" s="53" t="s">
        <v>764</v>
      </c>
      <c r="AA218" s="53"/>
    </row>
    <row r="219" spans="2:28" x14ac:dyDescent="0.2">
      <c r="B219" s="89">
        <v>45918</v>
      </c>
      <c r="D219" s="85" t="s">
        <v>192</v>
      </c>
      <c r="E219" s="125" t="s">
        <v>193</v>
      </c>
      <c r="F219" s="85" t="s">
        <v>17</v>
      </c>
      <c r="G219" s="85" t="s">
        <v>12</v>
      </c>
      <c r="H219" s="148" t="s">
        <v>933</v>
      </c>
      <c r="I219" s="142" t="s">
        <v>933</v>
      </c>
      <c r="J219" s="144" t="s">
        <v>933</v>
      </c>
      <c r="K219" s="144" t="s">
        <v>933</v>
      </c>
      <c r="L219" s="86" t="s">
        <v>741</v>
      </c>
      <c r="M219" s="58"/>
      <c r="N219" s="59"/>
      <c r="O219" s="50"/>
      <c r="P219" s="60"/>
      <c r="R219" s="53" t="s">
        <v>764</v>
      </c>
      <c r="S219" s="53" t="s">
        <v>769</v>
      </c>
      <c r="T219" s="53" t="s">
        <v>769</v>
      </c>
      <c r="U219" s="53" t="s">
        <v>741</v>
      </c>
      <c r="V219" s="53" t="s">
        <v>770</v>
      </c>
      <c r="W219" s="53" t="s">
        <v>780</v>
      </c>
      <c r="X219" s="61">
        <f>IFERROR(IF(W219="","",WORKDAY.INTL(B219,_xlfn.XLOOKUP(W219,Regras!$F$2:$F$11,Regras!$G$2:$G$11))),"")</f>
        <v>45922</v>
      </c>
      <c r="Y219" s="150" t="s">
        <v>871</v>
      </c>
      <c r="Z219" s="53" t="s">
        <v>764</v>
      </c>
      <c r="AA219" s="53"/>
    </row>
    <row r="220" spans="2:28" x14ac:dyDescent="0.2">
      <c r="B220" s="89">
        <v>45918</v>
      </c>
      <c r="D220" s="85" t="s">
        <v>209</v>
      </c>
      <c r="E220" s="125" t="s">
        <v>210</v>
      </c>
      <c r="F220" s="85" t="s">
        <v>17</v>
      </c>
      <c r="G220" s="85" t="s">
        <v>12</v>
      </c>
      <c r="H220" s="148" t="s">
        <v>933</v>
      </c>
      <c r="I220" s="142" t="s">
        <v>933</v>
      </c>
      <c r="J220" s="144" t="s">
        <v>933</v>
      </c>
      <c r="K220" s="144" t="s">
        <v>933</v>
      </c>
      <c r="L220" s="86" t="s">
        <v>741</v>
      </c>
      <c r="M220" s="58"/>
      <c r="N220" s="59"/>
      <c r="O220" s="50"/>
      <c r="P220" s="60"/>
      <c r="R220" s="53" t="s">
        <v>764</v>
      </c>
      <c r="S220" s="53" t="s">
        <v>764</v>
      </c>
      <c r="T220" s="53" t="s">
        <v>764</v>
      </c>
      <c r="U220" s="53" t="s">
        <v>741</v>
      </c>
      <c r="V220" s="53" t="s">
        <v>813</v>
      </c>
      <c r="W220" s="53" t="s">
        <v>777</v>
      </c>
      <c r="X220" s="61" t="str">
        <f>IFERROR(IF(W220="","",WORKDAY.INTL(B220,_xlfn.XLOOKUP(W220,Regras!$F$2:$F$11,Regras!$G$2:$G$11))),"")</f>
        <v/>
      </c>
      <c r="Y220" s="151" t="s">
        <v>777</v>
      </c>
      <c r="Z220" s="53" t="s">
        <v>764</v>
      </c>
      <c r="AA220" s="53"/>
      <c r="AB220" s="155" t="s">
        <v>872</v>
      </c>
    </row>
    <row r="221" spans="2:28" x14ac:dyDescent="0.2">
      <c r="B221" s="89">
        <v>45918</v>
      </c>
      <c r="D221" s="85" t="s">
        <v>209</v>
      </c>
      <c r="E221" s="125" t="s">
        <v>211</v>
      </c>
      <c r="F221" s="85" t="s">
        <v>17</v>
      </c>
      <c r="G221" s="85" t="s">
        <v>12</v>
      </c>
      <c r="H221" s="148" t="s">
        <v>933</v>
      </c>
      <c r="I221" s="142" t="s">
        <v>933</v>
      </c>
      <c r="J221" s="144" t="s">
        <v>933</v>
      </c>
      <c r="K221" s="144" t="s">
        <v>933</v>
      </c>
      <c r="L221" s="86" t="s">
        <v>741</v>
      </c>
      <c r="M221" s="58"/>
      <c r="N221" s="59"/>
      <c r="O221" s="50"/>
      <c r="P221" s="60"/>
      <c r="R221" s="53" t="s">
        <v>764</v>
      </c>
      <c r="S221" s="53" t="s">
        <v>764</v>
      </c>
      <c r="T221" s="53" t="s">
        <v>764</v>
      </c>
      <c r="U221" s="53" t="s">
        <v>741</v>
      </c>
      <c r="V221" s="53" t="s">
        <v>813</v>
      </c>
      <c r="W221" s="53" t="s">
        <v>777</v>
      </c>
      <c r="X221" s="61" t="str">
        <f>IFERROR(IF(W221="","",WORKDAY.INTL(B221,_xlfn.XLOOKUP(W221,Regras!$F$2:$F$11,Regras!$G$2:$G$11))),"")</f>
        <v/>
      </c>
      <c r="Y221" s="151" t="s">
        <v>777</v>
      </c>
      <c r="Z221" s="53" t="s">
        <v>764</v>
      </c>
      <c r="AA221" s="53"/>
      <c r="AB221" s="155" t="s">
        <v>872</v>
      </c>
    </row>
    <row r="222" spans="2:28" x14ac:dyDescent="0.2">
      <c r="B222" s="89">
        <v>45918</v>
      </c>
      <c r="D222" s="85" t="s">
        <v>212</v>
      </c>
      <c r="E222" s="125" t="s">
        <v>213</v>
      </c>
      <c r="F222" s="85" t="s">
        <v>17</v>
      </c>
      <c r="G222" s="85" t="s">
        <v>12</v>
      </c>
      <c r="H222" s="148" t="s">
        <v>933</v>
      </c>
      <c r="I222" s="142" t="s">
        <v>933</v>
      </c>
      <c r="J222" s="144" t="s">
        <v>933</v>
      </c>
      <c r="K222" s="144" t="s">
        <v>933</v>
      </c>
      <c r="L222" s="86" t="s">
        <v>741</v>
      </c>
      <c r="M222" s="58"/>
      <c r="N222" s="59"/>
      <c r="O222" s="50"/>
      <c r="P222" s="60"/>
      <c r="R222" s="53" t="s">
        <v>764</v>
      </c>
      <c r="S222" s="53" t="s">
        <v>764</v>
      </c>
      <c r="T222" s="53" t="s">
        <v>764</v>
      </c>
      <c r="U222" s="53" t="s">
        <v>741</v>
      </c>
      <c r="V222" s="53" t="s">
        <v>813</v>
      </c>
      <c r="W222" s="53" t="s">
        <v>777</v>
      </c>
      <c r="X222" s="61" t="str">
        <f>IFERROR(IF(W222="","",WORKDAY.INTL(B222,_xlfn.XLOOKUP(W222,Regras!$F$2:$F$11,Regras!$G$2:$G$11))),"")</f>
        <v/>
      </c>
      <c r="Y222" s="151" t="s">
        <v>777</v>
      </c>
      <c r="Z222" s="53" t="s">
        <v>764</v>
      </c>
      <c r="AA222" s="53"/>
      <c r="AB222" s="155" t="s">
        <v>872</v>
      </c>
    </row>
    <row r="223" spans="2:28" x14ac:dyDescent="0.2">
      <c r="B223" s="89">
        <v>45918</v>
      </c>
      <c r="D223" s="85" t="s">
        <v>247</v>
      </c>
      <c r="E223" s="125" t="s">
        <v>248</v>
      </c>
      <c r="F223" s="85" t="s">
        <v>17</v>
      </c>
      <c r="G223" s="85" t="s">
        <v>12</v>
      </c>
      <c r="H223" s="148" t="s">
        <v>933</v>
      </c>
      <c r="I223" s="142" t="s">
        <v>933</v>
      </c>
      <c r="J223" s="144" t="s">
        <v>933</v>
      </c>
      <c r="K223" s="144" t="s">
        <v>933</v>
      </c>
      <c r="L223" s="86" t="s">
        <v>741</v>
      </c>
      <c r="M223" s="58"/>
      <c r="N223" s="59"/>
      <c r="O223" s="50"/>
      <c r="P223" s="60"/>
      <c r="R223" s="53" t="s">
        <v>764</v>
      </c>
      <c r="S223" s="53" t="s">
        <v>769</v>
      </c>
      <c r="T223" s="53" t="s">
        <v>769</v>
      </c>
      <c r="U223" s="53" t="s">
        <v>741</v>
      </c>
      <c r="V223" s="53" t="s">
        <v>770</v>
      </c>
      <c r="W223" s="53" t="s">
        <v>1053</v>
      </c>
      <c r="X223" s="61">
        <f>IFERROR(IF(W223="","",WORKDAY.INTL(B223,_xlfn.XLOOKUP(W223,Regras!$F$2:$F$11,Regras!$G$2:$G$11))),"")</f>
        <v>45929</v>
      </c>
      <c r="Y223" s="150" t="s">
        <v>798</v>
      </c>
      <c r="Z223" s="53" t="s">
        <v>764</v>
      </c>
      <c r="AA223" s="53"/>
      <c r="AB223" s="155" t="s">
        <v>873</v>
      </c>
    </row>
    <row r="224" spans="2:28" x14ac:dyDescent="0.2">
      <c r="B224" s="89">
        <v>45918</v>
      </c>
      <c r="D224" s="85" t="s">
        <v>260</v>
      </c>
      <c r="E224" s="125" t="s">
        <v>261</v>
      </c>
      <c r="F224" s="85" t="s">
        <v>22</v>
      </c>
      <c r="G224" s="85" t="s">
        <v>12</v>
      </c>
      <c r="H224" s="148" t="s">
        <v>933</v>
      </c>
      <c r="I224" s="142" t="s">
        <v>933</v>
      </c>
      <c r="J224" s="144" t="s">
        <v>933</v>
      </c>
      <c r="K224" s="144" t="s">
        <v>933</v>
      </c>
      <c r="L224" s="86" t="s">
        <v>741</v>
      </c>
      <c r="M224" s="58"/>
      <c r="N224" s="59"/>
      <c r="O224" s="50"/>
      <c r="P224" s="60"/>
      <c r="R224" s="53" t="s">
        <v>764</v>
      </c>
      <c r="S224" s="53" t="s">
        <v>764</v>
      </c>
      <c r="T224" s="53" t="s">
        <v>769</v>
      </c>
      <c r="U224" s="53" t="s">
        <v>741</v>
      </c>
      <c r="V224" s="53" t="s">
        <v>770</v>
      </c>
      <c r="W224" s="53" t="s">
        <v>780</v>
      </c>
      <c r="X224" s="61">
        <f>IFERROR(IF(W224="","",WORKDAY.INTL(B224,_xlfn.XLOOKUP(W224,Regras!$F$2:$F$11,Regras!$G$2:$G$11))),"")</f>
        <v>45922</v>
      </c>
      <c r="Y224" s="150" t="s">
        <v>874</v>
      </c>
      <c r="Z224" s="53" t="s">
        <v>764</v>
      </c>
      <c r="AA224" s="53"/>
      <c r="AB224" s="155" t="s">
        <v>875</v>
      </c>
    </row>
    <row r="225" spans="2:28" x14ac:dyDescent="0.2">
      <c r="B225" s="89">
        <v>45918</v>
      </c>
      <c r="D225" s="85" t="s">
        <v>280</v>
      </c>
      <c r="E225" s="125" t="s">
        <v>281</v>
      </c>
      <c r="F225" s="85" t="s">
        <v>22</v>
      </c>
      <c r="G225" s="85" t="s">
        <v>12</v>
      </c>
      <c r="H225" s="148" t="s">
        <v>933</v>
      </c>
      <c r="I225" s="142" t="s">
        <v>933</v>
      </c>
      <c r="J225" s="144" t="s">
        <v>933</v>
      </c>
      <c r="K225" s="144" t="s">
        <v>933</v>
      </c>
      <c r="L225" s="86" t="s">
        <v>741</v>
      </c>
      <c r="M225" s="58"/>
      <c r="N225" s="59"/>
      <c r="O225" s="50"/>
      <c r="P225" s="60"/>
      <c r="R225" s="53" t="s">
        <v>764</v>
      </c>
      <c r="S225" s="53" t="s">
        <v>769</v>
      </c>
      <c r="T225" s="53" t="s">
        <v>769</v>
      </c>
      <c r="U225" s="53" t="s">
        <v>741</v>
      </c>
      <c r="V225" s="53" t="s">
        <v>770</v>
      </c>
      <c r="W225" s="53" t="s">
        <v>780</v>
      </c>
      <c r="X225" s="61">
        <f>IFERROR(IF(W225="","",WORKDAY.INTL(B225,_xlfn.XLOOKUP(W225,Regras!$F$2:$F$11,Regras!$G$2:$G$11))),"")</f>
        <v>45922</v>
      </c>
      <c r="Y225" s="150" t="s">
        <v>871</v>
      </c>
      <c r="Z225" s="53" t="s">
        <v>764</v>
      </c>
      <c r="AA225" s="53"/>
    </row>
    <row r="226" spans="2:28" x14ac:dyDescent="0.2">
      <c r="B226" s="89">
        <v>45918</v>
      </c>
      <c r="D226" s="85" t="s">
        <v>284</v>
      </c>
      <c r="E226" s="125" t="s">
        <v>285</v>
      </c>
      <c r="F226" s="85" t="s">
        <v>22</v>
      </c>
      <c r="G226" s="85" t="s">
        <v>12</v>
      </c>
      <c r="H226" s="148" t="s">
        <v>933</v>
      </c>
      <c r="I226" s="142" t="s">
        <v>933</v>
      </c>
      <c r="J226" s="144" t="s">
        <v>933</v>
      </c>
      <c r="K226" s="144" t="s">
        <v>933</v>
      </c>
      <c r="L226" s="86" t="s">
        <v>741</v>
      </c>
      <c r="M226" s="58"/>
      <c r="N226" s="59"/>
      <c r="O226" s="50"/>
      <c r="P226" s="60"/>
      <c r="R226" s="53" t="s">
        <v>764</v>
      </c>
      <c r="S226" s="53" t="s">
        <v>769</v>
      </c>
      <c r="T226" s="53" t="s">
        <v>769</v>
      </c>
      <c r="U226" s="53" t="s">
        <v>741</v>
      </c>
      <c r="V226" s="53" t="s">
        <v>770</v>
      </c>
      <c r="W226" s="53" t="s">
        <v>780</v>
      </c>
      <c r="X226" s="61">
        <f>IFERROR(IF(W226="","",WORKDAY.INTL(B226,_xlfn.XLOOKUP(W226,Regras!$F$2:$F$11,Regras!$G$2:$G$11))),"")</f>
        <v>45922</v>
      </c>
      <c r="Y226" s="150" t="s">
        <v>795</v>
      </c>
      <c r="Z226" s="53" t="s">
        <v>764</v>
      </c>
      <c r="AA226" s="53"/>
      <c r="AB226" s="156" t="s">
        <v>795</v>
      </c>
    </row>
    <row r="227" spans="2:28" x14ac:dyDescent="0.2">
      <c r="B227" s="89">
        <v>45918</v>
      </c>
      <c r="D227" s="85" t="s">
        <v>287</v>
      </c>
      <c r="E227" s="125" t="s">
        <v>288</v>
      </c>
      <c r="F227" s="85" t="s">
        <v>17</v>
      </c>
      <c r="G227" s="85" t="s">
        <v>12</v>
      </c>
      <c r="H227" s="148" t="s">
        <v>933</v>
      </c>
      <c r="I227" s="142" t="s">
        <v>933</v>
      </c>
      <c r="J227" s="144" t="s">
        <v>933</v>
      </c>
      <c r="K227" s="144" t="s">
        <v>933</v>
      </c>
      <c r="L227" s="86" t="s">
        <v>741</v>
      </c>
      <c r="M227" s="58"/>
      <c r="N227" s="59"/>
      <c r="O227" s="50"/>
      <c r="P227" s="60"/>
      <c r="R227" s="53" t="s">
        <v>764</v>
      </c>
      <c r="S227" s="53" t="s">
        <v>769</v>
      </c>
      <c r="T227" s="53" t="s">
        <v>769</v>
      </c>
      <c r="U227" s="53" t="s">
        <v>741</v>
      </c>
      <c r="V227" s="53" t="s">
        <v>770</v>
      </c>
      <c r="W227" s="53" t="s">
        <v>780</v>
      </c>
      <c r="X227" s="61">
        <f>IFERROR(IF(W227="","",WORKDAY.INTL(B227,_xlfn.XLOOKUP(W227,Regras!$F$2:$F$11,Regras!$G$2:$G$11))),"")</f>
        <v>45922</v>
      </c>
      <c r="Y227" s="150" t="s">
        <v>798</v>
      </c>
      <c r="Z227" s="53" t="s">
        <v>764</v>
      </c>
      <c r="AA227" s="53"/>
    </row>
    <row r="228" spans="2:28" x14ac:dyDescent="0.2">
      <c r="B228" s="89">
        <v>45918</v>
      </c>
      <c r="D228" s="85" t="s">
        <v>289</v>
      </c>
      <c r="E228" s="125" t="s">
        <v>290</v>
      </c>
      <c r="F228" s="85" t="s">
        <v>46</v>
      </c>
      <c r="G228" s="85" t="s">
        <v>12</v>
      </c>
      <c r="H228" s="148" t="s">
        <v>933</v>
      </c>
      <c r="I228" s="142" t="s">
        <v>933</v>
      </c>
      <c r="J228" s="144" t="s">
        <v>933</v>
      </c>
      <c r="K228" s="144" t="s">
        <v>933</v>
      </c>
      <c r="L228" s="86" t="s">
        <v>741</v>
      </c>
      <c r="M228" s="58"/>
      <c r="N228" s="59"/>
      <c r="O228" s="50"/>
      <c r="P228" s="60"/>
      <c r="R228" s="53" t="s">
        <v>764</v>
      </c>
      <c r="S228" s="53" t="s">
        <v>769</v>
      </c>
      <c r="T228" s="53" t="s">
        <v>769</v>
      </c>
      <c r="U228" s="53" t="s">
        <v>741</v>
      </c>
      <c r="V228" s="53" t="s">
        <v>770</v>
      </c>
      <c r="W228" s="53" t="s">
        <v>780</v>
      </c>
      <c r="X228" s="61">
        <f>IFERROR(IF(W228="","",WORKDAY.INTL(B228,_xlfn.XLOOKUP(W228,Regras!$F$2:$F$11,Regras!$G$2:$G$11))),"")</f>
        <v>45922</v>
      </c>
      <c r="Y228" s="150" t="s">
        <v>798</v>
      </c>
      <c r="Z228" s="53" t="s">
        <v>764</v>
      </c>
      <c r="AA228" s="53"/>
    </row>
    <row r="229" spans="2:28" x14ac:dyDescent="0.2">
      <c r="B229" s="89">
        <v>45918</v>
      </c>
      <c r="D229" s="85" t="s">
        <v>300</v>
      </c>
      <c r="E229" s="125" t="s">
        <v>301</v>
      </c>
      <c r="F229" s="85" t="s">
        <v>22</v>
      </c>
      <c r="G229" s="85" t="s">
        <v>12</v>
      </c>
      <c r="H229" s="148" t="s">
        <v>933</v>
      </c>
      <c r="I229" s="142" t="s">
        <v>933</v>
      </c>
      <c r="J229" s="144" t="s">
        <v>933</v>
      </c>
      <c r="K229" s="144" t="s">
        <v>933</v>
      </c>
      <c r="L229" s="86" t="s">
        <v>741</v>
      </c>
      <c r="M229" s="58"/>
      <c r="N229" s="59"/>
      <c r="O229" s="50"/>
      <c r="P229" s="60"/>
      <c r="R229" s="53" t="s">
        <v>764</v>
      </c>
      <c r="S229" s="53" t="s">
        <v>764</v>
      </c>
      <c r="T229" s="53" t="s">
        <v>769</v>
      </c>
      <c r="U229" s="53" t="s">
        <v>741</v>
      </c>
      <c r="V229" s="53" t="s">
        <v>770</v>
      </c>
      <c r="W229" s="53" t="s">
        <v>780</v>
      </c>
      <c r="X229" s="61">
        <f>IFERROR(IF(W229="","",WORKDAY.INTL(B229,_xlfn.XLOOKUP(W229,Regras!$F$2:$F$11,Regras!$G$2:$G$11))),"")</f>
        <v>45922</v>
      </c>
      <c r="Y229" s="150" t="s">
        <v>798</v>
      </c>
      <c r="Z229" s="53" t="s">
        <v>764</v>
      </c>
      <c r="AA229" s="53"/>
    </row>
    <row r="230" spans="2:28" x14ac:dyDescent="0.2">
      <c r="B230" s="89">
        <v>45918</v>
      </c>
      <c r="D230" s="85" t="s">
        <v>309</v>
      </c>
      <c r="E230" s="125" t="s">
        <v>310</v>
      </c>
      <c r="F230" s="85" t="s">
        <v>46</v>
      </c>
      <c r="G230" s="85" t="s">
        <v>12</v>
      </c>
      <c r="H230" s="148" t="s">
        <v>933</v>
      </c>
      <c r="I230" s="142" t="s">
        <v>933</v>
      </c>
      <c r="J230" s="144" t="s">
        <v>933</v>
      </c>
      <c r="K230" s="144" t="s">
        <v>933</v>
      </c>
      <c r="L230" s="86" t="s">
        <v>741</v>
      </c>
      <c r="M230" s="58"/>
      <c r="N230" s="59"/>
      <c r="O230" s="50"/>
      <c r="P230" s="60"/>
      <c r="R230" s="53" t="s">
        <v>764</v>
      </c>
      <c r="S230" s="53" t="s">
        <v>769</v>
      </c>
      <c r="T230" s="53" t="s">
        <v>769</v>
      </c>
      <c r="U230" s="53" t="s">
        <v>741</v>
      </c>
      <c r="V230" s="53" t="s">
        <v>770</v>
      </c>
      <c r="W230" s="53" t="s">
        <v>780</v>
      </c>
      <c r="X230" s="61">
        <f>IFERROR(IF(W230="","",WORKDAY.INTL(B230,_xlfn.XLOOKUP(W230,Regras!$F$2:$F$11,Regras!$G$2:$G$11))),"")</f>
        <v>45922</v>
      </c>
      <c r="Y230" s="150" t="s">
        <v>795</v>
      </c>
      <c r="Z230" s="53" t="s">
        <v>764</v>
      </c>
      <c r="AA230" s="53"/>
      <c r="AB230" s="156" t="s">
        <v>795</v>
      </c>
    </row>
    <row r="231" spans="2:28" x14ac:dyDescent="0.2">
      <c r="B231" s="89">
        <v>45918</v>
      </c>
      <c r="D231" s="85" t="s">
        <v>318</v>
      </c>
      <c r="E231" s="125" t="s">
        <v>319</v>
      </c>
      <c r="F231" s="85" t="s">
        <v>22</v>
      </c>
      <c r="G231" s="85" t="s">
        <v>12</v>
      </c>
      <c r="H231" s="148" t="s">
        <v>933</v>
      </c>
      <c r="I231" s="142" t="s">
        <v>933</v>
      </c>
      <c r="J231" s="144" t="s">
        <v>933</v>
      </c>
      <c r="K231" s="144" t="s">
        <v>933</v>
      </c>
      <c r="L231" s="86" t="s">
        <v>741</v>
      </c>
      <c r="M231" s="58"/>
      <c r="N231" s="59"/>
      <c r="O231" s="50"/>
      <c r="P231" s="60"/>
      <c r="R231" s="53" t="s">
        <v>764</v>
      </c>
      <c r="S231" s="53" t="s">
        <v>764</v>
      </c>
      <c r="T231" s="53" t="s">
        <v>769</v>
      </c>
      <c r="U231" s="53" t="s">
        <v>741</v>
      </c>
      <c r="V231" s="53" t="s">
        <v>770</v>
      </c>
      <c r="W231" s="53" t="s">
        <v>780</v>
      </c>
      <c r="X231" s="61">
        <f>IFERROR(IF(W231="","",WORKDAY.INTL(B231,_xlfn.XLOOKUP(W231,Regras!$F$2:$F$11,Regras!$G$2:$G$11))),"")</f>
        <v>45922</v>
      </c>
      <c r="Y231" s="150" t="s">
        <v>798</v>
      </c>
      <c r="Z231" s="53" t="s">
        <v>764</v>
      </c>
      <c r="AA231" s="53"/>
    </row>
    <row r="232" spans="2:28" x14ac:dyDescent="0.2">
      <c r="B232" s="89">
        <v>45918</v>
      </c>
      <c r="D232" s="100" t="s">
        <v>329</v>
      </c>
      <c r="E232" s="126" t="s">
        <v>330</v>
      </c>
      <c r="F232" s="100" t="s">
        <v>22</v>
      </c>
      <c r="G232" s="100" t="s">
        <v>12</v>
      </c>
      <c r="H232" s="148" t="s">
        <v>933</v>
      </c>
      <c r="I232" s="142" t="s">
        <v>933</v>
      </c>
      <c r="J232" s="144" t="s">
        <v>933</v>
      </c>
      <c r="K232" s="144" t="s">
        <v>933</v>
      </c>
      <c r="L232" s="86" t="s">
        <v>741</v>
      </c>
      <c r="M232" s="58"/>
      <c r="N232" s="59"/>
      <c r="O232" s="50"/>
      <c r="P232" s="60"/>
      <c r="R232" s="53" t="s">
        <v>764</v>
      </c>
      <c r="S232" s="53" t="s">
        <v>769</v>
      </c>
      <c r="T232" s="53" t="s">
        <v>769</v>
      </c>
      <c r="U232" s="53" t="s">
        <v>741</v>
      </c>
      <c r="V232" s="53" t="s">
        <v>770</v>
      </c>
      <c r="W232" s="53" t="s">
        <v>780</v>
      </c>
      <c r="X232" s="61">
        <f>IFERROR(IF(W232="","",WORKDAY.INTL(B232,_xlfn.XLOOKUP(W232,Regras!$F$2:$F$11,Regras!$G$2:$G$11))),"")</f>
        <v>45922</v>
      </c>
      <c r="Y232" s="150" t="s">
        <v>798</v>
      </c>
      <c r="Z232" s="53" t="s">
        <v>764</v>
      </c>
      <c r="AA232" s="53"/>
    </row>
    <row r="233" spans="2:28" x14ac:dyDescent="0.2">
      <c r="B233" s="89">
        <v>45918</v>
      </c>
      <c r="D233" s="85" t="s">
        <v>331</v>
      </c>
      <c r="E233" s="125" t="s">
        <v>332</v>
      </c>
      <c r="F233" s="85" t="s">
        <v>17</v>
      </c>
      <c r="G233" s="85" t="s">
        <v>12</v>
      </c>
      <c r="H233" s="148" t="s">
        <v>933</v>
      </c>
      <c r="I233" s="142" t="s">
        <v>933</v>
      </c>
      <c r="J233" s="144" t="s">
        <v>933</v>
      </c>
      <c r="K233" s="144" t="s">
        <v>933</v>
      </c>
      <c r="L233" s="86" t="s">
        <v>741</v>
      </c>
      <c r="M233" s="58"/>
      <c r="N233" s="59"/>
      <c r="O233" s="50"/>
      <c r="P233" s="60"/>
      <c r="R233" s="53" t="s">
        <v>764</v>
      </c>
      <c r="S233" s="53" t="s">
        <v>769</v>
      </c>
      <c r="T233" s="53" t="s">
        <v>769</v>
      </c>
      <c r="U233" s="53" t="s">
        <v>741</v>
      </c>
      <c r="V233" s="53" t="s">
        <v>770</v>
      </c>
      <c r="W233" s="53" t="s">
        <v>780</v>
      </c>
      <c r="X233" s="61">
        <f>IFERROR(IF(W233="","",WORKDAY.INTL(B233,_xlfn.XLOOKUP(W233,Regras!$F$2:$F$11,Regras!$G$2:$G$11))),"")</f>
        <v>45922</v>
      </c>
      <c r="Y233" s="150" t="s">
        <v>871</v>
      </c>
      <c r="Z233" s="53" t="s">
        <v>764</v>
      </c>
      <c r="AA233" s="53"/>
    </row>
    <row r="234" spans="2:28" x14ac:dyDescent="0.2">
      <c r="B234" s="89">
        <v>45918</v>
      </c>
      <c r="D234" s="85" t="s">
        <v>334</v>
      </c>
      <c r="E234" s="125" t="s">
        <v>335</v>
      </c>
      <c r="F234" s="85" t="s">
        <v>46</v>
      </c>
      <c r="G234" s="85" t="s">
        <v>12</v>
      </c>
      <c r="H234" s="148" t="s">
        <v>933</v>
      </c>
      <c r="I234" s="142" t="s">
        <v>933</v>
      </c>
      <c r="J234" s="144" t="s">
        <v>933</v>
      </c>
      <c r="K234" s="144" t="s">
        <v>933</v>
      </c>
      <c r="L234" s="86" t="s">
        <v>741</v>
      </c>
      <c r="M234" s="58"/>
      <c r="N234" s="59"/>
      <c r="O234" s="50"/>
      <c r="P234" s="60"/>
      <c r="R234" s="53" t="s">
        <v>764</v>
      </c>
      <c r="S234" s="53" t="s">
        <v>769</v>
      </c>
      <c r="T234" s="53" t="s">
        <v>769</v>
      </c>
      <c r="U234" s="53" t="s">
        <v>741</v>
      </c>
      <c r="V234" s="53" t="s">
        <v>770</v>
      </c>
      <c r="W234" s="53" t="s">
        <v>780</v>
      </c>
      <c r="X234" s="61">
        <f>IFERROR(IF(W234="","",WORKDAY.INTL(B234,_xlfn.XLOOKUP(W234,Regras!$F$2:$F$11,Regras!$G$2:$G$11))),"")</f>
        <v>45922</v>
      </c>
      <c r="Y234" s="150" t="s">
        <v>871</v>
      </c>
      <c r="Z234" s="53" t="s">
        <v>764</v>
      </c>
      <c r="AA234" s="53"/>
    </row>
    <row r="235" spans="2:28" x14ac:dyDescent="0.2">
      <c r="B235" s="89">
        <v>45918</v>
      </c>
      <c r="D235" s="85" t="s">
        <v>359</v>
      </c>
      <c r="E235" s="125" t="s">
        <v>360</v>
      </c>
      <c r="F235" s="85" t="s">
        <v>46</v>
      </c>
      <c r="G235" s="85" t="s">
        <v>12</v>
      </c>
      <c r="H235" s="148" t="s">
        <v>933</v>
      </c>
      <c r="I235" s="142" t="s">
        <v>933</v>
      </c>
      <c r="J235" s="144" t="s">
        <v>933</v>
      </c>
      <c r="K235" s="144" t="s">
        <v>933</v>
      </c>
      <c r="L235" s="86" t="s">
        <v>741</v>
      </c>
      <c r="M235" s="58"/>
      <c r="N235" s="59"/>
      <c r="O235" s="50"/>
      <c r="P235" s="60"/>
      <c r="R235" s="53" t="s">
        <v>764</v>
      </c>
      <c r="S235" s="53" t="s">
        <v>769</v>
      </c>
      <c r="T235" s="53" t="s">
        <v>769</v>
      </c>
      <c r="U235" s="53" t="s">
        <v>741</v>
      </c>
      <c r="V235" s="53" t="s">
        <v>770</v>
      </c>
      <c r="W235" s="53" t="s">
        <v>780</v>
      </c>
      <c r="X235" s="61">
        <f>IFERROR(IF(W235="","",WORKDAY.INTL(B235,_xlfn.XLOOKUP(W235,Regras!$F$2:$F$11,Regras!$G$2:$G$11))),"")</f>
        <v>45922</v>
      </c>
      <c r="Y235" s="150" t="s">
        <v>876</v>
      </c>
      <c r="Z235" s="53" t="s">
        <v>764</v>
      </c>
      <c r="AA235" s="53"/>
    </row>
    <row r="236" spans="2:28" x14ac:dyDescent="0.2">
      <c r="B236" s="89">
        <v>45918</v>
      </c>
      <c r="D236" s="85" t="s">
        <v>492</v>
      </c>
      <c r="E236" s="125" t="s">
        <v>493</v>
      </c>
      <c r="F236" s="85" t="s">
        <v>17</v>
      </c>
      <c r="G236" s="85" t="s">
        <v>12</v>
      </c>
      <c r="H236" s="148" t="s">
        <v>933</v>
      </c>
      <c r="I236" s="142" t="s">
        <v>933</v>
      </c>
      <c r="J236" s="144" t="s">
        <v>933</v>
      </c>
      <c r="K236" s="144" t="s">
        <v>933</v>
      </c>
      <c r="L236" s="86" t="s">
        <v>741</v>
      </c>
      <c r="M236" s="58"/>
      <c r="N236" s="59"/>
      <c r="O236" s="50"/>
      <c r="P236" s="60"/>
      <c r="R236" s="53" t="s">
        <v>764</v>
      </c>
      <c r="S236" s="53" t="s">
        <v>769</v>
      </c>
      <c r="T236" s="53" t="s">
        <v>769</v>
      </c>
      <c r="U236" s="53" t="s">
        <v>741</v>
      </c>
      <c r="V236" s="53" t="s">
        <v>765</v>
      </c>
      <c r="W236" s="53" t="s">
        <v>877</v>
      </c>
      <c r="X236" s="61" t="str">
        <f>IFERROR(IF(W236="","",WORKDAY.INTL(B236,_xlfn.XLOOKUP(W236,Regras!$F$2:$F$11,Regras!$G$2:$G$11))),"")</f>
        <v/>
      </c>
      <c r="Y236" s="150" t="s">
        <v>878</v>
      </c>
      <c r="Z236" s="53" t="s">
        <v>764</v>
      </c>
      <c r="AA236" s="53"/>
      <c r="AB236" s="155" t="s">
        <v>879</v>
      </c>
    </row>
    <row r="237" spans="2:28" x14ac:dyDescent="0.2">
      <c r="B237" s="89">
        <v>45918</v>
      </c>
      <c r="D237" s="85" t="s">
        <v>500</v>
      </c>
      <c r="E237" s="125" t="s">
        <v>501</v>
      </c>
      <c r="F237" s="85" t="s">
        <v>17</v>
      </c>
      <c r="G237" s="85" t="s">
        <v>12</v>
      </c>
      <c r="H237" s="148" t="s">
        <v>933</v>
      </c>
      <c r="I237" s="142" t="s">
        <v>933</v>
      </c>
      <c r="J237" s="144" t="s">
        <v>933</v>
      </c>
      <c r="K237" s="144" t="s">
        <v>933</v>
      </c>
      <c r="L237" s="86" t="s">
        <v>741</v>
      </c>
      <c r="M237" s="58"/>
      <c r="N237" s="59"/>
      <c r="O237" s="50"/>
      <c r="P237" s="60"/>
      <c r="R237" s="53" t="s">
        <v>764</v>
      </c>
      <c r="S237" s="53" t="s">
        <v>764</v>
      </c>
      <c r="T237" s="53" t="s">
        <v>764</v>
      </c>
      <c r="U237" s="53" t="s">
        <v>741</v>
      </c>
      <c r="V237" s="53" t="s">
        <v>765</v>
      </c>
      <c r="W237" s="53" t="s">
        <v>877</v>
      </c>
      <c r="X237" s="61" t="str">
        <f>IFERROR(IF(W237="","",WORKDAY.INTL(B237,_xlfn.XLOOKUP(W237,Regras!$F$2:$F$11,Regras!$G$2:$G$11))),"")</f>
        <v/>
      </c>
      <c r="Y237" s="150" t="s">
        <v>878</v>
      </c>
      <c r="Z237" s="53" t="s">
        <v>764</v>
      </c>
      <c r="AA237" s="53"/>
      <c r="AB237" s="155" t="s">
        <v>879</v>
      </c>
    </row>
    <row r="238" spans="2:28" x14ac:dyDescent="0.2">
      <c r="B238" s="89">
        <v>45918</v>
      </c>
      <c r="D238" s="85" t="s">
        <v>554</v>
      </c>
      <c r="E238" s="125" t="s">
        <v>555</v>
      </c>
      <c r="F238" s="85" t="s">
        <v>46</v>
      </c>
      <c r="G238" s="85" t="s">
        <v>12</v>
      </c>
      <c r="H238" s="148" t="s">
        <v>933</v>
      </c>
      <c r="I238" s="142" t="s">
        <v>933</v>
      </c>
      <c r="J238" s="144" t="s">
        <v>933</v>
      </c>
      <c r="K238" s="144" t="s">
        <v>933</v>
      </c>
      <c r="L238" s="86" t="s">
        <v>741</v>
      </c>
      <c r="M238" s="58"/>
      <c r="N238" s="59"/>
      <c r="O238" s="50"/>
      <c r="P238" s="60"/>
      <c r="R238" s="53" t="s">
        <v>764</v>
      </c>
      <c r="S238" s="53" t="s">
        <v>769</v>
      </c>
      <c r="T238" s="53" t="s">
        <v>769</v>
      </c>
      <c r="U238" s="53" t="s">
        <v>741</v>
      </c>
      <c r="V238" s="53" t="s">
        <v>765</v>
      </c>
      <c r="W238" s="53" t="s">
        <v>877</v>
      </c>
      <c r="X238" s="61" t="str">
        <f>IFERROR(IF(W238="","",WORKDAY.INTL(B238,_xlfn.XLOOKUP(W238,Regras!$F$2:$F$11,Regras!$G$2:$G$11))),"")</f>
        <v/>
      </c>
      <c r="Y238" s="150" t="s">
        <v>878</v>
      </c>
      <c r="Z238" s="53" t="s">
        <v>764</v>
      </c>
      <c r="AA238" s="53"/>
      <c r="AB238" s="155" t="s">
        <v>879</v>
      </c>
    </row>
    <row r="239" spans="2:28" x14ac:dyDescent="0.2">
      <c r="B239" s="89">
        <v>45918</v>
      </c>
      <c r="D239" s="85" t="s">
        <v>863</v>
      </c>
      <c r="E239" s="125" t="s">
        <v>864</v>
      </c>
      <c r="F239" s="85"/>
      <c r="G239" s="85" t="s">
        <v>829</v>
      </c>
      <c r="H239" s="148" t="s">
        <v>933</v>
      </c>
      <c r="I239" s="142" t="s">
        <v>933</v>
      </c>
      <c r="J239" s="144" t="s">
        <v>933</v>
      </c>
      <c r="K239" s="144" t="s">
        <v>933</v>
      </c>
      <c r="L239" s="86" t="s">
        <v>741</v>
      </c>
      <c r="M239" s="58"/>
      <c r="N239" s="59"/>
      <c r="O239" s="50"/>
      <c r="P239" s="60"/>
      <c r="R239" s="53" t="s">
        <v>764</v>
      </c>
      <c r="S239" s="53" t="s">
        <v>764</v>
      </c>
      <c r="T239" s="53" t="s">
        <v>769</v>
      </c>
      <c r="U239" s="53" t="s">
        <v>741</v>
      </c>
      <c r="V239" s="53" t="s">
        <v>813</v>
      </c>
      <c r="W239" s="53" t="s">
        <v>777</v>
      </c>
      <c r="X239" s="61" t="str">
        <f>IFERROR(IF(W239="","",WORKDAY.INTL(B239,_xlfn.XLOOKUP(W239,Regras!$F$2:$F$11,Regras!$G$2:$G$11))),"")</f>
        <v/>
      </c>
      <c r="Y239" s="150" t="s">
        <v>880</v>
      </c>
      <c r="Z239" s="53" t="s">
        <v>764</v>
      </c>
      <c r="AA239" s="53"/>
      <c r="AB239" s="155" t="s">
        <v>881</v>
      </c>
    </row>
    <row r="240" spans="2:28" x14ac:dyDescent="0.2">
      <c r="B240" s="89">
        <v>45918</v>
      </c>
      <c r="D240" s="85" t="s">
        <v>832</v>
      </c>
      <c r="E240" s="125" t="s">
        <v>933</v>
      </c>
      <c r="F240" s="85" t="s">
        <v>22</v>
      </c>
      <c r="G240" s="85" t="s">
        <v>829</v>
      </c>
      <c r="H240" s="148" t="s">
        <v>933</v>
      </c>
      <c r="I240" s="142" t="s">
        <v>933</v>
      </c>
      <c r="J240" s="144" t="s">
        <v>933</v>
      </c>
      <c r="K240" s="144" t="s">
        <v>933</v>
      </c>
      <c r="L240" s="86" t="s">
        <v>741</v>
      </c>
      <c r="M240" s="58"/>
      <c r="N240" s="59"/>
      <c r="O240" s="50"/>
      <c r="P240" s="60"/>
      <c r="R240" s="53" t="s">
        <v>764</v>
      </c>
      <c r="S240" s="53" t="s">
        <v>764</v>
      </c>
      <c r="T240" s="53" t="s">
        <v>769</v>
      </c>
      <c r="U240" s="53" t="s">
        <v>741</v>
      </c>
      <c r="V240" s="53" t="s">
        <v>768</v>
      </c>
      <c r="W240" s="53" t="s">
        <v>1053</v>
      </c>
      <c r="X240" s="61">
        <v>45922</v>
      </c>
      <c r="Y240" s="150" t="s">
        <v>833</v>
      </c>
      <c r="Z240" s="53" t="s">
        <v>764</v>
      </c>
      <c r="AA240" s="53"/>
      <c r="AB240" s="155" t="s">
        <v>882</v>
      </c>
    </row>
    <row r="241" spans="2:28" x14ac:dyDescent="0.2">
      <c r="B241" s="89">
        <v>45918</v>
      </c>
      <c r="D241" s="85" t="s">
        <v>194</v>
      </c>
      <c r="E241" s="125" t="s">
        <v>195</v>
      </c>
      <c r="F241" s="85" t="s">
        <v>17</v>
      </c>
      <c r="G241" s="85" t="s">
        <v>829</v>
      </c>
      <c r="H241" s="148" t="s">
        <v>933</v>
      </c>
      <c r="I241" s="142" t="s">
        <v>933</v>
      </c>
      <c r="J241" s="144" t="s">
        <v>933</v>
      </c>
      <c r="K241" s="144" t="s">
        <v>933</v>
      </c>
      <c r="L241" s="86" t="s">
        <v>741</v>
      </c>
      <c r="M241" s="58"/>
      <c r="N241" s="59"/>
      <c r="O241" s="50"/>
      <c r="P241" s="60"/>
      <c r="R241" s="53" t="s">
        <v>764</v>
      </c>
      <c r="S241" s="53" t="s">
        <v>769</v>
      </c>
      <c r="T241" s="53" t="s">
        <v>769</v>
      </c>
      <c r="U241" s="53" t="s">
        <v>741</v>
      </c>
      <c r="V241" s="53" t="s">
        <v>770</v>
      </c>
      <c r="W241" s="53" t="s">
        <v>766</v>
      </c>
      <c r="X241" s="61">
        <f>IFERROR(IF(W241="","",WORKDAY.INTL(B241,_xlfn.XLOOKUP(W241,Regras!$F$2:$F$11,Regras!$G$2:$G$11))),"")</f>
        <v>45981</v>
      </c>
      <c r="Y241" s="150" t="s">
        <v>883</v>
      </c>
      <c r="Z241" s="53" t="s">
        <v>764</v>
      </c>
      <c r="AA241" s="53"/>
      <c r="AB241" s="156" t="s">
        <v>883</v>
      </c>
    </row>
    <row r="242" spans="2:28" x14ac:dyDescent="0.2">
      <c r="B242" s="89">
        <v>45918</v>
      </c>
      <c r="D242" s="85" t="s">
        <v>884</v>
      </c>
      <c r="E242" s="125" t="s">
        <v>933</v>
      </c>
      <c r="F242" s="85" t="s">
        <v>22</v>
      </c>
      <c r="G242" s="85" t="s">
        <v>829</v>
      </c>
      <c r="H242" s="148" t="s">
        <v>933</v>
      </c>
      <c r="I242" s="142" t="s">
        <v>933</v>
      </c>
      <c r="J242" s="144" t="s">
        <v>933</v>
      </c>
      <c r="K242" s="144" t="s">
        <v>933</v>
      </c>
      <c r="L242" s="86" t="s">
        <v>741</v>
      </c>
      <c r="M242" s="58"/>
      <c r="N242" s="59"/>
      <c r="O242" s="50"/>
      <c r="P242" s="60"/>
      <c r="R242" s="53" t="s">
        <v>764</v>
      </c>
      <c r="S242" s="53" t="s">
        <v>764</v>
      </c>
      <c r="T242" s="53" t="s">
        <v>764</v>
      </c>
      <c r="U242" s="53" t="s">
        <v>741</v>
      </c>
      <c r="V242" s="53" t="s">
        <v>768</v>
      </c>
      <c r="W242" s="53" t="s">
        <v>780</v>
      </c>
      <c r="X242" s="61">
        <f>IFERROR(IF(W242="","",WORKDAY.INTL(B242,_xlfn.XLOOKUP(W242,Regras!$F$2:$F$11,Regras!$G$2:$G$11))),"")</f>
        <v>45922</v>
      </c>
      <c r="Y242" s="150" t="s">
        <v>885</v>
      </c>
      <c r="Z242" s="53" t="s">
        <v>764</v>
      </c>
      <c r="AA242" s="53"/>
      <c r="AB242" s="156" t="s">
        <v>885</v>
      </c>
    </row>
    <row r="243" spans="2:28" x14ac:dyDescent="0.2">
      <c r="B243" s="89">
        <v>45918</v>
      </c>
      <c r="D243" s="85" t="s">
        <v>886</v>
      </c>
      <c r="E243" s="125" t="s">
        <v>305</v>
      </c>
      <c r="F243" s="85" t="s">
        <v>46</v>
      </c>
      <c r="G243" s="85" t="s">
        <v>829</v>
      </c>
      <c r="H243" s="148" t="s">
        <v>933</v>
      </c>
      <c r="I243" s="142" t="s">
        <v>933</v>
      </c>
      <c r="J243" s="144" t="s">
        <v>933</v>
      </c>
      <c r="K243" s="144" t="s">
        <v>933</v>
      </c>
      <c r="L243" s="86" t="s">
        <v>741</v>
      </c>
      <c r="M243" s="58"/>
      <c r="N243" s="59"/>
      <c r="O243" s="50"/>
      <c r="P243" s="60"/>
      <c r="R243" s="53" t="s">
        <v>764</v>
      </c>
      <c r="S243" s="53" t="s">
        <v>764</v>
      </c>
      <c r="T243" s="53" t="s">
        <v>764</v>
      </c>
      <c r="U243" s="53" t="s">
        <v>741</v>
      </c>
      <c r="V243" s="53" t="s">
        <v>765</v>
      </c>
      <c r="W243" s="53" t="s">
        <v>766</v>
      </c>
      <c r="X243" s="61">
        <f>IFERROR(IF(W243="","",WORKDAY.INTL(B243,_xlfn.XLOOKUP(W243,Regras!$F$2:$F$11,Regras!$G$2:$G$11))),"")</f>
        <v>45981</v>
      </c>
      <c r="Y243" s="150" t="s">
        <v>782</v>
      </c>
      <c r="Z243" s="53" t="s">
        <v>764</v>
      </c>
      <c r="AA243" s="53"/>
      <c r="AB243" s="156" t="s">
        <v>782</v>
      </c>
    </row>
    <row r="244" spans="2:28" x14ac:dyDescent="0.2">
      <c r="B244" s="89">
        <v>45918</v>
      </c>
      <c r="D244" s="85" t="s">
        <v>887</v>
      </c>
      <c r="E244" s="133" t="s">
        <v>933</v>
      </c>
      <c r="F244" s="85" t="s">
        <v>11</v>
      </c>
      <c r="G244" s="85" t="s">
        <v>829</v>
      </c>
      <c r="H244" s="148" t="s">
        <v>933</v>
      </c>
      <c r="I244" s="142" t="s">
        <v>933</v>
      </c>
      <c r="J244" s="144" t="s">
        <v>933</v>
      </c>
      <c r="K244" s="144" t="s">
        <v>933</v>
      </c>
      <c r="L244" s="101" t="s">
        <v>888</v>
      </c>
      <c r="M244" s="58"/>
      <c r="N244" s="59"/>
      <c r="O244" s="50"/>
      <c r="P244" s="60"/>
      <c r="R244" s="53" t="s">
        <v>764</v>
      </c>
      <c r="S244" s="53" t="s">
        <v>769</v>
      </c>
      <c r="T244" s="53" t="s">
        <v>769</v>
      </c>
      <c r="U244" s="53" t="s">
        <v>741</v>
      </c>
      <c r="V244" s="53" t="s">
        <v>768</v>
      </c>
      <c r="W244" s="53" t="s">
        <v>1053</v>
      </c>
      <c r="X244" s="61">
        <f>IFERROR(IF(W244="","",WORKDAY.INTL(B244,_xlfn.XLOOKUP(W244,Regras!$F$2:$F$11,Regras!$G$2:$G$11))),"")</f>
        <v>45929</v>
      </c>
      <c r="Y244" s="150" t="s">
        <v>888</v>
      </c>
      <c r="Z244" s="53" t="s">
        <v>764</v>
      </c>
      <c r="AA244" s="53"/>
      <c r="AB244" s="156" t="s">
        <v>888</v>
      </c>
    </row>
    <row r="245" spans="2:28" x14ac:dyDescent="0.2">
      <c r="B245" s="89">
        <v>45919</v>
      </c>
      <c r="D245" s="85" t="s">
        <v>889</v>
      </c>
      <c r="E245" s="125" t="s">
        <v>456</v>
      </c>
      <c r="F245" s="85" t="s">
        <v>17</v>
      </c>
      <c r="G245" s="85" t="s">
        <v>829</v>
      </c>
      <c r="H245" s="148" t="s">
        <v>933</v>
      </c>
      <c r="I245" s="142" t="s">
        <v>933</v>
      </c>
      <c r="J245" s="144" t="s">
        <v>933</v>
      </c>
      <c r="K245" s="144" t="s">
        <v>933</v>
      </c>
      <c r="L245" s="86" t="s">
        <v>741</v>
      </c>
      <c r="M245" s="58"/>
      <c r="N245" s="59"/>
      <c r="O245" s="50"/>
      <c r="P245" s="60"/>
      <c r="R245" s="53" t="s">
        <v>764</v>
      </c>
      <c r="S245" s="53" t="s">
        <v>764</v>
      </c>
      <c r="T245" s="53" t="s">
        <v>769</v>
      </c>
      <c r="U245" s="53" t="s">
        <v>741</v>
      </c>
      <c r="V245" s="53" t="s">
        <v>768</v>
      </c>
      <c r="W245" s="53" t="s">
        <v>839</v>
      </c>
      <c r="X245" s="61">
        <v>45919</v>
      </c>
      <c r="Y245" s="150" t="s">
        <v>888</v>
      </c>
      <c r="Z245" s="53" t="s">
        <v>764</v>
      </c>
      <c r="AA245" s="53"/>
      <c r="AB245" s="156" t="s">
        <v>888</v>
      </c>
    </row>
    <row r="246" spans="2:28" x14ac:dyDescent="0.2">
      <c r="B246" s="89">
        <v>45922</v>
      </c>
      <c r="D246" s="85" t="s">
        <v>890</v>
      </c>
      <c r="E246" s="133" t="s">
        <v>891</v>
      </c>
      <c r="F246" s="85" t="s">
        <v>328</v>
      </c>
      <c r="G246" s="85" t="s">
        <v>829</v>
      </c>
      <c r="H246" s="148" t="s">
        <v>933</v>
      </c>
      <c r="I246" s="142" t="s">
        <v>933</v>
      </c>
      <c r="J246" s="144" t="s">
        <v>933</v>
      </c>
      <c r="K246" s="144" t="s">
        <v>933</v>
      </c>
      <c r="L246" s="101" t="s">
        <v>888</v>
      </c>
      <c r="M246" s="58"/>
      <c r="N246" s="59"/>
      <c r="O246" s="50"/>
      <c r="P246" s="60"/>
      <c r="R246" s="53" t="s">
        <v>769</v>
      </c>
      <c r="S246" s="53" t="s">
        <v>764</v>
      </c>
      <c r="T246" s="53" t="s">
        <v>764</v>
      </c>
      <c r="U246" s="53" t="s">
        <v>741</v>
      </c>
      <c r="V246" s="53" t="s">
        <v>768</v>
      </c>
      <c r="W246" s="53" t="s">
        <v>1053</v>
      </c>
      <c r="X246" s="61">
        <f>IFERROR(IF(W246="","",WORKDAY.INTL(B246,_xlfn.XLOOKUP(W246,Regras!$F$2:$F$11,Regras!$G$2:$G$11))),"")</f>
        <v>45931</v>
      </c>
      <c r="Y246" s="150"/>
      <c r="Z246" s="53" t="s">
        <v>769</v>
      </c>
      <c r="AA246" s="53"/>
      <c r="AB246" s="155" t="s">
        <v>892</v>
      </c>
    </row>
    <row r="247" spans="2:28" x14ac:dyDescent="0.2">
      <c r="B247" s="89">
        <v>45922</v>
      </c>
      <c r="D247" s="85" t="s">
        <v>893</v>
      </c>
      <c r="E247" s="125" t="s">
        <v>894</v>
      </c>
      <c r="F247" s="85" t="s">
        <v>11</v>
      </c>
      <c r="G247" s="85" t="s">
        <v>829</v>
      </c>
      <c r="H247" s="148" t="s">
        <v>933</v>
      </c>
      <c r="I247" s="142" t="s">
        <v>933</v>
      </c>
      <c r="J247" s="144" t="s">
        <v>933</v>
      </c>
      <c r="K247" s="144" t="s">
        <v>933</v>
      </c>
      <c r="L247" s="86" t="s">
        <v>741</v>
      </c>
      <c r="M247" s="58"/>
      <c r="N247" s="59"/>
      <c r="O247" s="50"/>
      <c r="P247" s="60"/>
      <c r="R247" s="53" t="s">
        <v>764</v>
      </c>
      <c r="S247" s="53" t="s">
        <v>769</v>
      </c>
      <c r="T247" s="53" t="s">
        <v>769</v>
      </c>
      <c r="U247" s="53" t="s">
        <v>741</v>
      </c>
      <c r="V247" s="53" t="s">
        <v>765</v>
      </c>
      <c r="W247" s="53" t="s">
        <v>766</v>
      </c>
      <c r="X247" s="61">
        <f>IFERROR(IF(W247="","",WORKDAY.INTL(B247,_xlfn.XLOOKUP(W247,Regras!$F$2:$F$11,Regras!$G$2:$G$11))),"")</f>
        <v>45985</v>
      </c>
      <c r="Y247" s="150" t="s">
        <v>766</v>
      </c>
      <c r="Z247" s="53" t="s">
        <v>764</v>
      </c>
      <c r="AA247" s="53"/>
      <c r="AB247" s="155" t="s">
        <v>766</v>
      </c>
    </row>
    <row r="248" spans="2:28" x14ac:dyDescent="0.2">
      <c r="B248" s="89">
        <v>45922</v>
      </c>
      <c r="D248" s="85" t="s">
        <v>934</v>
      </c>
      <c r="E248" s="133" t="s">
        <v>933</v>
      </c>
      <c r="F248" s="85" t="s">
        <v>46</v>
      </c>
      <c r="G248" s="85" t="s">
        <v>829</v>
      </c>
      <c r="H248" s="148" t="s">
        <v>933</v>
      </c>
      <c r="I248" s="142" t="s">
        <v>933</v>
      </c>
      <c r="J248" s="144" t="s">
        <v>933</v>
      </c>
      <c r="K248" s="144" t="s">
        <v>933</v>
      </c>
      <c r="L248" s="95" t="s">
        <v>888</v>
      </c>
      <c r="M248" s="58"/>
      <c r="N248" s="59"/>
      <c r="O248" s="50"/>
      <c r="P248" s="60"/>
      <c r="R248" s="53" t="s">
        <v>764</v>
      </c>
      <c r="S248" s="53" t="s">
        <v>764</v>
      </c>
      <c r="T248" s="53" t="s">
        <v>764</v>
      </c>
      <c r="U248" s="53" t="s">
        <v>773</v>
      </c>
      <c r="V248" s="53" t="s">
        <v>768</v>
      </c>
      <c r="W248" s="53" t="s">
        <v>780</v>
      </c>
      <c r="X248" s="61"/>
      <c r="Y248" s="150" t="s">
        <v>935</v>
      </c>
      <c r="Z248" s="53" t="s">
        <v>769</v>
      </c>
      <c r="AA248" s="53"/>
      <c r="AB248" s="156" t="s">
        <v>935</v>
      </c>
    </row>
    <row r="249" spans="2:28" x14ac:dyDescent="0.2">
      <c r="B249" s="89">
        <v>45922</v>
      </c>
      <c r="D249" s="85" t="s">
        <v>280</v>
      </c>
      <c r="E249" s="125" t="s">
        <v>281</v>
      </c>
      <c r="F249" s="85" t="s">
        <v>22</v>
      </c>
      <c r="G249" s="85" t="s">
        <v>829</v>
      </c>
      <c r="H249" s="148" t="s">
        <v>933</v>
      </c>
      <c r="I249" s="142" t="s">
        <v>933</v>
      </c>
      <c r="J249" s="144" t="s">
        <v>933</v>
      </c>
      <c r="K249" s="144" t="s">
        <v>933</v>
      </c>
      <c r="L249" s="86" t="s">
        <v>741</v>
      </c>
      <c r="M249" s="58"/>
      <c r="N249" s="59"/>
      <c r="O249" s="50"/>
      <c r="P249" s="60"/>
      <c r="R249" s="53" t="s">
        <v>764</v>
      </c>
      <c r="S249" s="53" t="s">
        <v>769</v>
      </c>
      <c r="T249" s="53" t="s">
        <v>769</v>
      </c>
      <c r="U249" s="53" t="s">
        <v>741</v>
      </c>
      <c r="V249" s="53" t="s">
        <v>770</v>
      </c>
      <c r="W249" s="53" t="s">
        <v>766</v>
      </c>
      <c r="X249" s="61">
        <f>IFERROR(IF(W249="","",WORKDAY.INTL(B249,_xlfn.XLOOKUP(W249,Regras!$F$2:$F$11,Regras!$G$2:$G$11))),"")</f>
        <v>45985</v>
      </c>
      <c r="Y249" s="150" t="s">
        <v>936</v>
      </c>
      <c r="Z249" s="53" t="s">
        <v>764</v>
      </c>
      <c r="AA249" s="53"/>
      <c r="AB249" s="156" t="s">
        <v>936</v>
      </c>
    </row>
    <row r="250" spans="2:28" x14ac:dyDescent="0.2">
      <c r="B250" s="89">
        <v>45922</v>
      </c>
      <c r="D250" s="85" t="s">
        <v>937</v>
      </c>
      <c r="E250" s="125" t="s">
        <v>938</v>
      </c>
      <c r="F250" s="85" t="s">
        <v>46</v>
      </c>
      <c r="G250" s="85" t="s">
        <v>829</v>
      </c>
      <c r="H250" s="148" t="s">
        <v>933</v>
      </c>
      <c r="I250" s="142" t="s">
        <v>933</v>
      </c>
      <c r="J250" s="144" t="s">
        <v>933</v>
      </c>
      <c r="K250" s="144" t="s">
        <v>933</v>
      </c>
      <c r="L250" s="86" t="s">
        <v>741</v>
      </c>
      <c r="M250" s="58"/>
      <c r="N250" s="59"/>
      <c r="O250" s="50"/>
      <c r="P250" s="60"/>
      <c r="R250" s="53" t="s">
        <v>764</v>
      </c>
      <c r="S250" s="53" t="s">
        <v>764</v>
      </c>
      <c r="T250" s="53" t="s">
        <v>764</v>
      </c>
      <c r="U250" s="53" t="s">
        <v>741</v>
      </c>
      <c r="V250" s="53" t="s">
        <v>768</v>
      </c>
      <c r="W250" s="53" t="s">
        <v>766</v>
      </c>
      <c r="X250" s="61">
        <f>IFERROR(IF(W250="","",WORKDAY.INTL(B250,_xlfn.XLOOKUP(W250,Regras!$F$2:$F$11,Regras!$G$2:$G$11))),"")</f>
        <v>45985</v>
      </c>
      <c r="Y250" s="150" t="s">
        <v>936</v>
      </c>
      <c r="Z250" s="53" t="s">
        <v>764</v>
      </c>
      <c r="AA250" s="53"/>
      <c r="AB250" s="155" t="s">
        <v>939</v>
      </c>
    </row>
    <row r="251" spans="2:28" x14ac:dyDescent="0.2">
      <c r="B251" s="89">
        <v>45922</v>
      </c>
      <c r="D251" s="85" t="s">
        <v>856</v>
      </c>
      <c r="E251" s="133" t="s">
        <v>857</v>
      </c>
      <c r="F251" s="85" t="s">
        <v>328</v>
      </c>
      <c r="G251" s="85" t="s">
        <v>829</v>
      </c>
      <c r="H251" s="148" t="s">
        <v>933</v>
      </c>
      <c r="I251" s="142" t="s">
        <v>933</v>
      </c>
      <c r="J251" s="144" t="s">
        <v>933</v>
      </c>
      <c r="K251" s="144" t="s">
        <v>933</v>
      </c>
      <c r="L251" s="95" t="s">
        <v>888</v>
      </c>
      <c r="M251" s="58"/>
      <c r="N251" s="59"/>
      <c r="O251" s="50"/>
      <c r="P251" s="60"/>
      <c r="R251" s="53" t="s">
        <v>764</v>
      </c>
      <c r="S251" s="53" t="s">
        <v>769</v>
      </c>
      <c r="T251" s="53" t="s">
        <v>769</v>
      </c>
      <c r="U251" s="53" t="s">
        <v>741</v>
      </c>
      <c r="V251" s="53" t="s">
        <v>813</v>
      </c>
      <c r="W251" s="53" t="s">
        <v>777</v>
      </c>
      <c r="X251" s="61" t="str">
        <f>IFERROR(IF(W251="","",WORKDAY.INTL(B251,_xlfn.XLOOKUP(W251,Regras!$F$2:$F$11,Regras!$G$2:$G$11))),"")</f>
        <v/>
      </c>
      <c r="Y251" s="150" t="s">
        <v>940</v>
      </c>
      <c r="Z251" s="53" t="s">
        <v>764</v>
      </c>
      <c r="AA251" s="53"/>
      <c r="AB251" s="156" t="s">
        <v>940</v>
      </c>
    </row>
    <row r="252" spans="2:28" x14ac:dyDescent="0.2">
      <c r="B252" s="89">
        <v>45922</v>
      </c>
      <c r="D252" s="85" t="s">
        <v>224</v>
      </c>
      <c r="E252" s="125" t="s">
        <v>239</v>
      </c>
      <c r="F252" s="85" t="s">
        <v>22</v>
      </c>
      <c r="G252" s="85" t="s">
        <v>829</v>
      </c>
      <c r="H252" s="148" t="s">
        <v>933</v>
      </c>
      <c r="I252" s="142" t="s">
        <v>933</v>
      </c>
      <c r="J252" s="144" t="s">
        <v>933</v>
      </c>
      <c r="K252" s="144" t="s">
        <v>933</v>
      </c>
      <c r="L252" s="86" t="s">
        <v>741</v>
      </c>
      <c r="M252" s="58"/>
      <c r="N252" s="59"/>
      <c r="O252" s="50"/>
      <c r="P252" s="60"/>
      <c r="R252" s="53" t="s">
        <v>764</v>
      </c>
      <c r="S252" s="53" t="s">
        <v>769</v>
      </c>
      <c r="T252" s="53" t="s">
        <v>769</v>
      </c>
      <c r="U252" s="53" t="s">
        <v>773</v>
      </c>
      <c r="V252" s="53" t="s">
        <v>813</v>
      </c>
      <c r="W252" s="53" t="s">
        <v>777</v>
      </c>
      <c r="X252" s="61" t="str">
        <f>IFERROR(IF(W252="","",WORKDAY.INTL(B252,_xlfn.XLOOKUP(W252,Regras!$F$2:$F$11,Regras!$G$2:$G$11))),"")</f>
        <v/>
      </c>
      <c r="Y252" s="150" t="s">
        <v>941</v>
      </c>
      <c r="Z252" s="53" t="s">
        <v>764</v>
      </c>
      <c r="AA252" s="53"/>
      <c r="AB252" s="156" t="s">
        <v>941</v>
      </c>
    </row>
    <row r="253" spans="2:28" x14ac:dyDescent="0.2">
      <c r="B253" s="89">
        <v>45922</v>
      </c>
      <c r="D253" s="85" t="s">
        <v>942</v>
      </c>
      <c r="E253" s="133" t="s">
        <v>1005</v>
      </c>
      <c r="F253" s="85" t="s">
        <v>31</v>
      </c>
      <c r="G253" s="85" t="s">
        <v>829</v>
      </c>
      <c r="H253" s="148" t="s">
        <v>933</v>
      </c>
      <c r="I253" s="142" t="s">
        <v>933</v>
      </c>
      <c r="J253" s="144" t="s">
        <v>933</v>
      </c>
      <c r="K253" s="144" t="s">
        <v>933</v>
      </c>
      <c r="L253" s="95" t="s">
        <v>888</v>
      </c>
      <c r="M253" s="58"/>
      <c r="N253" s="59"/>
      <c r="O253" s="50"/>
      <c r="P253" s="60"/>
      <c r="R253" s="53" t="s">
        <v>764</v>
      </c>
      <c r="S253" s="53" t="s">
        <v>764</v>
      </c>
      <c r="T253" s="53" t="s">
        <v>764</v>
      </c>
      <c r="U253" s="53" t="s">
        <v>773</v>
      </c>
      <c r="V253" s="53" t="s">
        <v>813</v>
      </c>
      <c r="W253" s="53" t="s">
        <v>777</v>
      </c>
      <c r="X253" s="61" t="str">
        <f>IFERROR(IF(W253="","",WORKDAY.INTL(B253,_xlfn.XLOOKUP(W253,Regras!$F$2:$F$11,Regras!$G$2:$G$11))),"")</f>
        <v/>
      </c>
      <c r="Y253" s="150" t="s">
        <v>935</v>
      </c>
      <c r="Z253" s="53" t="s">
        <v>769</v>
      </c>
      <c r="AA253" s="53"/>
      <c r="AB253" s="155" t="s">
        <v>943</v>
      </c>
    </row>
    <row r="254" spans="2:28" x14ac:dyDescent="0.2">
      <c r="B254" s="89">
        <v>45922</v>
      </c>
      <c r="D254" s="85" t="s">
        <v>945</v>
      </c>
      <c r="E254" s="133" t="s">
        <v>944</v>
      </c>
      <c r="F254" s="85" t="s">
        <v>22</v>
      </c>
      <c r="G254" s="85" t="s">
        <v>829</v>
      </c>
      <c r="H254" s="148" t="s">
        <v>933</v>
      </c>
      <c r="I254" s="142" t="s">
        <v>933</v>
      </c>
      <c r="J254" s="144" t="s">
        <v>933</v>
      </c>
      <c r="K254" s="144" t="s">
        <v>933</v>
      </c>
      <c r="L254" s="95" t="s">
        <v>888</v>
      </c>
      <c r="M254" s="58"/>
      <c r="N254" s="59"/>
      <c r="O254" s="50"/>
      <c r="P254" s="60"/>
      <c r="R254" s="53" t="s">
        <v>764</v>
      </c>
      <c r="S254" s="53" t="s">
        <v>769</v>
      </c>
      <c r="T254" s="53" t="s">
        <v>769</v>
      </c>
      <c r="U254" s="53" t="s">
        <v>741</v>
      </c>
      <c r="V254" s="53" t="s">
        <v>768</v>
      </c>
      <c r="W254" s="53" t="s">
        <v>1053</v>
      </c>
      <c r="X254" s="61">
        <f>IFERROR(IF(W254="","",WORKDAY.INTL(B254,_xlfn.XLOOKUP(W254,Regras!$F$2:$F$11,Regras!$G$2:$G$11))),"")</f>
        <v>45931</v>
      </c>
      <c r="Y254" s="150" t="s">
        <v>946</v>
      </c>
      <c r="Z254" s="53" t="s">
        <v>764</v>
      </c>
      <c r="AA254" s="53"/>
      <c r="AB254" s="156" t="s">
        <v>947</v>
      </c>
    </row>
    <row r="255" spans="2:28" x14ac:dyDescent="0.2">
      <c r="B255" s="89">
        <v>45922</v>
      </c>
      <c r="D255" s="85" t="s">
        <v>948</v>
      </c>
      <c r="E255" s="133" t="s">
        <v>949</v>
      </c>
      <c r="F255" s="85" t="s">
        <v>46</v>
      </c>
      <c r="G255" s="85" t="s">
        <v>829</v>
      </c>
      <c r="H255" s="148" t="s">
        <v>933</v>
      </c>
      <c r="I255" s="142" t="s">
        <v>933</v>
      </c>
      <c r="J255" s="144" t="s">
        <v>933</v>
      </c>
      <c r="K255" s="144" t="s">
        <v>933</v>
      </c>
      <c r="L255" s="95" t="s">
        <v>888</v>
      </c>
      <c r="M255" s="58"/>
      <c r="N255" s="59"/>
      <c r="O255" s="50"/>
      <c r="P255" s="60"/>
      <c r="R255" s="53" t="s">
        <v>764</v>
      </c>
      <c r="S255" s="53" t="s">
        <v>764</v>
      </c>
      <c r="T255" s="53" t="s">
        <v>769</v>
      </c>
      <c r="U255" s="53" t="s">
        <v>741</v>
      </c>
      <c r="V255" s="53" t="s">
        <v>813</v>
      </c>
      <c r="W255" s="53" t="s">
        <v>796</v>
      </c>
      <c r="X255" s="61" t="str">
        <f>IFERROR(IF(W255="","",WORKDAY.INTL(B255,_xlfn.XLOOKUP(W255,Regras!$F$2:$F$11,Regras!$G$2:$G$11))),"")</f>
        <v/>
      </c>
      <c r="Y255" s="150" t="s">
        <v>950</v>
      </c>
      <c r="Z255" s="53" t="s">
        <v>764</v>
      </c>
      <c r="AA255" s="53"/>
      <c r="AB255" s="155" t="s">
        <v>951</v>
      </c>
    </row>
    <row r="256" spans="2:28" x14ac:dyDescent="0.2">
      <c r="B256" s="89">
        <v>45922</v>
      </c>
      <c r="D256" s="85" t="s">
        <v>952</v>
      </c>
      <c r="E256" s="133" t="s">
        <v>953</v>
      </c>
      <c r="F256" s="85" t="s">
        <v>46</v>
      </c>
      <c r="G256" s="85" t="s">
        <v>829</v>
      </c>
      <c r="H256" s="148" t="s">
        <v>933</v>
      </c>
      <c r="I256" s="142" t="s">
        <v>933</v>
      </c>
      <c r="J256" s="144" t="s">
        <v>933</v>
      </c>
      <c r="K256" s="144" t="s">
        <v>933</v>
      </c>
      <c r="L256" s="95" t="s">
        <v>888</v>
      </c>
      <c r="M256" s="58"/>
      <c r="N256" s="59"/>
      <c r="O256" s="50"/>
      <c r="P256" s="60"/>
      <c r="R256" s="53" t="s">
        <v>764</v>
      </c>
      <c r="S256" s="53" t="s">
        <v>764</v>
      </c>
      <c r="T256" s="53" t="s">
        <v>764</v>
      </c>
      <c r="U256" s="53" t="s">
        <v>741</v>
      </c>
      <c r="V256" s="53" t="s">
        <v>813</v>
      </c>
      <c r="W256" s="53" t="s">
        <v>796</v>
      </c>
      <c r="X256" s="61" t="str">
        <f>IFERROR(IF(W256="","",WORKDAY.INTL(B256,_xlfn.XLOOKUP(W256,Regras!$F$2:$F$11,Regras!$G$2:$G$11))),"")</f>
        <v/>
      </c>
      <c r="Y256" s="150" t="s">
        <v>950</v>
      </c>
      <c r="Z256" s="53" t="s">
        <v>764</v>
      </c>
      <c r="AA256" s="53"/>
      <c r="AB256" s="155" t="s">
        <v>951</v>
      </c>
    </row>
    <row r="257" spans="2:28" x14ac:dyDescent="0.2">
      <c r="B257" s="89">
        <v>45922</v>
      </c>
      <c r="D257" s="85" t="s">
        <v>954</v>
      </c>
      <c r="E257" s="133" t="s">
        <v>933</v>
      </c>
      <c r="F257" s="85" t="s">
        <v>46</v>
      </c>
      <c r="G257" s="85" t="s">
        <v>829</v>
      </c>
      <c r="H257" s="148" t="s">
        <v>933</v>
      </c>
      <c r="I257" s="142" t="s">
        <v>933</v>
      </c>
      <c r="J257" s="144" t="s">
        <v>933</v>
      </c>
      <c r="K257" s="144" t="s">
        <v>933</v>
      </c>
      <c r="L257" s="95" t="s">
        <v>888</v>
      </c>
      <c r="M257" s="58"/>
      <c r="N257" s="59"/>
      <c r="O257" s="50"/>
      <c r="P257" s="60"/>
      <c r="R257" s="53" t="s">
        <v>764</v>
      </c>
      <c r="S257" s="53" t="s">
        <v>764</v>
      </c>
      <c r="T257" s="53" t="s">
        <v>764</v>
      </c>
      <c r="U257" s="53" t="s">
        <v>773</v>
      </c>
      <c r="V257" s="53" t="s">
        <v>768</v>
      </c>
      <c r="W257" s="53" t="s">
        <v>780</v>
      </c>
      <c r="X257" s="61">
        <f>IFERROR(IF(W257="","",WORKDAY.INTL(B257,_xlfn.XLOOKUP(W257,Regras!$F$2:$F$11,Regras!$G$2:$G$11))),"")</f>
        <v>45924</v>
      </c>
      <c r="Y257" s="150" t="s">
        <v>955</v>
      </c>
      <c r="Z257" s="53" t="s">
        <v>769</v>
      </c>
      <c r="AA257" s="53"/>
      <c r="AB257" s="156" t="s">
        <v>955</v>
      </c>
    </row>
    <row r="258" spans="2:28" x14ac:dyDescent="0.2">
      <c r="B258" s="89">
        <v>45922</v>
      </c>
      <c r="D258" s="85" t="s">
        <v>956</v>
      </c>
      <c r="E258" s="125" t="s">
        <v>957</v>
      </c>
      <c r="F258" s="85" t="s">
        <v>46</v>
      </c>
      <c r="G258" s="85" t="s">
        <v>829</v>
      </c>
      <c r="H258" s="148" t="s">
        <v>933</v>
      </c>
      <c r="I258" s="142" t="s">
        <v>933</v>
      </c>
      <c r="J258" s="144" t="s">
        <v>933</v>
      </c>
      <c r="K258" s="144" t="s">
        <v>933</v>
      </c>
      <c r="L258" s="86" t="s">
        <v>741</v>
      </c>
      <c r="M258" s="58"/>
      <c r="N258" s="59"/>
      <c r="O258" s="50"/>
      <c r="P258" s="60"/>
      <c r="R258" s="53" t="s">
        <v>764</v>
      </c>
      <c r="S258" s="53" t="s">
        <v>769</v>
      </c>
      <c r="T258" s="53" t="s">
        <v>769</v>
      </c>
      <c r="U258" s="53" t="s">
        <v>773</v>
      </c>
      <c r="V258" s="53" t="s">
        <v>813</v>
      </c>
      <c r="W258" s="53" t="s">
        <v>777</v>
      </c>
      <c r="X258" s="61" t="str">
        <f>IFERROR(IF(W258="","",WORKDAY.INTL(B258,_xlfn.XLOOKUP(W258,Regras!$F$2:$F$11,Regras!$G$2:$G$11))),"")</f>
        <v/>
      </c>
      <c r="Y258" s="150" t="s">
        <v>958</v>
      </c>
      <c r="Z258" s="53" t="s">
        <v>764</v>
      </c>
      <c r="AA258" s="53"/>
      <c r="AB258" s="155" t="s">
        <v>959</v>
      </c>
    </row>
    <row r="259" spans="2:28" x14ac:dyDescent="0.2">
      <c r="B259" s="89">
        <v>45922</v>
      </c>
      <c r="D259" s="85" t="s">
        <v>190</v>
      </c>
      <c r="E259" s="125" t="s">
        <v>191</v>
      </c>
      <c r="F259" s="85" t="s">
        <v>46</v>
      </c>
      <c r="G259" s="85" t="s">
        <v>829</v>
      </c>
      <c r="H259" s="148" t="s">
        <v>933</v>
      </c>
      <c r="I259" s="142" t="s">
        <v>933</v>
      </c>
      <c r="J259" s="144" t="s">
        <v>933</v>
      </c>
      <c r="K259" s="144" t="s">
        <v>933</v>
      </c>
      <c r="L259" s="86" t="s">
        <v>741</v>
      </c>
      <c r="M259" s="58"/>
      <c r="N259" s="59"/>
      <c r="O259" s="50"/>
      <c r="P259" s="60"/>
      <c r="R259" s="53" t="s">
        <v>764</v>
      </c>
      <c r="S259" s="53" t="s">
        <v>769</v>
      </c>
      <c r="T259" s="53" t="s">
        <v>769</v>
      </c>
      <c r="U259" s="53" t="s">
        <v>773</v>
      </c>
      <c r="V259" s="53" t="s">
        <v>813</v>
      </c>
      <c r="W259" s="53" t="s">
        <v>777</v>
      </c>
      <c r="X259" s="61" t="str">
        <f>IFERROR(IF(W259="","",WORKDAY.INTL(B259,_xlfn.XLOOKUP(W259,Regras!$F$2:$F$11,Regras!$G$2:$G$11))),"")</f>
        <v/>
      </c>
      <c r="Y259" s="150" t="s">
        <v>960</v>
      </c>
      <c r="Z259" s="53" t="s">
        <v>764</v>
      </c>
      <c r="AA259" s="53"/>
      <c r="AB259" s="156" t="s">
        <v>961</v>
      </c>
    </row>
    <row r="260" spans="2:28" x14ac:dyDescent="0.2">
      <c r="B260" s="89">
        <v>45922</v>
      </c>
      <c r="D260" s="85" t="s">
        <v>937</v>
      </c>
      <c r="E260" s="125" t="s">
        <v>938</v>
      </c>
      <c r="F260" s="85" t="s">
        <v>46</v>
      </c>
      <c r="G260" s="85" t="s">
        <v>829</v>
      </c>
      <c r="H260" s="148" t="s">
        <v>933</v>
      </c>
      <c r="I260" s="142" t="s">
        <v>933</v>
      </c>
      <c r="J260" s="144" t="s">
        <v>933</v>
      </c>
      <c r="K260" s="144" t="s">
        <v>933</v>
      </c>
      <c r="L260" s="86" t="s">
        <v>741</v>
      </c>
      <c r="M260" s="58"/>
      <c r="N260" s="59"/>
      <c r="O260" s="50"/>
      <c r="P260" s="60"/>
      <c r="R260" s="53" t="s">
        <v>764</v>
      </c>
      <c r="S260" s="53" t="s">
        <v>769</v>
      </c>
      <c r="T260" s="53" t="s">
        <v>769</v>
      </c>
      <c r="U260" s="53" t="s">
        <v>741</v>
      </c>
      <c r="V260" s="53" t="s">
        <v>813</v>
      </c>
      <c r="W260" s="53" t="s">
        <v>777</v>
      </c>
      <c r="X260" s="61" t="str">
        <f>IFERROR(IF(W260="","",WORKDAY.INTL(B260,_xlfn.XLOOKUP(W260,Regras!$F$2:$F$11,Regras!$G$2:$G$11))),"")</f>
        <v/>
      </c>
      <c r="Y260" s="150" t="s">
        <v>963</v>
      </c>
      <c r="Z260" s="53" t="s">
        <v>764</v>
      </c>
      <c r="AA260" s="53"/>
      <c r="AB260" s="156" t="s">
        <v>962</v>
      </c>
    </row>
    <row r="261" spans="2:28" x14ac:dyDescent="0.2">
      <c r="B261" s="89">
        <v>45922</v>
      </c>
      <c r="D261" s="85" t="s">
        <v>964</v>
      </c>
      <c r="E261" s="125" t="s">
        <v>933</v>
      </c>
      <c r="F261" s="85" t="s">
        <v>120</v>
      </c>
      <c r="G261" s="85" t="s">
        <v>829</v>
      </c>
      <c r="H261" s="148" t="s">
        <v>933</v>
      </c>
      <c r="I261" s="142" t="s">
        <v>933</v>
      </c>
      <c r="J261" s="144" t="s">
        <v>933</v>
      </c>
      <c r="K261" s="144" t="s">
        <v>933</v>
      </c>
      <c r="L261" s="86" t="s">
        <v>741</v>
      </c>
      <c r="M261" s="58"/>
      <c r="N261" s="59"/>
      <c r="O261" s="50"/>
      <c r="P261" s="60"/>
      <c r="R261" s="53" t="s">
        <v>764</v>
      </c>
      <c r="S261" s="53" t="s">
        <v>769</v>
      </c>
      <c r="T261" s="53" t="s">
        <v>769</v>
      </c>
      <c r="U261" s="53" t="s">
        <v>741</v>
      </c>
      <c r="V261" s="53" t="s">
        <v>770</v>
      </c>
      <c r="W261" s="53" t="s">
        <v>839</v>
      </c>
      <c r="X261" s="61">
        <f>IFERROR(IF(W261="","",WORKDAY.INTL(B261,_xlfn.XLOOKUP(W261,Regras!$F$2:$F$11,Regras!$G$2:$G$11))),"")</f>
        <v>45923</v>
      </c>
      <c r="Y261" s="150" t="s">
        <v>965</v>
      </c>
      <c r="Z261" s="53" t="s">
        <v>764</v>
      </c>
      <c r="AA261" s="53"/>
      <c r="AB261" s="155" t="s">
        <v>966</v>
      </c>
    </row>
    <row r="262" spans="2:28" x14ac:dyDescent="0.2">
      <c r="B262" s="89">
        <v>45922</v>
      </c>
      <c r="D262" s="85" t="s">
        <v>967</v>
      </c>
      <c r="E262" s="125" t="s">
        <v>595</v>
      </c>
      <c r="F262" s="85" t="s">
        <v>22</v>
      </c>
      <c r="G262" s="85" t="s">
        <v>829</v>
      </c>
      <c r="H262" s="148" t="s">
        <v>933</v>
      </c>
      <c r="I262" s="142" t="s">
        <v>933</v>
      </c>
      <c r="J262" s="144" t="s">
        <v>933</v>
      </c>
      <c r="K262" s="144" t="s">
        <v>933</v>
      </c>
      <c r="L262" s="86" t="s">
        <v>741</v>
      </c>
      <c r="M262" s="58"/>
      <c r="N262" s="59"/>
      <c r="O262" s="50"/>
      <c r="P262" s="60"/>
      <c r="R262" s="53" t="s">
        <v>764</v>
      </c>
      <c r="S262" s="53" t="s">
        <v>769</v>
      </c>
      <c r="T262" s="53" t="s">
        <v>769</v>
      </c>
      <c r="U262" s="53" t="s">
        <v>773</v>
      </c>
      <c r="V262" s="53" t="s">
        <v>813</v>
      </c>
      <c r="W262" s="53" t="s">
        <v>777</v>
      </c>
      <c r="X262" s="61" t="str">
        <f>IFERROR(IF(W262="","",WORKDAY.INTL(B262,_xlfn.XLOOKUP(W262,Regras!$F$2:$F$11,Regras!$G$2:$G$11))),"")</f>
        <v/>
      </c>
      <c r="Y262" s="150" t="s">
        <v>968</v>
      </c>
      <c r="Z262" s="53" t="s">
        <v>764</v>
      </c>
      <c r="AA262" s="53"/>
      <c r="AB262" s="156" t="s">
        <v>968</v>
      </c>
    </row>
    <row r="263" spans="2:28" x14ac:dyDescent="0.2">
      <c r="B263" s="89">
        <v>45926</v>
      </c>
      <c r="D263" s="85" t="s">
        <v>1064</v>
      </c>
      <c r="E263" s="133" t="s">
        <v>933</v>
      </c>
      <c r="F263" s="85" t="s">
        <v>22</v>
      </c>
      <c r="G263" s="85" t="s">
        <v>12</v>
      </c>
      <c r="H263" s="148" t="s">
        <v>933</v>
      </c>
      <c r="I263" s="142" t="s">
        <v>933</v>
      </c>
      <c r="J263" s="144" t="s">
        <v>933</v>
      </c>
      <c r="K263" s="144" t="s">
        <v>933</v>
      </c>
      <c r="L263" s="95" t="s">
        <v>888</v>
      </c>
      <c r="M263" s="58"/>
      <c r="N263" s="59"/>
      <c r="O263" s="50"/>
      <c r="P263" s="60"/>
      <c r="R263" s="53" t="s">
        <v>764</v>
      </c>
      <c r="S263" s="53" t="s">
        <v>764</v>
      </c>
      <c r="T263" s="53" t="s">
        <v>764</v>
      </c>
      <c r="U263" s="53" t="s">
        <v>773</v>
      </c>
      <c r="V263" s="53" t="s">
        <v>768</v>
      </c>
      <c r="W263" s="53" t="s">
        <v>780</v>
      </c>
      <c r="X263" s="61">
        <f>IFERROR(IF(W263="","",WORKDAY.INTL(B263,_xlfn.XLOOKUP(W263,Regras!$F$2:$F$11,Regras!$G$2:$G$11))),"")</f>
        <v>45930</v>
      </c>
      <c r="Y263" s="150" t="s">
        <v>1065</v>
      </c>
      <c r="Z263" s="53" t="s">
        <v>769</v>
      </c>
      <c r="AA263" s="53"/>
      <c r="AB263" s="155" t="s">
        <v>1066</v>
      </c>
    </row>
    <row r="264" spans="2:28" x14ac:dyDescent="0.2">
      <c r="B264" s="89">
        <v>45926</v>
      </c>
      <c r="D264" s="85" t="s">
        <v>1036</v>
      </c>
      <c r="E264" s="133" t="s">
        <v>1027</v>
      </c>
      <c r="F264" s="85" t="s">
        <v>17</v>
      </c>
      <c r="G264" s="85" t="s">
        <v>829</v>
      </c>
      <c r="H264" s="148" t="s">
        <v>933</v>
      </c>
      <c r="I264" s="142" t="s">
        <v>933</v>
      </c>
      <c r="J264" s="144" t="s">
        <v>933</v>
      </c>
      <c r="K264" s="144" t="s">
        <v>933</v>
      </c>
      <c r="L264" s="95" t="s">
        <v>888</v>
      </c>
      <c r="M264" s="58"/>
      <c r="N264" s="59"/>
      <c r="O264" s="50"/>
      <c r="P264" s="60"/>
      <c r="R264" s="53" t="s">
        <v>769</v>
      </c>
      <c r="S264" s="53" t="s">
        <v>764</v>
      </c>
      <c r="T264" s="53" t="s">
        <v>764</v>
      </c>
      <c r="U264" s="53" t="s">
        <v>773</v>
      </c>
      <c r="V264" s="53" t="s">
        <v>768</v>
      </c>
      <c r="W264" s="53" t="s">
        <v>777</v>
      </c>
      <c r="X264" s="61" t="str">
        <f>IFERROR(IF(W264="","",WORKDAY.INTL(B264,_xlfn.XLOOKUP(W264,Regras!$F$2:$F$11,Regras!$G$2:$G$11))),"")</f>
        <v/>
      </c>
      <c r="Y264" s="150" t="s">
        <v>1067</v>
      </c>
      <c r="Z264" s="53" t="s">
        <v>764</v>
      </c>
      <c r="AA264" s="53"/>
      <c r="AB264" s="155" t="s">
        <v>1068</v>
      </c>
    </row>
    <row r="265" spans="2:28" x14ac:dyDescent="0.2">
      <c r="B265" s="89">
        <v>45926</v>
      </c>
      <c r="D265" s="100" t="s">
        <v>1071</v>
      </c>
      <c r="E265" s="126" t="s">
        <v>204</v>
      </c>
      <c r="F265" s="100" t="s">
        <v>36</v>
      </c>
      <c r="G265" s="100" t="s">
        <v>829</v>
      </c>
      <c r="H265" s="148" t="s">
        <v>933</v>
      </c>
      <c r="I265" s="142" t="s">
        <v>933</v>
      </c>
      <c r="J265" s="144" t="s">
        <v>933</v>
      </c>
      <c r="K265" s="144" t="s">
        <v>933</v>
      </c>
      <c r="L265" s="86" t="s">
        <v>741</v>
      </c>
      <c r="M265" s="58"/>
      <c r="N265" s="59"/>
      <c r="O265" s="50"/>
      <c r="P265" s="60"/>
      <c r="R265" s="53" t="s">
        <v>764</v>
      </c>
      <c r="S265" s="53" t="s">
        <v>764</v>
      </c>
      <c r="T265" s="53" t="s">
        <v>764</v>
      </c>
      <c r="U265" s="53" t="s">
        <v>741</v>
      </c>
      <c r="V265" s="53" t="s">
        <v>770</v>
      </c>
      <c r="W265" s="53" t="s">
        <v>1054</v>
      </c>
      <c r="X265" s="61">
        <f>IFERROR(IF(W265="","",WORKDAY.INTL(B265,_xlfn.XLOOKUP(W265,Regras!$F$2:$F$11,Regras!$G$2:$G$11))),"")</f>
        <v>45947</v>
      </c>
      <c r="Y265" s="150" t="s">
        <v>1070</v>
      </c>
      <c r="Z265" s="53" t="s">
        <v>764</v>
      </c>
      <c r="AA265" s="53"/>
      <c r="AB265" s="156" t="s">
        <v>1070</v>
      </c>
    </row>
    <row r="266" spans="2:28" x14ac:dyDescent="0.2">
      <c r="B266" s="89">
        <v>45926</v>
      </c>
      <c r="D266" s="85" t="s">
        <v>150</v>
      </c>
      <c r="E266" s="125" t="s">
        <v>151</v>
      </c>
      <c r="F266" s="85" t="s">
        <v>22</v>
      </c>
      <c r="G266" s="85" t="s">
        <v>829</v>
      </c>
      <c r="H266" s="148" t="s">
        <v>933</v>
      </c>
      <c r="I266" s="142" t="s">
        <v>933</v>
      </c>
      <c r="J266" s="144" t="s">
        <v>933</v>
      </c>
      <c r="K266" s="144" t="s">
        <v>933</v>
      </c>
      <c r="L266" s="86" t="s">
        <v>741</v>
      </c>
      <c r="M266" s="58"/>
      <c r="N266" s="59"/>
      <c r="O266" s="50"/>
      <c r="P266" s="60"/>
      <c r="R266" s="53" t="s">
        <v>764</v>
      </c>
      <c r="S266" s="53" t="s">
        <v>764</v>
      </c>
      <c r="T266" s="53" t="s">
        <v>769</v>
      </c>
      <c r="U266" s="53" t="s">
        <v>741</v>
      </c>
      <c r="V266" s="53" t="s">
        <v>770</v>
      </c>
      <c r="W266" s="53" t="s">
        <v>766</v>
      </c>
      <c r="X266" s="61">
        <f>IFERROR(IF(W266="","",WORKDAY.INTL(B266,_xlfn.XLOOKUP(W266,Regras!$F$2:$F$11,Regras!$G$2:$G$11))),"")</f>
        <v>45989</v>
      </c>
      <c r="Y266" s="150" t="s">
        <v>782</v>
      </c>
      <c r="Z266" s="53" t="s">
        <v>764</v>
      </c>
      <c r="AA266" s="53"/>
      <c r="AB266" s="155" t="s">
        <v>1072</v>
      </c>
    </row>
    <row r="267" spans="2:28" x14ac:dyDescent="0.2">
      <c r="B267" s="89">
        <v>45929</v>
      </c>
      <c r="D267" s="85" t="s">
        <v>1081</v>
      </c>
      <c r="E267" s="133" t="s">
        <v>1080</v>
      </c>
      <c r="F267" s="85" t="s">
        <v>22</v>
      </c>
      <c r="G267" s="85" t="s">
        <v>829</v>
      </c>
      <c r="H267" s="148" t="s">
        <v>933</v>
      </c>
      <c r="I267" s="142" t="s">
        <v>933</v>
      </c>
      <c r="J267" s="144" t="s">
        <v>933</v>
      </c>
      <c r="K267" s="144" t="s">
        <v>933</v>
      </c>
      <c r="L267" s="95" t="s">
        <v>888</v>
      </c>
      <c r="M267" s="58"/>
      <c r="N267" s="59"/>
      <c r="O267" s="50"/>
      <c r="P267" s="60"/>
      <c r="R267" s="53" t="s">
        <v>764</v>
      </c>
      <c r="S267" s="53" t="s">
        <v>764</v>
      </c>
      <c r="T267" s="53" t="s">
        <v>764</v>
      </c>
      <c r="U267" s="53" t="s">
        <v>741</v>
      </c>
      <c r="V267" s="53" t="s">
        <v>768</v>
      </c>
      <c r="W267" s="53" t="s">
        <v>839</v>
      </c>
      <c r="X267" s="61">
        <f>IFERROR(IF(W267="","",WORKDAY.INTL(B267,_xlfn.XLOOKUP(W267,Regras!$F$2:$F$11,Regras!$G$2:$G$11))),"")</f>
        <v>45930</v>
      </c>
      <c r="Y267" s="150" t="s">
        <v>1082</v>
      </c>
      <c r="Z267" s="53" t="s">
        <v>764</v>
      </c>
      <c r="AA267" s="53"/>
      <c r="AB267" s="156" t="s">
        <v>1082</v>
      </c>
    </row>
    <row r="268" spans="2:28" x14ac:dyDescent="0.2">
      <c r="B268" s="89">
        <v>45929</v>
      </c>
      <c r="D268" s="85" t="s">
        <v>331</v>
      </c>
      <c r="E268" s="125" t="s">
        <v>332</v>
      </c>
      <c r="F268" s="85" t="s">
        <v>17</v>
      </c>
      <c r="G268" s="85" t="s">
        <v>829</v>
      </c>
      <c r="H268" s="148" t="s">
        <v>933</v>
      </c>
      <c r="I268" s="142" t="s">
        <v>933</v>
      </c>
      <c r="J268" s="144" t="s">
        <v>933</v>
      </c>
      <c r="K268" s="144" t="s">
        <v>933</v>
      </c>
      <c r="L268" s="98" t="s">
        <v>742</v>
      </c>
      <c r="M268" s="58"/>
      <c r="N268" s="59"/>
      <c r="O268" s="50"/>
      <c r="P268" s="60"/>
      <c r="R268" s="53" t="s">
        <v>764</v>
      </c>
      <c r="S268" s="53" t="s">
        <v>769</v>
      </c>
      <c r="T268" s="53" t="s">
        <v>769</v>
      </c>
      <c r="U268" s="53" t="s">
        <v>741</v>
      </c>
      <c r="V268" s="53" t="s">
        <v>770</v>
      </c>
      <c r="W268" s="53" t="s">
        <v>780</v>
      </c>
      <c r="X268" s="61">
        <f>IFERROR(IF(W268="","",WORKDAY.INTL(B268,_xlfn.XLOOKUP(W268,Regras!$F$2:$F$11,Regras!$G$2:$G$11))),"")</f>
        <v>45931</v>
      </c>
      <c r="Y268" s="150" t="s">
        <v>1083</v>
      </c>
      <c r="Z268" s="53" t="s">
        <v>764</v>
      </c>
      <c r="AA268" s="53"/>
      <c r="AB268" s="156" t="s">
        <v>1083</v>
      </c>
    </row>
    <row r="269" spans="2:28" x14ac:dyDescent="0.2">
      <c r="B269" s="89">
        <v>45929</v>
      </c>
      <c r="D269" s="85" t="s">
        <v>430</v>
      </c>
      <c r="E269" s="125" t="s">
        <v>431</v>
      </c>
      <c r="F269" s="85" t="s">
        <v>46</v>
      </c>
      <c r="G269" s="85" t="s">
        <v>829</v>
      </c>
      <c r="H269" s="148" t="s">
        <v>933</v>
      </c>
      <c r="I269" s="142" t="s">
        <v>933</v>
      </c>
      <c r="J269" s="144" t="s">
        <v>933</v>
      </c>
      <c r="K269" s="144" t="s">
        <v>933</v>
      </c>
      <c r="L269" s="98" t="s">
        <v>742</v>
      </c>
      <c r="M269" s="58"/>
      <c r="N269" s="59"/>
      <c r="O269" s="50"/>
      <c r="P269" s="60"/>
      <c r="R269" s="53" t="s">
        <v>764</v>
      </c>
      <c r="S269" s="53" t="s">
        <v>769</v>
      </c>
      <c r="T269" s="53" t="s">
        <v>769</v>
      </c>
      <c r="U269" s="53" t="s">
        <v>741</v>
      </c>
      <c r="V269" s="53" t="s">
        <v>770</v>
      </c>
      <c r="W269" s="53" t="s">
        <v>780</v>
      </c>
      <c r="X269" s="61">
        <f>IFERROR(IF(W269="","",WORKDAY.INTL(B269,_xlfn.XLOOKUP(W269,Regras!$F$2:$F$11,Regras!$G$2:$G$11))),"")</f>
        <v>45931</v>
      </c>
      <c r="Y269" s="150" t="s">
        <v>1083</v>
      </c>
      <c r="Z269" s="53" t="s">
        <v>764</v>
      </c>
      <c r="AA269" s="53"/>
      <c r="AB269" s="156" t="s">
        <v>1083</v>
      </c>
    </row>
    <row r="270" spans="2:28" x14ac:dyDescent="0.2">
      <c r="B270" s="89">
        <v>45929</v>
      </c>
      <c r="D270" s="85" t="s">
        <v>1084</v>
      </c>
      <c r="E270" s="125" t="s">
        <v>497</v>
      </c>
      <c r="F270" s="85" t="s">
        <v>11</v>
      </c>
      <c r="G270" s="85" t="s">
        <v>829</v>
      </c>
      <c r="H270" s="148" t="s">
        <v>933</v>
      </c>
      <c r="I270" s="142" t="s">
        <v>933</v>
      </c>
      <c r="J270" s="144" t="s">
        <v>933</v>
      </c>
      <c r="K270" s="144" t="s">
        <v>933</v>
      </c>
      <c r="L270" s="88" t="s">
        <v>743</v>
      </c>
      <c r="M270" s="58"/>
      <c r="N270" s="59"/>
      <c r="O270" s="50"/>
      <c r="P270" s="60"/>
      <c r="R270" s="53" t="s">
        <v>764</v>
      </c>
      <c r="S270" s="53" t="s">
        <v>769</v>
      </c>
      <c r="T270" s="53" t="s">
        <v>769</v>
      </c>
      <c r="U270" s="53" t="s">
        <v>741</v>
      </c>
      <c r="V270" s="53" t="s">
        <v>765</v>
      </c>
      <c r="W270" s="53" t="s">
        <v>780</v>
      </c>
      <c r="X270" s="61">
        <f>IFERROR(IF(W270="","",WORKDAY.INTL(B270,_xlfn.XLOOKUP(W270,Regras!$F$2:$F$11,Regras!$G$2:$G$11))),"")</f>
        <v>45931</v>
      </c>
      <c r="Y270" s="150" t="s">
        <v>1086</v>
      </c>
      <c r="Z270" s="53" t="s">
        <v>764</v>
      </c>
      <c r="AA270" s="53"/>
      <c r="AB270" s="155" t="s">
        <v>1087</v>
      </c>
    </row>
    <row r="271" spans="2:28" x14ac:dyDescent="0.2">
      <c r="B271" s="89">
        <v>45929</v>
      </c>
      <c r="D271" s="85" t="s">
        <v>1085</v>
      </c>
      <c r="E271" s="125" t="s">
        <v>1025</v>
      </c>
      <c r="F271" s="85" t="s">
        <v>17</v>
      </c>
      <c r="G271" s="85" t="s">
        <v>829</v>
      </c>
      <c r="H271" s="148" t="s">
        <v>933</v>
      </c>
      <c r="I271" s="142" t="s">
        <v>933</v>
      </c>
      <c r="J271" s="144" t="s">
        <v>933</v>
      </c>
      <c r="K271" s="144" t="s">
        <v>933</v>
      </c>
      <c r="L271" s="88" t="s">
        <v>743</v>
      </c>
      <c r="M271" s="58"/>
      <c r="N271" s="59"/>
      <c r="O271" s="50"/>
      <c r="P271" s="60"/>
      <c r="R271" s="53" t="s">
        <v>764</v>
      </c>
      <c r="S271" s="53" t="s">
        <v>769</v>
      </c>
      <c r="T271" s="53" t="s">
        <v>769</v>
      </c>
      <c r="U271" s="53" t="s">
        <v>741</v>
      </c>
      <c r="V271" s="53" t="s">
        <v>765</v>
      </c>
      <c r="W271" s="53" t="s">
        <v>780</v>
      </c>
      <c r="X271" s="61">
        <f>IFERROR(IF(W271="","",WORKDAY.INTL(B271,_xlfn.XLOOKUP(W271,Regras!$F$2:$F$11,Regras!$G$2:$G$11))),"")</f>
        <v>45931</v>
      </c>
      <c r="Y271" s="150" t="s">
        <v>1086</v>
      </c>
      <c r="Z271" s="53" t="s">
        <v>764</v>
      </c>
      <c r="AA271" s="53"/>
      <c r="AB271" s="155" t="s">
        <v>1087</v>
      </c>
    </row>
    <row r="272" spans="2:28" x14ac:dyDescent="0.2">
      <c r="B272" s="89">
        <v>45929</v>
      </c>
      <c r="D272" s="85" t="s">
        <v>1031</v>
      </c>
      <c r="E272" s="133" t="s">
        <v>1022</v>
      </c>
      <c r="F272" s="85" t="s">
        <v>17</v>
      </c>
      <c r="G272" s="85" t="s">
        <v>829</v>
      </c>
      <c r="H272" s="148" t="s">
        <v>933</v>
      </c>
      <c r="I272" s="142" t="s">
        <v>933</v>
      </c>
      <c r="J272" s="144" t="s">
        <v>933</v>
      </c>
      <c r="K272" s="144" t="s">
        <v>933</v>
      </c>
      <c r="L272" s="95" t="s">
        <v>888</v>
      </c>
      <c r="M272" s="58"/>
      <c r="N272" s="59"/>
      <c r="O272" s="50"/>
      <c r="P272" s="60"/>
      <c r="R272" s="53" t="s">
        <v>764</v>
      </c>
      <c r="S272" s="53" t="s">
        <v>764</v>
      </c>
      <c r="T272" s="53" t="s">
        <v>769</v>
      </c>
      <c r="U272" s="53" t="s">
        <v>741</v>
      </c>
      <c r="V272" s="53" t="s">
        <v>768</v>
      </c>
      <c r="W272" s="53" t="s">
        <v>780</v>
      </c>
      <c r="X272" s="61">
        <f>IFERROR(IF(W272="","",WORKDAY.INTL(B272,_xlfn.XLOOKUP(W272,Regras!$F$2:$F$11,Regras!$G$2:$G$11))),"")</f>
        <v>45931</v>
      </c>
      <c r="Y272" s="150" t="s">
        <v>1089</v>
      </c>
      <c r="Z272" s="53" t="s">
        <v>764</v>
      </c>
      <c r="AA272" s="53"/>
      <c r="AB272" s="155" t="s">
        <v>1090</v>
      </c>
    </row>
    <row r="273" spans="2:28" x14ac:dyDescent="0.2">
      <c r="B273" s="89">
        <v>45929</v>
      </c>
      <c r="D273" s="85" t="s">
        <v>1088</v>
      </c>
      <c r="E273" s="133" t="s">
        <v>1021</v>
      </c>
      <c r="F273" s="85" t="s">
        <v>11</v>
      </c>
      <c r="G273" s="85" t="s">
        <v>829</v>
      </c>
      <c r="H273" s="148" t="s">
        <v>933</v>
      </c>
      <c r="I273" s="142" t="s">
        <v>933</v>
      </c>
      <c r="J273" s="144" t="s">
        <v>933</v>
      </c>
      <c r="K273" s="144" t="s">
        <v>933</v>
      </c>
      <c r="L273" s="95" t="s">
        <v>888</v>
      </c>
      <c r="M273" s="58"/>
      <c r="N273" s="59"/>
      <c r="O273" s="50"/>
      <c r="P273" s="60"/>
      <c r="R273" s="53" t="s">
        <v>764</v>
      </c>
      <c r="S273" s="53" t="s">
        <v>764</v>
      </c>
      <c r="T273" s="53" t="s">
        <v>769</v>
      </c>
      <c r="U273" s="53" t="s">
        <v>741</v>
      </c>
      <c r="V273" s="53" t="s">
        <v>768</v>
      </c>
      <c r="W273" s="53" t="s">
        <v>780</v>
      </c>
      <c r="X273" s="61">
        <f>IFERROR(IF(W273="","",WORKDAY.INTL(B273,_xlfn.XLOOKUP(W273,Regras!$F$2:$F$11,Regras!$G$2:$G$11))),"")</f>
        <v>45931</v>
      </c>
      <c r="Y273" s="150" t="s">
        <v>1089</v>
      </c>
      <c r="Z273" s="53" t="s">
        <v>764</v>
      </c>
      <c r="AA273" s="53"/>
      <c r="AB273" s="155" t="s">
        <v>1090</v>
      </c>
    </row>
    <row r="274" spans="2:28" x14ac:dyDescent="0.2">
      <c r="B274" s="89">
        <v>45916</v>
      </c>
      <c r="D274" s="85" t="s">
        <v>209</v>
      </c>
      <c r="E274" s="125" t="s">
        <v>210</v>
      </c>
      <c r="F274" s="85" t="s">
        <v>17</v>
      </c>
      <c r="G274" s="85" t="s">
        <v>12</v>
      </c>
      <c r="H274" s="148" t="s">
        <v>205</v>
      </c>
      <c r="I274" s="142" t="s">
        <v>933</v>
      </c>
      <c r="J274" s="148" t="s">
        <v>933</v>
      </c>
      <c r="K274" s="148" t="s">
        <v>933</v>
      </c>
      <c r="L274" s="86" t="s">
        <v>741</v>
      </c>
      <c r="M274" s="58"/>
      <c r="N274" s="59"/>
      <c r="O274" s="50"/>
      <c r="P274" s="60"/>
      <c r="R274" s="53" t="s">
        <v>764</v>
      </c>
      <c r="S274" s="53" t="s">
        <v>769</v>
      </c>
      <c r="T274" s="53" t="s">
        <v>769</v>
      </c>
      <c r="U274" s="53" t="s">
        <v>741</v>
      </c>
      <c r="V274" s="53" t="s">
        <v>770</v>
      </c>
      <c r="W274" s="53" t="s">
        <v>766</v>
      </c>
      <c r="X274" s="61">
        <f>IFERROR(IF(W274="","",WORKDAY.INTL(B274,_xlfn.XLOOKUP(W274,Regras!$F$2:$F$11,Regras!$G$2:$G$11))),"")</f>
        <v>45979</v>
      </c>
      <c r="Y274" s="150" t="s">
        <v>782</v>
      </c>
      <c r="Z274" s="53" t="s">
        <v>764</v>
      </c>
      <c r="AA274" s="53"/>
      <c r="AB274" s="155" t="s">
        <v>783</v>
      </c>
    </row>
    <row r="275" spans="2:28" x14ac:dyDescent="0.2">
      <c r="B275" s="89">
        <v>45916</v>
      </c>
      <c r="D275" s="85" t="s">
        <v>209</v>
      </c>
      <c r="E275" s="125" t="s">
        <v>211</v>
      </c>
      <c r="F275" s="85" t="s">
        <v>17</v>
      </c>
      <c r="G275" s="85" t="s">
        <v>12</v>
      </c>
      <c r="H275" s="148" t="s">
        <v>205</v>
      </c>
      <c r="I275" s="142" t="s">
        <v>933</v>
      </c>
      <c r="J275" s="148" t="s">
        <v>933</v>
      </c>
      <c r="K275" s="148" t="s">
        <v>933</v>
      </c>
      <c r="L275" s="86" t="s">
        <v>741</v>
      </c>
      <c r="M275" s="58"/>
      <c r="N275" s="59"/>
      <c r="O275" s="50"/>
      <c r="P275" s="60"/>
      <c r="R275" s="53" t="s">
        <v>764</v>
      </c>
      <c r="S275" s="53" t="s">
        <v>769</v>
      </c>
      <c r="T275" s="53" t="s">
        <v>769</v>
      </c>
      <c r="U275" s="53" t="s">
        <v>741</v>
      </c>
      <c r="V275" s="53" t="s">
        <v>770</v>
      </c>
      <c r="W275" s="53" t="s">
        <v>766</v>
      </c>
      <c r="X275" s="61">
        <f>IFERROR(IF(W275="","",WORKDAY.INTL(B275,_xlfn.XLOOKUP(W275,Regras!$F$2:$F$11,Regras!$G$2:$G$11))),"")</f>
        <v>45979</v>
      </c>
      <c r="Y275" s="150" t="s">
        <v>782</v>
      </c>
      <c r="Z275" s="53" t="s">
        <v>764</v>
      </c>
      <c r="AA275" s="53"/>
      <c r="AB275" s="155" t="s">
        <v>783</v>
      </c>
    </row>
    <row r="276" spans="2:28" x14ac:dyDescent="0.2">
      <c r="B276" s="89">
        <v>45916</v>
      </c>
      <c r="D276" s="85" t="s">
        <v>212</v>
      </c>
      <c r="E276" s="125" t="s">
        <v>213</v>
      </c>
      <c r="F276" s="85" t="s">
        <v>17</v>
      </c>
      <c r="G276" s="85" t="s">
        <v>12</v>
      </c>
      <c r="H276" s="148" t="s">
        <v>205</v>
      </c>
      <c r="I276" s="142" t="s">
        <v>933</v>
      </c>
      <c r="J276" s="148" t="s">
        <v>933</v>
      </c>
      <c r="K276" s="148" t="s">
        <v>933</v>
      </c>
      <c r="L276" s="86" t="s">
        <v>741</v>
      </c>
      <c r="M276" s="58"/>
      <c r="N276" s="59"/>
      <c r="O276" s="50"/>
      <c r="P276" s="60"/>
      <c r="R276" s="53" t="s">
        <v>764</v>
      </c>
      <c r="S276" s="53" t="s">
        <v>769</v>
      </c>
      <c r="T276" s="53" t="s">
        <v>769</v>
      </c>
      <c r="U276" s="53" t="s">
        <v>741</v>
      </c>
      <c r="V276" s="53" t="s">
        <v>770</v>
      </c>
      <c r="W276" s="53" t="s">
        <v>766</v>
      </c>
      <c r="X276" s="61">
        <f>IFERROR(IF(W276="","",WORKDAY.INTL(B276,_xlfn.XLOOKUP(W276,Regras!$F$2:$F$11,Regras!$G$2:$G$11))),"")</f>
        <v>45979</v>
      </c>
      <c r="Y276" s="150" t="s">
        <v>782</v>
      </c>
      <c r="Z276" s="53" t="s">
        <v>764</v>
      </c>
      <c r="AA276" s="53"/>
      <c r="AB276" s="155" t="s">
        <v>783</v>
      </c>
    </row>
    <row r="277" spans="2:28" x14ac:dyDescent="0.2">
      <c r="B277" s="89">
        <v>45911</v>
      </c>
      <c r="D277" s="85" t="s">
        <v>9</v>
      </c>
      <c r="E277" s="125" t="s">
        <v>10</v>
      </c>
      <c r="F277" s="85" t="s">
        <v>11</v>
      </c>
      <c r="G277" s="85" t="s">
        <v>12</v>
      </c>
      <c r="H277" s="148" t="s">
        <v>13</v>
      </c>
      <c r="I277" s="142">
        <v>1134</v>
      </c>
      <c r="J277" s="148" t="s">
        <v>933</v>
      </c>
      <c r="K277" s="148" t="s">
        <v>933</v>
      </c>
      <c r="L277" s="86" t="s">
        <v>741</v>
      </c>
      <c r="M277" s="58"/>
      <c r="N277" s="59"/>
      <c r="O277" s="50"/>
      <c r="P277" s="60"/>
      <c r="R277" s="53" t="s">
        <v>764</v>
      </c>
      <c r="S277" s="53" t="s">
        <v>764</v>
      </c>
      <c r="T277" s="53" t="s">
        <v>769</v>
      </c>
      <c r="U277" s="53" t="s">
        <v>741</v>
      </c>
      <c r="V277" s="53" t="s">
        <v>768</v>
      </c>
      <c r="W277" s="53" t="s">
        <v>766</v>
      </c>
      <c r="X277" s="61">
        <f>IFERROR(IF(W277="","",WORKDAY.INTL(B277,_xlfn.XLOOKUP(W277,Regras!$F$2:$F$11,Regras!$G$2:$G$11))),"")</f>
        <v>45974</v>
      </c>
      <c r="Y277" s="150"/>
      <c r="Z277" s="53" t="s">
        <v>764</v>
      </c>
      <c r="AA277" s="53"/>
    </row>
    <row r="278" spans="2:28" x14ac:dyDescent="0.2">
      <c r="B278" s="89">
        <v>45923</v>
      </c>
      <c r="D278" s="85" t="s">
        <v>969</v>
      </c>
      <c r="E278" s="125" t="s">
        <v>602</v>
      </c>
      <c r="F278" s="85"/>
      <c r="G278" s="85" t="s">
        <v>829</v>
      </c>
      <c r="H278" s="148" t="s">
        <v>933</v>
      </c>
      <c r="I278" s="142" t="s">
        <v>933</v>
      </c>
      <c r="J278" s="148" t="s">
        <v>933</v>
      </c>
      <c r="K278" s="148" t="s">
        <v>933</v>
      </c>
      <c r="L278" s="88" t="s">
        <v>743</v>
      </c>
      <c r="M278" s="58"/>
      <c r="N278" s="59"/>
      <c r="O278" s="50"/>
      <c r="P278" s="60"/>
      <c r="R278" s="53" t="s">
        <v>764</v>
      </c>
      <c r="S278" s="53" t="s">
        <v>764</v>
      </c>
      <c r="T278" s="53" t="s">
        <v>769</v>
      </c>
      <c r="U278" s="53" t="s">
        <v>741</v>
      </c>
      <c r="V278" s="53" t="s">
        <v>765</v>
      </c>
      <c r="W278" s="53" t="s">
        <v>796</v>
      </c>
      <c r="X278" s="61" t="str">
        <f>IFERROR(IF(W278="","",WORKDAY.INTL(B278,_xlfn.XLOOKUP(W278,Regras!$F$2:$F$11,Regras!$G$2:$G$11))),"")</f>
        <v/>
      </c>
      <c r="Y278" s="150" t="s">
        <v>970</v>
      </c>
      <c r="Z278" s="53" t="s">
        <v>764</v>
      </c>
      <c r="AA278" s="53"/>
      <c r="AB278" s="156" t="s">
        <v>970</v>
      </c>
    </row>
    <row r="279" spans="2:28" x14ac:dyDescent="0.2">
      <c r="B279" s="89">
        <v>45923</v>
      </c>
      <c r="D279" s="85" t="s">
        <v>675</v>
      </c>
      <c r="E279" s="125" t="s">
        <v>676</v>
      </c>
      <c r="F279" s="85" t="s">
        <v>17</v>
      </c>
      <c r="G279" s="85" t="s">
        <v>12</v>
      </c>
      <c r="H279" s="148" t="s">
        <v>677</v>
      </c>
      <c r="I279" s="142" t="s">
        <v>933</v>
      </c>
      <c r="J279" s="148" t="s">
        <v>933</v>
      </c>
      <c r="K279" s="148" t="s">
        <v>933</v>
      </c>
      <c r="L279" s="88" t="s">
        <v>743</v>
      </c>
      <c r="M279" s="58"/>
      <c r="N279" s="59"/>
      <c r="O279" s="50"/>
      <c r="P279" s="60"/>
      <c r="R279" s="53" t="s">
        <v>764</v>
      </c>
      <c r="S279" s="53" t="s">
        <v>764</v>
      </c>
      <c r="T279" s="53" t="s">
        <v>769</v>
      </c>
      <c r="U279" s="53" t="s">
        <v>741</v>
      </c>
      <c r="V279" s="53" t="s">
        <v>765</v>
      </c>
      <c r="W279" s="53" t="s">
        <v>1053</v>
      </c>
      <c r="X279" s="61">
        <f>IFERROR(IF(W279="","",WORKDAY.INTL(B279,_xlfn.XLOOKUP(W279,Regras!$F$2:$F$11,Regras!$G$2:$G$11))),"")</f>
        <v>45932</v>
      </c>
      <c r="Y279" s="150" t="s">
        <v>971</v>
      </c>
      <c r="Z279" s="53" t="s">
        <v>764</v>
      </c>
      <c r="AA279" s="53"/>
      <c r="AB279" s="155" t="s">
        <v>972</v>
      </c>
    </row>
    <row r="280" spans="2:28" x14ac:dyDescent="0.2">
      <c r="B280" s="89">
        <v>45923</v>
      </c>
      <c r="D280" s="85" t="s">
        <v>585</v>
      </c>
      <c r="E280" s="125" t="s">
        <v>586</v>
      </c>
      <c r="F280" s="85" t="s">
        <v>140</v>
      </c>
      <c r="G280" s="85" t="s">
        <v>829</v>
      </c>
      <c r="H280" s="148" t="s">
        <v>584</v>
      </c>
      <c r="I280" s="142" t="s">
        <v>933</v>
      </c>
      <c r="J280" s="148" t="s">
        <v>933</v>
      </c>
      <c r="K280" s="148" t="s">
        <v>933</v>
      </c>
      <c r="L280" s="88" t="s">
        <v>743</v>
      </c>
      <c r="M280" s="58"/>
      <c r="N280" s="59"/>
      <c r="O280" s="50"/>
      <c r="P280" s="60"/>
      <c r="R280" s="53" t="s">
        <v>764</v>
      </c>
      <c r="S280" s="53" t="s">
        <v>769</v>
      </c>
      <c r="T280" s="53" t="s">
        <v>769</v>
      </c>
      <c r="U280" s="53" t="s">
        <v>741</v>
      </c>
      <c r="V280" s="53" t="s">
        <v>765</v>
      </c>
      <c r="W280" s="53" t="s">
        <v>1053</v>
      </c>
      <c r="X280" s="61">
        <f>IFERROR(IF(W280="","",WORKDAY.INTL(B280,_xlfn.XLOOKUP(W280,Regras!$F$2:$F$11,Regras!$G$2:$G$11))),"")</f>
        <v>45932</v>
      </c>
      <c r="Y280" s="150" t="s">
        <v>971</v>
      </c>
      <c r="Z280" s="53" t="s">
        <v>764</v>
      </c>
      <c r="AA280" s="53"/>
      <c r="AB280" s="155" t="s">
        <v>973</v>
      </c>
    </row>
    <row r="281" spans="2:28" x14ac:dyDescent="0.2">
      <c r="B281" s="89">
        <v>45923</v>
      </c>
      <c r="D281" s="100" t="s">
        <v>514</v>
      </c>
      <c r="E281" s="126" t="s">
        <v>515</v>
      </c>
      <c r="F281" s="100" t="s">
        <v>22</v>
      </c>
      <c r="G281" s="100" t="s">
        <v>829</v>
      </c>
      <c r="H281" s="148" t="s">
        <v>508</v>
      </c>
      <c r="I281" s="142" t="s">
        <v>933</v>
      </c>
      <c r="J281" s="148" t="s">
        <v>933</v>
      </c>
      <c r="K281" s="148" t="s">
        <v>933</v>
      </c>
      <c r="L281" s="88" t="s">
        <v>743</v>
      </c>
      <c r="M281" s="58"/>
      <c r="N281" s="59"/>
      <c r="O281" s="50"/>
      <c r="P281" s="60"/>
      <c r="R281" s="53" t="s">
        <v>764</v>
      </c>
      <c r="S281" s="53" t="s">
        <v>764</v>
      </c>
      <c r="T281" s="53" t="s">
        <v>769</v>
      </c>
      <c r="U281" s="53" t="s">
        <v>741</v>
      </c>
      <c r="V281" s="53" t="s">
        <v>765</v>
      </c>
      <c r="W281" s="53" t="s">
        <v>1053</v>
      </c>
      <c r="X281" s="61">
        <f>IFERROR(IF(W281="","",WORKDAY.INTL(B281,_xlfn.XLOOKUP(W281,Regras!$F$2:$F$11,Regras!$G$2:$G$11))),"")</f>
        <v>45932</v>
      </c>
      <c r="Y281" s="150" t="s">
        <v>971</v>
      </c>
      <c r="Z281" s="53" t="s">
        <v>764</v>
      </c>
      <c r="AA281" s="53"/>
      <c r="AB281" s="155" t="s">
        <v>979</v>
      </c>
    </row>
    <row r="282" spans="2:28" x14ac:dyDescent="0.2">
      <c r="B282" s="89">
        <v>45923</v>
      </c>
      <c r="D282" s="85" t="s">
        <v>516</v>
      </c>
      <c r="E282" s="125" t="s">
        <v>517</v>
      </c>
      <c r="F282" s="85" t="s">
        <v>46</v>
      </c>
      <c r="G282" s="85" t="s">
        <v>829</v>
      </c>
      <c r="H282" s="148" t="s">
        <v>508</v>
      </c>
      <c r="I282" s="142" t="s">
        <v>933</v>
      </c>
      <c r="J282" s="148" t="s">
        <v>933</v>
      </c>
      <c r="K282" s="148" t="s">
        <v>933</v>
      </c>
      <c r="L282" s="88" t="s">
        <v>743</v>
      </c>
      <c r="M282" s="58"/>
      <c r="N282" s="59"/>
      <c r="O282" s="50"/>
      <c r="P282" s="60"/>
      <c r="R282" s="53" t="s">
        <v>764</v>
      </c>
      <c r="S282" s="53" t="s">
        <v>764</v>
      </c>
      <c r="T282" s="53" t="s">
        <v>764</v>
      </c>
      <c r="U282" s="53" t="s">
        <v>741</v>
      </c>
      <c r="V282" s="53" t="s">
        <v>765</v>
      </c>
      <c r="W282" s="53" t="s">
        <v>796</v>
      </c>
      <c r="X282" s="61" t="str">
        <f>IFERROR(IF(W282="","",WORKDAY.INTL(B282,_xlfn.XLOOKUP(W282,Regras!$F$2:$F$11,Regras!$G$2:$G$11))),"")</f>
        <v/>
      </c>
      <c r="Y282" s="150" t="s">
        <v>976</v>
      </c>
      <c r="Z282" s="53" t="s">
        <v>764</v>
      </c>
      <c r="AA282" s="53"/>
      <c r="AB282" s="155" t="s">
        <v>977</v>
      </c>
    </row>
    <row r="283" spans="2:28" x14ac:dyDescent="0.2">
      <c r="B283" s="89">
        <v>45923</v>
      </c>
      <c r="D283" s="85" t="s">
        <v>194</v>
      </c>
      <c r="E283" s="125" t="s">
        <v>195</v>
      </c>
      <c r="F283" s="85" t="s">
        <v>46</v>
      </c>
      <c r="G283" s="85" t="s">
        <v>829</v>
      </c>
      <c r="H283" s="148" t="s">
        <v>933</v>
      </c>
      <c r="I283" s="142" t="s">
        <v>933</v>
      </c>
      <c r="J283" s="148" t="s">
        <v>933</v>
      </c>
      <c r="K283" s="148" t="s">
        <v>933</v>
      </c>
      <c r="L283" s="86" t="s">
        <v>741</v>
      </c>
      <c r="M283" s="58"/>
      <c r="N283" s="59"/>
      <c r="O283" s="50"/>
      <c r="P283" s="60"/>
      <c r="R283" s="53" t="s">
        <v>764</v>
      </c>
      <c r="S283" s="53" t="s">
        <v>769</v>
      </c>
      <c r="T283" s="53" t="s">
        <v>769</v>
      </c>
      <c r="U283" s="53" t="s">
        <v>773</v>
      </c>
      <c r="V283" s="53" t="s">
        <v>813</v>
      </c>
      <c r="W283" s="53" t="s">
        <v>777</v>
      </c>
      <c r="X283" s="61" t="str">
        <f>IFERROR(IF(W283="","",WORKDAY.INTL(B283,_xlfn.XLOOKUP(W283,Regras!$F$2:$F$11,Regras!$G$2:$G$11))),"")</f>
        <v/>
      </c>
      <c r="Y283" s="150" t="s">
        <v>974</v>
      </c>
      <c r="Z283" s="53" t="s">
        <v>764</v>
      </c>
      <c r="AA283" s="53"/>
      <c r="AB283" s="155" t="s">
        <v>975</v>
      </c>
    </row>
    <row r="284" spans="2:28" x14ac:dyDescent="0.2">
      <c r="B284" s="89">
        <v>45923</v>
      </c>
      <c r="D284" s="85" t="s">
        <v>432</v>
      </c>
      <c r="E284" s="125" t="s">
        <v>433</v>
      </c>
      <c r="F284" s="85" t="s">
        <v>46</v>
      </c>
      <c r="G284" s="85" t="s">
        <v>829</v>
      </c>
      <c r="H284" s="148" t="s">
        <v>425</v>
      </c>
      <c r="I284" s="142" t="s">
        <v>933</v>
      </c>
      <c r="J284" s="148" t="s">
        <v>933</v>
      </c>
      <c r="K284" s="148" t="s">
        <v>933</v>
      </c>
      <c r="L284" s="88" t="s">
        <v>743</v>
      </c>
      <c r="M284" s="58"/>
      <c r="N284" s="59"/>
      <c r="O284" s="50"/>
      <c r="P284" s="60"/>
      <c r="R284" s="53" t="s">
        <v>764</v>
      </c>
      <c r="S284" s="53" t="s">
        <v>769</v>
      </c>
      <c r="T284" s="53" t="s">
        <v>769</v>
      </c>
      <c r="U284" s="53" t="s">
        <v>741</v>
      </c>
      <c r="V284" s="53" t="s">
        <v>765</v>
      </c>
      <c r="W284" s="53" t="s">
        <v>796</v>
      </c>
      <c r="X284" s="61" t="str">
        <f>IFERROR(IF(W284="","",WORKDAY.INTL(B284,_xlfn.XLOOKUP(W284,Regras!$F$2:$F$11,Regras!$G$2:$G$11))),"")</f>
        <v/>
      </c>
      <c r="Y284" s="150" t="s">
        <v>978</v>
      </c>
      <c r="Z284" s="53" t="s">
        <v>764</v>
      </c>
      <c r="AA284" s="53"/>
      <c r="AB284" s="156" t="s">
        <v>978</v>
      </c>
    </row>
    <row r="285" spans="2:28" x14ac:dyDescent="0.2">
      <c r="B285" s="89">
        <v>45923</v>
      </c>
      <c r="D285" s="85" t="s">
        <v>684</v>
      </c>
      <c r="E285" s="125" t="s">
        <v>685</v>
      </c>
      <c r="F285" s="85" t="s">
        <v>46</v>
      </c>
      <c r="G285" s="85" t="s">
        <v>829</v>
      </c>
      <c r="H285" s="148" t="s">
        <v>933</v>
      </c>
      <c r="I285" s="142" t="s">
        <v>933</v>
      </c>
      <c r="J285" s="148" t="s">
        <v>933</v>
      </c>
      <c r="K285" s="148" t="s">
        <v>933</v>
      </c>
      <c r="L285" s="88" t="s">
        <v>743</v>
      </c>
      <c r="M285" s="58"/>
      <c r="N285" s="59"/>
      <c r="O285" s="50"/>
      <c r="P285" s="60"/>
      <c r="R285" s="53" t="s">
        <v>764</v>
      </c>
      <c r="S285" s="53" t="s">
        <v>764</v>
      </c>
      <c r="T285" s="53" t="s">
        <v>764</v>
      </c>
      <c r="U285" s="53" t="s">
        <v>741</v>
      </c>
      <c r="V285" s="53" t="s">
        <v>765</v>
      </c>
      <c r="W285" s="53" t="s">
        <v>796</v>
      </c>
      <c r="X285" s="61" t="str">
        <f>IFERROR(IF(W285="","",WORKDAY.INTL(B285,_xlfn.XLOOKUP(W285,Regras!$F$2:$F$11,Regras!$G$2:$G$11))),"")</f>
        <v/>
      </c>
      <c r="Y285" s="150" t="s">
        <v>980</v>
      </c>
      <c r="Z285" s="53" t="s">
        <v>764</v>
      </c>
      <c r="AA285" s="53"/>
      <c r="AB285" s="156" t="s">
        <v>980</v>
      </c>
    </row>
    <row r="286" spans="2:28" x14ac:dyDescent="0.2">
      <c r="B286" s="89">
        <v>45923</v>
      </c>
      <c r="D286" s="85" t="s">
        <v>542</v>
      </c>
      <c r="E286" s="125" t="s">
        <v>543</v>
      </c>
      <c r="F286" s="85" t="s">
        <v>46</v>
      </c>
      <c r="G286" s="85" t="s">
        <v>829</v>
      </c>
      <c r="H286" s="148" t="s">
        <v>933</v>
      </c>
      <c r="I286" s="142" t="s">
        <v>933</v>
      </c>
      <c r="J286" s="148" t="s">
        <v>933</v>
      </c>
      <c r="K286" s="148" t="s">
        <v>933</v>
      </c>
      <c r="L286" s="88" t="s">
        <v>743</v>
      </c>
      <c r="M286" s="58"/>
      <c r="N286" s="59"/>
      <c r="O286" s="50"/>
      <c r="P286" s="60"/>
      <c r="R286" s="53" t="s">
        <v>764</v>
      </c>
      <c r="S286" s="53" t="s">
        <v>769</v>
      </c>
      <c r="T286" s="53" t="s">
        <v>769</v>
      </c>
      <c r="U286" s="53" t="s">
        <v>741</v>
      </c>
      <c r="V286" s="53" t="s">
        <v>765</v>
      </c>
      <c r="W286" s="53" t="s">
        <v>796</v>
      </c>
      <c r="X286" s="61" t="str">
        <f>IFERROR(IF(W286="","",WORKDAY.INTL(B286,_xlfn.XLOOKUP(W286,Regras!$F$2:$F$11,Regras!$G$2:$G$11))),"")</f>
        <v/>
      </c>
      <c r="Y286" s="150" t="s">
        <v>981</v>
      </c>
      <c r="Z286" s="53" t="s">
        <v>764</v>
      </c>
      <c r="AA286" s="53"/>
      <c r="AB286" s="155" t="s">
        <v>982</v>
      </c>
    </row>
    <row r="287" spans="2:28" x14ac:dyDescent="0.2">
      <c r="B287" s="89">
        <v>45923</v>
      </c>
      <c r="D287" s="85" t="s">
        <v>539</v>
      </c>
      <c r="E287" s="125" t="s">
        <v>540</v>
      </c>
      <c r="F287" s="85" t="s">
        <v>22</v>
      </c>
      <c r="G287" s="85" t="s">
        <v>829</v>
      </c>
      <c r="H287" s="148" t="s">
        <v>933</v>
      </c>
      <c r="I287" s="142" t="s">
        <v>933</v>
      </c>
      <c r="J287" s="148" t="s">
        <v>933</v>
      </c>
      <c r="K287" s="148" t="s">
        <v>933</v>
      </c>
      <c r="L287" s="88" t="s">
        <v>743</v>
      </c>
      <c r="M287" s="58"/>
      <c r="N287" s="59"/>
      <c r="O287" s="50"/>
      <c r="P287" s="60"/>
      <c r="R287" s="53" t="s">
        <v>764</v>
      </c>
      <c r="S287" s="53" t="s">
        <v>764</v>
      </c>
      <c r="T287" s="53" t="s">
        <v>764</v>
      </c>
      <c r="U287" s="53" t="s">
        <v>741</v>
      </c>
      <c r="V287" s="53" t="s">
        <v>765</v>
      </c>
      <c r="W287" s="53" t="s">
        <v>1053</v>
      </c>
      <c r="X287" s="61">
        <f>IFERROR(IF(W287="","",WORKDAY.INTL(B287,_xlfn.XLOOKUP(W287,Regras!$F$2:$F$11,Regras!$G$2:$G$11))),"")</f>
        <v>45932</v>
      </c>
      <c r="Y287" s="150" t="s">
        <v>983</v>
      </c>
      <c r="Z287" s="53" t="s">
        <v>764</v>
      </c>
      <c r="AA287" s="53"/>
      <c r="AB287" s="156" t="s">
        <v>983</v>
      </c>
    </row>
    <row r="288" spans="2:28" x14ac:dyDescent="0.2">
      <c r="B288" s="89">
        <v>45923</v>
      </c>
      <c r="D288" s="85" t="s">
        <v>496</v>
      </c>
      <c r="E288" s="125" t="s">
        <v>497</v>
      </c>
      <c r="F288" s="85" t="s">
        <v>11</v>
      </c>
      <c r="G288" s="85" t="s">
        <v>829</v>
      </c>
      <c r="H288" s="148" t="s">
        <v>489</v>
      </c>
      <c r="I288" s="142">
        <v>963.58</v>
      </c>
      <c r="J288" s="144">
        <v>83</v>
      </c>
      <c r="K288" s="144"/>
      <c r="L288" s="88" t="s">
        <v>743</v>
      </c>
      <c r="M288" s="58"/>
      <c r="N288" s="59"/>
      <c r="O288" s="50"/>
      <c r="P288" s="60"/>
      <c r="R288" s="53" t="s">
        <v>764</v>
      </c>
      <c r="S288" s="53" t="s">
        <v>764</v>
      </c>
      <c r="T288" s="53" t="s">
        <v>769</v>
      </c>
      <c r="U288" s="53" t="s">
        <v>741</v>
      </c>
      <c r="V288" s="53" t="s">
        <v>813</v>
      </c>
      <c r="W288" s="53" t="s">
        <v>1053</v>
      </c>
      <c r="X288" s="61">
        <f>IFERROR(IF(W288="","",WORKDAY.INTL(B288,_xlfn.XLOOKUP(W288,Regras!$F$2:$F$11,Regras!$G$2:$G$11))),"")</f>
        <v>45932</v>
      </c>
      <c r="Y288" s="150" t="s">
        <v>795</v>
      </c>
      <c r="Z288" s="53" t="s">
        <v>764</v>
      </c>
      <c r="AA288" s="53"/>
      <c r="AB288" s="155" t="s">
        <v>984</v>
      </c>
    </row>
    <row r="289" spans="2:28" x14ac:dyDescent="0.2">
      <c r="B289" s="89">
        <v>45923</v>
      </c>
      <c r="D289" s="85" t="s">
        <v>985</v>
      </c>
      <c r="E289" s="125" t="s">
        <v>349</v>
      </c>
      <c r="F289" s="85" t="s">
        <v>22</v>
      </c>
      <c r="G289" s="85" t="s">
        <v>829</v>
      </c>
      <c r="H289" s="148" t="s">
        <v>933</v>
      </c>
      <c r="I289" s="142" t="s">
        <v>933</v>
      </c>
      <c r="J289" s="148" t="s">
        <v>933</v>
      </c>
      <c r="K289" s="148" t="s">
        <v>933</v>
      </c>
      <c r="L289" s="103" t="s">
        <v>742</v>
      </c>
      <c r="M289" s="58"/>
      <c r="N289" s="59"/>
      <c r="O289" s="50"/>
      <c r="P289" s="60"/>
      <c r="R289" s="53" t="s">
        <v>764</v>
      </c>
      <c r="S289" s="53" t="s">
        <v>769</v>
      </c>
      <c r="T289" s="53" t="s">
        <v>769</v>
      </c>
      <c r="U289" s="53" t="s">
        <v>741</v>
      </c>
      <c r="V289" s="53" t="s">
        <v>765</v>
      </c>
      <c r="W289" s="53" t="s">
        <v>1053</v>
      </c>
      <c r="X289" s="61">
        <f>IFERROR(IF(W289="","",WORKDAY.INTL(B289,_xlfn.XLOOKUP(W289,Regras!$F$2:$F$11,Regras!$G$2:$G$11))),"")</f>
        <v>45932</v>
      </c>
      <c r="Y289" s="150" t="s">
        <v>986</v>
      </c>
      <c r="Z289" s="53" t="s">
        <v>764</v>
      </c>
      <c r="AA289" s="53"/>
      <c r="AB289" s="155" t="s">
        <v>987</v>
      </c>
    </row>
    <row r="290" spans="2:28" x14ac:dyDescent="0.2">
      <c r="B290" s="89">
        <v>45923</v>
      </c>
      <c r="D290" s="85" t="s">
        <v>150</v>
      </c>
      <c r="E290" s="125" t="s">
        <v>151</v>
      </c>
      <c r="F290" s="85" t="s">
        <v>22</v>
      </c>
      <c r="G290" s="85" t="s">
        <v>829</v>
      </c>
      <c r="H290" s="148" t="s">
        <v>933</v>
      </c>
      <c r="I290" s="142" t="s">
        <v>933</v>
      </c>
      <c r="J290" s="148" t="s">
        <v>933</v>
      </c>
      <c r="K290" s="148" t="s">
        <v>933</v>
      </c>
      <c r="L290" s="86" t="s">
        <v>741</v>
      </c>
      <c r="M290" s="58"/>
      <c r="N290" s="59"/>
      <c r="O290" s="50"/>
      <c r="P290" s="60"/>
      <c r="R290" s="53" t="s">
        <v>764</v>
      </c>
      <c r="S290" s="53" t="s">
        <v>769</v>
      </c>
      <c r="T290" s="53" t="s">
        <v>769</v>
      </c>
      <c r="U290" s="53" t="s">
        <v>741</v>
      </c>
      <c r="V290" s="53" t="s">
        <v>770</v>
      </c>
      <c r="W290" s="53" t="s">
        <v>1053</v>
      </c>
      <c r="X290" s="61">
        <f>IFERROR(IF(W290="","",WORKDAY.INTL(B290,_xlfn.XLOOKUP(W290,Regras!$F$2:$F$11,Regras!$G$2:$G$11))),"")</f>
        <v>45932</v>
      </c>
      <c r="Y290" s="150" t="s">
        <v>782</v>
      </c>
      <c r="Z290" s="53" t="s">
        <v>764</v>
      </c>
      <c r="AA290" s="53"/>
    </row>
    <row r="291" spans="2:28" x14ac:dyDescent="0.2">
      <c r="B291" s="89">
        <v>45923</v>
      </c>
      <c r="D291" s="85" t="s">
        <v>192</v>
      </c>
      <c r="E291" s="125" t="s">
        <v>193</v>
      </c>
      <c r="F291" s="85" t="s">
        <v>17</v>
      </c>
      <c r="G291" s="85" t="s">
        <v>829</v>
      </c>
      <c r="H291" s="148" t="s">
        <v>933</v>
      </c>
      <c r="I291" s="142" t="s">
        <v>933</v>
      </c>
      <c r="J291" s="148" t="s">
        <v>933</v>
      </c>
      <c r="K291" s="148" t="s">
        <v>933</v>
      </c>
      <c r="L291" s="86" t="s">
        <v>741</v>
      </c>
      <c r="M291" s="58"/>
      <c r="N291" s="59"/>
      <c r="O291" s="50"/>
      <c r="P291" s="60"/>
      <c r="R291" s="53" t="s">
        <v>764</v>
      </c>
      <c r="S291" s="53" t="s">
        <v>764</v>
      </c>
      <c r="T291" s="53" t="s">
        <v>769</v>
      </c>
      <c r="U291" s="53" t="s">
        <v>741</v>
      </c>
      <c r="V291" s="53" t="s">
        <v>770</v>
      </c>
      <c r="W291" s="53" t="s">
        <v>1053</v>
      </c>
      <c r="X291" s="61">
        <f>IFERROR(IF(W291="","",WORKDAY.INTL(B291,_xlfn.XLOOKUP(W291,Regras!$F$2:$F$11,Regras!$G$2:$G$11))),"")</f>
        <v>45932</v>
      </c>
      <c r="Y291" s="150"/>
      <c r="Z291" s="53" t="s">
        <v>764</v>
      </c>
      <c r="AA291" s="53"/>
    </row>
    <row r="292" spans="2:28" x14ac:dyDescent="0.2">
      <c r="B292" s="89">
        <v>45923</v>
      </c>
      <c r="D292" s="85" t="s">
        <v>988</v>
      </c>
      <c r="E292" s="133" t="s">
        <v>989</v>
      </c>
      <c r="F292" s="85" t="s">
        <v>46</v>
      </c>
      <c r="G292" s="85" t="s">
        <v>829</v>
      </c>
      <c r="H292" s="148" t="s">
        <v>933</v>
      </c>
      <c r="I292" s="142" t="s">
        <v>933</v>
      </c>
      <c r="J292" s="148" t="s">
        <v>933</v>
      </c>
      <c r="K292" s="148" t="s">
        <v>933</v>
      </c>
      <c r="L292" s="95" t="s">
        <v>888</v>
      </c>
      <c r="M292" s="58"/>
      <c r="N292" s="59"/>
      <c r="O292" s="50"/>
      <c r="P292" s="60"/>
      <c r="R292" s="53" t="s">
        <v>764</v>
      </c>
      <c r="S292" s="53" t="s">
        <v>764</v>
      </c>
      <c r="T292" s="53" t="s">
        <v>764</v>
      </c>
      <c r="U292" s="53" t="s">
        <v>741</v>
      </c>
      <c r="V292" s="53" t="s">
        <v>813</v>
      </c>
      <c r="W292" s="53" t="s">
        <v>777</v>
      </c>
      <c r="X292" s="61" t="str">
        <f>IFERROR(IF(W292="","",WORKDAY.INTL(B292,_xlfn.XLOOKUP(W292,Regras!$F$2:$F$11,Regras!$G$2:$G$11))),"")</f>
        <v/>
      </c>
      <c r="Y292" s="150" t="s">
        <v>990</v>
      </c>
      <c r="Z292" s="53" t="s">
        <v>769</v>
      </c>
      <c r="AA292" s="53"/>
      <c r="AB292" s="155" t="s">
        <v>991</v>
      </c>
    </row>
    <row r="293" spans="2:28" x14ac:dyDescent="0.2">
      <c r="B293" s="89">
        <v>45923</v>
      </c>
      <c r="D293" s="85" t="s">
        <v>992</v>
      </c>
      <c r="E293" s="125" t="s">
        <v>301</v>
      </c>
      <c r="F293" s="85" t="s">
        <v>46</v>
      </c>
      <c r="G293" s="85" t="s">
        <v>829</v>
      </c>
      <c r="H293" s="148" t="s">
        <v>933</v>
      </c>
      <c r="I293" s="142" t="s">
        <v>933</v>
      </c>
      <c r="J293" s="148" t="s">
        <v>933</v>
      </c>
      <c r="K293" s="148" t="s">
        <v>933</v>
      </c>
      <c r="L293" s="86" t="s">
        <v>741</v>
      </c>
      <c r="M293" s="58"/>
      <c r="N293" s="59"/>
      <c r="O293" s="50"/>
      <c r="P293" s="60"/>
      <c r="R293" s="53" t="s">
        <v>764</v>
      </c>
      <c r="S293" s="53" t="s">
        <v>764</v>
      </c>
      <c r="T293" s="53" t="s">
        <v>769</v>
      </c>
      <c r="U293" s="53" t="s">
        <v>741</v>
      </c>
      <c r="V293" s="53" t="s">
        <v>770</v>
      </c>
      <c r="W293" s="53" t="s">
        <v>1053</v>
      </c>
      <c r="X293" s="61">
        <f>IFERROR(IF(W293="","",WORKDAY.INTL(B293,_xlfn.XLOOKUP(W293,Regras!$F$2:$F$11,Regras!$G$2:$G$11))),"")</f>
        <v>45932</v>
      </c>
      <c r="Y293" s="150" t="s">
        <v>993</v>
      </c>
      <c r="Z293" s="53" t="s">
        <v>764</v>
      </c>
      <c r="AA293" s="53"/>
      <c r="AB293" s="155" t="s">
        <v>994</v>
      </c>
    </row>
    <row r="294" spans="2:28" x14ac:dyDescent="0.2">
      <c r="B294" s="89">
        <v>45923</v>
      </c>
      <c r="D294" s="85" t="s">
        <v>171</v>
      </c>
      <c r="E294" s="125" t="s">
        <v>172</v>
      </c>
      <c r="F294" s="85" t="s">
        <v>22</v>
      </c>
      <c r="G294" s="85" t="s">
        <v>829</v>
      </c>
      <c r="H294" s="148" t="s">
        <v>933</v>
      </c>
      <c r="I294" s="142" t="s">
        <v>933</v>
      </c>
      <c r="J294" s="148" t="s">
        <v>933</v>
      </c>
      <c r="K294" s="148" t="s">
        <v>933</v>
      </c>
      <c r="L294" s="86" t="s">
        <v>741</v>
      </c>
      <c r="M294" s="58"/>
      <c r="N294" s="59"/>
      <c r="O294" s="50"/>
      <c r="P294" s="60"/>
      <c r="R294" s="53" t="s">
        <v>764</v>
      </c>
      <c r="S294" s="53" t="s">
        <v>769</v>
      </c>
      <c r="T294" s="53" t="s">
        <v>769</v>
      </c>
      <c r="U294" s="53" t="s">
        <v>741</v>
      </c>
      <c r="V294" s="53" t="s">
        <v>770</v>
      </c>
      <c r="W294" s="53" t="s">
        <v>1053</v>
      </c>
      <c r="X294" s="61">
        <f>IFERROR(IF(W294="","",WORKDAY.INTL(B294,_xlfn.XLOOKUP(W294,Regras!$F$2:$F$11,Regras!$G$2:$G$11))),"")</f>
        <v>45932</v>
      </c>
      <c r="Y294" s="150" t="s">
        <v>993</v>
      </c>
      <c r="Z294" s="53" t="s">
        <v>769</v>
      </c>
      <c r="AA294" s="53"/>
      <c r="AB294" s="155" t="s">
        <v>994</v>
      </c>
    </row>
    <row r="295" spans="2:28" x14ac:dyDescent="0.2">
      <c r="B295" s="89">
        <v>45924</v>
      </c>
      <c r="D295" s="85" t="s">
        <v>190</v>
      </c>
      <c r="E295" s="125" t="s">
        <v>191</v>
      </c>
      <c r="F295" s="85" t="s">
        <v>46</v>
      </c>
      <c r="G295" s="85" t="s">
        <v>829</v>
      </c>
      <c r="H295" s="148" t="s">
        <v>933</v>
      </c>
      <c r="I295" s="142" t="s">
        <v>933</v>
      </c>
      <c r="J295" s="148" t="s">
        <v>933</v>
      </c>
      <c r="K295" s="148" t="s">
        <v>933</v>
      </c>
      <c r="L295" s="86" t="s">
        <v>741</v>
      </c>
      <c r="M295" s="58"/>
      <c r="N295" s="59"/>
      <c r="O295" s="50"/>
      <c r="P295" s="60"/>
      <c r="R295" s="53" t="s">
        <v>764</v>
      </c>
      <c r="S295" s="53" t="s">
        <v>769</v>
      </c>
      <c r="T295" s="53" t="s">
        <v>769</v>
      </c>
      <c r="U295" s="53" t="s">
        <v>741</v>
      </c>
      <c r="V295" s="53" t="s">
        <v>770</v>
      </c>
      <c r="W295" s="53" t="s">
        <v>839</v>
      </c>
      <c r="X295" s="61">
        <f>IFERROR(IF(W295="","",WORKDAY.INTL(B295,_xlfn.XLOOKUP(W295,Regras!$F$2:$F$11,Regras!$G$2:$G$11))),"")</f>
        <v>45925</v>
      </c>
      <c r="Y295" s="150" t="s">
        <v>995</v>
      </c>
      <c r="Z295" s="53" t="s">
        <v>764</v>
      </c>
      <c r="AA295" s="53"/>
      <c r="AB295" s="156" t="s">
        <v>995</v>
      </c>
    </row>
    <row r="296" spans="2:28" x14ac:dyDescent="0.2">
      <c r="B296" s="89">
        <v>45924</v>
      </c>
      <c r="D296" s="85" t="s">
        <v>996</v>
      </c>
      <c r="E296" s="133" t="s">
        <v>933</v>
      </c>
      <c r="F296" s="85" t="s">
        <v>46</v>
      </c>
      <c r="G296" s="85" t="s">
        <v>829</v>
      </c>
      <c r="H296" s="148" t="s">
        <v>933</v>
      </c>
      <c r="I296" s="142" t="s">
        <v>933</v>
      </c>
      <c r="J296" s="148" t="s">
        <v>933</v>
      </c>
      <c r="K296" s="148" t="s">
        <v>933</v>
      </c>
      <c r="L296" s="95" t="s">
        <v>888</v>
      </c>
      <c r="M296" s="58"/>
      <c r="N296" s="59"/>
      <c r="O296" s="50"/>
      <c r="P296" s="60"/>
      <c r="R296" s="53" t="s">
        <v>764</v>
      </c>
      <c r="S296" s="53" t="s">
        <v>764</v>
      </c>
      <c r="T296" s="53" t="s">
        <v>769</v>
      </c>
      <c r="U296" s="53" t="s">
        <v>741</v>
      </c>
      <c r="V296" s="53" t="s">
        <v>768</v>
      </c>
      <c r="W296" s="53" t="s">
        <v>1053</v>
      </c>
      <c r="X296" s="61">
        <f>IFERROR(IF(W296="","",WORKDAY.INTL(B296,_xlfn.XLOOKUP(W296,Regras!$F$2:$F$11,Regras!$G$2:$G$11))),"")</f>
        <v>45933</v>
      </c>
      <c r="Y296" s="150" t="s">
        <v>998</v>
      </c>
      <c r="Z296" s="53" t="s">
        <v>769</v>
      </c>
      <c r="AA296" s="53"/>
      <c r="AB296" s="156" t="s">
        <v>997</v>
      </c>
    </row>
    <row r="297" spans="2:28" x14ac:dyDescent="0.2">
      <c r="B297" s="89">
        <v>45924</v>
      </c>
      <c r="D297" s="85" t="s">
        <v>999</v>
      </c>
      <c r="E297" s="125" t="s">
        <v>1000</v>
      </c>
      <c r="F297" s="85" t="s">
        <v>22</v>
      </c>
      <c r="G297" s="85" t="s">
        <v>829</v>
      </c>
      <c r="H297" s="148" t="s">
        <v>933</v>
      </c>
      <c r="I297" s="142" t="s">
        <v>933</v>
      </c>
      <c r="J297" s="148" t="s">
        <v>933</v>
      </c>
      <c r="K297" s="148" t="s">
        <v>933</v>
      </c>
      <c r="L297" s="86" t="s">
        <v>741</v>
      </c>
      <c r="M297" s="58"/>
      <c r="N297" s="59"/>
      <c r="O297" s="50"/>
      <c r="P297" s="60"/>
      <c r="R297" s="53" t="s">
        <v>764</v>
      </c>
      <c r="S297" s="53" t="s">
        <v>769</v>
      </c>
      <c r="T297" s="53" t="s">
        <v>769</v>
      </c>
      <c r="U297" s="53" t="s">
        <v>741</v>
      </c>
      <c r="V297" s="53" t="s">
        <v>770</v>
      </c>
      <c r="W297" s="53" t="s">
        <v>839</v>
      </c>
      <c r="X297" s="61">
        <f>IFERROR(IF(W297="","",WORKDAY.INTL(B297,_xlfn.XLOOKUP(W297,Regras!$F$2:$F$11,Regras!$G$2:$G$11))),"")</f>
        <v>45925</v>
      </c>
      <c r="Y297" s="150" t="s">
        <v>843</v>
      </c>
      <c r="Z297" s="53" t="s">
        <v>764</v>
      </c>
      <c r="AA297" s="53"/>
    </row>
    <row r="298" spans="2:28" x14ac:dyDescent="0.2">
      <c r="B298" s="89">
        <v>45924</v>
      </c>
      <c r="D298" s="85" t="s">
        <v>1001</v>
      </c>
      <c r="E298" s="125" t="s">
        <v>93</v>
      </c>
      <c r="F298" s="85" t="s">
        <v>22</v>
      </c>
      <c r="G298" s="85" t="s">
        <v>829</v>
      </c>
      <c r="H298" s="148" t="s">
        <v>933</v>
      </c>
      <c r="I298" s="142" t="s">
        <v>933</v>
      </c>
      <c r="J298" s="148" t="s">
        <v>933</v>
      </c>
      <c r="K298" s="148" t="s">
        <v>933</v>
      </c>
      <c r="L298" s="86" t="s">
        <v>741</v>
      </c>
      <c r="M298" s="58"/>
      <c r="N298" s="59"/>
      <c r="O298" s="50"/>
      <c r="P298" s="60"/>
      <c r="R298" s="53" t="s">
        <v>764</v>
      </c>
      <c r="S298" s="53" t="s">
        <v>769</v>
      </c>
      <c r="T298" s="53" t="s">
        <v>769</v>
      </c>
      <c r="U298" s="53" t="s">
        <v>773</v>
      </c>
      <c r="V298" s="53" t="s">
        <v>813</v>
      </c>
      <c r="W298" s="53" t="s">
        <v>777</v>
      </c>
      <c r="X298" s="61" t="str">
        <f>IFERROR(IF(W298="","",WORKDAY.INTL(B298,_xlfn.XLOOKUP(W298,Regras!$F$2:$F$11,Regras!$G$2:$G$11))),"")</f>
        <v/>
      </c>
      <c r="Y298" s="150" t="s">
        <v>1002</v>
      </c>
      <c r="Z298" s="53" t="s">
        <v>764</v>
      </c>
      <c r="AA298" s="53"/>
      <c r="AB298" s="156" t="s">
        <v>1002</v>
      </c>
    </row>
    <row r="299" spans="2:28" x14ac:dyDescent="0.2">
      <c r="B299" s="89">
        <v>45924</v>
      </c>
      <c r="D299" s="85" t="s">
        <v>359</v>
      </c>
      <c r="E299" s="125" t="s">
        <v>360</v>
      </c>
      <c r="F299" s="85" t="s">
        <v>22</v>
      </c>
      <c r="G299" s="85" t="s">
        <v>829</v>
      </c>
      <c r="H299" s="148" t="s">
        <v>933</v>
      </c>
      <c r="I299" s="142" t="s">
        <v>933</v>
      </c>
      <c r="J299" s="148" t="s">
        <v>933</v>
      </c>
      <c r="K299" s="148" t="s">
        <v>933</v>
      </c>
      <c r="L299" s="86" t="s">
        <v>741</v>
      </c>
      <c r="M299" s="58"/>
      <c r="N299" s="59"/>
      <c r="O299" s="50"/>
      <c r="P299" s="60"/>
      <c r="R299" s="53" t="s">
        <v>764</v>
      </c>
      <c r="S299" s="53" t="s">
        <v>769</v>
      </c>
      <c r="T299" s="53" t="s">
        <v>769</v>
      </c>
      <c r="U299" s="53" t="s">
        <v>773</v>
      </c>
      <c r="V299" s="53" t="s">
        <v>770</v>
      </c>
      <c r="W299" s="53" t="s">
        <v>839</v>
      </c>
      <c r="X299" s="61">
        <f>IFERROR(IF(W299="","",WORKDAY.INTL(B299,_xlfn.XLOOKUP(W299,Regras!$F$2:$F$11,Regras!$G$2:$G$11))),"")</f>
        <v>45925</v>
      </c>
      <c r="Y299" s="150" t="s">
        <v>839</v>
      </c>
      <c r="Z299" s="53" t="s">
        <v>764</v>
      </c>
      <c r="AA299" s="53"/>
      <c r="AB299" s="156" t="s">
        <v>839</v>
      </c>
    </row>
    <row r="300" spans="2:28" x14ac:dyDescent="0.2">
      <c r="B300" s="89">
        <v>45924</v>
      </c>
      <c r="D300" s="85" t="s">
        <v>561</v>
      </c>
      <c r="E300" s="125" t="s">
        <v>562</v>
      </c>
      <c r="F300" s="85" t="s">
        <v>26</v>
      </c>
      <c r="G300" s="85" t="s">
        <v>829</v>
      </c>
      <c r="H300" s="148" t="s">
        <v>933</v>
      </c>
      <c r="I300" s="142" t="s">
        <v>933</v>
      </c>
      <c r="J300" s="148" t="s">
        <v>933</v>
      </c>
      <c r="K300" s="148" t="s">
        <v>933</v>
      </c>
      <c r="L300" s="86" t="s">
        <v>741</v>
      </c>
      <c r="M300" s="58"/>
      <c r="N300" s="59"/>
      <c r="O300" s="50"/>
      <c r="P300" s="60"/>
      <c r="R300" s="53" t="s">
        <v>764</v>
      </c>
      <c r="S300" s="53" t="s">
        <v>769</v>
      </c>
      <c r="T300" s="53" t="s">
        <v>769</v>
      </c>
      <c r="U300" s="53" t="s">
        <v>741</v>
      </c>
      <c r="V300" s="53" t="s">
        <v>770</v>
      </c>
      <c r="W300" s="53" t="s">
        <v>766</v>
      </c>
      <c r="X300" s="61">
        <f>IFERROR(IF(W300="","",WORKDAY.INTL(B300,_xlfn.XLOOKUP(W300,Regras!$F$2:$F$11,Regras!$G$2:$G$11))),"")</f>
        <v>45987</v>
      </c>
      <c r="Y300" s="150" t="s">
        <v>1004</v>
      </c>
      <c r="Z300" s="53" t="s">
        <v>764</v>
      </c>
      <c r="AA300" s="53"/>
      <c r="AB300" s="156" t="s">
        <v>1004</v>
      </c>
    </row>
    <row r="301" spans="2:28" x14ac:dyDescent="0.2">
      <c r="B301" s="89">
        <v>45924</v>
      </c>
      <c r="D301" s="85" t="s">
        <v>359</v>
      </c>
      <c r="E301" s="125" t="s">
        <v>360</v>
      </c>
      <c r="F301" s="85" t="s">
        <v>22</v>
      </c>
      <c r="G301" s="85" t="s">
        <v>829</v>
      </c>
      <c r="H301" s="148" t="s">
        <v>933</v>
      </c>
      <c r="I301" s="142" t="s">
        <v>933</v>
      </c>
      <c r="J301" s="148" t="s">
        <v>933</v>
      </c>
      <c r="K301" s="148" t="s">
        <v>933</v>
      </c>
      <c r="L301" s="86" t="s">
        <v>741</v>
      </c>
      <c r="M301" s="58"/>
      <c r="N301" s="59"/>
      <c r="O301" s="50"/>
      <c r="P301" s="60"/>
      <c r="R301" s="53" t="s">
        <v>764</v>
      </c>
      <c r="S301" s="53" t="s">
        <v>769</v>
      </c>
      <c r="T301" s="53" t="s">
        <v>769</v>
      </c>
      <c r="U301" s="53" t="s">
        <v>773</v>
      </c>
      <c r="V301" s="53" t="s">
        <v>770</v>
      </c>
      <c r="W301" s="53" t="s">
        <v>766</v>
      </c>
      <c r="X301" s="61">
        <f>IFERROR(IF(W301="","",WORKDAY.INTL(B301,_xlfn.XLOOKUP(W301,Regras!$F$2:$F$11,Regras!$G$2:$G$11))),"")</f>
        <v>45987</v>
      </c>
      <c r="Y301" s="150" t="s">
        <v>1003</v>
      </c>
      <c r="Z301" s="53" t="s">
        <v>764</v>
      </c>
      <c r="AA301" s="53"/>
      <c r="AB301" s="156" t="s">
        <v>1003</v>
      </c>
    </row>
    <row r="302" spans="2:28" x14ac:dyDescent="0.2">
      <c r="B302" s="89">
        <v>45924</v>
      </c>
      <c r="D302" s="85" t="s">
        <v>942</v>
      </c>
      <c r="E302" s="133" t="s">
        <v>1005</v>
      </c>
      <c r="F302" s="85" t="s">
        <v>31</v>
      </c>
      <c r="G302" s="85" t="s">
        <v>829</v>
      </c>
      <c r="H302" s="148" t="s">
        <v>933</v>
      </c>
      <c r="I302" s="142" t="s">
        <v>933</v>
      </c>
      <c r="J302" s="148" t="s">
        <v>933</v>
      </c>
      <c r="K302" s="148" t="s">
        <v>933</v>
      </c>
      <c r="L302" s="95" t="s">
        <v>888</v>
      </c>
      <c r="M302" s="58"/>
      <c r="N302" s="59"/>
      <c r="O302" s="50"/>
      <c r="P302" s="60"/>
      <c r="R302" s="53" t="s">
        <v>764</v>
      </c>
      <c r="S302" s="53" t="s">
        <v>769</v>
      </c>
      <c r="T302" s="53" t="s">
        <v>769</v>
      </c>
      <c r="U302" s="53" t="s">
        <v>741</v>
      </c>
      <c r="V302" s="53" t="s">
        <v>768</v>
      </c>
      <c r="W302" s="53" t="s">
        <v>839</v>
      </c>
      <c r="X302" s="61">
        <f>IFERROR(IF(W302="","",WORKDAY.INTL(B302,_xlfn.XLOOKUP(W302,Regras!$F$2:$F$11,Regras!$G$2:$G$11))),"")</f>
        <v>45925</v>
      </c>
      <c r="Y302" s="150" t="s">
        <v>839</v>
      </c>
      <c r="Z302" s="53" t="s">
        <v>764</v>
      </c>
      <c r="AA302" s="53"/>
      <c r="AB302" s="156" t="s">
        <v>839</v>
      </c>
    </row>
    <row r="303" spans="2:28" x14ac:dyDescent="0.2">
      <c r="B303" s="89">
        <v>45924</v>
      </c>
      <c r="D303" s="85" t="s">
        <v>1006</v>
      </c>
      <c r="E303" s="125" t="s">
        <v>187</v>
      </c>
      <c r="F303" s="85" t="s">
        <v>46</v>
      </c>
      <c r="G303" s="85" t="s">
        <v>829</v>
      </c>
      <c r="H303" s="148" t="s">
        <v>933</v>
      </c>
      <c r="I303" s="142" t="s">
        <v>933</v>
      </c>
      <c r="J303" s="148" t="s">
        <v>933</v>
      </c>
      <c r="K303" s="148" t="s">
        <v>933</v>
      </c>
      <c r="L303" s="103" t="s">
        <v>742</v>
      </c>
      <c r="M303" s="58"/>
      <c r="N303" s="59"/>
      <c r="O303" s="50"/>
      <c r="P303" s="60"/>
      <c r="R303" s="53" t="s">
        <v>764</v>
      </c>
      <c r="S303" s="53" t="s">
        <v>769</v>
      </c>
      <c r="T303" s="53" t="s">
        <v>769</v>
      </c>
      <c r="U303" s="53" t="s">
        <v>773</v>
      </c>
      <c r="V303" s="53" t="s">
        <v>813</v>
      </c>
      <c r="W303" s="53" t="s">
        <v>777</v>
      </c>
      <c r="X303" s="61" t="str">
        <f>IFERROR(IF(W303="","",WORKDAY.INTL(B303,_xlfn.XLOOKUP(W303,Regras!$F$2:$F$11,Regras!$G$2:$G$11))),"")</f>
        <v/>
      </c>
      <c r="Y303" s="150" t="s">
        <v>1007</v>
      </c>
      <c r="Z303" s="53" t="s">
        <v>764</v>
      </c>
      <c r="AA303" s="53"/>
      <c r="AB303" s="156" t="s">
        <v>1007</v>
      </c>
    </row>
    <row r="304" spans="2:28" x14ac:dyDescent="0.2">
      <c r="B304" s="89">
        <v>45924</v>
      </c>
      <c r="D304" s="85" t="s">
        <v>942</v>
      </c>
      <c r="E304" s="125" t="s">
        <v>1005</v>
      </c>
      <c r="F304" s="85" t="s">
        <v>31</v>
      </c>
      <c r="G304" s="85" t="s">
        <v>829</v>
      </c>
      <c r="H304" s="148" t="s">
        <v>933</v>
      </c>
      <c r="I304" s="142" t="s">
        <v>933</v>
      </c>
      <c r="J304" s="148" t="s">
        <v>933</v>
      </c>
      <c r="K304" s="148" t="s">
        <v>933</v>
      </c>
      <c r="L304" s="95" t="s">
        <v>930</v>
      </c>
      <c r="M304" s="58"/>
      <c r="N304" s="59"/>
      <c r="O304" s="50"/>
      <c r="P304" s="60"/>
      <c r="R304" s="53" t="s">
        <v>764</v>
      </c>
      <c r="S304" s="53" t="s">
        <v>769</v>
      </c>
      <c r="T304" s="53" t="s">
        <v>769</v>
      </c>
      <c r="U304" s="53" t="s">
        <v>741</v>
      </c>
      <c r="V304" s="53" t="s">
        <v>768</v>
      </c>
      <c r="W304" s="53" t="s">
        <v>766</v>
      </c>
      <c r="X304" s="61">
        <f>IFERROR(IF(W304="","",WORKDAY.INTL(B304,_xlfn.XLOOKUP(W304,Regras!$F$2:$F$11,Regras!$G$2:$G$11))),"")</f>
        <v>45987</v>
      </c>
      <c r="Y304" s="150" t="s">
        <v>1008</v>
      </c>
      <c r="Z304" s="53" t="s">
        <v>764</v>
      </c>
      <c r="AA304" s="53"/>
      <c r="AB304" s="156" t="s">
        <v>1008</v>
      </c>
    </row>
    <row r="305" spans="2:28" x14ac:dyDescent="0.2">
      <c r="B305" s="89">
        <v>45924</v>
      </c>
      <c r="D305" s="85" t="s">
        <v>190</v>
      </c>
      <c r="E305" s="125" t="s">
        <v>191</v>
      </c>
      <c r="F305" s="85" t="s">
        <v>46</v>
      </c>
      <c r="G305" s="85" t="s">
        <v>829</v>
      </c>
      <c r="H305" s="148" t="s">
        <v>933</v>
      </c>
      <c r="I305" s="142" t="s">
        <v>933</v>
      </c>
      <c r="J305" s="148" t="s">
        <v>933</v>
      </c>
      <c r="K305" s="148" t="s">
        <v>933</v>
      </c>
      <c r="L305" s="86" t="s">
        <v>741</v>
      </c>
      <c r="M305" s="58"/>
      <c r="N305" s="59"/>
      <c r="O305" s="50"/>
      <c r="P305" s="60"/>
      <c r="R305" s="53" t="s">
        <v>764</v>
      </c>
      <c r="S305" s="53" t="s">
        <v>769</v>
      </c>
      <c r="T305" s="53" t="s">
        <v>769</v>
      </c>
      <c r="U305" s="53" t="s">
        <v>741</v>
      </c>
      <c r="V305" s="53" t="s">
        <v>770</v>
      </c>
      <c r="W305" s="53" t="s">
        <v>766</v>
      </c>
      <c r="X305" s="61">
        <f>IFERROR(IF(W305="","",WORKDAY.INTL(B305,_xlfn.XLOOKUP(W305,Regras!$F$2:$F$11,Regras!$G$2:$G$11))),"")</f>
        <v>45987</v>
      </c>
      <c r="Y305" s="150" t="s">
        <v>1003</v>
      </c>
      <c r="Z305" s="53" t="s">
        <v>764</v>
      </c>
      <c r="AA305" s="53"/>
      <c r="AB305" s="156" t="s">
        <v>1003</v>
      </c>
    </row>
    <row r="306" spans="2:28" x14ac:dyDescent="0.2">
      <c r="B306" s="89">
        <v>45925</v>
      </c>
      <c r="D306" s="85" t="s">
        <v>1006</v>
      </c>
      <c r="E306" s="125" t="s">
        <v>187</v>
      </c>
      <c r="F306" s="85" t="s">
        <v>46</v>
      </c>
      <c r="G306" s="85" t="s">
        <v>829</v>
      </c>
      <c r="H306" s="148" t="s">
        <v>933</v>
      </c>
      <c r="I306" s="142" t="s">
        <v>933</v>
      </c>
      <c r="J306" s="148" t="s">
        <v>933</v>
      </c>
      <c r="K306" s="148" t="s">
        <v>933</v>
      </c>
      <c r="L306" s="103" t="s">
        <v>742</v>
      </c>
      <c r="M306" s="58"/>
      <c r="N306" s="59"/>
      <c r="O306" s="50"/>
      <c r="P306" s="60"/>
      <c r="R306" s="53" t="s">
        <v>764</v>
      </c>
      <c r="S306" s="53" t="s">
        <v>769</v>
      </c>
      <c r="T306" s="53" t="s">
        <v>769</v>
      </c>
      <c r="U306" s="53" t="s">
        <v>741</v>
      </c>
      <c r="V306" s="53" t="s">
        <v>770</v>
      </c>
      <c r="W306" s="53" t="s">
        <v>766</v>
      </c>
      <c r="X306" s="61">
        <f>IFERROR(IF(W306="","",WORKDAY.INTL(B306,_xlfn.XLOOKUP(W306,Regras!$F$2:$F$11,Regras!$G$2:$G$11))),"")</f>
        <v>45988</v>
      </c>
      <c r="Y306" s="150" t="s">
        <v>1003</v>
      </c>
      <c r="Z306" s="53" t="s">
        <v>764</v>
      </c>
      <c r="AA306" s="53"/>
      <c r="AB306" s="156" t="s">
        <v>1003</v>
      </c>
    </row>
    <row r="307" spans="2:28" x14ac:dyDescent="0.2">
      <c r="B307" s="89">
        <v>45925</v>
      </c>
      <c r="D307" s="85" t="s">
        <v>856</v>
      </c>
      <c r="E307" s="125" t="s">
        <v>857</v>
      </c>
      <c r="F307" s="85" t="s">
        <v>328</v>
      </c>
      <c r="G307" s="85" t="s">
        <v>829</v>
      </c>
      <c r="H307" s="148" t="s">
        <v>933</v>
      </c>
      <c r="I307" s="142" t="s">
        <v>933</v>
      </c>
      <c r="J307" s="148" t="s">
        <v>933</v>
      </c>
      <c r="K307" s="148" t="s">
        <v>933</v>
      </c>
      <c r="L307" s="95" t="s">
        <v>930</v>
      </c>
      <c r="M307" s="58"/>
      <c r="N307" s="59"/>
      <c r="O307" s="50"/>
      <c r="P307" s="60"/>
      <c r="R307" s="53" t="s">
        <v>764</v>
      </c>
      <c r="S307" s="53" t="s">
        <v>769</v>
      </c>
      <c r="T307" s="53" t="s">
        <v>769</v>
      </c>
      <c r="U307" s="53" t="s">
        <v>741</v>
      </c>
      <c r="V307" s="53" t="s">
        <v>768</v>
      </c>
      <c r="W307" s="53" t="s">
        <v>766</v>
      </c>
      <c r="X307" s="61">
        <f>IFERROR(IF(W307="","",WORKDAY.INTL(B307,_xlfn.XLOOKUP(W307,Regras!$F$2:$F$11,Regras!$G$2:$G$11))),"")</f>
        <v>45988</v>
      </c>
      <c r="Y307" s="150" t="s">
        <v>1003</v>
      </c>
      <c r="Z307" s="53" t="s">
        <v>764</v>
      </c>
      <c r="AA307" s="53"/>
      <c r="AB307" s="155" t="s">
        <v>1009</v>
      </c>
    </row>
    <row r="308" spans="2:28" x14ac:dyDescent="0.2">
      <c r="B308" s="89">
        <v>45925</v>
      </c>
      <c r="D308" s="85" t="s">
        <v>1010</v>
      </c>
      <c r="E308" s="133" t="s">
        <v>1011</v>
      </c>
      <c r="F308" s="85" t="s">
        <v>11</v>
      </c>
      <c r="G308" s="85" t="s">
        <v>829</v>
      </c>
      <c r="H308" s="148" t="s">
        <v>933</v>
      </c>
      <c r="I308" s="142" t="s">
        <v>933</v>
      </c>
      <c r="J308" s="148" t="s">
        <v>933</v>
      </c>
      <c r="K308" s="148" t="s">
        <v>933</v>
      </c>
      <c r="L308" s="95" t="s">
        <v>888</v>
      </c>
      <c r="M308" s="58"/>
      <c r="N308" s="59"/>
      <c r="O308" s="50"/>
      <c r="P308" s="60"/>
      <c r="R308" s="53" t="s">
        <v>764</v>
      </c>
      <c r="S308" s="53" t="s">
        <v>764</v>
      </c>
      <c r="T308" s="53" t="s">
        <v>769</v>
      </c>
      <c r="U308" s="53" t="s">
        <v>741</v>
      </c>
      <c r="V308" s="53" t="s">
        <v>813</v>
      </c>
      <c r="W308" s="53" t="s">
        <v>777</v>
      </c>
      <c r="X308" s="61" t="str">
        <f>IFERROR(IF(W308="","",WORKDAY.INTL(B308,_xlfn.XLOOKUP(W308,Regras!$F$2:$F$11,Regras!$G$2:$G$11))),"")</f>
        <v/>
      </c>
      <c r="Y308" s="150" t="s">
        <v>823</v>
      </c>
      <c r="Z308" s="53" t="s">
        <v>764</v>
      </c>
      <c r="AA308" s="53"/>
      <c r="AB308" s="155" t="s">
        <v>1012</v>
      </c>
    </row>
    <row r="309" spans="2:28" x14ac:dyDescent="0.2">
      <c r="B309" s="89">
        <v>45925</v>
      </c>
      <c r="D309" s="85" t="s">
        <v>224</v>
      </c>
      <c r="E309" s="125" t="s">
        <v>1013</v>
      </c>
      <c r="F309" s="85" t="s">
        <v>22</v>
      </c>
      <c r="G309" s="85" t="s">
        <v>829</v>
      </c>
      <c r="H309" s="148" t="s">
        <v>933</v>
      </c>
      <c r="I309" s="142" t="s">
        <v>933</v>
      </c>
      <c r="J309" s="148" t="s">
        <v>933</v>
      </c>
      <c r="K309" s="148" t="s">
        <v>933</v>
      </c>
      <c r="L309" s="86" t="s">
        <v>741</v>
      </c>
      <c r="M309" s="58"/>
      <c r="N309" s="59"/>
      <c r="O309" s="50"/>
      <c r="P309" s="60"/>
      <c r="R309" s="53" t="s">
        <v>764</v>
      </c>
      <c r="S309" s="53" t="s">
        <v>764</v>
      </c>
      <c r="T309" s="53" t="s">
        <v>764</v>
      </c>
      <c r="U309" s="53" t="s">
        <v>741</v>
      </c>
      <c r="V309" s="53" t="s">
        <v>770</v>
      </c>
      <c r="W309" s="53" t="s">
        <v>766</v>
      </c>
      <c r="X309" s="61">
        <f>IFERROR(IF(W309="","",WORKDAY.INTL(B309,_xlfn.XLOOKUP(W309,Regras!$F$2:$F$11,Regras!$G$2:$G$11))),"")</f>
        <v>45988</v>
      </c>
      <c r="Y309" s="150" t="s">
        <v>1004</v>
      </c>
      <c r="Z309" s="53" t="s">
        <v>764</v>
      </c>
      <c r="AA309" s="53"/>
      <c r="AB309" s="156" t="s">
        <v>1004</v>
      </c>
    </row>
    <row r="310" spans="2:28" x14ac:dyDescent="0.2">
      <c r="B310" s="89">
        <v>45925</v>
      </c>
      <c r="D310" s="85" t="s">
        <v>1014</v>
      </c>
      <c r="E310" s="133" t="s">
        <v>1015</v>
      </c>
      <c r="F310" s="85" t="s">
        <v>22</v>
      </c>
      <c r="G310" s="85" t="s">
        <v>829</v>
      </c>
      <c r="H310" s="148" t="s">
        <v>933</v>
      </c>
      <c r="I310" s="142" t="s">
        <v>933</v>
      </c>
      <c r="J310" s="148" t="s">
        <v>933</v>
      </c>
      <c r="K310" s="148" t="s">
        <v>933</v>
      </c>
      <c r="L310" s="95" t="s">
        <v>888</v>
      </c>
      <c r="M310" s="58"/>
      <c r="N310" s="59"/>
      <c r="O310" s="50"/>
      <c r="P310" s="60"/>
      <c r="R310" s="53" t="s">
        <v>764</v>
      </c>
      <c r="S310" s="53" t="s">
        <v>764</v>
      </c>
      <c r="T310" s="53" t="s">
        <v>769</v>
      </c>
      <c r="U310" s="53" t="s">
        <v>741</v>
      </c>
      <c r="V310" s="53" t="s">
        <v>768</v>
      </c>
      <c r="W310" s="53" t="s">
        <v>849</v>
      </c>
      <c r="X310" s="61">
        <f>IFERROR(IF(W310="","",WORKDAY.INTL(B310,_xlfn.XLOOKUP(W310,Regras!$F$2:$F$11,Regras!$G$2:$G$11))),"")</f>
        <v>45929</v>
      </c>
      <c r="Y310" s="150" t="s">
        <v>823</v>
      </c>
      <c r="Z310" s="53" t="s">
        <v>764</v>
      </c>
      <c r="AA310" s="53"/>
      <c r="AB310" s="156" t="s">
        <v>1016</v>
      </c>
    </row>
    <row r="311" spans="2:28" x14ac:dyDescent="0.2">
      <c r="B311" s="89">
        <v>45925</v>
      </c>
      <c r="D311" s="85" t="s">
        <v>99</v>
      </c>
      <c r="E311" s="125" t="s">
        <v>100</v>
      </c>
      <c r="F311" s="85" t="s">
        <v>46</v>
      </c>
      <c r="G311" s="85" t="s">
        <v>829</v>
      </c>
      <c r="H311" s="148" t="s">
        <v>933</v>
      </c>
      <c r="I311" s="142" t="s">
        <v>933</v>
      </c>
      <c r="J311" s="148" t="s">
        <v>933</v>
      </c>
      <c r="K311" s="148" t="s">
        <v>933</v>
      </c>
      <c r="L311" s="86" t="s">
        <v>741</v>
      </c>
      <c r="M311" s="58"/>
      <c r="N311" s="59"/>
      <c r="O311" s="50"/>
      <c r="P311" s="60"/>
      <c r="R311" s="53" t="s">
        <v>764</v>
      </c>
      <c r="S311" s="53" t="s">
        <v>764</v>
      </c>
      <c r="T311" s="53" t="s">
        <v>769</v>
      </c>
      <c r="U311" s="53" t="s">
        <v>741</v>
      </c>
      <c r="V311" s="53" t="s">
        <v>770</v>
      </c>
      <c r="W311" s="53" t="s">
        <v>839</v>
      </c>
      <c r="X311" s="61"/>
      <c r="Y311" s="150" t="s">
        <v>1017</v>
      </c>
      <c r="Z311" s="53" t="s">
        <v>764</v>
      </c>
      <c r="AA311" s="53"/>
      <c r="AB311" s="156" t="s">
        <v>1018</v>
      </c>
    </row>
    <row r="312" spans="2:28" x14ac:dyDescent="0.2">
      <c r="B312" s="89">
        <v>45925</v>
      </c>
      <c r="D312" s="85" t="s">
        <v>890</v>
      </c>
      <c r="E312" s="133" t="s">
        <v>891</v>
      </c>
      <c r="F312" s="85" t="s">
        <v>328</v>
      </c>
      <c r="G312" s="85" t="s">
        <v>829</v>
      </c>
      <c r="H312" s="148" t="s">
        <v>933</v>
      </c>
      <c r="I312" s="142" t="s">
        <v>933</v>
      </c>
      <c r="J312" s="148" t="s">
        <v>933</v>
      </c>
      <c r="K312" s="148" t="s">
        <v>933</v>
      </c>
      <c r="L312" s="95" t="s">
        <v>888</v>
      </c>
      <c r="M312" s="58"/>
      <c r="N312" s="59"/>
      <c r="O312" s="50"/>
      <c r="P312" s="60"/>
      <c r="R312" s="53" t="s">
        <v>764</v>
      </c>
      <c r="S312" s="53" t="s">
        <v>769</v>
      </c>
      <c r="T312" s="53" t="s">
        <v>769</v>
      </c>
      <c r="U312" s="53" t="s">
        <v>741</v>
      </c>
      <c r="V312" s="53" t="s">
        <v>768</v>
      </c>
      <c r="W312" s="53" t="s">
        <v>780</v>
      </c>
      <c r="X312" s="61">
        <f>IFERROR(IF(W312="","",WORKDAY.INTL(B312,_xlfn.XLOOKUP(W312,Regras!$F$2:$F$11,Regras!$G$2:$G$11))),"")</f>
        <v>45929</v>
      </c>
      <c r="Y312" s="150" t="s">
        <v>1037</v>
      </c>
      <c r="Z312" s="53" t="s">
        <v>764</v>
      </c>
      <c r="AA312" s="53"/>
      <c r="AB312" s="156" t="s">
        <v>1037</v>
      </c>
    </row>
    <row r="313" spans="2:28" x14ac:dyDescent="0.2">
      <c r="B313" s="89">
        <v>45925</v>
      </c>
      <c r="D313" s="85" t="s">
        <v>1028</v>
      </c>
      <c r="E313" s="133" t="s">
        <v>1019</v>
      </c>
      <c r="F313" s="85" t="s">
        <v>11</v>
      </c>
      <c r="G313" s="85" t="s">
        <v>829</v>
      </c>
      <c r="H313" s="148" t="s">
        <v>933</v>
      </c>
      <c r="I313" s="142" t="s">
        <v>933</v>
      </c>
      <c r="J313" s="148" t="s">
        <v>933</v>
      </c>
      <c r="K313" s="148" t="s">
        <v>933</v>
      </c>
      <c r="L313" s="95" t="s">
        <v>888</v>
      </c>
      <c r="M313" s="58"/>
      <c r="N313" s="59"/>
      <c r="O313" s="50"/>
      <c r="P313" s="60"/>
      <c r="R313" s="53" t="s">
        <v>764</v>
      </c>
      <c r="S313" s="53" t="s">
        <v>769</v>
      </c>
      <c r="T313" s="53" t="s">
        <v>769</v>
      </c>
      <c r="U313" s="53" t="s">
        <v>741</v>
      </c>
      <c r="V313" s="53" t="s">
        <v>768</v>
      </c>
      <c r="W313" s="53" t="s">
        <v>780</v>
      </c>
      <c r="X313" s="61">
        <f>IFERROR(IF(W313="","",WORKDAY.INTL(B313,_xlfn.XLOOKUP(W313,Regras!$F$2:$F$11,Regras!$G$2:$G$11))),"")</f>
        <v>45929</v>
      </c>
      <c r="Y313" s="150" t="s">
        <v>1038</v>
      </c>
      <c r="Z313" s="53" t="s">
        <v>764</v>
      </c>
      <c r="AA313" s="53"/>
      <c r="AB313" s="156" t="s">
        <v>1038</v>
      </c>
    </row>
    <row r="314" spans="2:28" x14ac:dyDescent="0.2">
      <c r="B314" s="89">
        <v>45925</v>
      </c>
      <c r="D314" s="85" t="s">
        <v>1029</v>
      </c>
      <c r="E314" s="133" t="s">
        <v>1020</v>
      </c>
      <c r="F314" s="85" t="s">
        <v>46</v>
      </c>
      <c r="G314" s="85" t="s">
        <v>829</v>
      </c>
      <c r="H314" s="148" t="s">
        <v>933</v>
      </c>
      <c r="I314" s="142" t="s">
        <v>933</v>
      </c>
      <c r="J314" s="148" t="s">
        <v>933</v>
      </c>
      <c r="K314" s="148" t="s">
        <v>933</v>
      </c>
      <c r="L314" s="95" t="s">
        <v>888</v>
      </c>
      <c r="M314" s="58"/>
      <c r="N314" s="59"/>
      <c r="O314" s="50"/>
      <c r="P314" s="60"/>
      <c r="R314" s="53" t="s">
        <v>764</v>
      </c>
      <c r="S314" s="53" t="s">
        <v>769</v>
      </c>
      <c r="T314" s="53" t="s">
        <v>769</v>
      </c>
      <c r="U314" s="53" t="s">
        <v>741</v>
      </c>
      <c r="V314" s="53" t="s">
        <v>768</v>
      </c>
      <c r="W314" s="53" t="s">
        <v>780</v>
      </c>
      <c r="X314" s="61">
        <f>IFERROR(IF(W314="","",WORKDAY.INTL(B314,_xlfn.XLOOKUP(W314,Regras!$F$2:$F$11,Regras!$G$2:$G$11))),"")</f>
        <v>45929</v>
      </c>
      <c r="Y314" s="150" t="s">
        <v>1039</v>
      </c>
      <c r="Z314" s="53" t="s">
        <v>764</v>
      </c>
      <c r="AA314" s="53"/>
      <c r="AB314" s="156" t="s">
        <v>1039</v>
      </c>
    </row>
    <row r="315" spans="2:28" x14ac:dyDescent="0.2">
      <c r="B315" s="89">
        <v>45925</v>
      </c>
      <c r="D315" s="85" t="s">
        <v>1030</v>
      </c>
      <c r="E315" s="133" t="s">
        <v>1021</v>
      </c>
      <c r="F315" s="85" t="s">
        <v>11</v>
      </c>
      <c r="G315" s="85" t="s">
        <v>829</v>
      </c>
      <c r="H315" s="148" t="s">
        <v>933</v>
      </c>
      <c r="I315" s="142" t="s">
        <v>933</v>
      </c>
      <c r="J315" s="148" t="s">
        <v>933</v>
      </c>
      <c r="K315" s="148" t="s">
        <v>933</v>
      </c>
      <c r="L315" s="95" t="s">
        <v>888</v>
      </c>
      <c r="M315" s="58"/>
      <c r="N315" s="59"/>
      <c r="O315" s="50"/>
      <c r="P315" s="60"/>
      <c r="R315" s="53" t="s">
        <v>764</v>
      </c>
      <c r="S315" s="53" t="s">
        <v>769</v>
      </c>
      <c r="T315" s="53" t="s">
        <v>769</v>
      </c>
      <c r="U315" s="53" t="s">
        <v>741</v>
      </c>
      <c r="V315" s="53" t="s">
        <v>768</v>
      </c>
      <c r="W315" s="53" t="s">
        <v>780</v>
      </c>
      <c r="X315" s="61">
        <f>IFERROR(IF(W315="","",WORKDAY.INTL(B315,_xlfn.XLOOKUP(W315,Regras!$F$2:$F$11,Regras!$G$2:$G$11))),"")</f>
        <v>45929</v>
      </c>
      <c r="Y315" s="150" t="s">
        <v>1039</v>
      </c>
      <c r="Z315" s="53" t="s">
        <v>764</v>
      </c>
      <c r="AA315" s="53"/>
      <c r="AB315" s="156" t="s">
        <v>1039</v>
      </c>
    </row>
    <row r="316" spans="2:28" x14ac:dyDescent="0.2">
      <c r="B316" s="89">
        <v>45925</v>
      </c>
      <c r="D316" s="85" t="s">
        <v>1031</v>
      </c>
      <c r="E316" s="134" t="s">
        <v>1022</v>
      </c>
      <c r="F316" s="85" t="s">
        <v>17</v>
      </c>
      <c r="G316" s="85" t="s">
        <v>829</v>
      </c>
      <c r="H316" s="148" t="s">
        <v>933</v>
      </c>
      <c r="I316" s="142" t="s">
        <v>933</v>
      </c>
      <c r="J316" s="148" t="s">
        <v>933</v>
      </c>
      <c r="K316" s="148" t="s">
        <v>933</v>
      </c>
      <c r="L316" s="95" t="s">
        <v>888</v>
      </c>
      <c r="M316" s="58"/>
      <c r="N316" s="59"/>
      <c r="O316" s="50"/>
      <c r="P316" s="60"/>
      <c r="R316" s="53" t="s">
        <v>764</v>
      </c>
      <c r="S316" s="53" t="s">
        <v>769</v>
      </c>
      <c r="T316" s="53" t="s">
        <v>769</v>
      </c>
      <c r="U316" s="53" t="s">
        <v>741</v>
      </c>
      <c r="V316" s="53" t="s">
        <v>768</v>
      </c>
      <c r="W316" s="53" t="s">
        <v>780</v>
      </c>
      <c r="X316" s="61">
        <f>IFERROR(IF(W316="","",WORKDAY.INTL(B316,_xlfn.XLOOKUP(W316,Regras!$F$2:$F$11,Regras!$G$2:$G$11))),"")</f>
        <v>45929</v>
      </c>
      <c r="Y316" s="150" t="s">
        <v>1039</v>
      </c>
      <c r="Z316" s="53" t="s">
        <v>764</v>
      </c>
      <c r="AA316" s="53"/>
      <c r="AB316" s="156" t="s">
        <v>1039</v>
      </c>
    </row>
    <row r="317" spans="2:28" x14ac:dyDescent="0.2">
      <c r="B317" s="89">
        <v>45925</v>
      </c>
      <c r="D317" s="85" t="s">
        <v>1032</v>
      </c>
      <c r="E317" s="134" t="s">
        <v>1023</v>
      </c>
      <c r="F317" s="85" t="s">
        <v>22</v>
      </c>
      <c r="G317" s="85" t="s">
        <v>829</v>
      </c>
      <c r="H317" s="148" t="s">
        <v>933</v>
      </c>
      <c r="I317" s="142" t="s">
        <v>933</v>
      </c>
      <c r="J317" s="148" t="s">
        <v>933</v>
      </c>
      <c r="K317" s="148" t="s">
        <v>933</v>
      </c>
      <c r="L317" s="95" t="s">
        <v>888</v>
      </c>
      <c r="M317" s="58"/>
      <c r="N317" s="59"/>
      <c r="O317" s="50"/>
      <c r="P317" s="60"/>
      <c r="R317" s="53" t="s">
        <v>764</v>
      </c>
      <c r="S317" s="53" t="s">
        <v>769</v>
      </c>
      <c r="T317" s="53" t="s">
        <v>769</v>
      </c>
      <c r="U317" s="53" t="s">
        <v>741</v>
      </c>
      <c r="V317" s="53" t="s">
        <v>768</v>
      </c>
      <c r="W317" s="53" t="s">
        <v>780</v>
      </c>
      <c r="X317" s="61">
        <f>IFERROR(IF(W317="","",WORKDAY.INTL(B317,_xlfn.XLOOKUP(W317,Regras!$F$2:$F$11,Regras!$G$2:$G$11))),"")</f>
        <v>45929</v>
      </c>
      <c r="Y317" s="150" t="s">
        <v>1039</v>
      </c>
      <c r="Z317" s="53" t="s">
        <v>764</v>
      </c>
      <c r="AA317" s="53"/>
      <c r="AB317" s="156" t="s">
        <v>1039</v>
      </c>
    </row>
    <row r="318" spans="2:28" x14ac:dyDescent="0.2">
      <c r="B318" s="89">
        <v>45925</v>
      </c>
      <c r="D318" s="85" t="s">
        <v>1033</v>
      </c>
      <c r="E318" s="134" t="s">
        <v>1024</v>
      </c>
      <c r="F318" s="85" t="s">
        <v>46</v>
      </c>
      <c r="G318" s="85" t="s">
        <v>829</v>
      </c>
      <c r="H318" s="148" t="s">
        <v>933</v>
      </c>
      <c r="I318" s="142" t="s">
        <v>933</v>
      </c>
      <c r="J318" s="148" t="s">
        <v>933</v>
      </c>
      <c r="K318" s="148" t="s">
        <v>933</v>
      </c>
      <c r="L318" s="95" t="s">
        <v>888</v>
      </c>
      <c r="M318" s="58"/>
      <c r="N318" s="59"/>
      <c r="O318" s="50"/>
      <c r="P318" s="60"/>
      <c r="R318" s="53" t="s">
        <v>764</v>
      </c>
      <c r="S318" s="53" t="s">
        <v>764</v>
      </c>
      <c r="T318" s="53" t="s">
        <v>764</v>
      </c>
      <c r="U318" s="53" t="s">
        <v>741</v>
      </c>
      <c r="V318" s="53" t="s">
        <v>768</v>
      </c>
      <c r="W318" s="53" t="s">
        <v>796</v>
      </c>
      <c r="X318" s="61" t="str">
        <f>IFERROR(IF(W318="","",WORKDAY.INTL(B318,_xlfn.XLOOKUP(W318,Regras!$F$2:$F$11,Regras!$G$2:$G$11))),"")</f>
        <v/>
      </c>
      <c r="Y318" s="150" t="s">
        <v>1040</v>
      </c>
      <c r="Z318" s="53" t="s">
        <v>764</v>
      </c>
      <c r="AA318" s="53"/>
      <c r="AB318" s="156" t="s">
        <v>1040</v>
      </c>
    </row>
    <row r="319" spans="2:28" x14ac:dyDescent="0.2">
      <c r="B319" s="89">
        <v>45925</v>
      </c>
      <c r="D319" s="85" t="s">
        <v>1034</v>
      </c>
      <c r="E319" s="134" t="s">
        <v>1025</v>
      </c>
      <c r="F319" s="85" t="s">
        <v>17</v>
      </c>
      <c r="G319" s="85" t="s">
        <v>829</v>
      </c>
      <c r="H319" s="148" t="s">
        <v>933</v>
      </c>
      <c r="I319" s="142" t="s">
        <v>933</v>
      </c>
      <c r="J319" s="148" t="s">
        <v>933</v>
      </c>
      <c r="K319" s="148" t="s">
        <v>933</v>
      </c>
      <c r="L319" s="95" t="s">
        <v>888</v>
      </c>
      <c r="M319" s="58"/>
      <c r="N319" s="59"/>
      <c r="O319" s="50"/>
      <c r="P319" s="60"/>
      <c r="R319" s="53" t="s">
        <v>764</v>
      </c>
      <c r="S319" s="53" t="s">
        <v>769</v>
      </c>
      <c r="T319" s="53" t="s">
        <v>769</v>
      </c>
      <c r="U319" s="53" t="s">
        <v>741</v>
      </c>
      <c r="V319" s="53" t="s">
        <v>768</v>
      </c>
      <c r="W319" s="53" t="s">
        <v>780</v>
      </c>
      <c r="X319" s="61">
        <f>IFERROR(IF(W319="","",WORKDAY.INTL(B319,_xlfn.XLOOKUP(W319,Regras!$F$2:$F$11,Regras!$G$2:$G$11))),"")</f>
        <v>45929</v>
      </c>
      <c r="Y319" s="150" t="s">
        <v>1039</v>
      </c>
      <c r="Z319" s="53" t="s">
        <v>764</v>
      </c>
      <c r="AA319" s="53"/>
      <c r="AB319" s="156" t="s">
        <v>1039</v>
      </c>
    </row>
    <row r="320" spans="2:28" x14ac:dyDescent="0.2">
      <c r="B320" s="89">
        <v>45925</v>
      </c>
      <c r="D320" s="85" t="s">
        <v>1035</v>
      </c>
      <c r="E320" s="133" t="s">
        <v>1026</v>
      </c>
      <c r="F320" s="85" t="s">
        <v>46</v>
      </c>
      <c r="G320" s="85" t="s">
        <v>829</v>
      </c>
      <c r="H320" s="148" t="s">
        <v>933</v>
      </c>
      <c r="I320" s="142" t="s">
        <v>933</v>
      </c>
      <c r="J320" s="148" t="s">
        <v>933</v>
      </c>
      <c r="K320" s="148" t="s">
        <v>933</v>
      </c>
      <c r="L320" s="95" t="s">
        <v>888</v>
      </c>
      <c r="M320" s="58"/>
      <c r="N320" s="59"/>
      <c r="O320" s="50"/>
      <c r="P320" s="60"/>
      <c r="R320" s="53" t="s">
        <v>764</v>
      </c>
      <c r="S320" s="53" t="s">
        <v>769</v>
      </c>
      <c r="T320" s="53" t="s">
        <v>769</v>
      </c>
      <c r="U320" s="53" t="s">
        <v>741</v>
      </c>
      <c r="V320" s="53" t="s">
        <v>768</v>
      </c>
      <c r="W320" s="53" t="s">
        <v>780</v>
      </c>
      <c r="X320" s="61">
        <f>IFERROR(IF(W320="","",WORKDAY.INTL(B320,_xlfn.XLOOKUP(W320,Regras!$F$2:$F$11,Regras!$G$2:$G$11))),"")</f>
        <v>45929</v>
      </c>
      <c r="Y320" s="150" t="s">
        <v>1039</v>
      </c>
      <c r="Z320" s="53" t="s">
        <v>769</v>
      </c>
      <c r="AA320" s="53"/>
      <c r="AB320" s="156" t="s">
        <v>1039</v>
      </c>
    </row>
    <row r="321" spans="2:28" x14ac:dyDescent="0.2">
      <c r="B321" s="89">
        <v>45925</v>
      </c>
      <c r="D321" s="85" t="s">
        <v>1036</v>
      </c>
      <c r="E321" s="133" t="s">
        <v>1027</v>
      </c>
      <c r="F321" s="85" t="s">
        <v>17</v>
      </c>
      <c r="G321" s="85" t="s">
        <v>829</v>
      </c>
      <c r="H321" s="148" t="s">
        <v>933</v>
      </c>
      <c r="I321" s="142" t="s">
        <v>933</v>
      </c>
      <c r="J321" s="148" t="s">
        <v>933</v>
      </c>
      <c r="K321" s="148" t="s">
        <v>933</v>
      </c>
      <c r="L321" s="95" t="s">
        <v>888</v>
      </c>
      <c r="M321" s="58"/>
      <c r="N321" s="59"/>
      <c r="O321" s="50"/>
      <c r="P321" s="60"/>
      <c r="R321" s="53" t="s">
        <v>764</v>
      </c>
      <c r="S321" s="53" t="s">
        <v>769</v>
      </c>
      <c r="T321" s="53" t="s">
        <v>769</v>
      </c>
      <c r="U321" s="53" t="s">
        <v>741</v>
      </c>
      <c r="V321" s="53" t="s">
        <v>768</v>
      </c>
      <c r="W321" s="53" t="s">
        <v>780</v>
      </c>
      <c r="X321" s="61">
        <f>IFERROR(IF(W321="","",WORKDAY.INTL(B321,_xlfn.XLOOKUP(W321,Regras!$F$2:$F$11,Regras!$G$2:$G$11))),"")</f>
        <v>45929</v>
      </c>
      <c r="Y321" s="150" t="s">
        <v>1039</v>
      </c>
      <c r="Z321" s="53" t="s">
        <v>764</v>
      </c>
      <c r="AA321" s="53"/>
      <c r="AB321" s="156" t="s">
        <v>1039</v>
      </c>
    </row>
    <row r="322" spans="2:28" x14ac:dyDescent="0.2">
      <c r="B322" s="89">
        <v>45925</v>
      </c>
      <c r="D322" s="85" t="s">
        <v>999</v>
      </c>
      <c r="E322" s="125" t="s">
        <v>1000</v>
      </c>
      <c r="F322" s="85" t="s">
        <v>22</v>
      </c>
      <c r="G322" s="85" t="s">
        <v>829</v>
      </c>
      <c r="H322" s="148" t="s">
        <v>933</v>
      </c>
      <c r="I322" s="142" t="s">
        <v>933</v>
      </c>
      <c r="J322" s="148" t="s">
        <v>933</v>
      </c>
      <c r="K322" s="148" t="s">
        <v>933</v>
      </c>
      <c r="L322" s="95" t="s">
        <v>930</v>
      </c>
      <c r="M322" s="58"/>
      <c r="N322" s="59"/>
      <c r="O322" s="50"/>
      <c r="P322" s="60"/>
      <c r="R322" s="53" t="s">
        <v>764</v>
      </c>
      <c r="S322" s="53" t="s">
        <v>769</v>
      </c>
      <c r="T322" s="53" t="s">
        <v>769</v>
      </c>
      <c r="U322" s="53" t="s">
        <v>741</v>
      </c>
      <c r="V322" s="53" t="s">
        <v>768</v>
      </c>
      <c r="W322" s="53" t="s">
        <v>766</v>
      </c>
      <c r="X322" s="61">
        <f>IFERROR(IF(W322="","",WORKDAY.INTL(B322,_xlfn.XLOOKUP(W322,Regras!$F$2:$F$11,Regras!$G$2:$G$11))),"")</f>
        <v>45988</v>
      </c>
      <c r="Y322" s="150" t="s">
        <v>1004</v>
      </c>
      <c r="Z322" s="53" t="s">
        <v>764</v>
      </c>
      <c r="AA322" s="53"/>
      <c r="AB322" s="156" t="s">
        <v>1041</v>
      </c>
    </row>
    <row r="323" spans="2:28" x14ac:dyDescent="0.2">
      <c r="B323" s="89">
        <v>45925</v>
      </c>
      <c r="D323" s="85" t="s">
        <v>1043</v>
      </c>
      <c r="E323" s="125" t="s">
        <v>1042</v>
      </c>
      <c r="F323" s="85" t="s">
        <v>11</v>
      </c>
      <c r="G323" s="85" t="s">
        <v>829</v>
      </c>
      <c r="H323" s="148" t="s">
        <v>933</v>
      </c>
      <c r="I323" s="142" t="s">
        <v>933</v>
      </c>
      <c r="J323" s="148" t="s">
        <v>933</v>
      </c>
      <c r="K323" s="148" t="s">
        <v>933</v>
      </c>
      <c r="L323" s="86" t="s">
        <v>741</v>
      </c>
      <c r="M323" s="58"/>
      <c r="N323" s="59"/>
      <c r="O323" s="50"/>
      <c r="P323" s="60"/>
      <c r="R323" s="53" t="s">
        <v>764</v>
      </c>
      <c r="S323" s="53" t="s">
        <v>769</v>
      </c>
      <c r="T323" s="53" t="s">
        <v>769</v>
      </c>
      <c r="U323" s="53" t="s">
        <v>773</v>
      </c>
      <c r="V323" s="53" t="s">
        <v>770</v>
      </c>
      <c r="W323" s="53" t="s">
        <v>766</v>
      </c>
      <c r="X323" s="61">
        <f>IFERROR(IF(W323="","",WORKDAY.INTL(B323,_xlfn.XLOOKUP(W323,Regras!$F$2:$F$11,Regras!$G$2:$G$11))),"")</f>
        <v>45988</v>
      </c>
      <c r="Y323" s="150" t="s">
        <v>1044</v>
      </c>
      <c r="Z323" s="53" t="s">
        <v>764</v>
      </c>
      <c r="AA323" s="53"/>
      <c r="AB323" s="156" t="s">
        <v>1044</v>
      </c>
    </row>
    <row r="324" spans="2:28" x14ac:dyDescent="0.2">
      <c r="B324" s="89">
        <v>45926</v>
      </c>
      <c r="D324" s="85" t="s">
        <v>99</v>
      </c>
      <c r="E324" s="125" t="s">
        <v>100</v>
      </c>
      <c r="F324" s="85" t="s">
        <v>46</v>
      </c>
      <c r="G324" s="85" t="s">
        <v>829</v>
      </c>
      <c r="H324" s="148" t="s">
        <v>933</v>
      </c>
      <c r="I324" s="142" t="s">
        <v>933</v>
      </c>
      <c r="J324" s="148" t="s">
        <v>933</v>
      </c>
      <c r="K324" s="148" t="s">
        <v>933</v>
      </c>
      <c r="L324" s="86" t="s">
        <v>741</v>
      </c>
      <c r="M324" s="58"/>
      <c r="N324" s="59"/>
      <c r="O324" s="50"/>
      <c r="P324" s="60"/>
      <c r="R324" s="53" t="s">
        <v>764</v>
      </c>
      <c r="S324" s="53" t="s">
        <v>764</v>
      </c>
      <c r="T324" s="53" t="s">
        <v>769</v>
      </c>
      <c r="U324" s="53" t="s">
        <v>741</v>
      </c>
      <c r="V324" s="53" t="s">
        <v>770</v>
      </c>
      <c r="W324" s="53" t="s">
        <v>766</v>
      </c>
      <c r="X324" s="61">
        <f>IFERROR(IF(W324="","",WORKDAY.INTL(B324,_xlfn.XLOOKUP(W324,Regras!$F$2:$F$11,Regras!$G$2:$G$11))),"")</f>
        <v>45989</v>
      </c>
      <c r="Y324" s="150" t="s">
        <v>1003</v>
      </c>
      <c r="Z324" s="53" t="s">
        <v>764</v>
      </c>
      <c r="AA324" s="53"/>
      <c r="AB324" s="156" t="s">
        <v>1003</v>
      </c>
    </row>
    <row r="325" spans="2:28" x14ac:dyDescent="0.2">
      <c r="B325" s="89">
        <v>45930</v>
      </c>
      <c r="D325" s="85" t="s">
        <v>1093</v>
      </c>
      <c r="E325" s="133" t="s">
        <v>1094</v>
      </c>
      <c r="F325" s="85" t="s">
        <v>46</v>
      </c>
      <c r="G325" s="85" t="s">
        <v>12</v>
      </c>
      <c r="H325" s="148" t="s">
        <v>933</v>
      </c>
      <c r="I325" s="142" t="s">
        <v>933</v>
      </c>
      <c r="J325" s="148" t="s">
        <v>933</v>
      </c>
      <c r="K325" s="148" t="s">
        <v>933</v>
      </c>
      <c r="L325" s="95" t="s">
        <v>888</v>
      </c>
      <c r="M325" s="58"/>
      <c r="N325" s="59"/>
      <c r="O325" s="50"/>
      <c r="P325" s="60"/>
      <c r="R325" s="53" t="s">
        <v>764</v>
      </c>
      <c r="S325" s="53" t="s">
        <v>769</v>
      </c>
      <c r="T325" s="53" t="s">
        <v>769</v>
      </c>
      <c r="U325" s="53" t="s">
        <v>741</v>
      </c>
      <c r="V325" s="53" t="s">
        <v>768</v>
      </c>
      <c r="W325" s="53" t="s">
        <v>780</v>
      </c>
      <c r="X325" s="61">
        <f>IFERROR(IF(W325="","",WORKDAY.INTL(B325,_xlfn.XLOOKUP(W325,Regras!$F$2:$F$11,Regras!$G$2:$G$11))),"")</f>
        <v>45932</v>
      </c>
      <c r="Y325" s="150" t="s">
        <v>1095</v>
      </c>
      <c r="Z325" s="53" t="s">
        <v>764</v>
      </c>
      <c r="AA325" s="53"/>
      <c r="AB325" s="156" t="s">
        <v>1095</v>
      </c>
    </row>
    <row r="326" spans="2:28" x14ac:dyDescent="0.2">
      <c r="B326" s="89">
        <v>45930</v>
      </c>
      <c r="D326" s="85" t="s">
        <v>1096</v>
      </c>
      <c r="E326" s="133" t="s">
        <v>933</v>
      </c>
      <c r="F326" s="85" t="s">
        <v>17</v>
      </c>
      <c r="G326" s="85" t="s">
        <v>12</v>
      </c>
      <c r="H326" s="148" t="s">
        <v>933</v>
      </c>
      <c r="I326" s="142" t="s">
        <v>933</v>
      </c>
      <c r="J326" s="148" t="s">
        <v>933</v>
      </c>
      <c r="K326" s="148" t="s">
        <v>933</v>
      </c>
      <c r="L326" s="95" t="s">
        <v>888</v>
      </c>
      <c r="M326" s="58"/>
      <c r="N326" s="59"/>
      <c r="O326" s="50"/>
      <c r="P326" s="60"/>
      <c r="R326" s="53" t="s">
        <v>764</v>
      </c>
      <c r="S326" s="53" t="s">
        <v>769</v>
      </c>
      <c r="T326" s="53" t="s">
        <v>769</v>
      </c>
      <c r="U326" s="53" t="s">
        <v>773</v>
      </c>
      <c r="V326" s="53" t="s">
        <v>768</v>
      </c>
      <c r="W326" s="53" t="s">
        <v>780</v>
      </c>
      <c r="X326" s="61">
        <f>IFERROR(IF(W326="","",WORKDAY.INTL(B326,_xlfn.XLOOKUP(W326,Regras!$F$2:$F$11,Regras!$G$2:$G$11))),"")</f>
        <v>45932</v>
      </c>
      <c r="Y326" s="150" t="s">
        <v>1097</v>
      </c>
      <c r="Z326" s="53" t="s">
        <v>764</v>
      </c>
      <c r="AA326" s="53"/>
      <c r="AB326" s="156" t="s">
        <v>1098</v>
      </c>
    </row>
    <row r="327" spans="2:28" x14ac:dyDescent="0.2">
      <c r="B327" s="89">
        <v>45930</v>
      </c>
      <c r="D327" s="85" t="s">
        <v>1099</v>
      </c>
      <c r="E327" s="125" t="s">
        <v>933</v>
      </c>
      <c r="F327" s="85" t="s">
        <v>22</v>
      </c>
      <c r="G327" s="85" t="s">
        <v>12</v>
      </c>
      <c r="H327" s="148" t="s">
        <v>933</v>
      </c>
      <c r="I327" s="142" t="s">
        <v>933</v>
      </c>
      <c r="J327" s="148" t="s">
        <v>933</v>
      </c>
      <c r="K327" s="148" t="s">
        <v>933</v>
      </c>
      <c r="L327" s="88" t="s">
        <v>743</v>
      </c>
      <c r="M327" s="58"/>
      <c r="N327" s="59"/>
      <c r="O327" s="50"/>
      <c r="P327" s="60"/>
      <c r="R327" s="53" t="s">
        <v>764</v>
      </c>
      <c r="S327" s="53" t="s">
        <v>764</v>
      </c>
      <c r="T327" s="53" t="s">
        <v>764</v>
      </c>
      <c r="U327" s="53" t="s">
        <v>741</v>
      </c>
      <c r="V327" s="53" t="s">
        <v>765</v>
      </c>
      <c r="W327" s="53" t="s">
        <v>839</v>
      </c>
      <c r="X327" s="61">
        <f>IFERROR(IF(W327="","",WORKDAY.INTL(B327,_xlfn.XLOOKUP(W327,Regras!$F$2:$F$11,Regras!$G$2:$G$11))),"")</f>
        <v>45931</v>
      </c>
      <c r="Y327" s="150" t="s">
        <v>1100</v>
      </c>
      <c r="Z327" s="53" t="s">
        <v>764</v>
      </c>
      <c r="AA327" s="53"/>
      <c r="AB327" s="156" t="s">
        <v>1100</v>
      </c>
    </row>
    <row r="328" spans="2:28" x14ac:dyDescent="0.2">
      <c r="B328" s="89">
        <v>45930</v>
      </c>
      <c r="D328" s="85" t="s">
        <v>20</v>
      </c>
      <c r="E328" s="125" t="s">
        <v>21</v>
      </c>
      <c r="F328" s="85" t="s">
        <v>22</v>
      </c>
      <c r="G328" s="85" t="s">
        <v>12</v>
      </c>
      <c r="H328" s="148" t="s">
        <v>933</v>
      </c>
      <c r="I328" s="142" t="s">
        <v>933</v>
      </c>
      <c r="J328" s="148" t="s">
        <v>933</v>
      </c>
      <c r="K328" s="148" t="s">
        <v>933</v>
      </c>
      <c r="L328" s="86" t="s">
        <v>741</v>
      </c>
      <c r="M328" s="58"/>
      <c r="N328" s="59"/>
      <c r="O328" s="50"/>
      <c r="P328" s="60"/>
      <c r="R328" s="53" t="s">
        <v>764</v>
      </c>
      <c r="S328" s="53" t="s">
        <v>764</v>
      </c>
      <c r="T328" s="53" t="s">
        <v>769</v>
      </c>
      <c r="U328" s="53" t="s">
        <v>741</v>
      </c>
      <c r="V328" s="53" t="s">
        <v>813</v>
      </c>
      <c r="W328" s="53" t="s">
        <v>777</v>
      </c>
      <c r="X328" s="61" t="str">
        <f>IFERROR(IF(W328="","",WORKDAY.INTL(B328,_xlfn.XLOOKUP(W328,Regras!$F$2:$F$11,Regras!$G$2:$G$11))),"")</f>
        <v/>
      </c>
      <c r="Y328" s="150" t="s">
        <v>1101</v>
      </c>
      <c r="Z328" s="53" t="s">
        <v>764</v>
      </c>
      <c r="AA328" s="53"/>
      <c r="AB328" s="156" t="s">
        <v>1101</v>
      </c>
    </row>
    <row r="329" spans="2:28" x14ac:dyDescent="0.2">
      <c r="B329" s="89">
        <v>45930</v>
      </c>
      <c r="D329" s="85" t="s">
        <v>284</v>
      </c>
      <c r="E329" s="125" t="s">
        <v>285</v>
      </c>
      <c r="F329" s="85" t="s">
        <v>22</v>
      </c>
      <c r="G329" s="85" t="s">
        <v>12</v>
      </c>
      <c r="H329" s="148" t="s">
        <v>933</v>
      </c>
      <c r="I329" s="142" t="s">
        <v>933</v>
      </c>
      <c r="J329" s="148" t="s">
        <v>933</v>
      </c>
      <c r="K329" s="148" t="s">
        <v>933</v>
      </c>
      <c r="L329" s="86" t="s">
        <v>741</v>
      </c>
      <c r="M329" s="58"/>
      <c r="N329" s="59"/>
      <c r="O329" s="50"/>
      <c r="P329" s="60"/>
      <c r="R329" s="53" t="s">
        <v>764</v>
      </c>
      <c r="S329" s="53" t="s">
        <v>764</v>
      </c>
      <c r="T329" s="53" t="s">
        <v>769</v>
      </c>
      <c r="U329" s="53" t="s">
        <v>741</v>
      </c>
      <c r="V329" s="53" t="s">
        <v>770</v>
      </c>
      <c r="W329" s="53" t="s">
        <v>1053</v>
      </c>
      <c r="X329" s="61">
        <f>IFERROR(IF(W329="","",WORKDAY.INTL(B329,_xlfn.XLOOKUP(W329,Regras!$F$2:$F$11,Regras!$G$2:$G$11))),"")</f>
        <v>45939</v>
      </c>
      <c r="Y329" s="150" t="s">
        <v>1102</v>
      </c>
      <c r="Z329" s="53" t="s">
        <v>764</v>
      </c>
      <c r="AA329" s="53"/>
      <c r="AB329" s="156" t="s">
        <v>1102</v>
      </c>
    </row>
    <row r="330" spans="2:28" x14ac:dyDescent="0.2">
      <c r="B330" s="89">
        <v>45930</v>
      </c>
      <c r="D330" s="85" t="s">
        <v>492</v>
      </c>
      <c r="E330" s="125" t="s">
        <v>493</v>
      </c>
      <c r="F330" s="85" t="s">
        <v>17</v>
      </c>
      <c r="G330" s="85" t="s">
        <v>12</v>
      </c>
      <c r="H330" s="148" t="s">
        <v>933</v>
      </c>
      <c r="I330" s="142" t="s">
        <v>933</v>
      </c>
      <c r="J330" s="148" t="s">
        <v>933</v>
      </c>
      <c r="K330" s="148" t="s">
        <v>933</v>
      </c>
      <c r="L330" s="98" t="s">
        <v>742</v>
      </c>
      <c r="M330" s="58"/>
      <c r="N330" s="59"/>
      <c r="O330" s="50"/>
      <c r="P330" s="60"/>
      <c r="R330" s="53" t="s">
        <v>764</v>
      </c>
      <c r="S330" s="53" t="s">
        <v>769</v>
      </c>
      <c r="T330" s="53" t="s">
        <v>769</v>
      </c>
      <c r="U330" s="53" t="s">
        <v>741</v>
      </c>
      <c r="V330" s="53" t="s">
        <v>926</v>
      </c>
      <c r="W330" s="53" t="s">
        <v>1053</v>
      </c>
      <c r="X330" s="61">
        <f>IFERROR(IF(W330="","",WORKDAY.INTL(B330,_xlfn.XLOOKUP(W330,Regras!$F$2:$F$11,Regras!$G$2:$G$11))),"")</f>
        <v>45939</v>
      </c>
      <c r="Y330" s="150" t="s">
        <v>1103</v>
      </c>
      <c r="Z330" s="53" t="s">
        <v>764</v>
      </c>
      <c r="AA330" s="53"/>
      <c r="AB330" s="156" t="s">
        <v>1103</v>
      </c>
    </row>
    <row r="331" spans="2:28" x14ac:dyDescent="0.2">
      <c r="B331" s="89">
        <v>45930</v>
      </c>
      <c r="D331" s="85" t="s">
        <v>331</v>
      </c>
      <c r="E331" s="125" t="s">
        <v>332</v>
      </c>
      <c r="F331" s="85" t="s">
        <v>17</v>
      </c>
      <c r="G331" s="85" t="s">
        <v>12</v>
      </c>
      <c r="H331" s="148" t="s">
        <v>933</v>
      </c>
      <c r="I331" s="142" t="s">
        <v>933</v>
      </c>
      <c r="J331" s="148" t="s">
        <v>933</v>
      </c>
      <c r="K331" s="148" t="s">
        <v>933</v>
      </c>
      <c r="L331" s="86" t="s">
        <v>741</v>
      </c>
      <c r="M331" s="104"/>
      <c r="N331" s="59"/>
      <c r="O331" s="50"/>
      <c r="P331" s="60"/>
      <c r="R331" s="53" t="s">
        <v>764</v>
      </c>
      <c r="S331" s="53" t="s">
        <v>769</v>
      </c>
      <c r="T331" s="53" t="s">
        <v>769</v>
      </c>
      <c r="U331" s="53" t="s">
        <v>741</v>
      </c>
      <c r="V331" s="53" t="s">
        <v>770</v>
      </c>
      <c r="W331" s="53" t="s">
        <v>1054</v>
      </c>
      <c r="X331" s="61">
        <f>IFERROR(IF(W331="","",WORKDAY.INTL(B331,_xlfn.XLOOKUP(W331,Regras!$F$2:$F$11,Regras!$G$2:$G$11))),"")</f>
        <v>45951</v>
      </c>
      <c r="Y331" s="150" t="s">
        <v>1104</v>
      </c>
      <c r="Z331" s="53" t="s">
        <v>764</v>
      </c>
      <c r="AA331" s="53"/>
      <c r="AB331" s="155" t="s">
        <v>1105</v>
      </c>
    </row>
    <row r="332" spans="2:28" x14ac:dyDescent="0.2">
      <c r="B332" s="89">
        <v>45930</v>
      </c>
      <c r="D332" s="85" t="s">
        <v>1106</v>
      </c>
      <c r="E332" s="133" t="s">
        <v>933</v>
      </c>
      <c r="F332" s="85" t="s">
        <v>17</v>
      </c>
      <c r="G332" s="85" t="s">
        <v>12</v>
      </c>
      <c r="H332" s="148" t="s">
        <v>933</v>
      </c>
      <c r="I332" s="142" t="s">
        <v>933</v>
      </c>
      <c r="J332" s="148" t="s">
        <v>933</v>
      </c>
      <c r="K332" s="148" t="s">
        <v>933</v>
      </c>
      <c r="L332" s="95" t="s">
        <v>888</v>
      </c>
      <c r="M332" s="58"/>
      <c r="N332" s="59"/>
      <c r="O332" s="50"/>
      <c r="P332" s="60"/>
      <c r="R332" s="53" t="s">
        <v>764</v>
      </c>
      <c r="S332" s="53" t="s">
        <v>769</v>
      </c>
      <c r="T332" s="53" t="s">
        <v>769</v>
      </c>
      <c r="U332" s="53" t="s">
        <v>773</v>
      </c>
      <c r="V332" s="53" t="s">
        <v>768</v>
      </c>
      <c r="W332" s="53" t="s">
        <v>780</v>
      </c>
      <c r="X332" s="61">
        <f>IFERROR(IF(W332="","",WORKDAY.INTL(B332,_xlfn.XLOOKUP(W332,Regras!$F$2:$F$11,Regras!$G$2:$G$11))),"")</f>
        <v>45932</v>
      </c>
      <c r="Y332" s="150" t="s">
        <v>1107</v>
      </c>
      <c r="Z332" s="53" t="s">
        <v>764</v>
      </c>
      <c r="AA332" s="53"/>
      <c r="AB332" s="156" t="s">
        <v>1107</v>
      </c>
    </row>
    <row r="333" spans="2:28" x14ac:dyDescent="0.2">
      <c r="B333" s="89">
        <v>45930</v>
      </c>
      <c r="D333" s="85" t="s">
        <v>228</v>
      </c>
      <c r="E333" s="125" t="s">
        <v>477</v>
      </c>
      <c r="F333" s="85" t="s">
        <v>36</v>
      </c>
      <c r="G333" s="85" t="s">
        <v>12</v>
      </c>
      <c r="H333" s="148" t="s">
        <v>933</v>
      </c>
      <c r="I333" s="142" t="s">
        <v>933</v>
      </c>
      <c r="J333" s="148" t="s">
        <v>933</v>
      </c>
      <c r="K333" s="148" t="s">
        <v>933</v>
      </c>
      <c r="L333" s="98" t="s">
        <v>742</v>
      </c>
      <c r="M333" s="58"/>
      <c r="N333" s="59"/>
      <c r="O333" s="50"/>
      <c r="P333" s="60"/>
      <c r="R333" s="53" t="s">
        <v>764</v>
      </c>
      <c r="S333" s="53" t="s">
        <v>769</v>
      </c>
      <c r="T333" s="53" t="s">
        <v>769</v>
      </c>
      <c r="U333" s="53" t="s">
        <v>741</v>
      </c>
      <c r="V333" s="53" t="s">
        <v>770</v>
      </c>
      <c r="W333" s="53" t="s">
        <v>766</v>
      </c>
      <c r="X333" s="61">
        <f>IFERROR(IF(W333="","",WORKDAY.INTL(B333,_xlfn.XLOOKUP(W333,Regras!$F$2:$F$11,Regras!$G$2:$G$11))),"")</f>
        <v>45993</v>
      </c>
      <c r="Y333" s="150" t="s">
        <v>936</v>
      </c>
      <c r="Z333" s="53" t="s">
        <v>764</v>
      </c>
      <c r="AA333" s="53"/>
      <c r="AB333" s="156" t="s">
        <v>936</v>
      </c>
    </row>
    <row r="334" spans="2:28" x14ac:dyDescent="0.2">
      <c r="B334" s="89">
        <v>45930</v>
      </c>
      <c r="D334" s="85" t="s">
        <v>1108</v>
      </c>
      <c r="E334" s="133" t="s">
        <v>933</v>
      </c>
      <c r="F334" s="85" t="s">
        <v>17</v>
      </c>
      <c r="G334" s="85" t="s">
        <v>12</v>
      </c>
      <c r="H334" s="148" t="s">
        <v>933</v>
      </c>
      <c r="I334" s="142" t="s">
        <v>933</v>
      </c>
      <c r="J334" s="148" t="s">
        <v>933</v>
      </c>
      <c r="K334" s="148" t="s">
        <v>933</v>
      </c>
      <c r="L334" s="95" t="s">
        <v>888</v>
      </c>
      <c r="M334" s="58"/>
      <c r="N334" s="59"/>
      <c r="O334" s="50"/>
      <c r="P334" s="60"/>
      <c r="R334" s="53" t="s">
        <v>764</v>
      </c>
      <c r="S334" s="53" t="s">
        <v>769</v>
      </c>
      <c r="T334" s="53" t="s">
        <v>769</v>
      </c>
      <c r="U334" s="53" t="s">
        <v>773</v>
      </c>
      <c r="V334" s="53" t="s">
        <v>768</v>
      </c>
      <c r="W334" s="53" t="s">
        <v>780</v>
      </c>
      <c r="X334" s="61">
        <f>IFERROR(IF(W334="","",WORKDAY.INTL(B334,_xlfn.XLOOKUP(W334,Regras!$F$2:$F$11,Regras!$G$2:$G$11))),"")</f>
        <v>45932</v>
      </c>
      <c r="Y334" s="150" t="s">
        <v>1107</v>
      </c>
      <c r="Z334" s="53" t="s">
        <v>764</v>
      </c>
      <c r="AA334" s="53"/>
      <c r="AB334" s="155" t="s">
        <v>1109</v>
      </c>
    </row>
    <row r="335" spans="2:28" x14ac:dyDescent="0.2">
      <c r="B335" s="89">
        <v>45930</v>
      </c>
      <c r="D335" s="85" t="s">
        <v>1110</v>
      </c>
      <c r="E335" s="125" t="s">
        <v>933</v>
      </c>
      <c r="F335" s="85"/>
      <c r="G335" s="85" t="s">
        <v>12</v>
      </c>
      <c r="H335" s="148" t="s">
        <v>933</v>
      </c>
      <c r="I335" s="142" t="s">
        <v>933</v>
      </c>
      <c r="J335" s="148" t="s">
        <v>933</v>
      </c>
      <c r="K335" s="148" t="s">
        <v>933</v>
      </c>
      <c r="L335" s="88" t="s">
        <v>743</v>
      </c>
      <c r="M335" s="58"/>
      <c r="N335" s="59"/>
      <c r="O335" s="50"/>
      <c r="P335" s="60"/>
      <c r="R335" s="53" t="s">
        <v>764</v>
      </c>
      <c r="S335" s="53" t="s">
        <v>764</v>
      </c>
      <c r="T335" s="53" t="s">
        <v>769</v>
      </c>
      <c r="U335" s="53" t="s">
        <v>741</v>
      </c>
      <c r="V335" s="53" t="s">
        <v>765</v>
      </c>
      <c r="W335" s="53" t="s">
        <v>839</v>
      </c>
      <c r="X335" s="61">
        <f>IFERROR(IF(W335="","",WORKDAY.INTL(B335,_xlfn.XLOOKUP(W335,Regras!$F$2:$F$11,Regras!$G$2:$G$11))),"")</f>
        <v>45931</v>
      </c>
      <c r="Y335" s="150" t="s">
        <v>1111</v>
      </c>
      <c r="Z335" s="53" t="s">
        <v>764</v>
      </c>
      <c r="AA335" s="53"/>
    </row>
    <row r="336" spans="2:28" x14ac:dyDescent="0.2">
      <c r="B336" s="89">
        <v>45930</v>
      </c>
      <c r="D336" s="85" t="s">
        <v>1081</v>
      </c>
      <c r="E336" s="133" t="s">
        <v>1080</v>
      </c>
      <c r="F336" s="85" t="s">
        <v>22</v>
      </c>
      <c r="G336" s="85" t="s">
        <v>12</v>
      </c>
      <c r="H336" s="148" t="s">
        <v>933</v>
      </c>
      <c r="I336" s="142" t="s">
        <v>933</v>
      </c>
      <c r="J336" s="148" t="s">
        <v>933</v>
      </c>
      <c r="K336" s="148" t="s">
        <v>933</v>
      </c>
      <c r="L336" s="95" t="s">
        <v>888</v>
      </c>
      <c r="M336" s="58"/>
      <c r="N336" s="59"/>
      <c r="O336" s="50"/>
      <c r="P336" s="60"/>
      <c r="R336" s="53" t="s">
        <v>764</v>
      </c>
      <c r="S336" s="53" t="s">
        <v>764</v>
      </c>
      <c r="T336" s="53" t="s">
        <v>764</v>
      </c>
      <c r="U336" s="53" t="s">
        <v>741</v>
      </c>
      <c r="V336" s="53" t="s">
        <v>768</v>
      </c>
      <c r="W336" s="53" t="s">
        <v>780</v>
      </c>
      <c r="X336" s="61">
        <f>IFERROR(IF(W336="","",WORKDAY.INTL(B336,_xlfn.XLOOKUP(W336,Regras!$F$2:$F$11,Regras!$G$2:$G$11))),"")</f>
        <v>45932</v>
      </c>
      <c r="Y336" s="150" t="s">
        <v>1112</v>
      </c>
      <c r="Z336" s="53" t="s">
        <v>764</v>
      </c>
      <c r="AA336" s="53"/>
      <c r="AB336" s="156" t="s">
        <v>1112</v>
      </c>
    </row>
    <row r="337" spans="2:28" x14ac:dyDescent="0.2">
      <c r="B337" s="89">
        <v>45932</v>
      </c>
      <c r="D337" s="85" t="s">
        <v>1118</v>
      </c>
      <c r="E337" s="133" t="s">
        <v>1119</v>
      </c>
      <c r="F337" s="85" t="s">
        <v>46</v>
      </c>
      <c r="G337" s="85" t="s">
        <v>12</v>
      </c>
      <c r="H337" s="148" t="s">
        <v>933</v>
      </c>
      <c r="I337" s="142" t="s">
        <v>933</v>
      </c>
      <c r="J337" s="148" t="s">
        <v>933</v>
      </c>
      <c r="K337" s="148" t="s">
        <v>933</v>
      </c>
      <c r="L337" s="95" t="s">
        <v>888</v>
      </c>
      <c r="M337" s="58"/>
      <c r="N337" s="59"/>
      <c r="O337" s="50"/>
      <c r="P337" s="60"/>
      <c r="R337" s="53" t="s">
        <v>764</v>
      </c>
      <c r="S337" s="53" t="s">
        <v>764</v>
      </c>
      <c r="T337" s="53" t="s">
        <v>764</v>
      </c>
      <c r="U337" s="53" t="s">
        <v>773</v>
      </c>
      <c r="V337" s="53" t="s">
        <v>768</v>
      </c>
      <c r="W337" s="53" t="s">
        <v>780</v>
      </c>
      <c r="X337" s="61">
        <f>IFERROR(IF(W337="","",WORKDAY.INTL(B337,_xlfn.XLOOKUP(W337,Regras!$F$2:$F$11,Regras!$G$2:$G$11))),"")</f>
        <v>45936</v>
      </c>
      <c r="Y337" s="150" t="s">
        <v>1120</v>
      </c>
      <c r="Z337" s="53" t="s">
        <v>764</v>
      </c>
      <c r="AA337" s="53"/>
      <c r="AB337" s="156" t="s">
        <v>1120</v>
      </c>
    </row>
    <row r="338" spans="2:28" x14ac:dyDescent="0.2">
      <c r="B338" s="89">
        <v>45932</v>
      </c>
      <c r="D338" s="85" t="s">
        <v>942</v>
      </c>
      <c r="E338" s="125" t="s">
        <v>1005</v>
      </c>
      <c r="F338" s="85" t="s">
        <v>31</v>
      </c>
      <c r="G338" s="85" t="s">
        <v>829</v>
      </c>
      <c r="H338" s="148" t="s">
        <v>933</v>
      </c>
      <c r="I338" s="142" t="s">
        <v>933</v>
      </c>
      <c r="J338" s="148" t="s">
        <v>933</v>
      </c>
      <c r="K338" s="148" t="s">
        <v>933</v>
      </c>
      <c r="L338" s="95" t="s">
        <v>930</v>
      </c>
      <c r="M338" s="58"/>
      <c r="N338" s="59"/>
      <c r="O338" s="50"/>
      <c r="P338" s="60"/>
      <c r="R338" s="53" t="s">
        <v>764</v>
      </c>
      <c r="S338" s="53" t="s">
        <v>769</v>
      </c>
      <c r="T338" s="53" t="s">
        <v>769</v>
      </c>
      <c r="U338" s="53" t="s">
        <v>773</v>
      </c>
      <c r="V338" s="53" t="s">
        <v>813</v>
      </c>
      <c r="W338" s="53" t="s">
        <v>777</v>
      </c>
      <c r="X338" s="61" t="str">
        <f>IFERROR(IF(W338="","",WORKDAY.INTL(B338,_xlfn.XLOOKUP(W338,Regras!$F$2:$F$11,Regras!$G$2:$G$11))),"")</f>
        <v/>
      </c>
      <c r="Y338" s="150" t="s">
        <v>1121</v>
      </c>
      <c r="Z338" s="53" t="s">
        <v>764</v>
      </c>
      <c r="AA338" s="53"/>
      <c r="AB338" s="156" t="s">
        <v>1122</v>
      </c>
    </row>
    <row r="339" spans="2:28" x14ac:dyDescent="0.2">
      <c r="B339" s="89">
        <v>45932</v>
      </c>
      <c r="D339" s="85" t="s">
        <v>604</v>
      </c>
      <c r="E339" s="125" t="s">
        <v>605</v>
      </c>
      <c r="F339" s="85" t="s">
        <v>22</v>
      </c>
      <c r="G339" s="85" t="s">
        <v>829</v>
      </c>
      <c r="H339" s="148" t="s">
        <v>933</v>
      </c>
      <c r="I339" s="142" t="s">
        <v>933</v>
      </c>
      <c r="J339" s="148" t="s">
        <v>933</v>
      </c>
      <c r="K339" s="148" t="s">
        <v>933</v>
      </c>
      <c r="L339" s="86" t="s">
        <v>741</v>
      </c>
      <c r="M339" s="58"/>
      <c r="N339" s="59"/>
      <c r="O339" s="50"/>
      <c r="P339" s="60"/>
      <c r="R339" s="53" t="s">
        <v>764</v>
      </c>
      <c r="S339" s="53" t="s">
        <v>769</v>
      </c>
      <c r="T339" s="53" t="s">
        <v>769</v>
      </c>
      <c r="U339" s="53" t="s">
        <v>773</v>
      </c>
      <c r="V339" s="53" t="s">
        <v>813</v>
      </c>
      <c r="W339" s="53" t="s">
        <v>777</v>
      </c>
      <c r="X339" s="61" t="str">
        <f>IFERROR(IF(W339="","",WORKDAY.INTL(B339,_xlfn.XLOOKUP(W339,Regras!$F$2:$F$11,Regras!$G$2:$G$11))),"")</f>
        <v/>
      </c>
      <c r="Y339" s="150" t="s">
        <v>1123</v>
      </c>
      <c r="Z339" s="53" t="s">
        <v>764</v>
      </c>
      <c r="AA339" s="53"/>
      <c r="AB339" s="156" t="s">
        <v>1123</v>
      </c>
    </row>
    <row r="340" spans="2:28" x14ac:dyDescent="0.2">
      <c r="B340" s="89">
        <v>45932</v>
      </c>
      <c r="D340" s="85" t="s">
        <v>1106</v>
      </c>
      <c r="E340" s="133" t="s">
        <v>933</v>
      </c>
      <c r="F340" s="85" t="s">
        <v>17</v>
      </c>
      <c r="G340" s="85" t="s">
        <v>12</v>
      </c>
      <c r="H340" s="148" t="s">
        <v>933</v>
      </c>
      <c r="I340" s="142" t="s">
        <v>933</v>
      </c>
      <c r="J340" s="148" t="s">
        <v>933</v>
      </c>
      <c r="K340" s="148" t="s">
        <v>933</v>
      </c>
      <c r="L340" s="101" t="s">
        <v>888</v>
      </c>
      <c r="M340" s="58"/>
      <c r="N340" s="59"/>
      <c r="O340" s="50"/>
      <c r="P340" s="60"/>
      <c r="R340" s="53" t="s">
        <v>764</v>
      </c>
      <c r="S340" s="53" t="s">
        <v>764</v>
      </c>
      <c r="T340" s="53" t="s">
        <v>764</v>
      </c>
      <c r="U340" s="53" t="s">
        <v>741</v>
      </c>
      <c r="V340" s="53" t="s">
        <v>768</v>
      </c>
      <c r="W340" s="53" t="s">
        <v>796</v>
      </c>
      <c r="X340" s="61" t="str">
        <f>IFERROR(IF(W340="","",WORKDAY.INTL(B340,_xlfn.XLOOKUP(W340,Regras!$F$2:$F$11,Regras!$G$2:$G$11))),"")</f>
        <v/>
      </c>
      <c r="Y340" s="150" t="s">
        <v>1124</v>
      </c>
      <c r="Z340" s="53" t="s">
        <v>764</v>
      </c>
      <c r="AA340" s="53"/>
      <c r="AB340" s="156" t="s">
        <v>1125</v>
      </c>
    </row>
    <row r="341" spans="2:28" x14ac:dyDescent="0.2">
      <c r="B341" s="89">
        <v>45932</v>
      </c>
      <c r="D341" s="85" t="s">
        <v>1127</v>
      </c>
      <c r="E341" s="133" t="s">
        <v>1126</v>
      </c>
      <c r="F341" s="85" t="s">
        <v>17</v>
      </c>
      <c r="G341" s="85" t="s">
        <v>12</v>
      </c>
      <c r="H341" s="148" t="s">
        <v>933</v>
      </c>
      <c r="I341" s="142" t="s">
        <v>933</v>
      </c>
      <c r="J341" s="148" t="s">
        <v>933</v>
      </c>
      <c r="K341" s="148" t="s">
        <v>933</v>
      </c>
      <c r="L341" s="101" t="s">
        <v>888</v>
      </c>
      <c r="M341" s="58"/>
      <c r="N341" s="59"/>
      <c r="O341" s="50"/>
      <c r="P341" s="60"/>
      <c r="R341" s="53" t="s">
        <v>764</v>
      </c>
      <c r="S341" s="53" t="s">
        <v>764</v>
      </c>
      <c r="T341" s="53" t="s">
        <v>769</v>
      </c>
      <c r="U341" s="53" t="s">
        <v>741</v>
      </c>
      <c r="V341" s="53" t="s">
        <v>768</v>
      </c>
      <c r="W341" s="53" t="s">
        <v>839</v>
      </c>
      <c r="X341" s="61">
        <f>IFERROR(IF(W341="","",WORKDAY.INTL(B341,_xlfn.XLOOKUP(W341,Regras!$F$2:$F$11,Regras!$G$2:$G$11))),"")</f>
        <v>45933</v>
      </c>
      <c r="Y341" s="150" t="s">
        <v>1128</v>
      </c>
      <c r="Z341" s="53" t="s">
        <v>764</v>
      </c>
      <c r="AA341" s="53"/>
      <c r="AB341" s="156" t="s">
        <v>1128</v>
      </c>
    </row>
    <row r="342" spans="2:28" x14ac:dyDescent="0.2">
      <c r="B342" s="89">
        <v>45932</v>
      </c>
      <c r="D342" s="85" t="s">
        <v>1129</v>
      </c>
      <c r="E342" s="133" t="s">
        <v>1130</v>
      </c>
      <c r="F342" s="85" t="s">
        <v>22</v>
      </c>
      <c r="G342" s="85" t="s">
        <v>12</v>
      </c>
      <c r="H342" s="148" t="s">
        <v>933</v>
      </c>
      <c r="I342" s="142" t="s">
        <v>933</v>
      </c>
      <c r="J342" s="148" t="s">
        <v>933</v>
      </c>
      <c r="K342" s="148" t="s">
        <v>933</v>
      </c>
      <c r="L342" s="101" t="s">
        <v>888</v>
      </c>
      <c r="M342" s="58"/>
      <c r="N342" s="59"/>
      <c r="O342" s="50"/>
      <c r="P342" s="60"/>
      <c r="R342" s="53" t="s">
        <v>764</v>
      </c>
      <c r="S342" s="53" t="s">
        <v>764</v>
      </c>
      <c r="T342" s="53" t="s">
        <v>764</v>
      </c>
      <c r="U342" s="53" t="s">
        <v>773</v>
      </c>
      <c r="V342" s="53" t="s">
        <v>768</v>
      </c>
      <c r="W342" s="53" t="s">
        <v>780</v>
      </c>
      <c r="X342" s="61">
        <f>IFERROR(IF(W342="","",WORKDAY.INTL(B342,_xlfn.XLOOKUP(W342,Regras!$F$2:$F$11,Regras!$G$2:$G$11))),"")</f>
        <v>45936</v>
      </c>
      <c r="Y342" s="150" t="s">
        <v>1131</v>
      </c>
      <c r="Z342" s="53" t="s">
        <v>764</v>
      </c>
      <c r="AA342" s="53"/>
      <c r="AB342" s="156" t="s">
        <v>1132</v>
      </c>
    </row>
    <row r="343" spans="2:28" x14ac:dyDescent="0.2">
      <c r="B343" s="89">
        <v>45937</v>
      </c>
      <c r="D343" s="85" t="s">
        <v>1227</v>
      </c>
      <c r="E343" s="133" t="s">
        <v>1239</v>
      </c>
      <c r="F343" s="85" t="s">
        <v>17</v>
      </c>
      <c r="G343" s="85" t="s">
        <v>12</v>
      </c>
      <c r="H343" s="148" t="s">
        <v>933</v>
      </c>
      <c r="I343" s="142" t="s">
        <v>933</v>
      </c>
      <c r="J343" s="148" t="s">
        <v>933</v>
      </c>
      <c r="K343" s="148" t="s">
        <v>933</v>
      </c>
      <c r="L343" s="101" t="s">
        <v>888</v>
      </c>
      <c r="M343" s="58"/>
      <c r="N343" s="59"/>
      <c r="O343" s="50"/>
      <c r="P343" s="60"/>
      <c r="R343" s="53" t="s">
        <v>764</v>
      </c>
      <c r="S343" s="53" t="s">
        <v>769</v>
      </c>
      <c r="T343" s="53" t="s">
        <v>769</v>
      </c>
      <c r="U343" s="53" t="s">
        <v>741</v>
      </c>
      <c r="V343" s="53" t="s">
        <v>768</v>
      </c>
      <c r="W343" s="53" t="s">
        <v>780</v>
      </c>
      <c r="X343" s="61">
        <f>IFERROR(IF(W343="","",WORKDAY.INTL(B343,_xlfn.XLOOKUP(W343,Regras!$F$2:$F$11,Regras!$G$2:$G$11))),"")</f>
        <v>45939</v>
      </c>
      <c r="Y343" s="150" t="s">
        <v>1238</v>
      </c>
      <c r="Z343" s="53" t="s">
        <v>764</v>
      </c>
      <c r="AA343" s="53"/>
      <c r="AB343" s="156" t="s">
        <v>1238</v>
      </c>
    </row>
    <row r="344" spans="2:28" x14ac:dyDescent="0.2">
      <c r="B344" s="89">
        <v>45937</v>
      </c>
      <c r="D344" s="85" t="s">
        <v>1228</v>
      </c>
      <c r="E344" s="133" t="s">
        <v>1240</v>
      </c>
      <c r="F344" s="85" t="s">
        <v>46</v>
      </c>
      <c r="G344" s="85" t="s">
        <v>12</v>
      </c>
      <c r="H344" s="148" t="s">
        <v>933</v>
      </c>
      <c r="I344" s="142" t="s">
        <v>933</v>
      </c>
      <c r="J344" s="148" t="s">
        <v>933</v>
      </c>
      <c r="K344" s="148" t="s">
        <v>933</v>
      </c>
      <c r="L344" s="101" t="s">
        <v>888</v>
      </c>
      <c r="M344" s="58"/>
      <c r="N344" s="59"/>
      <c r="O344" s="50"/>
      <c r="P344" s="60"/>
      <c r="R344" s="53" t="s">
        <v>764</v>
      </c>
      <c r="S344" s="53" t="s">
        <v>769</v>
      </c>
      <c r="T344" s="53" t="s">
        <v>769</v>
      </c>
      <c r="U344" s="53" t="s">
        <v>741</v>
      </c>
      <c r="V344" s="53" t="s">
        <v>768</v>
      </c>
      <c r="W344" s="53" t="s">
        <v>780</v>
      </c>
      <c r="X344" s="61">
        <f>IFERROR(IF(W344="","",WORKDAY.INTL(B344,_xlfn.XLOOKUP(W344,Regras!$F$2:$F$11,Regras!$G$2:$G$11))),"")</f>
        <v>45939</v>
      </c>
      <c r="Y344" s="150" t="s">
        <v>1238</v>
      </c>
      <c r="Z344" s="53" t="s">
        <v>764</v>
      </c>
      <c r="AA344" s="53"/>
      <c r="AB344" s="156" t="s">
        <v>1238</v>
      </c>
    </row>
    <row r="345" spans="2:28" x14ac:dyDescent="0.2">
      <c r="B345" s="89">
        <v>45937</v>
      </c>
      <c r="D345" s="85" t="s">
        <v>1229</v>
      </c>
      <c r="E345" s="133" t="s">
        <v>1241</v>
      </c>
      <c r="F345" s="85" t="s">
        <v>46</v>
      </c>
      <c r="G345" s="85" t="s">
        <v>12</v>
      </c>
      <c r="H345" s="148" t="s">
        <v>933</v>
      </c>
      <c r="I345" s="142" t="s">
        <v>933</v>
      </c>
      <c r="J345" s="148" t="s">
        <v>933</v>
      </c>
      <c r="K345" s="148" t="s">
        <v>933</v>
      </c>
      <c r="L345" s="101" t="s">
        <v>888</v>
      </c>
      <c r="M345" s="58"/>
      <c r="N345" s="59"/>
      <c r="O345" s="50"/>
      <c r="P345" s="60"/>
      <c r="R345" s="53" t="s">
        <v>764</v>
      </c>
      <c r="S345" s="53" t="s">
        <v>769</v>
      </c>
      <c r="T345" s="53" t="s">
        <v>769</v>
      </c>
      <c r="U345" s="53" t="s">
        <v>741</v>
      </c>
      <c r="V345" s="53" t="s">
        <v>768</v>
      </c>
      <c r="W345" s="53" t="s">
        <v>780</v>
      </c>
      <c r="X345" s="61">
        <f>IFERROR(IF(W345="","",WORKDAY.INTL(B345,_xlfn.XLOOKUP(W345,Regras!$F$2:$F$11,Regras!$G$2:$G$11))),"")</f>
        <v>45939</v>
      </c>
      <c r="Y345" s="150" t="s">
        <v>1238</v>
      </c>
      <c r="Z345" s="53" t="s">
        <v>764</v>
      </c>
      <c r="AA345" s="53"/>
      <c r="AB345" s="156" t="s">
        <v>1238</v>
      </c>
    </row>
    <row r="346" spans="2:28" x14ac:dyDescent="0.2">
      <c r="B346" s="89">
        <v>45937</v>
      </c>
      <c r="D346" s="85" t="s">
        <v>1230</v>
      </c>
      <c r="E346" s="133" t="s">
        <v>1242</v>
      </c>
      <c r="F346" s="85" t="s">
        <v>22</v>
      </c>
      <c r="G346" s="85" t="s">
        <v>12</v>
      </c>
      <c r="H346" s="148" t="s">
        <v>933</v>
      </c>
      <c r="I346" s="142" t="s">
        <v>933</v>
      </c>
      <c r="J346" s="148" t="s">
        <v>933</v>
      </c>
      <c r="K346" s="148" t="s">
        <v>933</v>
      </c>
      <c r="L346" s="101" t="s">
        <v>888</v>
      </c>
      <c r="M346" s="58"/>
      <c r="N346" s="59"/>
      <c r="O346" s="50"/>
      <c r="P346" s="60"/>
      <c r="R346" s="53" t="s">
        <v>764</v>
      </c>
      <c r="S346" s="53" t="s">
        <v>764</v>
      </c>
      <c r="T346" s="53" t="s">
        <v>764</v>
      </c>
      <c r="U346" s="53" t="s">
        <v>741</v>
      </c>
      <c r="V346" s="53" t="s">
        <v>768</v>
      </c>
      <c r="W346" s="53" t="s">
        <v>796</v>
      </c>
      <c r="X346" s="61" t="str">
        <f>IFERROR(IF(W346="","",WORKDAY.INTL(B346,_xlfn.XLOOKUP(W346,Regras!$F$2:$F$11,Regras!$G$2:$G$11))),"")</f>
        <v/>
      </c>
      <c r="Y346" s="150" t="s">
        <v>1237</v>
      </c>
      <c r="Z346" s="53" t="s">
        <v>764</v>
      </c>
      <c r="AA346" s="53"/>
      <c r="AB346" s="156" t="s">
        <v>1237</v>
      </c>
    </row>
    <row r="347" spans="2:28" x14ac:dyDescent="0.2">
      <c r="B347" s="89">
        <v>45937</v>
      </c>
      <c r="D347" s="85" t="s">
        <v>1231</v>
      </c>
      <c r="E347" s="133" t="s">
        <v>1243</v>
      </c>
      <c r="F347" s="85" t="s">
        <v>22</v>
      </c>
      <c r="G347" s="85" t="s">
        <v>12</v>
      </c>
      <c r="H347" s="148" t="s">
        <v>933</v>
      </c>
      <c r="I347" s="142" t="s">
        <v>933</v>
      </c>
      <c r="J347" s="148" t="s">
        <v>933</v>
      </c>
      <c r="K347" s="148" t="s">
        <v>933</v>
      </c>
      <c r="L347" s="101" t="s">
        <v>888</v>
      </c>
      <c r="M347" s="58"/>
      <c r="N347" s="59"/>
      <c r="O347" s="50"/>
      <c r="P347" s="60"/>
      <c r="R347" s="53" t="s">
        <v>764</v>
      </c>
      <c r="S347" s="53" t="s">
        <v>769</v>
      </c>
      <c r="T347" s="53" t="s">
        <v>769</v>
      </c>
      <c r="U347" s="53" t="s">
        <v>741</v>
      </c>
      <c r="V347" s="53" t="s">
        <v>768</v>
      </c>
      <c r="W347" s="53" t="s">
        <v>780</v>
      </c>
      <c r="X347" s="61">
        <f>IFERROR(IF(W347="","",WORKDAY.INTL(B347,_xlfn.XLOOKUP(W347,Regras!$F$2:$F$11,Regras!$G$2:$G$11))),"")</f>
        <v>45939</v>
      </c>
      <c r="Y347" s="150" t="s">
        <v>1238</v>
      </c>
      <c r="Z347" s="53" t="s">
        <v>764</v>
      </c>
      <c r="AA347" s="53"/>
      <c r="AB347" s="156" t="s">
        <v>1238</v>
      </c>
    </row>
    <row r="348" spans="2:28" x14ac:dyDescent="0.2">
      <c r="B348" s="89">
        <v>45937</v>
      </c>
      <c r="D348" s="85" t="s">
        <v>1232</v>
      </c>
      <c r="E348" s="133" t="s">
        <v>1244</v>
      </c>
      <c r="F348" s="85" t="s">
        <v>22</v>
      </c>
      <c r="G348" s="85" t="s">
        <v>12</v>
      </c>
      <c r="H348" s="148" t="s">
        <v>933</v>
      </c>
      <c r="I348" s="142" t="s">
        <v>933</v>
      </c>
      <c r="J348" s="148" t="s">
        <v>933</v>
      </c>
      <c r="K348" s="148" t="s">
        <v>933</v>
      </c>
      <c r="L348" s="101" t="s">
        <v>888</v>
      </c>
      <c r="M348" s="58"/>
      <c r="N348" s="59"/>
      <c r="O348" s="50"/>
      <c r="P348" s="60"/>
      <c r="R348" s="53" t="s">
        <v>764</v>
      </c>
      <c r="S348" s="53" t="s">
        <v>769</v>
      </c>
      <c r="T348" s="53" t="s">
        <v>769</v>
      </c>
      <c r="U348" s="53" t="s">
        <v>741</v>
      </c>
      <c r="V348" s="53" t="s">
        <v>768</v>
      </c>
      <c r="W348" s="53" t="s">
        <v>780</v>
      </c>
      <c r="X348" s="61">
        <f>IFERROR(IF(W348="","",WORKDAY.INTL(B348,_xlfn.XLOOKUP(W348,Regras!$F$2:$F$11,Regras!$G$2:$G$11))),"")</f>
        <v>45939</v>
      </c>
      <c r="Y348" s="150" t="s">
        <v>1238</v>
      </c>
      <c r="Z348" s="53" t="s">
        <v>764</v>
      </c>
      <c r="AA348" s="53"/>
      <c r="AB348" s="156" t="s">
        <v>1238</v>
      </c>
    </row>
    <row r="349" spans="2:28" x14ac:dyDescent="0.2">
      <c r="B349" s="89">
        <v>45937</v>
      </c>
      <c r="D349" s="85" t="s">
        <v>1233</v>
      </c>
      <c r="E349" s="133" t="s">
        <v>1245</v>
      </c>
      <c r="F349" s="85" t="s">
        <v>22</v>
      </c>
      <c r="G349" s="85" t="s">
        <v>12</v>
      </c>
      <c r="H349" s="148" t="s">
        <v>933</v>
      </c>
      <c r="I349" s="142" t="s">
        <v>933</v>
      </c>
      <c r="J349" s="148" t="s">
        <v>933</v>
      </c>
      <c r="K349" s="148" t="s">
        <v>933</v>
      </c>
      <c r="L349" s="101" t="s">
        <v>888</v>
      </c>
      <c r="M349" s="58"/>
      <c r="N349" s="59"/>
      <c r="O349" s="50"/>
      <c r="P349" s="60"/>
      <c r="R349" s="53" t="s">
        <v>764</v>
      </c>
      <c r="S349" s="53" t="s">
        <v>769</v>
      </c>
      <c r="T349" s="53" t="s">
        <v>769</v>
      </c>
      <c r="U349" s="53" t="s">
        <v>741</v>
      </c>
      <c r="V349" s="53" t="s">
        <v>768</v>
      </c>
      <c r="W349" s="53" t="s">
        <v>780</v>
      </c>
      <c r="X349" s="61">
        <f>IFERROR(IF(W349="","",WORKDAY.INTL(B349,_xlfn.XLOOKUP(W349,Regras!$F$2:$F$11,Regras!$G$2:$G$11))),"")</f>
        <v>45939</v>
      </c>
      <c r="Y349" s="150" t="s">
        <v>1238</v>
      </c>
      <c r="Z349" s="53" t="s">
        <v>764</v>
      </c>
      <c r="AA349" s="53"/>
      <c r="AB349" s="156" t="s">
        <v>1238</v>
      </c>
    </row>
    <row r="350" spans="2:28" x14ac:dyDescent="0.2">
      <c r="B350" s="89">
        <v>45937</v>
      </c>
      <c r="D350" s="85" t="s">
        <v>1234</v>
      </c>
      <c r="E350" s="133" t="s">
        <v>1246</v>
      </c>
      <c r="F350" s="85" t="s">
        <v>22</v>
      </c>
      <c r="G350" s="85" t="s">
        <v>12</v>
      </c>
      <c r="H350" s="148" t="s">
        <v>933</v>
      </c>
      <c r="I350" s="142" t="s">
        <v>933</v>
      </c>
      <c r="J350" s="148" t="s">
        <v>933</v>
      </c>
      <c r="K350" s="148" t="s">
        <v>933</v>
      </c>
      <c r="L350" s="101" t="s">
        <v>888</v>
      </c>
      <c r="M350" s="58"/>
      <c r="N350" s="59"/>
      <c r="O350" s="50"/>
      <c r="P350" s="60"/>
      <c r="R350" s="53" t="s">
        <v>764</v>
      </c>
      <c r="S350" s="53" t="s">
        <v>764</v>
      </c>
      <c r="T350" s="53" t="s">
        <v>764</v>
      </c>
      <c r="U350" s="53" t="s">
        <v>741</v>
      </c>
      <c r="V350" s="53" t="s">
        <v>768</v>
      </c>
      <c r="W350" s="53" t="s">
        <v>796</v>
      </c>
      <c r="X350" s="61" t="str">
        <f>IFERROR(IF(W350="","",WORKDAY.INTL(B350,_xlfn.XLOOKUP(W350,Regras!$F$2:$F$11,Regras!$G$2:$G$11))),"")</f>
        <v/>
      </c>
      <c r="Y350" s="150" t="s">
        <v>1237</v>
      </c>
      <c r="Z350" s="53" t="s">
        <v>764</v>
      </c>
      <c r="AA350" s="53"/>
      <c r="AB350" s="156" t="s">
        <v>1237</v>
      </c>
    </row>
    <row r="351" spans="2:28" x14ac:dyDescent="0.2">
      <c r="B351" s="89">
        <v>45937</v>
      </c>
      <c r="D351" s="85" t="s">
        <v>1235</v>
      </c>
      <c r="E351" s="133" t="s">
        <v>1247</v>
      </c>
      <c r="F351" s="85" t="s">
        <v>22</v>
      </c>
      <c r="G351" s="85" t="s">
        <v>12</v>
      </c>
      <c r="H351" s="148" t="s">
        <v>933</v>
      </c>
      <c r="I351" s="142" t="s">
        <v>933</v>
      </c>
      <c r="J351" s="148" t="s">
        <v>933</v>
      </c>
      <c r="K351" s="148" t="s">
        <v>933</v>
      </c>
      <c r="L351" s="101" t="s">
        <v>888</v>
      </c>
      <c r="M351" s="58"/>
      <c r="N351" s="59"/>
      <c r="O351" s="50"/>
      <c r="P351" s="60"/>
      <c r="R351" s="53" t="s">
        <v>764</v>
      </c>
      <c r="S351" s="53" t="s">
        <v>769</v>
      </c>
      <c r="T351" s="53" t="s">
        <v>769</v>
      </c>
      <c r="U351" s="53" t="s">
        <v>741</v>
      </c>
      <c r="V351" s="53" t="s">
        <v>768</v>
      </c>
      <c r="W351" s="53" t="s">
        <v>780</v>
      </c>
      <c r="X351" s="61">
        <f>IFERROR(IF(W351="","",WORKDAY.INTL(B351,_xlfn.XLOOKUP(W351,Regras!$F$2:$F$11,Regras!$G$2:$G$11))),"")</f>
        <v>45939</v>
      </c>
      <c r="Y351" s="150" t="s">
        <v>1238</v>
      </c>
      <c r="Z351" s="53" t="s">
        <v>764</v>
      </c>
      <c r="AA351" s="53"/>
      <c r="AB351" s="156" t="s">
        <v>1238</v>
      </c>
    </row>
    <row r="352" spans="2:28" x14ac:dyDescent="0.2">
      <c r="B352" s="89">
        <v>45937</v>
      </c>
      <c r="D352" s="85" t="s">
        <v>1236</v>
      </c>
      <c r="E352" s="133" t="s">
        <v>1248</v>
      </c>
      <c r="F352" s="85" t="s">
        <v>22</v>
      </c>
      <c r="G352" s="85" t="s">
        <v>12</v>
      </c>
      <c r="H352" s="148" t="s">
        <v>933</v>
      </c>
      <c r="I352" s="142" t="s">
        <v>933</v>
      </c>
      <c r="J352" s="148" t="s">
        <v>933</v>
      </c>
      <c r="K352" s="148" t="s">
        <v>933</v>
      </c>
      <c r="L352" s="101" t="s">
        <v>888</v>
      </c>
      <c r="M352" s="58"/>
      <c r="N352" s="59"/>
      <c r="O352" s="50"/>
      <c r="P352" s="60"/>
      <c r="R352" s="53" t="s">
        <v>764</v>
      </c>
      <c r="S352" s="53" t="s">
        <v>769</v>
      </c>
      <c r="T352" s="53" t="s">
        <v>769</v>
      </c>
      <c r="U352" s="53" t="s">
        <v>741</v>
      </c>
      <c r="V352" s="53" t="s">
        <v>768</v>
      </c>
      <c r="W352" s="53" t="s">
        <v>780</v>
      </c>
      <c r="X352" s="61">
        <f>IFERROR(IF(W352="","",WORKDAY.INTL(B352,_xlfn.XLOOKUP(W352,Regras!$F$2:$F$11,Regras!$G$2:$G$11))),"")</f>
        <v>45939</v>
      </c>
      <c r="Y352" s="150" t="s">
        <v>1238</v>
      </c>
      <c r="Z352" s="53" t="s">
        <v>764</v>
      </c>
      <c r="AA352" s="53"/>
      <c r="AB352" s="156" t="s">
        <v>1238</v>
      </c>
    </row>
    <row r="353" spans="2:28" x14ac:dyDescent="0.2">
      <c r="B353" s="89">
        <v>45937</v>
      </c>
      <c r="D353" s="85" t="s">
        <v>105</v>
      </c>
      <c r="E353" s="125" t="s">
        <v>106</v>
      </c>
      <c r="F353" s="85" t="s">
        <v>17</v>
      </c>
      <c r="G353" s="85" t="s">
        <v>12</v>
      </c>
      <c r="H353" s="148" t="s">
        <v>96</v>
      </c>
      <c r="I353" s="142">
        <v>1199</v>
      </c>
      <c r="J353" s="144">
        <v>41</v>
      </c>
      <c r="K353" s="144">
        <v>0</v>
      </c>
      <c r="L353" s="86" t="s">
        <v>741</v>
      </c>
      <c r="M353" s="58"/>
      <c r="N353" s="59"/>
      <c r="O353" s="50"/>
      <c r="P353" s="60"/>
      <c r="R353" s="53" t="s">
        <v>764</v>
      </c>
      <c r="S353" s="53" t="s">
        <v>769</v>
      </c>
      <c r="T353" s="53" t="s">
        <v>769</v>
      </c>
      <c r="U353" s="53" t="s">
        <v>741</v>
      </c>
      <c r="V353" s="53" t="s">
        <v>770</v>
      </c>
      <c r="W353" s="53" t="s">
        <v>780</v>
      </c>
      <c r="X353" s="61">
        <f>IFERROR(IF(W353="","",WORKDAY.INTL(B353,_xlfn.XLOOKUP(W353,Regras!$F$2:$F$11,Regras!$G$2:$G$11))),"")</f>
        <v>45939</v>
      </c>
      <c r="Y353" s="150" t="s">
        <v>1249</v>
      </c>
      <c r="Z353" s="53" t="s">
        <v>764</v>
      </c>
      <c r="AA353" s="53"/>
      <c r="AB353" s="156" t="s">
        <v>1249</v>
      </c>
    </row>
    <row r="354" spans="2:28" x14ac:dyDescent="0.2">
      <c r="B354" s="89">
        <v>45937</v>
      </c>
      <c r="D354" s="85" t="s">
        <v>1250</v>
      </c>
      <c r="E354" s="133" t="s">
        <v>1134</v>
      </c>
      <c r="F354" s="85" t="s">
        <v>31</v>
      </c>
      <c r="G354" s="85" t="s">
        <v>12</v>
      </c>
      <c r="H354" s="148"/>
      <c r="I354" s="142"/>
      <c r="J354" s="144"/>
      <c r="K354" s="144"/>
      <c r="L354" s="101" t="s">
        <v>888</v>
      </c>
      <c r="M354" s="58"/>
      <c r="N354" s="59"/>
      <c r="O354" s="50"/>
      <c r="P354" s="60"/>
      <c r="R354" s="53" t="s">
        <v>764</v>
      </c>
      <c r="S354" s="53" t="s">
        <v>764</v>
      </c>
      <c r="T354" s="53" t="s">
        <v>764</v>
      </c>
      <c r="U354" s="53" t="s">
        <v>741</v>
      </c>
      <c r="V354" s="53" t="s">
        <v>768</v>
      </c>
      <c r="W354" s="53" t="s">
        <v>796</v>
      </c>
      <c r="X354" s="61" t="str">
        <f>IFERROR(IF(W354="","",WORKDAY.INTL(B354,_xlfn.XLOOKUP(W354,Regras!$F$2:$F$11,Regras!$G$2:$G$11))),"")</f>
        <v/>
      </c>
      <c r="Y354" s="150" t="s">
        <v>1251</v>
      </c>
      <c r="Z354" s="53" t="s">
        <v>764</v>
      </c>
      <c r="AA354" s="53"/>
      <c r="AB354" s="155" t="s">
        <v>1252</v>
      </c>
    </row>
    <row r="355" spans="2:28" x14ac:dyDescent="0.2">
      <c r="B355" s="89">
        <v>45937</v>
      </c>
      <c r="D355" s="99" t="s">
        <v>107</v>
      </c>
      <c r="E355" s="121" t="s">
        <v>108</v>
      </c>
      <c r="F355" s="85" t="s">
        <v>46</v>
      </c>
      <c r="G355" s="85" t="s">
        <v>12</v>
      </c>
      <c r="H355" s="148" t="s">
        <v>96</v>
      </c>
      <c r="I355" s="142">
        <v>2161.62</v>
      </c>
      <c r="J355" s="144">
        <v>41</v>
      </c>
      <c r="K355" s="144">
        <v>0</v>
      </c>
      <c r="L355" s="86" t="s">
        <v>741</v>
      </c>
      <c r="M355" s="58"/>
      <c r="N355" s="59"/>
      <c r="O355" s="50"/>
      <c r="P355" s="60"/>
      <c r="R355" s="53" t="s">
        <v>764</v>
      </c>
      <c r="S355" s="53" t="s">
        <v>769</v>
      </c>
      <c r="T355" s="53" t="s">
        <v>769</v>
      </c>
      <c r="U355" s="53" t="s">
        <v>741</v>
      </c>
      <c r="V355" s="53" t="s">
        <v>770</v>
      </c>
      <c r="W355" s="53" t="s">
        <v>780</v>
      </c>
      <c r="X355" s="61">
        <f>IFERROR(IF(W355="","",WORKDAY.INTL(B355,_xlfn.XLOOKUP(W355,Regras!$F$2:$F$11,Regras!$G$2:$G$11))),"")</f>
        <v>45939</v>
      </c>
      <c r="Y355" s="150" t="s">
        <v>1046</v>
      </c>
      <c r="Z355" s="53" t="s">
        <v>764</v>
      </c>
      <c r="AA355" s="53"/>
      <c r="AB355" s="155" t="s">
        <v>1253</v>
      </c>
    </row>
    <row r="356" spans="2:28" x14ac:dyDescent="0.2">
      <c r="B356" s="89">
        <v>45937</v>
      </c>
      <c r="D356" s="99" t="s">
        <v>136</v>
      </c>
      <c r="E356" s="121" t="s">
        <v>137</v>
      </c>
      <c r="F356" s="85" t="s">
        <v>17</v>
      </c>
      <c r="G356" s="85" t="s">
        <v>12</v>
      </c>
      <c r="H356" s="148" t="s">
        <v>131</v>
      </c>
      <c r="I356" s="142">
        <v>675.58</v>
      </c>
      <c r="J356" s="144">
        <v>43</v>
      </c>
      <c r="K356" s="144">
        <v>97</v>
      </c>
      <c r="L356" s="86" t="s">
        <v>741</v>
      </c>
      <c r="M356" s="58"/>
      <c r="N356" s="59"/>
      <c r="O356" s="50"/>
      <c r="P356" s="60"/>
      <c r="R356" s="53" t="s">
        <v>764</v>
      </c>
      <c r="S356" s="53" t="s">
        <v>769</v>
      </c>
      <c r="T356" s="53" t="s">
        <v>769</v>
      </c>
      <c r="U356" s="53" t="s">
        <v>741</v>
      </c>
      <c r="V356" s="53" t="s">
        <v>770</v>
      </c>
      <c r="W356" s="53" t="s">
        <v>780</v>
      </c>
      <c r="X356" s="61">
        <f>IFERROR(IF(W356="","",WORKDAY.INTL(B356,_xlfn.XLOOKUP(W356,Regras!$F$2:$F$11,Regras!$G$2:$G$11))),"")</f>
        <v>45939</v>
      </c>
      <c r="Y356" s="150" t="s">
        <v>1046</v>
      </c>
      <c r="Z356" s="53" t="s">
        <v>764</v>
      </c>
      <c r="AA356" s="53"/>
      <c r="AB356" s="155" t="s">
        <v>1254</v>
      </c>
    </row>
    <row r="357" spans="2:28" x14ac:dyDescent="0.2">
      <c r="B357" s="89">
        <v>45937</v>
      </c>
      <c r="D357" s="99" t="s">
        <v>148</v>
      </c>
      <c r="E357" s="121" t="s">
        <v>149</v>
      </c>
      <c r="F357" s="85" t="s">
        <v>22</v>
      </c>
      <c r="G357" s="85" t="s">
        <v>12</v>
      </c>
      <c r="H357" s="148" t="s">
        <v>131</v>
      </c>
      <c r="I357" s="142">
        <v>665.76</v>
      </c>
      <c r="J357" s="144">
        <v>43</v>
      </c>
      <c r="K357" s="144">
        <v>26</v>
      </c>
      <c r="L357" s="86" t="s">
        <v>741</v>
      </c>
      <c r="M357" s="58"/>
      <c r="N357" s="59"/>
      <c r="O357" s="50"/>
      <c r="P357" s="60"/>
      <c r="R357" s="53" t="s">
        <v>764</v>
      </c>
      <c r="S357" s="53" t="s">
        <v>769</v>
      </c>
      <c r="T357" s="53" t="s">
        <v>769</v>
      </c>
      <c r="U357" s="53" t="s">
        <v>741</v>
      </c>
      <c r="V357" s="53" t="s">
        <v>770</v>
      </c>
      <c r="W357" s="53" t="s">
        <v>780</v>
      </c>
      <c r="X357" s="61">
        <f>IFERROR(IF(W357="","",WORKDAY.INTL(B357,_xlfn.XLOOKUP(W357,Regras!$F$2:$F$11,Regras!$G$2:$G$11))),"")</f>
        <v>45939</v>
      </c>
      <c r="Y357" s="150" t="s">
        <v>1046</v>
      </c>
      <c r="Z357" s="53" t="s">
        <v>764</v>
      </c>
      <c r="AA357" s="53"/>
      <c r="AB357" s="155" t="s">
        <v>1255</v>
      </c>
    </row>
    <row r="358" spans="2:28" x14ac:dyDescent="0.2">
      <c r="B358" s="89">
        <v>45937</v>
      </c>
      <c r="D358" s="99" t="s">
        <v>171</v>
      </c>
      <c r="E358" s="121" t="s">
        <v>172</v>
      </c>
      <c r="F358" s="85" t="s">
        <v>22</v>
      </c>
      <c r="G358" s="85" t="s">
        <v>12</v>
      </c>
      <c r="H358" s="148" t="s">
        <v>170</v>
      </c>
      <c r="I358" s="142">
        <v>684.92</v>
      </c>
      <c r="J358" s="144">
        <v>48</v>
      </c>
      <c r="K358" s="144">
        <v>0</v>
      </c>
      <c r="L358" s="86" t="s">
        <v>741</v>
      </c>
      <c r="M358" s="58"/>
      <c r="N358" s="59"/>
      <c r="O358" s="50"/>
      <c r="P358" s="60"/>
      <c r="R358" s="53" t="s">
        <v>764</v>
      </c>
      <c r="S358" s="53" t="s">
        <v>764</v>
      </c>
      <c r="T358" s="53" t="s">
        <v>769</v>
      </c>
      <c r="U358" s="53" t="s">
        <v>741</v>
      </c>
      <c r="V358" s="53" t="s">
        <v>770</v>
      </c>
      <c r="W358" s="53" t="s">
        <v>780</v>
      </c>
      <c r="X358" s="61">
        <f>IFERROR(IF(W358="","",WORKDAY.INTL(B358,_xlfn.XLOOKUP(W358,Regras!$F$2:$F$11,Regras!$G$2:$G$11))),"")</f>
        <v>45939</v>
      </c>
      <c r="Y358" s="150" t="s">
        <v>1046</v>
      </c>
      <c r="Z358" s="53" t="s">
        <v>764</v>
      </c>
      <c r="AA358" s="53"/>
      <c r="AB358" s="155" t="s">
        <v>1256</v>
      </c>
    </row>
    <row r="359" spans="2:28" x14ac:dyDescent="0.2">
      <c r="B359" s="89">
        <v>45937</v>
      </c>
      <c r="D359" s="99" t="s">
        <v>175</v>
      </c>
      <c r="E359" s="121" t="s">
        <v>176</v>
      </c>
      <c r="F359" s="85" t="s">
        <v>46</v>
      </c>
      <c r="G359" s="85" t="s">
        <v>12</v>
      </c>
      <c r="H359" s="148" t="s">
        <v>177</v>
      </c>
      <c r="I359" s="142">
        <v>1508.79</v>
      </c>
      <c r="J359" s="144">
        <v>49</v>
      </c>
      <c r="K359" s="144">
        <v>48</v>
      </c>
      <c r="L359" s="86" t="s">
        <v>741</v>
      </c>
      <c r="M359" s="58"/>
      <c r="N359" s="59"/>
      <c r="O359" s="50"/>
      <c r="P359" s="60"/>
      <c r="R359" s="53" t="s">
        <v>764</v>
      </c>
      <c r="S359" s="53" t="s">
        <v>764</v>
      </c>
      <c r="T359" s="53" t="s">
        <v>764</v>
      </c>
      <c r="U359" s="53" t="s">
        <v>741</v>
      </c>
      <c r="V359" s="53" t="s">
        <v>770</v>
      </c>
      <c r="W359" s="53" t="s">
        <v>780</v>
      </c>
      <c r="X359" s="61">
        <f>IFERROR(IF(W359="","",WORKDAY.INTL(B359,_xlfn.XLOOKUP(W359,Regras!$F$2:$F$11,Regras!$G$2:$G$11))),"")</f>
        <v>45939</v>
      </c>
      <c r="Y359" s="150" t="s">
        <v>1046</v>
      </c>
      <c r="Z359" s="53" t="s">
        <v>764</v>
      </c>
      <c r="AA359" s="53"/>
      <c r="AB359" s="155" t="s">
        <v>1254</v>
      </c>
    </row>
    <row r="360" spans="2:28" x14ac:dyDescent="0.2">
      <c r="B360" s="89">
        <v>45937</v>
      </c>
      <c r="D360" s="99" t="s">
        <v>192</v>
      </c>
      <c r="E360" s="121" t="s">
        <v>193</v>
      </c>
      <c r="F360" s="85" t="s">
        <v>17</v>
      </c>
      <c r="G360" s="85" t="s">
        <v>12</v>
      </c>
      <c r="H360" s="148" t="s">
        <v>185</v>
      </c>
      <c r="I360" s="142">
        <v>2105.6</v>
      </c>
      <c r="J360" s="144">
        <v>53</v>
      </c>
      <c r="K360" s="144">
        <v>0</v>
      </c>
      <c r="L360" s="86" t="s">
        <v>741</v>
      </c>
      <c r="M360" s="58"/>
      <c r="N360" s="59"/>
      <c r="O360" s="50"/>
      <c r="P360" s="60"/>
      <c r="R360" s="53" t="s">
        <v>764</v>
      </c>
      <c r="S360" s="53" t="s">
        <v>769</v>
      </c>
      <c r="T360" s="53" t="s">
        <v>769</v>
      </c>
      <c r="U360" s="53" t="s">
        <v>741</v>
      </c>
      <c r="V360" s="53" t="s">
        <v>770</v>
      </c>
      <c r="W360" s="53" t="s">
        <v>1053</v>
      </c>
      <c r="X360" s="61">
        <f>IFERROR(IF(W360="","",WORKDAY.INTL(B360,_xlfn.XLOOKUP(W360,Regras!$F$2:$F$11,Regras!$G$2:$G$11))),"")</f>
        <v>45946</v>
      </c>
      <c r="Y360" s="150" t="s">
        <v>1257</v>
      </c>
      <c r="Z360" s="53" t="s">
        <v>764</v>
      </c>
      <c r="AA360" s="53"/>
      <c r="AB360" s="155" t="s">
        <v>1258</v>
      </c>
    </row>
    <row r="361" spans="2:28" x14ac:dyDescent="0.2">
      <c r="B361" s="89">
        <v>45937</v>
      </c>
      <c r="D361" s="99" t="s">
        <v>199</v>
      </c>
      <c r="E361" s="121" t="s">
        <v>200</v>
      </c>
      <c r="F361" s="85" t="s">
        <v>22</v>
      </c>
      <c r="G361" s="85" t="s">
        <v>12</v>
      </c>
      <c r="H361" s="148" t="s">
        <v>198</v>
      </c>
      <c r="I361" s="142">
        <v>653</v>
      </c>
      <c r="J361" s="144">
        <v>54</v>
      </c>
      <c r="K361" s="144">
        <v>0</v>
      </c>
      <c r="L361" s="86" t="s">
        <v>741</v>
      </c>
      <c r="M361" s="58"/>
      <c r="N361" s="59"/>
      <c r="O361" s="50"/>
      <c r="P361" s="60"/>
      <c r="R361" s="53" t="s">
        <v>764</v>
      </c>
      <c r="S361" s="53" t="s">
        <v>769</v>
      </c>
      <c r="T361" s="53" t="s">
        <v>769</v>
      </c>
      <c r="U361" s="53" t="s">
        <v>741</v>
      </c>
      <c r="V361" s="53" t="s">
        <v>770</v>
      </c>
      <c r="W361" s="53" t="s">
        <v>1053</v>
      </c>
      <c r="X361" s="61">
        <f>IFERROR(IF(W361="","",WORKDAY.INTL(B361,_xlfn.XLOOKUP(W361,Regras!$F$2:$F$11,Regras!$G$2:$G$11))),"")</f>
        <v>45946</v>
      </c>
      <c r="Y361" s="150" t="s">
        <v>1046</v>
      </c>
      <c r="Z361" s="53" t="s">
        <v>764</v>
      </c>
      <c r="AA361" s="53"/>
      <c r="AB361" s="155" t="s">
        <v>973</v>
      </c>
    </row>
    <row r="362" spans="2:28" x14ac:dyDescent="0.2">
      <c r="B362" s="89">
        <v>45937</v>
      </c>
      <c r="D362" s="99" t="s">
        <v>201</v>
      </c>
      <c r="E362" s="121" t="s">
        <v>202</v>
      </c>
      <c r="F362" s="85" t="s">
        <v>46</v>
      </c>
      <c r="G362" s="85" t="s">
        <v>12</v>
      </c>
      <c r="H362" s="148" t="s">
        <v>198</v>
      </c>
      <c r="I362" s="142">
        <v>2505.4299999999998</v>
      </c>
      <c r="J362" s="144">
        <v>54</v>
      </c>
      <c r="K362" s="144">
        <v>0</v>
      </c>
      <c r="L362" s="86" t="s">
        <v>741</v>
      </c>
      <c r="M362" s="58"/>
      <c r="N362" s="59"/>
      <c r="O362" s="50"/>
      <c r="P362" s="60"/>
      <c r="R362" s="53" t="s">
        <v>764</v>
      </c>
      <c r="S362" s="53" t="s">
        <v>764</v>
      </c>
      <c r="T362" s="53" t="s">
        <v>764</v>
      </c>
      <c r="U362" s="53" t="s">
        <v>741</v>
      </c>
      <c r="V362" s="53" t="s">
        <v>770</v>
      </c>
      <c r="W362" s="53" t="s">
        <v>1053</v>
      </c>
      <c r="X362" s="61">
        <f>IFERROR(IF(W362="","",WORKDAY.INTL(B362,_xlfn.XLOOKUP(W362,Regras!$F$2:$F$11,Regras!$G$2:$G$11))),"")</f>
        <v>45946</v>
      </c>
      <c r="Y362" s="150" t="s">
        <v>1259</v>
      </c>
      <c r="Z362" s="53" t="s">
        <v>764</v>
      </c>
      <c r="AA362" s="53"/>
      <c r="AB362" s="155" t="s">
        <v>1260</v>
      </c>
    </row>
    <row r="363" spans="2:28" x14ac:dyDescent="0.2">
      <c r="B363" s="89">
        <v>45937</v>
      </c>
      <c r="D363" s="99" t="s">
        <v>221</v>
      </c>
      <c r="E363" s="125" t="s">
        <v>222</v>
      </c>
      <c r="F363" s="85" t="s">
        <v>22</v>
      </c>
      <c r="G363" s="85" t="s">
        <v>12</v>
      </c>
      <c r="H363" s="148" t="s">
        <v>223</v>
      </c>
      <c r="I363" s="142">
        <v>2931.2</v>
      </c>
      <c r="J363" s="144">
        <v>56</v>
      </c>
      <c r="K363" s="144">
        <v>0</v>
      </c>
      <c r="L363" s="86" t="s">
        <v>741</v>
      </c>
      <c r="M363" s="58"/>
      <c r="N363" s="59"/>
      <c r="O363" s="50"/>
      <c r="P363" s="60"/>
      <c r="R363" s="53" t="s">
        <v>764</v>
      </c>
      <c r="S363" s="53" t="s">
        <v>769</v>
      </c>
      <c r="T363" s="53" t="s">
        <v>769</v>
      </c>
      <c r="U363" s="53" t="s">
        <v>741</v>
      </c>
      <c r="V363" s="53"/>
      <c r="W363" s="53"/>
      <c r="X363" s="61" t="str">
        <f>IFERROR(IF(W363="","",WORKDAY.INTL(B363,_xlfn.XLOOKUP(W363,Regras!$F$2:$F$11,Regras!$G$2:$G$11))),"")</f>
        <v/>
      </c>
      <c r="Y363" s="150"/>
      <c r="Z363" s="53"/>
      <c r="AA363" s="53"/>
    </row>
    <row r="364" spans="2:28" x14ac:dyDescent="0.2">
      <c r="B364" s="89">
        <v>45938</v>
      </c>
      <c r="D364" s="99" t="s">
        <v>318</v>
      </c>
      <c r="E364" s="125" t="s">
        <v>319</v>
      </c>
      <c r="F364" s="85" t="s">
        <v>22</v>
      </c>
      <c r="G364" s="85" t="s">
        <v>12</v>
      </c>
      <c r="H364" s="148" t="s">
        <v>315</v>
      </c>
      <c r="I364" s="142">
        <v>2490.0100000000002</v>
      </c>
      <c r="J364" s="144">
        <v>70</v>
      </c>
      <c r="K364" s="144">
        <v>39</v>
      </c>
      <c r="L364" s="98" t="s">
        <v>742</v>
      </c>
      <c r="M364" s="58"/>
      <c r="N364" s="59"/>
      <c r="O364" s="50"/>
      <c r="P364" s="60"/>
      <c r="R364" s="53" t="s">
        <v>764</v>
      </c>
      <c r="S364" s="53" t="s">
        <v>769</v>
      </c>
      <c r="T364" s="53" t="s">
        <v>769</v>
      </c>
      <c r="U364" s="53" t="s">
        <v>741</v>
      </c>
      <c r="V364" s="53" t="s">
        <v>765</v>
      </c>
      <c r="W364" s="53" t="s">
        <v>766</v>
      </c>
      <c r="X364" s="61">
        <f>IFERROR(IF(W364="","",WORKDAY.INTL(B364,_xlfn.XLOOKUP(W364,Regras!$F$2:$F$11,Regras!$G$2:$G$11))),"")</f>
        <v>46001</v>
      </c>
      <c r="Y364" s="150" t="s">
        <v>1261</v>
      </c>
      <c r="Z364" s="53" t="s">
        <v>764</v>
      </c>
      <c r="AA364" s="53"/>
      <c r="AB364" s="155" t="s">
        <v>1262</v>
      </c>
    </row>
    <row r="365" spans="2:28" x14ac:dyDescent="0.2">
      <c r="B365" s="89">
        <v>45937</v>
      </c>
      <c r="D365" s="99" t="s">
        <v>226</v>
      </c>
      <c r="E365" s="125" t="s">
        <v>227</v>
      </c>
      <c r="F365" s="85" t="s">
        <v>22</v>
      </c>
      <c r="G365" s="85" t="s">
        <v>12</v>
      </c>
      <c r="H365" s="148" t="s">
        <v>223</v>
      </c>
      <c r="I365" s="142">
        <v>708.5</v>
      </c>
      <c r="J365" s="144">
        <v>56</v>
      </c>
      <c r="K365" s="144">
        <v>0</v>
      </c>
      <c r="L365" s="86" t="s">
        <v>741</v>
      </c>
      <c r="M365" s="58"/>
      <c r="N365" s="59"/>
      <c r="O365" s="50"/>
      <c r="P365" s="60"/>
      <c r="R365" s="53" t="s">
        <v>764</v>
      </c>
      <c r="S365" s="53" t="s">
        <v>769</v>
      </c>
      <c r="T365" s="53" t="s">
        <v>769</v>
      </c>
      <c r="U365" s="53" t="s">
        <v>741</v>
      </c>
      <c r="V365" s="53" t="s">
        <v>770</v>
      </c>
      <c r="W365" s="53" t="s">
        <v>780</v>
      </c>
      <c r="X365" s="61">
        <f>IFERROR(IF(W365="","",WORKDAY.INTL(B365,_xlfn.XLOOKUP(W365,Regras!$F$2:$F$11,Regras!$G$2:$G$11))),"")</f>
        <v>45939</v>
      </c>
      <c r="Y365" s="150" t="s">
        <v>1263</v>
      </c>
      <c r="Z365" s="53" t="s">
        <v>764</v>
      </c>
      <c r="AA365" s="53"/>
      <c r="AB365" s="156" t="s">
        <v>1263</v>
      </c>
    </row>
    <row r="366" spans="2:28" x14ac:dyDescent="0.2">
      <c r="B366" s="89">
        <v>45937</v>
      </c>
      <c r="D366" s="99" t="s">
        <v>238</v>
      </c>
      <c r="E366" s="125" t="s">
        <v>239</v>
      </c>
      <c r="F366" s="85" t="s">
        <v>22</v>
      </c>
      <c r="G366" s="85" t="s">
        <v>12</v>
      </c>
      <c r="H366" s="148" t="s">
        <v>223</v>
      </c>
      <c r="I366" s="142">
        <v>750.5</v>
      </c>
      <c r="J366" s="144">
        <v>56</v>
      </c>
      <c r="K366" s="144">
        <v>0</v>
      </c>
      <c r="L366" s="86" t="s">
        <v>741</v>
      </c>
      <c r="M366" s="58"/>
      <c r="N366" s="59"/>
      <c r="O366" s="50"/>
      <c r="P366" s="60"/>
      <c r="R366" s="53" t="s">
        <v>764</v>
      </c>
      <c r="S366" s="53" t="s">
        <v>769</v>
      </c>
      <c r="T366" s="53" t="s">
        <v>769</v>
      </c>
      <c r="U366" s="53" t="s">
        <v>741</v>
      </c>
      <c r="V366" s="53" t="s">
        <v>770</v>
      </c>
      <c r="W366" s="53" t="s">
        <v>780</v>
      </c>
      <c r="X366" s="61">
        <f>IFERROR(IF(W366="","",WORKDAY.INTL(B366,_xlfn.XLOOKUP(W366,Regras!$F$2:$F$11,Regras!$G$2:$G$11))),"")</f>
        <v>45939</v>
      </c>
      <c r="Y366" s="150" t="s">
        <v>1263</v>
      </c>
      <c r="Z366" s="53" t="s">
        <v>764</v>
      </c>
      <c r="AA366" s="53"/>
      <c r="AB366" s="156" t="s">
        <v>1263</v>
      </c>
    </row>
    <row r="367" spans="2:28" x14ac:dyDescent="0.2">
      <c r="B367" s="89">
        <v>45938</v>
      </c>
      <c r="D367" s="99" t="s">
        <v>274</v>
      </c>
      <c r="E367" s="125" t="s">
        <v>275</v>
      </c>
      <c r="F367" s="85" t="s">
        <v>22</v>
      </c>
      <c r="G367" s="85" t="s">
        <v>12</v>
      </c>
      <c r="H367" s="148" t="s">
        <v>269</v>
      </c>
      <c r="I367" s="142">
        <v>2072.25</v>
      </c>
      <c r="J367" s="144">
        <v>62</v>
      </c>
      <c r="K367" s="144">
        <v>41.333300000000001</v>
      </c>
      <c r="L367" s="98" t="s">
        <v>742</v>
      </c>
      <c r="M367" s="58"/>
      <c r="N367" s="59"/>
      <c r="O367" s="50"/>
      <c r="P367" s="60"/>
      <c r="R367" s="53" t="s">
        <v>764</v>
      </c>
      <c r="S367" s="53" t="s">
        <v>769</v>
      </c>
      <c r="T367" s="53" t="s">
        <v>769</v>
      </c>
      <c r="U367" s="53" t="s">
        <v>741</v>
      </c>
      <c r="V367" s="53" t="s">
        <v>765</v>
      </c>
      <c r="W367" s="53" t="s">
        <v>780</v>
      </c>
      <c r="X367" s="61">
        <f>IFERROR(IF(W367="","",WORKDAY.INTL(B367,_xlfn.XLOOKUP(W367,Regras!$F$2:$F$11,Regras!$G$2:$G$11))),"")</f>
        <v>45940</v>
      </c>
      <c r="Y367" s="150" t="s">
        <v>1264</v>
      </c>
      <c r="Z367" s="53" t="s">
        <v>764</v>
      </c>
      <c r="AA367" s="53"/>
      <c r="AB367" s="155" t="s">
        <v>973</v>
      </c>
    </row>
    <row r="368" spans="2:28" x14ac:dyDescent="0.2">
      <c r="B368" s="89">
        <v>45938</v>
      </c>
      <c r="D368" s="99" t="s">
        <v>282</v>
      </c>
      <c r="E368" s="125" t="s">
        <v>283</v>
      </c>
      <c r="F368" s="85" t="s">
        <v>46</v>
      </c>
      <c r="G368" s="85" t="s">
        <v>12</v>
      </c>
      <c r="H368" s="148" t="s">
        <v>269</v>
      </c>
      <c r="I368" s="142">
        <v>1524.53</v>
      </c>
      <c r="J368" s="144">
        <v>62</v>
      </c>
      <c r="K368" s="144">
        <v>0</v>
      </c>
      <c r="L368" s="98" t="s">
        <v>742</v>
      </c>
      <c r="M368" s="58"/>
      <c r="N368" s="59"/>
      <c r="O368" s="50"/>
      <c r="P368" s="60"/>
      <c r="R368" s="53" t="s">
        <v>764</v>
      </c>
      <c r="S368" s="53" t="s">
        <v>764</v>
      </c>
      <c r="T368" s="53" t="s">
        <v>769</v>
      </c>
      <c r="U368" s="53" t="s">
        <v>741</v>
      </c>
      <c r="V368" s="53" t="s">
        <v>765</v>
      </c>
      <c r="W368" s="53" t="s">
        <v>780</v>
      </c>
      <c r="X368" s="61">
        <f>IFERROR(IF(W368="","",WORKDAY.INTL(B368,_xlfn.XLOOKUP(W368,Regras!$F$2:$F$11,Regras!$G$2:$G$11))),"")</f>
        <v>45940</v>
      </c>
      <c r="Y368" s="150" t="s">
        <v>1266</v>
      </c>
      <c r="Z368" s="53" t="s">
        <v>764</v>
      </c>
      <c r="AA368" s="53"/>
      <c r="AB368" s="155" t="s">
        <v>1265</v>
      </c>
    </row>
    <row r="369" spans="2:28" x14ac:dyDescent="0.2">
      <c r="B369" s="89">
        <v>45938</v>
      </c>
      <c r="D369" s="99" t="s">
        <v>1129</v>
      </c>
      <c r="E369" s="133" t="s">
        <v>1130</v>
      </c>
      <c r="F369" s="85" t="s">
        <v>22</v>
      </c>
      <c r="G369" s="85" t="s">
        <v>12</v>
      </c>
      <c r="H369" s="148" t="s">
        <v>269</v>
      </c>
      <c r="I369" s="142">
        <v>1524.53</v>
      </c>
      <c r="J369" s="144">
        <v>62</v>
      </c>
      <c r="K369" s="144">
        <v>0</v>
      </c>
      <c r="L369" s="101" t="s">
        <v>888</v>
      </c>
      <c r="M369" s="58"/>
      <c r="N369" s="59"/>
      <c r="O369" s="50"/>
      <c r="P369" s="60"/>
      <c r="R369" s="53" t="s">
        <v>764</v>
      </c>
      <c r="S369" s="53" t="s">
        <v>769</v>
      </c>
      <c r="T369" s="53" t="s">
        <v>769</v>
      </c>
      <c r="U369" s="53" t="s">
        <v>741</v>
      </c>
      <c r="V369" s="53" t="s">
        <v>813</v>
      </c>
      <c r="W369" s="53" t="s">
        <v>777</v>
      </c>
      <c r="X369" s="61" t="str">
        <f>IFERROR(IF(W369="","",WORKDAY.INTL(B369,_xlfn.XLOOKUP(W369,Regras!$F$2:$F$11,Regras!$G$2:$G$11))),"")</f>
        <v/>
      </c>
      <c r="Y369" s="150" t="s">
        <v>1267</v>
      </c>
      <c r="Z369" s="53" t="s">
        <v>764</v>
      </c>
      <c r="AA369" s="53"/>
      <c r="AB369" s="156" t="s">
        <v>1267</v>
      </c>
    </row>
    <row r="370" spans="2:28" x14ac:dyDescent="0.2">
      <c r="B370" s="89">
        <v>45938</v>
      </c>
      <c r="D370" s="99" t="s">
        <v>1268</v>
      </c>
      <c r="E370" s="133" t="s">
        <v>1278</v>
      </c>
      <c r="F370" s="85" t="s">
        <v>22</v>
      </c>
      <c r="G370" s="85" t="s">
        <v>12</v>
      </c>
      <c r="H370" s="148" t="s">
        <v>933</v>
      </c>
      <c r="I370" s="142" t="s">
        <v>933</v>
      </c>
      <c r="J370" s="144" t="s">
        <v>933</v>
      </c>
      <c r="K370" s="144" t="s">
        <v>933</v>
      </c>
      <c r="L370" s="101" t="s">
        <v>888</v>
      </c>
      <c r="M370" s="58"/>
      <c r="N370" s="59"/>
      <c r="O370" s="50"/>
      <c r="P370" s="60"/>
      <c r="R370" s="53" t="s">
        <v>764</v>
      </c>
      <c r="S370" s="53" t="s">
        <v>764</v>
      </c>
      <c r="T370" s="53" t="s">
        <v>764</v>
      </c>
      <c r="U370" s="53" t="s">
        <v>741</v>
      </c>
      <c r="V370" s="53" t="s">
        <v>768</v>
      </c>
      <c r="W370" s="53" t="s">
        <v>780</v>
      </c>
      <c r="X370" s="61">
        <f>IFERROR(IF(W370="","",WORKDAY.INTL(B370,_xlfn.XLOOKUP(W370,Regras!$F$2:$F$11,Regras!$G$2:$G$11))),"")</f>
        <v>45940</v>
      </c>
      <c r="Y370" s="150" t="s">
        <v>1238</v>
      </c>
      <c r="Z370" s="53" t="s">
        <v>764</v>
      </c>
      <c r="AA370" s="53"/>
      <c r="AB370" s="156" t="s">
        <v>1238</v>
      </c>
    </row>
    <row r="371" spans="2:28" x14ac:dyDescent="0.2">
      <c r="B371" s="89">
        <v>45938</v>
      </c>
      <c r="D371" s="99" t="s">
        <v>1269</v>
      </c>
      <c r="E371" s="133" t="s">
        <v>1279</v>
      </c>
      <c r="F371" s="85" t="s">
        <v>22</v>
      </c>
      <c r="G371" s="85" t="s">
        <v>12</v>
      </c>
      <c r="H371" s="148" t="s">
        <v>933</v>
      </c>
      <c r="I371" s="142" t="s">
        <v>933</v>
      </c>
      <c r="J371" s="144" t="s">
        <v>933</v>
      </c>
      <c r="K371" s="144" t="s">
        <v>933</v>
      </c>
      <c r="L371" s="101" t="s">
        <v>888</v>
      </c>
      <c r="M371" s="58"/>
      <c r="N371" s="59"/>
      <c r="O371" s="50"/>
      <c r="P371" s="60"/>
      <c r="R371" s="53" t="s">
        <v>764</v>
      </c>
      <c r="S371" s="53" t="s">
        <v>764</v>
      </c>
      <c r="T371" s="53" t="s">
        <v>764</v>
      </c>
      <c r="U371" s="53" t="s">
        <v>741</v>
      </c>
      <c r="V371" s="53" t="s">
        <v>768</v>
      </c>
      <c r="W371" s="53" t="s">
        <v>780</v>
      </c>
      <c r="X371" s="61">
        <f>IFERROR(IF(W371="","",WORKDAY.INTL(B371,_xlfn.XLOOKUP(W371,Regras!$F$2:$F$11,Regras!$G$2:$G$11))),"")</f>
        <v>45940</v>
      </c>
      <c r="Y371" s="150" t="s">
        <v>1238</v>
      </c>
      <c r="Z371" s="53" t="s">
        <v>764</v>
      </c>
      <c r="AA371" s="53"/>
      <c r="AB371" s="156" t="s">
        <v>1238</v>
      </c>
    </row>
    <row r="372" spans="2:28" x14ac:dyDescent="0.2">
      <c r="B372" s="89">
        <v>45938</v>
      </c>
      <c r="D372" s="99" t="s">
        <v>1270</v>
      </c>
      <c r="E372" s="133" t="s">
        <v>1280</v>
      </c>
      <c r="F372" s="85" t="s">
        <v>22</v>
      </c>
      <c r="G372" s="85" t="s">
        <v>12</v>
      </c>
      <c r="H372" s="148" t="s">
        <v>933</v>
      </c>
      <c r="I372" s="142" t="s">
        <v>933</v>
      </c>
      <c r="J372" s="144" t="s">
        <v>933</v>
      </c>
      <c r="K372" s="144" t="s">
        <v>933</v>
      </c>
      <c r="L372" s="101" t="s">
        <v>888</v>
      </c>
      <c r="M372" s="58"/>
      <c r="N372" s="59"/>
      <c r="O372" s="50"/>
      <c r="P372" s="60"/>
      <c r="R372" s="53" t="s">
        <v>764</v>
      </c>
      <c r="S372" s="53" t="s">
        <v>764</v>
      </c>
      <c r="T372" s="53" t="s">
        <v>764</v>
      </c>
      <c r="U372" s="53" t="s">
        <v>741</v>
      </c>
      <c r="V372" s="53" t="s">
        <v>768</v>
      </c>
      <c r="W372" s="53" t="s">
        <v>796</v>
      </c>
      <c r="X372" s="61" t="str">
        <f>IFERROR(IF(W372="","",WORKDAY.INTL(B372,_xlfn.XLOOKUP(W372,Regras!$F$2:$F$11,Regras!$G$2:$G$11))),"")</f>
        <v/>
      </c>
      <c r="Y372" s="150" t="s">
        <v>1237</v>
      </c>
      <c r="Z372" s="53" t="s">
        <v>764</v>
      </c>
      <c r="AA372" s="53"/>
      <c r="AB372" s="156" t="s">
        <v>1237</v>
      </c>
    </row>
    <row r="373" spans="2:28" x14ac:dyDescent="0.2">
      <c r="B373" s="89">
        <v>45938</v>
      </c>
      <c r="D373" s="99" t="s">
        <v>1271</v>
      </c>
      <c r="E373" s="133" t="s">
        <v>1281</v>
      </c>
      <c r="F373" s="85" t="s">
        <v>22</v>
      </c>
      <c r="G373" s="85" t="s">
        <v>12</v>
      </c>
      <c r="H373" s="148" t="s">
        <v>933</v>
      </c>
      <c r="I373" s="142" t="s">
        <v>933</v>
      </c>
      <c r="J373" s="144" t="s">
        <v>933</v>
      </c>
      <c r="K373" s="144" t="s">
        <v>933</v>
      </c>
      <c r="L373" s="101" t="s">
        <v>888</v>
      </c>
      <c r="M373" s="58"/>
      <c r="N373" s="59"/>
      <c r="O373" s="50"/>
      <c r="P373" s="60"/>
      <c r="R373" s="53" t="s">
        <v>764</v>
      </c>
      <c r="S373" s="53" t="s">
        <v>769</v>
      </c>
      <c r="T373" s="53" t="s">
        <v>769</v>
      </c>
      <c r="U373" s="53" t="s">
        <v>741</v>
      </c>
      <c r="V373" s="53" t="s">
        <v>768</v>
      </c>
      <c r="W373" s="53" t="s">
        <v>780</v>
      </c>
      <c r="X373" s="61">
        <f>IFERROR(IF(W373="","",WORKDAY.INTL(B373,_xlfn.XLOOKUP(W373,Regras!$F$2:$F$11,Regras!$G$2:$G$11))),"")</f>
        <v>45940</v>
      </c>
      <c r="Y373" s="150" t="s">
        <v>1238</v>
      </c>
      <c r="Z373" s="53" t="s">
        <v>764</v>
      </c>
      <c r="AA373" s="53"/>
      <c r="AB373" s="156" t="s">
        <v>1238</v>
      </c>
    </row>
    <row r="374" spans="2:28" x14ac:dyDescent="0.2">
      <c r="B374" s="89">
        <v>45938</v>
      </c>
      <c r="D374" s="99" t="s">
        <v>1272</v>
      </c>
      <c r="E374" s="133" t="s">
        <v>1282</v>
      </c>
      <c r="F374" s="85" t="s">
        <v>22</v>
      </c>
      <c r="G374" s="85" t="s">
        <v>12</v>
      </c>
      <c r="H374" s="148" t="s">
        <v>933</v>
      </c>
      <c r="I374" s="142" t="s">
        <v>933</v>
      </c>
      <c r="J374" s="144" t="s">
        <v>933</v>
      </c>
      <c r="K374" s="144" t="s">
        <v>933</v>
      </c>
      <c r="L374" s="101" t="s">
        <v>888</v>
      </c>
      <c r="M374" s="58"/>
      <c r="N374" s="59"/>
      <c r="O374" s="50"/>
      <c r="P374" s="60"/>
      <c r="R374" s="53" t="s">
        <v>764</v>
      </c>
      <c r="S374" s="53" t="s">
        <v>769</v>
      </c>
      <c r="T374" s="53" t="s">
        <v>769</v>
      </c>
      <c r="U374" s="53" t="s">
        <v>741</v>
      </c>
      <c r="V374" s="53" t="s">
        <v>768</v>
      </c>
      <c r="W374" s="53" t="s">
        <v>780</v>
      </c>
      <c r="X374" s="61">
        <f>IFERROR(IF(W374="","",WORKDAY.INTL(B374,_xlfn.XLOOKUP(W374,Regras!$F$2:$F$11,Regras!$G$2:$G$11))),"")</f>
        <v>45940</v>
      </c>
      <c r="Y374" s="150" t="s">
        <v>1238</v>
      </c>
      <c r="Z374" s="53" t="s">
        <v>764</v>
      </c>
      <c r="AA374" s="53"/>
      <c r="AB374" s="156" t="s">
        <v>1238</v>
      </c>
    </row>
    <row r="375" spans="2:28" x14ac:dyDescent="0.2">
      <c r="B375" s="89">
        <v>45938</v>
      </c>
      <c r="D375" s="99" t="s">
        <v>1273</v>
      </c>
      <c r="E375" s="133" t="s">
        <v>1283</v>
      </c>
      <c r="F375" s="85" t="s">
        <v>22</v>
      </c>
      <c r="G375" s="85" t="s">
        <v>12</v>
      </c>
      <c r="H375" s="148" t="s">
        <v>933</v>
      </c>
      <c r="I375" s="142" t="s">
        <v>933</v>
      </c>
      <c r="J375" s="144" t="s">
        <v>933</v>
      </c>
      <c r="K375" s="144" t="s">
        <v>933</v>
      </c>
      <c r="L375" s="101" t="s">
        <v>888</v>
      </c>
      <c r="M375" s="58"/>
      <c r="N375" s="59"/>
      <c r="O375" s="50"/>
      <c r="P375" s="60"/>
      <c r="R375" s="53" t="s">
        <v>764</v>
      </c>
      <c r="S375" s="53" t="s">
        <v>764</v>
      </c>
      <c r="T375" s="53" t="s">
        <v>769</v>
      </c>
      <c r="U375" s="53" t="s">
        <v>741</v>
      </c>
      <c r="V375" s="53" t="s">
        <v>768</v>
      </c>
      <c r="W375" s="53" t="s">
        <v>780</v>
      </c>
      <c r="X375" s="61">
        <f>IFERROR(IF(W375="","",WORKDAY.INTL(B375,_xlfn.XLOOKUP(W375,Regras!$F$2:$F$11,Regras!$G$2:$G$11))),"")</f>
        <v>45940</v>
      </c>
      <c r="Y375" s="150" t="s">
        <v>1238</v>
      </c>
      <c r="Z375" s="53" t="s">
        <v>764</v>
      </c>
      <c r="AA375" s="53"/>
      <c r="AB375" s="156" t="s">
        <v>1238</v>
      </c>
    </row>
    <row r="376" spans="2:28" x14ac:dyDescent="0.2">
      <c r="B376" s="89">
        <v>45938</v>
      </c>
      <c r="D376" s="99" t="s">
        <v>1274</v>
      </c>
      <c r="E376" s="133" t="s">
        <v>1284</v>
      </c>
      <c r="F376" s="85" t="s">
        <v>22</v>
      </c>
      <c r="G376" s="85" t="s">
        <v>12</v>
      </c>
      <c r="H376" s="148" t="s">
        <v>933</v>
      </c>
      <c r="I376" s="142" t="s">
        <v>933</v>
      </c>
      <c r="J376" s="144" t="s">
        <v>933</v>
      </c>
      <c r="K376" s="144" t="s">
        <v>933</v>
      </c>
      <c r="L376" s="101" t="s">
        <v>888</v>
      </c>
      <c r="M376" s="58"/>
      <c r="N376" s="59"/>
      <c r="O376" s="50"/>
      <c r="P376" s="60"/>
      <c r="R376" s="53" t="s">
        <v>764</v>
      </c>
      <c r="S376" s="53" t="s">
        <v>764</v>
      </c>
      <c r="T376" s="53" t="s">
        <v>769</v>
      </c>
      <c r="U376" s="53" t="s">
        <v>741</v>
      </c>
      <c r="V376" s="53" t="s">
        <v>768</v>
      </c>
      <c r="W376" s="53" t="s">
        <v>780</v>
      </c>
      <c r="X376" s="61">
        <f>IFERROR(IF(W376="","",WORKDAY.INTL(B376,_xlfn.XLOOKUP(W376,Regras!$F$2:$F$11,Regras!$G$2:$G$11))),"")</f>
        <v>45940</v>
      </c>
      <c r="Y376" s="150" t="s">
        <v>1238</v>
      </c>
      <c r="Z376" s="53" t="s">
        <v>764</v>
      </c>
      <c r="AA376" s="53"/>
      <c r="AB376" s="156" t="s">
        <v>1238</v>
      </c>
    </row>
    <row r="377" spans="2:28" x14ac:dyDescent="0.2">
      <c r="B377" s="89">
        <v>45938</v>
      </c>
      <c r="D377" s="99" t="s">
        <v>1275</v>
      </c>
      <c r="E377" s="133" t="s">
        <v>1285</v>
      </c>
      <c r="F377" s="85" t="s">
        <v>22</v>
      </c>
      <c r="G377" s="85" t="s">
        <v>12</v>
      </c>
      <c r="H377" s="148" t="s">
        <v>933</v>
      </c>
      <c r="I377" s="142" t="s">
        <v>933</v>
      </c>
      <c r="J377" s="144" t="s">
        <v>933</v>
      </c>
      <c r="K377" s="144" t="s">
        <v>933</v>
      </c>
      <c r="L377" s="101" t="s">
        <v>888</v>
      </c>
      <c r="M377" s="58"/>
      <c r="N377" s="59"/>
      <c r="O377" s="50"/>
      <c r="P377" s="60"/>
      <c r="R377" s="53" t="s">
        <v>764</v>
      </c>
      <c r="S377" s="53" t="s">
        <v>769</v>
      </c>
      <c r="T377" s="53" t="s">
        <v>769</v>
      </c>
      <c r="U377" s="53" t="s">
        <v>741</v>
      </c>
      <c r="V377" s="53" t="s">
        <v>768</v>
      </c>
      <c r="W377" s="53" t="s">
        <v>796</v>
      </c>
      <c r="X377" s="61" t="str">
        <f>IFERROR(IF(W377="","",WORKDAY.INTL(B377,_xlfn.XLOOKUP(W377,Regras!$F$2:$F$11,Regras!$G$2:$G$11))),"")</f>
        <v/>
      </c>
      <c r="Y377" s="150" t="s">
        <v>1237</v>
      </c>
      <c r="Z377" s="53" t="s">
        <v>764</v>
      </c>
      <c r="AA377" s="53"/>
      <c r="AB377" s="156" t="s">
        <v>1237</v>
      </c>
    </row>
    <row r="378" spans="2:28" x14ac:dyDescent="0.2">
      <c r="B378" s="89">
        <v>45938</v>
      </c>
      <c r="D378" s="99" t="s">
        <v>1276</v>
      </c>
      <c r="E378" s="133" t="s">
        <v>1286</v>
      </c>
      <c r="F378" s="85" t="s">
        <v>22</v>
      </c>
      <c r="G378" s="85" t="s">
        <v>12</v>
      </c>
      <c r="H378" s="148" t="s">
        <v>933</v>
      </c>
      <c r="I378" s="142" t="s">
        <v>933</v>
      </c>
      <c r="J378" s="144" t="s">
        <v>933</v>
      </c>
      <c r="K378" s="144" t="s">
        <v>933</v>
      </c>
      <c r="L378" s="101" t="s">
        <v>888</v>
      </c>
      <c r="M378" s="58"/>
      <c r="N378" s="59"/>
      <c r="O378" s="50"/>
      <c r="P378" s="60"/>
      <c r="R378" s="53" t="s">
        <v>764</v>
      </c>
      <c r="S378" s="53" t="s">
        <v>769</v>
      </c>
      <c r="T378" s="53" t="s">
        <v>769</v>
      </c>
      <c r="U378" s="53" t="s">
        <v>741</v>
      </c>
      <c r="V378" s="53" t="s">
        <v>768</v>
      </c>
      <c r="W378" s="53" t="s">
        <v>796</v>
      </c>
      <c r="X378" s="61" t="str">
        <f>IFERROR(IF(W378="","",WORKDAY.INTL(B378,_xlfn.XLOOKUP(W378,Regras!$F$2:$F$11,Regras!$G$2:$G$11))),"")</f>
        <v/>
      </c>
      <c r="Y378" s="150" t="s">
        <v>1237</v>
      </c>
      <c r="Z378" s="53" t="s">
        <v>764</v>
      </c>
      <c r="AA378" s="53"/>
      <c r="AB378" s="156" t="s">
        <v>1237</v>
      </c>
    </row>
    <row r="379" spans="2:28" x14ac:dyDescent="0.2">
      <c r="B379" s="89">
        <v>45938</v>
      </c>
      <c r="D379" s="99" t="s">
        <v>1277</v>
      </c>
      <c r="E379" s="133" t="s">
        <v>1287</v>
      </c>
      <c r="F379" s="85" t="s">
        <v>22</v>
      </c>
      <c r="G379" s="85" t="s">
        <v>12</v>
      </c>
      <c r="H379" s="148" t="s">
        <v>933</v>
      </c>
      <c r="I379" s="142" t="s">
        <v>933</v>
      </c>
      <c r="J379" s="144" t="s">
        <v>933</v>
      </c>
      <c r="K379" s="144" t="s">
        <v>933</v>
      </c>
      <c r="L379" s="101" t="s">
        <v>888</v>
      </c>
      <c r="M379" s="58"/>
      <c r="N379" s="59"/>
      <c r="O379" s="50"/>
      <c r="P379" s="60"/>
      <c r="R379" s="53" t="s">
        <v>764</v>
      </c>
      <c r="S379" s="53" t="s">
        <v>764</v>
      </c>
      <c r="T379" s="53" t="s">
        <v>769</v>
      </c>
      <c r="U379" s="53" t="s">
        <v>741</v>
      </c>
      <c r="V379" s="53" t="s">
        <v>768</v>
      </c>
      <c r="W379" s="53" t="s">
        <v>780</v>
      </c>
      <c r="X379" s="61">
        <f>IFERROR(IF(W379="","",WORKDAY.INTL(B379,_xlfn.XLOOKUP(W379,Regras!$F$2:$F$11,Regras!$G$2:$G$11))),"")</f>
        <v>45940</v>
      </c>
      <c r="Y379" s="150" t="s">
        <v>1238</v>
      </c>
      <c r="Z379" s="53" t="s">
        <v>764</v>
      </c>
      <c r="AA379" s="53"/>
      <c r="AB379" s="156" t="s">
        <v>1238</v>
      </c>
    </row>
    <row r="380" spans="2:28" x14ac:dyDescent="0.2">
      <c r="B380" s="89">
        <v>45938</v>
      </c>
      <c r="D380" s="99" t="s">
        <v>1289</v>
      </c>
      <c r="E380" s="133" t="s">
        <v>1288</v>
      </c>
      <c r="F380" s="85" t="s">
        <v>17</v>
      </c>
      <c r="G380" s="85" t="s">
        <v>12</v>
      </c>
      <c r="H380" s="148" t="s">
        <v>933</v>
      </c>
      <c r="I380" s="142" t="s">
        <v>933</v>
      </c>
      <c r="J380" s="144" t="s">
        <v>933</v>
      </c>
      <c r="K380" s="144" t="s">
        <v>933</v>
      </c>
      <c r="L380" s="101" t="s">
        <v>888</v>
      </c>
      <c r="M380" s="58"/>
      <c r="N380" s="59"/>
      <c r="O380" s="50"/>
      <c r="P380" s="60"/>
      <c r="R380" s="53" t="s">
        <v>764</v>
      </c>
      <c r="S380" s="53" t="s">
        <v>764</v>
      </c>
      <c r="T380" s="53" t="s">
        <v>764</v>
      </c>
      <c r="U380" s="53" t="s">
        <v>741</v>
      </c>
      <c r="V380" s="53" t="s">
        <v>768</v>
      </c>
      <c r="W380" s="53" t="s">
        <v>780</v>
      </c>
      <c r="X380" s="61">
        <f>IFERROR(IF(W380="","",WORKDAY.INTL(B380,_xlfn.XLOOKUP(W380,Regras!$F$2:$F$11,Regras!$G$2:$G$11))),"")</f>
        <v>45940</v>
      </c>
      <c r="Y380" s="150" t="s">
        <v>1292</v>
      </c>
      <c r="Z380" s="53" t="s">
        <v>764</v>
      </c>
      <c r="AA380" s="53"/>
      <c r="AB380" s="155" t="s">
        <v>1198</v>
      </c>
    </row>
    <row r="381" spans="2:28" x14ac:dyDescent="0.2">
      <c r="B381" s="89">
        <v>45938</v>
      </c>
      <c r="D381" s="99" t="s">
        <v>1291</v>
      </c>
      <c r="E381" s="133" t="s">
        <v>1290</v>
      </c>
      <c r="F381" s="85" t="s">
        <v>22</v>
      </c>
      <c r="G381" s="85" t="s">
        <v>12</v>
      </c>
      <c r="H381" s="148" t="s">
        <v>933</v>
      </c>
      <c r="I381" s="142" t="s">
        <v>933</v>
      </c>
      <c r="J381" s="144" t="s">
        <v>933</v>
      </c>
      <c r="K381" s="144" t="s">
        <v>933</v>
      </c>
      <c r="L381" s="101" t="s">
        <v>888</v>
      </c>
      <c r="M381" s="58"/>
      <c r="N381" s="59"/>
      <c r="O381" s="50"/>
      <c r="P381" s="60"/>
      <c r="R381" s="53" t="s">
        <v>764</v>
      </c>
      <c r="S381" s="53" t="s">
        <v>769</v>
      </c>
      <c r="T381" s="53" t="s">
        <v>769</v>
      </c>
      <c r="U381" s="53" t="s">
        <v>741</v>
      </c>
      <c r="V381" s="53" t="s">
        <v>768</v>
      </c>
      <c r="W381" s="53" t="s">
        <v>780</v>
      </c>
      <c r="X381" s="61">
        <f>IFERROR(IF(W381="","",WORKDAY.INTL(B381,_xlfn.XLOOKUP(W381,Regras!$F$2:$F$11,Regras!$G$2:$G$11))),"")</f>
        <v>45940</v>
      </c>
      <c r="Y381" s="150" t="s">
        <v>1292</v>
      </c>
      <c r="Z381" s="53" t="s">
        <v>764</v>
      </c>
      <c r="AA381" s="53"/>
      <c r="AB381" s="155" t="s">
        <v>1198</v>
      </c>
    </row>
    <row r="382" spans="2:28" x14ac:dyDescent="0.2">
      <c r="B382" s="89">
        <v>45938</v>
      </c>
      <c r="D382" s="99" t="s">
        <v>1127</v>
      </c>
      <c r="E382" s="133" t="s">
        <v>1126</v>
      </c>
      <c r="F382" s="85" t="s">
        <v>17</v>
      </c>
      <c r="G382" s="85" t="s">
        <v>12</v>
      </c>
      <c r="H382" s="148" t="s">
        <v>933</v>
      </c>
      <c r="I382" s="142" t="s">
        <v>933</v>
      </c>
      <c r="J382" s="144" t="s">
        <v>933</v>
      </c>
      <c r="K382" s="144" t="s">
        <v>933</v>
      </c>
      <c r="L382" s="101" t="s">
        <v>888</v>
      </c>
      <c r="M382" s="58"/>
      <c r="N382" s="59"/>
      <c r="O382" s="50"/>
      <c r="P382" s="60"/>
      <c r="R382" s="53" t="s">
        <v>764</v>
      </c>
      <c r="S382" s="53" t="s">
        <v>764</v>
      </c>
      <c r="T382" s="53" t="s">
        <v>769</v>
      </c>
      <c r="U382" s="53" t="s">
        <v>741</v>
      </c>
      <c r="V382" s="53" t="s">
        <v>768</v>
      </c>
      <c r="W382" s="53" t="s">
        <v>1053</v>
      </c>
      <c r="X382" s="61">
        <f>IFERROR(IF(W382="","",WORKDAY.INTL(B382,_xlfn.XLOOKUP(W382,Regras!$F$2:$F$11,Regras!$G$2:$G$11))),"")</f>
        <v>45947</v>
      </c>
      <c r="Y382" s="150" t="s">
        <v>1293</v>
      </c>
      <c r="Z382" s="53" t="s">
        <v>764</v>
      </c>
      <c r="AA382" s="53"/>
      <c r="AB382" s="155" t="s">
        <v>1294</v>
      </c>
    </row>
    <row r="383" spans="2:28" x14ac:dyDescent="0.2">
      <c r="B383" s="89">
        <v>45938</v>
      </c>
      <c r="D383" s="99" t="s">
        <v>496</v>
      </c>
      <c r="E383" s="125" t="s">
        <v>497</v>
      </c>
      <c r="F383" s="85" t="s">
        <v>11</v>
      </c>
      <c r="G383" s="85" t="s">
        <v>12</v>
      </c>
      <c r="H383" s="148" t="s">
        <v>933</v>
      </c>
      <c r="I383" s="142" t="s">
        <v>933</v>
      </c>
      <c r="J383" s="144" t="s">
        <v>933</v>
      </c>
      <c r="K383" s="144" t="s">
        <v>933</v>
      </c>
      <c r="L383" s="88" t="s">
        <v>743</v>
      </c>
      <c r="M383" s="58"/>
      <c r="N383" s="59"/>
      <c r="O383" s="50"/>
      <c r="P383" s="60"/>
      <c r="R383" s="53" t="s">
        <v>764</v>
      </c>
      <c r="S383" s="53" t="s">
        <v>769</v>
      </c>
      <c r="T383" s="53" t="s">
        <v>769</v>
      </c>
      <c r="U383" s="53" t="s">
        <v>741</v>
      </c>
      <c r="V383" s="53" t="s">
        <v>765</v>
      </c>
      <c r="W383" s="53" t="s">
        <v>766</v>
      </c>
      <c r="X383" s="61">
        <f>IFERROR(IF(W383="","",WORKDAY.INTL(B383,_xlfn.XLOOKUP(W383,Regras!$F$2:$F$11,Regras!$G$2:$G$11))),"")</f>
        <v>46001</v>
      </c>
      <c r="Y383" s="150" t="s">
        <v>782</v>
      </c>
      <c r="Z383" s="53" t="s">
        <v>764</v>
      </c>
      <c r="AA383" s="53"/>
      <c r="AB383" s="155" t="s">
        <v>1295</v>
      </c>
    </row>
    <row r="384" spans="2:28" x14ac:dyDescent="0.2">
      <c r="B384" s="89">
        <v>45938</v>
      </c>
      <c r="D384" s="99" t="s">
        <v>175</v>
      </c>
      <c r="E384" s="125" t="s">
        <v>176</v>
      </c>
      <c r="F384" s="85" t="s">
        <v>17</v>
      </c>
      <c r="G384" s="85" t="s">
        <v>12</v>
      </c>
      <c r="H384" s="148" t="s">
        <v>933</v>
      </c>
      <c r="I384" s="142" t="s">
        <v>933</v>
      </c>
      <c r="J384" s="144" t="s">
        <v>933</v>
      </c>
      <c r="K384" s="144" t="s">
        <v>933</v>
      </c>
      <c r="L384" s="86" t="s">
        <v>741</v>
      </c>
      <c r="M384" s="58"/>
      <c r="N384" s="59"/>
      <c r="O384" s="50"/>
      <c r="P384" s="60"/>
      <c r="R384" s="53" t="s">
        <v>764</v>
      </c>
      <c r="S384" s="53" t="s">
        <v>769</v>
      </c>
      <c r="T384" s="53" t="s">
        <v>769</v>
      </c>
      <c r="U384" s="53" t="s">
        <v>741</v>
      </c>
      <c r="V384" s="53" t="s">
        <v>770</v>
      </c>
      <c r="W384" s="53" t="s">
        <v>766</v>
      </c>
      <c r="X384" s="61">
        <f>IFERROR(IF(W384="","",WORKDAY.INTL(B384,_xlfn.XLOOKUP(W384,Regras!$F$2:$F$11,Regras!$G$2:$G$11))),"")</f>
        <v>46001</v>
      </c>
      <c r="Y384" s="150" t="s">
        <v>782</v>
      </c>
      <c r="Z384" s="53" t="s">
        <v>764</v>
      </c>
      <c r="AA384" s="53"/>
      <c r="AB384" s="155" t="s">
        <v>1296</v>
      </c>
    </row>
    <row r="385" spans="2:28" x14ac:dyDescent="0.2">
      <c r="B385" s="89">
        <v>45938</v>
      </c>
      <c r="D385" s="99" t="s">
        <v>348</v>
      </c>
      <c r="E385" s="125" t="s">
        <v>349</v>
      </c>
      <c r="F385" s="85" t="s">
        <v>22</v>
      </c>
      <c r="G385" s="85" t="s">
        <v>12</v>
      </c>
      <c r="H385" s="148" t="s">
        <v>347</v>
      </c>
      <c r="I385" s="142">
        <v>2102.89</v>
      </c>
      <c r="J385" s="144">
        <v>75</v>
      </c>
      <c r="K385" s="144">
        <v>0</v>
      </c>
      <c r="L385" s="98" t="s">
        <v>742</v>
      </c>
      <c r="M385" s="58"/>
      <c r="N385" s="59"/>
      <c r="O385" s="50"/>
      <c r="P385" s="60"/>
      <c r="R385" s="53" t="s">
        <v>764</v>
      </c>
      <c r="S385" s="53" t="s">
        <v>764</v>
      </c>
      <c r="T385" s="53" t="s">
        <v>769</v>
      </c>
      <c r="U385" s="53" t="s">
        <v>741</v>
      </c>
      <c r="V385" s="53" t="s">
        <v>765</v>
      </c>
      <c r="W385" s="53" t="s">
        <v>780</v>
      </c>
      <c r="X385" s="61">
        <f>IFERROR(IF(W385="","",WORKDAY.INTL(B385,_xlfn.XLOOKUP(W385,Regras!$F$2:$F$11,Regras!$G$2:$G$11))),"")</f>
        <v>45940</v>
      </c>
      <c r="Y385" s="150" t="s">
        <v>1046</v>
      </c>
      <c r="Z385" s="53" t="s">
        <v>764</v>
      </c>
      <c r="AA385" s="53"/>
      <c r="AB385" s="156" t="s">
        <v>1046</v>
      </c>
    </row>
    <row r="386" spans="2:28" x14ac:dyDescent="0.2">
      <c r="B386" s="89">
        <v>45938</v>
      </c>
      <c r="D386" s="99" t="s">
        <v>322</v>
      </c>
      <c r="E386" s="125" t="s">
        <v>323</v>
      </c>
      <c r="F386" s="85" t="s">
        <v>22</v>
      </c>
      <c r="G386" s="85" t="s">
        <v>12</v>
      </c>
      <c r="H386" s="148" t="s">
        <v>315</v>
      </c>
      <c r="I386" s="142">
        <v>720.13</v>
      </c>
      <c r="J386" s="144">
        <v>70</v>
      </c>
      <c r="K386" s="144">
        <v>39</v>
      </c>
      <c r="L386" s="98" t="s">
        <v>742</v>
      </c>
      <c r="M386" s="58"/>
      <c r="N386" s="59"/>
      <c r="O386" s="50"/>
      <c r="P386" s="60"/>
      <c r="R386" s="53" t="s">
        <v>764</v>
      </c>
      <c r="S386" s="53" t="s">
        <v>769</v>
      </c>
      <c r="T386" s="53" t="s">
        <v>769</v>
      </c>
      <c r="U386" s="53" t="s">
        <v>741</v>
      </c>
      <c r="V386" s="53" t="s">
        <v>765</v>
      </c>
      <c r="W386" s="53" t="s">
        <v>780</v>
      </c>
      <c r="X386" s="61">
        <f>IFERROR(IF(W386="","",WORKDAY.INTL(B386,_xlfn.XLOOKUP(W386,Regras!$F$2:$F$11,Regras!$G$2:$G$11))),"")</f>
        <v>45940</v>
      </c>
      <c r="Y386" s="150" t="s">
        <v>1046</v>
      </c>
      <c r="Z386" s="53" t="s">
        <v>764</v>
      </c>
      <c r="AA386" s="53"/>
      <c r="AB386" s="156" t="s">
        <v>1046</v>
      </c>
    </row>
    <row r="387" spans="2:28" x14ac:dyDescent="0.2">
      <c r="B387" s="89">
        <v>45939</v>
      </c>
      <c r="D387" s="99" t="s">
        <v>105</v>
      </c>
      <c r="E387" s="125" t="s">
        <v>106</v>
      </c>
      <c r="F387" s="85" t="s">
        <v>17</v>
      </c>
      <c r="G387" s="85" t="s">
        <v>12</v>
      </c>
      <c r="H387" s="148" t="s">
        <v>96</v>
      </c>
      <c r="I387" s="142">
        <v>1199</v>
      </c>
      <c r="J387" s="144">
        <v>41</v>
      </c>
      <c r="K387" s="144">
        <v>0</v>
      </c>
      <c r="L387" s="86" t="s">
        <v>741</v>
      </c>
      <c r="M387" s="58"/>
      <c r="N387" s="59"/>
      <c r="O387" s="50"/>
      <c r="P387" s="60"/>
      <c r="R387" s="53" t="s">
        <v>764</v>
      </c>
      <c r="S387" s="53" t="s">
        <v>769</v>
      </c>
      <c r="T387" s="53" t="s">
        <v>769</v>
      </c>
      <c r="U387" s="53" t="s">
        <v>741</v>
      </c>
      <c r="V387" s="53" t="s">
        <v>770</v>
      </c>
      <c r="W387" s="53" t="s">
        <v>780</v>
      </c>
      <c r="X387" s="61">
        <f>IFERROR(IF(W387="","",WORKDAY.INTL(B387,_xlfn.XLOOKUP(W387,Regras!$F$2:$F$11,Regras!$G$2:$G$11))),"")</f>
        <v>45943</v>
      </c>
      <c r="Y387" s="150" t="s">
        <v>1292</v>
      </c>
      <c r="Z387" s="53" t="s">
        <v>764</v>
      </c>
      <c r="AA387" s="53"/>
      <c r="AB387" s="156" t="s">
        <v>1292</v>
      </c>
    </row>
    <row r="388" spans="2:28" x14ac:dyDescent="0.2">
      <c r="B388" s="89">
        <v>45939</v>
      </c>
      <c r="D388" s="99" t="s">
        <v>107</v>
      </c>
      <c r="E388" s="125" t="s">
        <v>108</v>
      </c>
      <c r="F388" s="85" t="s">
        <v>46</v>
      </c>
      <c r="G388" s="85" t="s">
        <v>12</v>
      </c>
      <c r="H388" s="148" t="s">
        <v>96</v>
      </c>
      <c r="I388" s="142">
        <v>2161.62</v>
      </c>
      <c r="J388" s="144">
        <v>41</v>
      </c>
      <c r="K388" s="144">
        <v>0</v>
      </c>
      <c r="L388" s="86" t="s">
        <v>741</v>
      </c>
      <c r="M388" s="58"/>
      <c r="N388" s="59"/>
      <c r="O388" s="50"/>
      <c r="P388" s="60"/>
      <c r="R388" s="53" t="s">
        <v>764</v>
      </c>
      <c r="S388" s="53" t="s">
        <v>764</v>
      </c>
      <c r="T388" s="53" t="s">
        <v>764</v>
      </c>
      <c r="U388" s="53" t="s">
        <v>741</v>
      </c>
      <c r="V388" s="53" t="s">
        <v>770</v>
      </c>
      <c r="W388" s="53" t="s">
        <v>1053</v>
      </c>
      <c r="X388" s="61">
        <f>IFERROR(IF(W388="","",WORKDAY.INTL(B388,_xlfn.XLOOKUP(W388,Regras!$F$2:$F$11,Regras!$G$2:$G$11))),"")</f>
        <v>45950</v>
      </c>
      <c r="Y388" s="150" t="s">
        <v>1297</v>
      </c>
      <c r="Z388" s="53" t="s">
        <v>764</v>
      </c>
      <c r="AA388" s="53"/>
      <c r="AB388" s="156" t="s">
        <v>1298</v>
      </c>
    </row>
    <row r="389" spans="2:28" x14ac:dyDescent="0.2">
      <c r="B389" s="89">
        <v>45939</v>
      </c>
      <c r="D389" s="99" t="s">
        <v>136</v>
      </c>
      <c r="E389" s="125" t="s">
        <v>137</v>
      </c>
      <c r="F389" s="85" t="s">
        <v>17</v>
      </c>
      <c r="G389" s="85" t="s">
        <v>12</v>
      </c>
      <c r="H389" s="148" t="s">
        <v>131</v>
      </c>
      <c r="I389" s="142">
        <v>675.58</v>
      </c>
      <c r="J389" s="144">
        <v>43</v>
      </c>
      <c r="K389" s="144">
        <v>97</v>
      </c>
      <c r="L389" s="86" t="s">
        <v>741</v>
      </c>
      <c r="M389" s="58"/>
      <c r="N389" s="59"/>
      <c r="O389" s="50"/>
      <c r="P389" s="60"/>
      <c r="R389" s="53" t="s">
        <v>764</v>
      </c>
      <c r="S389" s="53" t="s">
        <v>764</v>
      </c>
      <c r="T389" s="53" t="s">
        <v>764</v>
      </c>
      <c r="U389" s="53" t="s">
        <v>741</v>
      </c>
      <c r="V389" s="53" t="s">
        <v>770</v>
      </c>
      <c r="W389" s="53" t="s">
        <v>1054</v>
      </c>
      <c r="X389" s="61">
        <f>IFERROR(IF(W389="","",WORKDAY.INTL(B389,_xlfn.XLOOKUP(W389,Regras!$F$2:$F$11,Regras!$G$2:$G$11))),"")</f>
        <v>45960</v>
      </c>
      <c r="Y389" s="150" t="s">
        <v>1299</v>
      </c>
      <c r="Z389" s="53" t="s">
        <v>764</v>
      </c>
      <c r="AA389" s="53"/>
      <c r="AB389" s="155" t="s">
        <v>1300</v>
      </c>
    </row>
    <row r="390" spans="2:28" x14ac:dyDescent="0.2">
      <c r="B390" s="89">
        <v>45939</v>
      </c>
      <c r="D390" s="99" t="s">
        <v>148</v>
      </c>
      <c r="E390" s="125" t="s">
        <v>149</v>
      </c>
      <c r="F390" s="85" t="s">
        <v>22</v>
      </c>
      <c r="G390" s="85" t="s">
        <v>12</v>
      </c>
      <c r="H390" s="148" t="s">
        <v>131</v>
      </c>
      <c r="I390" s="142">
        <v>665.76</v>
      </c>
      <c r="J390" s="144">
        <v>43</v>
      </c>
      <c r="K390" s="144">
        <v>26</v>
      </c>
      <c r="L390" s="86" t="s">
        <v>741</v>
      </c>
      <c r="M390" s="58"/>
      <c r="N390" s="59"/>
      <c r="O390" s="50"/>
      <c r="P390" s="60"/>
      <c r="R390" s="53" t="s">
        <v>764</v>
      </c>
      <c r="S390" s="53" t="s">
        <v>769</v>
      </c>
      <c r="T390" s="53" t="s">
        <v>769</v>
      </c>
      <c r="U390" s="53" t="s">
        <v>741</v>
      </c>
      <c r="V390" s="53" t="s">
        <v>770</v>
      </c>
      <c r="W390" s="53" t="s">
        <v>780</v>
      </c>
      <c r="X390" s="61">
        <f>IFERROR(IF(W390="","",WORKDAY.INTL(B390,_xlfn.XLOOKUP(W390,Regras!$F$2:$F$11,Regras!$G$2:$G$11))),"")</f>
        <v>45943</v>
      </c>
      <c r="Y390" s="150" t="s">
        <v>1301</v>
      </c>
      <c r="Z390" s="53" t="s">
        <v>764</v>
      </c>
      <c r="AA390" s="53"/>
      <c r="AB390" s="156" t="s">
        <v>1301</v>
      </c>
    </row>
    <row r="391" spans="2:28" x14ac:dyDescent="0.2">
      <c r="B391" s="89">
        <v>45939</v>
      </c>
      <c r="D391" s="99" t="s">
        <v>171</v>
      </c>
      <c r="E391" s="125" t="s">
        <v>172</v>
      </c>
      <c r="F391" s="85" t="s">
        <v>22</v>
      </c>
      <c r="G391" s="85" t="s">
        <v>12</v>
      </c>
      <c r="H391" s="148" t="s">
        <v>170</v>
      </c>
      <c r="I391" s="142">
        <v>684.92</v>
      </c>
      <c r="J391" s="144">
        <v>48</v>
      </c>
      <c r="K391" s="144">
        <v>0</v>
      </c>
      <c r="L391" s="86" t="s">
        <v>741</v>
      </c>
      <c r="M391" s="58"/>
      <c r="N391" s="59"/>
      <c r="O391" s="50"/>
      <c r="P391" s="60"/>
      <c r="R391" s="53" t="s">
        <v>764</v>
      </c>
      <c r="S391" s="53" t="s">
        <v>769</v>
      </c>
      <c r="T391" s="53" t="s">
        <v>769</v>
      </c>
      <c r="U391" s="53" t="s">
        <v>741</v>
      </c>
      <c r="V391" s="53" t="s">
        <v>770</v>
      </c>
      <c r="W391" s="53" t="s">
        <v>1053</v>
      </c>
      <c r="X391" s="61">
        <f>IFERROR(IF(W391="","",WORKDAY.INTL(B391,_xlfn.XLOOKUP(W391,Regras!$F$2:$F$11,Regras!$G$2:$G$11))),"")</f>
        <v>45950</v>
      </c>
      <c r="Y391" s="150" t="s">
        <v>1302</v>
      </c>
      <c r="Z391" s="53" t="s">
        <v>764</v>
      </c>
      <c r="AA391" s="53"/>
      <c r="AB391" s="156" t="s">
        <v>1302</v>
      </c>
    </row>
    <row r="392" spans="2:28" x14ac:dyDescent="0.2">
      <c r="B392" s="89">
        <v>45939</v>
      </c>
      <c r="D392" s="99" t="s">
        <v>226</v>
      </c>
      <c r="E392" s="125" t="s">
        <v>227</v>
      </c>
      <c r="F392" s="85" t="s">
        <v>22</v>
      </c>
      <c r="G392" s="85" t="s">
        <v>12</v>
      </c>
      <c r="H392" s="148" t="s">
        <v>223</v>
      </c>
      <c r="I392" s="142">
        <v>708.5</v>
      </c>
      <c r="J392" s="144">
        <v>56</v>
      </c>
      <c r="K392" s="144">
        <v>0</v>
      </c>
      <c r="L392" s="86" t="s">
        <v>741</v>
      </c>
      <c r="M392" s="58"/>
      <c r="N392" s="59"/>
      <c r="O392" s="50"/>
      <c r="P392" s="60"/>
      <c r="R392" s="53" t="s">
        <v>764</v>
      </c>
      <c r="S392" s="53" t="s">
        <v>769</v>
      </c>
      <c r="T392" s="53" t="s">
        <v>769</v>
      </c>
      <c r="U392" s="53" t="s">
        <v>741</v>
      </c>
      <c r="V392" s="53" t="s">
        <v>770</v>
      </c>
      <c r="W392" s="53" t="s">
        <v>1054</v>
      </c>
      <c r="X392" s="61">
        <f>IFERROR(IF(W392="","",WORKDAY.INTL(B392,_xlfn.XLOOKUP(W392,Regras!$F$2:$F$11,Regras!$G$2:$G$11))),"")</f>
        <v>45960</v>
      </c>
      <c r="Y392" s="150" t="s">
        <v>1303</v>
      </c>
      <c r="Z392" s="53" t="s">
        <v>764</v>
      </c>
      <c r="AA392" s="53"/>
      <c r="AB392" s="156" t="s">
        <v>1303</v>
      </c>
    </row>
    <row r="393" spans="2:28" x14ac:dyDescent="0.2">
      <c r="B393" s="89">
        <v>45939</v>
      </c>
      <c r="D393" s="99" t="s">
        <v>238</v>
      </c>
      <c r="E393" s="125" t="s">
        <v>239</v>
      </c>
      <c r="F393" s="85" t="s">
        <v>22</v>
      </c>
      <c r="G393" s="85" t="s">
        <v>12</v>
      </c>
      <c r="H393" s="148" t="s">
        <v>223</v>
      </c>
      <c r="I393" s="142">
        <v>750.5</v>
      </c>
      <c r="J393" s="144">
        <v>56</v>
      </c>
      <c r="K393" s="144">
        <v>0</v>
      </c>
      <c r="L393" s="86" t="s">
        <v>741</v>
      </c>
      <c r="M393" s="58"/>
      <c r="N393" s="59"/>
      <c r="O393" s="50"/>
      <c r="P393" s="60"/>
      <c r="R393" s="53" t="s">
        <v>764</v>
      </c>
      <c r="S393" s="53" t="s">
        <v>769</v>
      </c>
      <c r="T393" s="53" t="s">
        <v>769</v>
      </c>
      <c r="U393" s="53" t="s">
        <v>741</v>
      </c>
      <c r="V393" s="53" t="s">
        <v>770</v>
      </c>
      <c r="W393" s="53" t="s">
        <v>1054</v>
      </c>
      <c r="X393" s="61">
        <f>IFERROR(IF(W393="","",WORKDAY.INTL(B393,_xlfn.XLOOKUP(W393,Regras!$F$2:$F$11,Regras!$G$2:$G$11))),"")</f>
        <v>45960</v>
      </c>
      <c r="Y393" s="150" t="s">
        <v>1303</v>
      </c>
      <c r="Z393" s="53" t="s">
        <v>764</v>
      </c>
      <c r="AA393" s="53"/>
      <c r="AB393" s="156" t="s">
        <v>1303</v>
      </c>
    </row>
    <row r="394" spans="2:28" x14ac:dyDescent="0.2">
      <c r="B394" s="89">
        <v>45939</v>
      </c>
      <c r="D394" s="99" t="s">
        <v>284</v>
      </c>
      <c r="E394" s="125" t="s">
        <v>285</v>
      </c>
      <c r="F394" s="85" t="s">
        <v>22</v>
      </c>
      <c r="G394" s="85" t="s">
        <v>12</v>
      </c>
      <c r="H394" s="148" t="s">
        <v>286</v>
      </c>
      <c r="I394" s="142">
        <v>767.84</v>
      </c>
      <c r="J394" s="144">
        <v>63</v>
      </c>
      <c r="K394" s="144">
        <v>42.5</v>
      </c>
      <c r="L394" s="86" t="s">
        <v>741</v>
      </c>
      <c r="M394" s="58"/>
      <c r="N394" s="59"/>
      <c r="O394" s="50"/>
      <c r="P394" s="60"/>
      <c r="R394" s="53" t="s">
        <v>764</v>
      </c>
      <c r="S394" s="53" t="s">
        <v>764</v>
      </c>
      <c r="T394" s="53" t="s">
        <v>769</v>
      </c>
      <c r="U394" s="53" t="s">
        <v>741</v>
      </c>
      <c r="V394" s="53" t="s">
        <v>770</v>
      </c>
      <c r="W394" s="53" t="s">
        <v>780</v>
      </c>
      <c r="X394" s="61">
        <f>IFERROR(IF(W394="","",WORKDAY.INTL(B394,_xlfn.XLOOKUP(W394,Regras!$F$2:$F$11,Regras!$G$2:$G$11))),"")</f>
        <v>45943</v>
      </c>
      <c r="Y394" s="150" t="s">
        <v>1304</v>
      </c>
      <c r="Z394" s="53" t="s">
        <v>764</v>
      </c>
      <c r="AA394" s="53"/>
      <c r="AB394" s="156" t="s">
        <v>1304</v>
      </c>
    </row>
    <row r="395" spans="2:28" x14ac:dyDescent="0.2">
      <c r="B395" s="89">
        <v>45939</v>
      </c>
      <c r="D395" s="99" t="s">
        <v>492</v>
      </c>
      <c r="E395" s="125" t="s">
        <v>493</v>
      </c>
      <c r="F395" s="85" t="s">
        <v>17</v>
      </c>
      <c r="G395" s="85" t="s">
        <v>12</v>
      </c>
      <c r="H395" s="148" t="s">
        <v>489</v>
      </c>
      <c r="I395" s="142">
        <v>702.86</v>
      </c>
      <c r="J395" s="144">
        <v>109</v>
      </c>
      <c r="K395" s="144">
        <v>0</v>
      </c>
      <c r="L395" s="88" t="s">
        <v>743</v>
      </c>
      <c r="M395" s="58"/>
      <c r="N395" s="59"/>
      <c r="O395" s="50"/>
      <c r="P395" s="60"/>
      <c r="R395" s="53" t="s">
        <v>764</v>
      </c>
      <c r="S395" s="53" t="s">
        <v>764</v>
      </c>
      <c r="T395" s="53" t="s">
        <v>769</v>
      </c>
      <c r="U395" s="53" t="s">
        <v>741</v>
      </c>
      <c r="V395" s="53" t="s">
        <v>926</v>
      </c>
      <c r="W395" s="53" t="s">
        <v>777</v>
      </c>
      <c r="X395" s="61" t="str">
        <f>IFERROR(IF(W395="","",WORKDAY.INTL(B395,_xlfn.XLOOKUP(W395,Regras!$F$2:$F$11,Regras!$G$2:$G$11))),"")</f>
        <v/>
      </c>
      <c r="Y395" s="150" t="s">
        <v>1305</v>
      </c>
      <c r="Z395" s="53" t="s">
        <v>764</v>
      </c>
      <c r="AA395" s="53"/>
      <c r="AB395" s="156" t="s">
        <v>1305</v>
      </c>
    </row>
    <row r="396" spans="2:28" x14ac:dyDescent="0.2">
      <c r="B396" s="89">
        <v>45939</v>
      </c>
      <c r="D396" s="99" t="s">
        <v>1306</v>
      </c>
      <c r="E396" s="133" t="s">
        <v>1319</v>
      </c>
      <c r="F396" s="85" t="s">
        <v>22</v>
      </c>
      <c r="G396" s="85" t="s">
        <v>12</v>
      </c>
      <c r="H396" s="148" t="s">
        <v>933</v>
      </c>
      <c r="I396" s="142" t="s">
        <v>933</v>
      </c>
      <c r="J396" s="144" t="s">
        <v>933</v>
      </c>
      <c r="K396" s="144" t="s">
        <v>933</v>
      </c>
      <c r="L396" s="101" t="s">
        <v>888</v>
      </c>
      <c r="M396" s="58"/>
      <c r="N396" s="59"/>
      <c r="O396" s="50"/>
      <c r="P396" s="60"/>
      <c r="R396" s="53" t="s">
        <v>764</v>
      </c>
      <c r="S396" s="53" t="s">
        <v>764</v>
      </c>
      <c r="T396" s="53" t="s">
        <v>769</v>
      </c>
      <c r="U396" s="53" t="s">
        <v>741</v>
      </c>
      <c r="V396" s="53" t="s">
        <v>768</v>
      </c>
      <c r="W396" s="53" t="s">
        <v>780</v>
      </c>
      <c r="X396" s="61">
        <f>IFERROR(IF(W396="","",WORKDAY.INTL(B396,_xlfn.XLOOKUP(W396,Regras!$F$2:$F$11,Regras!$G$2:$G$11))),"")</f>
        <v>45943</v>
      </c>
      <c r="Y396" s="150" t="s">
        <v>1316</v>
      </c>
      <c r="Z396" s="53" t="s">
        <v>769</v>
      </c>
      <c r="AA396" s="53"/>
      <c r="AB396" s="156" t="s">
        <v>1316</v>
      </c>
    </row>
    <row r="397" spans="2:28" x14ac:dyDescent="0.2">
      <c r="B397" s="89">
        <v>45939</v>
      </c>
      <c r="D397" s="99" t="s">
        <v>1307</v>
      </c>
      <c r="E397" s="133" t="s">
        <v>1320</v>
      </c>
      <c r="F397" s="85" t="s">
        <v>22</v>
      </c>
      <c r="G397" s="85" t="s">
        <v>12</v>
      </c>
      <c r="H397" s="148" t="s">
        <v>933</v>
      </c>
      <c r="I397" s="142" t="s">
        <v>933</v>
      </c>
      <c r="J397" s="144" t="s">
        <v>933</v>
      </c>
      <c r="K397" s="144" t="s">
        <v>933</v>
      </c>
      <c r="L397" s="101" t="s">
        <v>888</v>
      </c>
      <c r="M397" s="58"/>
      <c r="N397" s="59"/>
      <c r="O397" s="50"/>
      <c r="P397" s="60"/>
      <c r="R397" s="53" t="s">
        <v>764</v>
      </c>
      <c r="S397" s="53" t="s">
        <v>769</v>
      </c>
      <c r="T397" s="53" t="s">
        <v>769</v>
      </c>
      <c r="U397" s="53" t="s">
        <v>741</v>
      </c>
      <c r="V397" s="53" t="s">
        <v>768</v>
      </c>
      <c r="W397" s="53" t="s">
        <v>796</v>
      </c>
      <c r="X397" s="61" t="str">
        <f>IFERROR(IF(W397="","",WORKDAY.INTL(B397,_xlfn.XLOOKUP(W397,Regras!$F$2:$F$11,Regras!$G$2:$G$11))),"")</f>
        <v/>
      </c>
      <c r="Y397" s="150" t="s">
        <v>1317</v>
      </c>
      <c r="Z397" s="53" t="s">
        <v>764</v>
      </c>
      <c r="AA397" s="53"/>
      <c r="AB397" s="156" t="s">
        <v>1317</v>
      </c>
    </row>
    <row r="398" spans="2:28" x14ac:dyDescent="0.2">
      <c r="B398" s="89">
        <v>45939</v>
      </c>
      <c r="D398" s="99" t="s">
        <v>1308</v>
      </c>
      <c r="E398" s="133" t="s">
        <v>1321</v>
      </c>
      <c r="F398" s="85" t="s">
        <v>22</v>
      </c>
      <c r="G398" s="85" t="s">
        <v>12</v>
      </c>
      <c r="H398" s="148" t="s">
        <v>933</v>
      </c>
      <c r="I398" s="142" t="s">
        <v>933</v>
      </c>
      <c r="J398" s="144" t="s">
        <v>933</v>
      </c>
      <c r="K398" s="144" t="s">
        <v>933</v>
      </c>
      <c r="L398" s="101" t="s">
        <v>888</v>
      </c>
      <c r="M398" s="58"/>
      <c r="N398" s="59"/>
      <c r="O398" s="50"/>
      <c r="P398" s="60"/>
      <c r="R398" s="53" t="s">
        <v>764</v>
      </c>
      <c r="S398" s="53" t="s">
        <v>764</v>
      </c>
      <c r="T398" s="53" t="s">
        <v>764</v>
      </c>
      <c r="U398" s="53" t="s">
        <v>741</v>
      </c>
      <c r="V398" s="53" t="s">
        <v>768</v>
      </c>
      <c r="W398" s="53" t="s">
        <v>780</v>
      </c>
      <c r="X398" s="61">
        <f>IFERROR(IF(W398="","",WORKDAY.INTL(B398,_xlfn.XLOOKUP(W398,Regras!$F$2:$F$11,Regras!$G$2:$G$11))),"")</f>
        <v>45943</v>
      </c>
      <c r="Y398" s="150" t="s">
        <v>1318</v>
      </c>
      <c r="Z398" s="53" t="s">
        <v>764</v>
      </c>
      <c r="AA398" s="53"/>
      <c r="AB398" s="156" t="s">
        <v>1318</v>
      </c>
    </row>
    <row r="399" spans="2:28" x14ac:dyDescent="0.2">
      <c r="B399" s="89">
        <v>45939</v>
      </c>
      <c r="D399" s="99" t="s">
        <v>1309</v>
      </c>
      <c r="E399" s="133" t="s">
        <v>1322</v>
      </c>
      <c r="F399" s="85" t="s">
        <v>22</v>
      </c>
      <c r="G399" s="85" t="s">
        <v>12</v>
      </c>
      <c r="H399" s="148" t="s">
        <v>933</v>
      </c>
      <c r="I399" s="142" t="s">
        <v>933</v>
      </c>
      <c r="J399" s="144" t="s">
        <v>933</v>
      </c>
      <c r="K399" s="144" t="s">
        <v>933</v>
      </c>
      <c r="L399" s="101" t="s">
        <v>888</v>
      </c>
      <c r="M399" s="58"/>
      <c r="N399" s="59"/>
      <c r="O399" s="50"/>
      <c r="P399" s="60"/>
      <c r="R399" s="53" t="s">
        <v>764</v>
      </c>
      <c r="S399" s="53" t="s">
        <v>764</v>
      </c>
      <c r="T399" s="53" t="s">
        <v>769</v>
      </c>
      <c r="U399" s="53" t="s">
        <v>741</v>
      </c>
      <c r="V399" s="53" t="s">
        <v>768</v>
      </c>
      <c r="W399" s="53" t="s">
        <v>780</v>
      </c>
      <c r="X399" s="61">
        <f>IFERROR(IF(W399="","",WORKDAY.INTL(B399,_xlfn.XLOOKUP(W399,Regras!$F$2:$F$11,Regras!$G$2:$G$11))),"")</f>
        <v>45943</v>
      </c>
      <c r="Y399" s="150" t="s">
        <v>1318</v>
      </c>
      <c r="Z399" s="53" t="s">
        <v>764</v>
      </c>
      <c r="AA399" s="53"/>
      <c r="AB399" s="156" t="s">
        <v>1318</v>
      </c>
    </row>
    <row r="400" spans="2:28" x14ac:dyDescent="0.2">
      <c r="B400" s="89">
        <v>45939</v>
      </c>
      <c r="D400" s="99" t="s">
        <v>1310</v>
      </c>
      <c r="E400" s="133" t="s">
        <v>1323</v>
      </c>
      <c r="F400" s="85" t="s">
        <v>22</v>
      </c>
      <c r="G400" s="85" t="s">
        <v>12</v>
      </c>
      <c r="H400" s="148" t="s">
        <v>933</v>
      </c>
      <c r="I400" s="142" t="s">
        <v>933</v>
      </c>
      <c r="J400" s="144" t="s">
        <v>933</v>
      </c>
      <c r="K400" s="144" t="s">
        <v>933</v>
      </c>
      <c r="L400" s="101" t="s">
        <v>888</v>
      </c>
      <c r="M400" s="58"/>
      <c r="N400" s="59"/>
      <c r="O400" s="50"/>
      <c r="P400" s="60"/>
      <c r="R400" s="53" t="s">
        <v>764</v>
      </c>
      <c r="S400" s="53" t="s">
        <v>764</v>
      </c>
      <c r="T400" s="53" t="s">
        <v>769</v>
      </c>
      <c r="U400" s="53" t="s">
        <v>741</v>
      </c>
      <c r="V400" s="53" t="s">
        <v>768</v>
      </c>
      <c r="W400" s="53" t="s">
        <v>780</v>
      </c>
      <c r="X400" s="61">
        <f>IFERROR(IF(W400="","",WORKDAY.INTL(B400,_xlfn.XLOOKUP(W400,Regras!$F$2:$F$11,Regras!$G$2:$G$11))),"")</f>
        <v>45943</v>
      </c>
      <c r="Y400" s="150" t="s">
        <v>1318</v>
      </c>
      <c r="Z400" s="53" t="s">
        <v>764</v>
      </c>
      <c r="AA400" s="53"/>
      <c r="AB400" s="156" t="s">
        <v>1318</v>
      </c>
    </row>
    <row r="401" spans="2:28" x14ac:dyDescent="0.2">
      <c r="B401" s="89">
        <v>45939</v>
      </c>
      <c r="D401" s="99" t="s">
        <v>1311</v>
      </c>
      <c r="E401" s="133" t="s">
        <v>1324</v>
      </c>
      <c r="F401" s="85" t="s">
        <v>22</v>
      </c>
      <c r="G401" s="85" t="s">
        <v>12</v>
      </c>
      <c r="H401" s="148" t="s">
        <v>933</v>
      </c>
      <c r="I401" s="142" t="s">
        <v>933</v>
      </c>
      <c r="J401" s="144" t="s">
        <v>933</v>
      </c>
      <c r="K401" s="144" t="s">
        <v>933</v>
      </c>
      <c r="L401" s="101" t="s">
        <v>888</v>
      </c>
      <c r="M401" s="58"/>
      <c r="N401" s="59"/>
      <c r="O401" s="50"/>
      <c r="P401" s="60"/>
      <c r="R401" s="53" t="s">
        <v>764</v>
      </c>
      <c r="S401" s="53" t="s">
        <v>764</v>
      </c>
      <c r="T401" s="53" t="s">
        <v>769</v>
      </c>
      <c r="U401" s="53" t="s">
        <v>741</v>
      </c>
      <c r="V401" s="53" t="s">
        <v>768</v>
      </c>
      <c r="W401" s="53" t="s">
        <v>780</v>
      </c>
      <c r="X401" s="61">
        <f>IFERROR(IF(W401="","",WORKDAY.INTL(B401,_xlfn.XLOOKUP(W401,Regras!$F$2:$F$11,Regras!$G$2:$G$11))),"")</f>
        <v>45943</v>
      </c>
      <c r="Y401" s="150" t="s">
        <v>1318</v>
      </c>
      <c r="Z401" s="53" t="s">
        <v>764</v>
      </c>
      <c r="AA401" s="53"/>
      <c r="AB401" s="156" t="s">
        <v>1318</v>
      </c>
    </row>
    <row r="402" spans="2:28" x14ac:dyDescent="0.2">
      <c r="B402" s="89">
        <v>45939</v>
      </c>
      <c r="D402" s="99" t="s">
        <v>1312</v>
      </c>
      <c r="E402" s="133" t="s">
        <v>1325</v>
      </c>
      <c r="F402" s="85" t="s">
        <v>22</v>
      </c>
      <c r="G402" s="85" t="s">
        <v>12</v>
      </c>
      <c r="H402" s="148" t="s">
        <v>933</v>
      </c>
      <c r="I402" s="142" t="s">
        <v>933</v>
      </c>
      <c r="J402" s="144" t="s">
        <v>933</v>
      </c>
      <c r="K402" s="144" t="s">
        <v>933</v>
      </c>
      <c r="L402" s="101" t="s">
        <v>888</v>
      </c>
      <c r="M402" s="58"/>
      <c r="N402" s="59"/>
      <c r="O402" s="50"/>
      <c r="P402" s="60"/>
      <c r="R402" s="53" t="s">
        <v>764</v>
      </c>
      <c r="S402" s="53" t="s">
        <v>764</v>
      </c>
      <c r="T402" s="53" t="s">
        <v>769</v>
      </c>
      <c r="U402" s="53" t="s">
        <v>741</v>
      </c>
      <c r="V402" s="53" t="s">
        <v>768</v>
      </c>
      <c r="W402" s="53" t="s">
        <v>780</v>
      </c>
      <c r="X402" s="61">
        <f>IFERROR(IF(W402="","",WORKDAY.INTL(B402,_xlfn.XLOOKUP(W402,Regras!$F$2:$F$11,Regras!$G$2:$G$11))),"")</f>
        <v>45943</v>
      </c>
      <c r="Y402" s="150" t="s">
        <v>1318</v>
      </c>
      <c r="Z402" s="53" t="s">
        <v>764</v>
      </c>
      <c r="AA402" s="53"/>
      <c r="AB402" s="156" t="s">
        <v>1318</v>
      </c>
    </row>
    <row r="403" spans="2:28" x14ac:dyDescent="0.2">
      <c r="B403" s="89">
        <v>45939</v>
      </c>
      <c r="D403" s="99" t="s">
        <v>1313</v>
      </c>
      <c r="E403" s="133" t="s">
        <v>1326</v>
      </c>
      <c r="F403" s="85" t="s">
        <v>22</v>
      </c>
      <c r="G403" s="85" t="s">
        <v>12</v>
      </c>
      <c r="H403" s="148" t="s">
        <v>933</v>
      </c>
      <c r="I403" s="142" t="s">
        <v>933</v>
      </c>
      <c r="J403" s="144" t="s">
        <v>933</v>
      </c>
      <c r="K403" s="144" t="s">
        <v>933</v>
      </c>
      <c r="L403" s="101" t="s">
        <v>888</v>
      </c>
      <c r="M403" s="58"/>
      <c r="N403" s="59"/>
      <c r="O403" s="50"/>
      <c r="P403" s="60"/>
      <c r="R403" s="53" t="s">
        <v>764</v>
      </c>
      <c r="S403" s="53" t="s">
        <v>764</v>
      </c>
      <c r="T403" s="53" t="s">
        <v>764</v>
      </c>
      <c r="U403" s="53" t="s">
        <v>741</v>
      </c>
      <c r="V403" s="53" t="s">
        <v>768</v>
      </c>
      <c r="W403" s="53" t="s">
        <v>780</v>
      </c>
      <c r="X403" s="61">
        <f>IFERROR(IF(W403="","",WORKDAY.INTL(B403,_xlfn.XLOOKUP(W403,Regras!$F$2:$F$11,Regras!$G$2:$G$11))),"")</f>
        <v>45943</v>
      </c>
      <c r="Y403" s="150" t="s">
        <v>1318</v>
      </c>
      <c r="Z403" s="53" t="s">
        <v>764</v>
      </c>
      <c r="AA403" s="53"/>
      <c r="AB403" s="156" t="s">
        <v>1318</v>
      </c>
    </row>
    <row r="404" spans="2:28" x14ac:dyDescent="0.2">
      <c r="B404" s="89">
        <v>45939</v>
      </c>
      <c r="D404" s="99" t="s">
        <v>1314</v>
      </c>
      <c r="E404" s="133" t="s">
        <v>1327</v>
      </c>
      <c r="F404" s="85" t="s">
        <v>22</v>
      </c>
      <c r="G404" s="85" t="s">
        <v>12</v>
      </c>
      <c r="H404" s="148" t="s">
        <v>933</v>
      </c>
      <c r="I404" s="142" t="s">
        <v>933</v>
      </c>
      <c r="J404" s="144" t="s">
        <v>933</v>
      </c>
      <c r="K404" s="144" t="s">
        <v>933</v>
      </c>
      <c r="L404" s="101" t="s">
        <v>888</v>
      </c>
      <c r="M404" s="58"/>
      <c r="N404" s="59"/>
      <c r="O404" s="50"/>
      <c r="P404" s="60"/>
      <c r="R404" s="53" t="s">
        <v>764</v>
      </c>
      <c r="S404" s="53" t="s">
        <v>764</v>
      </c>
      <c r="T404" s="53" t="s">
        <v>769</v>
      </c>
      <c r="U404" s="53" t="s">
        <v>741</v>
      </c>
      <c r="V404" s="53" t="s">
        <v>768</v>
      </c>
      <c r="W404" s="53" t="s">
        <v>780</v>
      </c>
      <c r="X404" s="61">
        <f>IFERROR(IF(W404="","",WORKDAY.INTL(B404,_xlfn.XLOOKUP(W404,Regras!$F$2:$F$11,Regras!$G$2:$G$11))),"")</f>
        <v>45943</v>
      </c>
      <c r="Y404" s="150" t="s">
        <v>221</v>
      </c>
      <c r="Z404" s="53" t="s">
        <v>764</v>
      </c>
      <c r="AA404" s="53"/>
      <c r="AB404" s="156" t="s">
        <v>221</v>
      </c>
    </row>
    <row r="405" spans="2:28" x14ac:dyDescent="0.2">
      <c r="B405" s="89">
        <v>45939</v>
      </c>
      <c r="D405" s="99" t="s">
        <v>1315</v>
      </c>
      <c r="E405" s="133" t="s">
        <v>1328</v>
      </c>
      <c r="F405" s="85" t="s">
        <v>22</v>
      </c>
      <c r="G405" s="85" t="s">
        <v>12</v>
      </c>
      <c r="H405" s="148" t="s">
        <v>933</v>
      </c>
      <c r="I405" s="142" t="s">
        <v>933</v>
      </c>
      <c r="J405" s="144" t="s">
        <v>933</v>
      </c>
      <c r="K405" s="144" t="s">
        <v>933</v>
      </c>
      <c r="L405" s="101" t="s">
        <v>888</v>
      </c>
      <c r="M405" s="58"/>
      <c r="N405" s="59"/>
      <c r="O405" s="50"/>
      <c r="P405" s="60"/>
      <c r="R405" s="53" t="s">
        <v>764</v>
      </c>
      <c r="S405" s="53" t="s">
        <v>764</v>
      </c>
      <c r="T405" s="53" t="s">
        <v>769</v>
      </c>
      <c r="U405" s="53" t="s">
        <v>741</v>
      </c>
      <c r="V405" s="53" t="s">
        <v>768</v>
      </c>
      <c r="W405" s="53" t="s">
        <v>780</v>
      </c>
      <c r="X405" s="61">
        <f>IFERROR(IF(W405="","",WORKDAY.INTL(B405,_xlfn.XLOOKUP(W405,Regras!$F$2:$F$11,Regras!$G$2:$G$11))),"")</f>
        <v>45943</v>
      </c>
      <c r="Y405" s="150" t="s">
        <v>1318</v>
      </c>
      <c r="Z405" s="53" t="s">
        <v>764</v>
      </c>
      <c r="AA405" s="53"/>
      <c r="AB405" s="156" t="s">
        <v>1318</v>
      </c>
    </row>
    <row r="406" spans="2:28" x14ac:dyDescent="0.2">
      <c r="B406" s="89">
        <v>45939</v>
      </c>
      <c r="D406" s="99" t="s">
        <v>1330</v>
      </c>
      <c r="E406" s="133" t="s">
        <v>1329</v>
      </c>
      <c r="F406" s="85" t="s">
        <v>17</v>
      </c>
      <c r="G406" s="85" t="s">
        <v>12</v>
      </c>
      <c r="H406" s="148" t="s">
        <v>933</v>
      </c>
      <c r="I406" s="142" t="s">
        <v>933</v>
      </c>
      <c r="J406" s="144" t="s">
        <v>933</v>
      </c>
      <c r="K406" s="144" t="s">
        <v>933</v>
      </c>
      <c r="L406" s="101" t="s">
        <v>888</v>
      </c>
      <c r="M406" s="58"/>
      <c r="N406" s="59"/>
      <c r="O406" s="50"/>
      <c r="P406" s="60"/>
      <c r="R406" s="53" t="s">
        <v>764</v>
      </c>
      <c r="S406" s="53" t="s">
        <v>764</v>
      </c>
      <c r="T406" s="53" t="s">
        <v>764</v>
      </c>
      <c r="U406" s="53" t="s">
        <v>741</v>
      </c>
      <c r="V406" s="53" t="s">
        <v>768</v>
      </c>
      <c r="W406" s="53" t="s">
        <v>796</v>
      </c>
      <c r="X406" s="61" t="str">
        <f>IFERROR(IF(W406="","",WORKDAY.INTL(B406,_xlfn.XLOOKUP(W406,Regras!$F$2:$F$11,Regras!$G$2:$G$11))),"")</f>
        <v/>
      </c>
      <c r="Y406" s="150" t="s">
        <v>1331</v>
      </c>
      <c r="Z406" s="53" t="s">
        <v>764</v>
      </c>
      <c r="AA406" s="53"/>
      <c r="AB406" s="155" t="s">
        <v>1332</v>
      </c>
    </row>
    <row r="407" spans="2:28" x14ac:dyDescent="0.2">
      <c r="B407" s="89">
        <v>45939</v>
      </c>
      <c r="D407" s="99" t="s">
        <v>24</v>
      </c>
      <c r="E407" s="125" t="s">
        <v>25</v>
      </c>
      <c r="F407" s="85" t="s">
        <v>26</v>
      </c>
      <c r="G407" s="85" t="s">
        <v>12</v>
      </c>
      <c r="H407" s="148"/>
      <c r="I407" s="142"/>
      <c r="J407" s="144"/>
      <c r="K407" s="144"/>
      <c r="L407" s="86" t="s">
        <v>741</v>
      </c>
      <c r="M407" s="58"/>
      <c r="N407" s="59"/>
      <c r="O407" s="50"/>
      <c r="P407" s="60"/>
      <c r="R407" s="53" t="s">
        <v>764</v>
      </c>
      <c r="S407" s="53" t="s">
        <v>769</v>
      </c>
      <c r="T407" s="53" t="s">
        <v>769</v>
      </c>
      <c r="U407" s="53" t="s">
        <v>773</v>
      </c>
      <c r="V407" s="53" t="s">
        <v>813</v>
      </c>
      <c r="W407" s="53" t="s">
        <v>777</v>
      </c>
      <c r="X407" s="61" t="str">
        <f>IFERROR(IF(W407="","",WORKDAY.INTL(B407,_xlfn.XLOOKUP(W407,Regras!$F$2:$F$11,Regras!$G$2:$G$11))),"")</f>
        <v/>
      </c>
      <c r="Y407" s="150" t="s">
        <v>1333</v>
      </c>
      <c r="Z407" s="53" t="s">
        <v>764</v>
      </c>
      <c r="AA407" s="53"/>
      <c r="AB407" s="156" t="s">
        <v>1333</v>
      </c>
    </row>
    <row r="408" spans="2:28" x14ac:dyDescent="0.2">
      <c r="B408" s="89">
        <v>45939</v>
      </c>
      <c r="D408" s="99" t="s">
        <v>1010</v>
      </c>
      <c r="E408" s="133" t="s">
        <v>1011</v>
      </c>
      <c r="F408" s="85" t="s">
        <v>11</v>
      </c>
      <c r="G408" s="85" t="s">
        <v>12</v>
      </c>
      <c r="H408" s="148" t="s">
        <v>933</v>
      </c>
      <c r="I408" s="142" t="s">
        <v>933</v>
      </c>
      <c r="J408" s="144" t="s">
        <v>933</v>
      </c>
      <c r="K408" s="144" t="s">
        <v>933</v>
      </c>
      <c r="L408" s="101" t="s">
        <v>888</v>
      </c>
      <c r="M408" s="58"/>
      <c r="N408" s="59"/>
      <c r="O408" s="50"/>
      <c r="P408" s="60"/>
      <c r="R408" s="53" t="s">
        <v>764</v>
      </c>
      <c r="S408" s="53" t="s">
        <v>764</v>
      </c>
      <c r="T408" s="53" t="s">
        <v>769</v>
      </c>
      <c r="U408" s="53" t="s">
        <v>741</v>
      </c>
      <c r="V408" s="53" t="s">
        <v>768</v>
      </c>
      <c r="W408" s="53" t="s">
        <v>780</v>
      </c>
      <c r="X408" s="61">
        <f>IFERROR(IF(W408="","",WORKDAY.INTL(B408,_xlfn.XLOOKUP(W408,Regras!$F$2:$F$11,Regras!$G$2:$G$11))),"")</f>
        <v>45943</v>
      </c>
      <c r="Y408" s="150" t="s">
        <v>1334</v>
      </c>
      <c r="Z408" s="53" t="s">
        <v>764</v>
      </c>
      <c r="AA408" s="53"/>
      <c r="AB408" s="155" t="s">
        <v>973</v>
      </c>
    </row>
    <row r="409" spans="2:28" x14ac:dyDescent="0.2">
      <c r="B409" s="89">
        <v>45939</v>
      </c>
      <c r="D409" s="99" t="s">
        <v>274</v>
      </c>
      <c r="E409" s="125" t="s">
        <v>275</v>
      </c>
      <c r="F409" s="85" t="s">
        <v>22</v>
      </c>
      <c r="G409" s="85" t="s">
        <v>12</v>
      </c>
      <c r="H409" s="148" t="s">
        <v>933</v>
      </c>
      <c r="I409" s="142" t="s">
        <v>933</v>
      </c>
      <c r="J409" s="144" t="s">
        <v>933</v>
      </c>
      <c r="K409" s="144" t="s">
        <v>933</v>
      </c>
      <c r="L409" s="86" t="s">
        <v>741</v>
      </c>
      <c r="M409" s="58"/>
      <c r="N409" s="59"/>
      <c r="O409" s="50"/>
      <c r="P409" s="60"/>
      <c r="R409" s="53" t="s">
        <v>764</v>
      </c>
      <c r="S409" s="53" t="s">
        <v>769</v>
      </c>
      <c r="T409" s="53" t="s">
        <v>769</v>
      </c>
      <c r="U409" s="53" t="s">
        <v>773</v>
      </c>
      <c r="V409" s="53" t="s">
        <v>770</v>
      </c>
      <c r="W409" s="53" t="s">
        <v>839</v>
      </c>
      <c r="X409" s="61">
        <f>IFERROR(IF(W409="","",WORKDAY.INTL(B409,_xlfn.XLOOKUP(W409,Regras!$F$2:$F$11,Regras!$G$2:$G$11))),"")</f>
        <v>45940</v>
      </c>
      <c r="Y409" s="150" t="s">
        <v>1111</v>
      </c>
      <c r="Z409" s="53" t="s">
        <v>764</v>
      </c>
      <c r="AA409" s="53"/>
      <c r="AB409" s="155" t="s">
        <v>1335</v>
      </c>
    </row>
    <row r="410" spans="2:28" x14ac:dyDescent="0.2">
      <c r="B410" s="89">
        <v>45939</v>
      </c>
      <c r="D410" s="99" t="s">
        <v>105</v>
      </c>
      <c r="E410" s="125" t="s">
        <v>106</v>
      </c>
      <c r="F410" s="85" t="s">
        <v>17</v>
      </c>
      <c r="G410" s="85" t="s">
        <v>12</v>
      </c>
      <c r="H410" s="148" t="s">
        <v>96</v>
      </c>
      <c r="I410" s="142">
        <v>1199</v>
      </c>
      <c r="J410" s="144">
        <v>41</v>
      </c>
      <c r="K410" s="144">
        <v>0</v>
      </c>
      <c r="L410" s="86" t="s">
        <v>741</v>
      </c>
      <c r="M410" s="58"/>
      <c r="N410" s="59"/>
      <c r="O410" s="50"/>
      <c r="P410" s="60"/>
      <c r="R410" s="53" t="s">
        <v>764</v>
      </c>
      <c r="S410" s="53" t="s">
        <v>769</v>
      </c>
      <c r="T410" s="53" t="s">
        <v>769</v>
      </c>
      <c r="U410" s="53" t="s">
        <v>741</v>
      </c>
      <c r="V410" s="53" t="s">
        <v>770</v>
      </c>
      <c r="W410" s="53" t="s">
        <v>780</v>
      </c>
      <c r="X410" s="61">
        <f>IFERROR(IF(W410="","",WORKDAY.INTL(B410,_xlfn.XLOOKUP(W410,Regras!$F$2:$F$11,Regras!$G$2:$G$11))),"")</f>
        <v>45943</v>
      </c>
      <c r="Y410" s="150" t="s">
        <v>1336</v>
      </c>
      <c r="Z410" s="53" t="s">
        <v>764</v>
      </c>
      <c r="AA410" s="53"/>
      <c r="AB410" s="156" t="s">
        <v>1336</v>
      </c>
    </row>
    <row r="411" spans="2:28" x14ac:dyDescent="0.2">
      <c r="B411" s="89">
        <v>45939</v>
      </c>
      <c r="D411" s="99" t="s">
        <v>148</v>
      </c>
      <c r="E411" s="85" t="s">
        <v>149</v>
      </c>
      <c r="F411" s="85" t="s">
        <v>22</v>
      </c>
      <c r="G411" s="85" t="s">
        <v>12</v>
      </c>
      <c r="H411" s="148" t="s">
        <v>131</v>
      </c>
      <c r="I411" s="142">
        <v>665.76</v>
      </c>
      <c r="J411" s="144">
        <v>43</v>
      </c>
      <c r="K411" s="144">
        <v>26</v>
      </c>
      <c r="L411" s="86" t="s">
        <v>741</v>
      </c>
      <c r="M411" s="58"/>
      <c r="N411" s="59"/>
      <c r="O411" s="50"/>
      <c r="P411" s="60"/>
      <c r="R411" s="53" t="s">
        <v>764</v>
      </c>
      <c r="S411" s="53" t="s">
        <v>769</v>
      </c>
      <c r="T411" s="53" t="s">
        <v>769</v>
      </c>
      <c r="U411" s="53" t="s">
        <v>741</v>
      </c>
      <c r="V411" s="53" t="s">
        <v>770</v>
      </c>
      <c r="W411" s="53" t="s">
        <v>780</v>
      </c>
      <c r="X411" s="61">
        <f>IFERROR(IF(W411="","",WORKDAY.INTL(B411,_xlfn.XLOOKUP(W411,Regras!$F$2:$F$11,Regras!$G$2:$G$11))),"")</f>
        <v>45943</v>
      </c>
      <c r="Y411" s="150" t="s">
        <v>1337</v>
      </c>
      <c r="Z411" s="53" t="s">
        <v>764</v>
      </c>
      <c r="AA411" s="53"/>
      <c r="AB411" s="156" t="s">
        <v>1337</v>
      </c>
    </row>
    <row r="412" spans="2:28" x14ac:dyDescent="0.2">
      <c r="B412" s="89">
        <v>45939</v>
      </c>
      <c r="D412" s="99" t="s">
        <v>1127</v>
      </c>
      <c r="E412" s="85" t="s">
        <v>1126</v>
      </c>
      <c r="F412" s="85" t="s">
        <v>17</v>
      </c>
      <c r="G412" s="85" t="s">
        <v>12</v>
      </c>
      <c r="H412" s="148"/>
      <c r="I412" s="142"/>
      <c r="J412" s="144"/>
      <c r="K412" s="144"/>
      <c r="L412" s="101" t="s">
        <v>888</v>
      </c>
      <c r="M412" s="58"/>
      <c r="N412" s="59"/>
      <c r="O412" s="50"/>
      <c r="P412" s="60"/>
      <c r="R412" s="53" t="s">
        <v>764</v>
      </c>
      <c r="S412" s="53" t="s">
        <v>769</v>
      </c>
      <c r="T412" s="53" t="s">
        <v>769</v>
      </c>
      <c r="U412" s="53" t="s">
        <v>773</v>
      </c>
      <c r="V412" s="53" t="s">
        <v>768</v>
      </c>
      <c r="W412" s="53" t="s">
        <v>796</v>
      </c>
      <c r="X412" s="61" t="str">
        <f>IFERROR(IF(W412="","",WORKDAY.INTL(B412,_xlfn.XLOOKUP(W412,Regras!$F$2:$F$11,Regras!$G$2:$G$11))),"")</f>
        <v/>
      </c>
      <c r="Y412" s="150" t="s">
        <v>1338</v>
      </c>
      <c r="Z412" s="53" t="s">
        <v>764</v>
      </c>
      <c r="AA412" s="53"/>
      <c r="AB412" s="156" t="s">
        <v>1338</v>
      </c>
    </row>
    <row r="413" spans="2:28" x14ac:dyDescent="0.2">
      <c r="B413" s="89">
        <v>45939</v>
      </c>
      <c r="D413" s="99" t="s">
        <v>150</v>
      </c>
      <c r="E413" s="85" t="s">
        <v>151</v>
      </c>
      <c r="F413" s="85" t="s">
        <v>22</v>
      </c>
      <c r="G413" s="85" t="s">
        <v>12</v>
      </c>
      <c r="H413" s="148" t="s">
        <v>933</v>
      </c>
      <c r="I413" s="142" t="s">
        <v>933</v>
      </c>
      <c r="J413" s="144" t="s">
        <v>933</v>
      </c>
      <c r="K413" s="144" t="s">
        <v>933</v>
      </c>
      <c r="L413" s="86" t="s">
        <v>741</v>
      </c>
      <c r="M413" s="58"/>
      <c r="N413" s="59"/>
      <c r="O413" s="50"/>
      <c r="P413" s="60"/>
      <c r="R413" s="53" t="s">
        <v>764</v>
      </c>
      <c r="S413" s="53" t="s">
        <v>769</v>
      </c>
      <c r="T413" s="53" t="s">
        <v>769</v>
      </c>
      <c r="U413" s="53" t="s">
        <v>773</v>
      </c>
      <c r="V413" s="53" t="s">
        <v>813</v>
      </c>
      <c r="W413" s="53" t="s">
        <v>777</v>
      </c>
      <c r="X413" s="61" t="str">
        <f>IFERROR(IF(W413="","",WORKDAY.INTL(B413,_xlfn.XLOOKUP(W413,Regras!$F$2:$F$11,Regras!$G$2:$G$11))),"")</f>
        <v/>
      </c>
      <c r="Y413" s="150" t="s">
        <v>1121</v>
      </c>
      <c r="Z413" s="53" t="s">
        <v>764</v>
      </c>
      <c r="AA413" s="53"/>
      <c r="AB413" s="156" t="s">
        <v>1121</v>
      </c>
    </row>
    <row r="414" spans="2:28" x14ac:dyDescent="0.2">
      <c r="B414" s="89">
        <v>45939</v>
      </c>
      <c r="D414" s="99" t="s">
        <v>1339</v>
      </c>
      <c r="E414" s="85" t="s">
        <v>1340</v>
      </c>
      <c r="F414" s="85" t="s">
        <v>17</v>
      </c>
      <c r="G414" s="85" t="s">
        <v>12</v>
      </c>
      <c r="H414" s="148" t="s">
        <v>933</v>
      </c>
      <c r="I414" s="142" t="s">
        <v>933</v>
      </c>
      <c r="J414" s="144" t="s">
        <v>933</v>
      </c>
      <c r="K414" s="144" t="s">
        <v>933</v>
      </c>
      <c r="L414" s="101" t="s">
        <v>888</v>
      </c>
      <c r="M414" s="58"/>
      <c r="N414" s="59"/>
      <c r="O414" s="50"/>
      <c r="P414" s="60"/>
      <c r="R414" s="53" t="s">
        <v>764</v>
      </c>
      <c r="S414" s="53" t="s">
        <v>769</v>
      </c>
      <c r="T414" s="53" t="s">
        <v>769</v>
      </c>
      <c r="U414" s="53" t="s">
        <v>741</v>
      </c>
      <c r="V414" s="53" t="s">
        <v>768</v>
      </c>
      <c r="W414" s="53" t="s">
        <v>780</v>
      </c>
      <c r="X414" s="61">
        <f>IFERROR(IF(W414="","",WORKDAY.INTL(B414,_xlfn.XLOOKUP(W414,Regras!$F$2:$F$11,Regras!$G$2:$G$11))),"")</f>
        <v>45943</v>
      </c>
      <c r="Y414" s="150" t="s">
        <v>1341</v>
      </c>
      <c r="Z414" s="53" t="s">
        <v>764</v>
      </c>
      <c r="AA414" s="53"/>
      <c r="AB414" s="156" t="s">
        <v>1341</v>
      </c>
    </row>
    <row r="415" spans="2:28" x14ac:dyDescent="0.2">
      <c r="B415" s="89">
        <v>45939</v>
      </c>
      <c r="D415" s="99" t="s">
        <v>274</v>
      </c>
      <c r="E415" s="85" t="s">
        <v>275</v>
      </c>
      <c r="F415" s="85" t="s">
        <v>22</v>
      </c>
      <c r="G415" s="85" t="s">
        <v>12</v>
      </c>
      <c r="H415" s="148" t="s">
        <v>933</v>
      </c>
      <c r="I415" s="142" t="s">
        <v>933</v>
      </c>
      <c r="J415" s="144" t="s">
        <v>933</v>
      </c>
      <c r="K415" s="144" t="s">
        <v>933</v>
      </c>
      <c r="L415" s="86" t="s">
        <v>741</v>
      </c>
      <c r="M415" s="58"/>
      <c r="N415" s="59"/>
      <c r="O415" s="50"/>
      <c r="P415" s="60"/>
      <c r="R415" s="53" t="s">
        <v>764</v>
      </c>
      <c r="S415" s="53" t="s">
        <v>769</v>
      </c>
      <c r="T415" s="53" t="s">
        <v>769</v>
      </c>
      <c r="U415" s="53" t="s">
        <v>741</v>
      </c>
      <c r="V415" s="53" t="s">
        <v>770</v>
      </c>
      <c r="W415" s="53" t="s">
        <v>766</v>
      </c>
      <c r="X415" s="61">
        <f>IFERROR(IF(W415="","",WORKDAY.INTL(B415,_xlfn.XLOOKUP(W415,Regras!$F$2:$F$11,Regras!$G$2:$G$11))),"")</f>
        <v>46002</v>
      </c>
      <c r="Y415" s="150" t="s">
        <v>1003</v>
      </c>
      <c r="Z415" s="53" t="s">
        <v>764</v>
      </c>
      <c r="AA415" s="53"/>
      <c r="AB415" s="156" t="s">
        <v>1003</v>
      </c>
    </row>
    <row r="416" spans="2:28" x14ac:dyDescent="0.2">
      <c r="B416" s="89">
        <v>45940</v>
      </c>
      <c r="D416" s="99" t="s">
        <v>254</v>
      </c>
      <c r="E416" s="85" t="s">
        <v>255</v>
      </c>
      <c r="F416" s="85" t="s">
        <v>46</v>
      </c>
      <c r="G416" s="85" t="s">
        <v>12</v>
      </c>
      <c r="H416" s="148" t="s">
        <v>253</v>
      </c>
      <c r="I416" s="142">
        <v>697.63</v>
      </c>
      <c r="J416" s="144">
        <v>60</v>
      </c>
      <c r="K416" s="144">
        <v>33.333300000000001</v>
      </c>
      <c r="L416" s="86" t="s">
        <v>741</v>
      </c>
      <c r="M416" s="58"/>
      <c r="N416" s="59"/>
      <c r="O416" s="50"/>
      <c r="P416" s="60"/>
      <c r="R416" s="53" t="s">
        <v>764</v>
      </c>
      <c r="S416" s="53" t="s">
        <v>764</v>
      </c>
      <c r="T416" s="53" t="s">
        <v>764</v>
      </c>
      <c r="U416" s="53" t="s">
        <v>741</v>
      </c>
      <c r="V416" s="53" t="s">
        <v>770</v>
      </c>
      <c r="W416" s="53" t="s">
        <v>1054</v>
      </c>
      <c r="X416" s="61">
        <f>IFERROR(IF(W416="","",WORKDAY.INTL(B416,_xlfn.XLOOKUP(W416,Regras!$F$2:$F$11,Regras!$G$2:$G$11))),"")</f>
        <v>45961</v>
      </c>
      <c r="Y416" s="150" t="s">
        <v>4511</v>
      </c>
      <c r="Z416" s="53" t="s">
        <v>764</v>
      </c>
      <c r="AA416" s="53"/>
      <c r="AB416" s="156" t="s">
        <v>4511</v>
      </c>
    </row>
    <row r="417" spans="2:28" x14ac:dyDescent="0.2">
      <c r="B417" s="89">
        <v>45940</v>
      </c>
      <c r="D417" s="99" t="s">
        <v>282</v>
      </c>
      <c r="E417" s="85" t="s">
        <v>283</v>
      </c>
      <c r="F417" s="85" t="s">
        <v>46</v>
      </c>
      <c r="G417" s="85" t="s">
        <v>12</v>
      </c>
      <c r="H417" s="148" t="s">
        <v>269</v>
      </c>
      <c r="I417" s="142">
        <v>1524.53</v>
      </c>
      <c r="J417" s="144">
        <v>62</v>
      </c>
      <c r="K417" s="144">
        <v>0</v>
      </c>
      <c r="L417" s="86" t="s">
        <v>741</v>
      </c>
      <c r="M417" s="58"/>
      <c r="N417" s="59"/>
      <c r="O417" s="50"/>
      <c r="P417" s="60"/>
      <c r="R417" s="53" t="s">
        <v>764</v>
      </c>
      <c r="S417" s="53" t="s">
        <v>769</v>
      </c>
      <c r="T417" s="53" t="s">
        <v>769</v>
      </c>
      <c r="U417" s="53" t="s">
        <v>741</v>
      </c>
      <c r="V417" s="53" t="s">
        <v>770</v>
      </c>
      <c r="W417" s="53" t="s">
        <v>780</v>
      </c>
      <c r="X417" s="61">
        <f>IFERROR(IF(W417="","",WORKDAY.INTL(B417,_xlfn.XLOOKUP(W417,Regras!$F$2:$F$11,Regras!$G$2:$G$11))),"")</f>
        <v>45944</v>
      </c>
      <c r="Y417" s="150" t="s">
        <v>810</v>
      </c>
      <c r="Z417" s="53" t="s">
        <v>764</v>
      </c>
      <c r="AA417" s="53"/>
      <c r="AB417" s="155" t="s">
        <v>4512</v>
      </c>
    </row>
    <row r="418" spans="2:28" x14ac:dyDescent="0.2">
      <c r="B418" s="89">
        <v>45940</v>
      </c>
      <c r="D418" s="99" t="s">
        <v>322</v>
      </c>
      <c r="E418" s="85" t="s">
        <v>323</v>
      </c>
      <c r="F418" s="85" t="s">
        <v>22</v>
      </c>
      <c r="G418" s="85" t="s">
        <v>12</v>
      </c>
      <c r="H418" s="148" t="s">
        <v>315</v>
      </c>
      <c r="I418" s="142">
        <v>720.13</v>
      </c>
      <c r="J418" s="144">
        <v>70</v>
      </c>
      <c r="K418" s="144">
        <v>39</v>
      </c>
      <c r="L418" s="86" t="s">
        <v>741</v>
      </c>
      <c r="M418" s="58"/>
      <c r="N418" s="59"/>
      <c r="O418" s="50"/>
      <c r="P418" s="60"/>
      <c r="R418" s="53" t="s">
        <v>764</v>
      </c>
      <c r="S418" s="53" t="s">
        <v>769</v>
      </c>
      <c r="T418" s="53" t="s">
        <v>769</v>
      </c>
      <c r="U418" s="53" t="s">
        <v>741</v>
      </c>
      <c r="V418" s="53" t="s">
        <v>770</v>
      </c>
      <c r="W418" s="53" t="s">
        <v>1054</v>
      </c>
      <c r="X418" s="61">
        <f>IFERROR(IF(W418="","",WORKDAY.INTL(B418,_xlfn.XLOOKUP(W418,Regras!$F$2:$F$11,Regras!$G$2:$G$11))),"")</f>
        <v>45961</v>
      </c>
      <c r="Y418" s="150" t="s">
        <v>4513</v>
      </c>
      <c r="Z418" s="53" t="s">
        <v>764</v>
      </c>
      <c r="AA418" s="53"/>
      <c r="AB418" s="155" t="s">
        <v>4514</v>
      </c>
    </row>
    <row r="419" spans="2:28" x14ac:dyDescent="0.2">
      <c r="B419" s="89">
        <v>45940</v>
      </c>
      <c r="D419" s="99" t="s">
        <v>348</v>
      </c>
      <c r="E419" s="110" t="s">
        <v>349</v>
      </c>
      <c r="F419" s="85" t="s">
        <v>22</v>
      </c>
      <c r="G419" s="85" t="s">
        <v>12</v>
      </c>
      <c r="H419" s="148" t="s">
        <v>347</v>
      </c>
      <c r="I419" s="142">
        <v>2102.89</v>
      </c>
      <c r="J419" s="144">
        <v>75</v>
      </c>
      <c r="K419" s="144">
        <v>0</v>
      </c>
      <c r="L419" s="86" t="s">
        <v>741</v>
      </c>
      <c r="M419" s="58"/>
      <c r="N419" s="59"/>
      <c r="O419" s="50"/>
      <c r="P419" s="60"/>
      <c r="R419" s="53" t="s">
        <v>764</v>
      </c>
      <c r="S419" s="53" t="s">
        <v>764</v>
      </c>
      <c r="T419" s="53" t="s">
        <v>769</v>
      </c>
      <c r="U419" s="53" t="s">
        <v>741</v>
      </c>
      <c r="V419" s="53" t="s">
        <v>770</v>
      </c>
      <c r="W419" s="53" t="s">
        <v>1053</v>
      </c>
      <c r="X419" s="61">
        <f>IFERROR(IF(W419="","",WORKDAY.INTL(B419,_xlfn.XLOOKUP(W419,Regras!$F$2:$F$11,Regras!$G$2:$G$11))),"")</f>
        <v>45951</v>
      </c>
      <c r="Y419" s="150" t="s">
        <v>4515</v>
      </c>
      <c r="Z419" s="53" t="s">
        <v>764</v>
      </c>
      <c r="AA419" s="53"/>
      <c r="AB419" s="155" t="s">
        <v>4516</v>
      </c>
    </row>
    <row r="420" spans="2:28" x14ac:dyDescent="0.2">
      <c r="B420" s="89">
        <v>45940</v>
      </c>
      <c r="D420" s="99" t="s">
        <v>1268</v>
      </c>
      <c r="E420" s="110" t="s">
        <v>1278</v>
      </c>
      <c r="F420" s="85" t="s">
        <v>22</v>
      </c>
      <c r="G420" s="85" t="s">
        <v>12</v>
      </c>
      <c r="H420" s="148" t="s">
        <v>933</v>
      </c>
      <c r="I420" s="142" t="s">
        <v>933</v>
      </c>
      <c r="J420" s="144" t="s">
        <v>933</v>
      </c>
      <c r="K420" s="144" t="s">
        <v>933</v>
      </c>
      <c r="L420" s="101" t="s">
        <v>888</v>
      </c>
      <c r="M420" s="58"/>
      <c r="N420" s="59"/>
      <c r="O420" s="50"/>
      <c r="P420" s="60"/>
      <c r="R420" s="53" t="s">
        <v>764</v>
      </c>
      <c r="S420" s="53" t="s">
        <v>769</v>
      </c>
      <c r="T420" s="53" t="s">
        <v>769</v>
      </c>
      <c r="U420" s="53" t="s">
        <v>741</v>
      </c>
      <c r="V420" s="53" t="s">
        <v>768</v>
      </c>
      <c r="W420" s="53" t="s">
        <v>780</v>
      </c>
      <c r="X420" s="61">
        <f>IFERROR(IF(W420="","",WORKDAY.INTL(B420,_xlfn.XLOOKUP(W420,Regras!$F$2:$F$11,Regras!$G$2:$G$11))),"")</f>
        <v>45944</v>
      </c>
      <c r="Y420" s="150" t="s">
        <v>1238</v>
      </c>
      <c r="Z420" s="53" t="s">
        <v>764</v>
      </c>
      <c r="AA420" s="53"/>
      <c r="AB420" s="155" t="s">
        <v>4517</v>
      </c>
    </row>
    <row r="421" spans="2:28" x14ac:dyDescent="0.2">
      <c r="B421" s="89">
        <v>45940</v>
      </c>
      <c r="D421" s="99" t="s">
        <v>1269</v>
      </c>
      <c r="E421" s="110" t="s">
        <v>1279</v>
      </c>
      <c r="F421" s="85" t="s">
        <v>22</v>
      </c>
      <c r="G421" s="85" t="s">
        <v>12</v>
      </c>
      <c r="H421" s="148" t="s">
        <v>933</v>
      </c>
      <c r="I421" s="142" t="s">
        <v>933</v>
      </c>
      <c r="J421" s="144" t="s">
        <v>933</v>
      </c>
      <c r="K421" s="144" t="s">
        <v>933</v>
      </c>
      <c r="L421" s="101" t="s">
        <v>888</v>
      </c>
      <c r="M421" s="58"/>
      <c r="N421" s="59"/>
      <c r="O421" s="50"/>
      <c r="P421" s="60"/>
      <c r="R421" s="53" t="s">
        <v>764</v>
      </c>
      <c r="S421" s="53" t="s">
        <v>764</v>
      </c>
      <c r="T421" s="53" t="s">
        <v>764</v>
      </c>
      <c r="U421" s="53" t="s">
        <v>741</v>
      </c>
      <c r="V421" s="53" t="s">
        <v>768</v>
      </c>
      <c r="W421" s="53" t="s">
        <v>780</v>
      </c>
      <c r="X421" s="61">
        <f>IFERROR(IF(W421="","",WORKDAY.INTL(B421,_xlfn.XLOOKUP(W421,Regras!$F$2:$F$11,Regras!$G$2:$G$11))),"")</f>
        <v>45944</v>
      </c>
      <c r="Y421" s="150" t="s">
        <v>1238</v>
      </c>
      <c r="Z421" s="53" t="s">
        <v>764</v>
      </c>
      <c r="AA421" s="53"/>
      <c r="AB421" s="155" t="s">
        <v>4518</v>
      </c>
    </row>
    <row r="422" spans="2:28" x14ac:dyDescent="0.2">
      <c r="B422" s="89">
        <v>45940</v>
      </c>
      <c r="D422" s="99" t="s">
        <v>1271</v>
      </c>
      <c r="E422" s="110" t="s">
        <v>1281</v>
      </c>
      <c r="F422" s="85" t="s">
        <v>22</v>
      </c>
      <c r="G422" s="85" t="s">
        <v>12</v>
      </c>
      <c r="H422" s="148" t="s">
        <v>933</v>
      </c>
      <c r="I422" s="142" t="s">
        <v>933</v>
      </c>
      <c r="J422" s="144" t="s">
        <v>933</v>
      </c>
      <c r="K422" s="144" t="s">
        <v>933</v>
      </c>
      <c r="L422" s="101" t="s">
        <v>888</v>
      </c>
      <c r="M422" s="58"/>
      <c r="N422" s="59"/>
      <c r="O422" s="50"/>
      <c r="P422" s="60"/>
      <c r="R422" s="53" t="s">
        <v>764</v>
      </c>
      <c r="S422" s="53" t="s">
        <v>764</v>
      </c>
      <c r="T422" s="53" t="s">
        <v>764</v>
      </c>
      <c r="U422" s="53" t="s">
        <v>741</v>
      </c>
      <c r="V422" s="53" t="s">
        <v>768</v>
      </c>
      <c r="W422" s="53" t="s">
        <v>1053</v>
      </c>
      <c r="X422" s="61">
        <f>IFERROR(IF(W422="","",WORKDAY.INTL(B422,_xlfn.XLOOKUP(W422,Regras!$F$2:$F$11,Regras!$G$2:$G$11))),"")</f>
        <v>45951</v>
      </c>
      <c r="Y422" s="150" t="s">
        <v>4519</v>
      </c>
      <c r="Z422" s="53" t="s">
        <v>764</v>
      </c>
      <c r="AA422" s="53"/>
      <c r="AB422" s="156" t="s">
        <v>4519</v>
      </c>
    </row>
    <row r="423" spans="2:28" x14ac:dyDescent="0.2">
      <c r="B423" s="89">
        <v>45940</v>
      </c>
      <c r="D423" s="99" t="s">
        <v>1272</v>
      </c>
      <c r="E423" s="110" t="s">
        <v>1282</v>
      </c>
      <c r="F423" s="85" t="s">
        <v>22</v>
      </c>
      <c r="G423" s="85" t="s">
        <v>12</v>
      </c>
      <c r="H423" s="148" t="s">
        <v>933</v>
      </c>
      <c r="I423" s="142" t="s">
        <v>933</v>
      </c>
      <c r="J423" s="144" t="s">
        <v>933</v>
      </c>
      <c r="K423" s="144" t="s">
        <v>933</v>
      </c>
      <c r="L423" s="101" t="s">
        <v>888</v>
      </c>
      <c r="M423" s="58"/>
      <c r="N423" s="59"/>
      <c r="O423" s="50"/>
      <c r="P423" s="60"/>
      <c r="R423" s="53" t="s">
        <v>764</v>
      </c>
      <c r="S423" s="53" t="s">
        <v>769</v>
      </c>
      <c r="T423" s="53" t="s">
        <v>769</v>
      </c>
      <c r="U423" s="53" t="s">
        <v>741</v>
      </c>
      <c r="V423" s="53" t="s">
        <v>768</v>
      </c>
      <c r="W423" s="53" t="s">
        <v>1053</v>
      </c>
      <c r="X423" s="61">
        <f>IFERROR(IF(W423="","",WORKDAY.INTL(B423,_xlfn.XLOOKUP(W423,Regras!$F$2:$F$11,Regras!$G$2:$G$11))),"")</f>
        <v>45951</v>
      </c>
      <c r="Y423" s="150" t="s">
        <v>4520</v>
      </c>
      <c r="Z423" s="53" t="s">
        <v>764</v>
      </c>
      <c r="AA423" s="53"/>
      <c r="AB423" s="156" t="s">
        <v>4520</v>
      </c>
    </row>
    <row r="424" spans="2:28" x14ac:dyDescent="0.2">
      <c r="B424" s="89">
        <v>45940</v>
      </c>
      <c r="D424" s="99" t="s">
        <v>1273</v>
      </c>
      <c r="E424" s="110" t="s">
        <v>1283</v>
      </c>
      <c r="F424" s="85" t="s">
        <v>22</v>
      </c>
      <c r="G424" s="85" t="s">
        <v>12</v>
      </c>
      <c r="H424" s="148" t="s">
        <v>933</v>
      </c>
      <c r="I424" s="142" t="s">
        <v>933</v>
      </c>
      <c r="J424" s="144" t="s">
        <v>933</v>
      </c>
      <c r="K424" s="144" t="s">
        <v>933</v>
      </c>
      <c r="L424" s="101" t="s">
        <v>888</v>
      </c>
      <c r="M424" s="58"/>
      <c r="N424" s="59"/>
      <c r="O424" s="50"/>
      <c r="P424" s="60"/>
      <c r="R424" s="53" t="s">
        <v>764</v>
      </c>
      <c r="S424" s="53" t="s">
        <v>769</v>
      </c>
      <c r="T424" s="53" t="s">
        <v>769</v>
      </c>
      <c r="U424" s="53" t="s">
        <v>741</v>
      </c>
      <c r="V424" s="53" t="s">
        <v>768</v>
      </c>
      <c r="W424" s="53" t="s">
        <v>1053</v>
      </c>
      <c r="X424" s="61">
        <f>IFERROR(IF(W424="","",WORKDAY.INTL(B424,_xlfn.XLOOKUP(W424,Regras!$F$2:$F$11,Regras!$G$2:$G$11))),"")</f>
        <v>45951</v>
      </c>
      <c r="Y424" s="150" t="s">
        <v>4521</v>
      </c>
      <c r="Z424" s="53" t="s">
        <v>764</v>
      </c>
      <c r="AA424" s="53"/>
      <c r="AB424" s="156" t="s">
        <v>4521</v>
      </c>
    </row>
    <row r="425" spans="2:28" x14ac:dyDescent="0.2">
      <c r="B425" s="89">
        <v>45940</v>
      </c>
      <c r="D425" s="99" t="s">
        <v>1274</v>
      </c>
      <c r="E425" s="110" t="s">
        <v>1284</v>
      </c>
      <c r="F425" s="85" t="s">
        <v>22</v>
      </c>
      <c r="G425" s="85" t="s">
        <v>12</v>
      </c>
      <c r="H425" s="148" t="s">
        <v>933</v>
      </c>
      <c r="I425" s="142" t="s">
        <v>933</v>
      </c>
      <c r="J425" s="144" t="s">
        <v>933</v>
      </c>
      <c r="K425" s="144" t="s">
        <v>933</v>
      </c>
      <c r="L425" s="101" t="s">
        <v>888</v>
      </c>
      <c r="M425" s="58"/>
      <c r="N425" s="59"/>
      <c r="O425" s="50"/>
      <c r="P425" s="60"/>
      <c r="R425" s="53" t="s">
        <v>764</v>
      </c>
      <c r="S425" s="53" t="s">
        <v>769</v>
      </c>
      <c r="T425" s="53" t="s">
        <v>769</v>
      </c>
      <c r="U425" s="53" t="s">
        <v>741</v>
      </c>
      <c r="V425" s="53" t="s">
        <v>768</v>
      </c>
      <c r="W425" s="53" t="s">
        <v>780</v>
      </c>
      <c r="X425" s="61">
        <f>IFERROR(IF(W425="","",WORKDAY.INTL(B425,_xlfn.XLOOKUP(W425,Regras!$F$2:$F$11,Regras!$G$2:$G$11))),"")</f>
        <v>45944</v>
      </c>
      <c r="Y425" s="150" t="s">
        <v>4522</v>
      </c>
      <c r="Z425" s="53" t="s">
        <v>764</v>
      </c>
      <c r="AA425" s="53"/>
      <c r="AB425" s="155" t="s">
        <v>4523</v>
      </c>
    </row>
    <row r="426" spans="2:28" x14ac:dyDescent="0.2">
      <c r="B426" s="89">
        <v>45940</v>
      </c>
      <c r="D426" s="99" t="s">
        <v>1277</v>
      </c>
      <c r="E426" s="110" t="s">
        <v>1287</v>
      </c>
      <c r="F426" s="85" t="s">
        <v>22</v>
      </c>
      <c r="G426" s="85" t="s">
        <v>12</v>
      </c>
      <c r="H426" s="148" t="s">
        <v>933</v>
      </c>
      <c r="I426" s="142" t="s">
        <v>933</v>
      </c>
      <c r="J426" s="144" t="s">
        <v>933</v>
      </c>
      <c r="K426" s="144" t="s">
        <v>933</v>
      </c>
      <c r="L426" s="101" t="s">
        <v>888</v>
      </c>
      <c r="M426" s="58"/>
      <c r="N426" s="59"/>
      <c r="O426" s="50"/>
      <c r="P426" s="60"/>
      <c r="R426" s="53" t="s">
        <v>764</v>
      </c>
      <c r="S426" s="53" t="s">
        <v>769</v>
      </c>
      <c r="T426" s="53" t="s">
        <v>769</v>
      </c>
      <c r="U426" s="53" t="s">
        <v>741</v>
      </c>
      <c r="V426" s="53" t="s">
        <v>768</v>
      </c>
      <c r="W426" s="53" t="s">
        <v>780</v>
      </c>
      <c r="X426" s="61">
        <f>IFERROR(IF(W426="","",WORKDAY.INTL(B426,_xlfn.XLOOKUP(W426,Regras!$F$2:$F$11,Regras!$G$2:$G$11))),"")</f>
        <v>45944</v>
      </c>
      <c r="Y426" s="150" t="s">
        <v>4524</v>
      </c>
      <c r="Z426" s="53" t="s">
        <v>764</v>
      </c>
      <c r="AA426" s="53"/>
      <c r="AB426" s="156" t="s">
        <v>4524</v>
      </c>
    </row>
    <row r="427" spans="2:28" x14ac:dyDescent="0.2">
      <c r="B427" s="89">
        <v>45940</v>
      </c>
      <c r="D427" s="99" t="s">
        <v>1289</v>
      </c>
      <c r="E427" s="110" t="s">
        <v>1288</v>
      </c>
      <c r="F427" s="85" t="s">
        <v>17</v>
      </c>
      <c r="G427" s="85" t="s">
        <v>12</v>
      </c>
      <c r="H427" s="148" t="s">
        <v>933</v>
      </c>
      <c r="I427" s="142" t="s">
        <v>933</v>
      </c>
      <c r="J427" s="144" t="s">
        <v>933</v>
      </c>
      <c r="K427" s="144" t="s">
        <v>933</v>
      </c>
      <c r="L427" s="101" t="s">
        <v>888</v>
      </c>
      <c r="M427" s="58"/>
      <c r="N427" s="59"/>
      <c r="O427" s="50"/>
      <c r="P427" s="60"/>
      <c r="R427" s="53" t="s">
        <v>764</v>
      </c>
      <c r="S427" s="53" t="s">
        <v>769</v>
      </c>
      <c r="T427" s="53" t="s">
        <v>769</v>
      </c>
      <c r="U427" s="53" t="s">
        <v>741</v>
      </c>
      <c r="V427" s="53" t="s">
        <v>768</v>
      </c>
      <c r="W427" s="53" t="s">
        <v>780</v>
      </c>
      <c r="X427" s="61">
        <f>IFERROR(IF(W427="","",WORKDAY.INTL(B427,_xlfn.XLOOKUP(W427,Regras!$F$2:$F$11,Regras!$G$2:$G$11))),"")</f>
        <v>45944</v>
      </c>
      <c r="Y427" s="150" t="s">
        <v>1341</v>
      </c>
      <c r="Z427" s="53" t="s">
        <v>764</v>
      </c>
      <c r="AA427" s="53"/>
      <c r="AB427" s="156" t="s">
        <v>1341</v>
      </c>
    </row>
    <row r="428" spans="2:28" x14ac:dyDescent="0.2">
      <c r="B428" s="89">
        <v>45940</v>
      </c>
      <c r="D428" s="99" t="s">
        <v>1291</v>
      </c>
      <c r="E428" s="110" t="s">
        <v>1290</v>
      </c>
      <c r="F428" s="85" t="s">
        <v>22</v>
      </c>
      <c r="G428" s="85" t="s">
        <v>12</v>
      </c>
      <c r="H428" s="148" t="s">
        <v>933</v>
      </c>
      <c r="I428" s="142" t="s">
        <v>933</v>
      </c>
      <c r="J428" s="144" t="s">
        <v>933</v>
      </c>
      <c r="K428" s="144" t="s">
        <v>933</v>
      </c>
      <c r="L428" s="101" t="s">
        <v>888</v>
      </c>
      <c r="M428" s="58"/>
      <c r="N428" s="59"/>
      <c r="O428" s="50"/>
      <c r="P428" s="60"/>
      <c r="R428" s="53" t="s">
        <v>764</v>
      </c>
      <c r="S428" s="53" t="s">
        <v>769</v>
      </c>
      <c r="T428" s="53" t="s">
        <v>769</v>
      </c>
      <c r="U428" s="53" t="s">
        <v>741</v>
      </c>
      <c r="V428" s="53" t="s">
        <v>768</v>
      </c>
      <c r="W428" s="53" t="s">
        <v>780</v>
      </c>
      <c r="X428" s="61">
        <f>IFERROR(IF(W428="","",WORKDAY.INTL(B428,_xlfn.XLOOKUP(W428,Regras!$F$2:$F$11,Regras!$G$2:$G$11))),"")</f>
        <v>45944</v>
      </c>
      <c r="Y428" s="150" t="s">
        <v>1341</v>
      </c>
      <c r="Z428" s="53" t="s">
        <v>764</v>
      </c>
      <c r="AA428" s="53"/>
      <c r="AB428" s="156" t="s">
        <v>1341</v>
      </c>
    </row>
    <row r="429" spans="2:28" x14ac:dyDescent="0.2">
      <c r="B429" s="89">
        <v>45940</v>
      </c>
      <c r="D429" s="99" t="s">
        <v>94</v>
      </c>
      <c r="E429" s="110" t="s">
        <v>95</v>
      </c>
      <c r="F429" s="85" t="s">
        <v>11</v>
      </c>
      <c r="G429" s="85" t="s">
        <v>12</v>
      </c>
      <c r="H429" s="148" t="s">
        <v>96</v>
      </c>
      <c r="I429" s="142">
        <v>2571.8200000000002</v>
      </c>
      <c r="J429" s="144">
        <v>41</v>
      </c>
      <c r="K429" s="144">
        <v>91</v>
      </c>
      <c r="L429" s="86" t="s">
        <v>741</v>
      </c>
      <c r="M429" s="58"/>
      <c r="N429" s="59"/>
      <c r="O429" s="50"/>
      <c r="P429" s="60"/>
      <c r="R429" s="53" t="s">
        <v>764</v>
      </c>
      <c r="S429" s="53" t="s">
        <v>769</v>
      </c>
      <c r="T429" s="53" t="s">
        <v>769</v>
      </c>
      <c r="U429" s="53" t="s">
        <v>741</v>
      </c>
      <c r="V429" s="53" t="s">
        <v>770</v>
      </c>
      <c r="W429" s="53" t="s">
        <v>766</v>
      </c>
      <c r="X429" s="61">
        <f>IFERROR(IF(W429="","",WORKDAY.INTL(B429,_xlfn.XLOOKUP(W429,Regras!$F$2:$F$11,Regras!$G$2:$G$11))),"")</f>
        <v>46003</v>
      </c>
      <c r="Y429" s="150"/>
      <c r="Z429" s="53" t="s">
        <v>764</v>
      </c>
      <c r="AA429" s="53"/>
    </row>
    <row r="430" spans="2:28" x14ac:dyDescent="0.2">
      <c r="B430" s="89">
        <v>45943</v>
      </c>
      <c r="D430" s="99" t="s">
        <v>105</v>
      </c>
      <c r="E430" s="110" t="s">
        <v>106</v>
      </c>
      <c r="F430" s="85" t="s">
        <v>17</v>
      </c>
      <c r="G430" s="85" t="s">
        <v>12</v>
      </c>
      <c r="H430" s="148" t="s">
        <v>96</v>
      </c>
      <c r="I430" s="142">
        <v>1199</v>
      </c>
      <c r="J430" s="144">
        <v>41</v>
      </c>
      <c r="K430" s="144">
        <v>0</v>
      </c>
      <c r="L430" s="86" t="s">
        <v>741</v>
      </c>
      <c r="M430" s="58"/>
      <c r="N430" s="59"/>
      <c r="O430" s="50"/>
      <c r="P430" s="60"/>
      <c r="R430" s="53" t="s">
        <v>764</v>
      </c>
      <c r="S430" s="53" t="s">
        <v>764</v>
      </c>
      <c r="T430" s="53" t="s">
        <v>769</v>
      </c>
      <c r="U430" s="53" t="s">
        <v>741</v>
      </c>
      <c r="V430" s="53" t="s">
        <v>770</v>
      </c>
      <c r="W430" s="53" t="s">
        <v>780</v>
      </c>
      <c r="X430" s="61">
        <f>IFERROR(IF(W430="","",WORKDAY.INTL(B430,_xlfn.XLOOKUP(W430,Regras!$F$2:$F$11,Regras!$G$2:$G$11))),"")</f>
        <v>45945</v>
      </c>
      <c r="Y430" s="150" t="s">
        <v>4525</v>
      </c>
      <c r="Z430" s="53" t="s">
        <v>764</v>
      </c>
      <c r="AA430" s="53"/>
      <c r="AB430" s="156" t="s">
        <v>4525</v>
      </c>
    </row>
    <row r="431" spans="2:28" x14ac:dyDescent="0.2">
      <c r="B431" s="89">
        <v>45943</v>
      </c>
      <c r="D431" s="99" t="s">
        <v>148</v>
      </c>
      <c r="E431" s="110" t="s">
        <v>149</v>
      </c>
      <c r="F431" s="85" t="s">
        <v>22</v>
      </c>
      <c r="G431" s="85" t="s">
        <v>12</v>
      </c>
      <c r="H431" s="148" t="s">
        <v>131</v>
      </c>
      <c r="I431" s="142">
        <v>665.76</v>
      </c>
      <c r="J431" s="144">
        <v>43</v>
      </c>
      <c r="K431" s="144">
        <v>26</v>
      </c>
      <c r="L431" s="86" t="s">
        <v>741</v>
      </c>
      <c r="M431" s="58"/>
      <c r="N431" s="59"/>
      <c r="O431" s="50"/>
      <c r="P431" s="60"/>
      <c r="R431" s="53" t="s">
        <v>764</v>
      </c>
      <c r="S431" s="53" t="s">
        <v>769</v>
      </c>
      <c r="T431" s="53" t="s">
        <v>769</v>
      </c>
      <c r="U431" s="53" t="s">
        <v>741</v>
      </c>
      <c r="V431" s="53" t="s">
        <v>770</v>
      </c>
      <c r="W431" s="53" t="s">
        <v>780</v>
      </c>
      <c r="X431" s="61">
        <f>IFERROR(IF(W431="","",WORKDAY.INTL(B431,_xlfn.XLOOKUP(W431,Regras!$F$2:$F$11,Regras!$G$2:$G$11))),"")</f>
        <v>45945</v>
      </c>
      <c r="Y431" s="150" t="s">
        <v>1046</v>
      </c>
      <c r="Z431" s="53" t="s">
        <v>764</v>
      </c>
      <c r="AA431" s="53"/>
      <c r="AB431" s="155" t="s">
        <v>4526</v>
      </c>
    </row>
    <row r="432" spans="2:28" x14ac:dyDescent="0.2">
      <c r="B432" s="89">
        <v>45943</v>
      </c>
      <c r="D432" s="99" t="s">
        <v>284</v>
      </c>
      <c r="E432" s="110" t="s">
        <v>285</v>
      </c>
      <c r="F432" s="85" t="s">
        <v>22</v>
      </c>
      <c r="G432" s="85" t="s">
        <v>12</v>
      </c>
      <c r="H432" s="148" t="s">
        <v>286</v>
      </c>
      <c r="I432" s="142">
        <v>767.84</v>
      </c>
      <c r="J432" s="144">
        <v>63</v>
      </c>
      <c r="K432" s="144">
        <v>42.5</v>
      </c>
      <c r="L432" s="86" t="s">
        <v>741</v>
      </c>
      <c r="M432" s="58"/>
      <c r="N432" s="59"/>
      <c r="O432" s="50"/>
      <c r="P432" s="60"/>
      <c r="R432" s="53" t="s">
        <v>764</v>
      </c>
      <c r="S432" s="53" t="s">
        <v>769</v>
      </c>
      <c r="T432" s="53" t="s">
        <v>769</v>
      </c>
      <c r="U432" s="53" t="s">
        <v>741</v>
      </c>
      <c r="V432" s="53" t="s">
        <v>770</v>
      </c>
      <c r="W432" s="53" t="s">
        <v>780</v>
      </c>
      <c r="X432" s="61">
        <f>IFERROR(IF(W432="","",WORKDAY.INTL(B432,_xlfn.XLOOKUP(W432,Regras!$F$2:$F$11,Regras!$G$2:$G$11))),"")</f>
        <v>45945</v>
      </c>
      <c r="Y432" s="150" t="s">
        <v>1046</v>
      </c>
      <c r="Z432" s="53" t="s">
        <v>764</v>
      </c>
      <c r="AA432" s="53"/>
      <c r="AB432" s="155" t="s">
        <v>4526</v>
      </c>
    </row>
    <row r="433" spans="2:28" x14ac:dyDescent="0.2">
      <c r="B433" s="89">
        <v>45943</v>
      </c>
      <c r="D433" s="99" t="s">
        <v>1010</v>
      </c>
      <c r="E433" s="110" t="s">
        <v>1011</v>
      </c>
      <c r="F433" s="85" t="s">
        <v>11</v>
      </c>
      <c r="G433" s="85" t="s">
        <v>829</v>
      </c>
      <c r="H433" s="148" t="s">
        <v>933</v>
      </c>
      <c r="I433" s="142" t="s">
        <v>933</v>
      </c>
      <c r="J433" s="148" t="s">
        <v>933</v>
      </c>
      <c r="K433" s="148" t="s">
        <v>933</v>
      </c>
      <c r="L433" s="101" t="s">
        <v>888</v>
      </c>
      <c r="M433" s="58"/>
      <c r="N433" s="59"/>
      <c r="O433" s="50"/>
      <c r="P433" s="60"/>
      <c r="R433" s="53" t="s">
        <v>764</v>
      </c>
      <c r="S433" s="53" t="s">
        <v>769</v>
      </c>
      <c r="T433" s="53" t="s">
        <v>769</v>
      </c>
      <c r="U433" s="53" t="s">
        <v>773</v>
      </c>
      <c r="V433" s="53" t="s">
        <v>768</v>
      </c>
      <c r="W433" s="53" t="s">
        <v>1054</v>
      </c>
      <c r="X433" s="61">
        <f>IFERROR(IF(W433="","",WORKDAY.INTL(B433,_xlfn.XLOOKUP(W433,Regras!$F$2:$F$11,Regras!$G$2:$G$11))),"")</f>
        <v>45964</v>
      </c>
      <c r="Y433" s="150" t="s">
        <v>4527</v>
      </c>
      <c r="Z433" s="53" t="s">
        <v>764</v>
      </c>
      <c r="AA433" s="53"/>
      <c r="AB433" s="156" t="s">
        <v>4527</v>
      </c>
    </row>
    <row r="434" spans="2:28" x14ac:dyDescent="0.2">
      <c r="B434" s="89">
        <v>45943</v>
      </c>
      <c r="D434" s="99" t="s">
        <v>148</v>
      </c>
      <c r="E434" s="110" t="s">
        <v>149</v>
      </c>
      <c r="F434" s="85" t="s">
        <v>22</v>
      </c>
      <c r="G434" s="85" t="s">
        <v>12</v>
      </c>
      <c r="H434" s="148" t="s">
        <v>131</v>
      </c>
      <c r="I434" s="142">
        <v>665.76</v>
      </c>
      <c r="J434" s="144">
        <v>43</v>
      </c>
      <c r="K434" s="144">
        <v>26</v>
      </c>
      <c r="L434" s="86" t="s">
        <v>741</v>
      </c>
      <c r="M434" s="58"/>
      <c r="N434" s="59"/>
      <c r="O434" s="50"/>
      <c r="P434" s="60"/>
      <c r="R434" s="53" t="s">
        <v>764</v>
      </c>
      <c r="S434" s="53" t="s">
        <v>769</v>
      </c>
      <c r="T434" s="53" t="s">
        <v>769</v>
      </c>
      <c r="U434" s="53" t="s">
        <v>773</v>
      </c>
      <c r="V434" s="53" t="s">
        <v>770</v>
      </c>
      <c r="W434" s="53" t="s">
        <v>780</v>
      </c>
      <c r="X434" s="61">
        <f>IFERROR(IF(W434="","",WORKDAY.INTL(B434,_xlfn.XLOOKUP(W434,Regras!$F$2:$F$11,Regras!$G$2:$G$11))),"")</f>
        <v>45945</v>
      </c>
      <c r="Y434" s="150" t="s">
        <v>4528</v>
      </c>
      <c r="Z434" s="53" t="s">
        <v>764</v>
      </c>
      <c r="AA434" s="53"/>
      <c r="AB434" s="155" t="s">
        <v>4529</v>
      </c>
    </row>
    <row r="435" spans="2:28" x14ac:dyDescent="0.2">
      <c r="B435" s="89">
        <v>45943</v>
      </c>
      <c r="D435" s="99" t="s">
        <v>168</v>
      </c>
      <c r="E435" s="110" t="s">
        <v>169</v>
      </c>
      <c r="F435" s="85" t="s">
        <v>46</v>
      </c>
      <c r="G435" s="85" t="s">
        <v>12</v>
      </c>
      <c r="H435" s="148" t="s">
        <v>933</v>
      </c>
      <c r="I435" s="142" t="s">
        <v>933</v>
      </c>
      <c r="J435" s="148" t="s">
        <v>933</v>
      </c>
      <c r="K435" s="148" t="s">
        <v>933</v>
      </c>
      <c r="L435" s="86" t="s">
        <v>741</v>
      </c>
      <c r="M435" s="58"/>
      <c r="N435" s="59"/>
      <c r="O435" s="50"/>
      <c r="P435" s="60"/>
      <c r="R435" s="53" t="s">
        <v>764</v>
      </c>
      <c r="S435" s="53" t="s">
        <v>769</v>
      </c>
      <c r="T435" s="53" t="s">
        <v>769</v>
      </c>
      <c r="U435" s="53" t="s">
        <v>741</v>
      </c>
      <c r="V435" s="53" t="s">
        <v>770</v>
      </c>
      <c r="W435" s="53" t="s">
        <v>780</v>
      </c>
      <c r="X435" s="61">
        <f>IFERROR(IF(W435="","",WORKDAY.INTL(B435,_xlfn.XLOOKUP(W435,Regras!$F$2:$F$11,Regras!$G$2:$G$11))),"")</f>
        <v>45945</v>
      </c>
      <c r="Y435" s="150" t="s">
        <v>1063</v>
      </c>
      <c r="Z435" s="53" t="s">
        <v>764</v>
      </c>
      <c r="AA435" s="53"/>
      <c r="AB435" s="155" t="s">
        <v>4530</v>
      </c>
    </row>
    <row r="436" spans="2:28" x14ac:dyDescent="0.2">
      <c r="B436" s="89">
        <v>45943</v>
      </c>
      <c r="D436" s="99" t="s">
        <v>209</v>
      </c>
      <c r="E436" s="110" t="s">
        <v>210</v>
      </c>
      <c r="F436" s="85" t="s">
        <v>17</v>
      </c>
      <c r="G436" s="85" t="s">
        <v>12</v>
      </c>
      <c r="H436" s="148" t="s">
        <v>933</v>
      </c>
      <c r="I436" s="142" t="s">
        <v>933</v>
      </c>
      <c r="J436" s="148" t="s">
        <v>933</v>
      </c>
      <c r="K436" s="148" t="s">
        <v>933</v>
      </c>
      <c r="L436" s="86" t="s">
        <v>741</v>
      </c>
      <c r="M436" s="58"/>
      <c r="N436" s="59"/>
      <c r="O436" s="50"/>
      <c r="P436" s="60"/>
      <c r="R436" s="53" t="s">
        <v>764</v>
      </c>
      <c r="S436" s="53" t="s">
        <v>769</v>
      </c>
      <c r="T436" s="53" t="s">
        <v>769</v>
      </c>
      <c r="U436" s="53" t="s">
        <v>741</v>
      </c>
      <c r="V436" s="53" t="s">
        <v>770</v>
      </c>
      <c r="W436" s="53" t="s">
        <v>780</v>
      </c>
      <c r="X436" s="61">
        <f>IFERROR(IF(W436="","",WORKDAY.INTL(B436,_xlfn.XLOOKUP(W436,Regras!$F$2:$F$11,Regras!$G$2:$G$11))),"")</f>
        <v>45945</v>
      </c>
      <c r="Y436" s="150" t="s">
        <v>1046</v>
      </c>
      <c r="Z436" s="53" t="s">
        <v>764</v>
      </c>
      <c r="AA436" s="53"/>
      <c r="AB436" s="155" t="s">
        <v>4531</v>
      </c>
    </row>
    <row r="437" spans="2:28" x14ac:dyDescent="0.2">
      <c r="B437" s="89">
        <v>45943</v>
      </c>
      <c r="D437" s="99" t="s">
        <v>209</v>
      </c>
      <c r="E437" s="110" t="s">
        <v>211</v>
      </c>
      <c r="F437" s="85" t="s">
        <v>17</v>
      </c>
      <c r="G437" s="85" t="s">
        <v>12</v>
      </c>
      <c r="H437" s="148" t="s">
        <v>933</v>
      </c>
      <c r="I437" s="142" t="s">
        <v>933</v>
      </c>
      <c r="J437" s="148" t="s">
        <v>933</v>
      </c>
      <c r="K437" s="148" t="s">
        <v>933</v>
      </c>
      <c r="L437" s="86" t="s">
        <v>741</v>
      </c>
      <c r="M437" s="58"/>
      <c r="N437" s="59"/>
      <c r="O437" s="50"/>
      <c r="P437" s="60"/>
      <c r="R437" s="53" t="s">
        <v>764</v>
      </c>
      <c r="S437" s="53" t="s">
        <v>769</v>
      </c>
      <c r="T437" s="53" t="s">
        <v>769</v>
      </c>
      <c r="U437" s="53" t="s">
        <v>741</v>
      </c>
      <c r="V437" s="53" t="s">
        <v>770</v>
      </c>
      <c r="W437" s="53" t="s">
        <v>780</v>
      </c>
      <c r="X437" s="61">
        <f>IFERROR(IF(W437="","",WORKDAY.INTL(B437,_xlfn.XLOOKUP(W437,Regras!$F$2:$F$11,Regras!$G$2:$G$11))),"")</f>
        <v>45945</v>
      </c>
      <c r="Y437" s="150" t="s">
        <v>1046</v>
      </c>
      <c r="Z437" s="53" t="s">
        <v>764</v>
      </c>
      <c r="AA437" s="53"/>
      <c r="AB437" s="155" t="s">
        <v>4531</v>
      </c>
    </row>
    <row r="438" spans="2:28" x14ac:dyDescent="0.2">
      <c r="B438" s="89">
        <v>45943</v>
      </c>
      <c r="D438" s="99" t="s">
        <v>212</v>
      </c>
      <c r="E438" s="110" t="s">
        <v>213</v>
      </c>
      <c r="F438" s="85" t="s">
        <v>17</v>
      </c>
      <c r="G438" s="85" t="s">
        <v>12</v>
      </c>
      <c r="H438" s="148" t="s">
        <v>933</v>
      </c>
      <c r="I438" s="142" t="s">
        <v>933</v>
      </c>
      <c r="J438" s="148" t="s">
        <v>933</v>
      </c>
      <c r="K438" s="148" t="s">
        <v>933</v>
      </c>
      <c r="L438" s="86" t="s">
        <v>741</v>
      </c>
      <c r="M438" s="58"/>
      <c r="N438" s="59"/>
      <c r="O438" s="50"/>
      <c r="P438" s="60"/>
      <c r="R438" s="53" t="s">
        <v>764</v>
      </c>
      <c r="S438" s="53" t="s">
        <v>769</v>
      </c>
      <c r="T438" s="53" t="s">
        <v>769</v>
      </c>
      <c r="U438" s="53" t="s">
        <v>741</v>
      </c>
      <c r="V438" s="53" t="s">
        <v>770</v>
      </c>
      <c r="W438" s="53" t="s">
        <v>780</v>
      </c>
      <c r="X438" s="61">
        <f>IFERROR(IF(W438="","",WORKDAY.INTL(B438,_xlfn.XLOOKUP(W438,Regras!$F$2:$F$11,Regras!$G$2:$G$11))),"")</f>
        <v>45945</v>
      </c>
      <c r="Y438" s="150" t="s">
        <v>1046</v>
      </c>
      <c r="Z438" s="53" t="s">
        <v>764</v>
      </c>
      <c r="AA438" s="53"/>
      <c r="AB438" s="155" t="s">
        <v>4531</v>
      </c>
    </row>
    <row r="439" spans="2:28" x14ac:dyDescent="0.2">
      <c r="B439" s="89">
        <v>45943</v>
      </c>
      <c r="D439" s="99" t="s">
        <v>1198</v>
      </c>
      <c r="E439" s="110" t="s">
        <v>835</v>
      </c>
      <c r="F439" s="85" t="s">
        <v>17</v>
      </c>
      <c r="G439" s="85" t="s">
        <v>12</v>
      </c>
      <c r="H439" s="148" t="s">
        <v>933</v>
      </c>
      <c r="I439" s="142" t="s">
        <v>933</v>
      </c>
      <c r="J439" s="148" t="s">
        <v>933</v>
      </c>
      <c r="K439" s="148" t="s">
        <v>933</v>
      </c>
      <c r="L439" s="86" t="s">
        <v>741</v>
      </c>
      <c r="M439" s="58"/>
      <c r="N439" s="59"/>
      <c r="O439" s="50"/>
      <c r="P439" s="60"/>
      <c r="R439" s="53" t="s">
        <v>764</v>
      </c>
      <c r="S439" s="53" t="s">
        <v>769</v>
      </c>
      <c r="T439" s="53" t="s">
        <v>769</v>
      </c>
      <c r="U439" s="53" t="s">
        <v>741</v>
      </c>
      <c r="V439" s="53" t="s">
        <v>770</v>
      </c>
      <c r="W439" s="53" t="s">
        <v>780</v>
      </c>
      <c r="X439" s="61">
        <f>IFERROR(IF(W439="","",WORKDAY.INTL(B439,_xlfn.XLOOKUP(W439,Regras!$F$2:$F$11,Regras!$G$2:$G$11))),"")</f>
        <v>45945</v>
      </c>
      <c r="Y439" s="150" t="s">
        <v>1046</v>
      </c>
      <c r="Z439" s="53" t="s">
        <v>764</v>
      </c>
      <c r="AA439" s="53"/>
      <c r="AB439" s="155" t="s">
        <v>4526</v>
      </c>
    </row>
    <row r="440" spans="2:28" x14ac:dyDescent="0.2">
      <c r="B440" s="89">
        <v>45943</v>
      </c>
      <c r="D440" s="99" t="s">
        <v>417</v>
      </c>
      <c r="E440" s="110" t="s">
        <v>418</v>
      </c>
      <c r="F440" s="85" t="s">
        <v>22</v>
      </c>
      <c r="G440" s="85" t="s">
        <v>12</v>
      </c>
      <c r="H440" s="148" t="s">
        <v>933</v>
      </c>
      <c r="I440" s="142" t="s">
        <v>933</v>
      </c>
      <c r="J440" s="148" t="s">
        <v>933</v>
      </c>
      <c r="K440" s="148" t="s">
        <v>933</v>
      </c>
      <c r="L440" s="86" t="s">
        <v>741</v>
      </c>
      <c r="M440" s="58"/>
      <c r="N440" s="59"/>
      <c r="O440" s="50"/>
      <c r="P440" s="60"/>
      <c r="R440" s="53" t="s">
        <v>764</v>
      </c>
      <c r="S440" s="53" t="s">
        <v>764</v>
      </c>
      <c r="T440" s="53" t="s">
        <v>764</v>
      </c>
      <c r="U440" s="53" t="s">
        <v>741</v>
      </c>
      <c r="V440" s="53" t="s">
        <v>770</v>
      </c>
      <c r="W440" s="53" t="s">
        <v>780</v>
      </c>
      <c r="X440" s="61">
        <f>IFERROR(IF(W440="","",WORKDAY.INTL(B440,_xlfn.XLOOKUP(W440,Regras!$F$2:$F$11,Regras!$G$2:$G$11))),"")</f>
        <v>45945</v>
      </c>
      <c r="Y440" s="150" t="s">
        <v>1046</v>
      </c>
      <c r="Z440" s="53" t="s">
        <v>764</v>
      </c>
      <c r="AA440" s="53"/>
      <c r="AB440" s="155" t="s">
        <v>4533</v>
      </c>
    </row>
    <row r="441" spans="2:28" x14ac:dyDescent="0.2">
      <c r="B441" s="89">
        <v>45943</v>
      </c>
      <c r="D441" s="99" t="s">
        <v>75</v>
      </c>
      <c r="E441" s="110" t="s">
        <v>76</v>
      </c>
      <c r="F441" s="85" t="s">
        <v>46</v>
      </c>
      <c r="G441" s="85" t="s">
        <v>12</v>
      </c>
      <c r="H441" s="148" t="s">
        <v>933</v>
      </c>
      <c r="I441" s="142" t="s">
        <v>933</v>
      </c>
      <c r="J441" s="148" t="s">
        <v>933</v>
      </c>
      <c r="K441" s="148" t="s">
        <v>933</v>
      </c>
      <c r="L441" s="86" t="s">
        <v>741</v>
      </c>
      <c r="M441" s="58"/>
      <c r="N441" s="59"/>
      <c r="O441" s="50"/>
      <c r="P441" s="60"/>
      <c r="R441" s="53" t="s">
        <v>764</v>
      </c>
      <c r="S441" s="53" t="s">
        <v>769</v>
      </c>
      <c r="T441" s="53" t="s">
        <v>769</v>
      </c>
      <c r="U441" s="53" t="s">
        <v>741</v>
      </c>
      <c r="V441" s="53" t="s">
        <v>770</v>
      </c>
      <c r="W441" s="53" t="s">
        <v>780</v>
      </c>
      <c r="X441" s="61">
        <f>IFERROR(IF(W441="","",WORKDAY.INTL(B441,_xlfn.XLOOKUP(W441,Regras!$F$2:$F$11,Regras!$G$2:$G$11))),"")</f>
        <v>45945</v>
      </c>
      <c r="Y441" s="150" t="s">
        <v>1046</v>
      </c>
      <c r="Z441" s="53" t="s">
        <v>764</v>
      </c>
      <c r="AA441" s="53"/>
      <c r="AB441" s="155" t="s">
        <v>4532</v>
      </c>
    </row>
    <row r="442" spans="2:28" x14ac:dyDescent="0.2">
      <c r="B442" s="89">
        <v>45943</v>
      </c>
      <c r="D442" s="99" t="s">
        <v>620</v>
      </c>
      <c r="E442" s="110" t="s">
        <v>1208</v>
      </c>
      <c r="F442" s="85" t="s">
        <v>17</v>
      </c>
      <c r="G442" s="85" t="s">
        <v>12</v>
      </c>
      <c r="H442" s="148" t="s">
        <v>933</v>
      </c>
      <c r="I442" s="142" t="s">
        <v>933</v>
      </c>
      <c r="J442" s="148" t="s">
        <v>933</v>
      </c>
      <c r="K442" s="148" t="s">
        <v>933</v>
      </c>
      <c r="L442" s="86" t="s">
        <v>741</v>
      </c>
      <c r="M442" s="58"/>
      <c r="N442" s="59"/>
      <c r="O442" s="50"/>
      <c r="P442" s="60"/>
      <c r="R442" s="53" t="s">
        <v>764</v>
      </c>
      <c r="S442" s="53" t="s">
        <v>764</v>
      </c>
      <c r="T442" s="53" t="s">
        <v>769</v>
      </c>
      <c r="U442" s="53" t="s">
        <v>741</v>
      </c>
      <c r="V442" s="53" t="s">
        <v>770</v>
      </c>
      <c r="W442" s="53" t="s">
        <v>780</v>
      </c>
      <c r="X442" s="61">
        <f>IFERROR(IF(W442="","",WORKDAY.INTL(B442,_xlfn.XLOOKUP(W442,Regras!$F$2:$F$11,Regras!$G$2:$G$11))),"")</f>
        <v>45945</v>
      </c>
      <c r="Y442" s="150" t="s">
        <v>1063</v>
      </c>
      <c r="Z442" s="53" t="s">
        <v>764</v>
      </c>
      <c r="AA442" s="53"/>
      <c r="AB442" s="155" t="s">
        <v>4534</v>
      </c>
    </row>
    <row r="443" spans="2:28" x14ac:dyDescent="0.2">
      <c r="B443" s="89">
        <v>45943</v>
      </c>
      <c r="D443" s="99" t="s">
        <v>81</v>
      </c>
      <c r="E443" s="110" t="s">
        <v>82</v>
      </c>
      <c r="F443" s="85" t="s">
        <v>46</v>
      </c>
      <c r="G443" s="85" t="s">
        <v>12</v>
      </c>
      <c r="H443" s="148" t="s">
        <v>933</v>
      </c>
      <c r="I443" s="142" t="s">
        <v>933</v>
      </c>
      <c r="J443" s="148" t="s">
        <v>933</v>
      </c>
      <c r="K443" s="148" t="s">
        <v>933</v>
      </c>
      <c r="L443" s="86" t="s">
        <v>741</v>
      </c>
      <c r="M443" s="58"/>
      <c r="N443" s="59"/>
      <c r="O443" s="50"/>
      <c r="P443" s="60"/>
      <c r="R443" s="53" t="s">
        <v>764</v>
      </c>
      <c r="S443" s="53" t="s">
        <v>769</v>
      </c>
      <c r="T443" s="53" t="s">
        <v>769</v>
      </c>
      <c r="U443" s="53" t="s">
        <v>741</v>
      </c>
      <c r="V443" s="53" t="s">
        <v>770</v>
      </c>
      <c r="W443" s="53" t="s">
        <v>780</v>
      </c>
      <c r="X443" s="61">
        <f>IFERROR(IF(W443="","",WORKDAY.INTL(B443,_xlfn.XLOOKUP(W443,Regras!$F$2:$F$11,Regras!$G$2:$G$11))),"")</f>
        <v>45945</v>
      </c>
      <c r="Y443" s="150" t="s">
        <v>1046</v>
      </c>
      <c r="Z443" s="53" t="s">
        <v>764</v>
      </c>
      <c r="AA443" s="53"/>
      <c r="AB443" s="155" t="s">
        <v>4535</v>
      </c>
    </row>
    <row r="444" spans="2:28" x14ac:dyDescent="0.2">
      <c r="B444" s="89">
        <v>45943</v>
      </c>
      <c r="D444" s="99" t="s">
        <v>20</v>
      </c>
      <c r="E444" s="110" t="s">
        <v>21</v>
      </c>
      <c r="F444" s="85" t="s">
        <v>22</v>
      </c>
      <c r="G444" s="85" t="s">
        <v>12</v>
      </c>
      <c r="H444" s="148" t="s">
        <v>933</v>
      </c>
      <c r="I444" s="142" t="s">
        <v>933</v>
      </c>
      <c r="J444" s="148" t="s">
        <v>933</v>
      </c>
      <c r="K444" s="148" t="s">
        <v>933</v>
      </c>
      <c r="L444" s="86" t="s">
        <v>741</v>
      </c>
      <c r="M444" s="58"/>
      <c r="N444" s="59"/>
      <c r="O444" s="50"/>
      <c r="P444" s="60"/>
      <c r="R444" s="53" t="s">
        <v>764</v>
      </c>
      <c r="S444" s="53" t="s">
        <v>769</v>
      </c>
      <c r="T444" s="53" t="s">
        <v>769</v>
      </c>
      <c r="U444" s="53" t="s">
        <v>741</v>
      </c>
      <c r="V444" s="53" t="s">
        <v>770</v>
      </c>
      <c r="W444" s="53" t="s">
        <v>1053</v>
      </c>
      <c r="X444" s="61">
        <f>IFERROR(IF(W444="","",WORKDAY.INTL(B444,_xlfn.XLOOKUP(W444,Regras!$F$2:$F$11,Regras!$G$2:$G$11))),"")</f>
        <v>45952</v>
      </c>
      <c r="Y444" s="150" t="s">
        <v>795</v>
      </c>
      <c r="Z444" s="53" t="s">
        <v>764</v>
      </c>
      <c r="AA444" s="53"/>
      <c r="AB444" s="155" t="s">
        <v>4536</v>
      </c>
    </row>
    <row r="445" spans="2:28" x14ac:dyDescent="0.2">
      <c r="B445" s="89">
        <v>45943</v>
      </c>
      <c r="D445" s="99" t="s">
        <v>27</v>
      </c>
      <c r="E445" s="110" t="s">
        <v>28</v>
      </c>
      <c r="F445" s="85" t="s">
        <v>17</v>
      </c>
      <c r="G445" s="85" t="s">
        <v>12</v>
      </c>
      <c r="H445" s="148" t="s">
        <v>933</v>
      </c>
      <c r="I445" s="142" t="s">
        <v>933</v>
      </c>
      <c r="J445" s="148" t="s">
        <v>933</v>
      </c>
      <c r="K445" s="148" t="s">
        <v>933</v>
      </c>
      <c r="L445" s="86" t="s">
        <v>741</v>
      </c>
      <c r="M445" s="58"/>
      <c r="N445" s="59"/>
      <c r="O445" s="50"/>
      <c r="P445" s="60"/>
      <c r="R445" s="53" t="s">
        <v>764</v>
      </c>
      <c r="S445" s="53" t="s">
        <v>769</v>
      </c>
      <c r="T445" s="53" t="s">
        <v>769</v>
      </c>
      <c r="U445" s="53" t="s">
        <v>741</v>
      </c>
      <c r="V445" s="53" t="s">
        <v>770</v>
      </c>
      <c r="W445" s="53" t="s">
        <v>780</v>
      </c>
      <c r="X445" s="61">
        <f>IFERROR(IF(W445="","",WORKDAY.INTL(B445,_xlfn.XLOOKUP(W445,Regras!$F$2:$F$11,Regras!$G$2:$G$11))),"")</f>
        <v>45945</v>
      </c>
      <c r="Y445" s="150" t="s">
        <v>1046</v>
      </c>
      <c r="Z445" s="53" t="s">
        <v>764</v>
      </c>
      <c r="AA445" s="53"/>
      <c r="AB445" s="155" t="s">
        <v>4537</v>
      </c>
    </row>
    <row r="446" spans="2:28" x14ac:dyDescent="0.2">
      <c r="B446" s="89">
        <v>45943</v>
      </c>
      <c r="D446" s="99" t="s">
        <v>107</v>
      </c>
      <c r="E446" s="110" t="s">
        <v>108</v>
      </c>
      <c r="F446" s="85" t="s">
        <v>46</v>
      </c>
      <c r="G446" s="85" t="s">
        <v>12</v>
      </c>
      <c r="H446" s="148" t="s">
        <v>933</v>
      </c>
      <c r="I446" s="142" t="s">
        <v>933</v>
      </c>
      <c r="J446" s="148" t="s">
        <v>933</v>
      </c>
      <c r="K446" s="148" t="s">
        <v>933</v>
      </c>
      <c r="L446" s="86" t="s">
        <v>741</v>
      </c>
      <c r="M446" s="58"/>
      <c r="N446" s="59"/>
      <c r="O446" s="50"/>
      <c r="P446" s="60"/>
      <c r="R446" s="53" t="s">
        <v>764</v>
      </c>
      <c r="S446" s="53" t="s">
        <v>769</v>
      </c>
      <c r="T446" s="53" t="s">
        <v>769</v>
      </c>
      <c r="U446" s="53" t="s">
        <v>741</v>
      </c>
      <c r="V446" s="53" t="s">
        <v>770</v>
      </c>
      <c r="W446" s="53" t="s">
        <v>780</v>
      </c>
      <c r="X446" s="61">
        <f>IFERROR(IF(W446="","",WORKDAY.INTL(B446,_xlfn.XLOOKUP(W446,Regras!$F$2:$F$11,Regras!$G$2:$G$11))),"")</f>
        <v>45945</v>
      </c>
      <c r="Y446" s="150" t="s">
        <v>1046</v>
      </c>
      <c r="Z446" s="53" t="s">
        <v>764</v>
      </c>
      <c r="AA446" s="53"/>
      <c r="AB446" s="155" t="s">
        <v>4538</v>
      </c>
    </row>
    <row r="447" spans="2:28" x14ac:dyDescent="0.2">
      <c r="B447" s="89">
        <v>45943</v>
      </c>
      <c r="D447" s="99" t="s">
        <v>136</v>
      </c>
      <c r="E447" s="110" t="s">
        <v>137</v>
      </c>
      <c r="F447" s="85" t="s">
        <v>17</v>
      </c>
      <c r="G447" s="85" t="s">
        <v>12</v>
      </c>
      <c r="H447" s="148" t="s">
        <v>933</v>
      </c>
      <c r="I447" s="142" t="s">
        <v>933</v>
      </c>
      <c r="J447" s="148" t="s">
        <v>933</v>
      </c>
      <c r="K447" s="148" t="s">
        <v>933</v>
      </c>
      <c r="L447" s="86" t="s">
        <v>741</v>
      </c>
      <c r="M447" s="58"/>
      <c r="N447" s="59"/>
      <c r="O447" s="50"/>
      <c r="P447" s="60"/>
      <c r="R447" s="53" t="s">
        <v>764</v>
      </c>
      <c r="S447" s="53" t="s">
        <v>764</v>
      </c>
      <c r="T447" s="53" t="s">
        <v>764</v>
      </c>
      <c r="U447" s="53" t="s">
        <v>741</v>
      </c>
      <c r="V447" s="53" t="s">
        <v>770</v>
      </c>
      <c r="W447" s="53" t="s">
        <v>1053</v>
      </c>
      <c r="X447" s="61">
        <f>IFERROR(IF(W447="","",WORKDAY.INTL(B447,_xlfn.XLOOKUP(W447,Regras!$F$2:$F$11,Regras!$G$2:$G$11))),"")</f>
        <v>45952</v>
      </c>
      <c r="Y447" s="150" t="s">
        <v>4540</v>
      </c>
      <c r="Z447" s="53" t="s">
        <v>764</v>
      </c>
      <c r="AA447" s="53"/>
      <c r="AB447" s="155" t="s">
        <v>4539</v>
      </c>
    </row>
    <row r="448" spans="2:28" x14ac:dyDescent="0.2">
      <c r="B448" s="89">
        <v>45943</v>
      </c>
      <c r="D448" s="99" t="s">
        <v>171</v>
      </c>
      <c r="E448" s="110" t="s">
        <v>172</v>
      </c>
      <c r="F448" s="85" t="s">
        <v>22</v>
      </c>
      <c r="G448" s="85" t="s">
        <v>12</v>
      </c>
      <c r="H448" s="148" t="s">
        <v>933</v>
      </c>
      <c r="I448" s="142" t="s">
        <v>933</v>
      </c>
      <c r="J448" s="148" t="s">
        <v>933</v>
      </c>
      <c r="K448" s="148" t="s">
        <v>933</v>
      </c>
      <c r="L448" s="86" t="s">
        <v>741</v>
      </c>
      <c r="M448" s="58"/>
      <c r="N448" s="59"/>
      <c r="O448" s="50"/>
      <c r="P448" s="60"/>
      <c r="R448" s="53" t="s">
        <v>764</v>
      </c>
      <c r="S448" s="53" t="s">
        <v>769</v>
      </c>
      <c r="T448" s="53" t="s">
        <v>769</v>
      </c>
      <c r="U448" s="53" t="s">
        <v>741</v>
      </c>
      <c r="V448" s="53" t="s">
        <v>770</v>
      </c>
      <c r="W448" s="53" t="s">
        <v>780</v>
      </c>
      <c r="X448" s="61">
        <f>IFERROR(IF(W448="","",WORKDAY.INTL(B448,_xlfn.XLOOKUP(W448,Regras!$F$2:$F$11,Regras!$G$2:$G$11))),"")</f>
        <v>45945</v>
      </c>
      <c r="Y448" s="150" t="s">
        <v>1046</v>
      </c>
      <c r="Z448" s="53" t="s">
        <v>764</v>
      </c>
      <c r="AA448" s="53"/>
      <c r="AB448" s="155" t="s">
        <v>4541</v>
      </c>
    </row>
    <row r="449" spans="2:28" x14ac:dyDescent="0.2">
      <c r="B449" s="89">
        <v>45943</v>
      </c>
      <c r="D449" s="99" t="s">
        <v>188</v>
      </c>
      <c r="E449" s="110" t="s">
        <v>189</v>
      </c>
      <c r="F449" s="85" t="s">
        <v>22</v>
      </c>
      <c r="G449" s="85" t="s">
        <v>12</v>
      </c>
      <c r="H449" s="148" t="s">
        <v>933</v>
      </c>
      <c r="I449" s="142" t="s">
        <v>933</v>
      </c>
      <c r="J449" s="148" t="s">
        <v>933</v>
      </c>
      <c r="K449" s="148" t="s">
        <v>933</v>
      </c>
      <c r="L449" s="86" t="s">
        <v>741</v>
      </c>
      <c r="M449" s="58"/>
      <c r="N449" s="59"/>
      <c r="O449" s="50"/>
      <c r="P449" s="60"/>
      <c r="R449" s="53" t="s">
        <v>764</v>
      </c>
      <c r="S449" s="53" t="s">
        <v>764</v>
      </c>
      <c r="T449" s="53" t="s">
        <v>769</v>
      </c>
      <c r="U449" s="53" t="s">
        <v>741</v>
      </c>
      <c r="V449" s="53" t="s">
        <v>770</v>
      </c>
      <c r="W449" s="53" t="s">
        <v>780</v>
      </c>
      <c r="X449" s="61">
        <f>IFERROR(IF(W449="","",WORKDAY.INTL(B449,_xlfn.XLOOKUP(W449,Regras!$F$2:$F$11,Regras!$G$2:$G$11))),"")</f>
        <v>45945</v>
      </c>
      <c r="Y449" s="150" t="s">
        <v>1046</v>
      </c>
      <c r="Z449" s="53" t="s">
        <v>764</v>
      </c>
      <c r="AA449" s="53"/>
      <c r="AB449" s="155" t="s">
        <v>4542</v>
      </c>
    </row>
    <row r="450" spans="2:28" x14ac:dyDescent="0.2">
      <c r="B450" s="89">
        <v>45943</v>
      </c>
      <c r="D450" s="99" t="s">
        <v>199</v>
      </c>
      <c r="E450" s="110" t="s">
        <v>200</v>
      </c>
      <c r="F450" s="85" t="s">
        <v>22</v>
      </c>
      <c r="G450" s="85" t="s">
        <v>12</v>
      </c>
      <c r="H450" s="148" t="s">
        <v>933</v>
      </c>
      <c r="I450" s="142" t="s">
        <v>933</v>
      </c>
      <c r="J450" s="148" t="s">
        <v>933</v>
      </c>
      <c r="K450" s="148" t="s">
        <v>933</v>
      </c>
      <c r="L450" s="98" t="s">
        <v>742</v>
      </c>
      <c r="M450" s="58"/>
      <c r="N450" s="59"/>
      <c r="O450" s="50"/>
      <c r="P450" s="60"/>
      <c r="R450" s="53" t="s">
        <v>764</v>
      </c>
      <c r="S450" s="53" t="s">
        <v>769</v>
      </c>
      <c r="T450" s="53" t="s">
        <v>769</v>
      </c>
      <c r="U450" s="53" t="s">
        <v>741</v>
      </c>
      <c r="V450" s="53" t="s">
        <v>765</v>
      </c>
      <c r="W450" s="53" t="s">
        <v>780</v>
      </c>
      <c r="X450" s="61">
        <f>IFERROR(IF(W450="","",WORKDAY.INTL(B450,_xlfn.XLOOKUP(W450,Regras!$F$2:$F$11,Regras!$G$2:$G$11))),"")</f>
        <v>45945</v>
      </c>
      <c r="Y450" s="150" t="s">
        <v>1063</v>
      </c>
      <c r="Z450" s="53" t="s">
        <v>764</v>
      </c>
      <c r="AA450" s="53"/>
      <c r="AB450" s="155" t="s">
        <v>4543</v>
      </c>
    </row>
    <row r="451" spans="2:28" x14ac:dyDescent="0.2">
      <c r="B451" s="89">
        <v>45943</v>
      </c>
      <c r="D451" s="99" t="s">
        <v>348</v>
      </c>
      <c r="E451" s="110" t="s">
        <v>349</v>
      </c>
      <c r="F451" s="85" t="s">
        <v>22</v>
      </c>
      <c r="G451" s="85" t="s">
        <v>12</v>
      </c>
      <c r="H451" s="148" t="s">
        <v>347</v>
      </c>
      <c r="I451" s="142">
        <v>2102.89</v>
      </c>
      <c r="J451" s="144">
        <v>75</v>
      </c>
      <c r="K451" s="144">
        <v>0</v>
      </c>
      <c r="L451" s="86" t="s">
        <v>741</v>
      </c>
      <c r="M451" s="58"/>
      <c r="N451" s="59"/>
      <c r="O451" s="50"/>
      <c r="P451" s="60"/>
      <c r="R451" s="53" t="s">
        <v>764</v>
      </c>
      <c r="S451" s="53" t="s">
        <v>769</v>
      </c>
      <c r="T451" s="53" t="s">
        <v>769</v>
      </c>
      <c r="U451" s="53" t="s">
        <v>741</v>
      </c>
      <c r="V451" s="53" t="s">
        <v>770</v>
      </c>
      <c r="W451" s="53" t="s">
        <v>839</v>
      </c>
      <c r="X451" s="61">
        <f>IFERROR(IF(W451="","",WORKDAY.INTL(B451,_xlfn.XLOOKUP(W451,Regras!$F$2:$F$11,Regras!$G$2:$G$11))),"")</f>
        <v>45944</v>
      </c>
      <c r="Y451" s="150" t="s">
        <v>4544</v>
      </c>
      <c r="Z451" s="53" t="s">
        <v>764</v>
      </c>
      <c r="AA451" s="53"/>
      <c r="AB451" s="156" t="s">
        <v>4544</v>
      </c>
    </row>
    <row r="452" spans="2:28" x14ac:dyDescent="0.2">
      <c r="B452" s="89">
        <v>45943</v>
      </c>
      <c r="D452" s="85" t="s">
        <v>1006</v>
      </c>
      <c r="E452" s="110" t="s">
        <v>187</v>
      </c>
      <c r="F452" s="85" t="s">
        <v>46</v>
      </c>
      <c r="G452" s="85" t="s">
        <v>829</v>
      </c>
      <c r="H452" s="148"/>
      <c r="I452" s="142"/>
      <c r="J452" s="144"/>
      <c r="K452" s="144"/>
      <c r="L452" s="103" t="s">
        <v>742</v>
      </c>
      <c r="M452" s="58"/>
      <c r="N452" s="59"/>
      <c r="O452" s="50"/>
      <c r="P452" s="60"/>
      <c r="R452" s="53" t="s">
        <v>764</v>
      </c>
      <c r="S452" s="53" t="s">
        <v>769</v>
      </c>
      <c r="T452" s="53" t="s">
        <v>769</v>
      </c>
      <c r="U452" s="53" t="s">
        <v>741</v>
      </c>
      <c r="V452" s="53" t="s">
        <v>770</v>
      </c>
      <c r="W452" s="53" t="s">
        <v>839</v>
      </c>
      <c r="X452" s="61">
        <f>IFERROR(IF(W452="","",WORKDAY.INTL(B452,_xlfn.XLOOKUP(W452,Regras!$F$2:$F$11,Regras!$G$2:$G$11))),"")</f>
        <v>45944</v>
      </c>
      <c r="Y452" s="150" t="s">
        <v>4545</v>
      </c>
      <c r="Z452" s="53" t="s">
        <v>764</v>
      </c>
      <c r="AA452" s="53"/>
      <c r="AB452" s="156" t="s">
        <v>4545</v>
      </c>
    </row>
    <row r="453" spans="2:28" x14ac:dyDescent="0.2">
      <c r="B453" s="89">
        <v>45943</v>
      </c>
      <c r="D453" s="99" t="s">
        <v>4509</v>
      </c>
      <c r="E453" s="110" t="s">
        <v>4510</v>
      </c>
      <c r="F453" s="85" t="s">
        <v>22</v>
      </c>
      <c r="G453" s="85" t="s">
        <v>12</v>
      </c>
      <c r="H453" s="148"/>
      <c r="I453" s="142"/>
      <c r="J453" s="144"/>
      <c r="K453" s="144"/>
      <c r="L453" s="95" t="s">
        <v>888</v>
      </c>
      <c r="M453" s="58"/>
      <c r="N453" s="59"/>
      <c r="O453" s="50"/>
      <c r="P453" s="60"/>
      <c r="R453" s="53" t="s">
        <v>764</v>
      </c>
      <c r="S453" s="53" t="s">
        <v>769</v>
      </c>
      <c r="T453" s="53" t="s">
        <v>769</v>
      </c>
      <c r="U453" s="53" t="s">
        <v>741</v>
      </c>
      <c r="V453" s="53" t="s">
        <v>768</v>
      </c>
      <c r="W453" s="53" t="s">
        <v>839</v>
      </c>
      <c r="X453" s="61">
        <f>IFERROR(IF(W453="","",WORKDAY.INTL(B453,_xlfn.XLOOKUP(W453,Regras!$F$2:$F$11,Regras!$G$2:$G$11))),"")</f>
        <v>45944</v>
      </c>
      <c r="Y453" s="150" t="s">
        <v>4546</v>
      </c>
      <c r="Z453" s="53" t="s">
        <v>764</v>
      </c>
      <c r="AA453" s="53"/>
      <c r="AB453" s="156" t="s">
        <v>4546</v>
      </c>
    </row>
    <row r="454" spans="2:28" x14ac:dyDescent="0.2">
      <c r="B454" s="89">
        <v>45943</v>
      </c>
      <c r="D454" s="99" t="s">
        <v>192</v>
      </c>
      <c r="E454" s="110" t="s">
        <v>193</v>
      </c>
      <c r="F454" s="85" t="s">
        <v>17</v>
      </c>
      <c r="G454" s="85" t="s">
        <v>12</v>
      </c>
      <c r="H454" s="148"/>
      <c r="I454" s="142"/>
      <c r="J454" s="144"/>
      <c r="K454" s="144"/>
      <c r="L454" s="86" t="s">
        <v>741</v>
      </c>
      <c r="M454" s="58"/>
      <c r="N454" s="59"/>
      <c r="O454" s="50"/>
      <c r="P454" s="60"/>
      <c r="R454" s="53" t="s">
        <v>764</v>
      </c>
      <c r="S454" s="53" t="s">
        <v>769</v>
      </c>
      <c r="T454" s="53" t="s">
        <v>769</v>
      </c>
      <c r="U454" s="53" t="s">
        <v>741</v>
      </c>
      <c r="V454" s="53" t="s">
        <v>770</v>
      </c>
      <c r="W454" s="53" t="s">
        <v>839</v>
      </c>
      <c r="X454" s="61">
        <f>IFERROR(IF(W454="","",WORKDAY.INTL(B454,_xlfn.XLOOKUP(W454,Regras!$F$2:$F$11,Regras!$G$2:$G$11))),"")</f>
        <v>45944</v>
      </c>
      <c r="Y454" s="150" t="s">
        <v>4544</v>
      </c>
      <c r="Z454" s="53" t="s">
        <v>764</v>
      </c>
      <c r="AA454" s="53"/>
      <c r="AB454" s="156" t="s">
        <v>4544</v>
      </c>
    </row>
    <row r="455" spans="2:28" x14ac:dyDescent="0.2">
      <c r="B455" s="89">
        <v>45944</v>
      </c>
      <c r="D455" s="99" t="s">
        <v>1306</v>
      </c>
      <c r="E455" s="110" t="s">
        <v>1319</v>
      </c>
      <c r="F455" s="85" t="s">
        <v>22</v>
      </c>
      <c r="G455" s="85" t="s">
        <v>12</v>
      </c>
      <c r="H455" s="148" t="s">
        <v>933</v>
      </c>
      <c r="I455" s="142" t="s">
        <v>933</v>
      </c>
      <c r="J455" s="144" t="s">
        <v>933</v>
      </c>
      <c r="K455" s="144" t="s">
        <v>933</v>
      </c>
      <c r="L455" s="101" t="s">
        <v>888</v>
      </c>
      <c r="M455" s="58"/>
      <c r="N455" s="59"/>
      <c r="O455" s="50"/>
      <c r="P455" s="60"/>
      <c r="R455" s="53" t="s">
        <v>764</v>
      </c>
      <c r="S455" s="53" t="s">
        <v>764</v>
      </c>
      <c r="T455" s="53" t="s">
        <v>769</v>
      </c>
      <c r="U455" s="53" t="s">
        <v>741</v>
      </c>
      <c r="V455" s="53" t="s">
        <v>768</v>
      </c>
      <c r="W455" s="53" t="s">
        <v>1053</v>
      </c>
      <c r="X455" s="61">
        <f>IFERROR(IF(W455="","",WORKDAY.INTL(B455,_xlfn.XLOOKUP(W455,Regras!$F$2:$F$11,Regras!$G$2:$G$11))),"")</f>
        <v>45953</v>
      </c>
      <c r="Y455" s="150" t="s">
        <v>1316</v>
      </c>
      <c r="Z455" s="53" t="s">
        <v>769</v>
      </c>
      <c r="AA455" s="53"/>
      <c r="AB455" s="156" t="s">
        <v>1316</v>
      </c>
    </row>
    <row r="456" spans="2:28" x14ac:dyDescent="0.2">
      <c r="B456" s="89">
        <v>45944</v>
      </c>
      <c r="D456" s="99" t="s">
        <v>1307</v>
      </c>
      <c r="E456" s="110" t="s">
        <v>1320</v>
      </c>
      <c r="F456" s="85" t="s">
        <v>22</v>
      </c>
      <c r="G456" s="85" t="s">
        <v>12</v>
      </c>
      <c r="H456" s="148" t="s">
        <v>933</v>
      </c>
      <c r="I456" s="142" t="s">
        <v>933</v>
      </c>
      <c r="J456" s="144" t="s">
        <v>933</v>
      </c>
      <c r="K456" s="144" t="s">
        <v>933</v>
      </c>
      <c r="L456" s="101" t="s">
        <v>888</v>
      </c>
      <c r="M456" s="58"/>
      <c r="N456" s="59"/>
      <c r="O456" s="50"/>
      <c r="P456" s="60"/>
      <c r="R456" s="53" t="s">
        <v>769</v>
      </c>
      <c r="S456" s="53" t="s">
        <v>769</v>
      </c>
      <c r="T456" s="53" t="s">
        <v>769</v>
      </c>
      <c r="U456" s="53" t="s">
        <v>741</v>
      </c>
      <c r="V456" s="53" t="s">
        <v>768</v>
      </c>
      <c r="W456" s="53" t="s">
        <v>796</v>
      </c>
      <c r="X456" s="61" t="str">
        <f>IFERROR(IF(W456="","",WORKDAY.INTL(B456,_xlfn.XLOOKUP(W456,Regras!$F$2:$F$11,Regras!$G$2:$G$11))),"")</f>
        <v/>
      </c>
      <c r="Y456" s="150" t="s">
        <v>1317</v>
      </c>
      <c r="Z456" s="53" t="s">
        <v>769</v>
      </c>
      <c r="AA456" s="53"/>
      <c r="AB456" s="156" t="s">
        <v>1317</v>
      </c>
    </row>
    <row r="457" spans="2:28" x14ac:dyDescent="0.2">
      <c r="B457" s="89">
        <v>45944</v>
      </c>
      <c r="D457" s="99" t="s">
        <v>1308</v>
      </c>
      <c r="E457" s="110" t="s">
        <v>1321</v>
      </c>
      <c r="F457" s="85" t="s">
        <v>22</v>
      </c>
      <c r="G457" s="85" t="s">
        <v>12</v>
      </c>
      <c r="H457" s="148" t="s">
        <v>933</v>
      </c>
      <c r="I457" s="142" t="s">
        <v>933</v>
      </c>
      <c r="J457" s="144" t="s">
        <v>933</v>
      </c>
      <c r="K457" s="144" t="s">
        <v>933</v>
      </c>
      <c r="L457" s="101" t="s">
        <v>888</v>
      </c>
      <c r="M457" s="58"/>
      <c r="N457" s="59"/>
      <c r="O457" s="50"/>
      <c r="P457" s="60"/>
      <c r="R457" s="53" t="s">
        <v>764</v>
      </c>
      <c r="S457" s="53" t="s">
        <v>764</v>
      </c>
      <c r="T457" s="53" t="s">
        <v>769</v>
      </c>
      <c r="U457" s="53" t="s">
        <v>741</v>
      </c>
      <c r="V457" s="53" t="s">
        <v>768</v>
      </c>
      <c r="W457" s="53" t="s">
        <v>796</v>
      </c>
      <c r="X457" s="61" t="str">
        <f>IFERROR(IF(W457="","",WORKDAY.INTL(B457,_xlfn.XLOOKUP(W457,Regras!$F$2:$F$11,Regras!$G$2:$G$11))),"")</f>
        <v/>
      </c>
      <c r="Y457" s="150" t="s">
        <v>1237</v>
      </c>
      <c r="Z457" s="53" t="s">
        <v>769</v>
      </c>
      <c r="AA457" s="53"/>
      <c r="AB457" s="156" t="s">
        <v>1237</v>
      </c>
    </row>
    <row r="458" spans="2:28" x14ac:dyDescent="0.2">
      <c r="B458" s="89">
        <v>45944</v>
      </c>
      <c r="D458" s="99" t="s">
        <v>1309</v>
      </c>
      <c r="E458" s="110" t="s">
        <v>1322</v>
      </c>
      <c r="F458" s="85" t="s">
        <v>22</v>
      </c>
      <c r="G458" s="85" t="s">
        <v>12</v>
      </c>
      <c r="H458" s="148" t="s">
        <v>933</v>
      </c>
      <c r="I458" s="142" t="s">
        <v>933</v>
      </c>
      <c r="J458" s="144" t="s">
        <v>933</v>
      </c>
      <c r="K458" s="144" t="s">
        <v>933</v>
      </c>
      <c r="L458" s="101" t="s">
        <v>888</v>
      </c>
      <c r="M458" s="58"/>
      <c r="N458" s="59"/>
      <c r="O458" s="50"/>
      <c r="P458" s="60"/>
      <c r="R458" s="53" t="s">
        <v>764</v>
      </c>
      <c r="S458" s="53" t="s">
        <v>769</v>
      </c>
      <c r="T458" s="53" t="s">
        <v>769</v>
      </c>
      <c r="U458" s="53" t="s">
        <v>741</v>
      </c>
      <c r="V458" s="53" t="s">
        <v>768</v>
      </c>
      <c r="W458" s="53" t="s">
        <v>1053</v>
      </c>
      <c r="X458" s="61">
        <f>IFERROR(IF(W458="","",WORKDAY.INTL(B458,_xlfn.XLOOKUP(W458,Regras!$F$2:$F$11,Regras!$G$2:$G$11))),"")</f>
        <v>45953</v>
      </c>
      <c r="Y458" s="150" t="s">
        <v>4547</v>
      </c>
      <c r="Z458" s="53" t="s">
        <v>769</v>
      </c>
      <c r="AA458" s="53"/>
      <c r="AB458" s="155" t="s">
        <v>973</v>
      </c>
    </row>
    <row r="459" spans="2:28" x14ac:dyDescent="0.2">
      <c r="B459" s="89">
        <v>45944</v>
      </c>
      <c r="D459" s="99" t="s">
        <v>1310</v>
      </c>
      <c r="E459" s="110" t="s">
        <v>1323</v>
      </c>
      <c r="F459" s="85" t="s">
        <v>22</v>
      </c>
      <c r="G459" s="85" t="s">
        <v>12</v>
      </c>
      <c r="H459" s="148" t="s">
        <v>933</v>
      </c>
      <c r="I459" s="142" t="s">
        <v>933</v>
      </c>
      <c r="J459" s="144" t="s">
        <v>933</v>
      </c>
      <c r="K459" s="144" t="s">
        <v>933</v>
      </c>
      <c r="L459" s="101" t="s">
        <v>888</v>
      </c>
      <c r="M459" s="58"/>
      <c r="N459" s="59"/>
      <c r="O459" s="50"/>
      <c r="P459" s="60"/>
      <c r="R459" s="53" t="s">
        <v>764</v>
      </c>
      <c r="S459" s="53" t="s">
        <v>769</v>
      </c>
      <c r="T459" s="53" t="s">
        <v>769</v>
      </c>
      <c r="U459" s="53" t="s">
        <v>741</v>
      </c>
      <c r="V459" s="53" t="s">
        <v>768</v>
      </c>
      <c r="W459" s="53" t="s">
        <v>1053</v>
      </c>
      <c r="X459" s="61">
        <f>IFERROR(IF(W459="","",WORKDAY.INTL(B459,_xlfn.XLOOKUP(W459,Regras!$F$2:$F$11,Regras!$G$2:$G$11))),"")</f>
        <v>45953</v>
      </c>
      <c r="Y459" s="150" t="s">
        <v>4547</v>
      </c>
      <c r="Z459" s="53" t="s">
        <v>764</v>
      </c>
      <c r="AA459" s="53"/>
      <c r="AB459" s="155" t="s">
        <v>973</v>
      </c>
    </row>
    <row r="460" spans="2:28" x14ac:dyDescent="0.2">
      <c r="B460" s="89">
        <v>45944</v>
      </c>
      <c r="D460" s="99" t="s">
        <v>1311</v>
      </c>
      <c r="E460" s="110" t="s">
        <v>1324</v>
      </c>
      <c r="F460" s="85" t="s">
        <v>22</v>
      </c>
      <c r="G460" s="85" t="s">
        <v>12</v>
      </c>
      <c r="H460" s="148" t="s">
        <v>933</v>
      </c>
      <c r="I460" s="142" t="s">
        <v>933</v>
      </c>
      <c r="J460" s="144" t="s">
        <v>933</v>
      </c>
      <c r="K460" s="144" t="s">
        <v>933</v>
      </c>
      <c r="L460" s="101" t="s">
        <v>888</v>
      </c>
      <c r="M460" s="58"/>
      <c r="N460" s="59"/>
      <c r="O460" s="50"/>
      <c r="P460" s="60"/>
      <c r="R460" s="53" t="s">
        <v>764</v>
      </c>
      <c r="S460" s="53" t="s">
        <v>769</v>
      </c>
      <c r="T460" s="53" t="s">
        <v>769</v>
      </c>
      <c r="U460" s="53" t="s">
        <v>741</v>
      </c>
      <c r="V460" s="53" t="s">
        <v>768</v>
      </c>
      <c r="W460" s="53" t="s">
        <v>1053</v>
      </c>
      <c r="X460" s="61">
        <f>IFERROR(IF(W460="","",WORKDAY.INTL(B460,_xlfn.XLOOKUP(W460,Regras!$F$2:$F$11,Regras!$G$2:$G$11))),"")</f>
        <v>45953</v>
      </c>
      <c r="Y460" s="150" t="s">
        <v>4548</v>
      </c>
      <c r="Z460" s="53" t="s">
        <v>764</v>
      </c>
      <c r="AA460" s="53"/>
      <c r="AB460" s="155" t="s">
        <v>973</v>
      </c>
    </row>
    <row r="461" spans="2:28" x14ac:dyDescent="0.2">
      <c r="B461" s="89">
        <v>45944</v>
      </c>
      <c r="D461" s="99" t="s">
        <v>1312</v>
      </c>
      <c r="E461" s="110" t="s">
        <v>1325</v>
      </c>
      <c r="F461" s="85" t="s">
        <v>22</v>
      </c>
      <c r="G461" s="85" t="s">
        <v>12</v>
      </c>
      <c r="H461" s="148" t="s">
        <v>933</v>
      </c>
      <c r="I461" s="142" t="s">
        <v>933</v>
      </c>
      <c r="J461" s="144" t="s">
        <v>933</v>
      </c>
      <c r="K461" s="144" t="s">
        <v>933</v>
      </c>
      <c r="L461" s="101" t="s">
        <v>888</v>
      </c>
      <c r="M461" s="58"/>
      <c r="N461" s="59"/>
      <c r="O461" s="50"/>
      <c r="P461" s="60"/>
      <c r="R461" s="53" t="s">
        <v>764</v>
      </c>
      <c r="S461" s="53" t="s">
        <v>769</v>
      </c>
      <c r="T461" s="53" t="s">
        <v>769</v>
      </c>
      <c r="U461" s="53" t="s">
        <v>741</v>
      </c>
      <c r="V461" s="53" t="s">
        <v>768</v>
      </c>
      <c r="W461" s="53" t="s">
        <v>780</v>
      </c>
      <c r="X461" s="61">
        <f>IFERROR(IF(W461="","",WORKDAY.INTL(B461,_xlfn.XLOOKUP(W461,Regras!$F$2:$F$11,Regras!$G$2:$G$11))),"")</f>
        <v>45946</v>
      </c>
      <c r="Y461" s="150" t="s">
        <v>4548</v>
      </c>
      <c r="Z461" s="53" t="s">
        <v>764</v>
      </c>
      <c r="AA461" s="53"/>
      <c r="AB461" s="155" t="s">
        <v>973</v>
      </c>
    </row>
    <row r="462" spans="2:28" x14ac:dyDescent="0.2">
      <c r="B462" s="89">
        <v>45944</v>
      </c>
      <c r="D462" s="99" t="s">
        <v>1313</v>
      </c>
      <c r="E462" s="110" t="s">
        <v>1326</v>
      </c>
      <c r="F462" s="85" t="s">
        <v>22</v>
      </c>
      <c r="G462" s="85" t="s">
        <v>12</v>
      </c>
      <c r="H462" s="148" t="s">
        <v>933</v>
      </c>
      <c r="I462" s="142" t="s">
        <v>933</v>
      </c>
      <c r="J462" s="144" t="s">
        <v>933</v>
      </c>
      <c r="K462" s="144" t="s">
        <v>933</v>
      </c>
      <c r="L462" s="101" t="s">
        <v>888</v>
      </c>
      <c r="M462" s="58"/>
      <c r="N462" s="59"/>
      <c r="O462" s="50"/>
      <c r="P462" s="60"/>
      <c r="R462" s="53" t="s">
        <v>764</v>
      </c>
      <c r="S462" s="53" t="s">
        <v>769</v>
      </c>
      <c r="T462" s="53" t="s">
        <v>769</v>
      </c>
      <c r="U462" s="53" t="s">
        <v>741</v>
      </c>
      <c r="V462" s="53" t="s">
        <v>768</v>
      </c>
      <c r="W462" s="53" t="s">
        <v>780</v>
      </c>
      <c r="X462" s="61">
        <f>IFERROR(IF(W462="","",WORKDAY.INTL(B462,_xlfn.XLOOKUP(W462,Regras!$F$2:$F$11,Regras!$G$2:$G$11))),"")</f>
        <v>45946</v>
      </c>
      <c r="Y462" s="150" t="s">
        <v>4549</v>
      </c>
      <c r="Z462" s="53" t="s">
        <v>764</v>
      </c>
      <c r="AA462" s="53"/>
      <c r="AB462" s="155" t="s">
        <v>4550</v>
      </c>
    </row>
    <row r="463" spans="2:28" x14ac:dyDescent="0.2">
      <c r="B463" s="89">
        <v>45944</v>
      </c>
      <c r="D463" s="99" t="s">
        <v>1314</v>
      </c>
      <c r="E463" s="110" t="s">
        <v>1327</v>
      </c>
      <c r="F463" s="85" t="s">
        <v>22</v>
      </c>
      <c r="G463" s="85" t="s">
        <v>12</v>
      </c>
      <c r="H463" s="148" t="s">
        <v>933</v>
      </c>
      <c r="I463" s="142" t="s">
        <v>933</v>
      </c>
      <c r="J463" s="144" t="s">
        <v>933</v>
      </c>
      <c r="K463" s="144" t="s">
        <v>933</v>
      </c>
      <c r="L463" s="101" t="s">
        <v>888</v>
      </c>
      <c r="M463" s="58"/>
      <c r="N463" s="59"/>
      <c r="O463" s="50"/>
      <c r="P463" s="60"/>
      <c r="R463" s="53" t="s">
        <v>764</v>
      </c>
      <c r="S463" s="53" t="s">
        <v>769</v>
      </c>
      <c r="T463" s="53" t="s">
        <v>769</v>
      </c>
      <c r="U463" s="53" t="s">
        <v>741</v>
      </c>
      <c r="V463" s="53" t="s">
        <v>770</v>
      </c>
      <c r="W463" s="53" t="s">
        <v>777</v>
      </c>
      <c r="X463" s="61" t="str">
        <f>IFERROR(IF(W463="","",WORKDAY.INTL(B463,_xlfn.XLOOKUP(W463,Regras!$F$2:$F$11,Regras!$G$2:$G$11))),"")</f>
        <v/>
      </c>
      <c r="Y463" s="150" t="s">
        <v>4551</v>
      </c>
      <c r="Z463" s="53" t="s">
        <v>764</v>
      </c>
      <c r="AA463" s="53"/>
      <c r="AB463" s="156" t="s">
        <v>4551</v>
      </c>
    </row>
    <row r="464" spans="2:28" x14ac:dyDescent="0.2">
      <c r="B464" s="89">
        <v>45944</v>
      </c>
      <c r="D464" s="99" t="s">
        <v>1315</v>
      </c>
      <c r="E464" s="110" t="s">
        <v>1328</v>
      </c>
      <c r="F464" s="85" t="s">
        <v>22</v>
      </c>
      <c r="G464" s="85" t="s">
        <v>12</v>
      </c>
      <c r="H464" s="148" t="s">
        <v>933</v>
      </c>
      <c r="I464" s="142" t="s">
        <v>933</v>
      </c>
      <c r="J464" s="144" t="s">
        <v>933</v>
      </c>
      <c r="K464" s="144" t="s">
        <v>933</v>
      </c>
      <c r="L464" s="101" t="s">
        <v>888</v>
      </c>
      <c r="M464" s="58"/>
      <c r="N464" s="59"/>
      <c r="O464" s="50"/>
      <c r="P464" s="60"/>
      <c r="R464" s="53" t="s">
        <v>764</v>
      </c>
      <c r="S464" s="53" t="s">
        <v>764</v>
      </c>
      <c r="T464" s="53" t="s">
        <v>769</v>
      </c>
      <c r="U464" s="53" t="s">
        <v>741</v>
      </c>
      <c r="V464" s="53" t="s">
        <v>768</v>
      </c>
      <c r="W464" s="53" t="s">
        <v>1053</v>
      </c>
      <c r="X464" s="61">
        <f>IFERROR(IF(W464="","",WORKDAY.INTL(B464,_xlfn.XLOOKUP(W464,Regras!$F$2:$F$11,Regras!$G$2:$G$11))),"")</f>
        <v>45953</v>
      </c>
      <c r="Y464" s="150" t="s">
        <v>4552</v>
      </c>
      <c r="Z464" s="53" t="s">
        <v>764</v>
      </c>
      <c r="AA464" s="53"/>
      <c r="AB464" s="156" t="s">
        <v>4552</v>
      </c>
    </row>
    <row r="465" spans="2:28" x14ac:dyDescent="0.2">
      <c r="B465" s="89">
        <v>45944</v>
      </c>
      <c r="D465" s="99" t="s">
        <v>1010</v>
      </c>
      <c r="E465" s="110" t="s">
        <v>1011</v>
      </c>
      <c r="F465" s="85" t="s">
        <v>11</v>
      </c>
      <c r="G465" s="85" t="s">
        <v>12</v>
      </c>
      <c r="H465" s="148" t="s">
        <v>933</v>
      </c>
      <c r="I465" s="142" t="s">
        <v>933</v>
      </c>
      <c r="J465" s="144" t="s">
        <v>933</v>
      </c>
      <c r="K465" s="144" t="s">
        <v>933</v>
      </c>
      <c r="L465" s="101" t="s">
        <v>888</v>
      </c>
      <c r="M465" s="58"/>
      <c r="N465" s="59"/>
      <c r="O465" s="50"/>
      <c r="P465" s="60"/>
      <c r="R465" s="53" t="s">
        <v>764</v>
      </c>
      <c r="S465" s="53" t="s">
        <v>769</v>
      </c>
      <c r="T465" s="53" t="s">
        <v>769</v>
      </c>
      <c r="U465" s="53" t="s">
        <v>741</v>
      </c>
      <c r="V465" s="53" t="s">
        <v>768</v>
      </c>
      <c r="W465" s="53" t="s">
        <v>1054</v>
      </c>
      <c r="X465" s="61">
        <f>IFERROR(IF(W465="","",WORKDAY.INTL(B465,_xlfn.XLOOKUP(W465,Regras!$F$2:$F$11,Regras!$G$2:$G$11))),"")</f>
        <v>45965</v>
      </c>
      <c r="Y465" s="150" t="s">
        <v>4553</v>
      </c>
      <c r="Z465" s="53" t="s">
        <v>764</v>
      </c>
      <c r="AA465" s="53"/>
      <c r="AB465" s="156" t="s">
        <v>4553</v>
      </c>
    </row>
    <row r="466" spans="2:28" x14ac:dyDescent="0.2">
      <c r="B466" s="89">
        <v>45944</v>
      </c>
      <c r="D466" s="99" t="s">
        <v>1339</v>
      </c>
      <c r="E466" s="110" t="s">
        <v>1340</v>
      </c>
      <c r="F466" s="85" t="s">
        <v>17</v>
      </c>
      <c r="G466" s="85" t="s">
        <v>12</v>
      </c>
      <c r="H466" s="148" t="s">
        <v>933</v>
      </c>
      <c r="I466" s="142" t="s">
        <v>933</v>
      </c>
      <c r="J466" s="144" t="s">
        <v>933</v>
      </c>
      <c r="K466" s="144" t="s">
        <v>933</v>
      </c>
      <c r="L466" s="101" t="s">
        <v>888</v>
      </c>
      <c r="M466" s="58"/>
      <c r="N466" s="59"/>
      <c r="O466" s="50"/>
      <c r="P466" s="60"/>
      <c r="R466" s="53" t="s">
        <v>764</v>
      </c>
      <c r="S466" s="53" t="s">
        <v>769</v>
      </c>
      <c r="T466" s="53" t="s">
        <v>769</v>
      </c>
      <c r="U466" s="53" t="s">
        <v>741</v>
      </c>
      <c r="V466" s="53" t="s">
        <v>768</v>
      </c>
      <c r="W466" s="53" t="s">
        <v>1053</v>
      </c>
      <c r="X466" s="61">
        <f>IFERROR(IF(W466="","",WORKDAY.INTL(B466,_xlfn.XLOOKUP(W466,Regras!$F$2:$F$11,Regras!$G$2:$G$11))),"")</f>
        <v>45953</v>
      </c>
      <c r="Y466" s="150" t="s">
        <v>973</v>
      </c>
      <c r="Z466" s="53" t="s">
        <v>764</v>
      </c>
      <c r="AA466" s="53"/>
      <c r="AB466" s="155" t="s">
        <v>4554</v>
      </c>
    </row>
    <row r="467" spans="2:28" x14ac:dyDescent="0.2">
      <c r="B467" s="89">
        <v>45943</v>
      </c>
      <c r="D467" s="99" t="s">
        <v>348</v>
      </c>
      <c r="E467" s="110" t="s">
        <v>349</v>
      </c>
      <c r="F467" s="85" t="s">
        <v>22</v>
      </c>
      <c r="G467" s="85" t="s">
        <v>12</v>
      </c>
      <c r="H467" s="148" t="s">
        <v>347</v>
      </c>
      <c r="I467" s="142">
        <v>2102.89</v>
      </c>
      <c r="J467" s="144">
        <v>75</v>
      </c>
      <c r="K467" s="144">
        <v>0</v>
      </c>
      <c r="L467" s="86" t="s">
        <v>741</v>
      </c>
      <c r="M467" s="58"/>
      <c r="N467" s="59"/>
      <c r="O467" s="50"/>
      <c r="P467" s="60"/>
      <c r="R467" s="53" t="s">
        <v>764</v>
      </c>
      <c r="S467" s="53" t="s">
        <v>769</v>
      </c>
      <c r="T467" s="53" t="s">
        <v>769</v>
      </c>
      <c r="U467" s="53" t="s">
        <v>741</v>
      </c>
      <c r="V467" s="53" t="s">
        <v>770</v>
      </c>
      <c r="W467" s="53" t="s">
        <v>766</v>
      </c>
      <c r="X467" s="61">
        <f>IFERROR(IF(W467="","",WORKDAY.INTL(B467,_xlfn.XLOOKUP(W467,Regras!$F$2:$F$11,Regras!$G$2:$G$11))),"")</f>
        <v>46006</v>
      </c>
      <c r="Y467" s="150" t="s">
        <v>1003</v>
      </c>
      <c r="Z467" s="53" t="s">
        <v>764</v>
      </c>
      <c r="AA467" s="53"/>
      <c r="AB467" s="156" t="s">
        <v>1003</v>
      </c>
    </row>
    <row r="468" spans="2:28" x14ac:dyDescent="0.2">
      <c r="B468" s="89">
        <v>45943</v>
      </c>
      <c r="D468" s="99" t="s">
        <v>1006</v>
      </c>
      <c r="E468" s="110" t="s">
        <v>187</v>
      </c>
      <c r="F468" s="85" t="s">
        <v>46</v>
      </c>
      <c r="G468" s="85" t="s">
        <v>829</v>
      </c>
      <c r="H468" s="148"/>
      <c r="I468" s="142"/>
      <c r="J468" s="144"/>
      <c r="K468" s="144"/>
      <c r="L468" s="103" t="s">
        <v>742</v>
      </c>
      <c r="M468" s="58"/>
      <c r="N468" s="59"/>
      <c r="O468" s="50"/>
      <c r="P468" s="60"/>
      <c r="R468" s="53" t="s">
        <v>764</v>
      </c>
      <c r="S468" s="53" t="s">
        <v>769</v>
      </c>
      <c r="T468" s="53" t="s">
        <v>769</v>
      </c>
      <c r="U468" s="53" t="s">
        <v>741</v>
      </c>
      <c r="V468" s="53" t="s">
        <v>770</v>
      </c>
      <c r="W468" s="53" t="s">
        <v>766</v>
      </c>
      <c r="X468" s="61">
        <f>IFERROR(IF(W468="","",WORKDAY.INTL(B468,_xlfn.XLOOKUP(W468,Regras!$F$2:$F$11,Regras!$G$2:$G$11))),"")</f>
        <v>46006</v>
      </c>
      <c r="Y468" s="150" t="s">
        <v>1003</v>
      </c>
      <c r="Z468" s="53" t="s">
        <v>764</v>
      </c>
      <c r="AA468" s="53"/>
      <c r="AB468" s="156" t="s">
        <v>1003</v>
      </c>
    </row>
    <row r="469" spans="2:28" x14ac:dyDescent="0.2">
      <c r="B469" s="89">
        <v>45943</v>
      </c>
      <c r="D469" s="99" t="s">
        <v>4509</v>
      </c>
      <c r="E469" s="110" t="s">
        <v>4510</v>
      </c>
      <c r="F469" s="85" t="s">
        <v>22</v>
      </c>
      <c r="G469" s="85" t="s">
        <v>12</v>
      </c>
      <c r="H469" s="148"/>
      <c r="I469" s="142"/>
      <c r="J469" s="144"/>
      <c r="K469" s="144"/>
      <c r="L469" s="101" t="s">
        <v>888</v>
      </c>
      <c r="M469" s="58"/>
      <c r="N469" s="59"/>
      <c r="O469" s="50"/>
      <c r="P469" s="60"/>
      <c r="R469" s="53" t="s">
        <v>764</v>
      </c>
      <c r="S469" s="53" t="s">
        <v>769</v>
      </c>
      <c r="T469" s="53" t="s">
        <v>769</v>
      </c>
      <c r="U469" s="53" t="s">
        <v>741</v>
      </c>
      <c r="V469" s="53" t="s">
        <v>768</v>
      </c>
      <c r="W469" s="53" t="s">
        <v>766</v>
      </c>
      <c r="X469" s="61">
        <f>IFERROR(IF(W469="","",WORKDAY.INTL(B469,_xlfn.XLOOKUP(W469,Regras!$F$2:$F$11,Regras!$G$2:$G$11))),"")</f>
        <v>46006</v>
      </c>
      <c r="Y469" s="150" t="s">
        <v>1003</v>
      </c>
      <c r="Z469" s="53" t="s">
        <v>764</v>
      </c>
      <c r="AA469" s="53"/>
      <c r="AB469" s="156" t="s">
        <v>1003</v>
      </c>
    </row>
    <row r="470" spans="2:28" x14ac:dyDescent="0.2">
      <c r="B470" s="89">
        <v>45944</v>
      </c>
      <c r="D470" s="99" t="s">
        <v>282</v>
      </c>
      <c r="E470" s="110" t="s">
        <v>283</v>
      </c>
      <c r="F470" s="85" t="s">
        <v>46</v>
      </c>
      <c r="G470" s="85" t="s">
        <v>12</v>
      </c>
      <c r="H470" s="148" t="s">
        <v>269</v>
      </c>
      <c r="I470" s="142">
        <v>1524.53</v>
      </c>
      <c r="J470" s="144">
        <v>62</v>
      </c>
      <c r="K470" s="144">
        <v>0</v>
      </c>
      <c r="L470" s="86" t="s">
        <v>741</v>
      </c>
      <c r="M470" s="58"/>
      <c r="N470" s="59"/>
      <c r="O470" s="50"/>
      <c r="P470" s="60"/>
      <c r="R470" s="53" t="s">
        <v>764</v>
      </c>
      <c r="S470" s="53" t="s">
        <v>764</v>
      </c>
      <c r="T470" s="53" t="s">
        <v>769</v>
      </c>
      <c r="U470" s="53" t="s">
        <v>741</v>
      </c>
      <c r="V470" s="53" t="s">
        <v>770</v>
      </c>
      <c r="W470" s="53" t="s">
        <v>1053</v>
      </c>
      <c r="X470" s="61">
        <f>IFERROR(IF(W470="","",WORKDAY.INTL(B470,_xlfn.XLOOKUP(W470,Regras!$F$2:$F$11,Regras!$G$2:$G$11))),"")</f>
        <v>45953</v>
      </c>
      <c r="Y470" s="150" t="s">
        <v>4555</v>
      </c>
      <c r="Z470" s="53" t="s">
        <v>764</v>
      </c>
      <c r="AA470" s="53"/>
      <c r="AB470" s="156" t="s">
        <v>4555</v>
      </c>
    </row>
    <row r="471" spans="2:28" x14ac:dyDescent="0.2">
      <c r="B471" s="89">
        <v>45944</v>
      </c>
      <c r="D471" s="99" t="s">
        <v>1268</v>
      </c>
      <c r="E471" s="110" t="s">
        <v>1278</v>
      </c>
      <c r="F471" s="85" t="s">
        <v>22</v>
      </c>
      <c r="G471" s="85" t="s">
        <v>12</v>
      </c>
      <c r="H471" s="148" t="s">
        <v>933</v>
      </c>
      <c r="I471" s="142" t="s">
        <v>933</v>
      </c>
      <c r="J471" s="144" t="s">
        <v>933</v>
      </c>
      <c r="K471" s="144" t="s">
        <v>933</v>
      </c>
      <c r="L471" s="101" t="s">
        <v>888</v>
      </c>
      <c r="M471" s="58"/>
      <c r="N471" s="59"/>
      <c r="O471" s="50"/>
      <c r="P471" s="60"/>
      <c r="R471" s="53" t="s">
        <v>764</v>
      </c>
      <c r="S471" s="53" t="s">
        <v>764</v>
      </c>
      <c r="T471" s="53" t="s">
        <v>769</v>
      </c>
      <c r="U471" s="53" t="s">
        <v>741</v>
      </c>
      <c r="V471" s="53" t="s">
        <v>768</v>
      </c>
      <c r="W471" s="53" t="s">
        <v>1053</v>
      </c>
      <c r="X471" s="61">
        <f>IFERROR(IF(W471="","",WORKDAY.INTL(B471,_xlfn.XLOOKUP(W471,Regras!$F$2:$F$11,Regras!$G$2:$G$11))),"")</f>
        <v>45953</v>
      </c>
      <c r="Y471" s="150" t="s">
        <v>4556</v>
      </c>
      <c r="Z471" s="53" t="s">
        <v>764</v>
      </c>
      <c r="AA471" s="53"/>
      <c r="AB471" s="155" t="s">
        <v>4557</v>
      </c>
    </row>
    <row r="472" spans="2:28" x14ac:dyDescent="0.2">
      <c r="B472" s="89">
        <v>45944</v>
      </c>
      <c r="D472" s="99" t="s">
        <v>1269</v>
      </c>
      <c r="E472" s="110" t="s">
        <v>1279</v>
      </c>
      <c r="F472" s="85" t="s">
        <v>22</v>
      </c>
      <c r="G472" s="85" t="s">
        <v>12</v>
      </c>
      <c r="H472" s="148" t="s">
        <v>933</v>
      </c>
      <c r="I472" s="142" t="s">
        <v>933</v>
      </c>
      <c r="J472" s="144" t="s">
        <v>933</v>
      </c>
      <c r="K472" s="144" t="s">
        <v>933</v>
      </c>
      <c r="L472" s="101" t="s">
        <v>888</v>
      </c>
      <c r="M472" s="58"/>
      <c r="N472" s="59"/>
      <c r="O472" s="50"/>
      <c r="P472" s="60"/>
      <c r="R472" s="53" t="s">
        <v>764</v>
      </c>
      <c r="S472" s="53" t="s">
        <v>769</v>
      </c>
      <c r="T472" s="53" t="s">
        <v>769</v>
      </c>
      <c r="U472" s="53" t="s">
        <v>741</v>
      </c>
      <c r="V472" s="53" t="s">
        <v>768</v>
      </c>
      <c r="W472" s="53" t="s">
        <v>1053</v>
      </c>
      <c r="X472" s="61">
        <f>IFERROR(IF(W472="","",WORKDAY.INTL(B472,_xlfn.XLOOKUP(W472,Regras!$F$2:$F$11,Regras!$G$2:$G$11))),"")</f>
        <v>45953</v>
      </c>
      <c r="Y472" s="150" t="s">
        <v>4558</v>
      </c>
      <c r="Z472" s="53" t="s">
        <v>764</v>
      </c>
      <c r="AA472" s="53"/>
      <c r="AB472" s="155" t="s">
        <v>4557</v>
      </c>
    </row>
    <row r="473" spans="2:28" x14ac:dyDescent="0.2">
      <c r="B473" s="89">
        <v>45944</v>
      </c>
      <c r="D473" s="99" t="s">
        <v>1274</v>
      </c>
      <c r="E473" s="110" t="s">
        <v>1284</v>
      </c>
      <c r="F473" s="85" t="s">
        <v>22</v>
      </c>
      <c r="G473" s="85" t="s">
        <v>12</v>
      </c>
      <c r="H473" s="148" t="s">
        <v>933</v>
      </c>
      <c r="I473" s="142" t="s">
        <v>933</v>
      </c>
      <c r="J473" s="144" t="s">
        <v>933</v>
      </c>
      <c r="K473" s="144" t="s">
        <v>933</v>
      </c>
      <c r="L473" s="101" t="s">
        <v>888</v>
      </c>
      <c r="M473" s="58"/>
      <c r="N473" s="59"/>
      <c r="O473" s="50"/>
      <c r="P473" s="60"/>
      <c r="R473" s="53" t="s">
        <v>764</v>
      </c>
      <c r="S473" s="53" t="s">
        <v>769</v>
      </c>
      <c r="T473" s="53" t="s">
        <v>769</v>
      </c>
      <c r="U473" s="53" t="s">
        <v>741</v>
      </c>
      <c r="V473" s="53" t="s">
        <v>768</v>
      </c>
      <c r="W473" s="53" t="s">
        <v>1053</v>
      </c>
      <c r="X473" s="61">
        <f>IFERROR(IF(W473="","",WORKDAY.INTL(B473,_xlfn.XLOOKUP(W473,Regras!$F$2:$F$11,Regras!$G$2:$G$11))),"")</f>
        <v>45953</v>
      </c>
      <c r="Y473" s="150" t="s">
        <v>4559</v>
      </c>
      <c r="Z473" s="53" t="s">
        <v>764</v>
      </c>
      <c r="AA473" s="53"/>
      <c r="AB473" s="155" t="s">
        <v>4557</v>
      </c>
    </row>
    <row r="474" spans="2:28" x14ac:dyDescent="0.2">
      <c r="B474" s="89">
        <v>45944</v>
      </c>
      <c r="D474" s="99" t="s">
        <v>1277</v>
      </c>
      <c r="E474" s="110" t="s">
        <v>1287</v>
      </c>
      <c r="F474" s="85" t="s">
        <v>22</v>
      </c>
      <c r="G474" s="85" t="s">
        <v>12</v>
      </c>
      <c r="H474" s="148" t="s">
        <v>933</v>
      </c>
      <c r="I474" s="142" t="s">
        <v>933</v>
      </c>
      <c r="J474" s="144" t="s">
        <v>933</v>
      </c>
      <c r="K474" s="144" t="s">
        <v>933</v>
      </c>
      <c r="L474" s="101" t="s">
        <v>888</v>
      </c>
      <c r="M474" s="58"/>
      <c r="N474" s="59"/>
      <c r="O474" s="50"/>
      <c r="P474" s="60"/>
      <c r="R474" s="53" t="s">
        <v>764</v>
      </c>
      <c r="S474" s="53" t="s">
        <v>769</v>
      </c>
      <c r="T474" s="53" t="s">
        <v>769</v>
      </c>
      <c r="U474" s="53" t="s">
        <v>741</v>
      </c>
      <c r="V474" s="53" t="s">
        <v>768</v>
      </c>
      <c r="W474" s="53" t="s">
        <v>1053</v>
      </c>
      <c r="X474" s="61">
        <f>IFERROR(IF(W474="","",WORKDAY.INTL(B474,_xlfn.XLOOKUP(W474,Regras!$F$2:$F$11,Regras!$G$2:$G$11))),"")</f>
        <v>45953</v>
      </c>
      <c r="Y474" s="150" t="s">
        <v>4556</v>
      </c>
      <c r="Z474" s="53" t="s">
        <v>764</v>
      </c>
      <c r="AA474" s="53"/>
      <c r="AB474" s="155" t="s">
        <v>4557</v>
      </c>
    </row>
    <row r="475" spans="2:28" x14ac:dyDescent="0.2">
      <c r="B475" s="89">
        <v>45944</v>
      </c>
      <c r="D475" s="99" t="s">
        <v>1289</v>
      </c>
      <c r="E475" s="110" t="s">
        <v>1288</v>
      </c>
      <c r="F475" s="85" t="s">
        <v>17</v>
      </c>
      <c r="G475" s="85" t="s">
        <v>12</v>
      </c>
      <c r="H475" s="148" t="s">
        <v>933</v>
      </c>
      <c r="I475" s="142" t="s">
        <v>933</v>
      </c>
      <c r="J475" s="144" t="s">
        <v>933</v>
      </c>
      <c r="K475" s="144" t="s">
        <v>933</v>
      </c>
      <c r="L475" s="101" t="s">
        <v>888</v>
      </c>
      <c r="M475" s="58"/>
      <c r="N475" s="59"/>
      <c r="O475" s="50"/>
      <c r="P475" s="60"/>
      <c r="R475" s="53" t="s">
        <v>764</v>
      </c>
      <c r="S475" s="53" t="s">
        <v>769</v>
      </c>
      <c r="T475" s="53" t="s">
        <v>769</v>
      </c>
      <c r="U475" s="53" t="s">
        <v>741</v>
      </c>
      <c r="V475" s="53" t="s">
        <v>768</v>
      </c>
      <c r="W475" s="53" t="s">
        <v>1053</v>
      </c>
      <c r="X475" s="61">
        <f>IFERROR(IF(W475="","",WORKDAY.INTL(B475,_xlfn.XLOOKUP(W475,Regras!$F$2:$F$11,Regras!$G$2:$G$11))),"")</f>
        <v>45953</v>
      </c>
      <c r="Y475" s="150" t="s">
        <v>4556</v>
      </c>
      <c r="Z475" s="53" t="s">
        <v>764</v>
      </c>
      <c r="AA475" s="53"/>
      <c r="AB475" s="155" t="s">
        <v>4557</v>
      </c>
    </row>
    <row r="476" spans="2:28" x14ac:dyDescent="0.2">
      <c r="B476" s="89">
        <v>45944</v>
      </c>
      <c r="D476" s="99" t="s">
        <v>1291</v>
      </c>
      <c r="E476" s="110" t="s">
        <v>1290</v>
      </c>
      <c r="F476" s="85" t="s">
        <v>22</v>
      </c>
      <c r="G476" s="85" t="s">
        <v>12</v>
      </c>
      <c r="H476" s="148" t="s">
        <v>933</v>
      </c>
      <c r="I476" s="142" t="s">
        <v>933</v>
      </c>
      <c r="J476" s="144" t="s">
        <v>933</v>
      </c>
      <c r="K476" s="144" t="s">
        <v>933</v>
      </c>
      <c r="L476" s="95" t="s">
        <v>888</v>
      </c>
      <c r="M476" s="58"/>
      <c r="N476" s="59"/>
      <c r="O476" s="50"/>
      <c r="P476" s="60"/>
      <c r="R476" s="53" t="s">
        <v>764</v>
      </c>
      <c r="S476" s="53" t="s">
        <v>769</v>
      </c>
      <c r="T476" s="53" t="s">
        <v>769</v>
      </c>
      <c r="U476" s="53" t="s">
        <v>741</v>
      </c>
      <c r="V476" s="53" t="s">
        <v>768</v>
      </c>
      <c r="W476" s="53" t="s">
        <v>1053</v>
      </c>
      <c r="X476" s="61">
        <f>IFERROR(IF(W476="","",WORKDAY.INTL(B476,_xlfn.XLOOKUP(W476,Regras!$F$2:$F$11,Regras!$G$2:$G$11))),"")</f>
        <v>45953</v>
      </c>
      <c r="Y476" s="150" t="s">
        <v>4556</v>
      </c>
      <c r="Z476" s="53" t="s">
        <v>764</v>
      </c>
      <c r="AA476" s="53"/>
      <c r="AB476" s="155" t="s">
        <v>4557</v>
      </c>
    </row>
    <row r="477" spans="2:28" x14ac:dyDescent="0.2">
      <c r="B477" s="89">
        <v>45944</v>
      </c>
      <c r="D477" s="99" t="s">
        <v>192</v>
      </c>
      <c r="E477" s="110" t="s">
        <v>193</v>
      </c>
      <c r="F477" s="85" t="s">
        <v>17</v>
      </c>
      <c r="G477" s="85" t="s">
        <v>12</v>
      </c>
      <c r="H477" s="148" t="s">
        <v>185</v>
      </c>
      <c r="I477" s="142">
        <v>2105.6</v>
      </c>
      <c r="J477" s="144">
        <v>53</v>
      </c>
      <c r="K477" s="144">
        <v>0</v>
      </c>
      <c r="L477" s="86" t="s">
        <v>741</v>
      </c>
      <c r="M477" s="58"/>
      <c r="N477" s="59"/>
      <c r="O477" s="50"/>
      <c r="P477" s="60"/>
      <c r="R477" s="53" t="s">
        <v>764</v>
      </c>
      <c r="S477" s="53" t="s">
        <v>764</v>
      </c>
      <c r="T477" s="53" t="s">
        <v>769</v>
      </c>
      <c r="U477" s="53" t="s">
        <v>741</v>
      </c>
      <c r="V477" s="53" t="s">
        <v>770</v>
      </c>
      <c r="W477" s="53" t="s">
        <v>839</v>
      </c>
      <c r="X477" s="61">
        <f>IFERROR(IF(W477="","",WORKDAY.INTL(B477,_xlfn.XLOOKUP(W477,Regras!$F$2:$F$11,Regras!$G$2:$G$11))),"")</f>
        <v>45945</v>
      </c>
      <c r="Y477" s="150" t="s">
        <v>4560</v>
      </c>
      <c r="Z477" s="53" t="s">
        <v>764</v>
      </c>
      <c r="AA477" s="53"/>
      <c r="AB477" s="156" t="s">
        <v>4560</v>
      </c>
    </row>
    <row r="478" spans="2:28" x14ac:dyDescent="0.2">
      <c r="B478" s="89">
        <v>45945</v>
      </c>
      <c r="D478" s="99" t="s">
        <v>4561</v>
      </c>
      <c r="E478" s="110" t="s">
        <v>3124</v>
      </c>
      <c r="F478" s="85" t="s">
        <v>22</v>
      </c>
      <c r="G478" s="85" t="s">
        <v>12</v>
      </c>
      <c r="H478" s="148" t="s">
        <v>933</v>
      </c>
      <c r="I478" s="142" t="s">
        <v>933</v>
      </c>
      <c r="J478" s="144" t="s">
        <v>933</v>
      </c>
      <c r="K478" s="144" t="s">
        <v>933</v>
      </c>
      <c r="L478" s="95" t="s">
        <v>888</v>
      </c>
      <c r="M478" s="58"/>
      <c r="N478" s="59"/>
      <c r="O478" s="50"/>
      <c r="P478" s="60"/>
      <c r="R478" s="53" t="s">
        <v>764</v>
      </c>
      <c r="S478" s="53" t="s">
        <v>769</v>
      </c>
      <c r="T478" s="53" t="s">
        <v>769</v>
      </c>
      <c r="U478" s="53" t="s">
        <v>741</v>
      </c>
      <c r="V478" s="53" t="s">
        <v>768</v>
      </c>
      <c r="W478" s="53" t="s">
        <v>780</v>
      </c>
      <c r="X478" s="61">
        <f>IFERROR(IF(W478="","",WORKDAY.INTL(B478,_xlfn.XLOOKUP(W478,Regras!$F$2:$F$11,Regras!$G$2:$G$11))),"")</f>
        <v>45947</v>
      </c>
      <c r="Y478" s="150" t="s">
        <v>4571</v>
      </c>
      <c r="Z478" s="53" t="s">
        <v>764</v>
      </c>
      <c r="AA478" s="53"/>
      <c r="AB478" s="156" t="s">
        <v>4571</v>
      </c>
    </row>
    <row r="479" spans="2:28" x14ac:dyDescent="0.2">
      <c r="B479" s="89">
        <v>45945</v>
      </c>
      <c r="D479" s="99" t="s">
        <v>4562</v>
      </c>
      <c r="E479" s="110" t="s">
        <v>3821</v>
      </c>
      <c r="F479" s="85" t="s">
        <v>22</v>
      </c>
      <c r="G479" s="85" t="s">
        <v>12</v>
      </c>
      <c r="H479" s="148" t="s">
        <v>933</v>
      </c>
      <c r="I479" s="142" t="s">
        <v>933</v>
      </c>
      <c r="J479" s="144" t="s">
        <v>933</v>
      </c>
      <c r="K479" s="144" t="s">
        <v>933</v>
      </c>
      <c r="L479" s="95" t="s">
        <v>888</v>
      </c>
      <c r="M479" s="58"/>
      <c r="N479" s="59"/>
      <c r="O479" s="50"/>
      <c r="P479" s="60"/>
      <c r="R479" s="53" t="s">
        <v>764</v>
      </c>
      <c r="S479" s="53" t="s">
        <v>769</v>
      </c>
      <c r="T479" s="53" t="s">
        <v>769</v>
      </c>
      <c r="U479" s="53" t="s">
        <v>741</v>
      </c>
      <c r="V479" s="53" t="s">
        <v>768</v>
      </c>
      <c r="W479" s="53" t="s">
        <v>780</v>
      </c>
      <c r="X479" s="61">
        <f>IFERROR(IF(W479="","",WORKDAY.INTL(B479,_xlfn.XLOOKUP(W479,Regras!$F$2:$F$11,Regras!$G$2:$G$11))),"")</f>
        <v>45947</v>
      </c>
      <c r="Y479" s="150" t="s">
        <v>4572</v>
      </c>
      <c r="Z479" s="53" t="s">
        <v>764</v>
      </c>
      <c r="AA479" s="53"/>
      <c r="AB479" s="156" t="s">
        <v>4572</v>
      </c>
    </row>
    <row r="480" spans="2:28" x14ac:dyDescent="0.2">
      <c r="B480" s="89">
        <v>45945</v>
      </c>
      <c r="D480" s="99" t="s">
        <v>4563</v>
      </c>
      <c r="E480" s="110" t="s">
        <v>3271</v>
      </c>
      <c r="F480" s="85" t="s">
        <v>22</v>
      </c>
      <c r="G480" s="85" t="s">
        <v>12</v>
      </c>
      <c r="H480" s="148" t="s">
        <v>933</v>
      </c>
      <c r="I480" s="142" t="s">
        <v>933</v>
      </c>
      <c r="J480" s="144" t="s">
        <v>933</v>
      </c>
      <c r="K480" s="144" t="s">
        <v>933</v>
      </c>
      <c r="L480" s="95" t="s">
        <v>888</v>
      </c>
      <c r="M480" s="58"/>
      <c r="N480" s="59"/>
      <c r="O480" s="50"/>
      <c r="P480" s="60"/>
      <c r="R480" s="53" t="s">
        <v>764</v>
      </c>
      <c r="S480" s="53" t="s">
        <v>769</v>
      </c>
      <c r="T480" s="53" t="s">
        <v>769</v>
      </c>
      <c r="U480" s="53" t="s">
        <v>741</v>
      </c>
      <c r="V480" s="53" t="s">
        <v>768</v>
      </c>
      <c r="W480" s="53" t="s">
        <v>796</v>
      </c>
      <c r="X480" s="61" t="str">
        <f>IFERROR(IF(W480="","",WORKDAY.INTL(B480,_xlfn.XLOOKUP(W480,Regras!$F$2:$F$11,Regras!$G$2:$G$11))),"")</f>
        <v/>
      </c>
      <c r="Y480" s="150" t="s">
        <v>4573</v>
      </c>
      <c r="Z480" s="53" t="s">
        <v>764</v>
      </c>
      <c r="AA480" s="53"/>
      <c r="AB480" s="155" t="s">
        <v>4574</v>
      </c>
    </row>
    <row r="481" spans="2:28" x14ac:dyDescent="0.2">
      <c r="B481" s="89">
        <v>45945</v>
      </c>
      <c r="D481" s="99" t="s">
        <v>4564</v>
      </c>
      <c r="E481" s="110" t="s">
        <v>2260</v>
      </c>
      <c r="F481" s="85" t="s">
        <v>22</v>
      </c>
      <c r="G481" s="85" t="s">
        <v>12</v>
      </c>
      <c r="H481" s="148" t="s">
        <v>933</v>
      </c>
      <c r="I481" s="142" t="s">
        <v>933</v>
      </c>
      <c r="J481" s="144" t="s">
        <v>933</v>
      </c>
      <c r="K481" s="144" t="s">
        <v>933</v>
      </c>
      <c r="L481" s="95" t="s">
        <v>888</v>
      </c>
      <c r="M481" s="58"/>
      <c r="N481" s="59"/>
      <c r="O481" s="50"/>
      <c r="P481" s="60"/>
      <c r="R481" s="53" t="s">
        <v>764</v>
      </c>
      <c r="S481" s="53" t="s">
        <v>769</v>
      </c>
      <c r="T481" s="53" t="s">
        <v>769</v>
      </c>
      <c r="U481" s="53" t="s">
        <v>741</v>
      </c>
      <c r="V481" s="53" t="s">
        <v>768</v>
      </c>
      <c r="W481" s="53" t="s">
        <v>780</v>
      </c>
      <c r="X481" s="61">
        <f>IFERROR(IF(W481="","",WORKDAY.INTL(B481,_xlfn.XLOOKUP(W481,Regras!$F$2:$F$11,Regras!$G$2:$G$11))),"")</f>
        <v>45947</v>
      </c>
      <c r="Y481" s="150" t="s">
        <v>1318</v>
      </c>
      <c r="Z481" s="53" t="s">
        <v>764</v>
      </c>
      <c r="AA481" s="53"/>
      <c r="AB481" s="156" t="s">
        <v>1318</v>
      </c>
    </row>
    <row r="482" spans="2:28" x14ac:dyDescent="0.2">
      <c r="B482" s="89">
        <v>45945</v>
      </c>
      <c r="D482" s="99" t="s">
        <v>4565</v>
      </c>
      <c r="E482" s="110" t="s">
        <v>3648</v>
      </c>
      <c r="F482" s="85" t="s">
        <v>22</v>
      </c>
      <c r="G482" s="85" t="s">
        <v>12</v>
      </c>
      <c r="H482" s="148" t="s">
        <v>933</v>
      </c>
      <c r="I482" s="142" t="s">
        <v>933</v>
      </c>
      <c r="J482" s="144" t="s">
        <v>933</v>
      </c>
      <c r="K482" s="144" t="s">
        <v>933</v>
      </c>
      <c r="L482" s="95" t="s">
        <v>888</v>
      </c>
      <c r="M482" s="58"/>
      <c r="N482" s="59"/>
      <c r="O482" s="50"/>
      <c r="P482" s="60"/>
      <c r="R482" s="53" t="s">
        <v>764</v>
      </c>
      <c r="S482" s="53" t="s">
        <v>769</v>
      </c>
      <c r="T482" s="53" t="s">
        <v>769</v>
      </c>
      <c r="U482" s="53" t="s">
        <v>741</v>
      </c>
      <c r="V482" s="53" t="s">
        <v>768</v>
      </c>
      <c r="W482" s="53" t="s">
        <v>796</v>
      </c>
      <c r="X482" s="61" t="str">
        <f>IFERROR(IF(W482="","",WORKDAY.INTL(B482,_xlfn.XLOOKUP(W482,Regras!$F$2:$F$11,Regras!$G$2:$G$11))),"")</f>
        <v/>
      </c>
      <c r="Y482" s="150" t="s">
        <v>1237</v>
      </c>
      <c r="Z482" s="53" t="s">
        <v>764</v>
      </c>
      <c r="AA482" s="53"/>
      <c r="AB482" s="156" t="s">
        <v>1237</v>
      </c>
    </row>
    <row r="483" spans="2:28" x14ac:dyDescent="0.2">
      <c r="B483" s="89">
        <v>45945</v>
      </c>
      <c r="D483" s="99" t="s">
        <v>4566</v>
      </c>
      <c r="E483" s="110" t="s">
        <v>2044</v>
      </c>
      <c r="F483" s="85" t="s">
        <v>22</v>
      </c>
      <c r="G483" s="85" t="s">
        <v>12</v>
      </c>
      <c r="H483" s="148" t="s">
        <v>933</v>
      </c>
      <c r="I483" s="142" t="s">
        <v>933</v>
      </c>
      <c r="J483" s="144" t="s">
        <v>933</v>
      </c>
      <c r="K483" s="144" t="s">
        <v>933</v>
      </c>
      <c r="L483" s="95" t="s">
        <v>888</v>
      </c>
      <c r="M483" s="58"/>
      <c r="N483" s="59"/>
      <c r="O483" s="50"/>
      <c r="P483" s="60"/>
      <c r="R483" s="53" t="s">
        <v>764</v>
      </c>
      <c r="S483" s="53" t="s">
        <v>764</v>
      </c>
      <c r="T483" s="53" t="s">
        <v>764</v>
      </c>
      <c r="U483" s="53" t="s">
        <v>741</v>
      </c>
      <c r="V483" s="53" t="s">
        <v>768</v>
      </c>
      <c r="W483" s="53" t="s">
        <v>780</v>
      </c>
      <c r="X483" s="61">
        <f>IFERROR(IF(W483="","",WORKDAY.INTL(B483,_xlfn.XLOOKUP(W483,Regras!$F$2:$F$11,Regras!$G$2:$G$11))),"")</f>
        <v>45947</v>
      </c>
      <c r="Y483" s="150" t="s">
        <v>4575</v>
      </c>
      <c r="Z483" s="53" t="s">
        <v>764</v>
      </c>
      <c r="AA483" s="53"/>
      <c r="AB483" s="155" t="s">
        <v>4576</v>
      </c>
    </row>
    <row r="484" spans="2:28" x14ac:dyDescent="0.2">
      <c r="B484" s="89">
        <v>45945</v>
      </c>
      <c r="D484" s="99" t="s">
        <v>4567</v>
      </c>
      <c r="E484" s="110" t="s">
        <v>3326</v>
      </c>
      <c r="F484" s="85" t="s">
        <v>22</v>
      </c>
      <c r="G484" s="85" t="s">
        <v>12</v>
      </c>
      <c r="H484" s="148" t="s">
        <v>933</v>
      </c>
      <c r="I484" s="142" t="s">
        <v>933</v>
      </c>
      <c r="J484" s="144" t="s">
        <v>933</v>
      </c>
      <c r="K484" s="144" t="s">
        <v>933</v>
      </c>
      <c r="L484" s="95" t="s">
        <v>888</v>
      </c>
      <c r="M484" s="58"/>
      <c r="N484" s="59"/>
      <c r="O484" s="50"/>
      <c r="P484" s="60"/>
      <c r="R484" s="53" t="s">
        <v>764</v>
      </c>
      <c r="S484" s="53" t="s">
        <v>764</v>
      </c>
      <c r="T484" s="53" t="s">
        <v>769</v>
      </c>
      <c r="U484" s="53" t="s">
        <v>741</v>
      </c>
      <c r="V484" s="53" t="s">
        <v>768</v>
      </c>
      <c r="W484" s="53" t="s">
        <v>780</v>
      </c>
      <c r="X484" s="61">
        <f>IFERROR(IF(W484="","",WORKDAY.INTL(B484,_xlfn.XLOOKUP(W484,Regras!$F$2:$F$11,Regras!$G$2:$G$11))),"")</f>
        <v>45947</v>
      </c>
      <c r="Y484" s="150" t="s">
        <v>4577</v>
      </c>
      <c r="Z484" s="53" t="s">
        <v>764</v>
      </c>
      <c r="AA484" s="53"/>
      <c r="AB484" s="156" t="s">
        <v>4577</v>
      </c>
    </row>
    <row r="485" spans="2:28" x14ac:dyDescent="0.2">
      <c r="B485" s="89">
        <v>45945</v>
      </c>
      <c r="D485" s="99" t="s">
        <v>4568</v>
      </c>
      <c r="E485" s="110" t="s">
        <v>3539</v>
      </c>
      <c r="F485" s="85" t="s">
        <v>22</v>
      </c>
      <c r="G485" s="85" t="s">
        <v>12</v>
      </c>
      <c r="H485" s="148" t="s">
        <v>933</v>
      </c>
      <c r="I485" s="142" t="s">
        <v>933</v>
      </c>
      <c r="J485" s="144" t="s">
        <v>933</v>
      </c>
      <c r="K485" s="144" t="s">
        <v>933</v>
      </c>
      <c r="L485" s="95" t="s">
        <v>888</v>
      </c>
      <c r="M485" s="58"/>
      <c r="N485" s="59"/>
      <c r="O485" s="50"/>
      <c r="P485" s="60"/>
      <c r="R485" s="53" t="s">
        <v>764</v>
      </c>
      <c r="S485" s="53" t="s">
        <v>764</v>
      </c>
      <c r="T485" s="53" t="s">
        <v>769</v>
      </c>
      <c r="U485" s="53" t="s">
        <v>741</v>
      </c>
      <c r="V485" s="53" t="s">
        <v>768</v>
      </c>
      <c r="W485" s="53" t="s">
        <v>780</v>
      </c>
      <c r="X485" s="61">
        <f>IFERROR(IF(W485="","",WORKDAY.INTL(B485,_xlfn.XLOOKUP(W485,Regras!$F$2:$F$11,Regras!$G$2:$G$11))),"")</f>
        <v>45947</v>
      </c>
      <c r="Y485" s="150" t="s">
        <v>1318</v>
      </c>
      <c r="Z485" s="53" t="s">
        <v>764</v>
      </c>
      <c r="AA485" s="53"/>
      <c r="AB485" s="155" t="s">
        <v>4578</v>
      </c>
    </row>
    <row r="486" spans="2:28" x14ac:dyDescent="0.2">
      <c r="B486" s="89">
        <v>45945</v>
      </c>
      <c r="D486" s="99" t="s">
        <v>4569</v>
      </c>
      <c r="E486" s="110" t="s">
        <v>3037</v>
      </c>
      <c r="F486" s="85" t="s">
        <v>22</v>
      </c>
      <c r="G486" s="85" t="s">
        <v>12</v>
      </c>
      <c r="H486" s="148" t="s">
        <v>933</v>
      </c>
      <c r="I486" s="142" t="s">
        <v>933</v>
      </c>
      <c r="J486" s="144" t="s">
        <v>933</v>
      </c>
      <c r="K486" s="144" t="s">
        <v>933</v>
      </c>
      <c r="L486" s="95" t="s">
        <v>888</v>
      </c>
      <c r="M486" s="58"/>
      <c r="N486" s="59"/>
      <c r="O486" s="50"/>
      <c r="P486" s="60"/>
      <c r="R486" s="53" t="s">
        <v>764</v>
      </c>
      <c r="S486" s="53" t="s">
        <v>769</v>
      </c>
      <c r="T486" s="53" t="s">
        <v>769</v>
      </c>
      <c r="U486" s="53" t="s">
        <v>741</v>
      </c>
      <c r="V486" s="53" t="s">
        <v>768</v>
      </c>
      <c r="W486" s="53" t="s">
        <v>780</v>
      </c>
      <c r="X486" s="61">
        <f>IFERROR(IF(W486="","",WORKDAY.INTL(B486,_xlfn.XLOOKUP(W486,Regras!$F$2:$F$11,Regras!$G$2:$G$11))),"")</f>
        <v>45947</v>
      </c>
      <c r="Y486" s="150" t="s">
        <v>1318</v>
      </c>
      <c r="Z486" s="53" t="s">
        <v>764</v>
      </c>
      <c r="AA486" s="53"/>
      <c r="AB486" s="155" t="s">
        <v>4557</v>
      </c>
    </row>
    <row r="487" spans="2:28" x14ac:dyDescent="0.2">
      <c r="B487" s="89">
        <v>45945</v>
      </c>
      <c r="D487" s="99" t="s">
        <v>4570</v>
      </c>
      <c r="E487" s="110" t="s">
        <v>2651</v>
      </c>
      <c r="F487" s="85" t="s">
        <v>22</v>
      </c>
      <c r="G487" s="85" t="s">
        <v>12</v>
      </c>
      <c r="H487" s="148" t="s">
        <v>933</v>
      </c>
      <c r="I487" s="142" t="s">
        <v>933</v>
      </c>
      <c r="J487" s="144" t="s">
        <v>933</v>
      </c>
      <c r="K487" s="144" t="s">
        <v>933</v>
      </c>
      <c r="L487" s="95" t="s">
        <v>888</v>
      </c>
      <c r="M487" s="58"/>
      <c r="N487" s="59"/>
      <c r="O487" s="50"/>
      <c r="P487" s="60"/>
      <c r="R487" s="53" t="s">
        <v>764</v>
      </c>
      <c r="S487" s="53" t="s">
        <v>769</v>
      </c>
      <c r="T487" s="53" t="s">
        <v>769</v>
      </c>
      <c r="U487" s="53" t="s">
        <v>741</v>
      </c>
      <c r="V487" s="53" t="s">
        <v>768</v>
      </c>
      <c r="W487" s="53" t="s">
        <v>780</v>
      </c>
      <c r="X487" s="61">
        <f>IFERROR(IF(W487="","",WORKDAY.INTL(B487,_xlfn.XLOOKUP(W487,Regras!$F$2:$F$11,Regras!$G$2:$G$11))),"")</f>
        <v>45947</v>
      </c>
      <c r="Y487" s="150" t="s">
        <v>1318</v>
      </c>
      <c r="Z487" s="53" t="s">
        <v>764</v>
      </c>
      <c r="AA487" s="53"/>
      <c r="AB487" s="155" t="s">
        <v>4557</v>
      </c>
    </row>
    <row r="488" spans="2:28" x14ac:dyDescent="0.2">
      <c r="B488" s="89">
        <v>45945</v>
      </c>
      <c r="D488" s="99" t="s">
        <v>105</v>
      </c>
      <c r="E488" s="110" t="s">
        <v>106</v>
      </c>
      <c r="F488" s="85" t="s">
        <v>17</v>
      </c>
      <c r="G488" s="85" t="s">
        <v>12</v>
      </c>
      <c r="H488" s="148" t="s">
        <v>96</v>
      </c>
      <c r="I488" s="142">
        <v>1199</v>
      </c>
      <c r="J488" s="144">
        <v>41</v>
      </c>
      <c r="K488" s="144">
        <v>0</v>
      </c>
      <c r="L488" s="44" t="s">
        <v>741</v>
      </c>
      <c r="M488" s="58"/>
      <c r="N488" s="59"/>
      <c r="O488" s="50"/>
      <c r="P488" s="60"/>
      <c r="R488" s="53" t="s">
        <v>764</v>
      </c>
      <c r="S488" s="53" t="s">
        <v>769</v>
      </c>
      <c r="T488" s="53" t="s">
        <v>769</v>
      </c>
      <c r="U488" s="53" t="s">
        <v>741</v>
      </c>
      <c r="V488" s="53" t="s">
        <v>770</v>
      </c>
      <c r="W488" s="53" t="s">
        <v>839</v>
      </c>
      <c r="X488" s="61">
        <f>IFERROR(IF(W488="","",WORKDAY.INTL(B488,_xlfn.XLOOKUP(W488,Regras!$F$2:$F$11,Regras!$G$2:$G$11))),"")</f>
        <v>45946</v>
      </c>
      <c r="Y488" s="150" t="s">
        <v>1336</v>
      </c>
      <c r="Z488" s="53" t="s">
        <v>764</v>
      </c>
      <c r="AA488" s="53"/>
      <c r="AB488" s="156" t="s">
        <v>1336</v>
      </c>
    </row>
    <row r="489" spans="2:28" x14ac:dyDescent="0.2">
      <c r="B489" s="89">
        <v>45945</v>
      </c>
      <c r="D489" s="99" t="s">
        <v>148</v>
      </c>
      <c r="E489" s="110" t="s">
        <v>149</v>
      </c>
      <c r="F489" s="85" t="s">
        <v>22</v>
      </c>
      <c r="G489" s="85" t="s">
        <v>12</v>
      </c>
      <c r="H489" s="148" t="s">
        <v>131</v>
      </c>
      <c r="I489" s="142">
        <v>665.76</v>
      </c>
      <c r="J489" s="144">
        <v>43</v>
      </c>
      <c r="K489" s="144">
        <v>26</v>
      </c>
      <c r="L489" s="44" t="s">
        <v>741</v>
      </c>
      <c r="M489" s="58"/>
      <c r="N489" s="59"/>
      <c r="O489" s="50"/>
      <c r="P489" s="60"/>
      <c r="R489" s="53" t="s">
        <v>764</v>
      </c>
      <c r="S489" s="53" t="s">
        <v>769</v>
      </c>
      <c r="T489" s="53" t="s">
        <v>769</v>
      </c>
      <c r="U489" s="53" t="s">
        <v>741</v>
      </c>
      <c r="V489" s="53" t="s">
        <v>770</v>
      </c>
      <c r="W489" s="53" t="s">
        <v>766</v>
      </c>
      <c r="X489" s="61">
        <f>IFERROR(IF(W489="","",WORKDAY.INTL(B489,_xlfn.XLOOKUP(W489,Regras!$F$2:$F$11,Regras!$G$2:$G$11))),"")</f>
        <v>46008</v>
      </c>
      <c r="Y489" s="150" t="s">
        <v>1003</v>
      </c>
      <c r="Z489" s="53" t="s">
        <v>764</v>
      </c>
      <c r="AA489" s="53"/>
      <c r="AB489" s="156" t="s">
        <v>1003</v>
      </c>
    </row>
    <row r="490" spans="2:28" x14ac:dyDescent="0.2">
      <c r="B490" s="89">
        <v>45945</v>
      </c>
      <c r="D490" s="99" t="s">
        <v>284</v>
      </c>
      <c r="E490" s="110" t="s">
        <v>285</v>
      </c>
      <c r="F490" s="85" t="s">
        <v>22</v>
      </c>
      <c r="G490" s="85" t="s">
        <v>12</v>
      </c>
      <c r="H490" s="148" t="s">
        <v>286</v>
      </c>
      <c r="I490" s="142">
        <v>767.84</v>
      </c>
      <c r="J490" s="144">
        <v>63</v>
      </c>
      <c r="K490" s="144">
        <v>42.5</v>
      </c>
      <c r="L490" s="44" t="s">
        <v>741</v>
      </c>
      <c r="M490" s="58"/>
      <c r="N490" s="59"/>
      <c r="O490" s="50"/>
      <c r="P490" s="60"/>
      <c r="R490" s="53" t="s">
        <v>764</v>
      </c>
      <c r="S490" s="53" t="s">
        <v>769</v>
      </c>
      <c r="T490" s="53" t="s">
        <v>769</v>
      </c>
      <c r="U490" s="53" t="s">
        <v>741</v>
      </c>
      <c r="V490" s="53" t="s">
        <v>770</v>
      </c>
      <c r="W490" s="53" t="s">
        <v>839</v>
      </c>
      <c r="X490" s="61">
        <f>IFERROR(IF(W490="","",WORKDAY.INTL(B490,_xlfn.XLOOKUP(W490,Regras!$F$2:$F$11,Regras!$G$2:$G$11))),"")</f>
        <v>45946</v>
      </c>
      <c r="Y490" s="150" t="s">
        <v>1336</v>
      </c>
      <c r="Z490" s="53" t="s">
        <v>764</v>
      </c>
      <c r="AA490" s="53"/>
      <c r="AB490" s="156" t="s">
        <v>1336</v>
      </c>
    </row>
    <row r="491" spans="2:28" x14ac:dyDescent="0.2">
      <c r="B491" s="89">
        <v>45945</v>
      </c>
      <c r="D491" s="99" t="s">
        <v>516</v>
      </c>
      <c r="E491" s="110" t="s">
        <v>517</v>
      </c>
      <c r="F491" s="85" t="s">
        <v>46</v>
      </c>
      <c r="G491" s="85" t="s">
        <v>12</v>
      </c>
      <c r="H491" s="148" t="s">
        <v>508</v>
      </c>
      <c r="I491" s="142">
        <v>683.54</v>
      </c>
      <c r="J491" s="144">
        <v>121</v>
      </c>
      <c r="K491" s="144">
        <v>0</v>
      </c>
      <c r="L491" s="88" t="s">
        <v>743</v>
      </c>
      <c r="M491" s="58"/>
      <c r="N491" s="59"/>
      <c r="O491" s="50"/>
      <c r="P491" s="60"/>
      <c r="R491" s="53" t="s">
        <v>764</v>
      </c>
      <c r="S491" s="53" t="s">
        <v>769</v>
      </c>
      <c r="T491" s="53" t="s">
        <v>769</v>
      </c>
      <c r="U491" s="53" t="s">
        <v>741</v>
      </c>
      <c r="V491" s="53" t="s">
        <v>765</v>
      </c>
      <c r="W491" s="53" t="s">
        <v>780</v>
      </c>
      <c r="X491" s="61">
        <f>IFERROR(IF(W491="","",WORKDAY.INTL(B491,_xlfn.XLOOKUP(W491,Regras!$F$2:$F$11,Regras!$G$2:$G$11))),"")</f>
        <v>45947</v>
      </c>
      <c r="Y491" s="150" t="s">
        <v>4571</v>
      </c>
      <c r="Z491" s="53" t="s">
        <v>764</v>
      </c>
      <c r="AA491" s="53"/>
      <c r="AB491" s="156" t="s">
        <v>4571</v>
      </c>
    </row>
    <row r="492" spans="2:28" x14ac:dyDescent="0.2">
      <c r="B492" s="89">
        <v>45945</v>
      </c>
      <c r="D492" s="99" t="s">
        <v>549</v>
      </c>
      <c r="E492" s="110" t="s">
        <v>550</v>
      </c>
      <c r="F492" s="85" t="s">
        <v>22</v>
      </c>
      <c r="G492" s="85" t="s">
        <v>12</v>
      </c>
      <c r="H492" s="148" t="s">
        <v>551</v>
      </c>
      <c r="I492" s="142">
        <v>10200.370000000001</v>
      </c>
      <c r="J492" s="144">
        <v>132</v>
      </c>
      <c r="K492" s="144">
        <v>0</v>
      </c>
      <c r="L492" s="88" t="s">
        <v>743</v>
      </c>
      <c r="M492" s="58"/>
      <c r="N492" s="59"/>
      <c r="O492" s="50"/>
      <c r="P492" s="60"/>
      <c r="R492" s="53" t="s">
        <v>764</v>
      </c>
      <c r="S492" s="53" t="s">
        <v>769</v>
      </c>
      <c r="T492" s="53" t="s">
        <v>769</v>
      </c>
      <c r="U492" s="53" t="s">
        <v>741</v>
      </c>
      <c r="V492" s="53" t="s">
        <v>765</v>
      </c>
      <c r="W492" s="53" t="s">
        <v>780</v>
      </c>
      <c r="X492" s="61">
        <f>IFERROR(IF(W492="","",WORKDAY.INTL(B492,_xlfn.XLOOKUP(W492,Regras!$F$2:$F$11,Regras!$G$2:$G$11))),"")</f>
        <v>45947</v>
      </c>
      <c r="Y492" s="150" t="s">
        <v>4571</v>
      </c>
      <c r="Z492" s="53" t="s">
        <v>764</v>
      </c>
      <c r="AA492" s="53"/>
      <c r="AB492" s="156" t="s">
        <v>4571</v>
      </c>
    </row>
    <row r="493" spans="2:28" x14ac:dyDescent="0.2">
      <c r="B493" s="89">
        <v>45945</v>
      </c>
      <c r="D493" s="99" t="s">
        <v>473</v>
      </c>
      <c r="E493" s="110" t="s">
        <v>474</v>
      </c>
      <c r="F493" s="85" t="s">
        <v>46</v>
      </c>
      <c r="G493" s="85" t="s">
        <v>12</v>
      </c>
      <c r="H493" s="148" t="s">
        <v>471</v>
      </c>
      <c r="I493" s="142">
        <v>753.19</v>
      </c>
      <c r="J493" s="144">
        <v>112</v>
      </c>
      <c r="K493" s="144"/>
      <c r="L493" s="88" t="s">
        <v>743</v>
      </c>
      <c r="M493" s="58"/>
      <c r="N493" s="59"/>
      <c r="O493" s="50"/>
      <c r="P493" s="60"/>
      <c r="R493" s="53" t="s">
        <v>764</v>
      </c>
      <c r="S493" s="53" t="s">
        <v>769</v>
      </c>
      <c r="T493" s="53" t="s">
        <v>769</v>
      </c>
      <c r="U493" s="53" t="s">
        <v>741</v>
      </c>
      <c r="V493" s="53" t="s">
        <v>765</v>
      </c>
      <c r="W493" s="53" t="s">
        <v>780</v>
      </c>
      <c r="X493" s="61">
        <f>IFERROR(IF(W493="","",WORKDAY.INTL(B493,_xlfn.XLOOKUP(W493,Regras!$F$2:$F$11,Regras!$G$2:$G$11))),"")</f>
        <v>45947</v>
      </c>
      <c r="Y493" s="150" t="s">
        <v>4571</v>
      </c>
      <c r="Z493" s="53" t="s">
        <v>764</v>
      </c>
      <c r="AA493" s="53"/>
      <c r="AB493" s="156" t="s">
        <v>4571</v>
      </c>
    </row>
    <row r="494" spans="2:28" x14ac:dyDescent="0.2">
      <c r="B494" s="89">
        <v>45945</v>
      </c>
      <c r="D494" s="99" t="s">
        <v>364</v>
      </c>
      <c r="E494" s="110" t="s">
        <v>365</v>
      </c>
      <c r="F494" s="85" t="s">
        <v>46</v>
      </c>
      <c r="G494" s="85" t="s">
        <v>12</v>
      </c>
      <c r="H494" s="148" t="s">
        <v>363</v>
      </c>
      <c r="I494" s="142">
        <v>803.98</v>
      </c>
      <c r="J494" s="144">
        <v>86</v>
      </c>
      <c r="K494" s="144">
        <v>104</v>
      </c>
      <c r="L494" s="88" t="s">
        <v>743</v>
      </c>
      <c r="M494" s="58"/>
      <c r="N494" s="59"/>
      <c r="O494" s="50"/>
      <c r="P494" s="60"/>
      <c r="R494" s="53" t="s">
        <v>764</v>
      </c>
      <c r="S494" s="53" t="s">
        <v>769</v>
      </c>
      <c r="T494" s="53" t="s">
        <v>769</v>
      </c>
      <c r="U494" s="53" t="s">
        <v>741</v>
      </c>
      <c r="V494" s="53" t="s">
        <v>765</v>
      </c>
      <c r="W494" s="53" t="s">
        <v>780</v>
      </c>
      <c r="X494" s="61">
        <f>IFERROR(IF(W494="","",WORKDAY.INTL(B494,_xlfn.XLOOKUP(W494,Regras!$F$2:$F$11,Regras!$G$2:$G$11))),"")</f>
        <v>45947</v>
      </c>
      <c r="Y494" s="150" t="s">
        <v>1046</v>
      </c>
      <c r="Z494" s="53" t="s">
        <v>764</v>
      </c>
      <c r="AA494" s="53"/>
      <c r="AB494" s="156" t="s">
        <v>1046</v>
      </c>
    </row>
    <row r="495" spans="2:28" x14ac:dyDescent="0.2">
      <c r="B495" s="89">
        <v>45945</v>
      </c>
      <c r="D495" s="99" t="s">
        <v>364</v>
      </c>
      <c r="E495" s="110" t="s">
        <v>365</v>
      </c>
      <c r="F495" s="85" t="s">
        <v>46</v>
      </c>
      <c r="G495" s="85" t="s">
        <v>12</v>
      </c>
      <c r="H495" s="148" t="s">
        <v>363</v>
      </c>
      <c r="I495" s="142">
        <v>803.98</v>
      </c>
      <c r="J495" s="144">
        <v>86</v>
      </c>
      <c r="K495" s="144">
        <v>104</v>
      </c>
      <c r="L495" s="88" t="s">
        <v>743</v>
      </c>
      <c r="M495" s="58"/>
      <c r="N495" s="59"/>
      <c r="O495" s="50"/>
      <c r="P495" s="60"/>
      <c r="R495" s="53" t="s">
        <v>764</v>
      </c>
      <c r="S495" s="53" t="s">
        <v>769</v>
      </c>
      <c r="T495" s="53" t="s">
        <v>769</v>
      </c>
      <c r="U495" s="53" t="s">
        <v>741</v>
      </c>
      <c r="V495" s="53" t="s">
        <v>765</v>
      </c>
      <c r="W495" s="53" t="s">
        <v>766</v>
      </c>
      <c r="X495" s="61">
        <v>45947</v>
      </c>
      <c r="Y495" s="150" t="s">
        <v>1003</v>
      </c>
      <c r="Z495" s="53" t="s">
        <v>764</v>
      </c>
      <c r="AA495" s="53"/>
      <c r="AB495" s="156" t="s">
        <v>1003</v>
      </c>
    </row>
    <row r="496" spans="2:28" x14ac:dyDescent="0.2">
      <c r="B496" s="89">
        <v>45945</v>
      </c>
      <c r="D496" s="99" t="s">
        <v>224</v>
      </c>
      <c r="E496" s="110" t="s">
        <v>225</v>
      </c>
      <c r="F496" s="85" t="s">
        <v>22</v>
      </c>
      <c r="G496" s="85" t="s">
        <v>12</v>
      </c>
      <c r="H496" s="148" t="s">
        <v>933</v>
      </c>
      <c r="I496" s="142" t="s">
        <v>933</v>
      </c>
      <c r="J496" s="144" t="s">
        <v>933</v>
      </c>
      <c r="K496" s="144" t="s">
        <v>933</v>
      </c>
      <c r="L496" s="86" t="s">
        <v>741</v>
      </c>
      <c r="M496" s="58"/>
      <c r="N496" s="59"/>
      <c r="O496" s="50"/>
      <c r="P496" s="60"/>
      <c r="R496" s="53" t="s">
        <v>764</v>
      </c>
      <c r="S496" s="53" t="s">
        <v>769</v>
      </c>
      <c r="T496" s="53" t="s">
        <v>769</v>
      </c>
      <c r="U496" s="53" t="s">
        <v>741</v>
      </c>
      <c r="V496" s="53" t="s">
        <v>770</v>
      </c>
      <c r="W496" s="53" t="s">
        <v>839</v>
      </c>
      <c r="X496" s="61">
        <f>IFERROR(IF(W496="","",WORKDAY.INTL(B496,_xlfn.XLOOKUP(W496,Regras!$F$2:$F$11,Regras!$G$2:$G$11))),"")</f>
        <v>45946</v>
      </c>
      <c r="Y496" s="150" t="s">
        <v>4579</v>
      </c>
      <c r="Z496" s="53" t="s">
        <v>764</v>
      </c>
      <c r="AA496" s="53"/>
      <c r="AB496" s="156" t="s">
        <v>1336</v>
      </c>
    </row>
    <row r="497" spans="2:28" x14ac:dyDescent="0.2">
      <c r="B497" s="89">
        <v>45945</v>
      </c>
      <c r="D497" s="99" t="s">
        <v>4580</v>
      </c>
      <c r="E497" s="110" t="s">
        <v>4581</v>
      </c>
      <c r="F497" s="85" t="s">
        <v>36</v>
      </c>
      <c r="G497" s="85" t="s">
        <v>12</v>
      </c>
      <c r="H497" s="148" t="s">
        <v>933</v>
      </c>
      <c r="I497" s="142" t="s">
        <v>933</v>
      </c>
      <c r="J497" s="144" t="s">
        <v>933</v>
      </c>
      <c r="K497" s="144" t="s">
        <v>933</v>
      </c>
      <c r="L497" s="95" t="s">
        <v>888</v>
      </c>
      <c r="M497" s="58"/>
      <c r="N497" s="59"/>
      <c r="O497" s="50"/>
      <c r="P497" s="60"/>
      <c r="R497" s="53" t="s">
        <v>764</v>
      </c>
      <c r="S497" s="53" t="s">
        <v>769</v>
      </c>
      <c r="T497" s="53" t="s">
        <v>769</v>
      </c>
      <c r="U497" s="53" t="s">
        <v>773</v>
      </c>
      <c r="V497" s="53" t="s">
        <v>768</v>
      </c>
      <c r="W497" s="53" t="s">
        <v>780</v>
      </c>
      <c r="X497" s="61">
        <f>IFERROR(IF(W497="","",WORKDAY.INTL(B497,_xlfn.XLOOKUP(W497,Regras!$F$2:$F$11,Regras!$G$2:$G$11))),"")</f>
        <v>45947</v>
      </c>
      <c r="Y497" s="150" t="s">
        <v>4582</v>
      </c>
      <c r="Z497" s="53" t="s">
        <v>764</v>
      </c>
      <c r="AA497" s="53"/>
      <c r="AB497" s="156" t="s">
        <v>4582</v>
      </c>
    </row>
    <row r="498" spans="2:28" x14ac:dyDescent="0.2">
      <c r="B498" s="89">
        <v>45945</v>
      </c>
      <c r="D498" s="99" t="s">
        <v>4580</v>
      </c>
      <c r="E498" s="121" t="s">
        <v>4581</v>
      </c>
      <c r="F498" s="85" t="s">
        <v>36</v>
      </c>
      <c r="G498" s="85" t="s">
        <v>12</v>
      </c>
      <c r="H498" s="148" t="s">
        <v>933</v>
      </c>
      <c r="I498" s="142" t="s">
        <v>933</v>
      </c>
      <c r="J498" s="144" t="s">
        <v>933</v>
      </c>
      <c r="K498" s="144" t="s">
        <v>933</v>
      </c>
      <c r="L498" s="95" t="s">
        <v>888</v>
      </c>
      <c r="M498" s="58"/>
      <c r="N498" s="59"/>
      <c r="O498" s="50"/>
      <c r="P498" s="60"/>
      <c r="R498" s="53" t="s">
        <v>764</v>
      </c>
      <c r="S498" s="53" t="s">
        <v>769</v>
      </c>
      <c r="T498" s="53" t="s">
        <v>769</v>
      </c>
      <c r="U498" s="53" t="s">
        <v>773</v>
      </c>
      <c r="V498" s="53" t="s">
        <v>768</v>
      </c>
      <c r="W498" s="53" t="s">
        <v>839</v>
      </c>
      <c r="X498" s="61">
        <f>IFERROR(IF(W498="","",WORKDAY.INTL(B498,_xlfn.XLOOKUP(W498,Regras!$F$2:$F$11,Regras!$G$2:$G$11))),"")</f>
        <v>45946</v>
      </c>
      <c r="Y498" s="150" t="s">
        <v>1132</v>
      </c>
      <c r="Z498" s="53" t="s">
        <v>764</v>
      </c>
      <c r="AA498" s="53"/>
      <c r="AB498" s="156" t="s">
        <v>4582</v>
      </c>
    </row>
    <row r="499" spans="2:28" x14ac:dyDescent="0.2">
      <c r="B499" s="89">
        <v>45946</v>
      </c>
      <c r="D499" s="99" t="s">
        <v>192</v>
      </c>
      <c r="E499" s="121" t="s">
        <v>193</v>
      </c>
      <c r="F499" s="85" t="s">
        <v>17</v>
      </c>
      <c r="G499" s="85" t="s">
        <v>12</v>
      </c>
      <c r="H499" s="148" t="s">
        <v>933</v>
      </c>
      <c r="I499" s="142" t="s">
        <v>933</v>
      </c>
      <c r="J499" s="144" t="s">
        <v>933</v>
      </c>
      <c r="K499" s="144" t="s">
        <v>933</v>
      </c>
      <c r="L499" s="86" t="s">
        <v>741</v>
      </c>
      <c r="M499" s="58"/>
      <c r="N499" s="59"/>
      <c r="O499" s="50"/>
      <c r="P499" s="60"/>
      <c r="R499" s="53" t="s">
        <v>764</v>
      </c>
      <c r="S499" s="53" t="s">
        <v>764</v>
      </c>
      <c r="T499" s="53" t="s">
        <v>769</v>
      </c>
      <c r="U499" s="53" t="s">
        <v>741</v>
      </c>
      <c r="V499" s="53" t="s">
        <v>770</v>
      </c>
      <c r="W499" s="53" t="s">
        <v>780</v>
      </c>
      <c r="X499" s="61">
        <f>IFERROR(IF(W499="","",WORKDAY.INTL(B499,_xlfn.XLOOKUP(W499,Regras!$F$2:$F$11,Regras!$G$2:$G$11))),"")</f>
        <v>45950</v>
      </c>
      <c r="Y499" s="150" t="s">
        <v>4583</v>
      </c>
      <c r="Z499" s="53" t="s">
        <v>764</v>
      </c>
      <c r="AA499" s="53"/>
      <c r="AB499" s="156" t="s">
        <v>4583</v>
      </c>
    </row>
    <row r="500" spans="2:28" x14ac:dyDescent="0.2">
      <c r="B500" s="89">
        <v>45946</v>
      </c>
      <c r="D500" s="99" t="s">
        <v>199</v>
      </c>
      <c r="E500" s="121" t="s">
        <v>200</v>
      </c>
      <c r="F500" s="85" t="s">
        <v>22</v>
      </c>
      <c r="G500" s="85" t="s">
        <v>12</v>
      </c>
      <c r="H500" s="148" t="s">
        <v>933</v>
      </c>
      <c r="I500" s="142" t="s">
        <v>933</v>
      </c>
      <c r="J500" s="144" t="s">
        <v>933</v>
      </c>
      <c r="K500" s="144" t="s">
        <v>933</v>
      </c>
      <c r="L500" s="86" t="s">
        <v>741</v>
      </c>
      <c r="M500" s="58"/>
      <c r="N500" s="59"/>
      <c r="O500" s="50"/>
      <c r="P500" s="60"/>
      <c r="R500" s="53" t="s">
        <v>764</v>
      </c>
      <c r="S500" s="53" t="s">
        <v>769</v>
      </c>
      <c r="T500" s="53" t="s">
        <v>769</v>
      </c>
      <c r="U500" s="53" t="s">
        <v>741</v>
      </c>
      <c r="V500" s="53" t="s">
        <v>770</v>
      </c>
      <c r="W500" s="53" t="s">
        <v>780</v>
      </c>
      <c r="X500" s="61">
        <f>IFERROR(IF(W500="","",WORKDAY.INTL(B500,_xlfn.XLOOKUP(W500,Regras!$F$2:$F$11,Regras!$G$2:$G$11))),"")</f>
        <v>45950</v>
      </c>
      <c r="Y500" s="150" t="s">
        <v>4584</v>
      </c>
      <c r="Z500" s="53" t="s">
        <v>764</v>
      </c>
      <c r="AA500" s="53"/>
      <c r="AB500" s="155" t="s">
        <v>4585</v>
      </c>
    </row>
    <row r="501" spans="2:28" x14ac:dyDescent="0.2">
      <c r="B501" s="89">
        <v>45946</v>
      </c>
      <c r="D501" s="99" t="s">
        <v>188</v>
      </c>
      <c r="E501" s="121" t="s">
        <v>189</v>
      </c>
      <c r="F501" s="85" t="s">
        <v>22</v>
      </c>
      <c r="G501" s="85" t="s">
        <v>12</v>
      </c>
      <c r="H501" s="148" t="s">
        <v>933</v>
      </c>
      <c r="I501" s="142" t="s">
        <v>933</v>
      </c>
      <c r="J501" s="144" t="s">
        <v>933</v>
      </c>
      <c r="K501" s="144" t="s">
        <v>933</v>
      </c>
      <c r="L501" s="103" t="s">
        <v>742</v>
      </c>
      <c r="M501" s="58"/>
      <c r="N501" s="59"/>
      <c r="O501" s="50"/>
      <c r="P501" s="60"/>
      <c r="R501" s="53" t="s">
        <v>764</v>
      </c>
      <c r="S501" s="53" t="s">
        <v>769</v>
      </c>
      <c r="T501" s="53" t="s">
        <v>769</v>
      </c>
      <c r="U501" s="53" t="s">
        <v>741</v>
      </c>
      <c r="V501" s="53" t="s">
        <v>765</v>
      </c>
      <c r="W501" s="53" t="s">
        <v>1054</v>
      </c>
      <c r="X501" s="61">
        <f>IFERROR(IF(W501="","",WORKDAY.INTL(B501,_xlfn.XLOOKUP(W501,Regras!$F$2:$F$11,Regras!$G$2:$G$11))),"")</f>
        <v>45967</v>
      </c>
      <c r="Y501" s="150" t="s">
        <v>4586</v>
      </c>
      <c r="Z501" s="53" t="s">
        <v>764</v>
      </c>
      <c r="AA501" s="53"/>
      <c r="AB501" s="155" t="s">
        <v>4587</v>
      </c>
    </row>
    <row r="502" spans="2:28" x14ac:dyDescent="0.2">
      <c r="B502" s="89">
        <v>45946</v>
      </c>
      <c r="D502" s="99" t="s">
        <v>107</v>
      </c>
      <c r="E502" s="121" t="s">
        <v>108</v>
      </c>
      <c r="F502" s="85" t="s">
        <v>46</v>
      </c>
      <c r="G502" s="85" t="s">
        <v>12</v>
      </c>
      <c r="H502" s="148" t="s">
        <v>933</v>
      </c>
      <c r="I502" s="142" t="s">
        <v>933</v>
      </c>
      <c r="J502" s="144" t="s">
        <v>933</v>
      </c>
      <c r="K502" s="144" t="s">
        <v>933</v>
      </c>
      <c r="L502" s="86" t="s">
        <v>741</v>
      </c>
      <c r="M502" s="58"/>
      <c r="N502" s="59"/>
      <c r="O502" s="50"/>
      <c r="P502" s="60"/>
      <c r="R502" s="53" t="s">
        <v>764</v>
      </c>
      <c r="S502" s="53" t="s">
        <v>769</v>
      </c>
      <c r="T502" s="53" t="s">
        <v>769</v>
      </c>
      <c r="U502" s="53" t="s">
        <v>741</v>
      </c>
      <c r="V502" s="53" t="s">
        <v>770</v>
      </c>
      <c r="W502" s="53" t="s">
        <v>1053</v>
      </c>
      <c r="X502" s="61">
        <f>IFERROR(IF(W502="","",WORKDAY.INTL(B502,_xlfn.XLOOKUP(W502,Regras!$F$2:$F$11,Regras!$G$2:$G$11))),"")</f>
        <v>45957</v>
      </c>
      <c r="Y502" s="150" t="s">
        <v>4584</v>
      </c>
      <c r="Z502" s="53" t="s">
        <v>764</v>
      </c>
      <c r="AA502" s="53"/>
      <c r="AB502" s="155" t="s">
        <v>4585</v>
      </c>
    </row>
    <row r="503" spans="2:28" x14ac:dyDescent="0.2">
      <c r="B503" s="89">
        <v>45946</v>
      </c>
      <c r="D503" s="99" t="s">
        <v>171</v>
      </c>
      <c r="E503" s="121" t="s">
        <v>172</v>
      </c>
      <c r="F503" s="85" t="s">
        <v>22</v>
      </c>
      <c r="G503" s="85" t="s">
        <v>12</v>
      </c>
      <c r="H503" s="148" t="s">
        <v>933</v>
      </c>
      <c r="I503" s="142" t="s">
        <v>933</v>
      </c>
      <c r="J503" s="144" t="s">
        <v>933</v>
      </c>
      <c r="K503" s="144" t="s">
        <v>933</v>
      </c>
      <c r="L503" s="86" t="s">
        <v>741</v>
      </c>
      <c r="M503" s="58"/>
      <c r="N503" s="59"/>
      <c r="O503" s="50"/>
      <c r="P503" s="60"/>
      <c r="R503" s="53" t="s">
        <v>764</v>
      </c>
      <c r="S503" s="53" t="s">
        <v>769</v>
      </c>
      <c r="T503" s="53" t="s">
        <v>769</v>
      </c>
      <c r="U503" s="53" t="s">
        <v>741</v>
      </c>
      <c r="V503" s="53" t="s">
        <v>770</v>
      </c>
      <c r="W503" s="53" t="s">
        <v>1053</v>
      </c>
      <c r="X503" s="61">
        <f>IFERROR(IF(W503="","",WORKDAY.INTL(B503,_xlfn.XLOOKUP(W503,Regras!$F$2:$F$11,Regras!$G$2:$G$11))),"")</f>
        <v>45957</v>
      </c>
      <c r="Y503" s="150" t="s">
        <v>970</v>
      </c>
      <c r="Z503" s="53" t="s">
        <v>764</v>
      </c>
      <c r="AA503" s="53"/>
      <c r="AB503" s="156" t="s">
        <v>970</v>
      </c>
    </row>
    <row r="504" spans="2:28" x14ac:dyDescent="0.2">
      <c r="B504" s="89">
        <v>45946</v>
      </c>
      <c r="D504" s="99" t="s">
        <v>168</v>
      </c>
      <c r="E504" s="121" t="s">
        <v>169</v>
      </c>
      <c r="F504" s="85" t="s">
        <v>46</v>
      </c>
      <c r="G504" s="85" t="s">
        <v>12</v>
      </c>
      <c r="H504" s="148" t="s">
        <v>933</v>
      </c>
      <c r="I504" s="142" t="s">
        <v>933</v>
      </c>
      <c r="J504" s="144" t="s">
        <v>933</v>
      </c>
      <c r="K504" s="144" t="s">
        <v>933</v>
      </c>
      <c r="L504" s="86" t="s">
        <v>741</v>
      </c>
      <c r="M504" s="58"/>
      <c r="N504" s="59"/>
      <c r="O504" s="50"/>
      <c r="P504" s="60"/>
      <c r="R504" s="53" t="s">
        <v>764</v>
      </c>
      <c r="S504" s="53" t="s">
        <v>764</v>
      </c>
      <c r="T504" s="53" t="s">
        <v>769</v>
      </c>
      <c r="U504" s="53" t="s">
        <v>741</v>
      </c>
      <c r="V504" s="53" t="s">
        <v>770</v>
      </c>
      <c r="W504" s="53" t="s">
        <v>780</v>
      </c>
      <c r="X504" s="61">
        <f>IFERROR(IF(W504="","",WORKDAY.INTL(B504,_xlfn.XLOOKUP(W504,Regras!$F$2:$F$11,Regras!$G$2:$G$11))),"")</f>
        <v>45950</v>
      </c>
      <c r="Y504" s="150" t="s">
        <v>4588</v>
      </c>
      <c r="Z504" s="53" t="s">
        <v>764</v>
      </c>
      <c r="AA504" s="53"/>
      <c r="AB504" s="156" t="s">
        <v>4588</v>
      </c>
    </row>
    <row r="505" spans="2:28" x14ac:dyDescent="0.2">
      <c r="B505" s="89">
        <v>45946</v>
      </c>
      <c r="D505" s="99" t="s">
        <v>81</v>
      </c>
      <c r="E505" s="121" t="s">
        <v>82</v>
      </c>
      <c r="F505" s="85" t="s">
        <v>46</v>
      </c>
      <c r="G505" s="85" t="s">
        <v>12</v>
      </c>
      <c r="H505" s="148" t="s">
        <v>933</v>
      </c>
      <c r="I505" s="142" t="s">
        <v>933</v>
      </c>
      <c r="J505" s="144" t="s">
        <v>933</v>
      </c>
      <c r="K505" s="144" t="s">
        <v>933</v>
      </c>
      <c r="L505" s="86" t="s">
        <v>741</v>
      </c>
      <c r="M505" s="58"/>
      <c r="N505" s="59"/>
      <c r="O505" s="50"/>
      <c r="P505" s="60"/>
      <c r="R505" s="53" t="s">
        <v>764</v>
      </c>
      <c r="S505" s="53" t="s">
        <v>764</v>
      </c>
      <c r="T505" s="53" t="s">
        <v>769</v>
      </c>
      <c r="U505" s="53" t="s">
        <v>741</v>
      </c>
      <c r="V505" s="53" t="s">
        <v>770</v>
      </c>
      <c r="W505" s="53" t="s">
        <v>780</v>
      </c>
      <c r="X505" s="61">
        <f>IFERROR(IF(W505="","",WORKDAY.INTL(B505,_xlfn.XLOOKUP(W505,Regras!$F$2:$F$11,Regras!$G$2:$G$11))),"")</f>
        <v>45950</v>
      </c>
      <c r="Y505" s="150" t="s">
        <v>4588</v>
      </c>
      <c r="Z505" s="53" t="s">
        <v>764</v>
      </c>
      <c r="AA505" s="53"/>
      <c r="AB505" s="156" t="s">
        <v>4588</v>
      </c>
    </row>
    <row r="506" spans="2:28" x14ac:dyDescent="0.2">
      <c r="B506" s="89">
        <v>45946</v>
      </c>
      <c r="D506" s="99" t="s">
        <v>75</v>
      </c>
      <c r="E506" s="121" t="s">
        <v>76</v>
      </c>
      <c r="F506" s="85" t="s">
        <v>46</v>
      </c>
      <c r="G506" s="85" t="s">
        <v>12</v>
      </c>
      <c r="H506" s="148" t="s">
        <v>933</v>
      </c>
      <c r="I506" s="142" t="s">
        <v>933</v>
      </c>
      <c r="J506" s="144" t="s">
        <v>933</v>
      </c>
      <c r="K506" s="144" t="s">
        <v>933</v>
      </c>
      <c r="L506" s="86" t="s">
        <v>741</v>
      </c>
      <c r="M506" s="58"/>
      <c r="N506" s="59"/>
      <c r="O506" s="50"/>
      <c r="P506" s="60"/>
      <c r="R506" s="53" t="s">
        <v>764</v>
      </c>
      <c r="S506" s="53" t="s">
        <v>769</v>
      </c>
      <c r="T506" s="53" t="s">
        <v>769</v>
      </c>
      <c r="U506" s="53" t="s">
        <v>741</v>
      </c>
      <c r="V506" s="53" t="s">
        <v>770</v>
      </c>
      <c r="W506" s="53" t="s">
        <v>780</v>
      </c>
      <c r="X506" s="61">
        <f>IFERROR(IF(W506="","",WORKDAY.INTL(B506,_xlfn.XLOOKUP(W506,Regras!$F$2:$F$11,Regras!$G$2:$G$11))),"")</f>
        <v>45950</v>
      </c>
      <c r="Y506" s="150" t="s">
        <v>4589</v>
      </c>
      <c r="Z506" s="53" t="s">
        <v>764</v>
      </c>
      <c r="AA506" s="53"/>
      <c r="AB506" s="156" t="s">
        <v>4589</v>
      </c>
    </row>
    <row r="507" spans="2:28" x14ac:dyDescent="0.2">
      <c r="B507" s="89">
        <v>45946</v>
      </c>
      <c r="D507" s="99" t="s">
        <v>27</v>
      </c>
      <c r="E507" s="121" t="s">
        <v>28</v>
      </c>
      <c r="F507" s="85" t="s">
        <v>17</v>
      </c>
      <c r="G507" s="85" t="s">
        <v>12</v>
      </c>
      <c r="H507" s="148" t="s">
        <v>933</v>
      </c>
      <c r="I507" s="142" t="s">
        <v>933</v>
      </c>
      <c r="J507" s="144" t="s">
        <v>933</v>
      </c>
      <c r="K507" s="144" t="s">
        <v>933</v>
      </c>
      <c r="L507" s="103" t="s">
        <v>742</v>
      </c>
      <c r="M507" s="58"/>
      <c r="N507" s="59"/>
      <c r="O507" s="50"/>
      <c r="P507" s="60"/>
      <c r="R507" s="53" t="s">
        <v>764</v>
      </c>
      <c r="S507" s="53" t="s">
        <v>769</v>
      </c>
      <c r="T507" s="53" t="s">
        <v>769</v>
      </c>
      <c r="U507" s="53" t="s">
        <v>741</v>
      </c>
      <c r="V507" s="53" t="s">
        <v>765</v>
      </c>
      <c r="W507" s="53" t="s">
        <v>780</v>
      </c>
      <c r="X507" s="61">
        <f>IFERROR(IF(W507="","",WORKDAY.INTL(B507,_xlfn.XLOOKUP(W507,Regras!$F$2:$F$11,Regras!$G$2:$G$11))),"")</f>
        <v>45950</v>
      </c>
      <c r="Y507" s="150" t="s">
        <v>4590</v>
      </c>
      <c r="Z507" s="53" t="s">
        <v>764</v>
      </c>
      <c r="AA507" s="53"/>
      <c r="AB507" s="155" t="s">
        <v>4591</v>
      </c>
    </row>
    <row r="508" spans="2:28" x14ac:dyDescent="0.2">
      <c r="B508" s="89">
        <v>45946</v>
      </c>
      <c r="D508" s="99" t="s">
        <v>209</v>
      </c>
      <c r="E508" s="121" t="s">
        <v>211</v>
      </c>
      <c r="F508" s="85" t="s">
        <v>46</v>
      </c>
      <c r="G508" s="85" t="s">
        <v>12</v>
      </c>
      <c r="H508" s="148" t="s">
        <v>933</v>
      </c>
      <c r="I508" s="142" t="s">
        <v>933</v>
      </c>
      <c r="J508" s="144" t="s">
        <v>933</v>
      </c>
      <c r="K508" s="144" t="s">
        <v>933</v>
      </c>
      <c r="L508" s="86" t="s">
        <v>741</v>
      </c>
      <c r="M508" s="58"/>
      <c r="N508" s="59"/>
      <c r="O508" s="50"/>
      <c r="P508" s="60"/>
      <c r="R508" s="53" t="s">
        <v>764</v>
      </c>
      <c r="S508" s="53" t="s">
        <v>769</v>
      </c>
      <c r="T508" s="53" t="s">
        <v>769</v>
      </c>
      <c r="U508" s="53" t="s">
        <v>741</v>
      </c>
      <c r="V508" s="53" t="s">
        <v>770</v>
      </c>
      <c r="W508" s="53" t="s">
        <v>780</v>
      </c>
      <c r="X508" s="61">
        <f>IFERROR(IF(W508="","",WORKDAY.INTL(B508,_xlfn.XLOOKUP(W508,Regras!$F$2:$F$11,Regras!$G$2:$G$11))),"")</f>
        <v>45950</v>
      </c>
      <c r="Y508" s="150" t="s">
        <v>4593</v>
      </c>
      <c r="Z508" s="53" t="s">
        <v>764</v>
      </c>
      <c r="AA508" s="53"/>
      <c r="AB508" s="156" t="s">
        <v>4593</v>
      </c>
    </row>
    <row r="509" spans="2:28" x14ac:dyDescent="0.2">
      <c r="B509" s="89">
        <v>45946</v>
      </c>
      <c r="D509" s="99" t="s">
        <v>209</v>
      </c>
      <c r="E509" s="121" t="s">
        <v>4592</v>
      </c>
      <c r="F509" s="85" t="s">
        <v>46</v>
      </c>
      <c r="G509" s="85" t="s">
        <v>12</v>
      </c>
      <c r="H509" s="148" t="s">
        <v>933</v>
      </c>
      <c r="I509" s="142" t="s">
        <v>933</v>
      </c>
      <c r="J509" s="144" t="s">
        <v>933</v>
      </c>
      <c r="K509" s="144" t="s">
        <v>933</v>
      </c>
      <c r="L509" s="86" t="s">
        <v>741</v>
      </c>
      <c r="M509" s="58"/>
      <c r="N509" s="59"/>
      <c r="O509" s="50"/>
      <c r="P509" s="60"/>
      <c r="R509" s="53" t="s">
        <v>764</v>
      </c>
      <c r="S509" s="53" t="s">
        <v>769</v>
      </c>
      <c r="T509" s="53" t="s">
        <v>769</v>
      </c>
      <c r="U509" s="53" t="s">
        <v>741</v>
      </c>
      <c r="V509" s="53" t="s">
        <v>770</v>
      </c>
      <c r="W509" s="53" t="s">
        <v>780</v>
      </c>
      <c r="X509" s="61">
        <f>IFERROR(IF(W509="","",WORKDAY.INTL(B509,_xlfn.XLOOKUP(W509,Regras!$F$2:$F$11,Regras!$G$2:$G$11))),"")</f>
        <v>45950</v>
      </c>
      <c r="Y509" s="150" t="s">
        <v>4593</v>
      </c>
      <c r="Z509" s="53" t="s">
        <v>764</v>
      </c>
      <c r="AA509" s="53"/>
      <c r="AB509" s="156" t="s">
        <v>4593</v>
      </c>
    </row>
    <row r="510" spans="2:28" x14ac:dyDescent="0.2">
      <c r="B510" s="89">
        <v>45946</v>
      </c>
      <c r="D510" s="99" t="s">
        <v>212</v>
      </c>
      <c r="E510" s="121" t="s">
        <v>213</v>
      </c>
      <c r="F510" s="85" t="s">
        <v>46</v>
      </c>
      <c r="G510" s="85" t="s">
        <v>12</v>
      </c>
      <c r="H510" s="148" t="s">
        <v>933</v>
      </c>
      <c r="I510" s="142" t="s">
        <v>933</v>
      </c>
      <c r="J510" s="144" t="s">
        <v>933</v>
      </c>
      <c r="K510" s="144" t="s">
        <v>933</v>
      </c>
      <c r="L510" s="86" t="s">
        <v>741</v>
      </c>
      <c r="M510" s="58"/>
      <c r="N510" s="59"/>
      <c r="O510" s="50"/>
      <c r="P510" s="60"/>
      <c r="R510" s="53" t="s">
        <v>764</v>
      </c>
      <c r="S510" s="53" t="s">
        <v>769</v>
      </c>
      <c r="T510" s="53" t="s">
        <v>769</v>
      </c>
      <c r="U510" s="53" t="s">
        <v>741</v>
      </c>
      <c r="V510" s="53" t="s">
        <v>770</v>
      </c>
      <c r="W510" s="53" t="s">
        <v>780</v>
      </c>
      <c r="X510" s="61">
        <f>IFERROR(IF(W510="","",WORKDAY.INTL(B510,_xlfn.XLOOKUP(W510,Regras!$F$2:$F$11,Regras!$G$2:$G$11))),"")</f>
        <v>45950</v>
      </c>
      <c r="Y510" s="150" t="s">
        <v>4593</v>
      </c>
      <c r="Z510" s="53" t="s">
        <v>764</v>
      </c>
      <c r="AA510" s="53"/>
      <c r="AB510" s="156" t="s">
        <v>4593</v>
      </c>
    </row>
    <row r="511" spans="2:28" x14ac:dyDescent="0.2">
      <c r="B511" s="89">
        <v>45946</v>
      </c>
      <c r="D511" s="99" t="s">
        <v>417</v>
      </c>
      <c r="E511" s="121" t="s">
        <v>418</v>
      </c>
      <c r="F511" s="85" t="s">
        <v>22</v>
      </c>
      <c r="G511" s="85" t="s">
        <v>12</v>
      </c>
      <c r="H511" s="148" t="s">
        <v>933</v>
      </c>
      <c r="I511" s="142" t="s">
        <v>933</v>
      </c>
      <c r="J511" s="144" t="s">
        <v>933</v>
      </c>
      <c r="K511" s="144" t="s">
        <v>933</v>
      </c>
      <c r="L511" s="95"/>
      <c r="M511" s="58"/>
      <c r="N511" s="59"/>
      <c r="O511" s="50"/>
      <c r="P511" s="60"/>
      <c r="R511" s="53" t="s">
        <v>764</v>
      </c>
      <c r="S511" s="53" t="s">
        <v>769</v>
      </c>
      <c r="T511" s="53" t="s">
        <v>769</v>
      </c>
      <c r="U511" s="53" t="s">
        <v>741</v>
      </c>
      <c r="V511" s="53" t="s">
        <v>770</v>
      </c>
      <c r="W511" s="53" t="s">
        <v>1054</v>
      </c>
      <c r="X511" s="61">
        <f>IFERROR(IF(W511="","",WORKDAY.INTL(B511,_xlfn.XLOOKUP(W511,Regras!$F$2:$F$11,Regras!$G$2:$G$11))),"")</f>
        <v>45967</v>
      </c>
      <c r="Y511" s="150" t="s">
        <v>4594</v>
      </c>
      <c r="Z511" s="53" t="s">
        <v>764</v>
      </c>
      <c r="AA511" s="53"/>
      <c r="AB511" s="155" t="s">
        <v>4595</v>
      </c>
    </row>
    <row r="512" spans="2:28" x14ac:dyDescent="0.2">
      <c r="B512" s="89">
        <v>45946</v>
      </c>
      <c r="D512" s="99" t="s">
        <v>105</v>
      </c>
      <c r="E512" s="121" t="s">
        <v>106</v>
      </c>
      <c r="F512" s="85" t="s">
        <v>17</v>
      </c>
      <c r="G512" s="85" t="s">
        <v>12</v>
      </c>
      <c r="H512" s="148" t="s">
        <v>96</v>
      </c>
      <c r="I512" s="142">
        <v>1199</v>
      </c>
      <c r="J512" s="144">
        <v>41</v>
      </c>
      <c r="K512" s="144">
        <v>0</v>
      </c>
      <c r="L512" s="44" t="s">
        <v>741</v>
      </c>
      <c r="M512" s="58"/>
      <c r="N512" s="59"/>
      <c r="O512" s="50"/>
      <c r="P512" s="60"/>
      <c r="R512" s="53" t="s">
        <v>764</v>
      </c>
      <c r="S512" s="53" t="s">
        <v>769</v>
      </c>
      <c r="T512" s="53" t="s">
        <v>769</v>
      </c>
      <c r="U512" s="53" t="s">
        <v>741</v>
      </c>
      <c r="V512" s="53" t="s">
        <v>770</v>
      </c>
      <c r="W512" s="53" t="s">
        <v>780</v>
      </c>
      <c r="X512" s="61">
        <f>IFERROR(IF(W512="","",WORKDAY.INTL(B512,_xlfn.XLOOKUP(W512,Regras!$F$2:$F$11,Regras!$G$2:$G$11))),"")</f>
        <v>45950</v>
      </c>
      <c r="Y512" s="150" t="s">
        <v>973</v>
      </c>
      <c r="Z512" s="53" t="s">
        <v>764</v>
      </c>
      <c r="AA512" s="53"/>
      <c r="AB512" s="156" t="s">
        <v>973</v>
      </c>
    </row>
    <row r="513" spans="2:28" x14ac:dyDescent="0.2">
      <c r="B513" s="89">
        <v>45946</v>
      </c>
      <c r="D513" s="99" t="s">
        <v>284</v>
      </c>
      <c r="E513" s="121" t="s">
        <v>285</v>
      </c>
      <c r="F513" s="85" t="s">
        <v>22</v>
      </c>
      <c r="G513" s="85" t="s">
        <v>12</v>
      </c>
      <c r="H513" s="148" t="s">
        <v>286</v>
      </c>
      <c r="I513" s="142">
        <v>767.84</v>
      </c>
      <c r="J513" s="144">
        <v>63</v>
      </c>
      <c r="K513" s="144">
        <v>42.5</v>
      </c>
      <c r="L513" s="44" t="s">
        <v>741</v>
      </c>
      <c r="M513" s="58"/>
      <c r="N513" s="59"/>
      <c r="O513" s="50"/>
      <c r="P513" s="60"/>
      <c r="R513" s="53" t="s">
        <v>764</v>
      </c>
      <c r="S513" s="53" t="s">
        <v>769</v>
      </c>
      <c r="T513" s="53" t="s">
        <v>769</v>
      </c>
      <c r="U513" s="53" t="s">
        <v>741</v>
      </c>
      <c r="V513" s="53" t="s">
        <v>770</v>
      </c>
      <c r="W513" s="53" t="s">
        <v>780</v>
      </c>
      <c r="X513" s="61">
        <f>IFERROR(IF(W513="","",WORKDAY.INTL(B513,_xlfn.XLOOKUP(W513,Regras!$F$2:$F$11,Regras!$G$2:$G$11))),"")</f>
        <v>45950</v>
      </c>
      <c r="Y513" s="150" t="s">
        <v>4596</v>
      </c>
      <c r="Z513" s="53" t="s">
        <v>764</v>
      </c>
      <c r="AA513" s="150"/>
      <c r="AB513" s="150" t="s">
        <v>4596</v>
      </c>
    </row>
    <row r="514" spans="2:28" x14ac:dyDescent="0.2">
      <c r="B514" s="89">
        <v>45946</v>
      </c>
      <c r="D514" s="99" t="s">
        <v>1312</v>
      </c>
      <c r="E514" s="121" t="s">
        <v>1325</v>
      </c>
      <c r="F514" s="85" t="s">
        <v>22</v>
      </c>
      <c r="G514" s="85" t="s">
        <v>12</v>
      </c>
      <c r="H514" s="148" t="s">
        <v>933</v>
      </c>
      <c r="I514" s="142" t="s">
        <v>933</v>
      </c>
      <c r="J514" s="144" t="s">
        <v>933</v>
      </c>
      <c r="K514" s="144" t="s">
        <v>933</v>
      </c>
      <c r="L514" s="95" t="s">
        <v>888</v>
      </c>
      <c r="M514" s="58"/>
      <c r="N514" s="59"/>
      <c r="O514" s="50"/>
      <c r="P514" s="60"/>
      <c r="R514" s="53" t="s">
        <v>764</v>
      </c>
      <c r="S514" s="53" t="s">
        <v>769</v>
      </c>
      <c r="T514" s="53" t="s">
        <v>769</v>
      </c>
      <c r="U514" s="53" t="s">
        <v>741</v>
      </c>
      <c r="V514" s="53" t="s">
        <v>770</v>
      </c>
      <c r="W514" s="53" t="s">
        <v>1053</v>
      </c>
      <c r="X514" s="61">
        <f>IFERROR(IF(W514="","",WORKDAY.INTL(B514,_xlfn.XLOOKUP(W514,Regras!$F$2:$F$11,Regras!$G$2:$G$11))),"")</f>
        <v>45957</v>
      </c>
      <c r="Y514" s="150" t="s">
        <v>4588</v>
      </c>
      <c r="Z514" s="53" t="s">
        <v>764</v>
      </c>
      <c r="AA514" s="150"/>
      <c r="AB514" s="150" t="s">
        <v>4588</v>
      </c>
    </row>
    <row r="515" spans="2:28" x14ac:dyDescent="0.2">
      <c r="B515" s="89">
        <v>45946</v>
      </c>
      <c r="D515" s="99" t="s">
        <v>201</v>
      </c>
      <c r="E515" s="121" t="s">
        <v>202</v>
      </c>
      <c r="F515" s="85" t="s">
        <v>46</v>
      </c>
      <c r="G515" s="85" t="s">
        <v>12</v>
      </c>
      <c r="H515" s="148" t="s">
        <v>198</v>
      </c>
      <c r="I515" s="142">
        <v>2505.4299999999998</v>
      </c>
      <c r="J515" s="144">
        <v>54</v>
      </c>
      <c r="K515" s="144">
        <v>0</v>
      </c>
      <c r="L515" s="44" t="s">
        <v>741</v>
      </c>
      <c r="M515" s="58"/>
      <c r="N515" s="59"/>
      <c r="O515" s="50"/>
      <c r="P515" s="60"/>
      <c r="R515" s="53" t="s">
        <v>764</v>
      </c>
      <c r="S515" s="53" t="s">
        <v>769</v>
      </c>
      <c r="T515" s="53" t="s">
        <v>769</v>
      </c>
      <c r="U515" s="53" t="s">
        <v>741</v>
      </c>
      <c r="V515" s="53" t="s">
        <v>770</v>
      </c>
      <c r="W515" s="53" t="s">
        <v>780</v>
      </c>
      <c r="X515" s="61">
        <f>IFERROR(IF(W515="","",WORKDAY.INTL(B515,_xlfn.XLOOKUP(W515,Regras!$F$2:$F$11,Regras!$G$2:$G$11))),"")</f>
        <v>45950</v>
      </c>
      <c r="Y515" s="150" t="s">
        <v>4598</v>
      </c>
      <c r="Z515" s="53" t="s">
        <v>764</v>
      </c>
      <c r="AA515" s="150"/>
      <c r="AB515" s="150" t="s">
        <v>1046</v>
      </c>
    </row>
    <row r="516" spans="2:28" x14ac:dyDescent="0.2">
      <c r="B516" s="89">
        <v>45946</v>
      </c>
      <c r="D516" s="99" t="s">
        <v>105</v>
      </c>
      <c r="E516" s="121" t="s">
        <v>106</v>
      </c>
      <c r="F516" s="85" t="s">
        <v>17</v>
      </c>
      <c r="G516" s="85" t="s">
        <v>12</v>
      </c>
      <c r="H516" s="148" t="s">
        <v>96</v>
      </c>
      <c r="I516" s="142">
        <v>1199</v>
      </c>
      <c r="J516" s="144">
        <v>41</v>
      </c>
      <c r="K516" s="144">
        <v>0</v>
      </c>
      <c r="L516" s="44" t="s">
        <v>741</v>
      </c>
      <c r="M516" s="58"/>
      <c r="N516" s="59"/>
      <c r="O516" s="50"/>
      <c r="P516" s="60"/>
      <c r="R516" s="53" t="s">
        <v>764</v>
      </c>
      <c r="S516" s="53" t="s">
        <v>769</v>
      </c>
      <c r="T516" s="53" t="s">
        <v>769</v>
      </c>
      <c r="U516" s="53" t="s">
        <v>741</v>
      </c>
      <c r="V516" s="53" t="s">
        <v>770</v>
      </c>
      <c r="W516" s="53" t="s">
        <v>1054</v>
      </c>
      <c r="X516" s="61">
        <f>IFERROR(IF(W516="","",WORKDAY.INTL(B516,_xlfn.XLOOKUP(W516,Regras!$F$2:$F$11,Regras!$G$2:$G$11))),"")</f>
        <v>45967</v>
      </c>
      <c r="Y516" s="150" t="s">
        <v>4597</v>
      </c>
      <c r="Z516" s="53" t="s">
        <v>764</v>
      </c>
      <c r="AA516" s="150"/>
      <c r="AB516" s="150" t="s">
        <v>4597</v>
      </c>
    </row>
    <row r="517" spans="2:28" x14ac:dyDescent="0.2">
      <c r="B517" s="89">
        <v>45947</v>
      </c>
      <c r="D517" s="99" t="s">
        <v>473</v>
      </c>
      <c r="E517" s="121" t="s">
        <v>474</v>
      </c>
      <c r="F517" s="85" t="s">
        <v>46</v>
      </c>
      <c r="G517" s="85" t="s">
        <v>12</v>
      </c>
      <c r="H517" s="148" t="s">
        <v>471</v>
      </c>
      <c r="I517" s="142">
        <v>753.19</v>
      </c>
      <c r="J517" s="144">
        <v>104</v>
      </c>
      <c r="K517" s="144">
        <v>0</v>
      </c>
      <c r="L517" s="46" t="s">
        <v>742</v>
      </c>
      <c r="M517" s="58"/>
      <c r="N517" s="59"/>
      <c r="O517" s="50"/>
      <c r="P517" s="60"/>
      <c r="R517" s="53" t="s">
        <v>764</v>
      </c>
      <c r="S517" s="53" t="s">
        <v>764</v>
      </c>
      <c r="T517" s="53" t="s">
        <v>769</v>
      </c>
      <c r="U517" s="53" t="s">
        <v>741</v>
      </c>
      <c r="V517" s="53" t="s">
        <v>765</v>
      </c>
      <c r="W517" s="53" t="s">
        <v>1053</v>
      </c>
      <c r="X517" s="61">
        <f>IFERROR(IF(W517="","",WORKDAY.INTL(B517,_xlfn.XLOOKUP(W517,Regras!$F$2:$F$11,Regras!$G$2:$G$11))),"")</f>
        <v>45958</v>
      </c>
      <c r="Y517" s="150" t="s">
        <v>4599</v>
      </c>
      <c r="Z517" s="53" t="s">
        <v>764</v>
      </c>
      <c r="AA517" s="150"/>
      <c r="AB517" s="150" t="s">
        <v>4600</v>
      </c>
    </row>
    <row r="518" spans="2:28" x14ac:dyDescent="0.2">
      <c r="B518" s="89">
        <v>45947</v>
      </c>
      <c r="D518" s="99" t="s">
        <v>516</v>
      </c>
      <c r="E518" s="121" t="s">
        <v>517</v>
      </c>
      <c r="F518" s="85" t="s">
        <v>46</v>
      </c>
      <c r="G518" s="85" t="s">
        <v>12</v>
      </c>
      <c r="H518" s="148" t="s">
        <v>508</v>
      </c>
      <c r="I518" s="142">
        <v>683.54</v>
      </c>
      <c r="J518" s="144">
        <v>113</v>
      </c>
      <c r="K518" s="144">
        <v>0</v>
      </c>
      <c r="L518" s="45" t="s">
        <v>743</v>
      </c>
      <c r="M518" s="58"/>
      <c r="N518" s="59"/>
      <c r="O518" s="50"/>
      <c r="P518" s="60"/>
      <c r="R518" s="53" t="s">
        <v>764</v>
      </c>
      <c r="S518" s="53" t="s">
        <v>764</v>
      </c>
      <c r="T518" s="53" t="s">
        <v>769</v>
      </c>
      <c r="U518" s="53" t="s">
        <v>741</v>
      </c>
      <c r="V518" s="53" t="s">
        <v>765</v>
      </c>
      <c r="W518" s="53" t="s">
        <v>1053</v>
      </c>
      <c r="X518" s="61">
        <f>IFERROR(IF(W518="","",WORKDAY.INTL(B518,_xlfn.XLOOKUP(W518,Regras!$F$2:$F$11,Regras!$G$2:$G$11))),"")</f>
        <v>45958</v>
      </c>
      <c r="Y518" s="150" t="s">
        <v>4599</v>
      </c>
      <c r="Z518" s="53" t="s">
        <v>764</v>
      </c>
      <c r="AA518" s="150"/>
      <c r="AB518" s="150" t="s">
        <v>4600</v>
      </c>
    </row>
    <row r="519" spans="2:28" x14ac:dyDescent="0.2">
      <c r="B519" s="89">
        <v>45947</v>
      </c>
      <c r="D519" s="99" t="s">
        <v>549</v>
      </c>
      <c r="E519" s="121" t="s">
        <v>550</v>
      </c>
      <c r="F519" s="85" t="s">
        <v>22</v>
      </c>
      <c r="G519" s="85" t="s">
        <v>12</v>
      </c>
      <c r="H519" s="148" t="s">
        <v>551</v>
      </c>
      <c r="I519" s="142">
        <v>10200.370000000001</v>
      </c>
      <c r="J519" s="144">
        <v>124</v>
      </c>
      <c r="K519" s="144">
        <v>0</v>
      </c>
      <c r="L519" s="157" t="s">
        <v>743</v>
      </c>
      <c r="M519" s="58"/>
      <c r="N519" s="59"/>
      <c r="O519" s="50"/>
      <c r="P519" s="60"/>
      <c r="R519" s="53" t="s">
        <v>764</v>
      </c>
      <c r="S519" s="53" t="s">
        <v>769</v>
      </c>
      <c r="T519" s="53" t="s">
        <v>769</v>
      </c>
      <c r="U519" s="53" t="s">
        <v>741</v>
      </c>
      <c r="V519" s="53" t="s">
        <v>765</v>
      </c>
      <c r="W519" s="53" t="s">
        <v>1053</v>
      </c>
      <c r="X519" s="61">
        <f>IFERROR(IF(W519="","",WORKDAY.INTL(B519,_xlfn.XLOOKUP(W519,Regras!$F$2:$F$11,Regras!$G$2:$G$11))),"")</f>
        <v>45958</v>
      </c>
      <c r="Y519" s="150" t="s">
        <v>1075</v>
      </c>
      <c r="Z519" s="53" t="s">
        <v>764</v>
      </c>
      <c r="AA519" s="150"/>
      <c r="AB519" s="150" t="s">
        <v>4601</v>
      </c>
    </row>
    <row r="520" spans="2:28" x14ac:dyDescent="0.2">
      <c r="B520" s="89">
        <v>45947</v>
      </c>
      <c r="D520" s="99" t="s">
        <v>1313</v>
      </c>
      <c r="E520" s="121" t="s">
        <v>1326</v>
      </c>
      <c r="F520" s="85" t="s">
        <v>22</v>
      </c>
      <c r="G520" s="85" t="s">
        <v>12</v>
      </c>
      <c r="H520" s="148" t="s">
        <v>933</v>
      </c>
      <c r="I520" s="142" t="s">
        <v>933</v>
      </c>
      <c r="J520" s="144" t="s">
        <v>933</v>
      </c>
      <c r="K520" s="144" t="s">
        <v>933</v>
      </c>
      <c r="L520" s="95" t="s">
        <v>888</v>
      </c>
      <c r="M520" s="58"/>
      <c r="N520" s="59"/>
      <c r="O520" s="50"/>
      <c r="P520" s="60"/>
      <c r="R520" s="53" t="s">
        <v>764</v>
      </c>
      <c r="S520" s="53" t="s">
        <v>769</v>
      </c>
      <c r="T520" s="53" t="s">
        <v>769</v>
      </c>
      <c r="U520" s="53" t="s">
        <v>741</v>
      </c>
      <c r="V520" s="53" t="s">
        <v>768</v>
      </c>
      <c r="W520" s="53" t="s">
        <v>780</v>
      </c>
      <c r="X520" s="61">
        <f>IFERROR(IF(W520="","",WORKDAY.INTL(B520,_xlfn.XLOOKUP(W520,Regras!$F$2:$F$11,Regras!$G$2:$G$11))),"")</f>
        <v>45951</v>
      </c>
      <c r="Y520" s="150" t="s">
        <v>4602</v>
      </c>
      <c r="Z520" s="53" t="s">
        <v>764</v>
      </c>
      <c r="AA520" s="53"/>
      <c r="AB520" s="150" t="s">
        <v>4602</v>
      </c>
    </row>
    <row r="521" spans="2:28" x14ac:dyDescent="0.2">
      <c r="B521" s="89">
        <v>45947</v>
      </c>
      <c r="D521" s="99" t="s">
        <v>4603</v>
      </c>
      <c r="E521" s="121" t="s">
        <v>1775</v>
      </c>
      <c r="F521" s="85" t="s">
        <v>22</v>
      </c>
      <c r="G521" s="85" t="s">
        <v>12</v>
      </c>
      <c r="H521" s="148" t="s">
        <v>933</v>
      </c>
      <c r="I521" s="142" t="s">
        <v>933</v>
      </c>
      <c r="J521" s="144" t="s">
        <v>933</v>
      </c>
      <c r="K521" s="144" t="s">
        <v>933</v>
      </c>
      <c r="L521" s="95" t="s">
        <v>888</v>
      </c>
      <c r="M521" s="58"/>
      <c r="N521" s="59"/>
      <c r="O521" s="50"/>
      <c r="P521" s="60"/>
      <c r="R521" s="53" t="s">
        <v>764</v>
      </c>
      <c r="S521" s="53" t="s">
        <v>769</v>
      </c>
      <c r="T521" s="53" t="s">
        <v>769</v>
      </c>
      <c r="U521" s="53" t="s">
        <v>741</v>
      </c>
      <c r="V521" s="53" t="s">
        <v>768</v>
      </c>
      <c r="W521" s="53" t="s">
        <v>780</v>
      </c>
      <c r="X521" s="61">
        <f>IFERROR(IF(W521="","",WORKDAY.INTL(B521,_xlfn.XLOOKUP(W521,Regras!$F$2:$F$11,Regras!$G$2:$G$11))),"")</f>
        <v>45951</v>
      </c>
      <c r="Y521" s="150" t="s">
        <v>1318</v>
      </c>
      <c r="Z521" s="53" t="s">
        <v>764</v>
      </c>
      <c r="AA521" s="53"/>
      <c r="AB521" s="155" t="s">
        <v>4613</v>
      </c>
    </row>
    <row r="522" spans="2:28" x14ac:dyDescent="0.2">
      <c r="B522" s="89">
        <v>45947</v>
      </c>
      <c r="D522" s="99" t="s">
        <v>4604</v>
      </c>
      <c r="E522" s="121" t="s">
        <v>3814</v>
      </c>
      <c r="F522" s="85" t="s">
        <v>46</v>
      </c>
      <c r="G522" s="85" t="s">
        <v>12</v>
      </c>
      <c r="H522" s="148" t="s">
        <v>933</v>
      </c>
      <c r="I522" s="142" t="s">
        <v>933</v>
      </c>
      <c r="J522" s="144" t="s">
        <v>933</v>
      </c>
      <c r="K522" s="144" t="s">
        <v>933</v>
      </c>
      <c r="L522" s="95" t="s">
        <v>888</v>
      </c>
      <c r="M522" s="58"/>
      <c r="N522" s="59"/>
      <c r="O522" s="50"/>
      <c r="P522" s="60"/>
      <c r="R522" s="53" t="s">
        <v>764</v>
      </c>
      <c r="S522" s="53" t="s">
        <v>769</v>
      </c>
      <c r="T522" s="53" t="s">
        <v>769</v>
      </c>
      <c r="U522" s="53" t="s">
        <v>741</v>
      </c>
      <c r="V522" s="53" t="s">
        <v>768</v>
      </c>
      <c r="W522" s="53" t="s">
        <v>780</v>
      </c>
      <c r="X522" s="61">
        <f>IFERROR(IF(W522="","",WORKDAY.INTL(B522,_xlfn.XLOOKUP(W522,Regras!$F$2:$F$11,Regras!$G$2:$G$11))),"")</f>
        <v>45951</v>
      </c>
      <c r="Y522" s="150" t="s">
        <v>1318</v>
      </c>
      <c r="Z522" s="53" t="s">
        <v>764</v>
      </c>
      <c r="AA522" s="53"/>
      <c r="AB522" s="155" t="s">
        <v>4613</v>
      </c>
    </row>
    <row r="523" spans="2:28" x14ac:dyDescent="0.2">
      <c r="B523" s="89">
        <v>45947</v>
      </c>
      <c r="D523" s="99" t="s">
        <v>4605</v>
      </c>
      <c r="E523" s="121" t="s">
        <v>4226</v>
      </c>
      <c r="F523" s="85" t="s">
        <v>46</v>
      </c>
      <c r="G523" s="85" t="s">
        <v>12</v>
      </c>
      <c r="H523" s="148" t="s">
        <v>933</v>
      </c>
      <c r="I523" s="142" t="s">
        <v>933</v>
      </c>
      <c r="J523" s="144" t="s">
        <v>933</v>
      </c>
      <c r="K523" s="144" t="s">
        <v>933</v>
      </c>
      <c r="L523" s="95" t="s">
        <v>888</v>
      </c>
      <c r="M523" s="58"/>
      <c r="N523" s="59"/>
      <c r="O523" s="50"/>
      <c r="P523" s="60"/>
      <c r="R523" s="53" t="s">
        <v>764</v>
      </c>
      <c r="S523" s="53" t="s">
        <v>769</v>
      </c>
      <c r="T523" s="53" t="s">
        <v>769</v>
      </c>
      <c r="U523" s="53" t="s">
        <v>741</v>
      </c>
      <c r="V523" s="53" t="s">
        <v>768</v>
      </c>
      <c r="W523" s="53" t="s">
        <v>780</v>
      </c>
      <c r="X523" s="61">
        <f>IFERROR(IF(W523="","",WORKDAY.INTL(B523,_xlfn.XLOOKUP(W523,Regras!$F$2:$F$11,Regras!$G$2:$G$11))),"")</f>
        <v>45951</v>
      </c>
      <c r="Y523" s="150" t="s">
        <v>1318</v>
      </c>
      <c r="Z523" s="53" t="s">
        <v>764</v>
      </c>
      <c r="AA523" s="53"/>
      <c r="AB523" s="155" t="s">
        <v>4613</v>
      </c>
    </row>
    <row r="524" spans="2:28" x14ac:dyDescent="0.2">
      <c r="B524" s="89">
        <v>45947</v>
      </c>
      <c r="D524" s="99" t="s">
        <v>4606</v>
      </c>
      <c r="E524" s="121" t="s">
        <v>2479</v>
      </c>
      <c r="F524" s="85" t="s">
        <v>46</v>
      </c>
      <c r="G524" s="85" t="s">
        <v>12</v>
      </c>
      <c r="H524" s="148" t="s">
        <v>933</v>
      </c>
      <c r="I524" s="142" t="s">
        <v>933</v>
      </c>
      <c r="J524" s="144" t="s">
        <v>933</v>
      </c>
      <c r="K524" s="144" t="s">
        <v>933</v>
      </c>
      <c r="L524" s="95" t="s">
        <v>888</v>
      </c>
      <c r="M524" s="58"/>
      <c r="N524" s="59"/>
      <c r="O524" s="50"/>
      <c r="P524" s="60"/>
      <c r="R524" s="53" t="s">
        <v>764</v>
      </c>
      <c r="S524" s="53" t="s">
        <v>769</v>
      </c>
      <c r="T524" s="53" t="s">
        <v>769</v>
      </c>
      <c r="U524" s="53" t="s">
        <v>741</v>
      </c>
      <c r="V524" s="53" t="s">
        <v>768</v>
      </c>
      <c r="W524" s="53" t="s">
        <v>780</v>
      </c>
      <c r="X524" s="61">
        <f>IFERROR(IF(W524="","",WORKDAY.INTL(B524,_xlfn.XLOOKUP(W524,Regras!$F$2:$F$11,Regras!$G$2:$G$11))),"")</f>
        <v>45951</v>
      </c>
      <c r="Y524" s="150" t="s">
        <v>1318</v>
      </c>
      <c r="Z524" s="53" t="s">
        <v>764</v>
      </c>
      <c r="AA524" s="53"/>
      <c r="AB524" s="155" t="s">
        <v>4613</v>
      </c>
    </row>
    <row r="525" spans="2:28" x14ac:dyDescent="0.2">
      <c r="B525" s="89">
        <v>45947</v>
      </c>
      <c r="D525" s="99" t="s">
        <v>4607</v>
      </c>
      <c r="E525" s="121" t="s">
        <v>3475</v>
      </c>
      <c r="F525" s="85" t="s">
        <v>46</v>
      </c>
      <c r="G525" s="85" t="s">
        <v>12</v>
      </c>
      <c r="H525" s="148" t="s">
        <v>933</v>
      </c>
      <c r="I525" s="142" t="s">
        <v>933</v>
      </c>
      <c r="J525" s="144" t="s">
        <v>933</v>
      </c>
      <c r="K525" s="144" t="s">
        <v>933</v>
      </c>
      <c r="L525" s="95" t="s">
        <v>888</v>
      </c>
      <c r="M525" s="58"/>
      <c r="N525" s="59"/>
      <c r="O525" s="50"/>
      <c r="P525" s="60"/>
      <c r="R525" s="53" t="s">
        <v>764</v>
      </c>
      <c r="S525" s="53" t="s">
        <v>769</v>
      </c>
      <c r="T525" s="53" t="s">
        <v>769</v>
      </c>
      <c r="U525" s="53" t="s">
        <v>741</v>
      </c>
      <c r="V525" s="53" t="s">
        <v>768</v>
      </c>
      <c r="W525" s="53" t="s">
        <v>796</v>
      </c>
      <c r="X525" s="61" t="str">
        <f>IFERROR(IF(W525="","",WORKDAY.INTL(B525,_xlfn.XLOOKUP(W525,Regras!$F$2:$F$11,Regras!$G$2:$G$11))),"")</f>
        <v/>
      </c>
      <c r="Y525" s="150" t="s">
        <v>1237</v>
      </c>
      <c r="Z525" s="53" t="s">
        <v>769</v>
      </c>
      <c r="AA525" s="53"/>
      <c r="AB525" s="150" t="s">
        <v>1237</v>
      </c>
    </row>
    <row r="526" spans="2:28" x14ac:dyDescent="0.2">
      <c r="B526" s="89">
        <v>45947</v>
      </c>
      <c r="D526" s="99" t="s">
        <v>4608</v>
      </c>
      <c r="E526" s="121" t="s">
        <v>2776</v>
      </c>
      <c r="F526" s="85" t="s">
        <v>46</v>
      </c>
      <c r="G526" s="85" t="s">
        <v>12</v>
      </c>
      <c r="H526" s="148" t="s">
        <v>933</v>
      </c>
      <c r="I526" s="142" t="s">
        <v>933</v>
      </c>
      <c r="J526" s="144" t="s">
        <v>933</v>
      </c>
      <c r="K526" s="144" t="s">
        <v>933</v>
      </c>
      <c r="L526" s="95" t="s">
        <v>888</v>
      </c>
      <c r="M526" s="58"/>
      <c r="N526" s="59"/>
      <c r="O526" s="50"/>
      <c r="P526" s="60"/>
      <c r="R526" s="53" t="s">
        <v>764</v>
      </c>
      <c r="S526" s="53" t="s">
        <v>769</v>
      </c>
      <c r="T526" s="53" t="s">
        <v>769</v>
      </c>
      <c r="U526" s="53" t="s">
        <v>741</v>
      </c>
      <c r="V526" s="53" t="s">
        <v>768</v>
      </c>
      <c r="W526" s="53" t="s">
        <v>780</v>
      </c>
      <c r="X526" s="61">
        <f>IFERROR(IF(W526="","",WORKDAY.INTL(B526,_xlfn.XLOOKUP(W526,Regras!$F$2:$F$11,Regras!$G$2:$G$11))),"")</f>
        <v>45951</v>
      </c>
      <c r="Y526" s="150" t="s">
        <v>1318</v>
      </c>
      <c r="Z526" s="53" t="s">
        <v>764</v>
      </c>
      <c r="AA526" s="53"/>
      <c r="AB526" s="155" t="s">
        <v>4613</v>
      </c>
    </row>
    <row r="527" spans="2:28" x14ac:dyDescent="0.2">
      <c r="B527" s="89">
        <v>45947</v>
      </c>
      <c r="D527" s="99" t="s">
        <v>4609</v>
      </c>
      <c r="E527" s="121" t="s">
        <v>1613</v>
      </c>
      <c r="F527" s="85" t="s">
        <v>46</v>
      </c>
      <c r="G527" s="85" t="s">
        <v>12</v>
      </c>
      <c r="H527" s="148" t="s">
        <v>933</v>
      </c>
      <c r="I527" s="142" t="s">
        <v>933</v>
      </c>
      <c r="J527" s="144" t="s">
        <v>933</v>
      </c>
      <c r="K527" s="144" t="s">
        <v>933</v>
      </c>
      <c r="L527" s="95" t="s">
        <v>888</v>
      </c>
      <c r="M527" s="58"/>
      <c r="N527" s="59"/>
      <c r="O527" s="50"/>
      <c r="P527" s="60"/>
      <c r="R527" s="53" t="s">
        <v>764</v>
      </c>
      <c r="S527" s="53" t="s">
        <v>769</v>
      </c>
      <c r="T527" s="53" t="s">
        <v>769</v>
      </c>
      <c r="U527" s="53" t="s">
        <v>741</v>
      </c>
      <c r="V527" s="53" t="s">
        <v>768</v>
      </c>
      <c r="W527" s="53" t="s">
        <v>780</v>
      </c>
      <c r="X527" s="61">
        <f>IFERROR(IF(W527="","",WORKDAY.INTL(B527,_xlfn.XLOOKUP(W527,Regras!$F$2:$F$11,Regras!$G$2:$G$11))),"")</f>
        <v>45951</v>
      </c>
      <c r="Y527" s="150" t="s">
        <v>1318</v>
      </c>
      <c r="Z527" s="53" t="s">
        <v>764</v>
      </c>
      <c r="AA527" s="53"/>
      <c r="AB527" s="155" t="s">
        <v>4613</v>
      </c>
    </row>
    <row r="528" spans="2:28" x14ac:dyDescent="0.2">
      <c r="B528" s="89">
        <v>45947</v>
      </c>
      <c r="D528" s="99" t="s">
        <v>4610</v>
      </c>
      <c r="E528" s="121" t="s">
        <v>3692</v>
      </c>
      <c r="F528" s="85" t="s">
        <v>46</v>
      </c>
      <c r="G528" s="85" t="s">
        <v>12</v>
      </c>
      <c r="H528" s="148" t="s">
        <v>933</v>
      </c>
      <c r="I528" s="142" t="s">
        <v>933</v>
      </c>
      <c r="J528" s="144" t="s">
        <v>933</v>
      </c>
      <c r="K528" s="144" t="s">
        <v>933</v>
      </c>
      <c r="L528" s="95" t="s">
        <v>888</v>
      </c>
      <c r="M528" s="58"/>
      <c r="N528" s="59"/>
      <c r="O528" s="50"/>
      <c r="P528" s="60"/>
      <c r="R528" s="53" t="s">
        <v>764</v>
      </c>
      <c r="S528" s="53" t="s">
        <v>769</v>
      </c>
      <c r="T528" s="53" t="s">
        <v>769</v>
      </c>
      <c r="U528" s="53" t="s">
        <v>741</v>
      </c>
      <c r="V528" s="53" t="s">
        <v>768</v>
      </c>
      <c r="W528" s="53" t="s">
        <v>780</v>
      </c>
      <c r="X528" s="61">
        <f>IFERROR(IF(W528="","",WORKDAY.INTL(B528,_xlfn.XLOOKUP(W528,Regras!$F$2:$F$11,Regras!$G$2:$G$11))),"")</f>
        <v>45951</v>
      </c>
      <c r="Y528" s="150" t="s">
        <v>1318</v>
      </c>
      <c r="Z528" s="53" t="s">
        <v>764</v>
      </c>
      <c r="AA528" s="53"/>
      <c r="AB528" s="155" t="s">
        <v>4613</v>
      </c>
    </row>
    <row r="529" spans="2:28" x14ac:dyDescent="0.2">
      <c r="B529" s="89">
        <v>45947</v>
      </c>
      <c r="D529" s="99" t="s">
        <v>4611</v>
      </c>
      <c r="E529" s="121" t="s">
        <v>3233</v>
      </c>
      <c r="F529" s="85" t="s">
        <v>46</v>
      </c>
      <c r="G529" s="85" t="s">
        <v>12</v>
      </c>
      <c r="H529" s="148" t="s">
        <v>933</v>
      </c>
      <c r="I529" s="142" t="s">
        <v>933</v>
      </c>
      <c r="J529" s="144" t="s">
        <v>933</v>
      </c>
      <c r="K529" s="144" t="s">
        <v>933</v>
      </c>
      <c r="L529" s="95" t="s">
        <v>888</v>
      </c>
      <c r="M529" s="58"/>
      <c r="N529" s="59"/>
      <c r="O529" s="50"/>
      <c r="P529" s="60"/>
      <c r="R529" s="53" t="s">
        <v>764</v>
      </c>
      <c r="S529" s="53" t="s">
        <v>769</v>
      </c>
      <c r="T529" s="53" t="s">
        <v>769</v>
      </c>
      <c r="U529" s="53" t="s">
        <v>741</v>
      </c>
      <c r="V529" s="53" t="s">
        <v>768</v>
      </c>
      <c r="W529" s="53" t="s">
        <v>780</v>
      </c>
      <c r="X529" s="61">
        <f>IFERROR(IF(W529="","",WORKDAY.INTL(B529,_xlfn.XLOOKUP(W529,Regras!$F$2:$F$11,Regras!$G$2:$G$11))),"")</f>
        <v>45951</v>
      </c>
      <c r="Y529" s="150" t="s">
        <v>1318</v>
      </c>
      <c r="Z529" s="53" t="s">
        <v>764</v>
      </c>
      <c r="AA529" s="53"/>
      <c r="AB529" s="155" t="s">
        <v>4613</v>
      </c>
    </row>
    <row r="530" spans="2:28" x14ac:dyDescent="0.2">
      <c r="B530" s="89">
        <v>45947</v>
      </c>
      <c r="D530" s="99" t="s">
        <v>4612</v>
      </c>
      <c r="E530" s="121" t="s">
        <v>1615</v>
      </c>
      <c r="F530" s="85" t="s">
        <v>46</v>
      </c>
      <c r="G530" s="85" t="s">
        <v>12</v>
      </c>
      <c r="H530" s="148" t="s">
        <v>933</v>
      </c>
      <c r="I530" s="142" t="s">
        <v>933</v>
      </c>
      <c r="J530" s="144" t="s">
        <v>933</v>
      </c>
      <c r="K530" s="144" t="s">
        <v>933</v>
      </c>
      <c r="L530" s="95" t="s">
        <v>888</v>
      </c>
      <c r="M530" s="58"/>
      <c r="N530" s="59"/>
      <c r="O530" s="50"/>
      <c r="P530" s="60"/>
      <c r="R530" s="53" t="s">
        <v>764</v>
      </c>
      <c r="S530" s="53" t="s">
        <v>769</v>
      </c>
      <c r="T530" s="53" t="s">
        <v>769</v>
      </c>
      <c r="U530" s="53" t="s">
        <v>741</v>
      </c>
      <c r="V530" s="53" t="s">
        <v>768</v>
      </c>
      <c r="W530" s="53" t="s">
        <v>780</v>
      </c>
      <c r="X530" s="61">
        <f>IFERROR(IF(W530="","",WORKDAY.INTL(B530,_xlfn.XLOOKUP(W530,Regras!$F$2:$F$11,Regras!$G$2:$G$11))),"")</f>
        <v>45951</v>
      </c>
      <c r="Y530" s="150" t="s">
        <v>1318</v>
      </c>
      <c r="Z530" s="53" t="s">
        <v>764</v>
      </c>
      <c r="AA530" s="53"/>
      <c r="AB530" s="155" t="s">
        <v>4613</v>
      </c>
    </row>
    <row r="531" spans="2:28" x14ac:dyDescent="0.2">
      <c r="B531" s="89">
        <v>45947</v>
      </c>
      <c r="D531" s="99" t="s">
        <v>4614</v>
      </c>
      <c r="E531" s="121" t="s">
        <v>82</v>
      </c>
      <c r="F531" s="85" t="s">
        <v>46</v>
      </c>
      <c r="G531" s="85" t="s">
        <v>12</v>
      </c>
      <c r="H531" s="148" t="s">
        <v>933</v>
      </c>
      <c r="I531" s="142">
        <v>3464</v>
      </c>
      <c r="J531" s="148" t="s">
        <v>933</v>
      </c>
      <c r="K531" s="148" t="s">
        <v>933</v>
      </c>
      <c r="L531" s="44" t="s">
        <v>741</v>
      </c>
      <c r="M531" s="58"/>
      <c r="N531" s="59"/>
      <c r="O531" s="50"/>
      <c r="P531" s="60"/>
      <c r="R531" s="53" t="s">
        <v>764</v>
      </c>
      <c r="S531" s="53" t="s">
        <v>769</v>
      </c>
      <c r="T531" s="53" t="s">
        <v>769</v>
      </c>
      <c r="U531" s="53" t="s">
        <v>741</v>
      </c>
      <c r="V531" s="53" t="s">
        <v>768</v>
      </c>
      <c r="W531" s="53" t="s">
        <v>766</v>
      </c>
      <c r="X531" s="61">
        <f>IFERROR(IF(W531="","",WORKDAY.INTL(B531,_xlfn.XLOOKUP(W531,Regras!$F$2:$F$11,Regras!$G$2:$G$11))),"")</f>
        <v>46010</v>
      </c>
      <c r="Y531" s="150" t="s">
        <v>4616</v>
      </c>
      <c r="Z531" s="53" t="s">
        <v>764</v>
      </c>
      <c r="AA531" s="53"/>
      <c r="AB531" s="155" t="s">
        <v>4615</v>
      </c>
    </row>
    <row r="532" spans="2:28" x14ac:dyDescent="0.2">
      <c r="B532" s="89">
        <v>45947</v>
      </c>
      <c r="D532" s="99" t="s">
        <v>284</v>
      </c>
      <c r="E532" s="121" t="s">
        <v>285</v>
      </c>
      <c r="F532" s="85" t="s">
        <v>22</v>
      </c>
      <c r="G532" s="85" t="s">
        <v>12</v>
      </c>
      <c r="H532" s="148" t="s">
        <v>933</v>
      </c>
      <c r="I532" s="142">
        <v>751</v>
      </c>
      <c r="J532" s="148" t="s">
        <v>933</v>
      </c>
      <c r="K532" s="148" t="s">
        <v>933</v>
      </c>
      <c r="L532" s="44" t="s">
        <v>741</v>
      </c>
      <c r="M532" s="58"/>
      <c r="N532" s="59"/>
      <c r="O532" s="50"/>
      <c r="P532" s="60"/>
      <c r="R532" s="53" t="s">
        <v>764</v>
      </c>
      <c r="S532" s="53" t="s">
        <v>769</v>
      </c>
      <c r="T532" s="53" t="s">
        <v>769</v>
      </c>
      <c r="U532" s="53" t="s">
        <v>741</v>
      </c>
      <c r="V532" s="53" t="s">
        <v>768</v>
      </c>
      <c r="W532" s="53" t="s">
        <v>766</v>
      </c>
      <c r="X532" s="61">
        <f>IFERROR(IF(W532="","",WORKDAY.INTL(B532,_xlfn.XLOOKUP(W532,Regras!$F$2:$F$11,Regras!$G$2:$G$11))),"")</f>
        <v>46010</v>
      </c>
      <c r="Y532" s="150" t="s">
        <v>4616</v>
      </c>
      <c r="Z532" s="53" t="s">
        <v>764</v>
      </c>
      <c r="AA532" s="53"/>
      <c r="AB532" s="155" t="s">
        <v>4615</v>
      </c>
    </row>
    <row r="533" spans="2:28" x14ac:dyDescent="0.2">
      <c r="B533" s="89">
        <v>45947</v>
      </c>
      <c r="D533" s="99" t="s">
        <v>27</v>
      </c>
      <c r="E533" s="121" t="s">
        <v>4617</v>
      </c>
      <c r="F533" s="85" t="s">
        <v>17</v>
      </c>
      <c r="G533" s="85" t="s">
        <v>12</v>
      </c>
      <c r="H533" s="148" t="s">
        <v>933</v>
      </c>
      <c r="I533" s="142">
        <v>2762</v>
      </c>
      <c r="J533" s="148" t="s">
        <v>933</v>
      </c>
      <c r="K533" s="148" t="s">
        <v>933</v>
      </c>
      <c r="L533" s="44" t="s">
        <v>741</v>
      </c>
      <c r="M533" s="58"/>
      <c r="N533" s="59"/>
      <c r="O533" s="50"/>
      <c r="P533" s="60"/>
      <c r="R533" s="53" t="s">
        <v>764</v>
      </c>
      <c r="S533" s="53" t="s">
        <v>769</v>
      </c>
      <c r="T533" s="53" t="s">
        <v>769</v>
      </c>
      <c r="U533" s="53" t="s">
        <v>741</v>
      </c>
      <c r="V533" s="53" t="s">
        <v>768</v>
      </c>
      <c r="W533" s="53" t="s">
        <v>766</v>
      </c>
      <c r="X533" s="61">
        <f>IFERROR(IF(W533="","",WORKDAY.INTL(B533,_xlfn.XLOOKUP(W533,Regras!$F$2:$F$11,Regras!$G$2:$G$11))),"")</f>
        <v>46010</v>
      </c>
      <c r="Y533" s="150" t="s">
        <v>4616</v>
      </c>
      <c r="Z533" s="53" t="s">
        <v>764</v>
      </c>
      <c r="AA533" s="53"/>
      <c r="AB533" s="155" t="s">
        <v>4615</v>
      </c>
    </row>
    <row r="534" spans="2:28" x14ac:dyDescent="0.2">
      <c r="B534" s="89">
        <v>45950</v>
      </c>
      <c r="D534" s="99" t="s">
        <v>192</v>
      </c>
      <c r="E534" s="121" t="s">
        <v>193</v>
      </c>
      <c r="F534" s="85" t="s">
        <v>17</v>
      </c>
      <c r="G534" s="85" t="s">
        <v>12</v>
      </c>
      <c r="H534" s="148" t="s">
        <v>185</v>
      </c>
      <c r="I534" s="142">
        <v>2105.6</v>
      </c>
      <c r="J534" s="144">
        <v>53</v>
      </c>
      <c r="K534" s="144">
        <v>0</v>
      </c>
      <c r="L534" s="44" t="s">
        <v>741</v>
      </c>
      <c r="M534" s="58"/>
      <c r="N534" s="59"/>
      <c r="O534" s="50"/>
      <c r="P534" s="60"/>
      <c r="R534" s="53" t="s">
        <v>764</v>
      </c>
      <c r="S534" s="53" t="s">
        <v>764</v>
      </c>
      <c r="T534" s="53" t="s">
        <v>769</v>
      </c>
      <c r="U534" s="53" t="s">
        <v>741</v>
      </c>
      <c r="V534" s="53" t="s">
        <v>770</v>
      </c>
      <c r="W534" s="53" t="s">
        <v>780</v>
      </c>
      <c r="X534" s="61">
        <f>IFERROR(IF(W534="","",WORKDAY.INTL(B534,_xlfn.XLOOKUP(W534,Regras!$F$2:$F$11,Regras!$G$2:$G$11))),"")</f>
        <v>45952</v>
      </c>
      <c r="Y534" s="150" t="s">
        <v>4621</v>
      </c>
      <c r="Z534" s="53" t="s">
        <v>764</v>
      </c>
      <c r="AA534" s="53"/>
      <c r="AB534" s="155" t="s">
        <v>4622</v>
      </c>
    </row>
    <row r="535" spans="2:28" x14ac:dyDescent="0.2">
      <c r="B535" s="89">
        <v>45950</v>
      </c>
      <c r="D535" s="99" t="s">
        <v>199</v>
      </c>
      <c r="E535" s="121" t="s">
        <v>200</v>
      </c>
      <c r="F535" s="85" t="s">
        <v>22</v>
      </c>
      <c r="G535" s="85" t="s">
        <v>12</v>
      </c>
      <c r="H535" s="148" t="s">
        <v>198</v>
      </c>
      <c r="I535" s="142">
        <v>653</v>
      </c>
      <c r="J535" s="144">
        <v>54</v>
      </c>
      <c r="K535" s="144">
        <v>0</v>
      </c>
      <c r="L535" s="44" t="s">
        <v>741</v>
      </c>
      <c r="M535" s="58"/>
      <c r="N535" s="59"/>
      <c r="O535" s="50"/>
      <c r="P535" s="60"/>
      <c r="R535" s="53" t="s">
        <v>764</v>
      </c>
      <c r="S535" s="53" t="s">
        <v>764</v>
      </c>
      <c r="T535" s="53" t="s">
        <v>764</v>
      </c>
      <c r="U535" s="53" t="s">
        <v>741</v>
      </c>
      <c r="V535" s="53" t="s">
        <v>770</v>
      </c>
      <c r="W535" s="53" t="s">
        <v>1054</v>
      </c>
      <c r="X535" s="61">
        <f>IFERROR(IF(W535="","",WORKDAY.INTL(B535,_xlfn.XLOOKUP(W535,Regras!$F$2:$F$11,Regras!$G$2:$G$11))),"")</f>
        <v>45971</v>
      </c>
      <c r="Y535" s="150" t="s">
        <v>4623</v>
      </c>
      <c r="Z535" s="53" t="s">
        <v>764</v>
      </c>
      <c r="AA535" s="53"/>
      <c r="AB535" s="150" t="s">
        <v>4623</v>
      </c>
    </row>
    <row r="536" spans="2:28" x14ac:dyDescent="0.2">
      <c r="B536" s="89">
        <v>45950</v>
      </c>
      <c r="D536" s="99" t="s">
        <v>201</v>
      </c>
      <c r="E536" s="121" t="s">
        <v>202</v>
      </c>
      <c r="F536" s="85" t="s">
        <v>46</v>
      </c>
      <c r="G536" s="85" t="s">
        <v>12</v>
      </c>
      <c r="H536" s="148" t="s">
        <v>198</v>
      </c>
      <c r="I536" s="142">
        <v>2505.4299999999998</v>
      </c>
      <c r="J536" s="144">
        <v>54</v>
      </c>
      <c r="K536" s="144">
        <v>0</v>
      </c>
      <c r="L536" s="44" t="s">
        <v>741</v>
      </c>
      <c r="M536" s="58"/>
      <c r="N536" s="59"/>
      <c r="O536" s="50"/>
      <c r="P536" s="60"/>
      <c r="R536" s="53" t="s">
        <v>764</v>
      </c>
      <c r="S536" s="53" t="s">
        <v>769</v>
      </c>
      <c r="T536" s="53" t="s">
        <v>769</v>
      </c>
      <c r="U536" s="53" t="s">
        <v>741</v>
      </c>
      <c r="V536" s="53" t="s">
        <v>770</v>
      </c>
      <c r="W536" s="53" t="s">
        <v>1054</v>
      </c>
      <c r="X536" s="61">
        <f>IFERROR(IF(W536="","",WORKDAY.INTL(B536,_xlfn.XLOOKUP(W536,Regras!$F$2:$F$11,Regras!$G$2:$G$11))),"")</f>
        <v>45971</v>
      </c>
      <c r="Y536" s="150" t="s">
        <v>4624</v>
      </c>
      <c r="Z536" s="53" t="s">
        <v>764</v>
      </c>
      <c r="AA536" s="53"/>
      <c r="AB536" s="155" t="s">
        <v>4625</v>
      </c>
    </row>
    <row r="537" spans="2:28" x14ac:dyDescent="0.2">
      <c r="B537" s="89">
        <v>45950</v>
      </c>
      <c r="D537" s="99" t="s">
        <v>168</v>
      </c>
      <c r="E537" s="121" t="s">
        <v>169</v>
      </c>
      <c r="F537" s="85" t="s">
        <v>46</v>
      </c>
      <c r="G537" s="85" t="s">
        <v>12</v>
      </c>
      <c r="H537" s="148" t="s">
        <v>1165</v>
      </c>
      <c r="I537" s="142">
        <v>2129.81</v>
      </c>
      <c r="J537" s="144">
        <v>20</v>
      </c>
      <c r="K537" s="144">
        <v>22</v>
      </c>
      <c r="L537" s="44" t="s">
        <v>741</v>
      </c>
      <c r="M537" s="58"/>
      <c r="N537" s="59"/>
      <c r="O537" s="50"/>
      <c r="P537" s="60"/>
      <c r="R537" s="53" t="s">
        <v>764</v>
      </c>
      <c r="S537" s="53" t="s">
        <v>769</v>
      </c>
      <c r="T537" s="53" t="s">
        <v>769</v>
      </c>
      <c r="U537" s="53" t="s">
        <v>741</v>
      </c>
      <c r="V537" s="53" t="s">
        <v>770</v>
      </c>
      <c r="W537" s="53" t="s">
        <v>780</v>
      </c>
      <c r="X537" s="61">
        <f>IFERROR(IF(W537="","",WORKDAY.INTL(B537,_xlfn.XLOOKUP(W537,Regras!$F$2:$F$11,Regras!$G$2:$G$11))),"")</f>
        <v>45952</v>
      </c>
      <c r="Y537" s="150" t="s">
        <v>4618</v>
      </c>
      <c r="Z537" s="53" t="s">
        <v>764</v>
      </c>
      <c r="AA537" s="53"/>
      <c r="AB537" s="150" t="s">
        <v>4618</v>
      </c>
    </row>
    <row r="538" spans="2:28" x14ac:dyDescent="0.2">
      <c r="B538" s="89">
        <v>45950</v>
      </c>
      <c r="D538" s="99" t="s">
        <v>81</v>
      </c>
      <c r="E538" s="121" t="s">
        <v>82</v>
      </c>
      <c r="F538" s="85" t="s">
        <v>46</v>
      </c>
      <c r="G538" s="85" t="s">
        <v>12</v>
      </c>
      <c r="H538" s="148" t="s">
        <v>19</v>
      </c>
      <c r="I538" s="142">
        <v>1188.55</v>
      </c>
      <c r="J538" s="144">
        <v>27</v>
      </c>
      <c r="K538" s="144">
        <v>46</v>
      </c>
      <c r="L538" s="44" t="s">
        <v>741</v>
      </c>
      <c r="M538" s="58"/>
      <c r="N538" s="59"/>
      <c r="O538" s="50"/>
      <c r="P538" s="60"/>
      <c r="R538" s="53" t="s">
        <v>764</v>
      </c>
      <c r="S538" s="53" t="s">
        <v>769</v>
      </c>
      <c r="T538" s="53" t="s">
        <v>769</v>
      </c>
      <c r="U538" s="53" t="s">
        <v>741</v>
      </c>
      <c r="V538" s="53" t="s">
        <v>770</v>
      </c>
      <c r="W538" s="53" t="s">
        <v>777</v>
      </c>
      <c r="X538" s="61" t="str">
        <f>IFERROR(IF(W538="","",WORKDAY.INTL(B538,_xlfn.XLOOKUP(W538,Regras!$F$2:$F$11,Regras!$G$2:$G$11))),"")</f>
        <v/>
      </c>
      <c r="Y538" s="150" t="s">
        <v>4619</v>
      </c>
      <c r="Z538" s="53" t="s">
        <v>764</v>
      </c>
      <c r="AA538" s="53"/>
      <c r="AB538" s="150" t="s">
        <v>4619</v>
      </c>
    </row>
    <row r="539" spans="2:28" x14ac:dyDescent="0.2">
      <c r="B539" s="89">
        <v>45950</v>
      </c>
      <c r="D539" s="99" t="s">
        <v>75</v>
      </c>
      <c r="E539" s="121" t="s">
        <v>76</v>
      </c>
      <c r="F539" s="85" t="s">
        <v>46</v>
      </c>
      <c r="G539" s="85" t="s">
        <v>12</v>
      </c>
      <c r="H539" s="148" t="s">
        <v>13</v>
      </c>
      <c r="I539" s="142">
        <v>1267.1099999999999</v>
      </c>
      <c r="J539" s="144">
        <v>26</v>
      </c>
      <c r="K539" s="144">
        <v>35.5</v>
      </c>
      <c r="L539" s="44" t="s">
        <v>741</v>
      </c>
      <c r="M539" s="58"/>
      <c r="N539" s="59"/>
      <c r="O539" s="50"/>
      <c r="P539" s="60"/>
      <c r="R539" s="53" t="s">
        <v>764</v>
      </c>
      <c r="S539" s="53" t="s">
        <v>764</v>
      </c>
      <c r="T539" s="53" t="s">
        <v>769</v>
      </c>
      <c r="U539" s="53" t="s">
        <v>741</v>
      </c>
      <c r="V539" s="53" t="s">
        <v>770</v>
      </c>
      <c r="W539" s="53" t="s">
        <v>780</v>
      </c>
      <c r="X539" s="61">
        <f>IFERROR(IF(W539="","",WORKDAY.INTL(B539,_xlfn.XLOOKUP(W539,Regras!$F$2:$F$11,Regras!$G$2:$G$11))),"")</f>
        <v>45952</v>
      </c>
      <c r="Y539" s="150" t="s">
        <v>4620</v>
      </c>
      <c r="Z539" s="53" t="s">
        <v>764</v>
      </c>
      <c r="AA539" s="53"/>
      <c r="AB539" s="150" t="s">
        <v>4620</v>
      </c>
    </row>
    <row r="540" spans="2:28" x14ac:dyDescent="0.2">
      <c r="B540" s="89">
        <v>45950</v>
      </c>
      <c r="D540" s="99" t="s">
        <v>209</v>
      </c>
      <c r="E540" s="121" t="s">
        <v>210</v>
      </c>
      <c r="F540" s="85" t="s">
        <v>17</v>
      </c>
      <c r="G540" s="85" t="s">
        <v>12</v>
      </c>
      <c r="H540" s="148" t="s">
        <v>1168</v>
      </c>
      <c r="I540" s="142">
        <v>1310.86</v>
      </c>
      <c r="J540" s="144">
        <v>21</v>
      </c>
      <c r="K540" s="144">
        <v>45</v>
      </c>
      <c r="L540" s="44" t="s">
        <v>741</v>
      </c>
      <c r="M540" s="58"/>
      <c r="N540" s="59"/>
      <c r="O540" s="50"/>
      <c r="P540" s="60"/>
      <c r="R540" s="53" t="s">
        <v>764</v>
      </c>
      <c r="S540" s="53" t="s">
        <v>769</v>
      </c>
      <c r="T540" s="53" t="s">
        <v>769</v>
      </c>
      <c r="U540" s="53" t="s">
        <v>741</v>
      </c>
      <c r="V540" s="53" t="s">
        <v>770</v>
      </c>
      <c r="W540" s="53" t="s">
        <v>780</v>
      </c>
      <c r="X540" s="61">
        <f>IFERROR(IF(W540="","",WORKDAY.INTL(B540,_xlfn.XLOOKUP(W540,Regras!$F$2:$F$11,Regras!$G$2:$G$11))),"")</f>
        <v>45952</v>
      </c>
      <c r="Y540" s="150" t="s">
        <v>4593</v>
      </c>
      <c r="Z540" s="53" t="s">
        <v>764</v>
      </c>
      <c r="AA540" s="53"/>
      <c r="AB540" s="155" t="s">
        <v>4626</v>
      </c>
    </row>
    <row r="541" spans="2:28" x14ac:dyDescent="0.2">
      <c r="B541" s="89">
        <v>45950</v>
      </c>
      <c r="D541" s="99" t="s">
        <v>209</v>
      </c>
      <c r="E541" s="121" t="s">
        <v>211</v>
      </c>
      <c r="F541" s="85" t="s">
        <v>17</v>
      </c>
      <c r="G541" s="85" t="s">
        <v>12</v>
      </c>
      <c r="H541" s="148" t="s">
        <v>1168</v>
      </c>
      <c r="I541" s="142">
        <v>908.9</v>
      </c>
      <c r="J541" s="144">
        <v>21</v>
      </c>
      <c r="K541" s="144">
        <v>45</v>
      </c>
      <c r="L541" s="44" t="s">
        <v>741</v>
      </c>
      <c r="M541" s="58"/>
      <c r="N541" s="59"/>
      <c r="O541" s="50"/>
      <c r="P541" s="60"/>
      <c r="R541" s="53" t="s">
        <v>764</v>
      </c>
      <c r="S541" s="53" t="s">
        <v>769</v>
      </c>
      <c r="T541" s="53" t="s">
        <v>769</v>
      </c>
      <c r="U541" s="53" t="s">
        <v>741</v>
      </c>
      <c r="V541" s="53" t="s">
        <v>770</v>
      </c>
      <c r="W541" s="53" t="s">
        <v>780</v>
      </c>
      <c r="X541" s="61">
        <f>IFERROR(IF(W541="","",WORKDAY.INTL(B541,_xlfn.XLOOKUP(W541,Regras!$F$2:$F$11,Regras!$G$2:$G$11))),"")</f>
        <v>45952</v>
      </c>
      <c r="Y541" s="150" t="s">
        <v>4593</v>
      </c>
      <c r="Z541" s="53" t="s">
        <v>764</v>
      </c>
      <c r="AA541" s="53"/>
      <c r="AB541" s="155" t="s">
        <v>4626</v>
      </c>
    </row>
    <row r="542" spans="2:28" x14ac:dyDescent="0.2">
      <c r="B542" s="89">
        <v>45950</v>
      </c>
      <c r="D542" s="99" t="s">
        <v>212</v>
      </c>
      <c r="E542" s="121" t="s">
        <v>213</v>
      </c>
      <c r="F542" s="85" t="s">
        <v>17</v>
      </c>
      <c r="G542" s="85" t="s">
        <v>12</v>
      </c>
      <c r="H542" s="148" t="s">
        <v>1168</v>
      </c>
      <c r="I542" s="142">
        <v>2887.26</v>
      </c>
      <c r="J542" s="144">
        <v>21</v>
      </c>
      <c r="K542" s="144">
        <v>45</v>
      </c>
      <c r="L542" s="158" t="s">
        <v>741</v>
      </c>
      <c r="M542" s="58"/>
      <c r="N542" s="59"/>
      <c r="O542" s="50"/>
      <c r="P542" s="60"/>
      <c r="R542" s="53" t="s">
        <v>764</v>
      </c>
      <c r="S542" s="53" t="s">
        <v>769</v>
      </c>
      <c r="T542" s="53" t="s">
        <v>769</v>
      </c>
      <c r="U542" s="53" t="s">
        <v>741</v>
      </c>
      <c r="V542" s="53" t="s">
        <v>770</v>
      </c>
      <c r="W542" s="53" t="s">
        <v>780</v>
      </c>
      <c r="X542" s="61">
        <f>IFERROR(IF(W542="","",WORKDAY.INTL(B542,_xlfn.XLOOKUP(W542,Regras!$F$2:$F$11,Regras!$G$2:$G$11))),"")</f>
        <v>45952</v>
      </c>
      <c r="Y542" s="150" t="s">
        <v>4593</v>
      </c>
      <c r="Z542" s="53" t="s">
        <v>764</v>
      </c>
      <c r="AA542" s="53"/>
      <c r="AB542" s="155" t="s">
        <v>4626</v>
      </c>
    </row>
    <row r="543" spans="2:28" x14ac:dyDescent="0.2">
      <c r="B543" s="89">
        <v>45950</v>
      </c>
      <c r="D543" s="99" t="s">
        <v>4627</v>
      </c>
      <c r="E543" s="121" t="s">
        <v>3559</v>
      </c>
      <c r="F543" s="85" t="s">
        <v>46</v>
      </c>
      <c r="G543" s="85" t="s">
        <v>12</v>
      </c>
      <c r="H543" s="148" t="s">
        <v>933</v>
      </c>
      <c r="I543" s="142" t="s">
        <v>933</v>
      </c>
      <c r="J543" s="144" t="s">
        <v>933</v>
      </c>
      <c r="K543" s="144" t="s">
        <v>933</v>
      </c>
      <c r="L543" s="95" t="s">
        <v>888</v>
      </c>
      <c r="M543" s="58"/>
      <c r="N543" s="59"/>
      <c r="O543" s="50"/>
      <c r="P543" s="60"/>
      <c r="R543" s="53" t="s">
        <v>764</v>
      </c>
      <c r="S543" s="53" t="s">
        <v>769</v>
      </c>
      <c r="T543" s="53" t="s">
        <v>769</v>
      </c>
      <c r="U543" s="53" t="s">
        <v>741</v>
      </c>
      <c r="V543" s="53" t="s">
        <v>768</v>
      </c>
      <c r="W543" s="53" t="s">
        <v>796</v>
      </c>
      <c r="X543" s="61" t="str">
        <f>IFERROR(IF(W543="","",WORKDAY.INTL(B543,_xlfn.XLOOKUP(W543,Regras!$F$2:$F$11,Regras!$G$2:$G$11))),"")</f>
        <v/>
      </c>
      <c r="Y543" s="150" t="s">
        <v>1237</v>
      </c>
      <c r="Z543" s="53" t="s">
        <v>764</v>
      </c>
      <c r="AA543" s="53"/>
      <c r="AB543" s="150" t="s">
        <v>1237</v>
      </c>
    </row>
    <row r="544" spans="2:28" x14ac:dyDescent="0.2">
      <c r="B544" s="89">
        <v>45950</v>
      </c>
      <c r="D544" s="99" t="s">
        <v>4628</v>
      </c>
      <c r="E544" s="121" t="s">
        <v>4636</v>
      </c>
      <c r="F544" s="85" t="s">
        <v>46</v>
      </c>
      <c r="G544" s="85" t="s">
        <v>12</v>
      </c>
      <c r="H544" s="148" t="s">
        <v>933</v>
      </c>
      <c r="I544" s="142" t="s">
        <v>933</v>
      </c>
      <c r="J544" s="144" t="s">
        <v>933</v>
      </c>
      <c r="K544" s="144" t="s">
        <v>933</v>
      </c>
      <c r="L544" s="95" t="s">
        <v>888</v>
      </c>
      <c r="M544" s="58"/>
      <c r="N544" s="59"/>
      <c r="O544" s="50"/>
      <c r="P544" s="60"/>
      <c r="R544" s="53" t="s">
        <v>764</v>
      </c>
      <c r="S544" s="53" t="s">
        <v>769</v>
      </c>
      <c r="T544" s="53" t="s">
        <v>769</v>
      </c>
      <c r="U544" s="53" t="s">
        <v>741</v>
      </c>
      <c r="V544" s="53" t="s">
        <v>768</v>
      </c>
      <c r="W544" s="53" t="s">
        <v>780</v>
      </c>
      <c r="X544" s="61">
        <f>IFERROR(IF(W544="","",WORKDAY.INTL(B544,_xlfn.XLOOKUP(W544,Regras!$F$2:$F$11,Regras!$G$2:$G$11))),"")</f>
        <v>45952</v>
      </c>
      <c r="Y544" s="150" t="s">
        <v>1238</v>
      </c>
      <c r="Z544" s="53" t="s">
        <v>764</v>
      </c>
      <c r="AA544" s="53"/>
      <c r="AB544" s="155" t="s">
        <v>4637</v>
      </c>
    </row>
    <row r="545" spans="2:28" x14ac:dyDescent="0.2">
      <c r="B545" s="89">
        <v>45950</v>
      </c>
      <c r="D545" s="99" t="s">
        <v>4629</v>
      </c>
      <c r="E545" s="121" t="s">
        <v>1988</v>
      </c>
      <c r="F545" s="85" t="s">
        <v>46</v>
      </c>
      <c r="G545" s="85" t="s">
        <v>12</v>
      </c>
      <c r="H545" s="148" t="s">
        <v>933</v>
      </c>
      <c r="I545" s="142" t="s">
        <v>933</v>
      </c>
      <c r="J545" s="144" t="s">
        <v>933</v>
      </c>
      <c r="K545" s="144" t="s">
        <v>933</v>
      </c>
      <c r="L545" s="95" t="s">
        <v>888</v>
      </c>
      <c r="M545" s="58"/>
      <c r="N545" s="59"/>
      <c r="O545" s="50"/>
      <c r="P545" s="60"/>
      <c r="R545" s="53" t="s">
        <v>764</v>
      </c>
      <c r="S545" s="53" t="s">
        <v>769</v>
      </c>
      <c r="T545" s="53" t="s">
        <v>769</v>
      </c>
      <c r="U545" s="53" t="s">
        <v>741</v>
      </c>
      <c r="V545" s="53" t="s">
        <v>768</v>
      </c>
      <c r="W545" s="53" t="s">
        <v>780</v>
      </c>
      <c r="X545" s="61">
        <f>IFERROR(IF(W545="","",WORKDAY.INTL(B545,_xlfn.XLOOKUP(W545,Regras!$F$2:$F$11,Regras!$G$2:$G$11))),"")</f>
        <v>45952</v>
      </c>
      <c r="Y545" s="150" t="s">
        <v>1238</v>
      </c>
      <c r="Z545" s="53" t="s">
        <v>764</v>
      </c>
      <c r="AA545" s="53"/>
      <c r="AB545" s="155" t="s">
        <v>4637</v>
      </c>
    </row>
    <row r="546" spans="2:28" x14ac:dyDescent="0.2">
      <c r="B546" s="89">
        <v>45950</v>
      </c>
      <c r="D546" s="99" t="s">
        <v>4630</v>
      </c>
      <c r="E546" s="121" t="s">
        <v>3696</v>
      </c>
      <c r="F546" s="85" t="s">
        <v>46</v>
      </c>
      <c r="G546" s="85" t="s">
        <v>12</v>
      </c>
      <c r="H546" s="148" t="s">
        <v>933</v>
      </c>
      <c r="I546" s="142" t="s">
        <v>933</v>
      </c>
      <c r="J546" s="144" t="s">
        <v>933</v>
      </c>
      <c r="K546" s="144" t="s">
        <v>933</v>
      </c>
      <c r="L546" s="95" t="s">
        <v>888</v>
      </c>
      <c r="M546" s="58"/>
      <c r="N546" s="59"/>
      <c r="O546" s="50"/>
      <c r="P546" s="60"/>
      <c r="R546" s="53"/>
      <c r="S546" s="53"/>
      <c r="T546" s="53"/>
      <c r="U546" s="53"/>
      <c r="V546" s="53"/>
      <c r="W546" s="53"/>
      <c r="X546" s="61" t="str">
        <f>IFERROR(IF(W546="","",WORKDAY.INTL(B546,_xlfn.XLOOKUP(W546,Regras!$F$2:$F$11,Regras!$G$2:$G$11))),"")</f>
        <v/>
      </c>
      <c r="Y546" s="150"/>
      <c r="Z546" s="53"/>
      <c r="AA546" s="53"/>
    </row>
    <row r="547" spans="2:28" x14ac:dyDescent="0.2">
      <c r="B547" s="89">
        <v>45950</v>
      </c>
      <c r="D547" s="99" t="s">
        <v>4631</v>
      </c>
      <c r="E547" s="121" t="s">
        <v>1947</v>
      </c>
      <c r="F547" s="85" t="s">
        <v>46</v>
      </c>
      <c r="G547" s="85" t="s">
        <v>12</v>
      </c>
      <c r="H547" s="148" t="s">
        <v>933</v>
      </c>
      <c r="I547" s="142" t="s">
        <v>933</v>
      </c>
      <c r="J547" s="144" t="s">
        <v>933</v>
      </c>
      <c r="K547" s="144" t="s">
        <v>933</v>
      </c>
      <c r="L547" s="95" t="s">
        <v>888</v>
      </c>
      <c r="M547" s="58"/>
      <c r="N547" s="59"/>
      <c r="O547" s="50"/>
      <c r="P547" s="60"/>
      <c r="R547" s="53" t="s">
        <v>764</v>
      </c>
      <c r="S547" s="53" t="s">
        <v>769</v>
      </c>
      <c r="T547" s="53" t="s">
        <v>769</v>
      </c>
      <c r="U547" s="53" t="s">
        <v>741</v>
      </c>
      <c r="V547" s="53" t="s">
        <v>768</v>
      </c>
      <c r="W547" s="53" t="s">
        <v>1053</v>
      </c>
      <c r="X547" s="61">
        <f>IFERROR(IF(W547="","",WORKDAY.INTL(B547,_xlfn.XLOOKUP(W547,Regras!$F$2:$F$11,Regras!$G$2:$G$11))),"")</f>
        <v>45959</v>
      </c>
      <c r="Y547" s="150" t="s">
        <v>4638</v>
      </c>
      <c r="Z547" s="53" t="s">
        <v>764</v>
      </c>
      <c r="AA547" s="53"/>
      <c r="AB547" s="155" t="s">
        <v>4639</v>
      </c>
    </row>
    <row r="548" spans="2:28" x14ac:dyDescent="0.2">
      <c r="B548" s="89">
        <v>45950</v>
      </c>
      <c r="D548" s="99" t="s">
        <v>4632</v>
      </c>
      <c r="E548" s="121" t="s">
        <v>2877</v>
      </c>
      <c r="F548" s="85" t="s">
        <v>46</v>
      </c>
      <c r="G548" s="85" t="s">
        <v>12</v>
      </c>
      <c r="H548" s="148" t="s">
        <v>933</v>
      </c>
      <c r="I548" s="142" t="s">
        <v>933</v>
      </c>
      <c r="J548" s="144" t="s">
        <v>933</v>
      </c>
      <c r="K548" s="144" t="s">
        <v>933</v>
      </c>
      <c r="L548" s="95" t="s">
        <v>888</v>
      </c>
      <c r="M548" s="58"/>
      <c r="N548" s="59"/>
      <c r="O548" s="50"/>
      <c r="P548" s="60"/>
      <c r="R548" s="53" t="s">
        <v>764</v>
      </c>
      <c r="S548" s="53" t="s">
        <v>769</v>
      </c>
      <c r="T548" s="53" t="s">
        <v>769</v>
      </c>
      <c r="U548" s="53" t="s">
        <v>741</v>
      </c>
      <c r="V548" s="53" t="s">
        <v>768</v>
      </c>
      <c r="W548" s="53" t="s">
        <v>780</v>
      </c>
      <c r="X548" s="61">
        <f>IFERROR(IF(W548="","",WORKDAY.INTL(B548,_xlfn.XLOOKUP(W548,Regras!$F$2:$F$11,Regras!$G$2:$G$11))),"")</f>
        <v>45952</v>
      </c>
      <c r="Y548" s="150" t="s">
        <v>4640</v>
      </c>
      <c r="Z548" s="53" t="s">
        <v>764</v>
      </c>
      <c r="AA548" s="53"/>
      <c r="AB548" s="155" t="s">
        <v>4637</v>
      </c>
    </row>
    <row r="549" spans="2:28" x14ac:dyDescent="0.2">
      <c r="B549" s="89">
        <v>45950</v>
      </c>
      <c r="D549" s="99" t="s">
        <v>4633</v>
      </c>
      <c r="E549" s="121" t="s">
        <v>4070</v>
      </c>
      <c r="F549" s="85" t="s">
        <v>46</v>
      </c>
      <c r="G549" s="85" t="s">
        <v>12</v>
      </c>
      <c r="H549" s="148" t="s">
        <v>933</v>
      </c>
      <c r="I549" s="142" t="s">
        <v>933</v>
      </c>
      <c r="J549" s="144" t="s">
        <v>933</v>
      </c>
      <c r="K549" s="144" t="s">
        <v>933</v>
      </c>
      <c r="L549" s="95" t="s">
        <v>888</v>
      </c>
      <c r="M549" s="58"/>
      <c r="N549" s="59"/>
      <c r="O549" s="50"/>
      <c r="P549" s="60"/>
      <c r="R549" s="53" t="s">
        <v>764</v>
      </c>
      <c r="S549" s="53" t="s">
        <v>769</v>
      </c>
      <c r="T549" s="53" t="s">
        <v>769</v>
      </c>
      <c r="U549" s="53" t="s">
        <v>741</v>
      </c>
      <c r="V549" s="53" t="s">
        <v>768</v>
      </c>
      <c r="W549" s="53" t="s">
        <v>780</v>
      </c>
      <c r="X549" s="61">
        <f>IFERROR(IF(W549="","",WORKDAY.INTL(B549,_xlfn.XLOOKUP(W549,Regras!$F$2:$F$11,Regras!$G$2:$G$11))),"")</f>
        <v>45952</v>
      </c>
      <c r="Y549" s="150" t="s">
        <v>4640</v>
      </c>
      <c r="Z549" s="53" t="s">
        <v>764</v>
      </c>
      <c r="AA549" s="53"/>
      <c r="AB549" s="155" t="s">
        <v>4637</v>
      </c>
    </row>
    <row r="550" spans="2:28" x14ac:dyDescent="0.2">
      <c r="B550" s="89">
        <v>45950</v>
      </c>
      <c r="D550" s="99" t="s">
        <v>4634</v>
      </c>
      <c r="E550" s="121" t="s">
        <v>2420</v>
      </c>
      <c r="F550" s="85" t="s">
        <v>46</v>
      </c>
      <c r="G550" s="85" t="s">
        <v>12</v>
      </c>
      <c r="H550" s="148" t="s">
        <v>933</v>
      </c>
      <c r="I550" s="142" t="s">
        <v>933</v>
      </c>
      <c r="J550" s="144" t="s">
        <v>933</v>
      </c>
      <c r="K550" s="144" t="s">
        <v>933</v>
      </c>
      <c r="L550" s="95" t="s">
        <v>888</v>
      </c>
      <c r="M550" s="58"/>
      <c r="N550" s="59"/>
      <c r="O550" s="50"/>
      <c r="P550" s="60"/>
      <c r="R550" s="53" t="s">
        <v>764</v>
      </c>
      <c r="S550" s="53" t="s">
        <v>769</v>
      </c>
      <c r="T550" s="53" t="s">
        <v>769</v>
      </c>
      <c r="U550" s="53" t="s">
        <v>741</v>
      </c>
      <c r="V550" s="53" t="s">
        <v>768</v>
      </c>
      <c r="W550" s="53" t="s">
        <v>780</v>
      </c>
      <c r="X550" s="61">
        <f>IFERROR(IF(W550="","",WORKDAY.INTL(B550,_xlfn.XLOOKUP(W550,Regras!$F$2:$F$11,Regras!$G$2:$G$11))),"")</f>
        <v>45952</v>
      </c>
      <c r="Y550" s="150" t="s">
        <v>4640</v>
      </c>
      <c r="Z550" s="53" t="s">
        <v>764</v>
      </c>
      <c r="AA550" s="53"/>
      <c r="AB550" s="155" t="s">
        <v>4637</v>
      </c>
    </row>
    <row r="551" spans="2:28" x14ac:dyDescent="0.2">
      <c r="B551" s="89">
        <v>45950</v>
      </c>
      <c r="D551" s="99" t="s">
        <v>4627</v>
      </c>
      <c r="E551" s="121" t="s">
        <v>3559</v>
      </c>
      <c r="F551" s="85" t="s">
        <v>46</v>
      </c>
      <c r="G551" s="85" t="s">
        <v>12</v>
      </c>
      <c r="H551" s="148" t="s">
        <v>933</v>
      </c>
      <c r="I551" s="142" t="s">
        <v>933</v>
      </c>
      <c r="J551" s="144" t="s">
        <v>933</v>
      </c>
      <c r="K551" s="144" t="s">
        <v>933</v>
      </c>
      <c r="L551" s="95" t="s">
        <v>888</v>
      </c>
      <c r="M551" s="58"/>
      <c r="N551" s="59"/>
      <c r="O551" s="50"/>
      <c r="P551" s="60"/>
      <c r="R551" s="53" t="s">
        <v>764</v>
      </c>
      <c r="S551" s="53" t="s">
        <v>769</v>
      </c>
      <c r="T551" s="53" t="s">
        <v>769</v>
      </c>
      <c r="U551" s="53" t="s">
        <v>741</v>
      </c>
      <c r="V551" s="53" t="s">
        <v>768</v>
      </c>
      <c r="W551" s="53" t="s">
        <v>796</v>
      </c>
      <c r="X551" s="61" t="str">
        <f>IFERROR(IF(W551="","",WORKDAY.INTL(B551,_xlfn.XLOOKUP(W551,Regras!$F$2:$F$11,Regras!$G$2:$G$11))),"")</f>
        <v/>
      </c>
      <c r="Y551" s="150" t="s">
        <v>1237</v>
      </c>
      <c r="Z551" s="53" t="s">
        <v>764</v>
      </c>
      <c r="AA551" s="53"/>
      <c r="AB551" s="150" t="s">
        <v>1237</v>
      </c>
    </row>
    <row r="552" spans="2:28" x14ac:dyDescent="0.2">
      <c r="B552" s="89">
        <v>45950</v>
      </c>
      <c r="D552" s="99" t="s">
        <v>4635</v>
      </c>
      <c r="E552" s="121" t="s">
        <v>2196</v>
      </c>
      <c r="F552" s="85" t="s">
        <v>46</v>
      </c>
      <c r="G552" s="85" t="s">
        <v>12</v>
      </c>
      <c r="H552" s="148" t="s">
        <v>933</v>
      </c>
      <c r="I552" s="142" t="s">
        <v>933</v>
      </c>
      <c r="J552" s="144" t="s">
        <v>933</v>
      </c>
      <c r="K552" s="144" t="s">
        <v>933</v>
      </c>
      <c r="L552" s="95" t="s">
        <v>888</v>
      </c>
      <c r="M552" s="58"/>
      <c r="N552" s="59"/>
      <c r="O552" s="50"/>
      <c r="P552" s="60"/>
      <c r="R552" s="53" t="s">
        <v>764</v>
      </c>
      <c r="S552" s="53" t="s">
        <v>769</v>
      </c>
      <c r="T552" s="53" t="s">
        <v>769</v>
      </c>
      <c r="U552" s="53" t="s">
        <v>741</v>
      </c>
      <c r="V552" s="53" t="s">
        <v>768</v>
      </c>
      <c r="W552" s="53" t="s">
        <v>780</v>
      </c>
      <c r="X552" s="61">
        <f>IFERROR(IF(W552="","",WORKDAY.INTL(B552,_xlfn.XLOOKUP(W552,Regras!$F$2:$F$11,Regras!$G$2:$G$11))),"")</f>
        <v>45952</v>
      </c>
      <c r="Y552" s="150" t="s">
        <v>4640</v>
      </c>
      <c r="Z552" s="53" t="s">
        <v>764</v>
      </c>
      <c r="AA552" s="53"/>
      <c r="AB552" s="155" t="s">
        <v>4637</v>
      </c>
    </row>
    <row r="553" spans="2:28" x14ac:dyDescent="0.2">
      <c r="B553" s="89">
        <v>45951</v>
      </c>
      <c r="D553" s="99" t="s">
        <v>1271</v>
      </c>
      <c r="E553" s="121" t="s">
        <v>1281</v>
      </c>
      <c r="F553" s="85" t="s">
        <v>22</v>
      </c>
      <c r="G553" s="85" t="s">
        <v>12</v>
      </c>
      <c r="H553" s="148" t="s">
        <v>933</v>
      </c>
      <c r="I553" s="142" t="s">
        <v>933</v>
      </c>
      <c r="J553" s="144" t="s">
        <v>933</v>
      </c>
      <c r="K553" s="144" t="s">
        <v>933</v>
      </c>
      <c r="L553" s="95" t="s">
        <v>888</v>
      </c>
      <c r="M553" s="58"/>
      <c r="N553" s="59"/>
      <c r="O553" s="50"/>
      <c r="P553" s="60"/>
      <c r="R553" s="53" t="s">
        <v>764</v>
      </c>
      <c r="S553" s="53" t="s">
        <v>769</v>
      </c>
      <c r="T553" s="53" t="s">
        <v>769</v>
      </c>
      <c r="U553" s="53" t="s">
        <v>741</v>
      </c>
      <c r="V553" s="53" t="s">
        <v>768</v>
      </c>
      <c r="W553" s="53" t="s">
        <v>1054</v>
      </c>
      <c r="X553" s="61">
        <f>IFERROR(IF(W553="","",WORKDAY.INTL(B553,_xlfn.XLOOKUP(W553,Regras!$F$2:$F$11,Regras!$G$2:$G$11))),"")</f>
        <v>45972</v>
      </c>
      <c r="Y553" s="150" t="s">
        <v>4641</v>
      </c>
      <c r="Z553" s="53" t="s">
        <v>764</v>
      </c>
      <c r="AA553" s="53"/>
      <c r="AB553" s="155" t="s">
        <v>4642</v>
      </c>
    </row>
    <row r="554" spans="2:28" x14ac:dyDescent="0.2">
      <c r="B554" s="89">
        <v>45951</v>
      </c>
      <c r="D554" s="99" t="s">
        <v>1272</v>
      </c>
      <c r="E554" s="121" t="s">
        <v>1282</v>
      </c>
      <c r="F554" s="85" t="s">
        <v>22</v>
      </c>
      <c r="G554" s="85" t="s">
        <v>12</v>
      </c>
      <c r="H554" s="148" t="s">
        <v>933</v>
      </c>
      <c r="I554" s="142" t="s">
        <v>933</v>
      </c>
      <c r="J554" s="144" t="s">
        <v>933</v>
      </c>
      <c r="K554" s="144" t="s">
        <v>933</v>
      </c>
      <c r="L554" s="95" t="s">
        <v>888</v>
      </c>
      <c r="M554" s="58"/>
      <c r="N554" s="59"/>
      <c r="O554" s="50"/>
      <c r="P554" s="60"/>
      <c r="R554" s="53" t="s">
        <v>764</v>
      </c>
      <c r="S554" s="53" t="s">
        <v>769</v>
      </c>
      <c r="T554" s="53" t="s">
        <v>769</v>
      </c>
      <c r="U554" s="53" t="s">
        <v>741</v>
      </c>
      <c r="V554" s="53" t="s">
        <v>768</v>
      </c>
      <c r="W554" s="53" t="s">
        <v>780</v>
      </c>
      <c r="X554" s="61">
        <f>IFERROR(IF(W554="","",WORKDAY.INTL(B554,_xlfn.XLOOKUP(W554,Regras!$F$2:$F$11,Regras!$G$2:$G$11))),"")</f>
        <v>45953</v>
      </c>
      <c r="Y554" s="150" t="s">
        <v>4599</v>
      </c>
      <c r="Z554" s="53" t="s">
        <v>764</v>
      </c>
      <c r="AA554" s="53"/>
      <c r="AB554" s="150" t="s">
        <v>4599</v>
      </c>
    </row>
    <row r="555" spans="2:28" x14ac:dyDescent="0.2">
      <c r="B555" s="89">
        <v>45951</v>
      </c>
      <c r="D555" s="99" t="s">
        <v>1273</v>
      </c>
      <c r="E555" s="121" t="s">
        <v>1283</v>
      </c>
      <c r="F555" s="85" t="s">
        <v>22</v>
      </c>
      <c r="G555" s="85" t="s">
        <v>12</v>
      </c>
      <c r="H555" s="148" t="s">
        <v>933</v>
      </c>
      <c r="I555" s="142" t="s">
        <v>933</v>
      </c>
      <c r="J555" s="144" t="s">
        <v>933</v>
      </c>
      <c r="K555" s="144" t="s">
        <v>933</v>
      </c>
      <c r="L555" s="95" t="s">
        <v>888</v>
      </c>
      <c r="M555" s="58"/>
      <c r="N555" s="59"/>
      <c r="O555" s="50"/>
      <c r="P555" s="60"/>
      <c r="R555" s="53" t="s">
        <v>764</v>
      </c>
      <c r="S555" s="53" t="s">
        <v>769</v>
      </c>
      <c r="T555" s="53" t="s">
        <v>769</v>
      </c>
      <c r="U555" s="53" t="s">
        <v>741</v>
      </c>
      <c r="V555" s="53" t="s">
        <v>768</v>
      </c>
      <c r="W555" s="53" t="s">
        <v>1054</v>
      </c>
      <c r="X555" s="61">
        <f>IFERROR(IF(W555="","",WORKDAY.INTL(B555,_xlfn.XLOOKUP(W555,Regras!$F$2:$F$11,Regras!$G$2:$G$11))),"")</f>
        <v>45972</v>
      </c>
      <c r="Y555" s="150" t="s">
        <v>4643</v>
      </c>
      <c r="Z555" s="53" t="s">
        <v>764</v>
      </c>
      <c r="AA555" s="53"/>
      <c r="AB555" s="150" t="s">
        <v>4643</v>
      </c>
    </row>
    <row r="556" spans="2:28" x14ac:dyDescent="0.2">
      <c r="B556" s="89">
        <v>45951</v>
      </c>
      <c r="D556" s="99" t="s">
        <v>1313</v>
      </c>
      <c r="E556" s="121" t="s">
        <v>1326</v>
      </c>
      <c r="F556" s="85" t="s">
        <v>22</v>
      </c>
      <c r="G556" s="85" t="s">
        <v>12</v>
      </c>
      <c r="H556" s="148" t="s">
        <v>933</v>
      </c>
      <c r="I556" s="142" t="s">
        <v>933</v>
      </c>
      <c r="J556" s="144" t="s">
        <v>933</v>
      </c>
      <c r="K556" s="144" t="s">
        <v>933</v>
      </c>
      <c r="L556" s="95" t="s">
        <v>888</v>
      </c>
      <c r="M556" s="58"/>
      <c r="N556" s="59"/>
      <c r="O556" s="50"/>
      <c r="P556" s="60"/>
      <c r="R556" s="53" t="s">
        <v>764</v>
      </c>
      <c r="S556" s="53" t="s">
        <v>769</v>
      </c>
      <c r="T556" s="53" t="s">
        <v>769</v>
      </c>
      <c r="U556" s="53" t="s">
        <v>741</v>
      </c>
      <c r="V556" s="53" t="s">
        <v>768</v>
      </c>
      <c r="W556" s="53" t="s">
        <v>1054</v>
      </c>
      <c r="X556" s="61">
        <f>IFERROR(IF(W556="","",WORKDAY.INTL(B556,_xlfn.XLOOKUP(W556,Regras!$F$2:$F$11,Regras!$G$2:$G$11))),"")</f>
        <v>45972</v>
      </c>
      <c r="Y556" s="150" t="s">
        <v>4643</v>
      </c>
      <c r="Z556" s="53" t="s">
        <v>764</v>
      </c>
      <c r="AA556" s="53"/>
      <c r="AB556" s="150" t="s">
        <v>4643</v>
      </c>
    </row>
    <row r="557" spans="2:28" x14ac:dyDescent="0.2">
      <c r="B557" s="89">
        <v>45951</v>
      </c>
      <c r="D557" s="99" t="s">
        <v>331</v>
      </c>
      <c r="E557" s="121" t="s">
        <v>332</v>
      </c>
      <c r="F557" s="85" t="s">
        <v>17</v>
      </c>
      <c r="G557" s="85" t="s">
        <v>12</v>
      </c>
      <c r="H557" s="148" t="s">
        <v>333</v>
      </c>
      <c r="I557" s="142">
        <v>859.97</v>
      </c>
      <c r="J557" s="144">
        <v>71</v>
      </c>
      <c r="K557" s="144">
        <v>125</v>
      </c>
      <c r="L557" s="158" t="s">
        <v>741</v>
      </c>
      <c r="M557" s="58"/>
      <c r="N557" s="59"/>
      <c r="O557" s="50"/>
      <c r="P557" s="60"/>
      <c r="R557" s="53" t="s">
        <v>764</v>
      </c>
      <c r="S557" s="53" t="s">
        <v>769</v>
      </c>
      <c r="T557" s="53" t="s">
        <v>769</v>
      </c>
      <c r="U557" s="53" t="s">
        <v>741</v>
      </c>
      <c r="V557" s="53" t="s">
        <v>768</v>
      </c>
      <c r="W557" s="53" t="s">
        <v>780</v>
      </c>
      <c r="X557" s="61">
        <f>IFERROR(IF(W557="","",WORKDAY.INTL(B557,_xlfn.XLOOKUP(W557,Regras!$F$2:$F$11,Regras!$G$2:$G$11))),"")</f>
        <v>45953</v>
      </c>
      <c r="Y557" s="150" t="s">
        <v>4644</v>
      </c>
      <c r="Z557" s="53" t="s">
        <v>764</v>
      </c>
      <c r="AA557" s="53"/>
      <c r="AB557" s="155" t="s">
        <v>4645</v>
      </c>
    </row>
    <row r="558" spans="2:28" x14ac:dyDescent="0.2">
      <c r="B558" s="89">
        <v>45951</v>
      </c>
      <c r="D558" s="99" t="s">
        <v>4646</v>
      </c>
      <c r="E558" s="121" t="s">
        <v>1718</v>
      </c>
      <c r="F558" s="85" t="s">
        <v>46</v>
      </c>
      <c r="G558" s="85" t="s">
        <v>12</v>
      </c>
      <c r="H558" s="148"/>
      <c r="I558" s="142"/>
      <c r="J558" s="144"/>
      <c r="K558" s="144"/>
      <c r="L558" s="95" t="s">
        <v>888</v>
      </c>
      <c r="M558" s="58"/>
      <c r="N558" s="59"/>
      <c r="O558" s="50"/>
      <c r="P558" s="60"/>
      <c r="R558" s="53" t="s">
        <v>764</v>
      </c>
      <c r="S558" s="53" t="s">
        <v>769</v>
      </c>
      <c r="T558" s="53" t="s">
        <v>769</v>
      </c>
      <c r="U558" s="53" t="s">
        <v>741</v>
      </c>
      <c r="V558" s="53" t="s">
        <v>768</v>
      </c>
      <c r="W558" s="53" t="s">
        <v>780</v>
      </c>
      <c r="X558" s="61">
        <f>IFERROR(IF(W558="","",WORKDAY.INTL(B558,_xlfn.XLOOKUP(W558,Regras!$F$2:$F$11,Regras!$G$2:$G$11))),"")</f>
        <v>45953</v>
      </c>
      <c r="Y558" s="150" t="s">
        <v>1238</v>
      </c>
      <c r="Z558" s="53" t="s">
        <v>764</v>
      </c>
      <c r="AA558" s="53"/>
      <c r="AB558" s="155" t="s">
        <v>4656</v>
      </c>
    </row>
    <row r="559" spans="2:28" x14ac:dyDescent="0.2">
      <c r="B559" s="89">
        <v>45951</v>
      </c>
      <c r="D559" s="99" t="s">
        <v>4647</v>
      </c>
      <c r="E559" s="121" t="s">
        <v>1648</v>
      </c>
      <c r="F559" s="85" t="s">
        <v>46</v>
      </c>
      <c r="G559" s="85" t="s">
        <v>12</v>
      </c>
      <c r="H559" s="148"/>
      <c r="I559" s="142"/>
      <c r="J559" s="144"/>
      <c r="K559" s="144"/>
      <c r="L559" s="95" t="s">
        <v>888</v>
      </c>
      <c r="M559" s="58"/>
      <c r="N559" s="59"/>
      <c r="O559" s="50"/>
      <c r="P559" s="60"/>
      <c r="R559" s="53" t="s">
        <v>764</v>
      </c>
      <c r="S559" s="53" t="s">
        <v>769</v>
      </c>
      <c r="T559" s="53" t="s">
        <v>769</v>
      </c>
      <c r="U559" s="53" t="s">
        <v>741</v>
      </c>
      <c r="V559" s="53" t="s">
        <v>768</v>
      </c>
      <c r="W559" s="53" t="s">
        <v>780</v>
      </c>
      <c r="X559" s="61">
        <f>IFERROR(IF(W559="","",WORKDAY.INTL(B559,_xlfn.XLOOKUP(W559,Regras!$F$2:$F$11,Regras!$G$2:$G$11))),"")</f>
        <v>45953</v>
      </c>
      <c r="Y559" s="150" t="s">
        <v>1238</v>
      </c>
      <c r="Z559" s="53" t="s">
        <v>764</v>
      </c>
      <c r="AA559" s="53"/>
      <c r="AB559" s="155" t="s">
        <v>4656</v>
      </c>
    </row>
    <row r="560" spans="2:28" x14ac:dyDescent="0.2">
      <c r="B560" s="89">
        <v>45951</v>
      </c>
      <c r="D560" s="99" t="s">
        <v>4648</v>
      </c>
      <c r="E560" s="121" t="s">
        <v>3345</v>
      </c>
      <c r="F560" s="85" t="s">
        <v>46</v>
      </c>
      <c r="G560" s="85" t="s">
        <v>12</v>
      </c>
      <c r="H560" s="148"/>
      <c r="I560" s="142"/>
      <c r="J560" s="144"/>
      <c r="K560" s="144"/>
      <c r="L560" s="95" t="s">
        <v>888</v>
      </c>
      <c r="M560" s="58"/>
      <c r="N560" s="59"/>
      <c r="O560" s="50"/>
      <c r="P560" s="60"/>
      <c r="R560" s="53" t="s">
        <v>764</v>
      </c>
      <c r="S560" s="53" t="s">
        <v>769</v>
      </c>
      <c r="T560" s="53" t="s">
        <v>769</v>
      </c>
      <c r="U560" s="53" t="s">
        <v>741</v>
      </c>
      <c r="V560" s="53" t="s">
        <v>768</v>
      </c>
      <c r="W560" s="53" t="s">
        <v>780</v>
      </c>
      <c r="X560" s="61">
        <f>IFERROR(IF(W560="","",WORKDAY.INTL(B560,_xlfn.XLOOKUP(W560,Regras!$F$2:$F$11,Regras!$G$2:$G$11))),"")</f>
        <v>45953</v>
      </c>
      <c r="Y560" s="150" t="s">
        <v>1238</v>
      </c>
      <c r="Z560" s="53" t="s">
        <v>764</v>
      </c>
      <c r="AA560" s="53"/>
      <c r="AB560" s="155" t="s">
        <v>4656</v>
      </c>
    </row>
    <row r="561" spans="2:28" x14ac:dyDescent="0.2">
      <c r="B561" s="89">
        <v>45951</v>
      </c>
      <c r="D561" s="99" t="s">
        <v>4649</v>
      </c>
      <c r="E561" s="121" t="s">
        <v>2728</v>
      </c>
      <c r="F561" s="85" t="s">
        <v>46</v>
      </c>
      <c r="G561" s="85" t="s">
        <v>12</v>
      </c>
      <c r="H561" s="148"/>
      <c r="I561" s="142"/>
      <c r="J561" s="144"/>
      <c r="K561" s="144"/>
      <c r="L561" s="95" t="s">
        <v>888</v>
      </c>
      <c r="M561" s="58"/>
      <c r="N561" s="59"/>
      <c r="O561" s="50"/>
      <c r="P561" s="60"/>
      <c r="R561" s="53" t="s">
        <v>764</v>
      </c>
      <c r="S561" s="53" t="s">
        <v>769</v>
      </c>
      <c r="T561" s="53" t="s">
        <v>769</v>
      </c>
      <c r="U561" s="53" t="s">
        <v>741</v>
      </c>
      <c r="V561" s="53" t="s">
        <v>768</v>
      </c>
      <c r="W561" s="53" t="s">
        <v>780</v>
      </c>
      <c r="X561" s="61">
        <f>IFERROR(IF(W561="","",WORKDAY.INTL(B561,_xlfn.XLOOKUP(W561,Regras!$F$2:$F$11,Regras!$G$2:$G$11))),"")</f>
        <v>45953</v>
      </c>
      <c r="Y561" s="150" t="s">
        <v>1238</v>
      </c>
      <c r="Z561" s="53" t="s">
        <v>764</v>
      </c>
      <c r="AA561" s="53"/>
      <c r="AB561" s="155" t="s">
        <v>4656</v>
      </c>
    </row>
    <row r="562" spans="2:28" x14ac:dyDescent="0.2">
      <c r="B562" s="89">
        <v>45951</v>
      </c>
      <c r="D562" s="99" t="s">
        <v>4650</v>
      </c>
      <c r="E562" s="121" t="s">
        <v>2382</v>
      </c>
      <c r="F562" s="85" t="s">
        <v>46</v>
      </c>
      <c r="G562" s="85" t="s">
        <v>12</v>
      </c>
      <c r="H562" s="148"/>
      <c r="I562" s="142"/>
      <c r="J562" s="144"/>
      <c r="K562" s="144"/>
      <c r="L562" s="95" t="s">
        <v>888</v>
      </c>
      <c r="M562" s="58"/>
      <c r="N562" s="59"/>
      <c r="O562" s="50"/>
      <c r="P562" s="60"/>
      <c r="R562" s="53" t="s">
        <v>764</v>
      </c>
      <c r="S562" s="53" t="s">
        <v>769</v>
      </c>
      <c r="T562" s="53" t="s">
        <v>769</v>
      </c>
      <c r="U562" s="53" t="s">
        <v>741</v>
      </c>
      <c r="V562" s="53" t="s">
        <v>768</v>
      </c>
      <c r="W562" s="53" t="s">
        <v>780</v>
      </c>
      <c r="X562" s="61">
        <f>IFERROR(IF(W562="","",WORKDAY.INTL(B562,_xlfn.XLOOKUP(W562,Regras!$F$2:$F$11,Regras!$G$2:$G$11))),"")</f>
        <v>45953</v>
      </c>
      <c r="Y562" s="150" t="s">
        <v>1238</v>
      </c>
      <c r="Z562" s="53" t="s">
        <v>764</v>
      </c>
      <c r="AA562" s="53"/>
      <c r="AB562" s="155" t="s">
        <v>4656</v>
      </c>
    </row>
    <row r="563" spans="2:28" x14ac:dyDescent="0.2">
      <c r="B563" s="89">
        <v>45951</v>
      </c>
      <c r="D563" s="99" t="s">
        <v>4651</v>
      </c>
      <c r="E563" s="121" t="s">
        <v>2528</v>
      </c>
      <c r="F563" s="85" t="s">
        <v>46</v>
      </c>
      <c r="G563" s="85" t="s">
        <v>12</v>
      </c>
      <c r="H563" s="148"/>
      <c r="I563" s="142"/>
      <c r="J563" s="144"/>
      <c r="K563" s="144"/>
      <c r="L563" s="95" t="s">
        <v>888</v>
      </c>
      <c r="M563" s="58"/>
      <c r="N563" s="59"/>
      <c r="O563" s="50"/>
      <c r="P563" s="60"/>
      <c r="R563" s="53" t="s">
        <v>764</v>
      </c>
      <c r="S563" s="53" t="s">
        <v>769</v>
      </c>
      <c r="T563" s="53" t="s">
        <v>769</v>
      </c>
      <c r="U563" s="53" t="s">
        <v>741</v>
      </c>
      <c r="V563" s="53" t="s">
        <v>768</v>
      </c>
      <c r="W563" s="53" t="s">
        <v>780</v>
      </c>
      <c r="X563" s="61">
        <f>IFERROR(IF(W563="","",WORKDAY.INTL(B563,_xlfn.XLOOKUP(W563,Regras!$F$2:$F$11,Regras!$G$2:$G$11))),"")</f>
        <v>45953</v>
      </c>
      <c r="Y563" s="150" t="s">
        <v>1238</v>
      </c>
      <c r="Z563" s="53" t="s">
        <v>764</v>
      </c>
      <c r="AA563" s="53"/>
      <c r="AB563" s="155" t="s">
        <v>4657</v>
      </c>
    </row>
    <row r="564" spans="2:28" x14ac:dyDescent="0.2">
      <c r="B564" s="89">
        <v>45951</v>
      </c>
      <c r="D564" s="99" t="s">
        <v>4652</v>
      </c>
      <c r="E564" s="121" t="s">
        <v>2104</v>
      </c>
      <c r="F564" s="85" t="s">
        <v>46</v>
      </c>
      <c r="G564" s="85" t="s">
        <v>12</v>
      </c>
      <c r="H564" s="148"/>
      <c r="I564" s="142"/>
      <c r="J564" s="144"/>
      <c r="K564" s="144"/>
      <c r="L564" s="95" t="s">
        <v>888</v>
      </c>
      <c r="M564" s="58"/>
      <c r="N564" s="59"/>
      <c r="O564" s="50"/>
      <c r="P564" s="60"/>
      <c r="R564" s="53" t="s">
        <v>764</v>
      </c>
      <c r="S564" s="53" t="s">
        <v>769</v>
      </c>
      <c r="T564" s="53" t="s">
        <v>769</v>
      </c>
      <c r="U564" s="53" t="s">
        <v>741</v>
      </c>
      <c r="V564" s="53" t="s">
        <v>768</v>
      </c>
      <c r="W564" s="53" t="s">
        <v>780</v>
      </c>
      <c r="X564" s="61">
        <f>IFERROR(IF(W564="","",WORKDAY.INTL(B564,_xlfn.XLOOKUP(W564,Regras!$F$2:$F$11,Regras!$G$2:$G$11))),"")</f>
        <v>45953</v>
      </c>
      <c r="Y564" s="150" t="s">
        <v>1238</v>
      </c>
      <c r="Z564" s="53" t="s">
        <v>764</v>
      </c>
      <c r="AA564" s="53"/>
      <c r="AB564" s="155" t="s">
        <v>4657</v>
      </c>
    </row>
    <row r="565" spans="2:28" x14ac:dyDescent="0.2">
      <c r="B565" s="89">
        <v>45951</v>
      </c>
      <c r="D565" s="99" t="s">
        <v>4653</v>
      </c>
      <c r="E565" s="121" t="s">
        <v>3334</v>
      </c>
      <c r="F565" s="85" t="s">
        <v>46</v>
      </c>
      <c r="G565" s="85" t="s">
        <v>12</v>
      </c>
      <c r="H565" s="148"/>
      <c r="I565" s="142"/>
      <c r="J565" s="144"/>
      <c r="K565" s="144"/>
      <c r="L565" s="95" t="s">
        <v>888</v>
      </c>
      <c r="M565" s="58"/>
      <c r="N565" s="59"/>
      <c r="O565" s="50"/>
      <c r="P565" s="60"/>
      <c r="R565" s="53" t="s">
        <v>764</v>
      </c>
      <c r="S565" s="53" t="s">
        <v>769</v>
      </c>
      <c r="T565" s="53" t="s">
        <v>769</v>
      </c>
      <c r="U565" s="53" t="s">
        <v>741</v>
      </c>
      <c r="V565" s="53" t="s">
        <v>768</v>
      </c>
      <c r="W565" s="53" t="s">
        <v>780</v>
      </c>
      <c r="X565" s="61">
        <f>IFERROR(IF(W565="","",WORKDAY.INTL(B565,_xlfn.XLOOKUP(W565,Regras!$F$2:$F$11,Regras!$G$2:$G$11))),"")</f>
        <v>45953</v>
      </c>
      <c r="Y565" s="150" t="s">
        <v>1238</v>
      </c>
      <c r="Z565" s="53" t="s">
        <v>764</v>
      </c>
      <c r="AA565" s="53"/>
      <c r="AB565" s="155" t="s">
        <v>4657</v>
      </c>
    </row>
    <row r="566" spans="2:28" x14ac:dyDescent="0.2">
      <c r="B566" s="89">
        <v>45951</v>
      </c>
      <c r="D566" s="99" t="s">
        <v>4654</v>
      </c>
      <c r="E566" s="121" t="s">
        <v>3872</v>
      </c>
      <c r="F566" s="85" t="s">
        <v>46</v>
      </c>
      <c r="G566" s="85" t="s">
        <v>12</v>
      </c>
      <c r="H566" s="148"/>
      <c r="I566" s="142"/>
      <c r="J566" s="144"/>
      <c r="K566" s="144"/>
      <c r="L566" s="95" t="s">
        <v>888</v>
      </c>
      <c r="M566" s="58"/>
      <c r="N566" s="59"/>
      <c r="O566" s="50"/>
      <c r="P566" s="60"/>
      <c r="R566" s="53" t="s">
        <v>764</v>
      </c>
      <c r="S566" s="53" t="s">
        <v>769</v>
      </c>
      <c r="T566" s="53" t="s">
        <v>769</v>
      </c>
      <c r="U566" s="53" t="s">
        <v>741</v>
      </c>
      <c r="V566" s="53" t="s">
        <v>768</v>
      </c>
      <c r="W566" s="53" t="s">
        <v>780</v>
      </c>
      <c r="X566" s="61">
        <f>IFERROR(IF(W566="","",WORKDAY.INTL(B566,_xlfn.XLOOKUP(W566,Regras!$F$2:$F$11,Regras!$G$2:$G$11))),"")</f>
        <v>45953</v>
      </c>
      <c r="Y566" s="150" t="s">
        <v>1238</v>
      </c>
      <c r="Z566" s="53" t="s">
        <v>764</v>
      </c>
      <c r="AA566" s="53"/>
      <c r="AB566" s="155" t="s">
        <v>4657</v>
      </c>
    </row>
    <row r="567" spans="2:28" x14ac:dyDescent="0.2">
      <c r="B567" s="89">
        <v>45951</v>
      </c>
      <c r="D567" s="99" t="s">
        <v>4655</v>
      </c>
      <c r="E567" s="121" t="s">
        <v>3024</v>
      </c>
      <c r="F567" s="85" t="s">
        <v>46</v>
      </c>
      <c r="G567" s="85" t="s">
        <v>12</v>
      </c>
      <c r="H567" s="148"/>
      <c r="I567" s="142"/>
      <c r="J567" s="144"/>
      <c r="K567" s="144"/>
      <c r="L567" s="95" t="s">
        <v>888</v>
      </c>
      <c r="M567" s="58"/>
      <c r="N567" s="59"/>
      <c r="O567" s="50"/>
      <c r="P567" s="60"/>
      <c r="R567" s="53" t="s">
        <v>764</v>
      </c>
      <c r="S567" s="53" t="s">
        <v>769</v>
      </c>
      <c r="T567" s="53" t="s">
        <v>769</v>
      </c>
      <c r="U567" s="53" t="s">
        <v>741</v>
      </c>
      <c r="V567" s="53" t="s">
        <v>768</v>
      </c>
      <c r="W567" s="53" t="s">
        <v>780</v>
      </c>
      <c r="X567" s="61">
        <f>IFERROR(IF(W567="","",WORKDAY.INTL(B567,_xlfn.XLOOKUP(W567,Regras!$F$2:$F$11,Regras!$G$2:$G$11))),"")</f>
        <v>45953</v>
      </c>
      <c r="Y567" s="150" t="s">
        <v>1238</v>
      </c>
      <c r="Z567" s="53" t="s">
        <v>764</v>
      </c>
      <c r="AA567" s="53"/>
      <c r="AB567" s="155" t="s">
        <v>4657</v>
      </c>
    </row>
    <row r="568" spans="2:28" x14ac:dyDescent="0.2">
      <c r="B568" s="89">
        <v>45951</v>
      </c>
      <c r="D568" s="99" t="s">
        <v>209</v>
      </c>
      <c r="E568" s="121" t="s">
        <v>213</v>
      </c>
      <c r="F568" s="85" t="s">
        <v>46</v>
      </c>
      <c r="G568" s="85" t="s">
        <v>12</v>
      </c>
      <c r="H568" s="148"/>
      <c r="I568" s="142"/>
      <c r="J568" s="144"/>
      <c r="K568" s="144"/>
      <c r="L568" s="158" t="s">
        <v>741</v>
      </c>
      <c r="M568" s="58"/>
      <c r="N568" s="59"/>
      <c r="O568" s="50"/>
      <c r="P568" s="60"/>
      <c r="R568" s="53" t="s">
        <v>764</v>
      </c>
      <c r="S568" s="53" t="s">
        <v>764</v>
      </c>
      <c r="T568" s="53" t="s">
        <v>764</v>
      </c>
      <c r="U568" s="53" t="s">
        <v>741</v>
      </c>
      <c r="V568" s="53" t="s">
        <v>770</v>
      </c>
      <c r="W568" s="53" t="s">
        <v>839</v>
      </c>
      <c r="X568" s="61">
        <f>IFERROR(IF(W568="","",WORKDAY.INTL(B568,_xlfn.XLOOKUP(W568,Regras!$F$2:$F$11,Regras!$G$2:$G$11))),"")</f>
        <v>45952</v>
      </c>
      <c r="Y568" s="150" t="s">
        <v>1132</v>
      </c>
      <c r="Z568" s="53" t="s">
        <v>764</v>
      </c>
      <c r="AA568" s="53"/>
      <c r="AB568" s="150" t="s">
        <v>1132</v>
      </c>
    </row>
    <row r="569" spans="2:28" x14ac:dyDescent="0.2">
      <c r="B569" s="89">
        <v>45951</v>
      </c>
      <c r="D569" s="99" t="s">
        <v>209</v>
      </c>
      <c r="E569" s="121" t="s">
        <v>211</v>
      </c>
      <c r="F569" s="85" t="s">
        <v>46</v>
      </c>
      <c r="G569" s="85" t="s">
        <v>12</v>
      </c>
      <c r="H569" s="148"/>
      <c r="I569" s="142"/>
      <c r="J569" s="144"/>
      <c r="K569" s="144"/>
      <c r="L569" s="158" t="s">
        <v>741</v>
      </c>
      <c r="M569" s="58"/>
      <c r="N569" s="59"/>
      <c r="O569" s="50"/>
      <c r="P569" s="60"/>
      <c r="R569" s="53" t="s">
        <v>764</v>
      </c>
      <c r="S569" s="53" t="s">
        <v>764</v>
      </c>
      <c r="T569" s="53" t="s">
        <v>764</v>
      </c>
      <c r="U569" s="53" t="s">
        <v>741</v>
      </c>
      <c r="V569" s="53" t="s">
        <v>770</v>
      </c>
      <c r="W569" s="53" t="s">
        <v>839</v>
      </c>
      <c r="X569" s="61">
        <f>IFERROR(IF(W569="","",WORKDAY.INTL(B569,_xlfn.XLOOKUP(W569,Regras!$F$2:$F$11,Regras!$G$2:$G$11))),"")</f>
        <v>45952</v>
      </c>
      <c r="Y569" s="150" t="s">
        <v>1132</v>
      </c>
      <c r="Z569" s="53" t="s">
        <v>764</v>
      </c>
      <c r="AA569" s="53"/>
      <c r="AB569" s="150" t="s">
        <v>1132</v>
      </c>
    </row>
    <row r="570" spans="2:28" x14ac:dyDescent="0.2">
      <c r="B570" s="89">
        <v>45951</v>
      </c>
      <c r="D570" s="99" t="s">
        <v>209</v>
      </c>
      <c r="E570" s="121" t="s">
        <v>210</v>
      </c>
      <c r="F570" s="85" t="s">
        <v>46</v>
      </c>
      <c r="G570" s="85" t="s">
        <v>12</v>
      </c>
      <c r="H570" s="148"/>
      <c r="I570" s="142"/>
      <c r="J570" s="144"/>
      <c r="K570" s="144"/>
      <c r="L570" s="158" t="s">
        <v>741</v>
      </c>
      <c r="M570" s="58"/>
      <c r="N570" s="59"/>
      <c r="O570" s="50"/>
      <c r="P570" s="60"/>
      <c r="R570" s="53" t="s">
        <v>764</v>
      </c>
      <c r="S570" s="53" t="s">
        <v>764</v>
      </c>
      <c r="T570" s="53" t="s">
        <v>764</v>
      </c>
      <c r="U570" s="53" t="s">
        <v>741</v>
      </c>
      <c r="V570" s="53" t="s">
        <v>770</v>
      </c>
      <c r="W570" s="53" t="s">
        <v>839</v>
      </c>
      <c r="X570" s="61">
        <f>IFERROR(IF(W570="","",WORKDAY.INTL(B570,_xlfn.XLOOKUP(W570,Regras!$F$2:$F$11,Regras!$G$2:$G$11))),"")</f>
        <v>45952</v>
      </c>
      <c r="Y570" s="150" t="s">
        <v>1132</v>
      </c>
      <c r="Z570" s="53" t="s">
        <v>764</v>
      </c>
      <c r="AA570" s="53"/>
      <c r="AB570" s="150" t="s">
        <v>1132</v>
      </c>
    </row>
    <row r="571" spans="2:28" x14ac:dyDescent="0.2">
      <c r="B571" s="89">
        <v>45951</v>
      </c>
      <c r="D571" s="99" t="s">
        <v>4580</v>
      </c>
      <c r="E571" s="121" t="s">
        <v>4581</v>
      </c>
      <c r="F571" s="85"/>
      <c r="G571" s="85" t="s">
        <v>12</v>
      </c>
      <c r="H571" s="148"/>
      <c r="I571" s="142"/>
      <c r="J571" s="144"/>
      <c r="K571" s="144"/>
      <c r="L571" s="95"/>
      <c r="M571" s="58"/>
      <c r="N571" s="59"/>
      <c r="O571" s="50"/>
      <c r="P571" s="60"/>
      <c r="R571" s="53" t="s">
        <v>764</v>
      </c>
      <c r="S571" s="53" t="s">
        <v>769</v>
      </c>
      <c r="T571" s="53" t="s">
        <v>769</v>
      </c>
      <c r="U571" s="53" t="s">
        <v>741</v>
      </c>
      <c r="V571" s="53" t="s">
        <v>768</v>
      </c>
      <c r="W571" s="53" t="s">
        <v>780</v>
      </c>
      <c r="X571" s="61">
        <f>IFERROR(IF(W571="","",WORKDAY.INTL(B571,_xlfn.XLOOKUP(W571,Regras!$F$2:$F$11,Regras!$G$2:$G$11))),"")</f>
        <v>45953</v>
      </c>
      <c r="Y571" s="150" t="s">
        <v>4664</v>
      </c>
      <c r="Z571" s="53" t="s">
        <v>764</v>
      </c>
      <c r="AA571" s="53"/>
      <c r="AB571" s="150" t="s">
        <v>4664</v>
      </c>
    </row>
    <row r="572" spans="2:28" x14ac:dyDescent="0.2">
      <c r="B572" s="89">
        <v>45951</v>
      </c>
      <c r="D572" s="99" t="s">
        <v>359</v>
      </c>
      <c r="E572" s="121" t="s">
        <v>360</v>
      </c>
      <c r="F572" s="85"/>
      <c r="G572" s="85" t="s">
        <v>12</v>
      </c>
      <c r="H572" s="148"/>
      <c r="I572" s="142"/>
      <c r="J572" s="144"/>
      <c r="K572" s="144"/>
      <c r="L572" s="95"/>
      <c r="M572" s="58"/>
      <c r="N572" s="59"/>
      <c r="O572" s="50"/>
      <c r="P572" s="60"/>
      <c r="R572" s="53" t="s">
        <v>764</v>
      </c>
      <c r="S572" s="53" t="s">
        <v>769</v>
      </c>
      <c r="T572" s="53" t="s">
        <v>769</v>
      </c>
      <c r="U572" s="53" t="s">
        <v>741</v>
      </c>
      <c r="V572" s="53" t="s">
        <v>770</v>
      </c>
      <c r="W572" s="53" t="s">
        <v>780</v>
      </c>
      <c r="X572" s="61">
        <f>IFERROR(IF(W572="","",WORKDAY.INTL(B572,_xlfn.XLOOKUP(W572,Regras!$F$2:$F$11,Regras!$G$2:$G$11))),"")</f>
        <v>45953</v>
      </c>
      <c r="Y572" s="150" t="s">
        <v>4644</v>
      </c>
      <c r="Z572" s="53" t="s">
        <v>764</v>
      </c>
      <c r="AA572" s="53"/>
      <c r="AB572" s="155" t="s">
        <v>1046</v>
      </c>
    </row>
    <row r="573" spans="2:28" x14ac:dyDescent="0.2">
      <c r="B573" s="89">
        <v>45951</v>
      </c>
      <c r="D573" s="99" t="s">
        <v>280</v>
      </c>
      <c r="E573" s="121" t="s">
        <v>281</v>
      </c>
      <c r="F573" s="85"/>
      <c r="G573" s="85" t="s">
        <v>12</v>
      </c>
      <c r="H573" s="148"/>
      <c r="I573" s="142"/>
      <c r="J573" s="144"/>
      <c r="K573" s="144"/>
      <c r="L573" s="95"/>
      <c r="M573" s="58"/>
      <c r="N573" s="59"/>
      <c r="O573" s="50"/>
      <c r="P573" s="60"/>
      <c r="R573" s="53" t="s">
        <v>764</v>
      </c>
      <c r="S573" s="53" t="s">
        <v>769</v>
      </c>
      <c r="T573" s="53" t="s">
        <v>769</v>
      </c>
      <c r="U573" s="53" t="s">
        <v>741</v>
      </c>
      <c r="V573" s="53" t="s">
        <v>770</v>
      </c>
      <c r="W573" s="53" t="s">
        <v>780</v>
      </c>
      <c r="X573" s="61">
        <f>IFERROR(IF(W573="","",WORKDAY.INTL(B573,_xlfn.XLOOKUP(W573,Regras!$F$2:$F$11,Regras!$G$2:$G$11))),"")</f>
        <v>45953</v>
      </c>
      <c r="Y573" s="150" t="s">
        <v>4644</v>
      </c>
      <c r="Z573" s="53" t="s">
        <v>764</v>
      </c>
      <c r="AA573" s="53"/>
      <c r="AB573" s="155" t="s">
        <v>1046</v>
      </c>
    </row>
    <row r="574" spans="2:28" x14ac:dyDescent="0.2">
      <c r="B574" s="89">
        <v>45951</v>
      </c>
      <c r="D574" s="99" t="s">
        <v>506</v>
      </c>
      <c r="E574" s="121" t="s">
        <v>507</v>
      </c>
      <c r="F574" s="85"/>
      <c r="G574" s="85" t="s">
        <v>12</v>
      </c>
      <c r="H574" s="148"/>
      <c r="I574" s="142"/>
      <c r="J574" s="144"/>
      <c r="K574" s="144"/>
      <c r="L574" s="95"/>
      <c r="M574" s="58"/>
      <c r="N574" s="59"/>
      <c r="O574" s="50"/>
      <c r="P574" s="60"/>
      <c r="R574" s="53" t="s">
        <v>764</v>
      </c>
      <c r="S574" s="53" t="s">
        <v>769</v>
      </c>
      <c r="T574" s="53" t="s">
        <v>769</v>
      </c>
      <c r="U574" s="53" t="s">
        <v>741</v>
      </c>
      <c r="V574" s="53" t="s">
        <v>770</v>
      </c>
      <c r="W574" s="53" t="s">
        <v>780</v>
      </c>
      <c r="X574" s="61">
        <f>IFERROR(IF(W574="","",WORKDAY.INTL(B574,_xlfn.XLOOKUP(W574,Regras!$F$2:$F$11,Regras!$G$2:$G$11))),"")</f>
        <v>45953</v>
      </c>
      <c r="Y574" s="150" t="s">
        <v>4644</v>
      </c>
      <c r="Z574" s="53" t="s">
        <v>764</v>
      </c>
      <c r="AA574" s="53"/>
      <c r="AB574" s="155" t="s">
        <v>1046</v>
      </c>
    </row>
    <row r="575" spans="2:28" x14ac:dyDescent="0.2">
      <c r="B575" s="89">
        <v>45951</v>
      </c>
      <c r="D575" s="99" t="s">
        <v>99</v>
      </c>
      <c r="E575" s="121" t="s">
        <v>1187</v>
      </c>
      <c r="F575" s="85"/>
      <c r="G575" s="85" t="s">
        <v>12</v>
      </c>
      <c r="H575" s="148"/>
      <c r="I575" s="142"/>
      <c r="J575" s="144"/>
      <c r="K575" s="144"/>
      <c r="L575" s="95"/>
      <c r="M575" s="58"/>
      <c r="N575" s="59"/>
      <c r="O575" s="50"/>
      <c r="P575" s="60"/>
      <c r="R575" s="53" t="s">
        <v>764</v>
      </c>
      <c r="S575" s="53" t="s">
        <v>769</v>
      </c>
      <c r="T575" s="53" t="s">
        <v>769</v>
      </c>
      <c r="U575" s="53" t="s">
        <v>741</v>
      </c>
      <c r="V575" s="53" t="s">
        <v>770</v>
      </c>
      <c r="W575" s="53" t="s">
        <v>780</v>
      </c>
      <c r="X575" s="61">
        <f>IFERROR(IF(W575="","",WORKDAY.INTL(B575,_xlfn.XLOOKUP(W575,Regras!$F$2:$F$11,Regras!$G$2:$G$11))),"")</f>
        <v>45953</v>
      </c>
      <c r="Y575" s="150" t="s">
        <v>4644</v>
      </c>
      <c r="Z575" s="53" t="s">
        <v>764</v>
      </c>
      <c r="AA575" s="53"/>
      <c r="AB575" s="155" t="s">
        <v>1046</v>
      </c>
    </row>
    <row r="576" spans="2:28" x14ac:dyDescent="0.2">
      <c r="B576" s="89">
        <v>45951</v>
      </c>
      <c r="D576" s="99" t="s">
        <v>190</v>
      </c>
      <c r="E576" s="121" t="s">
        <v>191</v>
      </c>
      <c r="F576" s="85"/>
      <c r="G576" s="85" t="s">
        <v>12</v>
      </c>
      <c r="H576" s="148"/>
      <c r="I576" s="142"/>
      <c r="J576" s="144"/>
      <c r="K576" s="144"/>
      <c r="L576" s="95"/>
      <c r="M576" s="58"/>
      <c r="N576" s="59"/>
      <c r="O576" s="50"/>
      <c r="P576" s="60"/>
      <c r="R576" s="53" t="s">
        <v>764</v>
      </c>
      <c r="S576" s="53" t="s">
        <v>764</v>
      </c>
      <c r="T576" s="53" t="s">
        <v>769</v>
      </c>
      <c r="U576" s="53" t="s">
        <v>741</v>
      </c>
      <c r="V576" s="53" t="s">
        <v>770</v>
      </c>
      <c r="W576" s="53" t="s">
        <v>780</v>
      </c>
      <c r="X576" s="61">
        <f>IFERROR(IF(W576="","",WORKDAY.INTL(B576,_xlfn.XLOOKUP(W576,Regras!$F$2:$F$11,Regras!$G$2:$G$11))),"")</f>
        <v>45953</v>
      </c>
      <c r="Y576" s="150" t="s">
        <v>4644</v>
      </c>
      <c r="Z576" s="53" t="s">
        <v>764</v>
      </c>
      <c r="AA576" s="53"/>
      <c r="AB576" s="155" t="s">
        <v>1046</v>
      </c>
    </row>
    <row r="577" spans="2:28" x14ac:dyDescent="0.2">
      <c r="B577" s="89">
        <v>45951</v>
      </c>
      <c r="D577" s="99" t="s">
        <v>168</v>
      </c>
      <c r="E577" s="121" t="s">
        <v>169</v>
      </c>
      <c r="F577" s="85"/>
      <c r="G577" s="85" t="s">
        <v>12</v>
      </c>
      <c r="H577" s="148"/>
      <c r="I577" s="142"/>
      <c r="J577" s="144"/>
      <c r="K577" s="144"/>
      <c r="L577" s="95"/>
      <c r="M577" s="58"/>
      <c r="N577" s="59"/>
      <c r="O577" s="50"/>
      <c r="P577" s="60"/>
      <c r="R577" s="53" t="s">
        <v>764</v>
      </c>
      <c r="S577" s="53" t="s">
        <v>769</v>
      </c>
      <c r="T577" s="53" t="s">
        <v>769</v>
      </c>
      <c r="U577" s="53" t="s">
        <v>741</v>
      </c>
      <c r="V577" s="53" t="s">
        <v>770</v>
      </c>
      <c r="W577" s="53" t="s">
        <v>780</v>
      </c>
      <c r="X577" s="61">
        <f>IFERROR(IF(W577="","",WORKDAY.INTL(B577,_xlfn.XLOOKUP(W577,Regras!$F$2:$F$11,Regras!$G$2:$G$11))),"")</f>
        <v>45953</v>
      </c>
      <c r="Y577" s="150" t="s">
        <v>4665</v>
      </c>
      <c r="Z577" s="53" t="s">
        <v>764</v>
      </c>
      <c r="AA577" s="53"/>
      <c r="AB577" s="150" t="s">
        <v>4665</v>
      </c>
    </row>
    <row r="578" spans="2:28" x14ac:dyDescent="0.2">
      <c r="B578" s="89">
        <v>45951</v>
      </c>
      <c r="D578" s="99" t="s">
        <v>620</v>
      </c>
      <c r="E578" s="121" t="s">
        <v>1208</v>
      </c>
      <c r="F578" s="85"/>
      <c r="G578" s="85" t="s">
        <v>12</v>
      </c>
      <c r="H578" s="148"/>
      <c r="I578" s="142"/>
      <c r="J578" s="144"/>
      <c r="K578" s="144"/>
      <c r="L578" s="95"/>
      <c r="M578" s="58"/>
      <c r="N578" s="59"/>
      <c r="O578" s="50"/>
      <c r="P578" s="60"/>
      <c r="R578" s="53" t="s">
        <v>764</v>
      </c>
      <c r="S578" s="53" t="s">
        <v>769</v>
      </c>
      <c r="T578" s="53" t="s">
        <v>769</v>
      </c>
      <c r="U578" s="53" t="s">
        <v>741</v>
      </c>
      <c r="V578" s="53" t="s">
        <v>770</v>
      </c>
      <c r="W578" s="53" t="s">
        <v>780</v>
      </c>
      <c r="X578" s="61">
        <f>IFERROR(IF(W578="","",WORKDAY.INTL(B578,_xlfn.XLOOKUP(W578,Regras!$F$2:$F$11,Regras!$G$2:$G$11))),"")</f>
        <v>45953</v>
      </c>
      <c r="Y578" s="150" t="s">
        <v>4644</v>
      </c>
      <c r="Z578" s="53" t="s">
        <v>764</v>
      </c>
      <c r="AA578" s="53"/>
      <c r="AB578" s="155" t="s">
        <v>1046</v>
      </c>
    </row>
    <row r="579" spans="2:28" x14ac:dyDescent="0.2">
      <c r="B579" s="89">
        <v>45951</v>
      </c>
      <c r="D579" s="99" t="s">
        <v>107</v>
      </c>
      <c r="E579" s="121" t="s">
        <v>108</v>
      </c>
      <c r="F579" s="85"/>
      <c r="G579" s="85" t="s">
        <v>12</v>
      </c>
      <c r="H579" s="148"/>
      <c r="I579" s="142"/>
      <c r="J579" s="144"/>
      <c r="K579" s="144"/>
      <c r="L579" s="95"/>
      <c r="M579" s="58"/>
      <c r="N579" s="59"/>
      <c r="O579" s="50"/>
      <c r="P579" s="60"/>
      <c r="R579" s="53" t="s">
        <v>764</v>
      </c>
      <c r="S579" s="53" t="s">
        <v>769</v>
      </c>
      <c r="T579" s="53" t="s">
        <v>769</v>
      </c>
      <c r="U579" s="53" t="s">
        <v>741</v>
      </c>
      <c r="V579" s="53" t="s">
        <v>770</v>
      </c>
      <c r="W579" s="53" t="s">
        <v>780</v>
      </c>
      <c r="X579" s="61">
        <f>IFERROR(IF(W579="","",WORKDAY.INTL(B579,_xlfn.XLOOKUP(W579,Regras!$F$2:$F$11,Regras!$G$2:$G$11))),"")</f>
        <v>45953</v>
      </c>
      <c r="Y579" s="150" t="s">
        <v>4644</v>
      </c>
      <c r="Z579" s="53" t="s">
        <v>764</v>
      </c>
      <c r="AA579" s="53"/>
      <c r="AB579" s="155" t="s">
        <v>1046</v>
      </c>
    </row>
    <row r="580" spans="2:28" x14ac:dyDescent="0.2">
      <c r="B580" s="89">
        <v>45951</v>
      </c>
      <c r="D580" s="99" t="s">
        <v>186</v>
      </c>
      <c r="E580" s="121" t="s">
        <v>187</v>
      </c>
      <c r="F580" s="85"/>
      <c r="G580" s="85" t="s">
        <v>12</v>
      </c>
      <c r="H580" s="148"/>
      <c r="I580" s="142"/>
      <c r="J580" s="144"/>
      <c r="K580" s="144"/>
      <c r="L580" s="95"/>
      <c r="M580" s="58"/>
      <c r="N580" s="59"/>
      <c r="O580" s="50"/>
      <c r="P580" s="60"/>
      <c r="R580" s="53" t="s">
        <v>764</v>
      </c>
      <c r="S580" s="53" t="s">
        <v>769</v>
      </c>
      <c r="T580" s="53" t="s">
        <v>769</v>
      </c>
      <c r="U580" s="53" t="s">
        <v>741</v>
      </c>
      <c r="V580" s="53" t="s">
        <v>770</v>
      </c>
      <c r="W580" s="53" t="s">
        <v>780</v>
      </c>
      <c r="X580" s="61">
        <f>IFERROR(IF(W580="","",WORKDAY.INTL(B580,_xlfn.XLOOKUP(W580,Regras!$F$2:$F$11,Regras!$G$2:$G$11))),"")</f>
        <v>45953</v>
      </c>
      <c r="Y580" s="150" t="s">
        <v>4644</v>
      </c>
      <c r="Z580" s="53" t="s">
        <v>764</v>
      </c>
      <c r="AA580" s="53"/>
      <c r="AB580" s="155" t="s">
        <v>1046</v>
      </c>
    </row>
    <row r="581" spans="2:28" x14ac:dyDescent="0.2">
      <c r="B581" s="89">
        <v>45951</v>
      </c>
      <c r="D581" s="99" t="s">
        <v>316</v>
      </c>
      <c r="E581" s="121" t="s">
        <v>317</v>
      </c>
      <c r="F581" s="85"/>
      <c r="G581" s="85" t="s">
        <v>12</v>
      </c>
      <c r="H581" s="148"/>
      <c r="I581" s="142"/>
      <c r="J581" s="144"/>
      <c r="K581" s="144"/>
      <c r="L581" s="95"/>
      <c r="M581" s="58"/>
      <c r="N581" s="59"/>
      <c r="O581" s="50"/>
      <c r="P581" s="60"/>
      <c r="R581" s="53" t="s">
        <v>764</v>
      </c>
      <c r="S581" s="53" t="s">
        <v>769</v>
      </c>
      <c r="T581" s="53" t="s">
        <v>769</v>
      </c>
      <c r="U581" s="53" t="s">
        <v>741</v>
      </c>
      <c r="V581" s="53" t="s">
        <v>770</v>
      </c>
      <c r="W581" s="53" t="s">
        <v>780</v>
      </c>
      <c r="X581" s="61">
        <f>IFERROR(IF(W581="","",WORKDAY.INTL(B581,_xlfn.XLOOKUP(W581,Regras!$F$2:$F$11,Regras!$G$2:$G$11))),"")</f>
        <v>45953</v>
      </c>
      <c r="Y581" s="150" t="s">
        <v>4644</v>
      </c>
      <c r="Z581" s="53" t="s">
        <v>764</v>
      </c>
      <c r="AA581" s="53"/>
      <c r="AB581" s="155" t="s">
        <v>1046</v>
      </c>
    </row>
    <row r="582" spans="2:28" x14ac:dyDescent="0.2">
      <c r="B582" s="89">
        <v>45951</v>
      </c>
      <c r="D582" s="99" t="s">
        <v>4659</v>
      </c>
      <c r="E582" s="121" t="s">
        <v>4658</v>
      </c>
      <c r="F582" s="85"/>
      <c r="G582" s="85" t="s">
        <v>12</v>
      </c>
      <c r="H582" s="148"/>
      <c r="I582" s="142"/>
      <c r="J582" s="144"/>
      <c r="K582" s="144"/>
      <c r="L582" s="95"/>
      <c r="M582" s="58"/>
      <c r="N582" s="59"/>
      <c r="O582" s="50"/>
      <c r="P582" s="60"/>
      <c r="R582" s="53" t="s">
        <v>764</v>
      </c>
      <c r="S582" s="53" t="s">
        <v>764</v>
      </c>
      <c r="T582" s="53" t="s">
        <v>764</v>
      </c>
      <c r="U582" s="53" t="s">
        <v>741</v>
      </c>
      <c r="V582" s="53" t="s">
        <v>768</v>
      </c>
      <c r="W582" s="53" t="s">
        <v>766</v>
      </c>
      <c r="X582" s="61">
        <f>IFERROR(IF(W582="","",WORKDAY.INTL(B582,_xlfn.XLOOKUP(W582,Regras!$F$2:$F$11,Regras!$G$2:$G$11))),"")</f>
        <v>46014</v>
      </c>
      <c r="Y582" s="150" t="s">
        <v>4666</v>
      </c>
      <c r="Z582" s="53" t="s">
        <v>764</v>
      </c>
      <c r="AA582" s="53"/>
      <c r="AB582" s="155" t="s">
        <v>1046</v>
      </c>
    </row>
    <row r="583" spans="2:28" x14ac:dyDescent="0.2">
      <c r="B583" s="89">
        <v>45951</v>
      </c>
      <c r="D583" s="99" t="s">
        <v>4660</v>
      </c>
      <c r="E583" s="121" t="s">
        <v>835</v>
      </c>
      <c r="F583" s="85"/>
      <c r="G583" s="85" t="s">
        <v>12</v>
      </c>
      <c r="H583" s="148"/>
      <c r="I583" s="142"/>
      <c r="J583" s="144"/>
      <c r="K583" s="144"/>
      <c r="L583" s="95"/>
      <c r="M583" s="58"/>
      <c r="N583" s="59"/>
      <c r="O583" s="50"/>
      <c r="P583" s="60"/>
      <c r="R583" s="53" t="s">
        <v>764</v>
      </c>
      <c r="S583" s="53" t="s">
        <v>769</v>
      </c>
      <c r="T583" s="53" t="s">
        <v>769</v>
      </c>
      <c r="U583" s="53" t="s">
        <v>741</v>
      </c>
      <c r="V583" s="53" t="s">
        <v>770</v>
      </c>
      <c r="W583" s="53" t="s">
        <v>780</v>
      </c>
      <c r="X583" s="61">
        <f>IFERROR(IF(W583="","",WORKDAY.INTL(B583,_xlfn.XLOOKUP(W583,Regras!$F$2:$F$11,Regras!$G$2:$G$11))),"")</f>
        <v>45953</v>
      </c>
      <c r="Y583" s="150" t="s">
        <v>4644</v>
      </c>
      <c r="Z583" s="53" t="s">
        <v>764</v>
      </c>
      <c r="AA583" s="53"/>
      <c r="AB583" s="155" t="s">
        <v>1046</v>
      </c>
    </row>
    <row r="584" spans="2:28" x14ac:dyDescent="0.2">
      <c r="B584" s="89">
        <v>45951</v>
      </c>
      <c r="D584" s="99" t="s">
        <v>4661</v>
      </c>
      <c r="E584" s="121" t="s">
        <v>4662</v>
      </c>
      <c r="F584" s="85"/>
      <c r="G584" s="85" t="s">
        <v>12</v>
      </c>
      <c r="H584" s="148"/>
      <c r="I584" s="142"/>
      <c r="J584" s="144"/>
      <c r="K584" s="144"/>
      <c r="L584" s="95"/>
      <c r="M584" s="58"/>
      <c r="N584" s="59"/>
      <c r="O584" s="50"/>
      <c r="P584" s="60"/>
      <c r="R584" s="53" t="s">
        <v>764</v>
      </c>
      <c r="S584" s="53" t="s">
        <v>769</v>
      </c>
      <c r="T584" s="53" t="s">
        <v>769</v>
      </c>
      <c r="U584" s="53" t="s">
        <v>741</v>
      </c>
      <c r="V584" s="53" t="s">
        <v>768</v>
      </c>
      <c r="W584" s="53" t="s">
        <v>839</v>
      </c>
      <c r="X584" s="61">
        <f>IFERROR(IF(W584="","",WORKDAY.INTL(B584,_xlfn.XLOOKUP(W584,Regras!$F$2:$F$11,Regras!$G$2:$G$11))),"")</f>
        <v>45952</v>
      </c>
      <c r="Y584" s="150" t="s">
        <v>4663</v>
      </c>
      <c r="Z584" s="53" t="s">
        <v>764</v>
      </c>
      <c r="AA584" s="53"/>
      <c r="AB584" s="150" t="s">
        <v>4663</v>
      </c>
    </row>
    <row r="585" spans="2:28" x14ac:dyDescent="0.2">
      <c r="B585" s="89">
        <v>45951</v>
      </c>
      <c r="D585" s="99" t="s">
        <v>209</v>
      </c>
      <c r="E585" s="121" t="s">
        <v>213</v>
      </c>
      <c r="F585" s="85" t="s">
        <v>46</v>
      </c>
      <c r="G585" s="85" t="s">
        <v>12</v>
      </c>
      <c r="H585" s="148"/>
      <c r="I585" s="142"/>
      <c r="J585" s="144"/>
      <c r="K585" s="144"/>
      <c r="L585" s="95"/>
      <c r="M585" s="58"/>
      <c r="N585" s="59"/>
      <c r="O585" s="50"/>
      <c r="P585" s="60"/>
      <c r="R585" s="53" t="s">
        <v>764</v>
      </c>
      <c r="S585" s="53" t="s">
        <v>769</v>
      </c>
      <c r="T585" s="53" t="s">
        <v>769</v>
      </c>
      <c r="U585" s="53" t="s">
        <v>741</v>
      </c>
      <c r="V585" s="53" t="s">
        <v>770</v>
      </c>
      <c r="W585" s="53" t="s">
        <v>766</v>
      </c>
      <c r="X585" s="61">
        <f>IFERROR(IF(W585="","",WORKDAY.INTL(B585,_xlfn.XLOOKUP(W585,Regras!$F$2:$F$11,Regras!$G$2:$G$11))),"")</f>
        <v>46014</v>
      </c>
      <c r="Y585" s="150" t="s">
        <v>1003</v>
      </c>
      <c r="Z585" s="53" t="s">
        <v>764</v>
      </c>
      <c r="AA585" s="53"/>
      <c r="AB585" s="150" t="s">
        <v>1003</v>
      </c>
    </row>
    <row r="586" spans="2:28" x14ac:dyDescent="0.2">
      <c r="B586" s="89">
        <v>45951</v>
      </c>
      <c r="D586" s="99" t="s">
        <v>209</v>
      </c>
      <c r="E586" s="121" t="s">
        <v>211</v>
      </c>
      <c r="F586" s="85" t="s">
        <v>46</v>
      </c>
      <c r="G586" s="85" t="s">
        <v>12</v>
      </c>
      <c r="H586" s="148"/>
      <c r="I586" s="142"/>
      <c r="J586" s="144"/>
      <c r="K586" s="144"/>
      <c r="L586" s="95"/>
      <c r="M586" s="58"/>
      <c r="N586" s="59"/>
      <c r="O586" s="50"/>
      <c r="P586" s="60"/>
      <c r="R586" s="53" t="s">
        <v>764</v>
      </c>
      <c r="S586" s="53" t="s">
        <v>769</v>
      </c>
      <c r="T586" s="53" t="s">
        <v>769</v>
      </c>
      <c r="U586" s="53" t="s">
        <v>741</v>
      </c>
      <c r="V586" s="53" t="s">
        <v>770</v>
      </c>
      <c r="W586" s="53" t="s">
        <v>766</v>
      </c>
      <c r="X586" s="61">
        <f>IFERROR(IF(W586="","",WORKDAY.INTL(B586,_xlfn.XLOOKUP(W586,Regras!$F$2:$F$11,Regras!$G$2:$G$11))),"")</f>
        <v>46014</v>
      </c>
      <c r="Y586" s="150" t="s">
        <v>1003</v>
      </c>
      <c r="Z586" s="53" t="s">
        <v>764</v>
      </c>
      <c r="AA586" s="53"/>
      <c r="AB586" s="150" t="s">
        <v>1003</v>
      </c>
    </row>
    <row r="587" spans="2:28" x14ac:dyDescent="0.2">
      <c r="B587" s="89">
        <v>45951</v>
      </c>
      <c r="D587" s="99" t="s">
        <v>209</v>
      </c>
      <c r="E587" s="121" t="s">
        <v>210</v>
      </c>
      <c r="F587" s="85" t="s">
        <v>46</v>
      </c>
      <c r="G587" s="85" t="s">
        <v>12</v>
      </c>
      <c r="H587" s="148"/>
      <c r="I587" s="142"/>
      <c r="J587" s="144"/>
      <c r="K587" s="144"/>
      <c r="L587" s="95"/>
      <c r="M587" s="58"/>
      <c r="N587" s="59"/>
      <c r="O587" s="50"/>
      <c r="P587" s="60"/>
      <c r="R587" s="53" t="s">
        <v>764</v>
      </c>
      <c r="S587" s="53" t="s">
        <v>769</v>
      </c>
      <c r="T587" s="53" t="s">
        <v>769</v>
      </c>
      <c r="U587" s="53" t="s">
        <v>741</v>
      </c>
      <c r="V587" s="53" t="s">
        <v>770</v>
      </c>
      <c r="W587" s="53" t="s">
        <v>766</v>
      </c>
      <c r="X587" s="61">
        <f>IFERROR(IF(W587="","",WORKDAY.INTL(B587,_xlfn.XLOOKUP(W587,Regras!$F$2:$F$11,Regras!$G$2:$G$11))),"")</f>
        <v>46014</v>
      </c>
      <c r="Y587" s="150" t="s">
        <v>1003</v>
      </c>
      <c r="Z587" s="53" t="s">
        <v>764</v>
      </c>
      <c r="AA587" s="53"/>
      <c r="AB587" s="150" t="s">
        <v>1003</v>
      </c>
    </row>
    <row r="588" spans="2:28" x14ac:dyDescent="0.2">
      <c r="B588" s="89">
        <v>45992</v>
      </c>
      <c r="D588" s="99" t="s">
        <v>348</v>
      </c>
      <c r="E588" s="121" t="s">
        <v>349</v>
      </c>
      <c r="F588" s="85" t="s">
        <v>22</v>
      </c>
      <c r="G588" s="85" t="s">
        <v>12</v>
      </c>
      <c r="H588" s="148"/>
      <c r="I588" s="142"/>
      <c r="J588" s="144"/>
      <c r="K588" s="144"/>
      <c r="L588" s="95"/>
      <c r="M588" s="58"/>
      <c r="N588" s="59"/>
      <c r="O588" s="50"/>
      <c r="P588" s="60"/>
      <c r="R588" s="53" t="s">
        <v>764</v>
      </c>
      <c r="S588" s="53" t="s">
        <v>769</v>
      </c>
      <c r="T588" s="53" t="s">
        <v>769</v>
      </c>
      <c r="U588" s="53" t="s">
        <v>741</v>
      </c>
      <c r="V588" s="53" t="s">
        <v>770</v>
      </c>
      <c r="W588" s="53" t="s">
        <v>766</v>
      </c>
      <c r="X588" s="61">
        <f>IFERROR(IF(W588="","",WORKDAY.INTL(B588,_xlfn.XLOOKUP(W588,Regras!$F$2:$F$11,Regras!$G$2:$G$11))),"")</f>
        <v>46055</v>
      </c>
      <c r="Y588" s="150" t="s">
        <v>1003</v>
      </c>
      <c r="Z588" s="53" t="s">
        <v>764</v>
      </c>
      <c r="AA588" s="53"/>
      <c r="AB588" s="150" t="s">
        <v>1003</v>
      </c>
    </row>
    <row r="589" spans="2:28" x14ac:dyDescent="0.2">
      <c r="B589" s="89">
        <v>45992</v>
      </c>
      <c r="D589" s="99" t="s">
        <v>4659</v>
      </c>
      <c r="E589" s="121" t="s">
        <v>4658</v>
      </c>
      <c r="F589" s="85" t="s">
        <v>22</v>
      </c>
      <c r="G589" s="85" t="s">
        <v>12</v>
      </c>
      <c r="H589" s="148"/>
      <c r="I589" s="142"/>
      <c r="J589" s="144"/>
      <c r="K589" s="144"/>
      <c r="L589" s="95"/>
      <c r="M589" s="58"/>
      <c r="N589" s="59"/>
      <c r="O589" s="50"/>
      <c r="P589" s="60"/>
      <c r="R589" s="53" t="s">
        <v>764</v>
      </c>
      <c r="S589" s="53" t="s">
        <v>769</v>
      </c>
      <c r="T589" s="53" t="s">
        <v>769</v>
      </c>
      <c r="U589" s="53" t="s">
        <v>741</v>
      </c>
      <c r="V589" s="53" t="s">
        <v>770</v>
      </c>
      <c r="W589" s="53" t="s">
        <v>766</v>
      </c>
      <c r="X589" s="61">
        <f>IFERROR(IF(W589="","",WORKDAY.INTL(B589,_xlfn.XLOOKUP(W589,Regras!$F$2:$F$11,Regras!$G$2:$G$11))),"")</f>
        <v>46055</v>
      </c>
      <c r="Y589" s="150" t="s">
        <v>1003</v>
      </c>
      <c r="Z589" s="53" t="s">
        <v>764</v>
      </c>
      <c r="AA589" s="53"/>
      <c r="AB589" s="150" t="s">
        <v>1003</v>
      </c>
    </row>
    <row r="590" spans="2:28" x14ac:dyDescent="0.2">
      <c r="B590" s="89">
        <v>45992</v>
      </c>
      <c r="D590" s="99" t="s">
        <v>4460</v>
      </c>
      <c r="E590" s="121" t="s">
        <v>4461</v>
      </c>
      <c r="F590" s="85" t="s">
        <v>46</v>
      </c>
      <c r="G590" s="85" t="s">
        <v>12</v>
      </c>
      <c r="H590" s="148"/>
      <c r="I590" s="142"/>
      <c r="J590" s="144"/>
      <c r="K590" s="144"/>
      <c r="L590" s="95"/>
      <c r="M590" s="58"/>
      <c r="N590" s="59"/>
      <c r="O590" s="50"/>
      <c r="P590" s="60"/>
      <c r="R590" s="53" t="s">
        <v>764</v>
      </c>
      <c r="S590" s="53" t="s">
        <v>769</v>
      </c>
      <c r="T590" s="53" t="s">
        <v>769</v>
      </c>
      <c r="U590" s="53" t="s">
        <v>741</v>
      </c>
      <c r="V590" s="53" t="s">
        <v>776</v>
      </c>
      <c r="W590" s="53" t="s">
        <v>777</v>
      </c>
      <c r="X590" s="61" t="str">
        <f>IFERROR(IF(W590="","",WORKDAY.INTL(B590,_xlfn.XLOOKUP(W590,Regras!$F$2:$F$11,Regras!$G$2:$G$11))),"")</f>
        <v/>
      </c>
      <c r="Y590" s="150" t="s">
        <v>4667</v>
      </c>
      <c r="Z590" s="53" t="s">
        <v>764</v>
      </c>
      <c r="AA590" s="53"/>
      <c r="AB590" s="150" t="s">
        <v>4667</v>
      </c>
    </row>
    <row r="591" spans="2:28" x14ac:dyDescent="0.2">
      <c r="B591" s="89">
        <v>45992</v>
      </c>
      <c r="D591" s="99" t="s">
        <v>190</v>
      </c>
      <c r="E591" s="121" t="s">
        <v>191</v>
      </c>
      <c r="F591" s="85" t="s">
        <v>46</v>
      </c>
      <c r="G591" s="85" t="s">
        <v>12</v>
      </c>
      <c r="H591" s="148"/>
      <c r="I591" s="142"/>
      <c r="J591" s="144"/>
      <c r="K591" s="144"/>
      <c r="L591" s="95"/>
      <c r="M591" s="58"/>
      <c r="N591" s="59"/>
      <c r="O591" s="50"/>
      <c r="P591" s="60"/>
      <c r="R591" s="53" t="s">
        <v>764</v>
      </c>
      <c r="S591" s="53" t="s">
        <v>769</v>
      </c>
      <c r="T591" s="53" t="s">
        <v>769</v>
      </c>
      <c r="U591" s="53" t="s">
        <v>741</v>
      </c>
      <c r="V591" s="53" t="s">
        <v>770</v>
      </c>
      <c r="W591" s="53" t="s">
        <v>780</v>
      </c>
      <c r="X591" s="61">
        <f>IFERROR(IF(W591="","",WORKDAY.INTL(B591,_xlfn.XLOOKUP(W591,Regras!$F$2:$F$11,Regras!$G$2:$G$11))),"")</f>
        <v>45994</v>
      </c>
      <c r="Y591" s="150" t="s">
        <v>4668</v>
      </c>
      <c r="Z591" s="53" t="s">
        <v>764</v>
      </c>
      <c r="AA591" s="53"/>
      <c r="AB591" s="150" t="s">
        <v>4668</v>
      </c>
    </row>
    <row r="592" spans="2:28" x14ac:dyDescent="0.2">
      <c r="B592" s="89">
        <v>45992</v>
      </c>
      <c r="D592" s="99" t="s">
        <v>168</v>
      </c>
      <c r="E592" s="121" t="s">
        <v>957</v>
      </c>
      <c r="F592" s="85" t="s">
        <v>46</v>
      </c>
      <c r="G592" s="85" t="s">
        <v>12</v>
      </c>
      <c r="H592" s="148"/>
      <c r="I592" s="142"/>
      <c r="J592" s="144"/>
      <c r="K592" s="144"/>
      <c r="L592" s="95"/>
      <c r="M592" s="58"/>
      <c r="N592" s="59"/>
      <c r="O592" s="50"/>
      <c r="P592" s="60"/>
      <c r="R592" s="53" t="s">
        <v>764</v>
      </c>
      <c r="S592" s="53" t="s">
        <v>769</v>
      </c>
      <c r="T592" s="53" t="s">
        <v>769</v>
      </c>
      <c r="U592" s="53" t="s">
        <v>741</v>
      </c>
      <c r="V592" s="53" t="s">
        <v>770</v>
      </c>
      <c r="W592" s="53" t="s">
        <v>777</v>
      </c>
      <c r="X592" s="61" t="str">
        <f>IFERROR(IF(W592="","",WORKDAY.INTL(B592,_xlfn.XLOOKUP(W592,Regras!$F$2:$F$11,Regras!$G$2:$G$11))),"")</f>
        <v/>
      </c>
      <c r="Y592" s="150" t="s">
        <v>4669</v>
      </c>
      <c r="Z592" s="53" t="s">
        <v>764</v>
      </c>
      <c r="AA592" s="53"/>
      <c r="AB592" s="150" t="s">
        <v>4669</v>
      </c>
    </row>
    <row r="593" spans="2:28" x14ac:dyDescent="0.2">
      <c r="B593" s="89">
        <v>45992</v>
      </c>
      <c r="D593" s="99" t="s">
        <v>201</v>
      </c>
      <c r="E593" s="121" t="s">
        <v>202</v>
      </c>
      <c r="F593" s="85" t="s">
        <v>46</v>
      </c>
      <c r="G593" s="85" t="s">
        <v>12</v>
      </c>
      <c r="H593" s="148"/>
      <c r="I593" s="142"/>
      <c r="J593" s="144"/>
      <c r="K593" s="144"/>
      <c r="L593" s="95"/>
      <c r="M593" s="58"/>
      <c r="N593" s="59"/>
      <c r="O593" s="50"/>
      <c r="P593" s="60"/>
      <c r="R593" s="53" t="s">
        <v>764</v>
      </c>
      <c r="S593" s="53" t="s">
        <v>769</v>
      </c>
      <c r="T593" s="53" t="s">
        <v>769</v>
      </c>
      <c r="U593" s="53" t="s">
        <v>741</v>
      </c>
      <c r="V593" s="53" t="s">
        <v>770</v>
      </c>
      <c r="W593" s="53" t="s">
        <v>780</v>
      </c>
      <c r="X593" s="61">
        <f>IFERROR(IF(W593="","",WORKDAY.INTL(B593,_xlfn.XLOOKUP(W593,Regras!$F$2:$F$11,Regras!$G$2:$G$11))),"")</f>
        <v>45994</v>
      </c>
      <c r="Y593" s="150" t="s">
        <v>4668</v>
      </c>
      <c r="Z593" s="53" t="s">
        <v>764</v>
      </c>
      <c r="AA593" s="53"/>
      <c r="AB593" s="150" t="s">
        <v>4668</v>
      </c>
    </row>
    <row r="594" spans="2:28" x14ac:dyDescent="0.2">
      <c r="B594" s="89">
        <v>45992</v>
      </c>
      <c r="D594" s="99" t="s">
        <v>383</v>
      </c>
      <c r="E594" s="121" t="s">
        <v>384</v>
      </c>
      <c r="F594" s="85" t="s">
        <v>46</v>
      </c>
      <c r="G594" s="85" t="s">
        <v>12</v>
      </c>
      <c r="H594" s="148"/>
      <c r="I594" s="142"/>
      <c r="J594" s="144"/>
      <c r="K594" s="144"/>
      <c r="L594" s="95"/>
      <c r="M594" s="58"/>
      <c r="N594" s="59"/>
      <c r="O594" s="50"/>
      <c r="P594" s="60"/>
      <c r="R594" s="53" t="s">
        <v>764</v>
      </c>
      <c r="S594" s="53" t="s">
        <v>769</v>
      </c>
      <c r="T594" s="53" t="s">
        <v>769</v>
      </c>
      <c r="U594" s="53" t="s">
        <v>741</v>
      </c>
      <c r="V594" s="53" t="s">
        <v>770</v>
      </c>
      <c r="W594" s="53" t="s">
        <v>1053</v>
      </c>
      <c r="X594" s="61">
        <f>IFERROR(IF(W594="","",WORKDAY.INTL(B594,_xlfn.XLOOKUP(W594,Regras!$F$2:$F$11,Regras!$G$2:$G$11))),"")</f>
        <v>46001</v>
      </c>
      <c r="Y594" s="150" t="s">
        <v>4670</v>
      </c>
      <c r="Z594" s="53" t="s">
        <v>764</v>
      </c>
      <c r="AA594" s="53"/>
      <c r="AB594" s="150" t="s">
        <v>4670</v>
      </c>
    </row>
    <row r="595" spans="2:28" x14ac:dyDescent="0.2">
      <c r="B595" s="89">
        <v>45992</v>
      </c>
      <c r="D595" s="99" t="s">
        <v>27</v>
      </c>
      <c r="E595" s="121" t="s">
        <v>28</v>
      </c>
      <c r="F595" s="85" t="s">
        <v>17</v>
      </c>
      <c r="G595" s="85" t="s">
        <v>12</v>
      </c>
      <c r="H595" s="148"/>
      <c r="I595" s="142"/>
      <c r="J595" s="144"/>
      <c r="K595" s="144"/>
      <c r="L595" s="95"/>
      <c r="M595" s="58"/>
      <c r="N595" s="59"/>
      <c r="O595" s="50"/>
      <c r="P595" s="60"/>
      <c r="R595" s="53" t="s">
        <v>764</v>
      </c>
      <c r="S595" s="53" t="s">
        <v>769</v>
      </c>
      <c r="T595" s="53" t="s">
        <v>769</v>
      </c>
      <c r="U595" s="53" t="s">
        <v>741</v>
      </c>
      <c r="V595" s="53" t="s">
        <v>770</v>
      </c>
      <c r="W595" s="53" t="s">
        <v>1053</v>
      </c>
      <c r="X595" s="61">
        <f>IFERROR(IF(W595="","",WORKDAY.INTL(B595,_xlfn.XLOOKUP(W595,Regras!$F$2:$F$11,Regras!$G$2:$G$11))),"")</f>
        <v>46001</v>
      </c>
      <c r="Y595" s="150" t="s">
        <v>4670</v>
      </c>
      <c r="Z595" s="53" t="s">
        <v>764</v>
      </c>
      <c r="AA595" s="53"/>
      <c r="AB595" s="150" t="s">
        <v>4670</v>
      </c>
    </row>
    <row r="596" spans="2:28" x14ac:dyDescent="0.2">
      <c r="B596" s="89">
        <v>45992</v>
      </c>
      <c r="D596" s="99" t="s">
        <v>280</v>
      </c>
      <c r="E596" s="121" t="s">
        <v>281</v>
      </c>
      <c r="F596" s="85" t="s">
        <v>22</v>
      </c>
      <c r="G596" s="85" t="s">
        <v>12</v>
      </c>
      <c r="H596" s="148"/>
      <c r="I596" s="142"/>
      <c r="J596" s="144"/>
      <c r="K596" s="144"/>
      <c r="L596" s="95"/>
      <c r="M596" s="58"/>
      <c r="N596" s="59"/>
      <c r="O596" s="50"/>
      <c r="P596" s="60"/>
      <c r="R596" s="53" t="s">
        <v>764</v>
      </c>
      <c r="S596" s="53" t="s">
        <v>769</v>
      </c>
      <c r="T596" s="53" t="s">
        <v>769</v>
      </c>
      <c r="U596" s="53" t="s">
        <v>741</v>
      </c>
      <c r="V596" s="53" t="s">
        <v>770</v>
      </c>
      <c r="W596" s="53" t="s">
        <v>1053</v>
      </c>
      <c r="X596" s="61">
        <f>IFERROR(IF(W596="","",WORKDAY.INTL(B596,_xlfn.XLOOKUP(W596,Regras!$F$2:$F$11,Regras!$G$2:$G$11))),"")</f>
        <v>46001</v>
      </c>
      <c r="Y596" s="150" t="s">
        <v>4670</v>
      </c>
      <c r="Z596" s="53" t="s">
        <v>764</v>
      </c>
      <c r="AA596" s="53"/>
      <c r="AB596" s="150" t="s">
        <v>4671</v>
      </c>
    </row>
    <row r="597" spans="2:28" x14ac:dyDescent="0.2">
      <c r="B597" s="89">
        <v>45992</v>
      </c>
      <c r="D597" s="99" t="s">
        <v>4159</v>
      </c>
      <c r="E597" s="121" t="s">
        <v>3092</v>
      </c>
      <c r="F597" s="85" t="s">
        <v>17</v>
      </c>
      <c r="G597" s="85" t="s">
        <v>12</v>
      </c>
      <c r="H597" s="148"/>
      <c r="I597" s="142"/>
      <c r="J597" s="144"/>
      <c r="K597" s="144"/>
      <c r="L597" s="95"/>
      <c r="M597" s="58"/>
      <c r="N597" s="59"/>
      <c r="O597" s="50"/>
      <c r="P597" s="60"/>
      <c r="R597" s="53" t="s">
        <v>764</v>
      </c>
      <c r="S597" s="53" t="s">
        <v>769</v>
      </c>
      <c r="T597" s="53" t="s">
        <v>769</v>
      </c>
      <c r="U597" s="53" t="s">
        <v>741</v>
      </c>
      <c r="V597" s="53" t="s">
        <v>770</v>
      </c>
      <c r="W597" s="53" t="s">
        <v>1053</v>
      </c>
      <c r="X597" s="61">
        <f>IFERROR(IF(W597="","",WORKDAY.INTL(B597,_xlfn.XLOOKUP(W597,Regras!$F$2:$F$11,Regras!$G$2:$G$11))),"")</f>
        <v>46001</v>
      </c>
      <c r="Y597" s="150" t="s">
        <v>4670</v>
      </c>
      <c r="Z597" s="53" t="s">
        <v>764</v>
      </c>
      <c r="AA597" s="53"/>
      <c r="AB597" s="150" t="s">
        <v>4672</v>
      </c>
    </row>
    <row r="598" spans="2:28" x14ac:dyDescent="0.2">
      <c r="B598" s="89">
        <v>45992</v>
      </c>
      <c r="D598" s="99" t="s">
        <v>4673</v>
      </c>
      <c r="E598" s="121" t="s">
        <v>176</v>
      </c>
      <c r="F598" s="85" t="s">
        <v>46</v>
      </c>
      <c r="G598" s="85" t="s">
        <v>12</v>
      </c>
      <c r="H598" s="148"/>
      <c r="I598" s="142"/>
      <c r="J598" s="144"/>
      <c r="K598" s="144"/>
      <c r="L598" s="95"/>
      <c r="M598" s="58"/>
      <c r="N598" s="59"/>
      <c r="O598" s="50"/>
      <c r="P598" s="60"/>
      <c r="R598" s="53" t="s">
        <v>764</v>
      </c>
      <c r="S598" s="53" t="s">
        <v>769</v>
      </c>
      <c r="T598" s="53" t="s">
        <v>769</v>
      </c>
      <c r="U598" s="53" t="s">
        <v>741</v>
      </c>
      <c r="V598" s="53" t="s">
        <v>770</v>
      </c>
      <c r="W598" s="53" t="s">
        <v>780</v>
      </c>
      <c r="X598" s="61">
        <f>IFERROR(IF(W598="","",WORKDAY.INTL(B598,_xlfn.XLOOKUP(W598,Regras!$F$2:$F$11,Regras!$G$2:$G$11))),"")</f>
        <v>45994</v>
      </c>
      <c r="Y598" s="150" t="s">
        <v>4670</v>
      </c>
      <c r="Z598" s="53" t="s">
        <v>764</v>
      </c>
      <c r="AA598" s="53"/>
      <c r="AB598" s="150" t="s">
        <v>4674</v>
      </c>
    </row>
    <row r="599" spans="2:28" x14ac:dyDescent="0.2">
      <c r="B599" s="89">
        <v>45992</v>
      </c>
      <c r="D599" s="99" t="s">
        <v>4675</v>
      </c>
      <c r="E599" s="121" t="s">
        <v>2566</v>
      </c>
      <c r="F599" s="85" t="s">
        <v>22</v>
      </c>
      <c r="G599" s="85" t="s">
        <v>12</v>
      </c>
      <c r="H599" s="148"/>
      <c r="I599" s="142"/>
      <c r="J599" s="144"/>
      <c r="K599" s="144"/>
      <c r="L599" s="95"/>
      <c r="M599" s="58"/>
      <c r="N599" s="59"/>
      <c r="O599" s="50"/>
      <c r="P599" s="60"/>
      <c r="R599" s="53" t="s">
        <v>764</v>
      </c>
      <c r="S599" s="53" t="s">
        <v>769</v>
      </c>
      <c r="T599" s="53" t="s">
        <v>769</v>
      </c>
      <c r="U599" s="53" t="s">
        <v>741</v>
      </c>
      <c r="V599" s="53" t="s">
        <v>768</v>
      </c>
      <c r="W599" s="53" t="s">
        <v>780</v>
      </c>
      <c r="X599" s="61">
        <f>IFERROR(IF(W599="","",WORKDAY.INTL(B599,_xlfn.XLOOKUP(W599,Regras!$F$2:$F$11,Regras!$G$2:$G$11))),"")</f>
        <v>45994</v>
      </c>
      <c r="Y599" s="150" t="s">
        <v>4676</v>
      </c>
      <c r="Z599" s="53" t="s">
        <v>764</v>
      </c>
      <c r="AA599" s="53"/>
      <c r="AB599" s="150" t="s">
        <v>4677</v>
      </c>
    </row>
    <row r="600" spans="2:28" x14ac:dyDescent="0.2">
      <c r="B600" s="89">
        <v>45992</v>
      </c>
      <c r="D600" s="99" t="s">
        <v>4679</v>
      </c>
      <c r="E600" s="121" t="s">
        <v>4678</v>
      </c>
      <c r="F600" s="85" t="s">
        <v>22</v>
      </c>
      <c r="G600" s="85" t="s">
        <v>12</v>
      </c>
      <c r="H600" s="148"/>
      <c r="I600" s="142"/>
      <c r="J600" s="144"/>
      <c r="K600" s="144"/>
      <c r="L600" s="95"/>
      <c r="M600" s="58"/>
      <c r="N600" s="59"/>
      <c r="O600" s="50"/>
      <c r="P600" s="60"/>
      <c r="R600" s="53" t="s">
        <v>764</v>
      </c>
      <c r="S600" s="53" t="s">
        <v>769</v>
      </c>
      <c r="T600" s="53" t="s">
        <v>769</v>
      </c>
      <c r="U600" s="53" t="s">
        <v>741</v>
      </c>
      <c r="V600" s="53" t="s">
        <v>770</v>
      </c>
      <c r="W600" s="53" t="s">
        <v>1054</v>
      </c>
      <c r="X600" s="61">
        <f>IFERROR(IF(W600="","",WORKDAY.INTL(B600,_xlfn.XLOOKUP(W600,Regras!$F$2:$F$11,Regras!$G$2:$G$11))),"")</f>
        <v>46013</v>
      </c>
      <c r="Y600" s="150" t="s">
        <v>4680</v>
      </c>
      <c r="Z600" s="53" t="s">
        <v>764</v>
      </c>
      <c r="AA600" s="53"/>
      <c r="AB600" s="150" t="s">
        <v>4680</v>
      </c>
    </row>
    <row r="601" spans="2:28" x14ac:dyDescent="0.2">
      <c r="B601" s="89">
        <v>45992</v>
      </c>
      <c r="D601" s="99" t="s">
        <v>1437</v>
      </c>
      <c r="E601" s="121" t="s">
        <v>1438</v>
      </c>
      <c r="F601" s="85" t="s">
        <v>46</v>
      </c>
      <c r="G601" s="85" t="s">
        <v>12</v>
      </c>
      <c r="H601" s="148"/>
      <c r="I601" s="142"/>
      <c r="J601" s="144"/>
      <c r="K601" s="144"/>
      <c r="L601" s="95"/>
      <c r="M601" s="58"/>
      <c r="N601" s="59"/>
      <c r="O601" s="50"/>
      <c r="P601" s="60"/>
      <c r="R601" s="53" t="s">
        <v>764</v>
      </c>
      <c r="S601" s="53" t="s">
        <v>769</v>
      </c>
      <c r="T601" s="53" t="s">
        <v>769</v>
      </c>
      <c r="U601" s="53" t="s">
        <v>741</v>
      </c>
      <c r="V601" s="53" t="s">
        <v>768</v>
      </c>
      <c r="W601" s="53" t="s">
        <v>780</v>
      </c>
      <c r="X601" s="61">
        <f>IFERROR(IF(W601="","",WORKDAY.INTL(B601,_xlfn.XLOOKUP(W601,Regras!$F$2:$F$11,Regras!$G$2:$G$11))),"")</f>
        <v>45994</v>
      </c>
      <c r="Y601" s="150" t="s">
        <v>4676</v>
      </c>
      <c r="Z601" s="53" t="s">
        <v>764</v>
      </c>
      <c r="AA601" s="53"/>
      <c r="AB601" s="150" t="s">
        <v>4677</v>
      </c>
    </row>
    <row r="602" spans="2:28" x14ac:dyDescent="0.2">
      <c r="B602" s="89">
        <v>45992</v>
      </c>
      <c r="D602" s="99" t="s">
        <v>192</v>
      </c>
      <c r="E602" s="121" t="s">
        <v>193</v>
      </c>
      <c r="F602" s="85" t="s">
        <v>17</v>
      </c>
      <c r="G602" s="85" t="s">
        <v>12</v>
      </c>
      <c r="H602" s="148"/>
      <c r="I602" s="142"/>
      <c r="J602" s="144"/>
      <c r="K602" s="144"/>
      <c r="L602" s="95"/>
      <c r="M602" s="58"/>
      <c r="N602" s="59"/>
      <c r="O602" s="50"/>
      <c r="P602" s="60"/>
      <c r="R602" s="53" t="s">
        <v>764</v>
      </c>
      <c r="S602" s="53" t="s">
        <v>769</v>
      </c>
      <c r="T602" s="53" t="s">
        <v>769</v>
      </c>
      <c r="U602" s="53" t="s">
        <v>741</v>
      </c>
      <c r="V602" s="53" t="s">
        <v>770</v>
      </c>
      <c r="W602" s="53" t="s">
        <v>1053</v>
      </c>
      <c r="X602" s="61">
        <f>IFERROR(IF(W602="","",WORKDAY.INTL(B602,_xlfn.XLOOKUP(W602,Regras!$F$2:$F$11,Regras!$G$2:$G$11))),"")</f>
        <v>46001</v>
      </c>
      <c r="Y602" s="150" t="s">
        <v>4670</v>
      </c>
      <c r="Z602" s="53" t="s">
        <v>764</v>
      </c>
      <c r="AA602" s="53"/>
      <c r="AB602" s="150" t="s">
        <v>4670</v>
      </c>
    </row>
    <row r="603" spans="2:28" x14ac:dyDescent="0.2">
      <c r="B603" s="89">
        <v>45992</v>
      </c>
      <c r="D603" s="99" t="s">
        <v>1678</v>
      </c>
      <c r="E603" s="121" t="s">
        <v>1593</v>
      </c>
      <c r="F603" s="85" t="s">
        <v>46</v>
      </c>
      <c r="G603" s="85" t="s">
        <v>12</v>
      </c>
      <c r="H603" s="148"/>
      <c r="I603" s="142"/>
      <c r="J603" s="144"/>
      <c r="K603" s="144"/>
      <c r="L603" s="95"/>
      <c r="M603" s="58"/>
      <c r="N603" s="59"/>
      <c r="O603" s="50"/>
      <c r="P603" s="60"/>
      <c r="R603" s="53" t="s">
        <v>764</v>
      </c>
      <c r="S603" s="53" t="s">
        <v>769</v>
      </c>
      <c r="T603" s="53" t="s">
        <v>769</v>
      </c>
      <c r="U603" s="53" t="s">
        <v>741</v>
      </c>
      <c r="V603" s="53" t="s">
        <v>768</v>
      </c>
      <c r="W603" s="53" t="s">
        <v>796</v>
      </c>
      <c r="X603" s="61" t="str">
        <f>IFERROR(IF(W603="","",WORKDAY.INTL(B603,_xlfn.XLOOKUP(W603,Regras!$F$2:$F$11,Regras!$G$2:$G$11))),"")</f>
        <v/>
      </c>
      <c r="Y603" s="150" t="s">
        <v>1237</v>
      </c>
      <c r="Z603" s="53" t="s">
        <v>764</v>
      </c>
      <c r="AA603" s="53"/>
      <c r="AB603" s="150" t="s">
        <v>1237</v>
      </c>
    </row>
    <row r="604" spans="2:28" x14ac:dyDescent="0.2">
      <c r="B604" s="89">
        <v>45992</v>
      </c>
      <c r="D604" s="99" t="s">
        <v>289</v>
      </c>
      <c r="E604" s="121" t="s">
        <v>290</v>
      </c>
      <c r="F604" s="85" t="s">
        <v>46</v>
      </c>
      <c r="G604" s="85" t="s">
        <v>12</v>
      </c>
      <c r="H604" s="148"/>
      <c r="I604" s="142"/>
      <c r="J604" s="144"/>
      <c r="K604" s="144"/>
      <c r="L604" s="95"/>
      <c r="M604" s="58"/>
      <c r="N604" s="59"/>
      <c r="O604" s="50"/>
      <c r="P604" s="60"/>
      <c r="R604" s="53" t="s">
        <v>764</v>
      </c>
      <c r="S604" s="53" t="s">
        <v>769</v>
      </c>
      <c r="T604" s="53" t="s">
        <v>769</v>
      </c>
      <c r="U604" s="53" t="s">
        <v>741</v>
      </c>
      <c r="V604" s="53" t="s">
        <v>770</v>
      </c>
      <c r="W604" s="53" t="s">
        <v>1053</v>
      </c>
      <c r="X604" s="61">
        <f>IFERROR(IF(W604="","",WORKDAY.INTL(B604,_xlfn.XLOOKUP(W604,Regras!$F$2:$F$11,Regras!$G$2:$G$11))),"")</f>
        <v>46001</v>
      </c>
      <c r="Y604" s="150" t="s">
        <v>4681</v>
      </c>
      <c r="Z604" s="53" t="s">
        <v>764</v>
      </c>
      <c r="AA604" s="53"/>
      <c r="AB604" s="150" t="s">
        <v>4681</v>
      </c>
    </row>
    <row r="605" spans="2:28" x14ac:dyDescent="0.2">
      <c r="B605" s="89">
        <v>45992</v>
      </c>
      <c r="D605" s="99" t="s">
        <v>94</v>
      </c>
      <c r="E605" s="121" t="s">
        <v>95</v>
      </c>
      <c r="F605" s="85" t="s">
        <v>11</v>
      </c>
      <c r="G605" s="85" t="s">
        <v>12</v>
      </c>
      <c r="H605" s="148"/>
      <c r="I605" s="142"/>
      <c r="J605" s="144"/>
      <c r="K605" s="144"/>
      <c r="L605" s="95"/>
      <c r="M605" s="58"/>
      <c r="N605" s="59"/>
      <c r="O605" s="50"/>
      <c r="P605" s="60"/>
      <c r="R605" s="53" t="s">
        <v>764</v>
      </c>
      <c r="S605" s="53" t="s">
        <v>769</v>
      </c>
      <c r="T605" s="53" t="s">
        <v>769</v>
      </c>
      <c r="U605" s="53" t="s">
        <v>741</v>
      </c>
      <c r="V605" s="53" t="s">
        <v>770</v>
      </c>
      <c r="W605" s="53" t="s">
        <v>1053</v>
      </c>
      <c r="X605" s="61">
        <f>IFERROR(IF(W605="","",WORKDAY.INTL(B605,_xlfn.XLOOKUP(W605,Regras!$F$2:$F$11,Regras!$G$2:$G$11))),"")</f>
        <v>46001</v>
      </c>
      <c r="Y605" s="150" t="s">
        <v>4670</v>
      </c>
      <c r="Z605" s="53" t="s">
        <v>764</v>
      </c>
      <c r="AA605" s="53"/>
      <c r="AB605" s="150" t="s">
        <v>4672</v>
      </c>
    </row>
    <row r="606" spans="2:28" x14ac:dyDescent="0.2">
      <c r="B606" s="89">
        <v>45992</v>
      </c>
      <c r="D606" s="99" t="s">
        <v>4683</v>
      </c>
      <c r="E606" s="121" t="s">
        <v>4682</v>
      </c>
      <c r="F606" s="85" t="s">
        <v>22</v>
      </c>
      <c r="G606" s="85" t="s">
        <v>12</v>
      </c>
      <c r="H606" s="148"/>
      <c r="I606" s="142"/>
      <c r="J606" s="144"/>
      <c r="K606" s="144"/>
      <c r="L606" s="95"/>
      <c r="M606" s="58"/>
      <c r="N606" s="59"/>
      <c r="O606" s="50"/>
      <c r="P606" s="60"/>
      <c r="R606" s="53" t="s">
        <v>764</v>
      </c>
      <c r="S606" s="53" t="s">
        <v>769</v>
      </c>
      <c r="T606" s="53" t="s">
        <v>769</v>
      </c>
      <c r="U606" s="53" t="s">
        <v>741</v>
      </c>
      <c r="V606" s="53" t="s">
        <v>770</v>
      </c>
      <c r="W606" s="53" t="s">
        <v>777</v>
      </c>
      <c r="X606" s="61" t="str">
        <f>IFERROR(IF(W606="","",WORKDAY.INTL(B606,_xlfn.XLOOKUP(W606,Regras!$F$2:$F$11,Regras!$G$2:$G$11))),"")</f>
        <v/>
      </c>
      <c r="Y606" s="150" t="s">
        <v>4684</v>
      </c>
      <c r="Z606" s="53" t="s">
        <v>764</v>
      </c>
      <c r="AA606" s="53"/>
      <c r="AB606" s="155" t="s">
        <v>4685</v>
      </c>
    </row>
    <row r="607" spans="2:28" x14ac:dyDescent="0.2">
      <c r="B607" s="89">
        <v>45992</v>
      </c>
      <c r="D607" s="99" t="s">
        <v>4686</v>
      </c>
      <c r="E607" s="121" t="s">
        <v>4366</v>
      </c>
      <c r="F607" s="85" t="s">
        <v>46</v>
      </c>
      <c r="G607" s="85" t="s">
        <v>12</v>
      </c>
      <c r="H607" s="148"/>
      <c r="I607" s="142"/>
      <c r="J607" s="144"/>
      <c r="K607" s="144"/>
      <c r="L607" s="95"/>
      <c r="M607" s="58"/>
      <c r="N607" s="59"/>
      <c r="O607" s="50"/>
      <c r="P607" s="60"/>
      <c r="R607" s="53" t="s">
        <v>764</v>
      </c>
      <c r="S607" s="53" t="s">
        <v>769</v>
      </c>
      <c r="T607" s="53" t="s">
        <v>769</v>
      </c>
      <c r="U607" s="53" t="s">
        <v>741</v>
      </c>
      <c r="V607" s="53" t="s">
        <v>770</v>
      </c>
      <c r="W607" s="53" t="s">
        <v>777</v>
      </c>
      <c r="X607" s="61" t="str">
        <f>IFERROR(IF(W607="","",WORKDAY.INTL(B607,_xlfn.XLOOKUP(W607,Regras!$F$2:$F$11,Regras!$G$2:$G$11))),"")</f>
        <v/>
      </c>
      <c r="Y607" s="150" t="s">
        <v>4687</v>
      </c>
      <c r="Z607" s="53" t="s">
        <v>764</v>
      </c>
      <c r="AA607" s="53"/>
      <c r="AB607" s="150" t="s">
        <v>4687</v>
      </c>
    </row>
    <row r="608" spans="2:28" x14ac:dyDescent="0.2">
      <c r="B608" s="89">
        <v>45992</v>
      </c>
      <c r="D608" s="99" t="s">
        <v>284</v>
      </c>
      <c r="E608" s="121" t="s">
        <v>285</v>
      </c>
      <c r="F608" s="85" t="s">
        <v>22</v>
      </c>
      <c r="G608" s="85" t="s">
        <v>12</v>
      </c>
      <c r="H608" s="148"/>
      <c r="I608" s="142"/>
      <c r="J608" s="144"/>
      <c r="K608" s="144"/>
      <c r="L608" s="44" t="s">
        <v>741</v>
      </c>
      <c r="M608" s="58"/>
      <c r="N608" s="59"/>
      <c r="O608" s="50"/>
      <c r="P608" s="60"/>
      <c r="R608" s="53" t="s">
        <v>764</v>
      </c>
      <c r="S608" s="53" t="s">
        <v>769</v>
      </c>
      <c r="T608" s="53" t="s">
        <v>769</v>
      </c>
      <c r="U608" s="53" t="s">
        <v>741</v>
      </c>
      <c r="V608" s="53" t="s">
        <v>770</v>
      </c>
      <c r="W608" s="53" t="s">
        <v>777</v>
      </c>
      <c r="X608" s="61" t="str">
        <f>IFERROR(IF(W608="","",WORKDAY.INTL(B608,_xlfn.XLOOKUP(W608,Regras!$F$2:$F$11,Regras!$G$2:$G$11))),"")</f>
        <v/>
      </c>
      <c r="Y608" s="150" t="s">
        <v>4688</v>
      </c>
      <c r="Z608" s="53" t="s">
        <v>764</v>
      </c>
      <c r="AA608" s="53"/>
      <c r="AB608" s="155" t="s">
        <v>4689</v>
      </c>
    </row>
    <row r="609" spans="2:28" x14ac:dyDescent="0.2">
      <c r="B609" s="89">
        <v>45993</v>
      </c>
      <c r="D609" s="99" t="s">
        <v>4690</v>
      </c>
      <c r="E609" s="121" t="s">
        <v>1119</v>
      </c>
      <c r="F609" s="85" t="s">
        <v>46</v>
      </c>
      <c r="G609" s="85" t="s">
        <v>12</v>
      </c>
      <c r="H609" s="148"/>
      <c r="I609" s="142"/>
      <c r="J609" s="144"/>
      <c r="K609" s="144"/>
      <c r="L609" s="95"/>
      <c r="M609" s="58"/>
      <c r="N609" s="59"/>
      <c r="O609" s="50"/>
      <c r="P609" s="60"/>
      <c r="R609" s="53" t="s">
        <v>764</v>
      </c>
      <c r="S609" s="53" t="s">
        <v>764</v>
      </c>
      <c r="T609" s="53" t="s">
        <v>769</v>
      </c>
      <c r="U609" s="53" t="s">
        <v>741</v>
      </c>
      <c r="V609" s="53" t="s">
        <v>770</v>
      </c>
      <c r="W609" s="53" t="s">
        <v>777</v>
      </c>
      <c r="X609" s="61" t="str">
        <f>IFERROR(IF(W609="","",WORKDAY.INTL(B609,_xlfn.XLOOKUP(W609,Regras!$F$2:$F$11,Regras!$G$2:$G$11))),"")</f>
        <v/>
      </c>
      <c r="Y609" s="150" t="s">
        <v>4691</v>
      </c>
      <c r="Z609" s="53" t="s">
        <v>764</v>
      </c>
      <c r="AA609" s="53"/>
      <c r="AB609" s="150" t="s">
        <v>4691</v>
      </c>
    </row>
    <row r="610" spans="2:28" x14ac:dyDescent="0.2">
      <c r="B610" s="89">
        <v>45993</v>
      </c>
      <c r="D610" s="99" t="s">
        <v>4692</v>
      </c>
      <c r="E610" s="121" t="s">
        <v>621</v>
      </c>
      <c r="F610" s="85" t="s">
        <v>17</v>
      </c>
      <c r="G610" s="85" t="s">
        <v>12</v>
      </c>
      <c r="H610" s="148"/>
      <c r="I610" s="142"/>
      <c r="J610" s="144"/>
      <c r="K610" s="144"/>
      <c r="L610" s="95"/>
      <c r="M610" s="58"/>
      <c r="N610" s="59"/>
      <c r="O610" s="50"/>
      <c r="P610" s="60"/>
      <c r="R610" s="53" t="s">
        <v>764</v>
      </c>
      <c r="S610" s="53" t="s">
        <v>769</v>
      </c>
      <c r="T610" s="53" t="s">
        <v>769</v>
      </c>
      <c r="U610" s="53" t="s">
        <v>741</v>
      </c>
      <c r="V610" s="53" t="s">
        <v>770</v>
      </c>
      <c r="W610" s="53" t="s">
        <v>1053</v>
      </c>
      <c r="X610" s="61">
        <f>IFERROR(IF(W610="","",WORKDAY.INTL(B610,_xlfn.XLOOKUP(W610,Regras!$F$2:$F$11,Regras!$G$2:$G$11))),"")</f>
        <v>46002</v>
      </c>
      <c r="Y610" s="150" t="s">
        <v>4693</v>
      </c>
      <c r="Z610" s="53" t="s">
        <v>764</v>
      </c>
      <c r="AA610" s="53"/>
      <c r="AB610" s="150" t="s">
        <v>4693</v>
      </c>
    </row>
    <row r="611" spans="2:28" x14ac:dyDescent="0.2">
      <c r="B611" s="89">
        <v>45993</v>
      </c>
      <c r="D611" s="99" t="s">
        <v>4695</v>
      </c>
      <c r="E611" s="121" t="s">
        <v>4694</v>
      </c>
      <c r="F611" s="85" t="s">
        <v>22</v>
      </c>
      <c r="G611" s="85" t="s">
        <v>12</v>
      </c>
      <c r="H611" s="148"/>
      <c r="I611" s="142"/>
      <c r="J611" s="144"/>
      <c r="K611" s="144"/>
      <c r="L611" s="95"/>
      <c r="M611" s="58"/>
      <c r="N611" s="59"/>
      <c r="O611" s="50"/>
      <c r="P611" s="60"/>
      <c r="R611" s="53" t="s">
        <v>764</v>
      </c>
      <c r="S611" s="53" t="s">
        <v>769</v>
      </c>
      <c r="T611" s="53" t="s">
        <v>769</v>
      </c>
      <c r="U611" s="53" t="s">
        <v>773</v>
      </c>
      <c r="V611" s="53" t="s">
        <v>768</v>
      </c>
      <c r="W611" s="53" t="s">
        <v>780</v>
      </c>
      <c r="X611" s="61">
        <f>IFERROR(IF(W611="","",WORKDAY.INTL(B611,_xlfn.XLOOKUP(W611,Regras!$F$2:$F$11,Regras!$G$2:$G$11))),"")</f>
        <v>45995</v>
      </c>
      <c r="Y611" s="150" t="s">
        <v>4696</v>
      </c>
      <c r="Z611" s="53" t="s">
        <v>764</v>
      </c>
      <c r="AA611" s="53"/>
      <c r="AB611" s="155" t="s">
        <v>4697</v>
      </c>
    </row>
    <row r="612" spans="2:28" x14ac:dyDescent="0.2">
      <c r="B612" s="89">
        <v>45993</v>
      </c>
      <c r="D612" s="99" t="s">
        <v>4698</v>
      </c>
      <c r="E612" s="121" t="s">
        <v>2031</v>
      </c>
      <c r="F612" s="85" t="s">
        <v>46</v>
      </c>
      <c r="G612" s="85" t="s">
        <v>12</v>
      </c>
      <c r="H612" s="148"/>
      <c r="I612" s="142"/>
      <c r="J612" s="144"/>
      <c r="K612" s="144"/>
      <c r="L612" s="95"/>
      <c r="M612" s="58"/>
      <c r="N612" s="59"/>
      <c r="O612" s="50"/>
      <c r="P612" s="60"/>
      <c r="R612" s="53" t="s">
        <v>764</v>
      </c>
      <c r="S612" s="53" t="s">
        <v>764</v>
      </c>
      <c r="T612" s="53" t="s">
        <v>769</v>
      </c>
      <c r="U612" s="53" t="s">
        <v>741</v>
      </c>
      <c r="V612" s="53" t="s">
        <v>768</v>
      </c>
      <c r="W612" s="53" t="s">
        <v>780</v>
      </c>
      <c r="X612" s="61">
        <f>IFERROR(IF(W612="","",WORKDAY.INTL(B612,_xlfn.XLOOKUP(W612,Regras!$F$2:$F$11,Regras!$G$2:$G$11))),"")</f>
        <v>45995</v>
      </c>
      <c r="Y612" s="150" t="s">
        <v>4699</v>
      </c>
      <c r="Z612" s="53" t="s">
        <v>764</v>
      </c>
      <c r="AA612" s="53"/>
      <c r="AB612" s="155" t="s">
        <v>973</v>
      </c>
    </row>
    <row r="613" spans="2:28" x14ac:dyDescent="0.2">
      <c r="B613" s="89">
        <v>45993</v>
      </c>
      <c r="D613" s="99" t="s">
        <v>4700</v>
      </c>
      <c r="E613" s="121"/>
      <c r="F613" s="85" t="s">
        <v>22</v>
      </c>
      <c r="G613" s="85" t="s">
        <v>12</v>
      </c>
      <c r="H613" s="148"/>
      <c r="I613" s="142"/>
      <c r="J613" s="144"/>
      <c r="K613" s="144"/>
      <c r="L613" s="95"/>
      <c r="M613" s="58"/>
      <c r="N613" s="59"/>
      <c r="O613" s="50"/>
      <c r="P613" s="60"/>
      <c r="R613" s="53" t="s">
        <v>764</v>
      </c>
      <c r="S613" s="53" t="s">
        <v>764</v>
      </c>
      <c r="T613" s="53" t="s">
        <v>764</v>
      </c>
      <c r="U613" s="53" t="s">
        <v>773</v>
      </c>
      <c r="V613" s="53" t="s">
        <v>768</v>
      </c>
      <c r="W613" s="53" t="s">
        <v>780</v>
      </c>
      <c r="X613" s="61">
        <f>IFERROR(IF(W613="","",WORKDAY.INTL(B613,_xlfn.XLOOKUP(W613,Regras!$F$2:$F$11,Regras!$G$2:$G$11))),"")</f>
        <v>45995</v>
      </c>
      <c r="Y613" s="150" t="s">
        <v>4701</v>
      </c>
      <c r="Z613" s="53" t="s">
        <v>764</v>
      </c>
      <c r="AA613" s="53"/>
      <c r="AB613" s="150" t="s">
        <v>4701</v>
      </c>
    </row>
    <row r="614" spans="2:28" x14ac:dyDescent="0.2">
      <c r="B614" s="89">
        <v>45993</v>
      </c>
      <c r="D614" s="99" t="s">
        <v>4703</v>
      </c>
      <c r="E614" s="121" t="s">
        <v>4702</v>
      </c>
      <c r="F614" s="85" t="s">
        <v>17</v>
      </c>
      <c r="G614" s="85" t="s">
        <v>12</v>
      </c>
      <c r="H614" s="148"/>
      <c r="I614" s="142"/>
      <c r="J614" s="144"/>
      <c r="K614" s="144"/>
      <c r="L614" s="95"/>
      <c r="M614" s="58"/>
      <c r="N614" s="59"/>
      <c r="O614" s="50"/>
      <c r="P614" s="60"/>
      <c r="R614" s="53" t="s">
        <v>764</v>
      </c>
      <c r="S614" s="53" t="s">
        <v>769</v>
      </c>
      <c r="T614" s="53" t="s">
        <v>769</v>
      </c>
      <c r="U614" s="53" t="s">
        <v>773</v>
      </c>
      <c r="V614" s="53" t="s">
        <v>768</v>
      </c>
      <c r="W614" s="53" t="s">
        <v>780</v>
      </c>
      <c r="X614" s="61">
        <f>IFERROR(IF(W614="","",WORKDAY.INTL(B614,_xlfn.XLOOKUP(W614,Regras!$F$2:$F$11,Regras!$G$2:$G$11))),"")</f>
        <v>45995</v>
      </c>
      <c r="Y614" s="150" t="s">
        <v>4704</v>
      </c>
      <c r="Z614" s="53" t="s">
        <v>764</v>
      </c>
      <c r="AA614" s="53"/>
      <c r="AB614" s="150" t="s">
        <v>4704</v>
      </c>
    </row>
    <row r="615" spans="2:28" x14ac:dyDescent="0.2">
      <c r="B615" s="89">
        <v>45993</v>
      </c>
      <c r="D615" s="99" t="s">
        <v>3430</v>
      </c>
      <c r="E615" s="121" t="s">
        <v>3431</v>
      </c>
      <c r="F615" s="85" t="s">
        <v>46</v>
      </c>
      <c r="G615" s="85" t="s">
        <v>12</v>
      </c>
      <c r="H615" s="148"/>
      <c r="I615" s="142"/>
      <c r="J615" s="144"/>
      <c r="K615" s="144"/>
      <c r="L615" s="95"/>
      <c r="M615" s="58"/>
      <c r="N615" s="59"/>
      <c r="O615" s="50"/>
      <c r="P615" s="60"/>
      <c r="R615" s="53" t="s">
        <v>764</v>
      </c>
      <c r="S615" s="53" t="s">
        <v>769</v>
      </c>
      <c r="T615" s="53" t="s">
        <v>769</v>
      </c>
      <c r="U615" s="53" t="s">
        <v>741</v>
      </c>
      <c r="V615" s="53" t="s">
        <v>768</v>
      </c>
      <c r="W615" s="53" t="s">
        <v>780</v>
      </c>
      <c r="X615" s="61">
        <f>IFERROR(IF(W615="","",WORKDAY.INTL(B615,_xlfn.XLOOKUP(W615,Regras!$F$2:$F$11,Regras!$G$2:$G$11))),"")</f>
        <v>45995</v>
      </c>
      <c r="Y615" s="150" t="s">
        <v>4705</v>
      </c>
      <c r="Z615" s="53" t="s">
        <v>764</v>
      </c>
      <c r="AA615" s="53"/>
      <c r="AB615" s="150" t="s">
        <v>4705</v>
      </c>
    </row>
    <row r="616" spans="2:28" x14ac:dyDescent="0.2">
      <c r="B616" s="89">
        <v>45993</v>
      </c>
      <c r="D616" s="99" t="s">
        <v>201</v>
      </c>
      <c r="E616" s="121" t="s">
        <v>202</v>
      </c>
      <c r="F616" s="85" t="s">
        <v>46</v>
      </c>
      <c r="G616" s="85" t="s">
        <v>12</v>
      </c>
      <c r="H616" s="148"/>
      <c r="I616" s="142"/>
      <c r="J616" s="144"/>
      <c r="K616" s="144"/>
      <c r="L616" s="95"/>
      <c r="M616" s="58"/>
      <c r="N616" s="59"/>
      <c r="O616" s="50"/>
      <c r="P616" s="60"/>
      <c r="R616" s="53" t="s">
        <v>764</v>
      </c>
      <c r="S616" s="53" t="s">
        <v>769</v>
      </c>
      <c r="T616" s="53" t="s">
        <v>769</v>
      </c>
      <c r="U616" s="53" t="s">
        <v>773</v>
      </c>
      <c r="V616" s="53" t="s">
        <v>770</v>
      </c>
      <c r="W616" s="53" t="s">
        <v>780</v>
      </c>
      <c r="X616" s="61">
        <f>IFERROR(IF(W616="","",WORKDAY.INTL(B616,_xlfn.XLOOKUP(W616,Regras!$F$2:$F$11,Regras!$G$2:$G$11))),"")</f>
        <v>45995</v>
      </c>
      <c r="Y616" s="150" t="s">
        <v>4706</v>
      </c>
      <c r="Z616" s="53" t="s">
        <v>764</v>
      </c>
      <c r="AA616" s="53"/>
      <c r="AB616" s="155" t="s">
        <v>4707</v>
      </c>
    </row>
    <row r="617" spans="2:28" x14ac:dyDescent="0.2">
      <c r="B617" s="89">
        <v>45993</v>
      </c>
      <c r="D617" s="99" t="s">
        <v>417</v>
      </c>
      <c r="E617" s="121" t="s">
        <v>418</v>
      </c>
      <c r="F617" s="85" t="s">
        <v>22</v>
      </c>
      <c r="G617" s="85" t="s">
        <v>12</v>
      </c>
      <c r="H617" s="148"/>
      <c r="I617" s="142"/>
      <c r="J617" s="144"/>
      <c r="K617" s="144"/>
      <c r="L617" s="95"/>
      <c r="M617" s="58"/>
      <c r="N617" s="59"/>
      <c r="O617" s="50"/>
      <c r="P617" s="60"/>
      <c r="R617" s="53" t="s">
        <v>764</v>
      </c>
      <c r="S617" s="53" t="s">
        <v>769</v>
      </c>
      <c r="T617" s="53" t="s">
        <v>769</v>
      </c>
      <c r="U617" s="53" t="s">
        <v>773</v>
      </c>
      <c r="V617" s="53" t="s">
        <v>770</v>
      </c>
      <c r="W617" s="53" t="s">
        <v>766</v>
      </c>
      <c r="X617" s="61">
        <f>IFERROR(IF(W617="","",WORKDAY.INTL(B617,_xlfn.XLOOKUP(W617,Regras!$F$2:$F$11,Regras!$G$2:$G$11))),"")</f>
        <v>46056</v>
      </c>
      <c r="Y617" s="150" t="s">
        <v>1003</v>
      </c>
      <c r="Z617" s="53" t="s">
        <v>764</v>
      </c>
      <c r="AA617" s="53"/>
      <c r="AB617" s="150" t="s">
        <v>1003</v>
      </c>
    </row>
    <row r="618" spans="2:28" x14ac:dyDescent="0.2">
      <c r="B618" s="89">
        <v>45994</v>
      </c>
      <c r="D618" s="99" t="s">
        <v>4673</v>
      </c>
      <c r="E618" s="121" t="s">
        <v>176</v>
      </c>
      <c r="F618" s="85"/>
      <c r="G618" s="85" t="s">
        <v>12</v>
      </c>
      <c r="H618" s="148"/>
      <c r="I618" s="142"/>
      <c r="J618" s="144"/>
      <c r="K618" s="144"/>
      <c r="L618" s="95"/>
      <c r="M618" s="58"/>
      <c r="N618" s="59"/>
      <c r="O618" s="50"/>
      <c r="P618" s="60"/>
      <c r="R618" s="53" t="s">
        <v>764</v>
      </c>
      <c r="S618" s="53" t="s">
        <v>769</v>
      </c>
      <c r="T618" s="53" t="s">
        <v>769</v>
      </c>
      <c r="U618" s="53" t="s">
        <v>773</v>
      </c>
      <c r="V618" s="53" t="s">
        <v>770</v>
      </c>
      <c r="W618" s="53" t="s">
        <v>839</v>
      </c>
      <c r="X618" s="61">
        <f>IFERROR(IF(W618="","",WORKDAY.INTL(B618,_xlfn.XLOOKUP(W618,Regras!$F$2:$F$11,Regras!$G$2:$G$11))),"")</f>
        <v>45995</v>
      </c>
      <c r="Y618" s="150" t="s">
        <v>4708</v>
      </c>
      <c r="Z618" s="53" t="s">
        <v>764</v>
      </c>
      <c r="AA618" s="53"/>
      <c r="AB618" s="150" t="s">
        <v>4708</v>
      </c>
    </row>
    <row r="619" spans="2:28" x14ac:dyDescent="0.2">
      <c r="B619" s="89">
        <v>45994</v>
      </c>
      <c r="D619" s="99" t="s">
        <v>4683</v>
      </c>
      <c r="E619" s="121" t="s">
        <v>4682</v>
      </c>
      <c r="F619" s="85" t="s">
        <v>22</v>
      </c>
      <c r="G619" s="85" t="s">
        <v>12</v>
      </c>
      <c r="H619" s="148"/>
      <c r="I619" s="142"/>
      <c r="J619" s="144"/>
      <c r="K619" s="144"/>
      <c r="L619" s="95"/>
      <c r="M619" s="58"/>
      <c r="N619" s="59"/>
      <c r="O619" s="50"/>
      <c r="P619" s="60"/>
      <c r="R619" s="53" t="s">
        <v>764</v>
      </c>
      <c r="S619" s="53" t="s">
        <v>764</v>
      </c>
      <c r="T619" s="53" t="s">
        <v>769</v>
      </c>
      <c r="U619" s="53" t="s">
        <v>773</v>
      </c>
      <c r="V619" s="53" t="s">
        <v>776</v>
      </c>
      <c r="W619" s="53" t="s">
        <v>777</v>
      </c>
      <c r="X619" s="61" t="str">
        <f>IFERROR(IF(W619="","",WORKDAY.INTL(B619,_xlfn.XLOOKUP(W619,Regras!$F$2:$F$11,Regras!$G$2:$G$11))),"")</f>
        <v/>
      </c>
      <c r="Y619" s="150" t="s">
        <v>4684</v>
      </c>
      <c r="Z619" s="53" t="s">
        <v>764</v>
      </c>
      <c r="AA619" s="53"/>
      <c r="AB619" s="155" t="s">
        <v>4685</v>
      </c>
    </row>
    <row r="620" spans="2:28" x14ac:dyDescent="0.2">
      <c r="B620" s="89">
        <v>45994</v>
      </c>
      <c r="D620" s="99" t="s">
        <v>168</v>
      </c>
      <c r="E620" s="121" t="s">
        <v>957</v>
      </c>
      <c r="F620" s="85" t="s">
        <v>46</v>
      </c>
      <c r="G620" s="85" t="s">
        <v>12</v>
      </c>
      <c r="H620" s="148"/>
      <c r="I620" s="142"/>
      <c r="J620" s="144"/>
      <c r="K620" s="144"/>
      <c r="L620" s="95"/>
      <c r="M620" s="58"/>
      <c r="N620" s="59"/>
      <c r="O620" s="50"/>
      <c r="P620" s="60"/>
      <c r="R620" s="53" t="s">
        <v>764</v>
      </c>
      <c r="S620" s="53" t="s">
        <v>769</v>
      </c>
      <c r="T620" s="53" t="s">
        <v>769</v>
      </c>
      <c r="U620" s="53" t="s">
        <v>773</v>
      </c>
      <c r="V620" s="53" t="s">
        <v>776</v>
      </c>
      <c r="W620" s="53" t="s">
        <v>777</v>
      </c>
      <c r="X620" s="61" t="str">
        <f>IFERROR(IF(W620="","",WORKDAY.INTL(B620,_xlfn.XLOOKUP(W620,Regras!$F$2:$F$11,Regras!$G$2:$G$11))),"")</f>
        <v/>
      </c>
      <c r="Y620" s="150" t="s">
        <v>4709</v>
      </c>
      <c r="Z620" s="53" t="s">
        <v>764</v>
      </c>
      <c r="AA620" s="53"/>
      <c r="AB620" s="150" t="s">
        <v>4709</v>
      </c>
    </row>
    <row r="621" spans="2:28" x14ac:dyDescent="0.2">
      <c r="B621" s="89">
        <v>45994</v>
      </c>
      <c r="D621" s="99" t="s">
        <v>500</v>
      </c>
      <c r="E621" s="121" t="s">
        <v>501</v>
      </c>
      <c r="F621" s="85" t="s">
        <v>17</v>
      </c>
      <c r="G621" s="85" t="s">
        <v>12</v>
      </c>
      <c r="H621" s="148"/>
      <c r="I621" s="142"/>
      <c r="J621" s="144"/>
      <c r="K621" s="144"/>
      <c r="L621" s="95"/>
      <c r="M621" s="58"/>
      <c r="N621" s="59"/>
      <c r="O621" s="50"/>
      <c r="P621" s="60"/>
      <c r="R621" s="53" t="s">
        <v>764</v>
      </c>
      <c r="S621" s="53" t="s">
        <v>769</v>
      </c>
      <c r="T621" s="53" t="s">
        <v>769</v>
      </c>
      <c r="U621" s="53" t="s">
        <v>741</v>
      </c>
      <c r="V621" s="53" t="s">
        <v>765</v>
      </c>
      <c r="W621" s="53" t="s">
        <v>780</v>
      </c>
      <c r="X621" s="61">
        <f>IFERROR(IF(W621="","",WORKDAY.INTL(B621,_xlfn.XLOOKUP(W621,Regras!$F$2:$F$11,Regras!$G$2:$G$11))),"")</f>
        <v>45996</v>
      </c>
      <c r="Y621" s="150" t="s">
        <v>4710</v>
      </c>
      <c r="Z621" s="53" t="s">
        <v>764</v>
      </c>
      <c r="AA621" s="53"/>
      <c r="AB621" s="150" t="s">
        <v>4710</v>
      </c>
    </row>
    <row r="622" spans="2:28" x14ac:dyDescent="0.2">
      <c r="B622" s="89">
        <v>45994</v>
      </c>
      <c r="D622" s="99" t="s">
        <v>430</v>
      </c>
      <c r="E622" s="121" t="s">
        <v>431</v>
      </c>
      <c r="F622" s="85" t="s">
        <v>46</v>
      </c>
      <c r="G622" s="85" t="s">
        <v>12</v>
      </c>
      <c r="H622" s="148"/>
      <c r="I622" s="142"/>
      <c r="J622" s="144"/>
      <c r="K622" s="144"/>
      <c r="L622" s="95"/>
      <c r="M622" s="58"/>
      <c r="N622" s="59"/>
      <c r="O622" s="50"/>
      <c r="P622" s="60"/>
      <c r="R622" s="53" t="s">
        <v>764</v>
      </c>
      <c r="S622" s="53" t="s">
        <v>764</v>
      </c>
      <c r="T622" s="53" t="s">
        <v>769</v>
      </c>
      <c r="U622" s="53" t="s">
        <v>741</v>
      </c>
      <c r="V622" s="53" t="s">
        <v>765</v>
      </c>
      <c r="W622" s="53" t="s">
        <v>780</v>
      </c>
      <c r="X622" s="61">
        <f>IFERROR(IF(W622="","",WORKDAY.INTL(B622,_xlfn.XLOOKUP(W622,Regras!$F$2:$F$11,Regras!$G$2:$G$11))),"")</f>
        <v>45996</v>
      </c>
      <c r="Y622" s="150" t="s">
        <v>4710</v>
      </c>
      <c r="Z622" s="53" t="s">
        <v>764</v>
      </c>
      <c r="AA622" s="53"/>
      <c r="AB622" s="150" t="s">
        <v>4710</v>
      </c>
    </row>
    <row r="623" spans="2:28" x14ac:dyDescent="0.2">
      <c r="B623" s="89">
        <v>45994</v>
      </c>
      <c r="D623" s="99" t="s">
        <v>334</v>
      </c>
      <c r="E623" s="121" t="s">
        <v>335</v>
      </c>
      <c r="F623" s="85" t="s">
        <v>46</v>
      </c>
      <c r="G623" s="85" t="s">
        <v>12</v>
      </c>
      <c r="H623" s="148"/>
      <c r="I623" s="142"/>
      <c r="J623" s="144"/>
      <c r="K623" s="144"/>
      <c r="L623" s="95"/>
      <c r="M623" s="58"/>
      <c r="N623" s="59"/>
      <c r="O623" s="50"/>
      <c r="P623" s="60"/>
      <c r="R623" s="53" t="s">
        <v>764</v>
      </c>
      <c r="S623" s="53" t="s">
        <v>769</v>
      </c>
      <c r="T623" s="53" t="s">
        <v>769</v>
      </c>
      <c r="U623" s="53" t="s">
        <v>741</v>
      </c>
      <c r="V623" s="53" t="s">
        <v>765</v>
      </c>
      <c r="W623" s="53" t="s">
        <v>780</v>
      </c>
      <c r="X623" s="61">
        <f>IFERROR(IF(W623="","",WORKDAY.INTL(B623,_xlfn.XLOOKUP(W623,Regras!$F$2:$F$11,Regras!$G$2:$G$11))),"")</f>
        <v>45996</v>
      </c>
      <c r="Y623" s="150" t="s">
        <v>4710</v>
      </c>
      <c r="Z623" s="53" t="s">
        <v>764</v>
      </c>
      <c r="AA623" s="53"/>
      <c r="AB623" s="150" t="s">
        <v>4710</v>
      </c>
    </row>
    <row r="624" spans="2:28" x14ac:dyDescent="0.2">
      <c r="B624" s="89">
        <v>45994</v>
      </c>
      <c r="D624" s="85" t="s">
        <v>318</v>
      </c>
      <c r="E624" s="121" t="s">
        <v>319</v>
      </c>
      <c r="F624" s="85" t="s">
        <v>22</v>
      </c>
      <c r="G624" s="85" t="s">
        <v>12</v>
      </c>
      <c r="H624" s="148"/>
      <c r="I624" s="142"/>
      <c r="J624" s="144"/>
      <c r="K624" s="144"/>
      <c r="L624" s="95"/>
      <c r="M624" s="58"/>
      <c r="N624" s="59"/>
      <c r="O624" s="50"/>
      <c r="P624" s="60"/>
      <c r="R624" s="53" t="s">
        <v>764</v>
      </c>
      <c r="S624" s="53" t="s">
        <v>769</v>
      </c>
      <c r="T624" s="53" t="s">
        <v>769</v>
      </c>
      <c r="U624" s="53" t="s">
        <v>741</v>
      </c>
      <c r="V624" s="53" t="s">
        <v>765</v>
      </c>
      <c r="W624" s="53" t="s">
        <v>780</v>
      </c>
      <c r="X624" s="61">
        <f>IFERROR(IF(W624="","",WORKDAY.INTL(B624,_xlfn.XLOOKUP(W624,Regras!$F$2:$F$11,Regras!$G$2:$G$11))),"")</f>
        <v>45996</v>
      </c>
      <c r="Y624" s="150" t="s">
        <v>4710</v>
      </c>
      <c r="Z624" s="53" t="s">
        <v>764</v>
      </c>
      <c r="AA624" s="53"/>
      <c r="AB624" s="150" t="s">
        <v>4710</v>
      </c>
    </row>
    <row r="625" spans="2:28" x14ac:dyDescent="0.2">
      <c r="B625" s="89">
        <v>45994</v>
      </c>
      <c r="D625" s="85" t="s">
        <v>406</v>
      </c>
      <c r="E625" s="121" t="s">
        <v>407</v>
      </c>
      <c r="F625" s="85" t="s">
        <v>46</v>
      </c>
      <c r="G625" s="85" t="s">
        <v>12</v>
      </c>
      <c r="H625" s="148"/>
      <c r="I625" s="142"/>
      <c r="J625" s="144"/>
      <c r="K625" s="144"/>
      <c r="L625" s="95"/>
      <c r="M625" s="58"/>
      <c r="N625" s="59"/>
      <c r="O625" s="50"/>
      <c r="P625" s="60"/>
      <c r="R625" s="53" t="s">
        <v>764</v>
      </c>
      <c r="S625" s="53" t="s">
        <v>764</v>
      </c>
      <c r="T625" s="53" t="s">
        <v>769</v>
      </c>
      <c r="U625" s="53" t="s">
        <v>741</v>
      </c>
      <c r="V625" s="53" t="s">
        <v>765</v>
      </c>
      <c r="W625" s="53" t="s">
        <v>780</v>
      </c>
      <c r="X625" s="61">
        <f>IFERROR(IF(W625="","",WORKDAY.INTL(B625,_xlfn.XLOOKUP(W625,Regras!$F$2:$F$11,Regras!$G$2:$G$11))),"")</f>
        <v>45996</v>
      </c>
      <c r="Y625" s="150" t="s">
        <v>4710</v>
      </c>
      <c r="Z625" s="53" t="s">
        <v>764</v>
      </c>
      <c r="AA625" s="53"/>
      <c r="AB625" s="150" t="s">
        <v>4710</v>
      </c>
    </row>
    <row r="626" spans="2:28" x14ac:dyDescent="0.2">
      <c r="B626" s="89">
        <v>45994</v>
      </c>
      <c r="D626" s="85" t="s">
        <v>4711</v>
      </c>
      <c r="E626" s="121" t="s">
        <v>4329</v>
      </c>
      <c r="F626" s="85" t="s">
        <v>17</v>
      </c>
      <c r="G626" s="85" t="s">
        <v>12</v>
      </c>
      <c r="H626" s="148"/>
      <c r="I626" s="142"/>
      <c r="J626" s="144"/>
      <c r="K626" s="144"/>
      <c r="L626" s="95"/>
      <c r="M626" s="58"/>
      <c r="N626" s="59"/>
      <c r="O626" s="50"/>
      <c r="P626" s="60"/>
      <c r="R626" s="53" t="s">
        <v>764</v>
      </c>
      <c r="S626" s="53" t="s">
        <v>769</v>
      </c>
      <c r="T626" s="53" t="s">
        <v>769</v>
      </c>
      <c r="U626" s="53" t="s">
        <v>741</v>
      </c>
      <c r="V626" s="53" t="s">
        <v>768</v>
      </c>
      <c r="W626" s="53" t="s">
        <v>780</v>
      </c>
      <c r="X626" s="61">
        <f>IFERROR(IF(W626="","",WORKDAY.INTL(B626,_xlfn.XLOOKUP(W626,Regras!$F$2:$F$11,Regras!$G$2:$G$11))),"")</f>
        <v>45996</v>
      </c>
      <c r="Y626" s="150" t="s">
        <v>4712</v>
      </c>
      <c r="Z626" s="53" t="s">
        <v>764</v>
      </c>
      <c r="AA626" s="53"/>
      <c r="AB626" s="150" t="s">
        <v>4712</v>
      </c>
    </row>
    <row r="627" spans="2:28" x14ac:dyDescent="0.2">
      <c r="B627" s="89">
        <v>45994</v>
      </c>
      <c r="D627" s="85" t="s">
        <v>4506</v>
      </c>
      <c r="E627" s="121" t="s">
        <v>1119</v>
      </c>
      <c r="F627" s="85" t="s">
        <v>46</v>
      </c>
      <c r="G627" s="85" t="s">
        <v>12</v>
      </c>
      <c r="H627" s="148"/>
      <c r="I627" s="142"/>
      <c r="J627" s="144"/>
      <c r="K627" s="144"/>
      <c r="L627" s="95"/>
      <c r="M627" s="58"/>
      <c r="N627" s="59"/>
      <c r="O627" s="50"/>
      <c r="P627" s="60"/>
      <c r="R627" s="53" t="s">
        <v>764</v>
      </c>
      <c r="S627" s="53" t="s">
        <v>769</v>
      </c>
      <c r="T627" s="53" t="s">
        <v>769</v>
      </c>
      <c r="U627" s="53" t="s">
        <v>741</v>
      </c>
      <c r="V627" s="53" t="s">
        <v>770</v>
      </c>
      <c r="W627" s="53" t="s">
        <v>777</v>
      </c>
      <c r="X627" s="61" t="str">
        <f>IFERROR(IF(W627="","",WORKDAY.INTL(B627,_xlfn.XLOOKUP(W627,Regras!$F$2:$F$11,Regras!$G$2:$G$11))),"")</f>
        <v/>
      </c>
      <c r="Y627" s="150" t="s">
        <v>4713</v>
      </c>
      <c r="Z627" s="53" t="s">
        <v>764</v>
      </c>
      <c r="AA627" s="53"/>
      <c r="AB627" s="155" t="s">
        <v>4714</v>
      </c>
    </row>
    <row r="628" spans="2:28" x14ac:dyDescent="0.2">
      <c r="B628" s="89">
        <v>45994</v>
      </c>
      <c r="D628" s="85" t="s">
        <v>4715</v>
      </c>
      <c r="E628" s="121" t="s">
        <v>151</v>
      </c>
      <c r="F628" s="85" t="s">
        <v>22</v>
      </c>
      <c r="G628" s="85" t="s">
        <v>12</v>
      </c>
      <c r="H628" s="148"/>
      <c r="I628" s="142"/>
      <c r="J628" s="144"/>
      <c r="K628" s="144"/>
      <c r="L628" s="95"/>
      <c r="M628" s="58"/>
      <c r="N628" s="59"/>
      <c r="O628" s="50"/>
      <c r="P628" s="60"/>
      <c r="R628" s="53" t="s">
        <v>764</v>
      </c>
      <c r="S628" s="53" t="s">
        <v>769</v>
      </c>
      <c r="T628" s="53" t="s">
        <v>769</v>
      </c>
      <c r="U628" s="53" t="s">
        <v>741</v>
      </c>
      <c r="V628" s="53" t="s">
        <v>770</v>
      </c>
      <c r="W628" s="53" t="s">
        <v>780</v>
      </c>
      <c r="X628" s="61">
        <f>IFERROR(IF(W628="","",WORKDAY.INTL(B628,_xlfn.XLOOKUP(W628,Regras!$F$2:$F$11,Regras!$G$2:$G$11))),"")</f>
        <v>45996</v>
      </c>
      <c r="Y628" s="150" t="s">
        <v>4716</v>
      </c>
      <c r="Z628" s="53" t="s">
        <v>764</v>
      </c>
      <c r="AA628" s="53"/>
      <c r="AB628" s="155" t="s">
        <v>4668</v>
      </c>
    </row>
    <row r="629" spans="2:28" x14ac:dyDescent="0.2">
      <c r="B629" s="89">
        <v>45994</v>
      </c>
      <c r="D629" s="85" t="s">
        <v>190</v>
      </c>
      <c r="E629" s="121" t="s">
        <v>191</v>
      </c>
      <c r="F629" s="85" t="s">
        <v>46</v>
      </c>
      <c r="G629" s="85" t="s">
        <v>12</v>
      </c>
      <c r="H629" s="148"/>
      <c r="I629" s="142"/>
      <c r="J629" s="144"/>
      <c r="K629" s="144"/>
      <c r="L629" s="95"/>
      <c r="M629" s="58"/>
      <c r="N629" s="59"/>
      <c r="O629" s="50"/>
      <c r="P629" s="60"/>
      <c r="R629" s="53" t="s">
        <v>764</v>
      </c>
      <c r="S629" s="53" t="s">
        <v>764</v>
      </c>
      <c r="T629" s="53" t="s">
        <v>764</v>
      </c>
      <c r="U629" s="53" t="s">
        <v>741</v>
      </c>
      <c r="V629" s="53" t="s">
        <v>770</v>
      </c>
      <c r="W629" s="53" t="s">
        <v>780</v>
      </c>
      <c r="X629" s="61">
        <f>IFERROR(IF(W629="","",WORKDAY.INTL(B629,_xlfn.XLOOKUP(W629,Regras!$F$2:$F$11,Regras!$G$2:$G$11))),"")</f>
        <v>45996</v>
      </c>
      <c r="Y629" s="150" t="s">
        <v>4717</v>
      </c>
      <c r="Z629" s="53" t="s">
        <v>764</v>
      </c>
      <c r="AA629" s="53"/>
      <c r="AB629" s="155" t="s">
        <v>4718</v>
      </c>
    </row>
    <row r="630" spans="2:28" x14ac:dyDescent="0.2">
      <c r="B630" s="89">
        <v>45994</v>
      </c>
      <c r="D630" s="85" t="s">
        <v>99</v>
      </c>
      <c r="E630" s="121" t="s">
        <v>1187</v>
      </c>
      <c r="F630" s="85" t="s">
        <v>46</v>
      </c>
      <c r="G630" s="85" t="s">
        <v>12</v>
      </c>
      <c r="H630" s="148"/>
      <c r="I630" s="142"/>
      <c r="J630" s="144"/>
      <c r="K630" s="144"/>
      <c r="L630" s="95"/>
      <c r="M630" s="58"/>
      <c r="N630" s="59"/>
      <c r="O630" s="50"/>
      <c r="P630" s="60"/>
      <c r="R630" s="53" t="s">
        <v>764</v>
      </c>
      <c r="S630" s="53" t="s">
        <v>764</v>
      </c>
      <c r="T630" s="53" t="s">
        <v>764</v>
      </c>
      <c r="U630" s="53" t="s">
        <v>773</v>
      </c>
      <c r="V630" s="53" t="s">
        <v>770</v>
      </c>
      <c r="W630" s="53" t="s">
        <v>777</v>
      </c>
      <c r="X630" s="61" t="str">
        <f>IFERROR(IF(W630="","",WORKDAY.INTL(B630,_xlfn.XLOOKUP(W630,Regras!$F$2:$F$11,Regras!$G$2:$G$11))),"")</f>
        <v/>
      </c>
      <c r="Y630" s="150" t="s">
        <v>4719</v>
      </c>
      <c r="Z630" s="53" t="s">
        <v>764</v>
      </c>
      <c r="AA630" s="53"/>
      <c r="AB630" s="150" t="s">
        <v>4719</v>
      </c>
    </row>
    <row r="631" spans="2:28" x14ac:dyDescent="0.2">
      <c r="B631" s="89">
        <v>45994</v>
      </c>
      <c r="D631" s="85" t="s">
        <v>289</v>
      </c>
      <c r="E631" s="121" t="s">
        <v>290</v>
      </c>
      <c r="F631" s="85" t="s">
        <v>46</v>
      </c>
      <c r="G631" s="85" t="s">
        <v>12</v>
      </c>
      <c r="H631" s="148"/>
      <c r="I631" s="142"/>
      <c r="J631" s="144"/>
      <c r="K631" s="144"/>
      <c r="L631" s="95"/>
      <c r="M631" s="58"/>
      <c r="N631" s="59"/>
      <c r="O631" s="50"/>
      <c r="P631" s="60"/>
      <c r="R631" s="53" t="s">
        <v>764</v>
      </c>
      <c r="S631" s="53" t="s">
        <v>769</v>
      </c>
      <c r="T631" s="53" t="s">
        <v>769</v>
      </c>
      <c r="U631" s="53" t="s">
        <v>741</v>
      </c>
      <c r="V631" s="53" t="s">
        <v>770</v>
      </c>
      <c r="W631" s="53" t="s">
        <v>766</v>
      </c>
      <c r="X631" s="61">
        <f>IFERROR(IF(W631="","",WORKDAY.INTL(B631,_xlfn.XLOOKUP(W631,Regras!$F$2:$F$11,Regras!$G$2:$G$11))),"")</f>
        <v>46057</v>
      </c>
      <c r="Y631" s="150" t="s">
        <v>1003</v>
      </c>
      <c r="Z631" s="53" t="s">
        <v>764</v>
      </c>
      <c r="AA631" s="53"/>
      <c r="AB631" s="155" t="s">
        <v>1003</v>
      </c>
    </row>
    <row r="632" spans="2:28" x14ac:dyDescent="0.2">
      <c r="B632" s="89">
        <v>45994</v>
      </c>
      <c r="D632" s="85" t="s">
        <v>2715</v>
      </c>
      <c r="E632" s="121" t="s">
        <v>2716</v>
      </c>
      <c r="F632" s="85" t="s">
        <v>46</v>
      </c>
      <c r="G632" s="85" t="s">
        <v>12</v>
      </c>
      <c r="H632" s="148"/>
      <c r="I632" s="142"/>
      <c r="J632" s="144"/>
      <c r="K632" s="144"/>
      <c r="L632" s="95"/>
      <c r="M632" s="58"/>
      <c r="N632" s="59"/>
      <c r="O632" s="50"/>
      <c r="P632" s="60"/>
      <c r="R632" s="53" t="s">
        <v>764</v>
      </c>
      <c r="S632" s="53" t="s">
        <v>764</v>
      </c>
      <c r="T632" s="53" t="s">
        <v>764</v>
      </c>
      <c r="U632" s="53" t="s">
        <v>741</v>
      </c>
      <c r="V632" s="53" t="s">
        <v>768</v>
      </c>
      <c r="W632" s="53" t="s">
        <v>780</v>
      </c>
      <c r="X632" s="61">
        <f>IFERROR(IF(W632="","",WORKDAY.INTL(B632,_xlfn.XLOOKUP(W632,Regras!$F$2:$F$11,Regras!$G$2:$G$11))),"")</f>
        <v>45996</v>
      </c>
      <c r="Y632" s="150" t="s">
        <v>4720</v>
      </c>
      <c r="Z632" s="53" t="s">
        <v>764</v>
      </c>
      <c r="AA632" s="53"/>
      <c r="AB632" s="150" t="s">
        <v>4720</v>
      </c>
    </row>
    <row r="633" spans="2:28" x14ac:dyDescent="0.2">
      <c r="B633" s="89">
        <v>45994</v>
      </c>
      <c r="D633" s="85" t="s">
        <v>1437</v>
      </c>
      <c r="E633" s="121" t="s">
        <v>3850</v>
      </c>
      <c r="F633" s="85" t="s">
        <v>46</v>
      </c>
      <c r="G633" s="85" t="s">
        <v>12</v>
      </c>
      <c r="H633" s="148"/>
      <c r="I633" s="142"/>
      <c r="J633" s="144"/>
      <c r="K633" s="144"/>
      <c r="L633" s="95"/>
      <c r="M633" s="58"/>
      <c r="N633" s="59"/>
      <c r="O633" s="50"/>
      <c r="P633" s="60"/>
      <c r="R633" s="53" t="s">
        <v>764</v>
      </c>
      <c r="S633" s="53" t="s">
        <v>764</v>
      </c>
      <c r="T633" s="53" t="s">
        <v>769</v>
      </c>
      <c r="U633" s="53" t="s">
        <v>741</v>
      </c>
      <c r="V633" s="53" t="s">
        <v>768</v>
      </c>
      <c r="W633" s="53" t="s">
        <v>780</v>
      </c>
      <c r="X633" s="61">
        <f>IFERROR(IF(W633="","",WORKDAY.INTL(B633,_xlfn.XLOOKUP(W633,Regras!$F$2:$F$11,Regras!$G$2:$G$11))),"")</f>
        <v>45996</v>
      </c>
      <c r="Y633" s="150" t="s">
        <v>4721</v>
      </c>
      <c r="Z633" s="53" t="s">
        <v>764</v>
      </c>
      <c r="AA633" s="53"/>
      <c r="AB633" s="150" t="s">
        <v>4721</v>
      </c>
    </row>
    <row r="634" spans="2:28" x14ac:dyDescent="0.2">
      <c r="B634" s="89">
        <v>45994</v>
      </c>
      <c r="D634" s="85" t="s">
        <v>3232</v>
      </c>
      <c r="E634" s="121" t="s">
        <v>3233</v>
      </c>
      <c r="F634" s="85" t="s">
        <v>46</v>
      </c>
      <c r="G634" s="85" t="s">
        <v>12</v>
      </c>
      <c r="H634" s="148"/>
      <c r="I634" s="142"/>
      <c r="J634" s="144"/>
      <c r="K634" s="144"/>
      <c r="L634" s="95"/>
      <c r="M634" s="58"/>
      <c r="N634" s="59"/>
      <c r="O634" s="50"/>
      <c r="P634" s="60"/>
      <c r="R634" s="53" t="s">
        <v>764</v>
      </c>
      <c r="S634" s="53" t="s">
        <v>764</v>
      </c>
      <c r="T634" s="53" t="s">
        <v>764</v>
      </c>
      <c r="U634" s="53" t="s">
        <v>741</v>
      </c>
      <c r="V634" s="53" t="s">
        <v>768</v>
      </c>
      <c r="W634" s="53" t="s">
        <v>780</v>
      </c>
      <c r="X634" s="61">
        <f>IFERROR(IF(W634="","",WORKDAY.INTL(B634,_xlfn.XLOOKUP(W634,Regras!$F$2:$F$11,Regras!$G$2:$G$11))),"")</f>
        <v>45996</v>
      </c>
      <c r="Y634" s="150" t="s">
        <v>4722</v>
      </c>
      <c r="Z634" s="53" t="s">
        <v>764</v>
      </c>
      <c r="AA634" s="53"/>
      <c r="AB634" s="150" t="s">
        <v>4722</v>
      </c>
    </row>
    <row r="635" spans="2:28" x14ac:dyDescent="0.2">
      <c r="B635" s="89">
        <v>45994</v>
      </c>
      <c r="D635" s="85" t="s">
        <v>3693</v>
      </c>
      <c r="E635" s="121" t="s">
        <v>3694</v>
      </c>
      <c r="F635" s="85" t="s">
        <v>46</v>
      </c>
      <c r="G635" s="85" t="s">
        <v>12</v>
      </c>
      <c r="H635" s="148"/>
      <c r="I635" s="142"/>
      <c r="J635" s="144"/>
      <c r="K635" s="144"/>
      <c r="L635" s="95"/>
      <c r="M635" s="58"/>
      <c r="N635" s="59"/>
      <c r="O635" s="50"/>
      <c r="P635" s="60"/>
      <c r="R635" s="53" t="s">
        <v>764</v>
      </c>
      <c r="S635" s="53" t="s">
        <v>764</v>
      </c>
      <c r="T635" s="53" t="s">
        <v>769</v>
      </c>
      <c r="U635" s="53" t="s">
        <v>741</v>
      </c>
      <c r="V635" s="53" t="s">
        <v>768</v>
      </c>
      <c r="W635" s="53" t="s">
        <v>780</v>
      </c>
      <c r="X635" s="61">
        <f>IFERROR(IF(W635="","",WORKDAY.INTL(B635,_xlfn.XLOOKUP(W635,Regras!$F$2:$F$11,Regras!$G$2:$G$11))),"")</f>
        <v>45996</v>
      </c>
      <c r="Y635" s="150" t="s">
        <v>4723</v>
      </c>
      <c r="Z635" s="53" t="s">
        <v>764</v>
      </c>
      <c r="AA635" s="53"/>
      <c r="AB635" s="150" t="s">
        <v>4723</v>
      </c>
    </row>
    <row r="636" spans="2:28" x14ac:dyDescent="0.2">
      <c r="B636" s="89">
        <v>45994</v>
      </c>
      <c r="D636" s="85" t="s">
        <v>1979</v>
      </c>
      <c r="E636" s="121" t="s">
        <v>1980</v>
      </c>
      <c r="F636" s="85" t="s">
        <v>46</v>
      </c>
      <c r="G636" s="85" t="s">
        <v>12</v>
      </c>
      <c r="H636" s="148"/>
      <c r="I636" s="142"/>
      <c r="J636" s="144"/>
      <c r="K636" s="144"/>
      <c r="L636" s="95"/>
      <c r="M636" s="58"/>
      <c r="N636" s="59"/>
      <c r="O636" s="50"/>
      <c r="P636" s="60"/>
      <c r="R636" s="53" t="s">
        <v>764</v>
      </c>
      <c r="S636" s="53" t="s">
        <v>764</v>
      </c>
      <c r="T636" s="53" t="s">
        <v>769</v>
      </c>
      <c r="U636" s="53" t="s">
        <v>741</v>
      </c>
      <c r="V636" s="53" t="s">
        <v>768</v>
      </c>
      <c r="W636" s="53" t="s">
        <v>780</v>
      </c>
      <c r="X636" s="61">
        <f>IFERROR(IF(W636="","",WORKDAY.INTL(B636,_xlfn.XLOOKUP(W636,Regras!$F$2:$F$11,Regras!$G$2:$G$11))),"")</f>
        <v>45996</v>
      </c>
      <c r="Y636" s="150" t="s">
        <v>4723</v>
      </c>
      <c r="Z636" s="53" t="s">
        <v>764</v>
      </c>
      <c r="AA636" s="53"/>
      <c r="AB636" s="155" t="s">
        <v>4724</v>
      </c>
    </row>
    <row r="637" spans="2:28" x14ac:dyDescent="0.2">
      <c r="B637" s="89">
        <v>45994</v>
      </c>
      <c r="D637" s="85" t="s">
        <v>4725</v>
      </c>
      <c r="E637" s="121" t="s">
        <v>4446</v>
      </c>
      <c r="F637" s="85" t="s">
        <v>46</v>
      </c>
      <c r="G637" s="85" t="s">
        <v>12</v>
      </c>
      <c r="H637" s="148"/>
      <c r="I637" s="142"/>
      <c r="J637" s="144"/>
      <c r="K637" s="144"/>
      <c r="L637" s="95"/>
      <c r="M637" s="58"/>
      <c r="N637" s="59"/>
      <c r="O637" s="50"/>
      <c r="P637" s="60"/>
      <c r="R637" s="53" t="s">
        <v>764</v>
      </c>
      <c r="S637" s="53" t="s">
        <v>764</v>
      </c>
      <c r="T637" s="53" t="s">
        <v>769</v>
      </c>
      <c r="U637" s="53" t="s">
        <v>741</v>
      </c>
      <c r="V637" s="53" t="s">
        <v>768</v>
      </c>
      <c r="W637" s="53" t="s">
        <v>780</v>
      </c>
      <c r="X637" s="61">
        <f>IFERROR(IF(W637="","",WORKDAY.INTL(B637,_xlfn.XLOOKUP(W637,Regras!$F$2:$F$11,Regras!$G$2:$G$11))),"")</f>
        <v>45996</v>
      </c>
      <c r="Y637" s="150" t="s">
        <v>4723</v>
      </c>
      <c r="Z637" s="53" t="s">
        <v>764</v>
      </c>
      <c r="AA637" s="53"/>
      <c r="AB637" s="155" t="s">
        <v>4724</v>
      </c>
    </row>
    <row r="638" spans="2:28" x14ac:dyDescent="0.2">
      <c r="B638" s="89">
        <v>45994</v>
      </c>
      <c r="D638" s="85" t="s">
        <v>1694</v>
      </c>
      <c r="E638" s="121" t="s">
        <v>1695</v>
      </c>
      <c r="F638" s="85" t="s">
        <v>46</v>
      </c>
      <c r="G638" s="85" t="s">
        <v>12</v>
      </c>
      <c r="H638" s="148"/>
      <c r="I638" s="142"/>
      <c r="J638" s="144"/>
      <c r="K638" s="144"/>
      <c r="L638" s="95"/>
      <c r="M638" s="58"/>
      <c r="N638" s="59"/>
      <c r="O638" s="50"/>
      <c r="P638" s="60"/>
      <c r="R638" s="53" t="s">
        <v>764</v>
      </c>
      <c r="S638" s="53" t="s">
        <v>764</v>
      </c>
      <c r="T638" s="53" t="s">
        <v>769</v>
      </c>
      <c r="U638" s="53" t="s">
        <v>741</v>
      </c>
      <c r="V638" s="53" t="s">
        <v>768</v>
      </c>
      <c r="W638" s="53" t="s">
        <v>780</v>
      </c>
      <c r="X638" s="61">
        <f>IFERROR(IF(W638="","",WORKDAY.INTL(B638,_xlfn.XLOOKUP(W638,Regras!$F$2:$F$11,Regras!$G$2:$G$11))),"")</f>
        <v>45996</v>
      </c>
      <c r="Y638" s="150" t="s">
        <v>4726</v>
      </c>
      <c r="Z638" s="53" t="s">
        <v>764</v>
      </c>
      <c r="AA638" s="53"/>
      <c r="AB638" s="155" t="s">
        <v>4724</v>
      </c>
    </row>
    <row r="639" spans="2:28" x14ac:dyDescent="0.2">
      <c r="B639" s="89">
        <v>45994</v>
      </c>
      <c r="D639" s="85" t="s">
        <v>1699</v>
      </c>
      <c r="E639" s="121" t="s">
        <v>1700</v>
      </c>
      <c r="F639" s="85" t="s">
        <v>46</v>
      </c>
      <c r="G639" s="85" t="s">
        <v>12</v>
      </c>
      <c r="H639" s="148"/>
      <c r="I639" s="142"/>
      <c r="J639" s="144"/>
      <c r="K639" s="144"/>
      <c r="L639" s="95"/>
      <c r="M639" s="58"/>
      <c r="N639" s="59"/>
      <c r="O639" s="50"/>
      <c r="P639" s="60"/>
      <c r="R639" s="53" t="s">
        <v>764</v>
      </c>
      <c r="S639" s="53" t="s">
        <v>764</v>
      </c>
      <c r="T639" s="53" t="s">
        <v>764</v>
      </c>
      <c r="U639" s="53" t="s">
        <v>741</v>
      </c>
      <c r="V639" s="53" t="s">
        <v>768</v>
      </c>
      <c r="W639" s="53" t="s">
        <v>780</v>
      </c>
      <c r="X639" s="61">
        <f>IFERROR(IF(W639="","",WORKDAY.INTL(B639,_xlfn.XLOOKUP(W639,Regras!$F$2:$F$11,Regras!$G$2:$G$11))),"")</f>
        <v>45996</v>
      </c>
      <c r="Y639" s="150" t="s">
        <v>4727</v>
      </c>
      <c r="Z639" s="53" t="s">
        <v>764</v>
      </c>
      <c r="AA639" s="53"/>
      <c r="AB639" s="150" t="s">
        <v>4727</v>
      </c>
    </row>
    <row r="640" spans="2:28" x14ac:dyDescent="0.2">
      <c r="B640" s="89">
        <v>45994</v>
      </c>
      <c r="D640" s="85" t="s">
        <v>2970</v>
      </c>
      <c r="E640" s="121" t="s">
        <v>2971</v>
      </c>
      <c r="F640" s="85" t="s">
        <v>46</v>
      </c>
      <c r="G640" s="85" t="s">
        <v>12</v>
      </c>
      <c r="H640" s="148"/>
      <c r="I640" s="142"/>
      <c r="J640" s="144"/>
      <c r="K640" s="144"/>
      <c r="L640" s="95"/>
      <c r="M640" s="58"/>
      <c r="N640" s="59"/>
      <c r="O640" s="50"/>
      <c r="P640" s="60"/>
      <c r="R640" s="53" t="s">
        <v>764</v>
      </c>
      <c r="S640" s="53" t="s">
        <v>764</v>
      </c>
      <c r="T640" s="53" t="s">
        <v>769</v>
      </c>
      <c r="U640" s="53" t="s">
        <v>741</v>
      </c>
      <c r="V640" s="53" t="s">
        <v>768</v>
      </c>
      <c r="W640" s="53" t="s">
        <v>780</v>
      </c>
      <c r="X640" s="61">
        <f>IFERROR(IF(W640="","",WORKDAY.INTL(B640,_xlfn.XLOOKUP(W640,Regras!$F$2:$F$11,Regras!$G$2:$G$11))),"")</f>
        <v>45996</v>
      </c>
      <c r="Y640" s="150" t="s">
        <v>4723</v>
      </c>
      <c r="Z640" s="53" t="s">
        <v>764</v>
      </c>
      <c r="AA640" s="53"/>
      <c r="AB640" s="155" t="s">
        <v>4724</v>
      </c>
    </row>
    <row r="641" spans="2:28" x14ac:dyDescent="0.2">
      <c r="B641" s="89">
        <v>45994</v>
      </c>
      <c r="D641" s="85" t="s">
        <v>4728</v>
      </c>
      <c r="E641" s="121" t="s">
        <v>4729</v>
      </c>
      <c r="F641" s="85" t="s">
        <v>46</v>
      </c>
      <c r="G641" s="85" t="s">
        <v>12</v>
      </c>
      <c r="H641" s="148"/>
      <c r="I641" s="142"/>
      <c r="J641" s="144"/>
      <c r="K641" s="144"/>
      <c r="L641" s="95"/>
      <c r="M641" s="58"/>
      <c r="N641" s="59"/>
      <c r="O641" s="50"/>
      <c r="P641" s="60"/>
      <c r="R641" s="53" t="s">
        <v>764</v>
      </c>
      <c r="S641" s="53" t="s">
        <v>769</v>
      </c>
      <c r="T641" s="53" t="s">
        <v>769</v>
      </c>
      <c r="U641" s="53" t="s">
        <v>741</v>
      </c>
      <c r="V641" s="53" t="s">
        <v>768</v>
      </c>
      <c r="W641" s="53" t="s">
        <v>780</v>
      </c>
      <c r="X641" s="61">
        <f>IFERROR(IF(W641="","",WORKDAY.INTL(B641,_xlfn.XLOOKUP(W641,Regras!$F$2:$F$11,Regras!$G$2:$G$11))),"")</f>
        <v>45996</v>
      </c>
      <c r="Y641" s="150" t="s">
        <v>4730</v>
      </c>
      <c r="Z641" s="53" t="s">
        <v>764</v>
      </c>
      <c r="AA641" s="53"/>
      <c r="AB641" s="155" t="s">
        <v>4656</v>
      </c>
    </row>
    <row r="642" spans="2:28" x14ac:dyDescent="0.2">
      <c r="B642" s="89">
        <v>45994</v>
      </c>
      <c r="D642" s="85" t="s">
        <v>4731</v>
      </c>
      <c r="E642" s="121" t="s">
        <v>4732</v>
      </c>
      <c r="F642" s="85" t="s">
        <v>46</v>
      </c>
      <c r="G642" s="85" t="s">
        <v>12</v>
      </c>
      <c r="H642" s="148"/>
      <c r="I642" s="142"/>
      <c r="J642" s="144"/>
      <c r="K642" s="144"/>
      <c r="L642" s="95"/>
      <c r="M642" s="58"/>
      <c r="N642" s="59"/>
      <c r="O642" s="50"/>
      <c r="P642" s="60"/>
      <c r="R642" s="53" t="s">
        <v>764</v>
      </c>
      <c r="S642" s="53" t="s">
        <v>769</v>
      </c>
      <c r="T642" s="53" t="s">
        <v>769</v>
      </c>
      <c r="U642" s="53" t="s">
        <v>741</v>
      </c>
      <c r="V642" s="53" t="s">
        <v>768</v>
      </c>
      <c r="W642" s="53" t="s">
        <v>780</v>
      </c>
      <c r="X642" s="61">
        <f>IFERROR(IF(W642="","",WORKDAY.INTL(B642,_xlfn.XLOOKUP(W642,Regras!$F$2:$F$11,Regras!$G$2:$G$11))),"")</f>
        <v>45996</v>
      </c>
      <c r="Y642" s="150" t="s">
        <v>4730</v>
      </c>
      <c r="Z642" s="53" t="s">
        <v>764</v>
      </c>
      <c r="AA642" s="53"/>
      <c r="AB642" s="155" t="s">
        <v>4656</v>
      </c>
    </row>
    <row r="643" spans="2:28" x14ac:dyDescent="0.2">
      <c r="B643" s="89">
        <v>45996</v>
      </c>
      <c r="D643" s="85" t="s">
        <v>2635</v>
      </c>
      <c r="E643" s="121" t="s">
        <v>2929</v>
      </c>
      <c r="F643" s="85" t="s">
        <v>22</v>
      </c>
      <c r="G643" s="85" t="s">
        <v>12</v>
      </c>
      <c r="H643" s="148"/>
      <c r="I643" s="142"/>
      <c r="J643" s="144"/>
      <c r="K643" s="144"/>
      <c r="L643" s="85"/>
      <c r="M643" s="58"/>
      <c r="N643" s="59"/>
      <c r="O643" s="50"/>
      <c r="P643" s="60"/>
      <c r="R643" s="53" t="s">
        <v>764</v>
      </c>
      <c r="S643" s="53" t="s">
        <v>764</v>
      </c>
      <c r="T643" s="53" t="s">
        <v>769</v>
      </c>
      <c r="U643" s="53" t="s">
        <v>741</v>
      </c>
      <c r="V643" s="53" t="s">
        <v>768</v>
      </c>
      <c r="W643" s="53" t="s">
        <v>780</v>
      </c>
      <c r="X643" s="61">
        <f>IFERROR(IF(W643="","",WORKDAY.INTL(B643,_xlfn.XLOOKUP(W643,Regras!$F$2:$F$11,Regras!$G$2:$G$11))),"")</f>
        <v>46000</v>
      </c>
      <c r="Y643" s="150" t="s">
        <v>4733</v>
      </c>
      <c r="Z643" s="53" t="s">
        <v>764</v>
      </c>
      <c r="AA643" s="53"/>
      <c r="AB643" s="155" t="s">
        <v>4734</v>
      </c>
    </row>
    <row r="644" spans="2:28" x14ac:dyDescent="0.2">
      <c r="B644" s="89">
        <v>45996</v>
      </c>
      <c r="D644" s="85" t="s">
        <v>1652</v>
      </c>
      <c r="E644" s="121" t="s">
        <v>1653</v>
      </c>
      <c r="F644" s="85" t="s">
        <v>46</v>
      </c>
      <c r="G644" s="85" t="s">
        <v>12</v>
      </c>
      <c r="H644" s="148"/>
      <c r="I644" s="142"/>
      <c r="J644" s="144"/>
      <c r="K644" s="144"/>
      <c r="L644" s="85"/>
      <c r="M644" s="58"/>
      <c r="N644" s="59"/>
      <c r="O644" s="50"/>
      <c r="P644" s="60"/>
      <c r="R644" s="53" t="s">
        <v>764</v>
      </c>
      <c r="S644" s="53" t="s">
        <v>764</v>
      </c>
      <c r="T644" s="53" t="s">
        <v>769</v>
      </c>
      <c r="U644" s="53" t="s">
        <v>741</v>
      </c>
      <c r="V644" s="53" t="s">
        <v>768</v>
      </c>
      <c r="W644" s="53" t="s">
        <v>780</v>
      </c>
      <c r="X644" s="61">
        <f>IFERROR(IF(W644="","",WORKDAY.INTL(B644,_xlfn.XLOOKUP(W644,Regras!$F$2:$F$11,Regras!$G$2:$G$11))),"")</f>
        <v>46000</v>
      </c>
      <c r="Y644" s="150" t="s">
        <v>4733</v>
      </c>
      <c r="Z644" s="53" t="s">
        <v>764</v>
      </c>
      <c r="AA644" s="53"/>
      <c r="AB644" s="155" t="s">
        <v>4734</v>
      </c>
    </row>
    <row r="645" spans="2:28" x14ac:dyDescent="0.2">
      <c r="B645" s="89">
        <v>45996</v>
      </c>
      <c r="D645" s="85" t="s">
        <v>2747</v>
      </c>
      <c r="E645" s="121" t="s">
        <v>2748</v>
      </c>
      <c r="F645" s="85" t="s">
        <v>46</v>
      </c>
      <c r="G645" s="85" t="s">
        <v>12</v>
      </c>
      <c r="H645" s="148"/>
      <c r="I645" s="142"/>
      <c r="J645" s="144"/>
      <c r="K645" s="144"/>
      <c r="L645" s="85"/>
      <c r="M645" s="58"/>
      <c r="N645" s="59"/>
      <c r="O645" s="50"/>
      <c r="P645" s="60"/>
      <c r="R645" s="53" t="s">
        <v>764</v>
      </c>
      <c r="S645" s="53" t="s">
        <v>764</v>
      </c>
      <c r="T645" s="53" t="s">
        <v>769</v>
      </c>
      <c r="U645" s="53" t="s">
        <v>741</v>
      </c>
      <c r="V645" s="53" t="s">
        <v>768</v>
      </c>
      <c r="W645" s="53" t="s">
        <v>780</v>
      </c>
      <c r="X645" s="61">
        <f>IFERROR(IF(W645="","",WORKDAY.INTL(B645,_xlfn.XLOOKUP(W645,Regras!$F$2:$F$11,Regras!$G$2:$G$11))),"")</f>
        <v>46000</v>
      </c>
      <c r="Y645" s="150" t="s">
        <v>4733</v>
      </c>
      <c r="Z645" s="53" t="s">
        <v>764</v>
      </c>
      <c r="AA645" s="53"/>
      <c r="AB645" s="155" t="s">
        <v>4734</v>
      </c>
    </row>
    <row r="646" spans="2:28" x14ac:dyDescent="0.2">
      <c r="B646" s="89">
        <v>45996</v>
      </c>
      <c r="D646" s="85" t="s">
        <v>2920</v>
      </c>
      <c r="E646" s="121" t="s">
        <v>2921</v>
      </c>
      <c r="F646" s="85" t="s">
        <v>46</v>
      </c>
      <c r="G646" s="85" t="s">
        <v>12</v>
      </c>
      <c r="H646" s="148"/>
      <c r="I646" s="142"/>
      <c r="J646" s="144"/>
      <c r="K646" s="144"/>
      <c r="L646" s="85"/>
      <c r="M646" s="58"/>
      <c r="N646" s="59"/>
      <c r="O646" s="50"/>
      <c r="P646" s="60"/>
      <c r="R646" s="53" t="s">
        <v>764</v>
      </c>
      <c r="S646" s="53" t="s">
        <v>764</v>
      </c>
      <c r="T646" s="53" t="s">
        <v>769</v>
      </c>
      <c r="U646" s="53" t="s">
        <v>741</v>
      </c>
      <c r="V646" s="53" t="s">
        <v>768</v>
      </c>
      <c r="W646" s="53" t="s">
        <v>780</v>
      </c>
      <c r="X646" s="61">
        <f>IFERROR(IF(W646="","",WORKDAY.INTL(B646,_xlfn.XLOOKUP(W646,Regras!$F$2:$F$11,Regras!$G$2:$G$11))),"")</f>
        <v>46000</v>
      </c>
      <c r="Y646" s="150" t="s">
        <v>4733</v>
      </c>
      <c r="Z646" s="53" t="s">
        <v>764</v>
      </c>
      <c r="AA646" s="53"/>
      <c r="AB646" s="155" t="s">
        <v>4734</v>
      </c>
    </row>
    <row r="647" spans="2:28" x14ac:dyDescent="0.2">
      <c r="B647" s="89">
        <v>45996</v>
      </c>
      <c r="D647" s="85" t="s">
        <v>2944</v>
      </c>
      <c r="E647" s="121" t="s">
        <v>2945</v>
      </c>
      <c r="F647" s="85" t="s">
        <v>46</v>
      </c>
      <c r="G647" s="85" t="s">
        <v>12</v>
      </c>
      <c r="H647" s="148"/>
      <c r="I647" s="142"/>
      <c r="J647" s="144"/>
      <c r="K647" s="144"/>
      <c r="L647" s="85"/>
      <c r="M647" s="58"/>
      <c r="N647" s="59"/>
      <c r="O647" s="50"/>
      <c r="P647" s="60"/>
      <c r="R647" s="53" t="s">
        <v>764</v>
      </c>
      <c r="S647" s="53" t="s">
        <v>764</v>
      </c>
      <c r="T647" s="53" t="s">
        <v>764</v>
      </c>
      <c r="U647" s="53" t="s">
        <v>741</v>
      </c>
      <c r="V647" s="53" t="s">
        <v>768</v>
      </c>
      <c r="W647" s="53" t="s">
        <v>780</v>
      </c>
      <c r="X647" s="61">
        <f>IFERROR(IF(W647="","",WORKDAY.INTL(B647,_xlfn.XLOOKUP(W647,Regras!$F$2:$F$11,Regras!$G$2:$G$11))),"")</f>
        <v>46000</v>
      </c>
      <c r="Y647" s="150" t="s">
        <v>4735</v>
      </c>
      <c r="Z647" s="53" t="s">
        <v>764</v>
      </c>
      <c r="AA647" s="53"/>
      <c r="AB647" s="150" t="s">
        <v>4735</v>
      </c>
    </row>
    <row r="648" spans="2:28" x14ac:dyDescent="0.2">
      <c r="B648" s="89">
        <v>45996</v>
      </c>
      <c r="D648" s="85" t="s">
        <v>2988</v>
      </c>
      <c r="E648" s="121" t="s">
        <v>2989</v>
      </c>
      <c r="F648" s="85" t="s">
        <v>46</v>
      </c>
      <c r="G648" s="85" t="s">
        <v>12</v>
      </c>
      <c r="H648" s="148"/>
      <c r="I648" s="142"/>
      <c r="J648" s="144"/>
      <c r="K648" s="144"/>
      <c r="L648" s="85"/>
      <c r="M648" s="58"/>
      <c r="N648" s="59"/>
      <c r="O648" s="50"/>
      <c r="P648" s="60"/>
      <c r="R648" s="53" t="s">
        <v>764</v>
      </c>
      <c r="S648" s="53" t="s">
        <v>764</v>
      </c>
      <c r="T648" s="53" t="s">
        <v>769</v>
      </c>
      <c r="U648" s="53" t="s">
        <v>741</v>
      </c>
      <c r="V648" s="53" t="s">
        <v>768</v>
      </c>
      <c r="W648" s="53" t="s">
        <v>780</v>
      </c>
      <c r="X648" s="61">
        <f>IFERROR(IF(W648="","",WORKDAY.INTL(B648,_xlfn.XLOOKUP(W648,Regras!$F$2:$F$11,Regras!$G$2:$G$11))),"")</f>
        <v>46000</v>
      </c>
      <c r="Y648" s="150" t="s">
        <v>4733</v>
      </c>
      <c r="Z648" s="53" t="s">
        <v>764</v>
      </c>
      <c r="AA648" s="53"/>
      <c r="AB648" s="155" t="s">
        <v>4734</v>
      </c>
    </row>
    <row r="649" spans="2:28" x14ac:dyDescent="0.2">
      <c r="B649" s="89">
        <v>45996</v>
      </c>
      <c r="D649" s="85" t="s">
        <v>3807</v>
      </c>
      <c r="E649" s="121" t="s">
        <v>3808</v>
      </c>
      <c r="F649" s="85" t="s">
        <v>46</v>
      </c>
      <c r="G649" s="85" t="s">
        <v>12</v>
      </c>
      <c r="H649" s="148"/>
      <c r="I649" s="142"/>
      <c r="J649" s="144"/>
      <c r="K649" s="144"/>
      <c r="L649" s="85"/>
      <c r="M649" s="58"/>
      <c r="N649" s="59"/>
      <c r="O649" s="50"/>
      <c r="P649" s="60"/>
      <c r="R649" s="53" t="s">
        <v>764</v>
      </c>
      <c r="S649" s="53" t="s">
        <v>764</v>
      </c>
      <c r="T649" s="53" t="s">
        <v>764</v>
      </c>
      <c r="U649" s="53" t="s">
        <v>741</v>
      </c>
      <c r="V649" s="53" t="s">
        <v>768</v>
      </c>
      <c r="W649" s="53" t="s">
        <v>780</v>
      </c>
      <c r="X649" s="61">
        <f>IFERROR(IF(W649="","",WORKDAY.INTL(B649,_xlfn.XLOOKUP(W649,Regras!$F$2:$F$11,Regras!$G$2:$G$11))),"")</f>
        <v>46000</v>
      </c>
      <c r="Y649" s="150" t="s">
        <v>4736</v>
      </c>
      <c r="Z649" s="53" t="s">
        <v>764</v>
      </c>
      <c r="AA649" s="53"/>
      <c r="AB649" s="150" t="s">
        <v>4736</v>
      </c>
    </row>
    <row r="650" spans="2:28" x14ac:dyDescent="0.2">
      <c r="B650" s="89">
        <v>45996</v>
      </c>
      <c r="D650" s="85" t="s">
        <v>3824</v>
      </c>
      <c r="E650" s="121" t="s">
        <v>3910</v>
      </c>
      <c r="F650" s="85" t="s">
        <v>46</v>
      </c>
      <c r="G650" s="85" t="s">
        <v>12</v>
      </c>
      <c r="H650" s="148"/>
      <c r="I650" s="142"/>
      <c r="J650" s="144"/>
      <c r="K650" s="144"/>
      <c r="L650" s="85"/>
      <c r="M650" s="58"/>
      <c r="N650" s="59"/>
      <c r="O650" s="50"/>
      <c r="P650" s="60"/>
      <c r="R650" s="53" t="s">
        <v>764</v>
      </c>
      <c r="S650" s="53" t="s">
        <v>764</v>
      </c>
      <c r="T650" s="53" t="s">
        <v>764</v>
      </c>
      <c r="U650" s="53" t="s">
        <v>741</v>
      </c>
      <c r="V650" s="53" t="s">
        <v>768</v>
      </c>
      <c r="W650" s="53" t="s">
        <v>780</v>
      </c>
      <c r="X650" s="61">
        <f>IFERROR(IF(W650="","",WORKDAY.INTL(B650,_xlfn.XLOOKUP(W650,Regras!$F$2:$F$11,Regras!$G$2:$G$11))),"")</f>
        <v>46000</v>
      </c>
      <c r="Y650" s="150" t="s">
        <v>4736</v>
      </c>
      <c r="Z650" s="53" t="s">
        <v>764</v>
      </c>
      <c r="AA650" s="53"/>
      <c r="AB650" s="150" t="s">
        <v>4736</v>
      </c>
    </row>
    <row r="651" spans="2:28" x14ac:dyDescent="0.2">
      <c r="B651" s="89">
        <v>45996</v>
      </c>
      <c r="D651" s="85" t="s">
        <v>2306</v>
      </c>
      <c r="E651" s="121" t="s">
        <v>2307</v>
      </c>
      <c r="F651" s="85" t="s">
        <v>46</v>
      </c>
      <c r="G651" s="85" t="s">
        <v>12</v>
      </c>
      <c r="H651" s="148"/>
      <c r="I651" s="142"/>
      <c r="J651" s="144"/>
      <c r="K651" s="144"/>
      <c r="L651" s="85"/>
      <c r="M651" s="58"/>
      <c r="N651" s="59"/>
      <c r="O651" s="50"/>
      <c r="P651" s="60"/>
      <c r="R651" s="53" t="s">
        <v>764</v>
      </c>
      <c r="S651" s="53" t="s">
        <v>764</v>
      </c>
      <c r="T651" s="53" t="s">
        <v>769</v>
      </c>
      <c r="U651" s="53" t="s">
        <v>741</v>
      </c>
      <c r="V651" s="53" t="s">
        <v>768</v>
      </c>
      <c r="W651" s="53" t="s">
        <v>780</v>
      </c>
      <c r="X651" s="61">
        <f>IFERROR(IF(W651="","",WORKDAY.INTL(B651,_xlfn.XLOOKUP(W651,Regras!$F$2:$F$11,Regras!$G$2:$G$11))),"")</f>
        <v>46000</v>
      </c>
      <c r="Y651" s="150" t="s">
        <v>4733</v>
      </c>
      <c r="Z651" s="53" t="s">
        <v>764</v>
      </c>
      <c r="AA651" s="53"/>
      <c r="AB651" s="155" t="s">
        <v>4734</v>
      </c>
    </row>
    <row r="652" spans="2:28" x14ac:dyDescent="0.2">
      <c r="B652" s="89">
        <v>45996</v>
      </c>
      <c r="D652" s="85" t="s">
        <v>4102</v>
      </c>
      <c r="E652" s="121" t="s">
        <v>4103</v>
      </c>
      <c r="F652" s="85" t="s">
        <v>46</v>
      </c>
      <c r="G652" s="85" t="s">
        <v>12</v>
      </c>
      <c r="H652" s="148"/>
      <c r="I652" s="142"/>
      <c r="J652" s="144"/>
      <c r="K652" s="144"/>
      <c r="L652" s="85"/>
      <c r="M652" s="58"/>
      <c r="N652" s="59"/>
      <c r="O652" s="50"/>
      <c r="P652" s="60"/>
      <c r="R652" s="53" t="s">
        <v>764</v>
      </c>
      <c r="S652" s="53" t="s">
        <v>764</v>
      </c>
      <c r="T652" s="53" t="s">
        <v>769</v>
      </c>
      <c r="U652" s="53" t="s">
        <v>741</v>
      </c>
      <c r="V652" s="53" t="s">
        <v>768</v>
      </c>
      <c r="W652" s="53" t="s">
        <v>780</v>
      </c>
      <c r="X652" s="61">
        <f>IFERROR(IF(W652="","",WORKDAY.INTL(B652,_xlfn.XLOOKUP(W652,Regras!$F$2:$F$11,Regras!$G$2:$G$11))),"")</f>
        <v>46000</v>
      </c>
      <c r="Y652" s="150" t="s">
        <v>4733</v>
      </c>
      <c r="Z652" s="53" t="s">
        <v>764</v>
      </c>
      <c r="AA652" s="53"/>
      <c r="AB652" s="155" t="s">
        <v>4734</v>
      </c>
    </row>
    <row r="653" spans="2:28" x14ac:dyDescent="0.2">
      <c r="B653" s="89">
        <v>45996</v>
      </c>
      <c r="D653" s="85" t="s">
        <v>4123</v>
      </c>
      <c r="E653" s="121" t="s">
        <v>4124</v>
      </c>
      <c r="F653" s="85" t="s">
        <v>46</v>
      </c>
      <c r="G653" s="85" t="s">
        <v>12</v>
      </c>
      <c r="H653" s="148"/>
      <c r="I653" s="142"/>
      <c r="J653" s="144"/>
      <c r="K653" s="144"/>
      <c r="L653" s="85"/>
      <c r="M653" s="58"/>
      <c r="N653" s="59"/>
      <c r="O653" s="50"/>
      <c r="P653" s="60"/>
      <c r="R653" s="53" t="s">
        <v>764</v>
      </c>
      <c r="S653" s="53" t="s">
        <v>764</v>
      </c>
      <c r="T653" s="53" t="s">
        <v>764</v>
      </c>
      <c r="U653" s="53" t="s">
        <v>741</v>
      </c>
      <c r="V653" s="53" t="s">
        <v>768</v>
      </c>
      <c r="W653" s="53" t="s">
        <v>780</v>
      </c>
      <c r="X653" s="61">
        <f>IFERROR(IF(W653="","",WORKDAY.INTL(B653,_xlfn.XLOOKUP(W653,Regras!$F$2:$F$11,Regras!$G$2:$G$11))),"")</f>
        <v>46000</v>
      </c>
      <c r="Y653" s="150" t="s">
        <v>4736</v>
      </c>
      <c r="Z653" s="53" t="s">
        <v>764</v>
      </c>
      <c r="AA653" s="53"/>
      <c r="AB653" s="150" t="s">
        <v>4736</v>
      </c>
    </row>
    <row r="654" spans="2:28" x14ac:dyDescent="0.2">
      <c r="B654" s="89">
        <v>45996</v>
      </c>
      <c r="D654" s="85" t="s">
        <v>2974</v>
      </c>
      <c r="E654" s="121" t="s">
        <v>2975</v>
      </c>
      <c r="F654" s="85" t="s">
        <v>46</v>
      </c>
      <c r="G654" s="85" t="s">
        <v>12</v>
      </c>
      <c r="H654" s="148"/>
      <c r="I654" s="142"/>
      <c r="J654" s="144"/>
      <c r="K654" s="144"/>
      <c r="L654" s="85"/>
      <c r="M654" s="58"/>
      <c r="N654" s="59"/>
      <c r="O654" s="50"/>
      <c r="P654" s="60"/>
      <c r="R654" s="53" t="s">
        <v>764</v>
      </c>
      <c r="S654" s="53" t="s">
        <v>764</v>
      </c>
      <c r="T654" s="53" t="s">
        <v>769</v>
      </c>
      <c r="U654" s="53" t="s">
        <v>741</v>
      </c>
      <c r="V654" s="53" t="s">
        <v>768</v>
      </c>
      <c r="W654" s="53" t="s">
        <v>780</v>
      </c>
      <c r="X654" s="61">
        <f>IFERROR(IF(W654="","",WORKDAY.INTL(B654,_xlfn.XLOOKUP(W654,Regras!$F$2:$F$11,Regras!$G$2:$G$11))),"")</f>
        <v>46000</v>
      </c>
      <c r="Y654" s="150" t="s">
        <v>4733</v>
      </c>
      <c r="Z654" s="53" t="s">
        <v>764</v>
      </c>
      <c r="AA654" s="53"/>
      <c r="AB654" s="155" t="s">
        <v>4734</v>
      </c>
    </row>
    <row r="655" spans="2:28" x14ac:dyDescent="0.2">
      <c r="B655" s="89">
        <v>45996</v>
      </c>
      <c r="D655" s="85" t="s">
        <v>3185</v>
      </c>
      <c r="E655" s="121" t="s">
        <v>3186</v>
      </c>
      <c r="F655" s="85" t="s">
        <v>46</v>
      </c>
      <c r="G655" s="85" t="s">
        <v>12</v>
      </c>
      <c r="H655" s="148"/>
      <c r="I655" s="142"/>
      <c r="J655" s="144"/>
      <c r="K655" s="144"/>
      <c r="L655" s="85"/>
      <c r="M655" s="58"/>
      <c r="N655" s="59"/>
      <c r="O655" s="50"/>
      <c r="P655" s="60"/>
      <c r="R655" s="53" t="s">
        <v>764</v>
      </c>
      <c r="S655" s="53" t="s">
        <v>764</v>
      </c>
      <c r="T655" s="53" t="s">
        <v>769</v>
      </c>
      <c r="U655" s="53" t="s">
        <v>741</v>
      </c>
      <c r="V655" s="53" t="s">
        <v>768</v>
      </c>
      <c r="W655" s="53" t="s">
        <v>780</v>
      </c>
      <c r="X655" s="61">
        <f>IFERROR(IF(W655="","",WORKDAY.INTL(B655,_xlfn.XLOOKUP(W655,Regras!$F$2:$F$11,Regras!$G$2:$G$11))),"")</f>
        <v>46000</v>
      </c>
      <c r="Y655" s="150" t="s">
        <v>4733</v>
      </c>
      <c r="Z655" s="53" t="s">
        <v>764</v>
      </c>
      <c r="AA655" s="53"/>
      <c r="AB655" s="155" t="s">
        <v>4734</v>
      </c>
    </row>
    <row r="656" spans="2:28" x14ac:dyDescent="0.2">
      <c r="B656" s="89">
        <v>45996</v>
      </c>
      <c r="D656" s="85" t="s">
        <v>3256</v>
      </c>
      <c r="E656" s="121" t="s">
        <v>3257</v>
      </c>
      <c r="F656" s="85" t="s">
        <v>46</v>
      </c>
      <c r="G656" s="85" t="s">
        <v>12</v>
      </c>
      <c r="H656" s="148"/>
      <c r="I656" s="142"/>
      <c r="J656" s="144"/>
      <c r="K656" s="144"/>
      <c r="L656" s="85"/>
      <c r="M656" s="58"/>
      <c r="N656" s="59"/>
      <c r="O656" s="50"/>
      <c r="P656" s="60"/>
      <c r="R656" s="53" t="s">
        <v>764</v>
      </c>
      <c r="S656" s="53" t="s">
        <v>764</v>
      </c>
      <c r="T656" s="53" t="s">
        <v>769</v>
      </c>
      <c r="U656" s="53" t="s">
        <v>741</v>
      </c>
      <c r="V656" s="53" t="s">
        <v>768</v>
      </c>
      <c r="W656" s="53" t="s">
        <v>780</v>
      </c>
      <c r="X656" s="61">
        <f>IFERROR(IF(W656="","",WORKDAY.INTL(B656,_xlfn.XLOOKUP(W656,Regras!$F$2:$F$11,Regras!$G$2:$G$11))),"")</f>
        <v>46000</v>
      </c>
      <c r="Y656" s="150" t="s">
        <v>4733</v>
      </c>
      <c r="Z656" s="53" t="s">
        <v>764</v>
      </c>
      <c r="AA656" s="53"/>
      <c r="AB656" s="155" t="s">
        <v>4734</v>
      </c>
    </row>
    <row r="657" spans="2:28" x14ac:dyDescent="0.2">
      <c r="B657" s="89">
        <v>45996</v>
      </c>
      <c r="D657" s="85" t="s">
        <v>4168</v>
      </c>
      <c r="E657" s="121" t="s">
        <v>4169</v>
      </c>
      <c r="F657" s="85" t="s">
        <v>46</v>
      </c>
      <c r="G657" s="85" t="s">
        <v>12</v>
      </c>
      <c r="H657" s="148"/>
      <c r="I657" s="142"/>
      <c r="J657" s="144"/>
      <c r="K657" s="144"/>
      <c r="L657" s="85"/>
      <c r="M657" s="58"/>
      <c r="N657" s="59"/>
      <c r="O657" s="50"/>
      <c r="P657" s="60"/>
      <c r="R657" s="53" t="s">
        <v>764</v>
      </c>
      <c r="S657" s="53" t="s">
        <v>764</v>
      </c>
      <c r="T657" s="53" t="s">
        <v>769</v>
      </c>
      <c r="U657" s="53" t="s">
        <v>741</v>
      </c>
      <c r="V657" s="53" t="s">
        <v>768</v>
      </c>
      <c r="W657" s="53" t="s">
        <v>780</v>
      </c>
      <c r="X657" s="61">
        <f>IFERROR(IF(W657="","",WORKDAY.INTL(B657,_xlfn.XLOOKUP(W657,Regras!$F$2:$F$11,Regras!$G$2:$G$11))),"")</f>
        <v>46000</v>
      </c>
      <c r="Y657" s="150" t="s">
        <v>4733</v>
      </c>
      <c r="Z657" s="53" t="s">
        <v>764</v>
      </c>
      <c r="AA657" s="53"/>
      <c r="AB657" s="155" t="s">
        <v>4734</v>
      </c>
    </row>
    <row r="658" spans="2:28" x14ac:dyDescent="0.2">
      <c r="B658" s="89">
        <v>45996</v>
      </c>
      <c r="D658" s="85" t="s">
        <v>691</v>
      </c>
      <c r="E658" s="121" t="s">
        <v>692</v>
      </c>
      <c r="F658" s="85" t="s">
        <v>46</v>
      </c>
      <c r="G658" s="85" t="s">
        <v>12</v>
      </c>
      <c r="H658" s="148"/>
      <c r="I658" s="142"/>
      <c r="J658" s="144"/>
      <c r="K658" s="144"/>
      <c r="L658" s="85"/>
      <c r="M658" s="58"/>
      <c r="N658" s="59"/>
      <c r="O658" s="50"/>
      <c r="P658" s="60"/>
      <c r="R658" s="53" t="s">
        <v>764</v>
      </c>
      <c r="S658" s="53" t="s">
        <v>769</v>
      </c>
      <c r="T658" s="53" t="s">
        <v>769</v>
      </c>
      <c r="U658" s="53" t="s">
        <v>773</v>
      </c>
      <c r="V658" s="53" t="s">
        <v>765</v>
      </c>
      <c r="W658" s="53" t="s">
        <v>780</v>
      </c>
      <c r="X658" s="61">
        <f>IFERROR(IF(W658="","",WORKDAY.INTL(B658,_xlfn.XLOOKUP(W658,Regras!$F$2:$F$11,Regras!$G$2:$G$11))),"")</f>
        <v>46000</v>
      </c>
      <c r="Y658" s="150" t="s">
        <v>4737</v>
      </c>
      <c r="Z658" s="53" t="s">
        <v>764</v>
      </c>
      <c r="AA658" s="53"/>
      <c r="AB658" s="150" t="s">
        <v>4737</v>
      </c>
    </row>
    <row r="659" spans="2:28" x14ac:dyDescent="0.2">
      <c r="B659" s="89">
        <v>45996</v>
      </c>
      <c r="D659" s="85" t="s">
        <v>4738</v>
      </c>
      <c r="E659" s="121"/>
      <c r="F659" s="85" t="s">
        <v>46</v>
      </c>
      <c r="G659" s="85" t="s">
        <v>12</v>
      </c>
      <c r="H659" s="148"/>
      <c r="I659" s="142"/>
      <c r="J659" s="144"/>
      <c r="K659" s="144"/>
      <c r="L659" s="85"/>
      <c r="M659" s="58"/>
      <c r="N659" s="59"/>
      <c r="O659" s="50"/>
      <c r="P659" s="60"/>
      <c r="R659" s="53" t="s">
        <v>764</v>
      </c>
      <c r="S659" s="53" t="s">
        <v>769</v>
      </c>
      <c r="T659" s="53" t="s">
        <v>769</v>
      </c>
      <c r="U659" s="53" t="s">
        <v>741</v>
      </c>
      <c r="V659" s="53" t="s">
        <v>768</v>
      </c>
      <c r="W659" s="53" t="s">
        <v>780</v>
      </c>
      <c r="X659" s="61">
        <f>IFERROR(IF(W659="","",WORKDAY.INTL(B659,_xlfn.XLOOKUP(W659,Regras!$F$2:$F$11,Regras!$G$2:$G$11))),"")</f>
        <v>46000</v>
      </c>
      <c r="Y659" s="150" t="s">
        <v>4739</v>
      </c>
      <c r="Z659" s="53" t="s">
        <v>764</v>
      </c>
      <c r="AA659" s="53"/>
      <c r="AB659" s="150" t="s">
        <v>4739</v>
      </c>
    </row>
    <row r="660" spans="2:28" x14ac:dyDescent="0.2">
      <c r="B660" s="89">
        <v>45996</v>
      </c>
      <c r="D660" s="85" t="s">
        <v>4740</v>
      </c>
      <c r="E660" s="85" t="s">
        <v>4678</v>
      </c>
      <c r="F660" s="85" t="s">
        <v>22</v>
      </c>
      <c r="G660" s="85" t="s">
        <v>12</v>
      </c>
      <c r="H660" s="148"/>
      <c r="I660" s="142"/>
      <c r="J660" s="144"/>
      <c r="K660" s="144"/>
      <c r="L660" s="85"/>
      <c r="M660" s="58"/>
      <c r="N660" s="59"/>
      <c r="O660" s="50"/>
      <c r="P660" s="60"/>
      <c r="R660" s="53" t="s">
        <v>764</v>
      </c>
      <c r="S660" s="53" t="s">
        <v>769</v>
      </c>
      <c r="T660" s="53" t="s">
        <v>769</v>
      </c>
      <c r="U660" s="53" t="s">
        <v>741</v>
      </c>
      <c r="V660" s="53" t="s">
        <v>770</v>
      </c>
      <c r="W660" s="53" t="s">
        <v>777</v>
      </c>
      <c r="X660" s="61" t="str">
        <f>IFERROR(IF(W660="","",WORKDAY.INTL(B660,_xlfn.XLOOKUP(W660,Regras!$F$2:$F$11,Regras!$G$2:$G$11))),"")</f>
        <v/>
      </c>
      <c r="Y660" s="150" t="s">
        <v>4741</v>
      </c>
      <c r="Z660" s="53" t="s">
        <v>764</v>
      </c>
      <c r="AA660" s="53"/>
      <c r="AB660" s="155" t="s">
        <v>4742</v>
      </c>
    </row>
    <row r="661" spans="2:28" x14ac:dyDescent="0.2">
      <c r="B661" s="89">
        <v>45996</v>
      </c>
      <c r="D661" s="85" t="s">
        <v>194</v>
      </c>
      <c r="E661" s="85" t="s">
        <v>195</v>
      </c>
      <c r="F661" s="85" t="s">
        <v>17</v>
      </c>
      <c r="G661" s="85" t="s">
        <v>12</v>
      </c>
      <c r="H661" s="148"/>
      <c r="I661" s="142"/>
      <c r="J661" s="144"/>
      <c r="K661" s="144"/>
      <c r="L661" s="85"/>
      <c r="M661" s="58"/>
      <c r="N661" s="59"/>
      <c r="O661" s="50"/>
      <c r="P661" s="60"/>
      <c r="R661" s="53" t="s">
        <v>764</v>
      </c>
      <c r="S661" s="53" t="s">
        <v>769</v>
      </c>
      <c r="T661" s="53" t="s">
        <v>769</v>
      </c>
      <c r="U661" s="53" t="s">
        <v>741</v>
      </c>
      <c r="V661" s="53" t="s">
        <v>770</v>
      </c>
      <c r="W661" s="53" t="s">
        <v>766</v>
      </c>
      <c r="X661" s="61">
        <f>IFERROR(IF(W661="","",WORKDAY.INTL(B661,_xlfn.XLOOKUP(W661,Regras!$F$2:$F$11,Regras!$G$2:$G$11))),"")</f>
        <v>46059</v>
      </c>
      <c r="Y661" s="150" t="s">
        <v>1003</v>
      </c>
      <c r="Z661" s="53" t="s">
        <v>764</v>
      </c>
      <c r="AA661" s="53"/>
      <c r="AB661" s="150" t="s">
        <v>1003</v>
      </c>
    </row>
    <row r="662" spans="2:28" x14ac:dyDescent="0.2">
      <c r="B662" s="89">
        <v>45996</v>
      </c>
      <c r="D662" s="85" t="s">
        <v>4509</v>
      </c>
      <c r="E662" s="121" t="s">
        <v>4510</v>
      </c>
      <c r="F662" s="85" t="s">
        <v>22</v>
      </c>
      <c r="G662" s="85" t="s">
        <v>12</v>
      </c>
      <c r="H662" s="148"/>
      <c r="I662" s="142"/>
      <c r="J662" s="144"/>
      <c r="K662" s="144"/>
      <c r="L662" s="85"/>
      <c r="M662" s="58"/>
      <c r="N662" s="59"/>
      <c r="O662" s="50"/>
      <c r="P662" s="60"/>
      <c r="R662" s="53" t="s">
        <v>764</v>
      </c>
      <c r="S662" s="53" t="s">
        <v>769</v>
      </c>
      <c r="T662" s="53" t="s">
        <v>769</v>
      </c>
      <c r="U662" s="53" t="s">
        <v>741</v>
      </c>
      <c r="V662" s="53" t="s">
        <v>770</v>
      </c>
      <c r="W662" s="53" t="s">
        <v>777</v>
      </c>
      <c r="X662" s="61" t="str">
        <f>IFERROR(IF(W662="","",WORKDAY.INTL(B662,_xlfn.XLOOKUP(W662,Regras!$F$2:$F$11,Regras!$G$2:$G$11))),"")</f>
        <v/>
      </c>
      <c r="Y662" s="150" t="s">
        <v>4743</v>
      </c>
      <c r="Z662" s="53" t="s">
        <v>764</v>
      </c>
      <c r="AA662" s="53"/>
      <c r="AB662" s="150" t="s">
        <v>4743</v>
      </c>
    </row>
    <row r="663" spans="2:28" x14ac:dyDescent="0.2">
      <c r="B663" s="89">
        <v>45996</v>
      </c>
      <c r="D663" s="85" t="s">
        <v>4745</v>
      </c>
      <c r="E663" s="121" t="s">
        <v>4744</v>
      </c>
      <c r="F663" s="85" t="s">
        <v>22</v>
      </c>
      <c r="G663" s="85" t="s">
        <v>12</v>
      </c>
      <c r="H663" s="148"/>
      <c r="I663" s="142"/>
      <c r="J663" s="144"/>
      <c r="K663" s="144"/>
      <c r="L663" s="85"/>
      <c r="M663" s="58"/>
      <c r="N663" s="59"/>
      <c r="O663" s="50"/>
      <c r="P663" s="60"/>
      <c r="R663" s="53" t="s">
        <v>764</v>
      </c>
      <c r="S663" s="53" t="s">
        <v>769</v>
      </c>
      <c r="T663" s="53" t="s">
        <v>769</v>
      </c>
      <c r="U663" s="53" t="s">
        <v>741</v>
      </c>
      <c r="V663" s="53" t="s">
        <v>770</v>
      </c>
      <c r="W663" s="53" t="s">
        <v>839</v>
      </c>
      <c r="X663" s="61">
        <f>IFERROR(IF(W663="","",WORKDAY.INTL(B663,_xlfn.XLOOKUP(W663,Regras!$F$2:$F$11,Regras!$G$2:$G$11))),"")</f>
        <v>45999</v>
      </c>
      <c r="Y663" s="150" t="s">
        <v>995</v>
      </c>
      <c r="Z663" s="53" t="s">
        <v>764</v>
      </c>
      <c r="AA663" s="53"/>
      <c r="AB663" s="150" t="s">
        <v>995</v>
      </c>
    </row>
    <row r="664" spans="2:28" x14ac:dyDescent="0.2">
      <c r="B664" s="89">
        <v>45996</v>
      </c>
      <c r="D664" s="85" t="s">
        <v>4746</v>
      </c>
      <c r="E664" s="121" t="s">
        <v>4822</v>
      </c>
      <c r="F664" s="85" t="s">
        <v>22</v>
      </c>
      <c r="G664" s="85" t="s">
        <v>12</v>
      </c>
      <c r="H664" s="148"/>
      <c r="I664" s="142"/>
      <c r="J664" s="144"/>
      <c r="K664" s="144"/>
      <c r="L664" s="85"/>
      <c r="M664" s="58"/>
      <c r="N664" s="59"/>
      <c r="O664" s="50"/>
      <c r="P664" s="60"/>
      <c r="R664" s="53" t="s">
        <v>764</v>
      </c>
      <c r="S664" s="53" t="s">
        <v>769</v>
      </c>
      <c r="T664" s="53" t="s">
        <v>769</v>
      </c>
      <c r="U664" s="53" t="s">
        <v>741</v>
      </c>
      <c r="V664" s="53" t="s">
        <v>765</v>
      </c>
      <c r="W664" s="53" t="s">
        <v>777</v>
      </c>
      <c r="X664" s="61" t="str">
        <f>IFERROR(IF(W664="","",WORKDAY.INTL(B664,_xlfn.XLOOKUP(W664,Regras!$F$2:$F$11,Regras!$G$2:$G$11))),"")</f>
        <v/>
      </c>
      <c r="Y664" s="150" t="s">
        <v>4748</v>
      </c>
      <c r="Z664" s="53" t="s">
        <v>764</v>
      </c>
      <c r="AA664" s="53"/>
      <c r="AB664" s="150" t="s">
        <v>4748</v>
      </c>
    </row>
    <row r="665" spans="2:28" x14ac:dyDescent="0.2">
      <c r="B665" s="89">
        <v>45996</v>
      </c>
      <c r="D665" s="85" t="s">
        <v>4747</v>
      </c>
      <c r="E665" s="121"/>
      <c r="F665" s="85" t="s">
        <v>22</v>
      </c>
      <c r="G665" s="85" t="s">
        <v>12</v>
      </c>
      <c r="H665" s="148"/>
      <c r="I665" s="142"/>
      <c r="J665" s="144"/>
      <c r="K665" s="144"/>
      <c r="L665" s="85"/>
      <c r="M665" s="58"/>
      <c r="N665" s="59"/>
      <c r="O665" s="50"/>
      <c r="P665" s="60"/>
      <c r="R665" s="53" t="s">
        <v>764</v>
      </c>
      <c r="S665" s="53" t="s">
        <v>769</v>
      </c>
      <c r="T665" s="53" t="s">
        <v>769</v>
      </c>
      <c r="U665" s="53" t="s">
        <v>741</v>
      </c>
      <c r="V665" s="53" t="s">
        <v>768</v>
      </c>
      <c r="W665" s="53" t="s">
        <v>777</v>
      </c>
      <c r="X665" s="61" t="str">
        <f>IFERROR(IF(W665="","",WORKDAY.INTL(B665,_xlfn.XLOOKUP(W665,Regras!$F$2:$F$11,Regras!$G$2:$G$11))),"")</f>
        <v/>
      </c>
      <c r="Y665" s="150" t="s">
        <v>4748</v>
      </c>
      <c r="Z665" s="53" t="s">
        <v>764</v>
      </c>
      <c r="AA665" s="53"/>
      <c r="AB665" s="150" t="s">
        <v>4748</v>
      </c>
    </row>
    <row r="666" spans="2:28" x14ac:dyDescent="0.2">
      <c r="B666" s="89">
        <v>45996</v>
      </c>
      <c r="D666" s="85" t="s">
        <v>4749</v>
      </c>
      <c r="E666" s="121" t="s">
        <v>621</v>
      </c>
      <c r="F666" s="85" t="s">
        <v>17</v>
      </c>
      <c r="G666" s="85" t="s">
        <v>12</v>
      </c>
      <c r="H666" s="148"/>
      <c r="I666" s="142"/>
      <c r="J666" s="144"/>
      <c r="K666" s="144"/>
      <c r="L666" s="85"/>
      <c r="M666" s="58"/>
      <c r="N666" s="59"/>
      <c r="O666" s="50"/>
      <c r="P666" s="60"/>
      <c r="R666" s="53" t="s">
        <v>764</v>
      </c>
      <c r="S666" s="53" t="s">
        <v>769</v>
      </c>
      <c r="T666" s="53" t="s">
        <v>769</v>
      </c>
      <c r="U666" s="53" t="s">
        <v>741</v>
      </c>
      <c r="V666" s="53" t="s">
        <v>770</v>
      </c>
      <c r="W666" s="53" t="s">
        <v>839</v>
      </c>
      <c r="X666" s="61">
        <f>IFERROR(IF(W666="","",WORKDAY.INTL(B666,_xlfn.XLOOKUP(W666,Regras!$F$2:$F$11,Regras!$G$2:$G$11))),"")</f>
        <v>45999</v>
      </c>
      <c r="Y666" s="150" t="s">
        <v>4750</v>
      </c>
      <c r="Z666" s="53" t="s">
        <v>764</v>
      </c>
      <c r="AA666" s="53"/>
      <c r="AB666" s="155" t="s">
        <v>4751</v>
      </c>
    </row>
    <row r="667" spans="2:28" x14ac:dyDescent="0.2">
      <c r="B667" s="89">
        <v>45999</v>
      </c>
      <c r="D667" s="85" t="s">
        <v>4509</v>
      </c>
      <c r="E667" s="121" t="s">
        <v>4510</v>
      </c>
      <c r="F667" s="85" t="s">
        <v>22</v>
      </c>
      <c r="G667" s="85" t="s">
        <v>12</v>
      </c>
      <c r="H667" s="148"/>
      <c r="I667" s="142"/>
      <c r="J667" s="144"/>
      <c r="K667" s="144"/>
      <c r="L667" s="85"/>
      <c r="M667" s="58"/>
      <c r="N667" s="59"/>
      <c r="O667" s="50"/>
      <c r="P667" s="60"/>
      <c r="R667" s="53" t="s">
        <v>764</v>
      </c>
      <c r="S667" s="53" t="s">
        <v>769</v>
      </c>
      <c r="T667" s="53" t="s">
        <v>769</v>
      </c>
      <c r="U667" s="53" t="s">
        <v>741</v>
      </c>
      <c r="V667" s="53" t="s">
        <v>770</v>
      </c>
      <c r="W667" s="53" t="s">
        <v>777</v>
      </c>
      <c r="X667" s="61" t="str">
        <f>IFERROR(IF(W667="","",WORKDAY.INTL(B667,_xlfn.XLOOKUP(W667,Regras!$F$2:$F$11,Regras!$G$2:$G$11))),"")</f>
        <v/>
      </c>
      <c r="Y667" s="150" t="s">
        <v>4752</v>
      </c>
      <c r="Z667" s="53" t="s">
        <v>764</v>
      </c>
      <c r="AA667" s="53"/>
      <c r="AB667" s="155" t="s">
        <v>4753</v>
      </c>
    </row>
    <row r="668" spans="2:28" x14ac:dyDescent="0.2">
      <c r="B668" s="89">
        <v>45999</v>
      </c>
      <c r="D668" s="85" t="s">
        <v>4740</v>
      </c>
      <c r="E668" s="121" t="s">
        <v>4678</v>
      </c>
      <c r="F668" s="85" t="s">
        <v>22</v>
      </c>
      <c r="G668" s="85" t="s">
        <v>12</v>
      </c>
      <c r="H668" s="148"/>
      <c r="I668" s="142"/>
      <c r="J668" s="144"/>
      <c r="K668" s="144"/>
      <c r="L668" s="85"/>
      <c r="M668" s="58"/>
      <c r="N668" s="59"/>
      <c r="O668" s="50"/>
      <c r="P668" s="60"/>
      <c r="R668" s="53" t="s">
        <v>764</v>
      </c>
      <c r="S668" s="53" t="s">
        <v>769</v>
      </c>
      <c r="T668" s="53" t="s">
        <v>769</v>
      </c>
      <c r="U668" s="53" t="s">
        <v>741</v>
      </c>
      <c r="V668" s="53" t="s">
        <v>770</v>
      </c>
      <c r="W668" s="53" t="s">
        <v>777</v>
      </c>
      <c r="X668" s="61" t="str">
        <f>IFERROR(IF(W668="","",WORKDAY.INTL(B668,_xlfn.XLOOKUP(W668,Regras!$F$2:$F$11,Regras!$G$2:$G$11))),"")</f>
        <v/>
      </c>
      <c r="Y668" s="150" t="s">
        <v>4752</v>
      </c>
      <c r="Z668" s="53" t="s">
        <v>764</v>
      </c>
      <c r="AA668" s="53"/>
      <c r="AB668" s="155" t="s">
        <v>4754</v>
      </c>
    </row>
    <row r="669" spans="2:28" x14ac:dyDescent="0.2">
      <c r="B669" s="89">
        <v>45999</v>
      </c>
      <c r="D669" s="85" t="s">
        <v>4749</v>
      </c>
      <c r="E669" s="121" t="s">
        <v>621</v>
      </c>
      <c r="F669" s="85" t="s">
        <v>17</v>
      </c>
      <c r="G669" s="85" t="s">
        <v>12</v>
      </c>
      <c r="H669" s="148"/>
      <c r="I669" s="142"/>
      <c r="J669" s="144"/>
      <c r="K669" s="144"/>
      <c r="L669" s="85"/>
      <c r="M669" s="58"/>
      <c r="N669" s="59"/>
      <c r="O669" s="50"/>
      <c r="P669" s="60"/>
      <c r="R669" s="53" t="s">
        <v>764</v>
      </c>
      <c r="S669" s="53" t="s">
        <v>769</v>
      </c>
      <c r="T669" s="53" t="s">
        <v>769</v>
      </c>
      <c r="U669" s="53" t="s">
        <v>741</v>
      </c>
      <c r="V669" s="53" t="s">
        <v>770</v>
      </c>
      <c r="W669" s="53" t="s">
        <v>766</v>
      </c>
      <c r="X669" s="61">
        <f>IFERROR(IF(W669="","",WORKDAY.INTL(B669,_xlfn.XLOOKUP(W669,Regras!$F$2:$F$11,Regras!$G$2:$G$11))),"")</f>
        <v>46062</v>
      </c>
      <c r="Y669" s="150" t="s">
        <v>1003</v>
      </c>
      <c r="Z669" s="53" t="s">
        <v>764</v>
      </c>
      <c r="AA669" s="53"/>
      <c r="AB669" s="150" t="s">
        <v>1003</v>
      </c>
    </row>
    <row r="670" spans="2:28" x14ac:dyDescent="0.2">
      <c r="B670" s="89">
        <v>45999</v>
      </c>
      <c r="D670" s="85" t="s">
        <v>675</v>
      </c>
      <c r="E670" s="121" t="s">
        <v>676</v>
      </c>
      <c r="F670" s="85" t="s">
        <v>17</v>
      </c>
      <c r="G670" s="85" t="s">
        <v>12</v>
      </c>
      <c r="H670" s="148"/>
      <c r="I670" s="142"/>
      <c r="J670" s="144"/>
      <c r="K670" s="144"/>
      <c r="L670" s="85"/>
      <c r="M670" s="58"/>
      <c r="N670" s="59"/>
      <c r="O670" s="50"/>
      <c r="P670" s="60"/>
      <c r="R670" s="53" t="s">
        <v>764</v>
      </c>
      <c r="S670" s="53" t="s">
        <v>764</v>
      </c>
      <c r="T670" s="53" t="s">
        <v>764</v>
      </c>
      <c r="U670" s="53" t="s">
        <v>741</v>
      </c>
      <c r="V670" s="53" t="s">
        <v>765</v>
      </c>
      <c r="W670" s="53" t="s">
        <v>780</v>
      </c>
      <c r="X670" s="61">
        <f>IFERROR(IF(W670="","",WORKDAY.INTL(B670,_xlfn.XLOOKUP(W670,Regras!$F$2:$F$11,Regras!$G$2:$G$11))),"")</f>
        <v>46001</v>
      </c>
      <c r="Y670" s="150" t="s">
        <v>4755</v>
      </c>
      <c r="Z670" s="53" t="s">
        <v>764</v>
      </c>
      <c r="AA670" s="53"/>
      <c r="AB670" s="155" t="s">
        <v>4756</v>
      </c>
    </row>
    <row r="671" spans="2:28" x14ac:dyDescent="0.2">
      <c r="B671" s="89">
        <v>45999</v>
      </c>
      <c r="D671" s="85" t="s">
        <v>653</v>
      </c>
      <c r="E671" s="121" t="s">
        <v>654</v>
      </c>
      <c r="F671" s="85" t="s">
        <v>46</v>
      </c>
      <c r="G671" s="85" t="s">
        <v>12</v>
      </c>
      <c r="H671" s="148"/>
      <c r="I671" s="142"/>
      <c r="J671" s="144"/>
      <c r="K671" s="144"/>
      <c r="L671" s="85"/>
      <c r="M671" s="58"/>
      <c r="N671" s="59"/>
      <c r="O671" s="50"/>
      <c r="P671" s="60"/>
      <c r="R671" s="53" t="s">
        <v>764</v>
      </c>
      <c r="S671" s="53" t="s">
        <v>764</v>
      </c>
      <c r="T671" s="53" t="s">
        <v>769</v>
      </c>
      <c r="U671" s="53" t="s">
        <v>741</v>
      </c>
      <c r="V671" s="53" t="s">
        <v>765</v>
      </c>
      <c r="W671" s="53" t="s">
        <v>780</v>
      </c>
      <c r="X671" s="61">
        <f>IFERROR(IF(W672="","",WORKDAY.INTL(B671,_xlfn.XLOOKUP(W672,Regras!$F$2:$F$11,Regras!$G$2:$G$11))),"")</f>
        <v>46001</v>
      </c>
      <c r="Y671" s="150" t="s">
        <v>4757</v>
      </c>
      <c r="Z671" s="53" t="s">
        <v>764</v>
      </c>
      <c r="AA671" s="53"/>
      <c r="AB671" s="155" t="s">
        <v>4758</v>
      </c>
    </row>
    <row r="672" spans="2:28" x14ac:dyDescent="0.2">
      <c r="B672" s="89">
        <v>45999</v>
      </c>
      <c r="D672" s="85" t="s">
        <v>601</v>
      </c>
      <c r="E672" s="121" t="s">
        <v>602</v>
      </c>
      <c r="F672" s="85" t="s">
        <v>46</v>
      </c>
      <c r="G672" s="85" t="s">
        <v>12</v>
      </c>
      <c r="H672" s="148"/>
      <c r="I672" s="142"/>
      <c r="J672" s="144"/>
      <c r="K672" s="144"/>
      <c r="L672" s="85"/>
      <c r="M672" s="58"/>
      <c r="N672" s="59"/>
      <c r="O672" s="50"/>
      <c r="P672" s="60"/>
      <c r="R672" s="53" t="s">
        <v>764</v>
      </c>
      <c r="S672" s="53" t="s">
        <v>764</v>
      </c>
      <c r="T672" s="53" t="s">
        <v>769</v>
      </c>
      <c r="U672" s="53" t="s">
        <v>741</v>
      </c>
      <c r="V672" s="53" t="s">
        <v>765</v>
      </c>
      <c r="W672" s="53" t="s">
        <v>780</v>
      </c>
      <c r="X672" s="61" t="str">
        <f>IFERROR(IF(#REF!="","",WORKDAY.INTL(B672,_xlfn.XLOOKUP(#REF!,Regras!$F$2:$F$11,Regras!$G$2:$G$11))),"")</f>
        <v/>
      </c>
      <c r="Y672" s="150" t="s">
        <v>4759</v>
      </c>
      <c r="Z672" s="53" t="s">
        <v>764</v>
      </c>
      <c r="AA672" s="53"/>
      <c r="AB672" s="155" t="s">
        <v>4760</v>
      </c>
    </row>
    <row r="673" spans="2:28" x14ac:dyDescent="0.2">
      <c r="B673" s="89">
        <v>45999</v>
      </c>
      <c r="D673" s="85" t="s">
        <v>554</v>
      </c>
      <c r="E673" s="121" t="s">
        <v>555</v>
      </c>
      <c r="F673" s="85" t="s">
        <v>46</v>
      </c>
      <c r="G673" s="85" t="s">
        <v>12</v>
      </c>
      <c r="H673" s="148"/>
      <c r="I673" s="142"/>
      <c r="J673" s="144"/>
      <c r="K673" s="144"/>
      <c r="L673" s="85"/>
      <c r="M673" s="58"/>
      <c r="N673" s="59"/>
      <c r="O673" s="50"/>
      <c r="P673" s="60"/>
      <c r="R673" s="53" t="s">
        <v>764</v>
      </c>
      <c r="S673" s="53" t="s">
        <v>764</v>
      </c>
      <c r="T673" s="53" t="s">
        <v>769</v>
      </c>
      <c r="U673" s="53" t="s">
        <v>741</v>
      </c>
      <c r="V673" s="53" t="s">
        <v>765</v>
      </c>
      <c r="W673" s="53" t="s">
        <v>780</v>
      </c>
      <c r="X673" s="61">
        <f>IFERROR(IF(W673="","",WORKDAY.INTL(B673,_xlfn.XLOOKUP(W673,Regras!$F$2:$F$11,Regras!$G$2:$G$11))),"")</f>
        <v>46001</v>
      </c>
      <c r="Y673" s="150" t="s">
        <v>4761</v>
      </c>
      <c r="Z673" s="53" t="s">
        <v>764</v>
      </c>
      <c r="AA673" s="53"/>
      <c r="AB673" s="150" t="s">
        <v>4761</v>
      </c>
    </row>
    <row r="674" spans="2:28" x14ac:dyDescent="0.2">
      <c r="B674" s="89">
        <v>45999</v>
      </c>
      <c r="D674" s="85" t="s">
        <v>549</v>
      </c>
      <c r="E674" s="121" t="s">
        <v>550</v>
      </c>
      <c r="F674" s="85" t="s">
        <v>22</v>
      </c>
      <c r="G674" s="85" t="s">
        <v>12</v>
      </c>
      <c r="H674" s="148"/>
      <c r="I674" s="142"/>
      <c r="J674" s="144"/>
      <c r="K674" s="144"/>
      <c r="L674" s="85"/>
      <c r="M674" s="58"/>
      <c r="N674" s="59"/>
      <c r="O674" s="50"/>
      <c r="P674" s="60"/>
      <c r="R674" s="53" t="s">
        <v>764</v>
      </c>
      <c r="S674" s="53" t="s">
        <v>764</v>
      </c>
      <c r="T674" s="53" t="s">
        <v>769</v>
      </c>
      <c r="U674" s="53" t="s">
        <v>741</v>
      </c>
      <c r="V674" s="53" t="s">
        <v>765</v>
      </c>
      <c r="W674" s="53" t="s">
        <v>780</v>
      </c>
      <c r="X674" s="61">
        <f>IFERROR(IF(W674="","",WORKDAY.INTL(B674,_xlfn.XLOOKUP(W674,Regras!$F$2:$F$11,Regras!$G$2:$G$11))),"")</f>
        <v>46001</v>
      </c>
      <c r="Y674" s="150" t="s">
        <v>4759</v>
      </c>
      <c r="Z674" s="53" t="s">
        <v>764</v>
      </c>
      <c r="AA674" s="53"/>
      <c r="AB674" s="155" t="s">
        <v>4762</v>
      </c>
    </row>
    <row r="675" spans="2:28" x14ac:dyDescent="0.2">
      <c r="B675" s="89">
        <v>45999</v>
      </c>
      <c r="D675" s="85" t="s">
        <v>542</v>
      </c>
      <c r="E675" s="121" t="s">
        <v>543</v>
      </c>
      <c r="F675" s="85" t="s">
        <v>46</v>
      </c>
      <c r="G675" s="85" t="s">
        <v>12</v>
      </c>
      <c r="H675" s="148"/>
      <c r="I675" s="142"/>
      <c r="J675" s="144"/>
      <c r="K675" s="144"/>
      <c r="L675" s="85"/>
      <c r="M675" s="58"/>
      <c r="N675" s="59"/>
      <c r="O675" s="50"/>
      <c r="P675" s="60"/>
      <c r="R675" s="53" t="s">
        <v>764</v>
      </c>
      <c r="S675" s="53" t="s">
        <v>769</v>
      </c>
      <c r="T675" s="53" t="s">
        <v>769</v>
      </c>
      <c r="U675" s="53" t="s">
        <v>741</v>
      </c>
      <c r="V675" s="53" t="s">
        <v>765</v>
      </c>
      <c r="W675" s="53" t="s">
        <v>780</v>
      </c>
      <c r="X675" s="61">
        <f>IFERROR(IF(W675="","",WORKDAY.INTL(B675,_xlfn.XLOOKUP(W675,Regras!$F$2:$F$11,Regras!$G$2:$G$11))),"")</f>
        <v>46001</v>
      </c>
      <c r="Y675" s="150" t="s">
        <v>4763</v>
      </c>
      <c r="Z675" s="53" t="s">
        <v>764</v>
      </c>
      <c r="AA675" s="53"/>
      <c r="AB675" s="155" t="s">
        <v>973</v>
      </c>
    </row>
    <row r="676" spans="2:28" x14ac:dyDescent="0.2">
      <c r="B676" s="89">
        <v>45999</v>
      </c>
      <c r="D676" s="85" t="s">
        <v>4738</v>
      </c>
      <c r="E676" s="121"/>
      <c r="F676" s="85" t="s">
        <v>46</v>
      </c>
      <c r="G676" s="85" t="s">
        <v>12</v>
      </c>
      <c r="H676" s="148"/>
      <c r="I676" s="142"/>
      <c r="J676" s="144"/>
      <c r="K676" s="144"/>
      <c r="L676" s="85"/>
      <c r="M676" s="58"/>
      <c r="N676" s="59"/>
      <c r="O676" s="50"/>
      <c r="P676" s="60"/>
      <c r="R676" s="53" t="s">
        <v>764</v>
      </c>
      <c r="S676" s="53" t="s">
        <v>769</v>
      </c>
      <c r="T676" s="53" t="s">
        <v>769</v>
      </c>
      <c r="U676" s="53" t="s">
        <v>741</v>
      </c>
      <c r="V676" s="53" t="s">
        <v>768</v>
      </c>
      <c r="W676" s="53" t="s">
        <v>780</v>
      </c>
      <c r="X676" s="61">
        <f>IFERROR(IF(W676="","",WORKDAY.INTL(B676,_xlfn.XLOOKUP(W676,Regras!$F$2:$F$11,Regras!$G$2:$G$11))),"")</f>
        <v>46001</v>
      </c>
      <c r="Y676" s="150" t="s">
        <v>4585</v>
      </c>
      <c r="Z676" s="53" t="s">
        <v>764</v>
      </c>
      <c r="AA676" s="53"/>
      <c r="AB676" s="150" t="s">
        <v>4585</v>
      </c>
    </row>
    <row r="677" spans="2:28" x14ac:dyDescent="0.2">
      <c r="B677" s="89">
        <v>45999</v>
      </c>
      <c r="D677" s="85" t="s">
        <v>500</v>
      </c>
      <c r="E677" s="121" t="s">
        <v>501</v>
      </c>
      <c r="F677" s="85" t="s">
        <v>17</v>
      </c>
      <c r="G677" s="85" t="s">
        <v>12</v>
      </c>
      <c r="H677" s="148"/>
      <c r="I677" s="142"/>
      <c r="J677" s="144"/>
      <c r="K677" s="144"/>
      <c r="L677" s="85"/>
      <c r="M677" s="58"/>
      <c r="N677" s="59"/>
      <c r="O677" s="50"/>
      <c r="P677" s="60"/>
      <c r="R677" s="53" t="s">
        <v>764</v>
      </c>
      <c r="S677" s="53" t="s">
        <v>769</v>
      </c>
      <c r="T677" s="53" t="s">
        <v>769</v>
      </c>
      <c r="U677" s="53" t="s">
        <v>741</v>
      </c>
      <c r="V677" s="53" t="s">
        <v>765</v>
      </c>
      <c r="W677" s="53" t="s">
        <v>780</v>
      </c>
      <c r="X677" s="61">
        <f>IFERROR(IF(W677="","",WORKDAY.INTL(B677,_xlfn.XLOOKUP(W677,Regras!$F$2:$F$11,Regras!$G$2:$G$11))),"")</f>
        <v>46001</v>
      </c>
      <c r="Y677" s="150" t="s">
        <v>4764</v>
      </c>
      <c r="Z677" s="53" t="s">
        <v>764</v>
      </c>
      <c r="AA677" s="53"/>
      <c r="AB677" s="150" t="s">
        <v>4764</v>
      </c>
    </row>
    <row r="678" spans="2:28" x14ac:dyDescent="0.2">
      <c r="B678" s="89">
        <v>45999</v>
      </c>
      <c r="D678" s="85" t="s">
        <v>492</v>
      </c>
      <c r="E678" s="121" t="s">
        <v>493</v>
      </c>
      <c r="F678" s="85" t="s">
        <v>17</v>
      </c>
      <c r="G678" s="85" t="s">
        <v>12</v>
      </c>
      <c r="H678" s="148"/>
      <c r="I678" s="142"/>
      <c r="J678" s="144"/>
      <c r="K678" s="144"/>
      <c r="L678" s="85"/>
      <c r="R678" s="53" t="s">
        <v>764</v>
      </c>
      <c r="S678" s="53" t="s">
        <v>764</v>
      </c>
      <c r="T678" s="53" t="s">
        <v>769</v>
      </c>
      <c r="U678" s="53" t="s">
        <v>741</v>
      </c>
      <c r="V678" s="53" t="s">
        <v>765</v>
      </c>
      <c r="W678" s="53" t="s">
        <v>780</v>
      </c>
      <c r="X678" s="61">
        <f>IFERROR(IF(W678="","",WORKDAY.INTL(B678,_xlfn.XLOOKUP(W678,Regras!$F$2:$F$11,Regras!$G$2:$G$11))),"")</f>
        <v>46001</v>
      </c>
      <c r="Y678" s="150" t="s">
        <v>4765</v>
      </c>
      <c r="Z678" s="53" t="s">
        <v>764</v>
      </c>
      <c r="AB678" s="155" t="s">
        <v>4766</v>
      </c>
    </row>
    <row r="679" spans="2:28" x14ac:dyDescent="0.2">
      <c r="B679" s="89">
        <v>45999</v>
      </c>
      <c r="D679" s="85" t="s">
        <v>473</v>
      </c>
      <c r="E679" s="121" t="s">
        <v>474</v>
      </c>
      <c r="F679" s="85" t="s">
        <v>46</v>
      </c>
      <c r="G679" s="85" t="s">
        <v>12</v>
      </c>
      <c r="H679" s="148"/>
      <c r="I679" s="142"/>
      <c r="J679" s="144"/>
      <c r="K679" s="144"/>
      <c r="L679" s="85"/>
      <c r="R679" s="53" t="s">
        <v>764</v>
      </c>
      <c r="S679" s="53" t="s">
        <v>769</v>
      </c>
      <c r="T679" s="53" t="s">
        <v>769</v>
      </c>
      <c r="U679" s="53" t="s">
        <v>741</v>
      </c>
      <c r="V679" s="53" t="s">
        <v>765</v>
      </c>
      <c r="W679" s="53" t="s">
        <v>780</v>
      </c>
      <c r="X679" s="61">
        <f>IFERROR(IF(W679="","",WORKDAY.INTL(B679,_xlfn.XLOOKUP(W679,Regras!$F$2:$F$11,Regras!$G$2:$G$11))),"")</f>
        <v>46001</v>
      </c>
      <c r="Y679" s="150" t="s">
        <v>4767</v>
      </c>
      <c r="Z679" s="53" t="s">
        <v>764</v>
      </c>
      <c r="AB679" s="150" t="s">
        <v>4767</v>
      </c>
    </row>
    <row r="680" spans="2:28" x14ac:dyDescent="0.2">
      <c r="B680" s="89">
        <v>45999</v>
      </c>
      <c r="D680" s="85" t="s">
        <v>322</v>
      </c>
      <c r="E680" s="121" t="s">
        <v>323</v>
      </c>
      <c r="F680" s="85" t="s">
        <v>22</v>
      </c>
      <c r="G680" s="85" t="s">
        <v>12</v>
      </c>
      <c r="H680" s="148"/>
      <c r="I680" s="142"/>
      <c r="J680" s="144"/>
      <c r="K680" s="144"/>
      <c r="L680" s="85"/>
      <c r="R680" s="53" t="s">
        <v>764</v>
      </c>
      <c r="S680" s="53" t="s">
        <v>769</v>
      </c>
      <c r="T680" s="53" t="s">
        <v>769</v>
      </c>
      <c r="U680" s="53" t="s">
        <v>773</v>
      </c>
      <c r="V680" s="53" t="s">
        <v>770</v>
      </c>
      <c r="W680" s="53" t="s">
        <v>777</v>
      </c>
      <c r="X680" s="61" t="str">
        <f>IFERROR(IF(W680="","",WORKDAY.INTL(B680,_xlfn.XLOOKUP(W680,Regras!$F$2:$F$11,Regras!$G$2:$G$11))),"")</f>
        <v/>
      </c>
      <c r="Y680" s="150" t="s">
        <v>4768</v>
      </c>
      <c r="Z680" s="53" t="s">
        <v>764</v>
      </c>
      <c r="AB680" s="155" t="s">
        <v>4769</v>
      </c>
    </row>
    <row r="681" spans="2:28" x14ac:dyDescent="0.2">
      <c r="B681" s="89">
        <v>45999</v>
      </c>
      <c r="D681" s="85" t="s">
        <v>318</v>
      </c>
      <c r="E681" s="121" t="s">
        <v>319</v>
      </c>
      <c r="F681" s="85" t="s">
        <v>22</v>
      </c>
      <c r="G681" s="85" t="s">
        <v>12</v>
      </c>
      <c r="H681" s="148"/>
      <c r="I681" s="142"/>
      <c r="J681" s="144"/>
      <c r="K681" s="144"/>
      <c r="L681" s="85"/>
      <c r="R681" s="53" t="s">
        <v>764</v>
      </c>
      <c r="S681" s="53" t="s">
        <v>764</v>
      </c>
      <c r="T681" s="53" t="s">
        <v>764</v>
      </c>
      <c r="U681" s="53" t="s">
        <v>741</v>
      </c>
      <c r="V681" s="53" t="s">
        <v>770</v>
      </c>
      <c r="W681" s="53" t="s">
        <v>1054</v>
      </c>
      <c r="X681" s="61">
        <f>IFERROR(IF(W681="","",WORKDAY.INTL(B681,_xlfn.XLOOKUP(W681,Regras!$F$2:$F$11,Regras!$G$2:$G$11))),"")</f>
        <v>46020</v>
      </c>
      <c r="Y681" s="150" t="s">
        <v>1073</v>
      </c>
      <c r="Z681" s="53" t="s">
        <v>764</v>
      </c>
      <c r="AB681" s="155" t="s">
        <v>4770</v>
      </c>
    </row>
    <row r="682" spans="2:28" x14ac:dyDescent="0.2">
      <c r="B682" s="89">
        <v>45999</v>
      </c>
      <c r="D682" s="85" t="s">
        <v>1441</v>
      </c>
      <c r="E682" s="121" t="s">
        <v>1442</v>
      </c>
      <c r="F682" s="85" t="s">
        <v>46</v>
      </c>
      <c r="G682" s="85" t="s">
        <v>12</v>
      </c>
      <c r="H682" s="148"/>
      <c r="I682" s="142"/>
      <c r="J682" s="144"/>
      <c r="K682" s="144"/>
      <c r="L682" s="85"/>
      <c r="R682" s="53" t="s">
        <v>764</v>
      </c>
      <c r="S682" s="53" t="s">
        <v>764</v>
      </c>
      <c r="T682" s="53" t="s">
        <v>769</v>
      </c>
      <c r="U682" s="53" t="s">
        <v>741</v>
      </c>
      <c r="V682" s="53" t="s">
        <v>768</v>
      </c>
      <c r="W682" s="53" t="s">
        <v>780</v>
      </c>
      <c r="X682" s="61">
        <f>IFERROR(IF(W682="","",WORKDAY.INTL(B682,_xlfn.XLOOKUP(W682,Regras!$F$2:$F$11,Regras!$G$2:$G$11))),"")</f>
        <v>46001</v>
      </c>
      <c r="Y682" s="150" t="s">
        <v>4771</v>
      </c>
      <c r="Z682" s="53" t="s">
        <v>764</v>
      </c>
      <c r="AB682" s="150" t="s">
        <v>4771</v>
      </c>
    </row>
    <row r="683" spans="2:28" x14ac:dyDescent="0.2">
      <c r="B683" s="89">
        <v>45999</v>
      </c>
      <c r="D683" s="85" t="s">
        <v>1505</v>
      </c>
      <c r="E683" s="121" t="s">
        <v>1506</v>
      </c>
      <c r="F683" s="85" t="s">
        <v>46</v>
      </c>
      <c r="G683" s="85" t="s">
        <v>12</v>
      </c>
      <c r="H683" s="148"/>
      <c r="I683" s="142"/>
      <c r="J683" s="144"/>
      <c r="K683" s="144"/>
      <c r="L683" s="85"/>
      <c r="R683" s="53" t="s">
        <v>764</v>
      </c>
      <c r="S683" s="53" t="s">
        <v>764</v>
      </c>
      <c r="T683" s="53" t="s">
        <v>769</v>
      </c>
      <c r="U683" s="53" t="s">
        <v>741</v>
      </c>
      <c r="V683" s="53" t="s">
        <v>768</v>
      </c>
      <c r="W683" s="53" t="s">
        <v>780</v>
      </c>
      <c r="X683" s="61">
        <f>IFERROR(IF(W683="","",WORKDAY.INTL(B683,_xlfn.XLOOKUP(W683,Regras!$F$2:$F$11,Regras!$G$2:$G$11))),"")</f>
        <v>46001</v>
      </c>
      <c r="Y683" s="150" t="s">
        <v>4773</v>
      </c>
      <c r="Z683" s="53" t="s">
        <v>764</v>
      </c>
      <c r="AB683" s="155" t="s">
        <v>4772</v>
      </c>
    </row>
    <row r="684" spans="2:28" x14ac:dyDescent="0.2">
      <c r="B684" s="89">
        <v>45999</v>
      </c>
      <c r="D684" s="85" t="s">
        <v>2543</v>
      </c>
      <c r="E684" s="121" t="s">
        <v>2544</v>
      </c>
      <c r="F684" s="85" t="s">
        <v>46</v>
      </c>
      <c r="G684" s="85" t="s">
        <v>12</v>
      </c>
      <c r="H684" s="148"/>
      <c r="I684" s="142"/>
      <c r="J684" s="144"/>
      <c r="K684" s="144"/>
      <c r="L684" s="85"/>
      <c r="R684" s="53" t="s">
        <v>764</v>
      </c>
      <c r="S684" s="53" t="s">
        <v>764</v>
      </c>
      <c r="T684" s="53" t="s">
        <v>769</v>
      </c>
      <c r="U684" s="53" t="s">
        <v>741</v>
      </c>
      <c r="V684" s="53" t="s">
        <v>768</v>
      </c>
      <c r="W684" s="53" t="s">
        <v>780</v>
      </c>
      <c r="X684" s="61">
        <f>IFERROR(IF(W684="","",WORKDAY.INTL(B684,_xlfn.XLOOKUP(W684,Regras!$F$2:$F$11,Regras!$G$2:$G$11))),"")</f>
        <v>46001</v>
      </c>
      <c r="Y684" s="150" t="s">
        <v>4774</v>
      </c>
      <c r="Z684" s="53" t="s">
        <v>764</v>
      </c>
      <c r="AB684" s="150" t="s">
        <v>4774</v>
      </c>
    </row>
    <row r="685" spans="2:28" x14ac:dyDescent="0.2">
      <c r="B685" s="89">
        <v>45999</v>
      </c>
      <c r="D685" s="85" t="s">
        <v>2576</v>
      </c>
      <c r="E685" s="121" t="s">
        <v>2577</v>
      </c>
      <c r="F685" s="85" t="s">
        <v>46</v>
      </c>
      <c r="G685" s="85" t="s">
        <v>12</v>
      </c>
      <c r="H685" s="148"/>
      <c r="I685" s="142"/>
      <c r="J685" s="144"/>
      <c r="K685" s="144"/>
      <c r="L685" s="85"/>
      <c r="R685" s="53" t="s">
        <v>764</v>
      </c>
      <c r="S685" s="53" t="s">
        <v>764</v>
      </c>
      <c r="T685" s="53" t="s">
        <v>769</v>
      </c>
      <c r="U685" s="53" t="s">
        <v>741</v>
      </c>
      <c r="V685" s="53" t="s">
        <v>768</v>
      </c>
      <c r="W685" s="53" t="s">
        <v>780</v>
      </c>
      <c r="X685" s="61">
        <f>IFERROR(IF(W685="","",WORKDAY.INTL(B685,_xlfn.XLOOKUP(W685,Regras!$F$2:$F$11,Regras!$G$2:$G$11))),"")</f>
        <v>46001</v>
      </c>
      <c r="Y685" s="150" t="s">
        <v>4775</v>
      </c>
      <c r="Z685" s="53" t="s">
        <v>764</v>
      </c>
      <c r="AB685" s="155" t="s">
        <v>4776</v>
      </c>
    </row>
    <row r="686" spans="2:28" x14ac:dyDescent="0.2">
      <c r="B686" s="89">
        <v>45999</v>
      </c>
      <c r="D686" s="85" t="s">
        <v>2660</v>
      </c>
      <c r="E686" s="121" t="s">
        <v>2661</v>
      </c>
      <c r="F686" s="85" t="s">
        <v>46</v>
      </c>
      <c r="G686" s="85" t="s">
        <v>12</v>
      </c>
      <c r="H686" s="148"/>
      <c r="I686" s="142"/>
      <c r="J686" s="144"/>
      <c r="K686" s="144"/>
      <c r="L686" s="85"/>
      <c r="R686" s="53" t="s">
        <v>764</v>
      </c>
      <c r="S686" s="53" t="s">
        <v>764</v>
      </c>
      <c r="T686" s="53" t="s">
        <v>769</v>
      </c>
      <c r="U686" s="53" t="s">
        <v>741</v>
      </c>
      <c r="V686" s="53" t="s">
        <v>768</v>
      </c>
      <c r="W686" s="53" t="s">
        <v>780</v>
      </c>
      <c r="X686" s="61">
        <f>IFERROR(IF(W686="","",WORKDAY.INTL(B686,_xlfn.XLOOKUP(W686,Regras!$F$2:$F$11,Regras!$G$2:$G$11))),"")</f>
        <v>46001</v>
      </c>
      <c r="Y686" s="150" t="s">
        <v>4775</v>
      </c>
      <c r="Z686" s="53" t="s">
        <v>764</v>
      </c>
      <c r="AB686" s="155" t="s">
        <v>4776</v>
      </c>
    </row>
    <row r="687" spans="2:28" x14ac:dyDescent="0.2">
      <c r="B687" s="89">
        <v>45999</v>
      </c>
      <c r="D687" s="85" t="s">
        <v>2817</v>
      </c>
      <c r="E687" s="121" t="s">
        <v>2818</v>
      </c>
      <c r="F687" s="85" t="s">
        <v>46</v>
      </c>
      <c r="G687" s="85" t="s">
        <v>12</v>
      </c>
      <c r="H687" s="148"/>
      <c r="I687" s="142"/>
      <c r="J687" s="144"/>
      <c r="K687" s="144"/>
      <c r="L687" s="85"/>
      <c r="R687" s="53" t="s">
        <v>764</v>
      </c>
      <c r="S687" s="53" t="s">
        <v>764</v>
      </c>
      <c r="T687" s="53" t="s">
        <v>764</v>
      </c>
      <c r="U687" s="53" t="s">
        <v>741</v>
      </c>
      <c r="V687" s="53" t="s">
        <v>768</v>
      </c>
      <c r="W687" s="53" t="s">
        <v>780</v>
      </c>
      <c r="X687" s="61">
        <f>IFERROR(IF(W687="","",WORKDAY.INTL(B687,_xlfn.XLOOKUP(W687,Regras!$F$2:$F$11,Regras!$G$2:$G$11))),"")</f>
        <v>46001</v>
      </c>
      <c r="Y687" s="150" t="s">
        <v>4777</v>
      </c>
      <c r="Z687" s="53" t="s">
        <v>764</v>
      </c>
      <c r="AB687" s="155" t="s">
        <v>4776</v>
      </c>
    </row>
    <row r="688" spans="2:28" x14ac:dyDescent="0.2">
      <c r="B688" s="89">
        <v>45999</v>
      </c>
      <c r="D688" s="85" t="s">
        <v>3203</v>
      </c>
      <c r="E688" s="121" t="s">
        <v>3204</v>
      </c>
      <c r="F688" s="85" t="s">
        <v>46</v>
      </c>
      <c r="G688" s="85" t="s">
        <v>12</v>
      </c>
      <c r="H688" s="148"/>
      <c r="I688" s="142"/>
      <c r="J688" s="144"/>
      <c r="K688" s="144"/>
      <c r="L688" s="85"/>
      <c r="R688" s="53" t="s">
        <v>764</v>
      </c>
      <c r="S688" s="53" t="s">
        <v>764</v>
      </c>
      <c r="T688" s="53" t="s">
        <v>764</v>
      </c>
      <c r="U688" s="53" t="s">
        <v>741</v>
      </c>
      <c r="V688" s="53" t="s">
        <v>768</v>
      </c>
      <c r="W688" s="53" t="s">
        <v>780</v>
      </c>
      <c r="X688" s="61">
        <f>IFERROR(IF(W688="","",WORKDAY.INTL(B688,_xlfn.XLOOKUP(W688,Regras!$F$2:$F$11,Regras!$G$2:$G$11))),"")</f>
        <v>46001</v>
      </c>
      <c r="Y688" s="150" t="s">
        <v>4777</v>
      </c>
      <c r="Z688" s="53" t="s">
        <v>764</v>
      </c>
      <c r="AB688" s="155" t="s">
        <v>4776</v>
      </c>
    </row>
    <row r="689" spans="2:28" x14ac:dyDescent="0.2">
      <c r="B689" s="89">
        <v>45999</v>
      </c>
      <c r="D689" s="85" t="s">
        <v>2237</v>
      </c>
      <c r="E689" s="121" t="s">
        <v>2238</v>
      </c>
      <c r="F689" s="85" t="s">
        <v>46</v>
      </c>
      <c r="G689" s="85" t="s">
        <v>12</v>
      </c>
      <c r="H689" s="148"/>
      <c r="I689" s="142"/>
      <c r="J689" s="144"/>
      <c r="K689" s="144"/>
      <c r="L689" s="85"/>
      <c r="R689" s="53" t="s">
        <v>764</v>
      </c>
      <c r="S689" s="53" t="s">
        <v>764</v>
      </c>
      <c r="T689" s="53" t="s">
        <v>764</v>
      </c>
      <c r="U689" s="53" t="s">
        <v>741</v>
      </c>
      <c r="V689" s="53" t="s">
        <v>768</v>
      </c>
      <c r="W689" s="53" t="s">
        <v>780</v>
      </c>
      <c r="X689" s="61">
        <f>IFERROR(IF(W689="","",WORKDAY.INTL(B689,_xlfn.XLOOKUP(W689,Regras!$F$2:$F$11,Regras!$G$2:$G$11))),"")</f>
        <v>46001</v>
      </c>
      <c r="Y689" s="150" t="s">
        <v>4777</v>
      </c>
      <c r="Z689" s="53" t="s">
        <v>764</v>
      </c>
      <c r="AB689" s="155" t="s">
        <v>4776</v>
      </c>
    </row>
    <row r="690" spans="2:28" x14ac:dyDescent="0.2">
      <c r="B690" s="89">
        <v>45999</v>
      </c>
      <c r="D690" s="85" t="s">
        <v>1533</v>
      </c>
      <c r="E690" s="121" t="s">
        <v>1534</v>
      </c>
      <c r="F690" s="85" t="s">
        <v>46</v>
      </c>
      <c r="G690" s="85" t="s">
        <v>12</v>
      </c>
      <c r="H690" s="148"/>
      <c r="I690" s="142"/>
      <c r="J690" s="144"/>
      <c r="K690" s="144"/>
      <c r="L690" s="85"/>
      <c r="R690" s="53" t="s">
        <v>764</v>
      </c>
      <c r="S690" s="53" t="s">
        <v>764</v>
      </c>
      <c r="T690" s="53" t="s">
        <v>769</v>
      </c>
      <c r="U690" s="53" t="s">
        <v>741</v>
      </c>
      <c r="V690" s="53" t="s">
        <v>768</v>
      </c>
      <c r="W690" s="53" t="s">
        <v>780</v>
      </c>
      <c r="X690" s="61">
        <f>IFERROR(IF(W690="","",WORKDAY.INTL(B690,_xlfn.XLOOKUP(W690,Regras!$F$2:$F$11,Regras!$G$2:$G$11))),"")</f>
        <v>46001</v>
      </c>
      <c r="Y690" s="150" t="s">
        <v>4778</v>
      </c>
      <c r="Z690" s="53" t="s">
        <v>764</v>
      </c>
      <c r="AB690" s="155" t="s">
        <v>4776</v>
      </c>
    </row>
    <row r="691" spans="2:28" x14ac:dyDescent="0.2">
      <c r="B691" s="89">
        <v>45999</v>
      </c>
      <c r="D691" s="85" t="s">
        <v>2263</v>
      </c>
      <c r="E691" s="121" t="s">
        <v>2264</v>
      </c>
      <c r="F691" s="85" t="s">
        <v>46</v>
      </c>
      <c r="G691" s="85" t="s">
        <v>12</v>
      </c>
      <c r="H691" s="148"/>
      <c r="I691" s="142"/>
      <c r="J691" s="144"/>
      <c r="K691" s="144"/>
      <c r="L691" s="85"/>
      <c r="R691" s="53" t="s">
        <v>764</v>
      </c>
      <c r="S691" s="53" t="s">
        <v>764</v>
      </c>
      <c r="T691" s="53" t="s">
        <v>769</v>
      </c>
      <c r="U691" s="53" t="s">
        <v>741</v>
      </c>
      <c r="V691" s="53" t="s">
        <v>768</v>
      </c>
      <c r="W691" s="53" t="s">
        <v>780</v>
      </c>
      <c r="X691" s="61">
        <f>IFERROR(IF(W691="","",WORKDAY.INTL(B691,_xlfn.XLOOKUP(W691,Regras!$F$2:$F$11,Regras!$G$2:$G$11))),"")</f>
        <v>46001</v>
      </c>
      <c r="Y691" s="150" t="s">
        <v>4778</v>
      </c>
      <c r="Z691" s="53" t="s">
        <v>764</v>
      </c>
      <c r="AB691" s="155" t="s">
        <v>4776</v>
      </c>
    </row>
    <row r="692" spans="2:28" x14ac:dyDescent="0.2">
      <c r="B692" s="89">
        <v>45999</v>
      </c>
      <c r="D692" s="85" t="s">
        <v>2672</v>
      </c>
      <c r="E692" s="121" t="s">
        <v>2673</v>
      </c>
      <c r="F692" s="85" t="s">
        <v>46</v>
      </c>
      <c r="G692" s="85" t="s">
        <v>12</v>
      </c>
      <c r="H692" s="148"/>
      <c r="I692" s="142"/>
      <c r="J692" s="144"/>
      <c r="K692" s="144"/>
      <c r="L692" s="85"/>
      <c r="R692" s="53" t="s">
        <v>764</v>
      </c>
      <c r="S692" s="53" t="s">
        <v>764</v>
      </c>
      <c r="T692" s="53" t="s">
        <v>764</v>
      </c>
      <c r="U692" s="53" t="s">
        <v>741</v>
      </c>
      <c r="V692" s="53" t="s">
        <v>768</v>
      </c>
      <c r="W692" s="53" t="s">
        <v>780</v>
      </c>
      <c r="X692" s="61">
        <f>IFERROR(IF(W692="","",WORKDAY.INTL(B692,_xlfn.XLOOKUP(W692,Regras!$F$2:$F$11,Regras!$G$2:$G$11))),"")</f>
        <v>46001</v>
      </c>
      <c r="Y692" s="150" t="s">
        <v>4777</v>
      </c>
      <c r="Z692" s="53" t="s">
        <v>764</v>
      </c>
      <c r="AB692" s="150" t="s">
        <v>4777</v>
      </c>
    </row>
    <row r="693" spans="2:28" x14ac:dyDescent="0.2">
      <c r="B693" s="89">
        <v>45999</v>
      </c>
      <c r="D693" s="85" t="s">
        <v>2868</v>
      </c>
      <c r="E693" s="121" t="s">
        <v>2869</v>
      </c>
      <c r="F693" s="85" t="s">
        <v>46</v>
      </c>
      <c r="G693" s="85" t="s">
        <v>12</v>
      </c>
      <c r="H693" s="148"/>
      <c r="I693" s="142"/>
      <c r="J693" s="144"/>
      <c r="K693" s="144"/>
      <c r="L693" s="85"/>
      <c r="R693" s="53" t="s">
        <v>764</v>
      </c>
      <c r="S693" s="53" t="s">
        <v>764</v>
      </c>
      <c r="T693" s="53" t="s">
        <v>769</v>
      </c>
      <c r="U693" s="53" t="s">
        <v>741</v>
      </c>
      <c r="V693" s="53" t="s">
        <v>768</v>
      </c>
      <c r="W693" s="53" t="s">
        <v>780</v>
      </c>
      <c r="X693" s="61">
        <f>IFERROR(IF(W693="","",WORKDAY.INTL(B693,_xlfn.XLOOKUP(W693,Regras!$F$2:$F$11,Regras!$G$2:$G$11))),"")</f>
        <v>46001</v>
      </c>
      <c r="Y693" s="150" t="s">
        <v>4774</v>
      </c>
      <c r="Z693" s="53" t="s">
        <v>764</v>
      </c>
      <c r="AB693" s="155" t="s">
        <v>4776</v>
      </c>
    </row>
    <row r="694" spans="2:28" x14ac:dyDescent="0.2">
      <c r="B694" s="89">
        <v>45999</v>
      </c>
      <c r="D694" s="85" t="s">
        <v>3082</v>
      </c>
      <c r="E694" s="121" t="s">
        <v>3083</v>
      </c>
      <c r="F694" s="85" t="s">
        <v>46</v>
      </c>
      <c r="G694" s="85" t="s">
        <v>12</v>
      </c>
      <c r="H694" s="148"/>
      <c r="I694" s="142"/>
      <c r="J694" s="144"/>
      <c r="K694" s="144"/>
      <c r="L694" s="85"/>
      <c r="R694" s="53" t="s">
        <v>764</v>
      </c>
      <c r="S694" s="53" t="s">
        <v>764</v>
      </c>
      <c r="T694" s="53" t="s">
        <v>769</v>
      </c>
      <c r="U694" s="53" t="s">
        <v>741</v>
      </c>
      <c r="V694" s="53" t="s">
        <v>768</v>
      </c>
      <c r="W694" s="53" t="s">
        <v>780</v>
      </c>
      <c r="X694" s="61">
        <f>IFERROR(IF(W694="","",WORKDAY.INTL(B694,_xlfn.XLOOKUP(W694,Regras!$F$2:$F$11,Regras!$G$2:$G$11))),"")</f>
        <v>46001</v>
      </c>
      <c r="Y694" s="150" t="s">
        <v>4774</v>
      </c>
      <c r="Z694" s="53" t="s">
        <v>764</v>
      </c>
      <c r="AB694" s="155" t="s">
        <v>4776</v>
      </c>
    </row>
    <row r="695" spans="2:28" x14ac:dyDescent="0.2">
      <c r="B695" s="89">
        <v>45999</v>
      </c>
      <c r="D695" s="85" t="s">
        <v>4779</v>
      </c>
      <c r="E695" s="121"/>
      <c r="F695" s="85" t="s">
        <v>46</v>
      </c>
      <c r="G695" s="85" t="s">
        <v>12</v>
      </c>
      <c r="H695" s="148"/>
      <c r="I695" s="142"/>
      <c r="J695" s="144"/>
      <c r="K695" s="144"/>
      <c r="L695" s="85"/>
      <c r="R695" s="53" t="s">
        <v>764</v>
      </c>
      <c r="S695" s="53" t="s">
        <v>764</v>
      </c>
      <c r="T695" s="53" t="s">
        <v>769</v>
      </c>
      <c r="U695" s="53" t="s">
        <v>741</v>
      </c>
      <c r="V695" s="53" t="s">
        <v>768</v>
      </c>
      <c r="W695" s="53" t="s">
        <v>780</v>
      </c>
      <c r="X695" s="61">
        <f>IFERROR(IF(W695="","",WORKDAY.INTL(B695,_xlfn.XLOOKUP(W695,Regras!$F$2:$F$11,Regras!$G$2:$G$11))),"")</f>
        <v>46001</v>
      </c>
      <c r="Y695" s="150" t="s">
        <v>4775</v>
      </c>
      <c r="Z695" s="53" t="s">
        <v>764</v>
      </c>
      <c r="AB695" s="155" t="s">
        <v>4776</v>
      </c>
    </row>
    <row r="696" spans="2:28" x14ac:dyDescent="0.2">
      <c r="B696" s="89">
        <v>45999</v>
      </c>
      <c r="D696" s="85" t="s">
        <v>4781</v>
      </c>
      <c r="E696" s="121" t="s">
        <v>4780</v>
      </c>
      <c r="F696" s="85" t="s">
        <v>22</v>
      </c>
      <c r="G696" s="85" t="s">
        <v>12</v>
      </c>
      <c r="H696" s="148"/>
      <c r="I696" s="142"/>
      <c r="J696" s="144"/>
      <c r="K696" s="144"/>
      <c r="L696" s="85"/>
      <c r="R696" s="53" t="s">
        <v>764</v>
      </c>
      <c r="S696" s="53" t="s">
        <v>769</v>
      </c>
      <c r="T696" s="53" t="s">
        <v>769</v>
      </c>
      <c r="U696" s="53" t="s">
        <v>741</v>
      </c>
      <c r="V696" s="53" t="s">
        <v>768</v>
      </c>
      <c r="W696" s="53" t="s">
        <v>780</v>
      </c>
      <c r="X696" s="61">
        <f>IFERROR(IF(W696="","",WORKDAY.INTL(B696,_xlfn.XLOOKUP(W696,Regras!$F$2:$F$11,Regras!$G$2:$G$11))),"")</f>
        <v>46001</v>
      </c>
      <c r="Y696" s="150" t="s">
        <v>4730</v>
      </c>
      <c r="Z696" s="53" t="s">
        <v>764</v>
      </c>
      <c r="AB696" s="155" t="s">
        <v>4782</v>
      </c>
    </row>
    <row r="697" spans="2:28" x14ac:dyDescent="0.2">
      <c r="B697" s="89">
        <v>45999</v>
      </c>
      <c r="D697" s="85" t="s">
        <v>4784</v>
      </c>
      <c r="E697" s="121" t="s">
        <v>4783</v>
      </c>
      <c r="F697" s="85" t="s">
        <v>17</v>
      </c>
      <c r="G697" s="85" t="s">
        <v>12</v>
      </c>
      <c r="H697" s="148"/>
      <c r="I697" s="142"/>
      <c r="J697" s="144"/>
      <c r="K697" s="144"/>
      <c r="L697" s="85"/>
      <c r="R697" s="53" t="s">
        <v>764</v>
      </c>
      <c r="S697" s="53" t="s">
        <v>769</v>
      </c>
      <c r="T697" s="53" t="s">
        <v>769</v>
      </c>
      <c r="U697" s="53" t="s">
        <v>741</v>
      </c>
      <c r="V697" s="53" t="s">
        <v>768</v>
      </c>
      <c r="W697" s="53" t="s">
        <v>780</v>
      </c>
      <c r="X697" s="61">
        <f>IFERROR(IF(W697="","",WORKDAY.INTL(B697,_xlfn.XLOOKUP(W697,Regras!$F$2:$F$11,Regras!$G$2:$G$11))),"")</f>
        <v>46001</v>
      </c>
      <c r="Y697" s="150" t="s">
        <v>4730</v>
      </c>
      <c r="Z697" s="53" t="s">
        <v>764</v>
      </c>
      <c r="AB697" s="155" t="s">
        <v>4782</v>
      </c>
    </row>
    <row r="698" spans="2:28" x14ac:dyDescent="0.2">
      <c r="B698" s="89">
        <v>45999</v>
      </c>
      <c r="D698" s="85" t="s">
        <v>4786</v>
      </c>
      <c r="E698" s="121" t="s">
        <v>4785</v>
      </c>
      <c r="F698" s="85" t="s">
        <v>46</v>
      </c>
      <c r="G698" s="85" t="s">
        <v>12</v>
      </c>
      <c r="H698" s="148"/>
      <c r="I698" s="142"/>
      <c r="J698" s="144"/>
      <c r="K698" s="144"/>
      <c r="L698" s="85"/>
      <c r="R698" s="53" t="s">
        <v>764</v>
      </c>
      <c r="S698" s="53" t="s">
        <v>769</v>
      </c>
      <c r="T698" s="53" t="s">
        <v>769</v>
      </c>
      <c r="U698" s="53" t="s">
        <v>741</v>
      </c>
      <c r="V698" s="53" t="s">
        <v>768</v>
      </c>
      <c r="W698" s="53" t="s">
        <v>780</v>
      </c>
      <c r="X698" s="61">
        <f>IFERROR(IF(W698="","",WORKDAY.INTL(B698,_xlfn.XLOOKUP(W698,Regras!$F$2:$F$11,Regras!$G$2:$G$11))),"")</f>
        <v>46001</v>
      </c>
      <c r="Y698" s="150" t="s">
        <v>4730</v>
      </c>
      <c r="Z698" s="53" t="s">
        <v>764</v>
      </c>
      <c r="AB698" s="155" t="s">
        <v>4787</v>
      </c>
    </row>
    <row r="699" spans="2:28" x14ac:dyDescent="0.2">
      <c r="B699" s="89">
        <v>45999</v>
      </c>
      <c r="D699" s="85" t="s">
        <v>4789</v>
      </c>
      <c r="E699" s="121" t="s">
        <v>4788</v>
      </c>
      <c r="F699" s="85" t="s">
        <v>17</v>
      </c>
      <c r="G699" s="85" t="s">
        <v>12</v>
      </c>
      <c r="H699" s="148"/>
      <c r="I699" s="142"/>
      <c r="J699" s="144"/>
      <c r="K699" s="144"/>
      <c r="L699" s="85"/>
      <c r="R699" s="53" t="s">
        <v>764</v>
      </c>
      <c r="S699" s="53" t="s">
        <v>769</v>
      </c>
      <c r="T699" s="53" t="s">
        <v>769</v>
      </c>
      <c r="U699" s="53" t="s">
        <v>741</v>
      </c>
      <c r="V699" s="53" t="s">
        <v>768</v>
      </c>
      <c r="W699" s="53" t="s">
        <v>780</v>
      </c>
      <c r="X699" s="61">
        <f>IFERROR(IF(W699="","",WORKDAY.INTL(B699,_xlfn.XLOOKUP(W699,Regras!$F$2:$F$11,Regras!$G$2:$G$11))),"")</f>
        <v>46001</v>
      </c>
      <c r="Y699" s="150" t="s">
        <v>4730</v>
      </c>
      <c r="Z699" s="53" t="s">
        <v>764</v>
      </c>
      <c r="AB699" s="155" t="s">
        <v>4787</v>
      </c>
    </row>
    <row r="700" spans="2:28" x14ac:dyDescent="0.2">
      <c r="B700" s="89">
        <v>45999</v>
      </c>
      <c r="D700" s="85" t="s">
        <v>4791</v>
      </c>
      <c r="E700" s="121" t="s">
        <v>4790</v>
      </c>
      <c r="F700" s="85" t="s">
        <v>22</v>
      </c>
      <c r="G700" s="85" t="s">
        <v>12</v>
      </c>
      <c r="H700" s="148"/>
      <c r="I700" s="142"/>
      <c r="J700" s="144"/>
      <c r="K700" s="144"/>
      <c r="L700" s="85"/>
      <c r="R700" s="53" t="s">
        <v>764</v>
      </c>
      <c r="S700" s="53" t="s">
        <v>769</v>
      </c>
      <c r="T700" s="53" t="s">
        <v>769</v>
      </c>
      <c r="U700" s="53" t="s">
        <v>741</v>
      </c>
      <c r="V700" s="53" t="s">
        <v>768</v>
      </c>
      <c r="W700" s="53" t="s">
        <v>780</v>
      </c>
      <c r="X700" s="61">
        <f>IFERROR(IF(W700="","",WORKDAY.INTL(B700,_xlfn.XLOOKUP(W700,Regras!$F$2:$F$11,Regras!$G$2:$G$11))),"")</f>
        <v>46001</v>
      </c>
      <c r="Y700" s="150" t="s">
        <v>4730</v>
      </c>
      <c r="Z700" s="53" t="s">
        <v>764</v>
      </c>
      <c r="AB700" s="155" t="s">
        <v>4787</v>
      </c>
    </row>
    <row r="701" spans="2:28" x14ac:dyDescent="0.2">
      <c r="B701" s="89">
        <v>45999</v>
      </c>
      <c r="D701" s="85" t="s">
        <v>4793</v>
      </c>
      <c r="E701" s="121" t="s">
        <v>4792</v>
      </c>
      <c r="F701" s="85" t="s">
        <v>17</v>
      </c>
      <c r="G701" s="85" t="s">
        <v>12</v>
      </c>
      <c r="H701" s="148"/>
      <c r="I701" s="142"/>
      <c r="J701" s="144"/>
      <c r="K701" s="144"/>
      <c r="L701" s="85"/>
      <c r="R701" s="53" t="s">
        <v>764</v>
      </c>
      <c r="S701" s="53" t="s">
        <v>769</v>
      </c>
      <c r="T701" s="53" t="s">
        <v>769</v>
      </c>
      <c r="U701" s="53" t="s">
        <v>741</v>
      </c>
      <c r="V701" s="53" t="s">
        <v>768</v>
      </c>
      <c r="W701" s="53" t="s">
        <v>780</v>
      </c>
      <c r="X701" s="61">
        <f>IFERROR(IF(W701="","",WORKDAY.INTL(B701,_xlfn.XLOOKUP(W701,Regras!$F$2:$F$11,Regras!$G$2:$G$11))),"")</f>
        <v>46001</v>
      </c>
      <c r="Y701" s="150" t="s">
        <v>4730</v>
      </c>
      <c r="Z701" s="53" t="s">
        <v>764</v>
      </c>
      <c r="AB701" s="155" t="s">
        <v>4794</v>
      </c>
    </row>
    <row r="702" spans="2:28" x14ac:dyDescent="0.2">
      <c r="B702" s="89">
        <v>45999</v>
      </c>
      <c r="D702" s="85" t="s">
        <v>3482</v>
      </c>
      <c r="E702" s="121" t="s">
        <v>3483</v>
      </c>
      <c r="F702" s="85" t="s">
        <v>46</v>
      </c>
      <c r="G702" s="85" t="s">
        <v>12</v>
      </c>
      <c r="H702" s="148"/>
      <c r="I702" s="142"/>
      <c r="J702" s="144"/>
      <c r="K702" s="144"/>
      <c r="L702" s="85"/>
      <c r="R702" s="53" t="s">
        <v>764</v>
      </c>
      <c r="S702" s="53" t="s">
        <v>764</v>
      </c>
      <c r="T702" s="53" t="s">
        <v>764</v>
      </c>
      <c r="U702" s="53" t="s">
        <v>741</v>
      </c>
      <c r="V702" s="53" t="s">
        <v>768</v>
      </c>
      <c r="W702" s="53" t="s">
        <v>780</v>
      </c>
      <c r="X702" s="61">
        <f>IFERROR(IF(W702="","",WORKDAY.INTL(B702,_xlfn.XLOOKUP(W702,Regras!$F$2:$F$11,Regras!$G$2:$G$11))),"")</f>
        <v>46001</v>
      </c>
      <c r="Y702" s="150" t="s">
        <v>4777</v>
      </c>
      <c r="Z702" s="53" t="s">
        <v>764</v>
      </c>
      <c r="AB702" s="155" t="s">
        <v>4656</v>
      </c>
    </row>
    <row r="703" spans="2:28" x14ac:dyDescent="0.2">
      <c r="B703" s="89">
        <v>45999</v>
      </c>
      <c r="D703" s="85" t="s">
        <v>3824</v>
      </c>
      <c r="E703" s="121" t="s">
        <v>3825</v>
      </c>
      <c r="F703" s="85" t="s">
        <v>46</v>
      </c>
      <c r="G703" s="85" t="s">
        <v>12</v>
      </c>
      <c r="H703" s="148"/>
      <c r="I703" s="142"/>
      <c r="J703" s="144"/>
      <c r="K703" s="144"/>
      <c r="L703" s="85"/>
      <c r="R703" s="53" t="s">
        <v>764</v>
      </c>
      <c r="S703" s="53" t="s">
        <v>769</v>
      </c>
      <c r="T703" s="53" t="s">
        <v>769</v>
      </c>
      <c r="U703" s="53" t="s">
        <v>741</v>
      </c>
      <c r="V703" s="53" t="s">
        <v>768</v>
      </c>
      <c r="W703" s="53" t="s">
        <v>780</v>
      </c>
      <c r="X703" s="61">
        <f>IFERROR(IF(W703="","",WORKDAY.INTL(B703,_xlfn.XLOOKUP(W703,Regras!$F$2:$F$11,Regras!$G$2:$G$11))),"")</f>
        <v>46001</v>
      </c>
      <c r="Y703" s="150" t="s">
        <v>4795</v>
      </c>
      <c r="Z703" s="53" t="s">
        <v>764</v>
      </c>
      <c r="AB703" s="150" t="s">
        <v>4795</v>
      </c>
    </row>
    <row r="704" spans="2:28" x14ac:dyDescent="0.2">
      <c r="B704" s="89">
        <v>45999</v>
      </c>
      <c r="D704" s="85" t="s">
        <v>3185</v>
      </c>
      <c r="E704" s="121" t="s">
        <v>3186</v>
      </c>
      <c r="F704" s="85" t="s">
        <v>46</v>
      </c>
      <c r="G704" s="85" t="s">
        <v>12</v>
      </c>
      <c r="H704" s="148"/>
      <c r="I704" s="142"/>
      <c r="J704" s="144"/>
      <c r="K704" s="144"/>
      <c r="L704" s="85"/>
      <c r="R704" s="53" t="s">
        <v>764</v>
      </c>
      <c r="S704" s="53" t="s">
        <v>769</v>
      </c>
      <c r="T704" s="53" t="s">
        <v>769</v>
      </c>
      <c r="U704" s="53" t="s">
        <v>773</v>
      </c>
      <c r="V704" s="53" t="s">
        <v>768</v>
      </c>
      <c r="W704" s="53" t="s">
        <v>780</v>
      </c>
      <c r="X704" s="61">
        <f>IFERROR(IF(W704="","",WORKDAY.INTL(B704,_xlfn.XLOOKUP(W704,Regras!$F$2:$F$11,Regras!$G$2:$G$11))),"")</f>
        <v>46001</v>
      </c>
      <c r="Y704" s="150" t="s">
        <v>4796</v>
      </c>
      <c r="Z704" s="53" t="s">
        <v>764</v>
      </c>
      <c r="AB704" s="155" t="s">
        <v>4797</v>
      </c>
    </row>
    <row r="705" spans="2:28" x14ac:dyDescent="0.2">
      <c r="B705" s="89">
        <v>46000</v>
      </c>
      <c r="D705" s="85" t="s">
        <v>542</v>
      </c>
      <c r="E705" s="121" t="s">
        <v>543</v>
      </c>
      <c r="F705" s="85" t="s">
        <v>46</v>
      </c>
      <c r="G705" s="85" t="s">
        <v>12</v>
      </c>
      <c r="H705" s="148"/>
      <c r="I705" s="142"/>
      <c r="J705" s="144"/>
      <c r="K705" s="144"/>
      <c r="L705" s="85"/>
      <c r="R705" s="53" t="s">
        <v>764</v>
      </c>
      <c r="S705" s="53" t="s">
        <v>769</v>
      </c>
      <c r="T705" s="53" t="s">
        <v>769</v>
      </c>
      <c r="U705" s="53" t="s">
        <v>741</v>
      </c>
      <c r="V705" s="53" t="s">
        <v>776</v>
      </c>
      <c r="W705" s="53" t="s">
        <v>796</v>
      </c>
      <c r="X705" s="61" t="str">
        <f>IFERROR(IF(W705="","",WORKDAY.INTL(B705,_xlfn.XLOOKUP(W705,Regras!$F$2:$F$11,Regras!$G$2:$G$11))),"")</f>
        <v/>
      </c>
      <c r="Y705" s="150" t="s">
        <v>4798</v>
      </c>
      <c r="Z705" s="53" t="s">
        <v>764</v>
      </c>
      <c r="AB705" s="155" t="s">
        <v>4798</v>
      </c>
    </row>
    <row r="706" spans="2:28" x14ac:dyDescent="0.2">
      <c r="B706" s="89">
        <v>46000</v>
      </c>
      <c r="D706" s="85" t="s">
        <v>542</v>
      </c>
      <c r="E706" s="121" t="s">
        <v>261</v>
      </c>
      <c r="F706" s="85" t="s">
        <v>22</v>
      </c>
      <c r="G706" s="85" t="s">
        <v>12</v>
      </c>
      <c r="H706" s="148"/>
      <c r="I706" s="142"/>
      <c r="J706" s="144"/>
      <c r="K706" s="144"/>
      <c r="L706" s="85"/>
      <c r="R706" s="53" t="s">
        <v>764</v>
      </c>
      <c r="S706" s="53" t="s">
        <v>769</v>
      </c>
      <c r="T706" s="53" t="s">
        <v>769</v>
      </c>
      <c r="U706" s="53" t="s">
        <v>741</v>
      </c>
      <c r="V706" s="53" t="s">
        <v>776</v>
      </c>
      <c r="W706" s="53" t="s">
        <v>796</v>
      </c>
      <c r="X706" s="61" t="str">
        <f>IFERROR(IF(W706="","",WORKDAY.INTL(B706,_xlfn.XLOOKUP(W706,Regras!$F$2:$F$11,Regras!$G$2:$G$11))),"")</f>
        <v/>
      </c>
      <c r="Y706" s="150" t="s">
        <v>4798</v>
      </c>
      <c r="Z706" s="53" t="s">
        <v>764</v>
      </c>
      <c r="AB706" s="155" t="s">
        <v>4798</v>
      </c>
    </row>
    <row r="707" spans="2:28" x14ac:dyDescent="0.2">
      <c r="B707" s="89">
        <v>46000</v>
      </c>
      <c r="D707" s="85" t="s">
        <v>4745</v>
      </c>
      <c r="E707" s="121" t="s">
        <v>4744</v>
      </c>
      <c r="F707" s="85" t="s">
        <v>22</v>
      </c>
      <c r="G707" s="85" t="s">
        <v>12</v>
      </c>
      <c r="H707" s="148"/>
      <c r="I707" s="142"/>
      <c r="J707" s="144"/>
      <c r="K707" s="144"/>
      <c r="L707" s="85"/>
      <c r="R707" s="53" t="s">
        <v>764</v>
      </c>
      <c r="S707" s="53" t="s">
        <v>769</v>
      </c>
      <c r="T707" s="53" t="s">
        <v>769</v>
      </c>
      <c r="U707" s="53" t="s">
        <v>741</v>
      </c>
      <c r="V707" s="53" t="s">
        <v>768</v>
      </c>
      <c r="W707" s="53" t="s">
        <v>766</v>
      </c>
      <c r="X707" s="61">
        <f>IFERROR(IF(W707="","",WORKDAY.INTL(B707,_xlfn.XLOOKUP(W707,Regras!$F$2:$F$11,Regras!$G$2:$G$11))),"")</f>
        <v>46063</v>
      </c>
      <c r="Y707" s="150" t="s">
        <v>1003</v>
      </c>
      <c r="Z707" s="53" t="s">
        <v>764</v>
      </c>
      <c r="AB707" s="155" t="s">
        <v>4799</v>
      </c>
    </row>
    <row r="708" spans="2:28" x14ac:dyDescent="0.2">
      <c r="B708" s="89">
        <v>46000</v>
      </c>
      <c r="D708" s="85" t="s">
        <v>4789</v>
      </c>
      <c r="E708" s="121" t="s">
        <v>4788</v>
      </c>
      <c r="F708" s="85" t="s">
        <v>17</v>
      </c>
      <c r="G708" s="85" t="s">
        <v>12</v>
      </c>
      <c r="H708" s="148"/>
      <c r="I708" s="142"/>
      <c r="J708" s="144"/>
      <c r="K708" s="144"/>
      <c r="L708" s="85"/>
      <c r="R708" s="53" t="s">
        <v>764</v>
      </c>
      <c r="S708" s="53" t="s">
        <v>769</v>
      </c>
      <c r="T708" s="53" t="s">
        <v>769</v>
      </c>
      <c r="U708" s="53" t="s">
        <v>741</v>
      </c>
      <c r="V708" s="53" t="s">
        <v>768</v>
      </c>
      <c r="W708" s="53" t="s">
        <v>780</v>
      </c>
      <c r="X708" s="61">
        <f>IFERROR(IF(W708="","",WORKDAY.INTL(B708,_xlfn.XLOOKUP(W708,Regras!$F$2:$F$11,Regras!$G$2:$G$11))),"")</f>
        <v>46002</v>
      </c>
      <c r="Y708" s="150" t="s">
        <v>4800</v>
      </c>
      <c r="Z708" s="53" t="s">
        <v>764</v>
      </c>
      <c r="AB708" s="155" t="s">
        <v>4801</v>
      </c>
    </row>
    <row r="709" spans="2:28" x14ac:dyDescent="0.2">
      <c r="B709" s="89">
        <v>46000</v>
      </c>
      <c r="D709" s="85" t="s">
        <v>4746</v>
      </c>
      <c r="E709" s="121" t="s">
        <v>4822</v>
      </c>
      <c r="F709" s="85" t="s">
        <v>22</v>
      </c>
      <c r="G709" s="85" t="s">
        <v>12</v>
      </c>
      <c r="H709" s="148"/>
      <c r="I709" s="142"/>
      <c r="J709" s="144"/>
      <c r="K709" s="144"/>
      <c r="L709" s="85"/>
      <c r="R709" s="53" t="s">
        <v>764</v>
      </c>
      <c r="S709" s="53" t="s">
        <v>769</v>
      </c>
      <c r="T709" s="53" t="s">
        <v>769</v>
      </c>
      <c r="U709" s="53" t="s">
        <v>741</v>
      </c>
      <c r="V709" s="53" t="s">
        <v>765</v>
      </c>
      <c r="W709" s="53" t="s">
        <v>777</v>
      </c>
      <c r="X709" s="61" t="str">
        <f>IFERROR(IF(W709="","",WORKDAY.INTL(B709,_xlfn.XLOOKUP(W709,Regras!$F$2:$F$11,Regras!$G$2:$G$11))),"")</f>
        <v/>
      </c>
      <c r="Y709" s="150" t="s">
        <v>4748</v>
      </c>
      <c r="Z709" s="53" t="s">
        <v>764</v>
      </c>
      <c r="AB709" s="150" t="s">
        <v>4748</v>
      </c>
    </row>
    <row r="710" spans="2:28" x14ac:dyDescent="0.2">
      <c r="B710" s="89">
        <v>46000</v>
      </c>
      <c r="D710" s="85" t="s">
        <v>190</v>
      </c>
      <c r="E710" s="121" t="s">
        <v>4802</v>
      </c>
      <c r="F710" s="85" t="s">
        <v>46</v>
      </c>
      <c r="G710" s="85" t="s">
        <v>12</v>
      </c>
      <c r="H710" s="148"/>
      <c r="I710" s="142"/>
      <c r="J710" s="144"/>
      <c r="K710" s="144"/>
      <c r="L710" s="85"/>
      <c r="R710" s="53" t="s">
        <v>764</v>
      </c>
      <c r="S710" s="53" t="s">
        <v>769</v>
      </c>
      <c r="T710" s="53" t="s">
        <v>769</v>
      </c>
      <c r="U710" s="53" t="s">
        <v>741</v>
      </c>
      <c r="V710" s="53" t="s">
        <v>770</v>
      </c>
      <c r="W710" s="53" t="s">
        <v>839</v>
      </c>
      <c r="X710" s="61">
        <f>IFERROR(IF(W710="","",WORKDAY.INTL(B710,_xlfn.XLOOKUP(W710,Regras!$F$2:$F$11,Regras!$G$2:$G$11))),"")</f>
        <v>46001</v>
      </c>
      <c r="Y710" s="150" t="s">
        <v>1132</v>
      </c>
      <c r="Z710" s="53" t="s">
        <v>764</v>
      </c>
      <c r="AB710" s="150" t="s">
        <v>1132</v>
      </c>
    </row>
    <row r="711" spans="2:28" x14ac:dyDescent="0.2">
      <c r="B711" s="89">
        <v>46000</v>
      </c>
      <c r="D711" s="99" t="s">
        <v>148</v>
      </c>
      <c r="E711" s="121" t="s">
        <v>149</v>
      </c>
      <c r="F711" s="85" t="s">
        <v>22</v>
      </c>
      <c r="G711" s="85" t="s">
        <v>12</v>
      </c>
      <c r="H711" s="148"/>
      <c r="I711" s="142"/>
      <c r="J711" s="144"/>
      <c r="K711" s="144"/>
      <c r="L711" s="85"/>
      <c r="R711" s="53" t="s">
        <v>764</v>
      </c>
      <c r="S711" s="53" t="s">
        <v>769</v>
      </c>
      <c r="T711" s="53" t="s">
        <v>769</v>
      </c>
      <c r="U711" s="53" t="s">
        <v>741</v>
      </c>
      <c r="V711" s="53" t="s">
        <v>770</v>
      </c>
      <c r="W711" s="53" t="s">
        <v>1054</v>
      </c>
      <c r="X711" s="61">
        <f>IFERROR(IF(W711="","",WORKDAY.INTL(B711,_xlfn.XLOOKUP(W711,Regras!$F$2:$F$11,Regras!$G$2:$G$11))),"")</f>
        <v>46021</v>
      </c>
      <c r="Y711" s="150" t="s">
        <v>4803</v>
      </c>
      <c r="Z711" s="53" t="s">
        <v>764</v>
      </c>
      <c r="AB711" s="150" t="s">
        <v>4803</v>
      </c>
    </row>
    <row r="712" spans="2:28" x14ac:dyDescent="0.2">
      <c r="B712" s="89">
        <v>46000</v>
      </c>
      <c r="D712" s="85" t="s">
        <v>4711</v>
      </c>
      <c r="E712" s="121" t="s">
        <v>4329</v>
      </c>
      <c r="F712" s="85" t="s">
        <v>22</v>
      </c>
      <c r="G712" s="85" t="s">
        <v>12</v>
      </c>
      <c r="H712" s="148"/>
      <c r="I712" s="142"/>
      <c r="J712" s="144"/>
      <c r="K712" s="144"/>
      <c r="L712" s="85"/>
      <c r="R712" s="53" t="s">
        <v>764</v>
      </c>
      <c r="S712" s="53" t="s">
        <v>769</v>
      </c>
      <c r="T712" s="53" t="s">
        <v>769</v>
      </c>
      <c r="U712" s="53" t="s">
        <v>741</v>
      </c>
      <c r="V712" s="53" t="s">
        <v>770</v>
      </c>
      <c r="W712" s="53" t="s">
        <v>1054</v>
      </c>
      <c r="X712" s="61">
        <f>IFERROR(IF(W712="","",WORKDAY.INTL(B712,_xlfn.XLOOKUP(W712,Regras!$F$2:$F$11,Regras!$G$2:$G$11))),"")</f>
        <v>46021</v>
      </c>
      <c r="Y712" s="150" t="s">
        <v>4803</v>
      </c>
      <c r="Z712" s="53" t="s">
        <v>764</v>
      </c>
      <c r="AB712" s="150" t="s">
        <v>4803</v>
      </c>
    </row>
    <row r="713" spans="2:28" x14ac:dyDescent="0.2">
      <c r="B713" s="89">
        <v>46000</v>
      </c>
      <c r="D713" s="85" t="s">
        <v>4791</v>
      </c>
      <c r="E713" s="125" t="s">
        <v>4790</v>
      </c>
      <c r="F713" s="85" t="s">
        <v>22</v>
      </c>
      <c r="G713" s="85" t="s">
        <v>12</v>
      </c>
      <c r="H713" s="148"/>
      <c r="I713" s="142"/>
      <c r="J713" s="144"/>
      <c r="K713" s="144"/>
      <c r="L713" s="85"/>
      <c r="R713" s="53" t="s">
        <v>764</v>
      </c>
      <c r="S713" s="53" t="s">
        <v>764</v>
      </c>
      <c r="T713" s="53" t="s">
        <v>769</v>
      </c>
      <c r="U713" s="53" t="s">
        <v>741</v>
      </c>
      <c r="V713" s="53" t="s">
        <v>768</v>
      </c>
      <c r="W713" s="53" t="s">
        <v>780</v>
      </c>
      <c r="X713" s="61">
        <f>IFERROR(IF(W713="","",WORKDAY.INTL(B713,_xlfn.XLOOKUP(W713,Regras!$F$2:$F$11,Regras!$G$2:$G$11))),"")</f>
        <v>46002</v>
      </c>
      <c r="Y713" s="150" t="s">
        <v>4804</v>
      </c>
      <c r="Z713" s="53" t="s">
        <v>764</v>
      </c>
      <c r="AB713" s="155" t="s">
        <v>973</v>
      </c>
    </row>
    <row r="714" spans="2:28" x14ac:dyDescent="0.2">
      <c r="B714" s="89">
        <v>46000</v>
      </c>
      <c r="D714" s="85" t="s">
        <v>4686</v>
      </c>
      <c r="E714" s="125" t="s">
        <v>4366</v>
      </c>
      <c r="F714" s="85" t="s">
        <v>46</v>
      </c>
      <c r="G714" s="85" t="s">
        <v>12</v>
      </c>
      <c r="H714" s="148"/>
      <c r="I714" s="142"/>
      <c r="J714" s="144"/>
      <c r="K714" s="144"/>
      <c r="L714" s="85"/>
      <c r="R714" s="53" t="s">
        <v>764</v>
      </c>
      <c r="S714" s="53" t="s">
        <v>764</v>
      </c>
      <c r="T714" s="53" t="s">
        <v>764</v>
      </c>
      <c r="U714" s="53" t="s">
        <v>741</v>
      </c>
      <c r="V714" s="53" t="s">
        <v>770</v>
      </c>
      <c r="W714" s="53" t="s">
        <v>777</v>
      </c>
      <c r="X714" s="61" t="str">
        <f>IFERROR(IF(W714="","",WORKDAY.INTL(B714,_xlfn.XLOOKUP(W714,Regras!$F$2:$F$11,Regras!$G$2:$G$11))),"")</f>
        <v/>
      </c>
      <c r="Y714" s="150" t="s">
        <v>4805</v>
      </c>
      <c r="Z714" s="53" t="s">
        <v>764</v>
      </c>
      <c r="AB714" s="155" t="s">
        <v>4806</v>
      </c>
    </row>
    <row r="715" spans="2:28" x14ac:dyDescent="0.2">
      <c r="B715" s="89">
        <v>46000</v>
      </c>
      <c r="D715" s="85" t="s">
        <v>359</v>
      </c>
      <c r="E715" s="121" t="s">
        <v>360</v>
      </c>
      <c r="F715" s="85" t="s">
        <v>46</v>
      </c>
      <c r="G715" s="85" t="s">
        <v>12</v>
      </c>
      <c r="H715" s="148"/>
      <c r="I715" s="142"/>
      <c r="J715" s="144"/>
      <c r="K715" s="144"/>
      <c r="L715" s="85"/>
      <c r="R715" s="53" t="s">
        <v>764</v>
      </c>
      <c r="S715" s="53" t="s">
        <v>769</v>
      </c>
      <c r="T715" s="53" t="s">
        <v>769</v>
      </c>
      <c r="U715" s="53" t="s">
        <v>741</v>
      </c>
      <c r="V715" s="53" t="s">
        <v>770</v>
      </c>
      <c r="W715" s="53" t="s">
        <v>1054</v>
      </c>
      <c r="X715" s="61">
        <f>IFERROR(IF(W715="","",WORKDAY.INTL(B715,_xlfn.XLOOKUP(W715,Regras!$F$2:$F$11,Regras!$G$2:$G$11))),"")</f>
        <v>46021</v>
      </c>
      <c r="Y715" s="150" t="s">
        <v>4803</v>
      </c>
      <c r="Z715" s="53" t="s">
        <v>764</v>
      </c>
      <c r="AB715" s="150" t="s">
        <v>4803</v>
      </c>
    </row>
    <row r="716" spans="2:28" x14ac:dyDescent="0.2">
      <c r="B716" s="89">
        <v>46000</v>
      </c>
      <c r="D716" s="85" t="s">
        <v>4807</v>
      </c>
      <c r="E716" s="121" t="s">
        <v>4658</v>
      </c>
      <c r="F716" s="85" t="s">
        <v>46</v>
      </c>
      <c r="G716" s="85" t="s">
        <v>12</v>
      </c>
      <c r="H716" s="148"/>
      <c r="I716" s="142"/>
      <c r="J716" s="144"/>
      <c r="K716" s="144"/>
      <c r="L716" s="85"/>
      <c r="R716" s="53" t="s">
        <v>764</v>
      </c>
      <c r="S716" s="53" t="s">
        <v>769</v>
      </c>
      <c r="T716" s="53" t="s">
        <v>769</v>
      </c>
      <c r="U716" s="53" t="s">
        <v>741</v>
      </c>
      <c r="V716" s="53" t="s">
        <v>776</v>
      </c>
      <c r="W716" s="53" t="s">
        <v>777</v>
      </c>
      <c r="X716" s="61" t="str">
        <f>IFERROR(IF(W716="","",WORKDAY.INTL(B716,_xlfn.XLOOKUP(W716,Regras!$F$2:$F$11,Regras!$G$2:$G$11))),"")</f>
        <v/>
      </c>
      <c r="Y716" s="150" t="s">
        <v>4808</v>
      </c>
      <c r="Z716" s="53" t="s">
        <v>764</v>
      </c>
      <c r="AB716" s="150" t="s">
        <v>4808</v>
      </c>
    </row>
    <row r="717" spans="2:28" x14ac:dyDescent="0.2">
      <c r="B717" s="89">
        <v>46000</v>
      </c>
      <c r="D717" s="85" t="s">
        <v>4807</v>
      </c>
      <c r="E717" s="121" t="s">
        <v>4658</v>
      </c>
      <c r="F717" s="85" t="s">
        <v>46</v>
      </c>
      <c r="G717" s="85" t="s">
        <v>12</v>
      </c>
      <c r="H717" s="148"/>
      <c r="I717" s="142"/>
      <c r="J717" s="144"/>
      <c r="K717" s="144"/>
      <c r="L717" s="85"/>
      <c r="R717" s="53" t="s">
        <v>764</v>
      </c>
      <c r="S717" s="53" t="s">
        <v>769</v>
      </c>
      <c r="T717" s="53" t="s">
        <v>769</v>
      </c>
      <c r="U717" s="53" t="s">
        <v>741</v>
      </c>
      <c r="V717" s="53" t="s">
        <v>776</v>
      </c>
      <c r="W717" s="53" t="s">
        <v>777</v>
      </c>
      <c r="X717" s="61" t="str">
        <f>IFERROR(IF(W717="","",WORKDAY.INTL(B717,_xlfn.XLOOKUP(W717,Regras!$F$2:$F$11,Regras!$G$2:$G$11))),"")</f>
        <v/>
      </c>
      <c r="Y717" s="150" t="s">
        <v>4809</v>
      </c>
      <c r="Z717" s="53" t="s">
        <v>764</v>
      </c>
      <c r="AB717" s="155" t="s">
        <v>4810</v>
      </c>
    </row>
    <row r="718" spans="2:28" x14ac:dyDescent="0.2">
      <c r="B718" s="89">
        <v>46000</v>
      </c>
      <c r="D718" s="85" t="s">
        <v>107</v>
      </c>
      <c r="E718" s="121" t="s">
        <v>108</v>
      </c>
      <c r="F718" s="85" t="s">
        <v>46</v>
      </c>
      <c r="G718" s="85" t="s">
        <v>12</v>
      </c>
      <c r="H718" s="148"/>
      <c r="I718" s="142"/>
      <c r="J718" s="144"/>
      <c r="K718" s="144"/>
      <c r="L718" s="85"/>
      <c r="R718" s="53" t="s">
        <v>764</v>
      </c>
      <c r="S718" s="53" t="s">
        <v>764</v>
      </c>
      <c r="T718" s="53" t="s">
        <v>764</v>
      </c>
      <c r="U718" s="53" t="s">
        <v>773</v>
      </c>
      <c r="V718" s="53" t="s">
        <v>776</v>
      </c>
      <c r="W718" s="53" t="s">
        <v>777</v>
      </c>
      <c r="X718" s="61" t="str">
        <f>IFERROR(IF(W718="","",WORKDAY.INTL(B718,_xlfn.XLOOKUP(W718,Regras!$F$2:$F$11,Regras!$G$2:$G$11))),"")</f>
        <v/>
      </c>
      <c r="Y718" s="150" t="s">
        <v>4811</v>
      </c>
      <c r="Z718" s="53" t="s">
        <v>764</v>
      </c>
      <c r="AB718" s="155" t="s">
        <v>4812</v>
      </c>
    </row>
    <row r="719" spans="2:28" x14ac:dyDescent="0.2">
      <c r="B719" s="89">
        <v>46000</v>
      </c>
      <c r="D719" s="85" t="s">
        <v>4813</v>
      </c>
      <c r="E719" s="121" t="s">
        <v>4783</v>
      </c>
      <c r="F719" s="85" t="s">
        <v>17</v>
      </c>
      <c r="G719" s="85" t="s">
        <v>12</v>
      </c>
      <c r="H719" s="148"/>
      <c r="I719" s="142"/>
      <c r="J719" s="144"/>
      <c r="K719" s="144"/>
      <c r="L719" s="85"/>
      <c r="R719" s="53" t="s">
        <v>764</v>
      </c>
      <c r="S719" s="53" t="s">
        <v>769</v>
      </c>
      <c r="T719" s="53" t="s">
        <v>769</v>
      </c>
      <c r="U719" s="53" t="s">
        <v>773</v>
      </c>
      <c r="V719" s="53" t="s">
        <v>768</v>
      </c>
      <c r="W719" s="53" t="s">
        <v>780</v>
      </c>
      <c r="X719" s="61">
        <f>IFERROR(IF(W719="","",WORKDAY.INTL(B719,_xlfn.XLOOKUP(W719,Regras!$F$2:$F$11,Regras!$G$2:$G$11))),"")</f>
        <v>46002</v>
      </c>
      <c r="Y719" s="150" t="s">
        <v>4730</v>
      </c>
      <c r="Z719" s="53" t="s">
        <v>764</v>
      </c>
      <c r="AB719" s="155" t="s">
        <v>4814</v>
      </c>
    </row>
    <row r="720" spans="2:28" x14ac:dyDescent="0.2">
      <c r="B720" s="89">
        <v>46000</v>
      </c>
      <c r="D720" s="85" t="s">
        <v>4686</v>
      </c>
      <c r="E720" s="125" t="s">
        <v>4366</v>
      </c>
      <c r="F720" s="85" t="s">
        <v>46</v>
      </c>
      <c r="G720" s="85" t="s">
        <v>12</v>
      </c>
      <c r="H720" s="148"/>
      <c r="I720" s="142"/>
      <c r="J720" s="144"/>
      <c r="K720" s="144"/>
      <c r="L720" s="85"/>
      <c r="R720" s="53" t="s">
        <v>764</v>
      </c>
      <c r="S720" s="53" t="s">
        <v>764</v>
      </c>
      <c r="T720" s="53" t="s">
        <v>764</v>
      </c>
      <c r="U720" s="53" t="s">
        <v>741</v>
      </c>
      <c r="V720" s="53" t="s">
        <v>770</v>
      </c>
      <c r="W720" s="53" t="s">
        <v>777</v>
      </c>
      <c r="X720" s="61" t="str">
        <f>IFERROR(IF(W720="","",WORKDAY.INTL(B720,_xlfn.XLOOKUP(W720,Regras!$F$2:$F$11,Regras!$G$2:$G$11))),"")</f>
        <v/>
      </c>
      <c r="Y720" s="150" t="s">
        <v>4805</v>
      </c>
      <c r="Z720" s="53" t="s">
        <v>764</v>
      </c>
      <c r="AB720" s="155" t="s">
        <v>4815</v>
      </c>
    </row>
    <row r="721" spans="2:28" x14ac:dyDescent="0.2">
      <c r="B721" s="89">
        <v>46000</v>
      </c>
      <c r="D721" s="85" t="s">
        <v>4789</v>
      </c>
      <c r="E721" s="121" t="s">
        <v>4788</v>
      </c>
      <c r="F721" s="85" t="s">
        <v>17</v>
      </c>
      <c r="G721" s="85" t="s">
        <v>12</v>
      </c>
      <c r="H721" s="148"/>
      <c r="I721" s="142"/>
      <c r="J721" s="144"/>
      <c r="K721" s="144"/>
      <c r="L721" s="85"/>
      <c r="R721" s="53" t="s">
        <v>764</v>
      </c>
      <c r="S721" s="53" t="s">
        <v>769</v>
      </c>
      <c r="T721" s="53" t="s">
        <v>769</v>
      </c>
      <c r="U721" s="53" t="s">
        <v>741</v>
      </c>
      <c r="V721" s="53" t="s">
        <v>768</v>
      </c>
      <c r="W721" s="53" t="s">
        <v>780</v>
      </c>
      <c r="X721" s="61">
        <f>IFERROR(IF(W721="","",WORKDAY.INTL(B721,_xlfn.XLOOKUP(W721,Regras!$F$2:$F$11,Regras!$G$2:$G$11))),"")</f>
        <v>46002</v>
      </c>
      <c r="Y721" s="150" t="s">
        <v>4800</v>
      </c>
      <c r="Z721" s="53" t="s">
        <v>764</v>
      </c>
      <c r="AB721" s="155" t="s">
        <v>4816</v>
      </c>
    </row>
    <row r="722" spans="2:28" x14ac:dyDescent="0.2">
      <c r="B722" s="89">
        <v>46000</v>
      </c>
      <c r="D722" s="85" t="s">
        <v>4695</v>
      </c>
      <c r="E722" s="121" t="s">
        <v>4694</v>
      </c>
      <c r="F722" s="85" t="s">
        <v>22</v>
      </c>
      <c r="G722" s="85" t="s">
        <v>12</v>
      </c>
      <c r="H722" s="148"/>
      <c r="I722" s="142"/>
      <c r="J722" s="144"/>
      <c r="K722" s="144"/>
      <c r="L722" s="85"/>
      <c r="R722" s="53" t="s">
        <v>764</v>
      </c>
      <c r="S722" s="53" t="s">
        <v>769</v>
      </c>
      <c r="T722" s="53" t="s">
        <v>769</v>
      </c>
      <c r="U722" s="53" t="s">
        <v>773</v>
      </c>
      <c r="V722" s="53" t="s">
        <v>813</v>
      </c>
      <c r="W722" s="53" t="s">
        <v>777</v>
      </c>
      <c r="X722" s="61" t="str">
        <f>IFERROR(IF(W722="","",WORKDAY.INTL(B722,_xlfn.XLOOKUP(W722,Regras!$F$2:$F$11,Regras!$G$2:$G$11))),"")</f>
        <v/>
      </c>
      <c r="Y722" s="150" t="s">
        <v>4817</v>
      </c>
      <c r="Z722" s="53" t="s">
        <v>764</v>
      </c>
      <c r="AB722" s="150" t="s">
        <v>4817</v>
      </c>
    </row>
    <row r="723" spans="2:28" x14ac:dyDescent="0.2">
      <c r="B723" s="89">
        <v>46000</v>
      </c>
      <c r="D723" s="85" t="s">
        <v>4818</v>
      </c>
      <c r="E723" s="125"/>
      <c r="F723" s="85" t="s">
        <v>46</v>
      </c>
      <c r="G723" s="85" t="s">
        <v>12</v>
      </c>
      <c r="H723" s="148"/>
      <c r="I723" s="142"/>
      <c r="J723" s="144"/>
      <c r="K723" s="144"/>
      <c r="L723" s="85"/>
      <c r="R723" s="53" t="s">
        <v>764</v>
      </c>
      <c r="S723" s="53" t="s">
        <v>769</v>
      </c>
      <c r="T723" s="53" t="s">
        <v>769</v>
      </c>
      <c r="U723" s="53" t="s">
        <v>773</v>
      </c>
      <c r="V723" s="53" t="s">
        <v>768</v>
      </c>
      <c r="W723" s="53" t="s">
        <v>780</v>
      </c>
      <c r="X723" s="61">
        <f>IFERROR(IF(W723="","",WORKDAY.INTL(B723,_xlfn.XLOOKUP(W723,Regras!$F$2:$F$11,Regras!$G$2:$G$11))),"")</f>
        <v>46002</v>
      </c>
      <c r="Y723" s="150" t="s">
        <v>4819</v>
      </c>
      <c r="Z723" s="53" t="s">
        <v>764</v>
      </c>
      <c r="AB723" s="150" t="s">
        <v>4819</v>
      </c>
    </row>
    <row r="724" spans="2:28" x14ac:dyDescent="0.2">
      <c r="B724" s="89">
        <v>46000</v>
      </c>
      <c r="D724" s="85" t="s">
        <v>107</v>
      </c>
      <c r="E724" s="121" t="s">
        <v>108</v>
      </c>
      <c r="F724" s="85" t="s">
        <v>46</v>
      </c>
      <c r="G724" s="85" t="s">
        <v>12</v>
      </c>
      <c r="H724" s="148"/>
      <c r="I724" s="142"/>
      <c r="J724" s="144"/>
      <c r="K724" s="144"/>
      <c r="L724" s="85"/>
      <c r="R724" s="53" t="s">
        <v>764</v>
      </c>
      <c r="S724" s="53" t="s">
        <v>764</v>
      </c>
      <c r="T724" s="53" t="s">
        <v>764</v>
      </c>
      <c r="U724" s="53" t="s">
        <v>773</v>
      </c>
      <c r="V724" s="53" t="s">
        <v>776</v>
      </c>
      <c r="W724" s="53" t="s">
        <v>777</v>
      </c>
      <c r="X724" s="61" t="str">
        <f>IFERROR(IF(W724="","",WORKDAY.INTL(B724,_xlfn.XLOOKUP(W724,Regras!$F$2:$F$11,Regras!$G$2:$G$11))),"")</f>
        <v/>
      </c>
      <c r="Y724" s="150" t="s">
        <v>4811</v>
      </c>
      <c r="Z724" s="53" t="s">
        <v>764</v>
      </c>
      <c r="AB724" s="155" t="s">
        <v>4820</v>
      </c>
    </row>
    <row r="725" spans="2:28" x14ac:dyDescent="0.2">
      <c r="B725" s="89">
        <v>46000</v>
      </c>
      <c r="D725" s="85" t="s">
        <v>4686</v>
      </c>
      <c r="E725" s="121" t="s">
        <v>4366</v>
      </c>
      <c r="F725" s="85" t="s">
        <v>46</v>
      </c>
      <c r="G725" s="85" t="s">
        <v>12</v>
      </c>
      <c r="H725" s="148"/>
      <c r="I725" s="142"/>
      <c r="J725" s="144"/>
      <c r="K725" s="144"/>
      <c r="L725" s="85"/>
      <c r="R725" s="53" t="s">
        <v>764</v>
      </c>
      <c r="S725" s="53" t="s">
        <v>769</v>
      </c>
      <c r="T725" s="53" t="s">
        <v>769</v>
      </c>
      <c r="U725" s="53" t="s">
        <v>741</v>
      </c>
      <c r="V725" s="53" t="s">
        <v>770</v>
      </c>
      <c r="W725" s="53" t="s">
        <v>777</v>
      </c>
      <c r="X725" s="61" t="str">
        <f>IFERROR(IF(W725="","",WORKDAY.INTL(B725,_xlfn.XLOOKUP(W725,Regras!$F$2:$F$11,Regras!$G$2:$G$11))),"")</f>
        <v/>
      </c>
      <c r="Y725" s="150" t="s">
        <v>4805</v>
      </c>
      <c r="Z725" s="53" t="s">
        <v>764</v>
      </c>
      <c r="AB725" s="155" t="s">
        <v>4821</v>
      </c>
    </row>
    <row r="726" spans="2:28" x14ac:dyDescent="0.2">
      <c r="B726" s="89">
        <v>46000</v>
      </c>
      <c r="D726" s="85" t="s">
        <v>4746</v>
      </c>
      <c r="E726" s="121" t="s">
        <v>4822</v>
      </c>
      <c r="F726" s="85" t="s">
        <v>22</v>
      </c>
      <c r="G726" s="85" t="s">
        <v>12</v>
      </c>
      <c r="H726" s="148"/>
      <c r="I726" s="142"/>
      <c r="J726" s="144"/>
      <c r="K726" s="144"/>
      <c r="L726" s="85"/>
      <c r="R726" s="53" t="s">
        <v>764</v>
      </c>
      <c r="S726" s="53" t="s">
        <v>769</v>
      </c>
      <c r="T726" s="53" t="s">
        <v>769</v>
      </c>
      <c r="U726" s="53" t="s">
        <v>741</v>
      </c>
      <c r="V726" s="53" t="s">
        <v>765</v>
      </c>
      <c r="W726" s="53" t="s">
        <v>839</v>
      </c>
      <c r="X726" s="61">
        <f>IFERROR(IF(W726="","",WORKDAY.INTL(B726,_xlfn.XLOOKUP(W726,Regras!$F$2:$F$11,Regras!$G$2:$G$11))),"")</f>
        <v>46001</v>
      </c>
      <c r="Y726" s="150" t="s">
        <v>4823</v>
      </c>
      <c r="Z726" s="53" t="s">
        <v>764</v>
      </c>
      <c r="AB726" s="150" t="s">
        <v>4824</v>
      </c>
    </row>
    <row r="727" spans="2:28" x14ac:dyDescent="0.2">
      <c r="B727" s="89">
        <v>46000</v>
      </c>
      <c r="D727" s="85" t="s">
        <v>4703</v>
      </c>
      <c r="E727" s="121" t="s">
        <v>4702</v>
      </c>
      <c r="F727" s="85" t="s">
        <v>17</v>
      </c>
      <c r="G727" s="85" t="s">
        <v>12</v>
      </c>
      <c r="H727" s="148"/>
      <c r="I727" s="142"/>
      <c r="J727" s="144"/>
      <c r="K727" s="144"/>
      <c r="L727" s="85"/>
      <c r="R727" s="53" t="s">
        <v>764</v>
      </c>
      <c r="S727" s="53" t="s">
        <v>769</v>
      </c>
      <c r="T727" s="53" t="s">
        <v>769</v>
      </c>
      <c r="U727" s="53" t="s">
        <v>741</v>
      </c>
      <c r="V727" s="53" t="s">
        <v>768</v>
      </c>
      <c r="W727" s="53" t="s">
        <v>839</v>
      </c>
      <c r="X727" s="61">
        <f>IFERROR(IF(W727="","",WORKDAY.INTL(B727,_xlfn.XLOOKUP(W727,Regras!$F$2:$F$11,Regras!$G$2:$G$11))),"")</f>
        <v>46001</v>
      </c>
      <c r="Y727" s="150" t="s">
        <v>1132</v>
      </c>
      <c r="Z727" s="53" t="s">
        <v>764</v>
      </c>
      <c r="AB727" s="150" t="s">
        <v>1132</v>
      </c>
    </row>
    <row r="728" spans="2:28" x14ac:dyDescent="0.2">
      <c r="B728" s="89">
        <v>46000</v>
      </c>
      <c r="D728" s="85" t="s">
        <v>190</v>
      </c>
      <c r="E728" s="121" t="s">
        <v>4802</v>
      </c>
      <c r="F728" s="85" t="s">
        <v>46</v>
      </c>
      <c r="G728" s="85" t="s">
        <v>12</v>
      </c>
      <c r="H728" s="148"/>
      <c r="I728" s="142"/>
      <c r="J728" s="144"/>
      <c r="K728" s="144"/>
      <c r="L728" s="85"/>
      <c r="R728" s="53" t="s">
        <v>764</v>
      </c>
      <c r="S728" s="53" t="s">
        <v>769</v>
      </c>
      <c r="T728" s="53" t="s">
        <v>769</v>
      </c>
      <c r="U728" s="53" t="s">
        <v>741</v>
      </c>
      <c r="V728" s="53" t="s">
        <v>770</v>
      </c>
      <c r="W728" s="53" t="s">
        <v>766</v>
      </c>
      <c r="X728" s="61">
        <f>IFERROR(IF(W728="","",WORKDAY.INTL(B728,_xlfn.XLOOKUP(W728,Regras!$F$2:$F$11,Regras!$G$2:$G$11))),"")</f>
        <v>46063</v>
      </c>
      <c r="Y728" s="150" t="s">
        <v>1003</v>
      </c>
      <c r="Z728" s="53" t="s">
        <v>764</v>
      </c>
      <c r="AB728" s="150" t="s">
        <v>1003</v>
      </c>
    </row>
    <row r="729" spans="2:28" x14ac:dyDescent="0.2">
      <c r="B729" s="89">
        <v>46000</v>
      </c>
      <c r="D729" s="85" t="s">
        <v>4813</v>
      </c>
      <c r="E729" s="121" t="s">
        <v>4783</v>
      </c>
      <c r="F729" s="85" t="s">
        <v>17</v>
      </c>
      <c r="G729" s="85" t="s">
        <v>12</v>
      </c>
      <c r="H729" s="148"/>
      <c r="I729" s="142"/>
      <c r="J729" s="144"/>
      <c r="K729" s="144"/>
      <c r="L729" s="85"/>
      <c r="R729" s="53" t="s">
        <v>764</v>
      </c>
      <c r="S729" s="53" t="s">
        <v>769</v>
      </c>
      <c r="T729" s="53" t="s">
        <v>769</v>
      </c>
      <c r="U729" s="53" t="s">
        <v>773</v>
      </c>
      <c r="V729" s="53" t="s">
        <v>768</v>
      </c>
      <c r="W729" s="53" t="s">
        <v>839</v>
      </c>
      <c r="X729" s="61">
        <f>IFERROR(IF(W729="","",WORKDAY.INTL(B729,_xlfn.XLOOKUP(W729,Regras!$F$2:$F$11,Regras!$G$2:$G$11))),"")</f>
        <v>46001</v>
      </c>
      <c r="Y729" s="150" t="s">
        <v>4730</v>
      </c>
      <c r="Z729" s="53" t="s">
        <v>764</v>
      </c>
      <c r="AB729" s="155" t="s">
        <v>4825</v>
      </c>
    </row>
    <row r="730" spans="2:28" x14ac:dyDescent="0.2">
      <c r="B730" s="89">
        <v>46000</v>
      </c>
      <c r="D730" s="85" t="s">
        <v>2936</v>
      </c>
      <c r="E730" s="121" t="s">
        <v>2937</v>
      </c>
      <c r="F730" s="85" t="s">
        <v>17</v>
      </c>
      <c r="G730" s="85" t="s">
        <v>12</v>
      </c>
      <c r="H730" s="148"/>
      <c r="I730" s="142"/>
      <c r="J730" s="144"/>
      <c r="K730" s="144"/>
      <c r="L730" s="85"/>
      <c r="R730" s="53" t="s">
        <v>764</v>
      </c>
      <c r="S730" s="53" t="s">
        <v>764</v>
      </c>
      <c r="T730" s="53" t="s">
        <v>764</v>
      </c>
      <c r="U730" s="53" t="s">
        <v>741</v>
      </c>
      <c r="V730" s="53" t="s">
        <v>768</v>
      </c>
      <c r="W730" s="53" t="s">
        <v>780</v>
      </c>
      <c r="X730" s="61">
        <f>IFERROR(IF(W730="","",WORKDAY.INTL(B730,_xlfn.XLOOKUP(W730,Regras!$F$2:$F$11,Regras!$G$2:$G$11))),"")</f>
        <v>46002</v>
      </c>
      <c r="Y730" s="150" t="s">
        <v>4826</v>
      </c>
      <c r="Z730" s="53" t="s">
        <v>764</v>
      </c>
      <c r="AB730" s="155" t="s">
        <v>973</v>
      </c>
    </row>
    <row r="731" spans="2:28" x14ac:dyDescent="0.2">
      <c r="B731" s="89">
        <v>46000</v>
      </c>
      <c r="D731" s="85" t="s">
        <v>2997</v>
      </c>
      <c r="E731" s="121" t="s">
        <v>2998</v>
      </c>
      <c r="F731" s="85" t="s">
        <v>17</v>
      </c>
      <c r="G731" s="85" t="s">
        <v>12</v>
      </c>
      <c r="H731" s="148"/>
      <c r="I731" s="142"/>
      <c r="J731" s="144"/>
      <c r="K731" s="144"/>
      <c r="L731" s="85"/>
      <c r="R731" s="53" t="s">
        <v>764</v>
      </c>
      <c r="S731" s="53" t="s">
        <v>764</v>
      </c>
      <c r="T731" s="53" t="s">
        <v>769</v>
      </c>
      <c r="U731" s="53" t="s">
        <v>741</v>
      </c>
      <c r="V731" s="53" t="s">
        <v>768</v>
      </c>
      <c r="W731" s="53" t="s">
        <v>780</v>
      </c>
      <c r="X731" s="61">
        <f>IFERROR(IF(W731="","",WORKDAY.INTL(B731,_xlfn.XLOOKUP(W731,Regras!$F$2:$F$11,Regras!$G$2:$G$11))),"")</f>
        <v>46002</v>
      </c>
      <c r="Y731" s="150" t="s">
        <v>4827</v>
      </c>
      <c r="Z731" s="53" t="s">
        <v>764</v>
      </c>
      <c r="AB731" s="155" t="s">
        <v>4828</v>
      </c>
    </row>
    <row r="732" spans="2:28" x14ac:dyDescent="0.2">
      <c r="B732" s="89">
        <v>46000</v>
      </c>
      <c r="D732" s="85" t="s">
        <v>3007</v>
      </c>
      <c r="E732" s="121" t="s">
        <v>3008</v>
      </c>
      <c r="F732" s="85" t="s">
        <v>17</v>
      </c>
      <c r="G732" s="85" t="s">
        <v>12</v>
      </c>
      <c r="H732" s="148"/>
      <c r="I732" s="142"/>
      <c r="J732" s="144"/>
      <c r="K732" s="144"/>
      <c r="L732" s="85"/>
      <c r="R732" s="53" t="s">
        <v>764</v>
      </c>
      <c r="S732" s="53" t="s">
        <v>764</v>
      </c>
      <c r="T732" s="53" t="s">
        <v>764</v>
      </c>
      <c r="U732" s="53" t="s">
        <v>741</v>
      </c>
      <c r="V732" s="53" t="s">
        <v>768</v>
      </c>
      <c r="W732" s="53" t="s">
        <v>780</v>
      </c>
      <c r="X732" s="61">
        <f>IFERROR(IF(W732="","",WORKDAY.INTL(B732,_xlfn.XLOOKUP(W732,Regras!$F$2:$F$11,Regras!$G$2:$G$11))),"")</f>
        <v>46002</v>
      </c>
      <c r="Y732" s="150" t="s">
        <v>4829</v>
      </c>
      <c r="Z732" s="53" t="s">
        <v>764</v>
      </c>
      <c r="AB732" s="150" t="s">
        <v>4829</v>
      </c>
    </row>
    <row r="733" spans="2:28" x14ac:dyDescent="0.2">
      <c r="B733" s="89">
        <v>46000</v>
      </c>
      <c r="D733" s="85" t="s">
        <v>3046</v>
      </c>
      <c r="E733" s="121" t="s">
        <v>3047</v>
      </c>
      <c r="F733" s="85" t="s">
        <v>17</v>
      </c>
      <c r="G733" s="85" t="s">
        <v>12</v>
      </c>
      <c r="H733" s="148"/>
      <c r="I733" s="142"/>
      <c r="J733" s="144"/>
      <c r="K733" s="144"/>
      <c r="L733" s="85"/>
      <c r="R733" s="53" t="s">
        <v>764</v>
      </c>
      <c r="S733" s="53" t="s">
        <v>764</v>
      </c>
      <c r="T733" s="53" t="s">
        <v>769</v>
      </c>
      <c r="U733" s="53" t="s">
        <v>741</v>
      </c>
      <c r="V733" s="53" t="s">
        <v>768</v>
      </c>
      <c r="W733" s="53" t="s">
        <v>780</v>
      </c>
      <c r="X733" s="61">
        <f>IFERROR(IF(W733="","",WORKDAY.INTL(B733,_xlfn.XLOOKUP(W733,Regras!$F$2:$F$11,Regras!$G$2:$G$11))),"")</f>
        <v>46002</v>
      </c>
      <c r="Y733" s="150" t="s">
        <v>4830</v>
      </c>
      <c r="Z733" s="53" t="s">
        <v>764</v>
      </c>
      <c r="AB733" s="155" t="s">
        <v>973</v>
      </c>
    </row>
    <row r="734" spans="2:28" x14ac:dyDescent="0.2">
      <c r="B734" s="89">
        <v>46000</v>
      </c>
      <c r="D734" s="85" t="s">
        <v>3046</v>
      </c>
      <c r="E734" s="121" t="s">
        <v>3047</v>
      </c>
      <c r="F734" s="85" t="s">
        <v>17</v>
      </c>
      <c r="G734" s="85" t="s">
        <v>12</v>
      </c>
      <c r="H734" s="148"/>
      <c r="I734" s="142"/>
      <c r="J734" s="144"/>
      <c r="K734" s="144"/>
      <c r="L734" s="85"/>
      <c r="R734" s="53" t="s">
        <v>764</v>
      </c>
      <c r="S734" s="53" t="s">
        <v>764</v>
      </c>
      <c r="T734" s="53" t="s">
        <v>769</v>
      </c>
      <c r="U734" s="53" t="s">
        <v>741</v>
      </c>
      <c r="V734" s="53" t="s">
        <v>768</v>
      </c>
      <c r="W734" s="53" t="s">
        <v>780</v>
      </c>
      <c r="X734" s="61">
        <f>IFERROR(IF(W734="","",WORKDAY.INTL(B734,_xlfn.XLOOKUP(W734,Regras!$F$2:$F$11,Regras!$G$2:$G$11))),"")</f>
        <v>46002</v>
      </c>
      <c r="Y734" s="150" t="s">
        <v>4831</v>
      </c>
      <c r="Z734" s="53" t="s">
        <v>764</v>
      </c>
      <c r="AB734" s="155" t="s">
        <v>4832</v>
      </c>
    </row>
    <row r="735" spans="2:28" x14ac:dyDescent="0.2">
      <c r="B735" s="89">
        <v>46000</v>
      </c>
      <c r="D735" s="85" t="s">
        <v>4833</v>
      </c>
      <c r="E735" s="125"/>
      <c r="F735" s="85" t="s">
        <v>22</v>
      </c>
      <c r="G735" s="85" t="s">
        <v>12</v>
      </c>
      <c r="H735" s="148"/>
      <c r="I735" s="142"/>
      <c r="J735" s="144"/>
      <c r="K735" s="144"/>
      <c r="L735" s="85"/>
      <c r="R735" s="53" t="s">
        <v>764</v>
      </c>
      <c r="S735" s="53" t="s">
        <v>769</v>
      </c>
      <c r="T735" s="53" t="s">
        <v>769</v>
      </c>
      <c r="U735" s="53" t="s">
        <v>741</v>
      </c>
      <c r="V735" s="53" t="s">
        <v>768</v>
      </c>
      <c r="W735" s="53" t="s">
        <v>839</v>
      </c>
      <c r="X735" s="61">
        <f>IFERROR(IF(W735="","",WORKDAY.INTL(B735,_xlfn.XLOOKUP(W735,Regras!$F$2:$F$11,Regras!$G$2:$G$11))),"")</f>
        <v>46001</v>
      </c>
      <c r="Y735" s="150" t="s">
        <v>4834</v>
      </c>
      <c r="Z735" s="53" t="s">
        <v>764</v>
      </c>
      <c r="AB735" s="150" t="s">
        <v>4834</v>
      </c>
    </row>
    <row r="736" spans="2:28" x14ac:dyDescent="0.2">
      <c r="B736" s="89">
        <v>46001</v>
      </c>
      <c r="D736" s="85" t="s">
        <v>3119</v>
      </c>
      <c r="E736" s="121" t="s">
        <v>3120</v>
      </c>
      <c r="F736" s="85" t="s">
        <v>17</v>
      </c>
      <c r="G736" s="85" t="s">
        <v>12</v>
      </c>
      <c r="H736" s="148"/>
      <c r="I736" s="142"/>
      <c r="J736" s="144"/>
      <c r="K736" s="144"/>
      <c r="L736" s="85"/>
      <c r="R736" s="53" t="s">
        <v>764</v>
      </c>
      <c r="S736" s="53" t="s">
        <v>769</v>
      </c>
      <c r="T736" s="53" t="s">
        <v>769</v>
      </c>
      <c r="U736" s="53" t="s">
        <v>741</v>
      </c>
      <c r="V736" s="53" t="s">
        <v>768</v>
      </c>
      <c r="W736" s="53" t="s">
        <v>780</v>
      </c>
      <c r="X736" s="61">
        <f>IFERROR(IF(W736="","",WORKDAY.INTL(B736,_xlfn.XLOOKUP(W736,Regras!$F$2:$F$11,Regras!$G$2:$G$11))),"")</f>
        <v>46003</v>
      </c>
      <c r="Y736" s="150" t="s">
        <v>4835</v>
      </c>
      <c r="Z736" s="53" t="s">
        <v>764</v>
      </c>
      <c r="AB736" s="150" t="s">
        <v>4835</v>
      </c>
    </row>
    <row r="737" spans="2:28" x14ac:dyDescent="0.2">
      <c r="B737" s="89">
        <v>46001</v>
      </c>
      <c r="D737" s="85" t="s">
        <v>4833</v>
      </c>
      <c r="E737" s="121"/>
      <c r="F737" s="85" t="s">
        <v>22</v>
      </c>
      <c r="G737" s="85" t="s">
        <v>12</v>
      </c>
      <c r="H737" s="148"/>
      <c r="I737" s="142"/>
      <c r="J737" s="144"/>
      <c r="K737" s="144"/>
      <c r="L737" s="85"/>
      <c r="R737" s="53" t="s">
        <v>764</v>
      </c>
      <c r="S737" s="53" t="s">
        <v>769</v>
      </c>
      <c r="T737" s="53" t="s">
        <v>769</v>
      </c>
      <c r="U737" s="53" t="s">
        <v>741</v>
      </c>
      <c r="V737" s="53" t="s">
        <v>768</v>
      </c>
      <c r="W737" s="53" t="s">
        <v>839</v>
      </c>
      <c r="X737" s="61">
        <f>IFERROR(IF(W737="","",WORKDAY.INTL(B737,_xlfn.XLOOKUP(W737,Regras!$F$2:$F$11,Regras!$G$2:$G$11))),"")</f>
        <v>46002</v>
      </c>
      <c r="Y737" s="150" t="s">
        <v>4836</v>
      </c>
      <c r="Z737" s="53" t="s">
        <v>764</v>
      </c>
      <c r="AB737" s="150" t="s">
        <v>4836</v>
      </c>
    </row>
    <row r="738" spans="2:28" x14ac:dyDescent="0.2">
      <c r="B738" s="89">
        <v>46001</v>
      </c>
      <c r="D738" s="85" t="s">
        <v>4749</v>
      </c>
      <c r="E738" s="121" t="s">
        <v>621</v>
      </c>
      <c r="F738" s="85" t="s">
        <v>17</v>
      </c>
      <c r="G738" s="85" t="s">
        <v>12</v>
      </c>
      <c r="H738" s="148"/>
      <c r="I738" s="142"/>
      <c r="J738" s="144"/>
      <c r="K738" s="144"/>
      <c r="L738" s="85"/>
      <c r="R738" s="53" t="s">
        <v>764</v>
      </c>
      <c r="S738" s="53" t="s">
        <v>769</v>
      </c>
      <c r="T738" s="53" t="s">
        <v>769</v>
      </c>
      <c r="U738" s="53" t="s">
        <v>773</v>
      </c>
      <c r="V738" s="53" t="s">
        <v>770</v>
      </c>
      <c r="W738" s="53" t="s">
        <v>777</v>
      </c>
      <c r="X738" s="61" t="str">
        <f>IFERROR(IF(W738="","",WORKDAY.INTL(B738,_xlfn.XLOOKUP(W738,Regras!$F$2:$F$11,Regras!$G$2:$G$11))),"")</f>
        <v/>
      </c>
      <c r="Y738" s="150" t="s">
        <v>4837</v>
      </c>
      <c r="Z738" s="53" t="s">
        <v>764</v>
      </c>
      <c r="AB738" s="150" t="s">
        <v>4837</v>
      </c>
    </row>
    <row r="739" spans="2:28" x14ac:dyDescent="0.2">
      <c r="B739" s="89">
        <v>46001</v>
      </c>
      <c r="D739" s="85" t="s">
        <v>4034</v>
      </c>
      <c r="E739" s="121" t="s">
        <v>4035</v>
      </c>
      <c r="F739" s="85" t="s">
        <v>22</v>
      </c>
      <c r="G739" s="85" t="s">
        <v>12</v>
      </c>
      <c r="H739" s="148"/>
      <c r="I739" s="142"/>
      <c r="J739" s="144"/>
      <c r="K739" s="144"/>
      <c r="L739" s="85"/>
      <c r="R739" s="53" t="s">
        <v>764</v>
      </c>
      <c r="S739" s="53" t="s">
        <v>764</v>
      </c>
      <c r="T739" s="53" t="s">
        <v>764</v>
      </c>
      <c r="U739" s="53" t="s">
        <v>741</v>
      </c>
      <c r="V739" s="53" t="s">
        <v>770</v>
      </c>
      <c r="W739" s="53" t="s">
        <v>1054</v>
      </c>
      <c r="X739" s="61">
        <f>IFERROR(IF(W739="","",WORKDAY.INTL(B739,_xlfn.XLOOKUP(W739,Regras!$F$2:$F$11,Regras!$G$2:$G$11))),"")</f>
        <v>46022</v>
      </c>
      <c r="Y739" s="150" t="s">
        <v>4838</v>
      </c>
      <c r="Z739" s="53" t="s">
        <v>764</v>
      </c>
      <c r="AB739" s="155" t="s">
        <v>4839</v>
      </c>
    </row>
    <row r="740" spans="2:28" x14ac:dyDescent="0.2">
      <c r="B740" s="89">
        <v>46001</v>
      </c>
      <c r="D740" s="85" t="s">
        <v>4486</v>
      </c>
      <c r="E740" s="121" t="s">
        <v>944</v>
      </c>
      <c r="F740" s="85" t="s">
        <v>22</v>
      </c>
      <c r="G740" s="85" t="s">
        <v>12</v>
      </c>
      <c r="H740" s="148"/>
      <c r="I740" s="142"/>
      <c r="J740" s="144"/>
      <c r="K740" s="144"/>
      <c r="L740" s="85"/>
      <c r="R740" s="53" t="s">
        <v>764</v>
      </c>
      <c r="S740" s="53" t="s">
        <v>764</v>
      </c>
      <c r="T740" s="53" t="s">
        <v>764</v>
      </c>
      <c r="U740" s="53" t="s">
        <v>741</v>
      </c>
      <c r="V740" s="53" t="s">
        <v>770</v>
      </c>
      <c r="W740" s="53" t="s">
        <v>1054</v>
      </c>
      <c r="X740" s="61">
        <f>IFERROR(IF(W740="","",WORKDAY.INTL(B740,_xlfn.XLOOKUP(W740,Regras!$F$2:$F$11,Regras!$G$2:$G$11))),"")</f>
        <v>46022</v>
      </c>
      <c r="Y740" s="150" t="s">
        <v>4840</v>
      </c>
      <c r="Z740" s="53" t="s">
        <v>764</v>
      </c>
      <c r="AB740" s="155" t="s">
        <v>4841</v>
      </c>
    </row>
    <row r="741" spans="2:28" x14ac:dyDescent="0.2">
      <c r="B741" s="89">
        <v>46001</v>
      </c>
      <c r="D741" s="85" t="s">
        <v>516</v>
      </c>
      <c r="E741" s="121" t="s">
        <v>517</v>
      </c>
      <c r="F741" s="85" t="s">
        <v>46</v>
      </c>
      <c r="G741" s="85" t="s">
        <v>12</v>
      </c>
      <c r="H741" s="148"/>
      <c r="I741" s="142"/>
      <c r="J741" s="144"/>
      <c r="K741" s="144"/>
      <c r="L741" s="85"/>
      <c r="R741" s="53" t="s">
        <v>764</v>
      </c>
      <c r="S741" s="53" t="s">
        <v>769</v>
      </c>
      <c r="T741" s="53" t="s">
        <v>769</v>
      </c>
      <c r="U741" s="53" t="s">
        <v>741</v>
      </c>
      <c r="V741" s="53" t="s">
        <v>770</v>
      </c>
      <c r="W741" s="53" t="s">
        <v>1054</v>
      </c>
      <c r="X741" s="61">
        <f>IFERROR(IF(W741="","",WORKDAY.INTL(B741,_xlfn.XLOOKUP(W741,Regras!$F$2:$F$11,Regras!$G$2:$G$11))),"")</f>
        <v>46022</v>
      </c>
      <c r="Y741" s="150" t="s">
        <v>4842</v>
      </c>
      <c r="Z741" s="53" t="s">
        <v>764</v>
      </c>
      <c r="AB741" s="155" t="s">
        <v>4843</v>
      </c>
    </row>
    <row r="742" spans="2:28" x14ac:dyDescent="0.2">
      <c r="B742" s="89">
        <v>46001</v>
      </c>
      <c r="D742" s="85" t="s">
        <v>192</v>
      </c>
      <c r="E742" s="121" t="s">
        <v>193</v>
      </c>
      <c r="F742" s="85" t="s">
        <v>17</v>
      </c>
      <c r="G742" s="85" t="s">
        <v>12</v>
      </c>
      <c r="H742" s="148"/>
      <c r="I742" s="142"/>
      <c r="J742" s="144"/>
      <c r="K742" s="144"/>
      <c r="L742" s="85"/>
      <c r="R742" s="53" t="s">
        <v>764</v>
      </c>
      <c r="S742" s="53" t="s">
        <v>764</v>
      </c>
      <c r="T742" s="53" t="s">
        <v>769</v>
      </c>
      <c r="U742" s="53" t="s">
        <v>741</v>
      </c>
      <c r="V742" s="53" t="s">
        <v>770</v>
      </c>
      <c r="W742" s="53" t="s">
        <v>780</v>
      </c>
      <c r="X742" s="61">
        <f>IFERROR(IF(W742="","",WORKDAY.INTL(B742,_xlfn.XLOOKUP(W742,Regras!$F$2:$F$11,Regras!$G$2:$G$11))),"")</f>
        <v>46003</v>
      </c>
      <c r="Y742" s="150" t="s">
        <v>4844</v>
      </c>
      <c r="Z742" s="53" t="s">
        <v>764</v>
      </c>
      <c r="AB742" s="155" t="s">
        <v>4585</v>
      </c>
    </row>
    <row r="743" spans="2:28" x14ac:dyDescent="0.2">
      <c r="B743" s="89">
        <v>46001</v>
      </c>
      <c r="D743" s="85" t="s">
        <v>359</v>
      </c>
      <c r="E743" s="121" t="s">
        <v>360</v>
      </c>
      <c r="F743" s="85" t="s">
        <v>46</v>
      </c>
      <c r="G743" s="85" t="s">
        <v>12</v>
      </c>
      <c r="H743" s="148"/>
      <c r="I743" s="142"/>
      <c r="J743" s="144"/>
      <c r="K743" s="144"/>
      <c r="L743" s="85"/>
      <c r="R743" s="53" t="s">
        <v>764</v>
      </c>
      <c r="S743" s="53" t="s">
        <v>769</v>
      </c>
      <c r="T743" s="53" t="s">
        <v>769</v>
      </c>
      <c r="U743" s="53" t="s">
        <v>741</v>
      </c>
      <c r="V743" s="53" t="s">
        <v>770</v>
      </c>
      <c r="W743" s="53" t="s">
        <v>1054</v>
      </c>
      <c r="X743" s="61">
        <f>IFERROR(IF(W743="","",WORKDAY.INTL(B743,_xlfn.XLOOKUP(W743,Regras!$F$2:$F$11,Regras!$G$2:$G$11))),"")</f>
        <v>46022</v>
      </c>
      <c r="Y743" s="150" t="s">
        <v>4842</v>
      </c>
      <c r="Z743" s="53" t="s">
        <v>764</v>
      </c>
      <c r="AB743" s="155" t="s">
        <v>4845</v>
      </c>
    </row>
    <row r="744" spans="2:28" x14ac:dyDescent="0.2">
      <c r="B744" s="89">
        <v>46001</v>
      </c>
      <c r="D744" s="85" t="s">
        <v>414</v>
      </c>
      <c r="E744" s="121" t="s">
        <v>415</v>
      </c>
      <c r="F744" s="85" t="s">
        <v>22</v>
      </c>
      <c r="G744" s="85" t="s">
        <v>12</v>
      </c>
      <c r="H744" s="148"/>
      <c r="I744" s="142"/>
      <c r="J744" s="144"/>
      <c r="K744" s="144"/>
      <c r="L744" s="85"/>
      <c r="R744" s="53" t="s">
        <v>764</v>
      </c>
      <c r="S744" s="53" t="s">
        <v>764</v>
      </c>
      <c r="T744" s="53" t="s">
        <v>764</v>
      </c>
      <c r="U744" s="53" t="s">
        <v>741</v>
      </c>
      <c r="V744" s="53" t="s">
        <v>770</v>
      </c>
      <c r="W744" s="53" t="s">
        <v>766</v>
      </c>
      <c r="X744" s="61">
        <f>IFERROR(IF(W744="","",WORKDAY.INTL(B744,_xlfn.XLOOKUP(W744,Regras!$F$2:$F$11,Regras!$G$2:$G$11))),"")</f>
        <v>46064</v>
      </c>
      <c r="Y744" s="150" t="s">
        <v>1003</v>
      </c>
      <c r="Z744" s="53" t="s">
        <v>764</v>
      </c>
      <c r="AB744" s="150" t="s">
        <v>1003</v>
      </c>
    </row>
    <row r="745" spans="2:28" x14ac:dyDescent="0.2">
      <c r="B745" s="89">
        <v>46001</v>
      </c>
      <c r="D745" s="85" t="s">
        <v>300</v>
      </c>
      <c r="E745" s="121" t="s">
        <v>301</v>
      </c>
      <c r="F745" s="85" t="s">
        <v>22</v>
      </c>
      <c r="G745" s="85" t="s">
        <v>12</v>
      </c>
      <c r="H745" s="148"/>
      <c r="I745" s="142"/>
      <c r="J745" s="144"/>
      <c r="K745" s="144"/>
      <c r="L745" s="85"/>
      <c r="R745" s="53" t="s">
        <v>764</v>
      </c>
      <c r="S745" s="53" t="s">
        <v>764</v>
      </c>
      <c r="T745" s="53" t="s">
        <v>769</v>
      </c>
      <c r="U745" s="53" t="s">
        <v>741</v>
      </c>
      <c r="V745" s="53" t="s">
        <v>770</v>
      </c>
      <c r="W745" s="53" t="s">
        <v>780</v>
      </c>
      <c r="X745" s="61">
        <f>IFERROR(IF(W745="","",WORKDAY.INTL(B745,_xlfn.XLOOKUP(W745,Regras!$F$2:$F$11,Regras!$G$2:$G$11))),"")</f>
        <v>46003</v>
      </c>
      <c r="Y745" s="150" t="s">
        <v>4846</v>
      </c>
      <c r="Z745" s="53" t="s">
        <v>764</v>
      </c>
      <c r="AB745" s="150" t="s">
        <v>4846</v>
      </c>
    </row>
    <row r="746" spans="2:28" x14ac:dyDescent="0.2">
      <c r="B746" s="89">
        <v>46001</v>
      </c>
      <c r="D746" s="85" t="s">
        <v>383</v>
      </c>
      <c r="E746" s="121" t="s">
        <v>384</v>
      </c>
      <c r="F746" s="85" t="s">
        <v>17</v>
      </c>
      <c r="G746" s="85" t="s">
        <v>12</v>
      </c>
      <c r="H746" s="148"/>
      <c r="I746" s="142"/>
      <c r="J746" s="144"/>
      <c r="K746" s="144"/>
      <c r="L746" s="85"/>
      <c r="R746" s="53" t="s">
        <v>764</v>
      </c>
      <c r="S746" s="53" t="s">
        <v>764</v>
      </c>
      <c r="T746" s="53" t="s">
        <v>764</v>
      </c>
      <c r="U746" s="53" t="s">
        <v>741</v>
      </c>
      <c r="V746" s="53" t="s">
        <v>770</v>
      </c>
      <c r="W746" s="53" t="s">
        <v>1054</v>
      </c>
      <c r="X746" s="61">
        <f>IFERROR(IF(W746="","",WORKDAY.INTL(B746,_xlfn.XLOOKUP(W746,Regras!$F$2:$F$11,Regras!$G$2:$G$11))),"")</f>
        <v>46022</v>
      </c>
      <c r="Y746" s="150" t="s">
        <v>4847</v>
      </c>
      <c r="Z746" s="53" t="s">
        <v>764</v>
      </c>
      <c r="AB746" s="155" t="s">
        <v>4848</v>
      </c>
    </row>
    <row r="747" spans="2:28" x14ac:dyDescent="0.2">
      <c r="B747" s="89">
        <v>46001</v>
      </c>
      <c r="D747" s="85" t="s">
        <v>27</v>
      </c>
      <c r="E747" s="121" t="s">
        <v>28</v>
      </c>
      <c r="F747" s="85" t="s">
        <v>17</v>
      </c>
      <c r="G747" s="85" t="s">
        <v>12</v>
      </c>
      <c r="H747" s="148"/>
      <c r="I747" s="142"/>
      <c r="J747" s="144"/>
      <c r="K747" s="144"/>
      <c r="L747" s="85"/>
      <c r="R747" s="53" t="s">
        <v>764</v>
      </c>
      <c r="S747" s="53" t="s">
        <v>764</v>
      </c>
      <c r="T747" s="53" t="s">
        <v>769</v>
      </c>
      <c r="U747" s="53" t="s">
        <v>741</v>
      </c>
      <c r="V747" s="53" t="s">
        <v>770</v>
      </c>
      <c r="W747" s="53" t="s">
        <v>780</v>
      </c>
      <c r="X747" s="61">
        <f>IFERROR(IF(W747="","",WORKDAY.INTL(B747,_xlfn.XLOOKUP(W747,Regras!$F$2:$F$11,Regras!$G$2:$G$11))),"")</f>
        <v>46003</v>
      </c>
      <c r="Y747" s="150" t="s">
        <v>4849</v>
      </c>
      <c r="Z747" s="53" t="s">
        <v>764</v>
      </c>
      <c r="AB747" s="155" t="s">
        <v>4776</v>
      </c>
    </row>
    <row r="748" spans="2:28" x14ac:dyDescent="0.2">
      <c r="B748" s="89">
        <v>46001</v>
      </c>
      <c r="D748" s="85" t="s">
        <v>364</v>
      </c>
      <c r="E748" s="121" t="s">
        <v>365</v>
      </c>
      <c r="F748" s="85" t="s">
        <v>46</v>
      </c>
      <c r="G748" s="85" t="s">
        <v>12</v>
      </c>
      <c r="H748" s="148"/>
      <c r="I748" s="142"/>
      <c r="J748" s="144"/>
      <c r="K748" s="144"/>
      <c r="L748" s="85"/>
      <c r="R748" s="53" t="s">
        <v>764</v>
      </c>
      <c r="S748" s="53" t="s">
        <v>764</v>
      </c>
      <c r="T748" s="53" t="s">
        <v>769</v>
      </c>
      <c r="U748" s="53" t="s">
        <v>741</v>
      </c>
      <c r="V748" s="53" t="s">
        <v>770</v>
      </c>
      <c r="W748" s="53" t="s">
        <v>780</v>
      </c>
      <c r="X748" s="61">
        <f>IFERROR(IF(W748="","",WORKDAY.INTL(B748,_xlfn.XLOOKUP(W748,Regras!$F$2:$F$11,Regras!$G$2:$G$11))),"")</f>
        <v>46003</v>
      </c>
      <c r="Y748" s="150" t="s">
        <v>4850</v>
      </c>
      <c r="Z748" s="53" t="s">
        <v>764</v>
      </c>
      <c r="AB748" s="155" t="s">
        <v>4851</v>
      </c>
    </row>
    <row r="749" spans="2:28" x14ac:dyDescent="0.2">
      <c r="B749" s="89">
        <v>46001</v>
      </c>
      <c r="D749" s="85" t="s">
        <v>274</v>
      </c>
      <c r="E749" s="121" t="s">
        <v>275</v>
      </c>
      <c r="F749" s="85" t="s">
        <v>22</v>
      </c>
      <c r="G749" s="85" t="s">
        <v>12</v>
      </c>
      <c r="H749" s="148"/>
      <c r="I749" s="142"/>
      <c r="J749" s="144"/>
      <c r="K749" s="144"/>
      <c r="L749" s="85"/>
      <c r="R749" s="53" t="s">
        <v>764</v>
      </c>
      <c r="S749" s="53" t="s">
        <v>764</v>
      </c>
      <c r="T749" s="53" t="s">
        <v>764</v>
      </c>
      <c r="U749" s="53" t="s">
        <v>741</v>
      </c>
      <c r="V749" s="53" t="s">
        <v>770</v>
      </c>
      <c r="W749" s="53" t="s">
        <v>1054</v>
      </c>
      <c r="X749" s="61">
        <f>IFERROR(IF(W749="","",WORKDAY.INTL(B749,_xlfn.XLOOKUP(W749,Regras!$F$2:$F$11,Regras!$G$2:$G$11))),"")</f>
        <v>46022</v>
      </c>
      <c r="Y749" s="150" t="s">
        <v>4852</v>
      </c>
      <c r="Z749" s="53" t="s">
        <v>764</v>
      </c>
      <c r="AB749" s="150" t="s">
        <v>4852</v>
      </c>
    </row>
    <row r="750" spans="2:28" x14ac:dyDescent="0.2">
      <c r="B750" s="89">
        <v>46001</v>
      </c>
      <c r="D750" s="85" t="s">
        <v>999</v>
      </c>
      <c r="E750" s="121" t="s">
        <v>1000</v>
      </c>
      <c r="F750" s="85" t="s">
        <v>22</v>
      </c>
      <c r="G750" s="85" t="s">
        <v>12</v>
      </c>
      <c r="H750" s="148"/>
      <c r="I750" s="142"/>
      <c r="J750" s="144"/>
      <c r="K750" s="144"/>
      <c r="L750" s="85"/>
      <c r="R750" s="53" t="s">
        <v>764</v>
      </c>
      <c r="S750" s="53" t="s">
        <v>764</v>
      </c>
      <c r="T750" s="53" t="s">
        <v>769</v>
      </c>
      <c r="U750" s="53" t="s">
        <v>741</v>
      </c>
      <c r="V750" s="53" t="s">
        <v>770</v>
      </c>
      <c r="W750" s="53" t="s">
        <v>780</v>
      </c>
      <c r="X750" s="61">
        <f>IFERROR(IF(W750="","",WORKDAY.INTL(B750,_xlfn.XLOOKUP(W750,Regras!$F$2:$F$11,Regras!$G$2:$G$11))),"")</f>
        <v>46003</v>
      </c>
      <c r="Y750" s="150" t="s">
        <v>4853</v>
      </c>
      <c r="Z750" s="53" t="s">
        <v>764</v>
      </c>
      <c r="AB750" s="150" t="s">
        <v>4853</v>
      </c>
    </row>
    <row r="751" spans="2:28" x14ac:dyDescent="0.2">
      <c r="B751" s="89">
        <v>46001</v>
      </c>
      <c r="D751" s="85" t="s">
        <v>606</v>
      </c>
      <c r="E751" s="121" t="s">
        <v>607</v>
      </c>
      <c r="F751" s="85" t="s">
        <v>22</v>
      </c>
      <c r="G751" s="85" t="s">
        <v>12</v>
      </c>
      <c r="H751" s="148"/>
      <c r="I751" s="142"/>
      <c r="J751" s="144"/>
      <c r="K751" s="144"/>
      <c r="L751" s="85"/>
      <c r="R751" s="53" t="s">
        <v>764</v>
      </c>
      <c r="S751" s="53" t="s">
        <v>764</v>
      </c>
      <c r="T751" s="53" t="s">
        <v>764</v>
      </c>
      <c r="U751" s="53" t="s">
        <v>741</v>
      </c>
      <c r="V751" s="53" t="s">
        <v>770</v>
      </c>
      <c r="W751" s="53" t="s">
        <v>839</v>
      </c>
      <c r="X751" s="61">
        <f>IFERROR(IF(W751="","",WORKDAY.INTL(B751,_xlfn.XLOOKUP(W751,Regras!$F$2:$F$11,Regras!$G$2:$G$11))),"")</f>
        <v>46002</v>
      </c>
      <c r="Y751" s="150" t="s">
        <v>4854</v>
      </c>
      <c r="Z751" s="53" t="s">
        <v>764</v>
      </c>
      <c r="AB751" s="155" t="s">
        <v>4855</v>
      </c>
    </row>
    <row r="752" spans="2:28" x14ac:dyDescent="0.2">
      <c r="B752" s="89">
        <v>46001</v>
      </c>
      <c r="D752" s="85" t="s">
        <v>99</v>
      </c>
      <c r="E752" s="121" t="s">
        <v>100</v>
      </c>
      <c r="F752" s="85" t="s">
        <v>46</v>
      </c>
      <c r="G752" s="85" t="s">
        <v>12</v>
      </c>
      <c r="H752" s="148"/>
      <c r="I752" s="142"/>
      <c r="J752" s="144"/>
      <c r="K752" s="144"/>
      <c r="L752" s="85"/>
      <c r="R752" s="53" t="s">
        <v>764</v>
      </c>
      <c r="S752" s="53" t="s">
        <v>764</v>
      </c>
      <c r="T752" s="53" t="s">
        <v>769</v>
      </c>
      <c r="U752" s="53" t="s">
        <v>741</v>
      </c>
      <c r="V752" s="53" t="s">
        <v>770</v>
      </c>
      <c r="W752" s="53" t="s">
        <v>780</v>
      </c>
      <c r="X752" s="61">
        <f>IFERROR(IF(W752="","",WORKDAY.INTL(B752,_xlfn.XLOOKUP(W752,Regras!$F$2:$F$11,Regras!$G$2:$G$11))),"")</f>
        <v>46003</v>
      </c>
      <c r="Y752" s="150" t="s">
        <v>4846</v>
      </c>
      <c r="Z752" s="53" t="s">
        <v>764</v>
      </c>
      <c r="AB752" s="155" t="s">
        <v>4856</v>
      </c>
    </row>
    <row r="753" spans="2:28" x14ac:dyDescent="0.2">
      <c r="B753" s="89">
        <v>46001</v>
      </c>
      <c r="D753" s="85" t="s">
        <v>1178</v>
      </c>
      <c r="E753" s="121" t="s">
        <v>1179</v>
      </c>
      <c r="F753" s="85" t="s">
        <v>46</v>
      </c>
      <c r="G753" s="85" t="s">
        <v>12</v>
      </c>
      <c r="H753" s="148"/>
      <c r="I753" s="142"/>
      <c r="J753" s="144"/>
      <c r="K753" s="144"/>
      <c r="L753" s="85"/>
      <c r="R753" s="53" t="s">
        <v>764</v>
      </c>
      <c r="S753" s="53" t="s">
        <v>764</v>
      </c>
      <c r="T753" s="53" t="s">
        <v>769</v>
      </c>
      <c r="U753" s="53" t="s">
        <v>741</v>
      </c>
      <c r="V753" s="53" t="s">
        <v>770</v>
      </c>
      <c r="W753" s="53" t="s">
        <v>780</v>
      </c>
      <c r="X753" s="61">
        <f>IFERROR(IF(W753="","",WORKDAY.INTL(B753,_xlfn.XLOOKUP(W753,Regras!$F$2:$F$11,Regras!$G$2:$G$11))),"")</f>
        <v>46003</v>
      </c>
      <c r="Y753" s="150" t="s">
        <v>4846</v>
      </c>
      <c r="Z753" s="53" t="s">
        <v>764</v>
      </c>
      <c r="AB753" s="155" t="s">
        <v>4857</v>
      </c>
    </row>
    <row r="754" spans="2:28" x14ac:dyDescent="0.2">
      <c r="B754" s="89">
        <v>46001</v>
      </c>
      <c r="D754" s="85" t="s">
        <v>506</v>
      </c>
      <c r="E754" s="121" t="s">
        <v>507</v>
      </c>
      <c r="F754" s="85" t="s">
        <v>46</v>
      </c>
      <c r="G754" s="85" t="s">
        <v>12</v>
      </c>
      <c r="H754" s="148"/>
      <c r="I754" s="142"/>
      <c r="J754" s="144"/>
      <c r="K754" s="144"/>
      <c r="L754" s="85"/>
      <c r="R754" s="53" t="s">
        <v>764</v>
      </c>
      <c r="S754" s="53" t="s">
        <v>764</v>
      </c>
      <c r="T754" s="53" t="s">
        <v>769</v>
      </c>
      <c r="U754" s="53" t="s">
        <v>741</v>
      </c>
      <c r="V754" s="53" t="s">
        <v>770</v>
      </c>
      <c r="W754" s="53" t="s">
        <v>780</v>
      </c>
      <c r="X754" s="61">
        <f>IFERROR(IF(W754="","",WORKDAY.INTL(B754,_xlfn.XLOOKUP(W754,Regras!$F$2:$F$11,Regras!$G$2:$G$11))),"")</f>
        <v>46003</v>
      </c>
      <c r="Y754" s="150" t="s">
        <v>4846</v>
      </c>
      <c r="Z754" s="53" t="s">
        <v>764</v>
      </c>
      <c r="AB754" s="155" t="s">
        <v>4857</v>
      </c>
    </row>
    <row r="755" spans="2:28" x14ac:dyDescent="0.2">
      <c r="B755" s="89">
        <v>46001</v>
      </c>
      <c r="D755" s="85" t="s">
        <v>280</v>
      </c>
      <c r="E755" s="121" t="s">
        <v>281</v>
      </c>
      <c r="F755" s="85" t="s">
        <v>22</v>
      </c>
      <c r="G755" s="85" t="s">
        <v>12</v>
      </c>
      <c r="H755" s="148"/>
      <c r="I755" s="142"/>
      <c r="J755" s="144"/>
      <c r="K755" s="144"/>
      <c r="L755" s="85"/>
      <c r="R755" s="53" t="s">
        <v>764</v>
      </c>
      <c r="S755" s="53" t="s">
        <v>764</v>
      </c>
      <c r="T755" s="53" t="s">
        <v>769</v>
      </c>
      <c r="U755" s="53" t="s">
        <v>741</v>
      </c>
      <c r="V755" s="53" t="s">
        <v>770</v>
      </c>
      <c r="W755" s="53" t="s">
        <v>780</v>
      </c>
      <c r="X755" s="61">
        <f>IFERROR(IF(W755="","",WORKDAY.INTL(B755,_xlfn.XLOOKUP(W755,Regras!$F$2:$F$11,Regras!$G$2:$G$11))),"")</f>
        <v>46003</v>
      </c>
      <c r="Y755" s="150" t="s">
        <v>4846</v>
      </c>
      <c r="Z755" s="53" t="s">
        <v>764</v>
      </c>
      <c r="AB755" s="155" t="s">
        <v>4857</v>
      </c>
    </row>
    <row r="756" spans="2:28" x14ac:dyDescent="0.2">
      <c r="B756" s="89">
        <v>46001</v>
      </c>
      <c r="D756" s="85" t="s">
        <v>1193</v>
      </c>
      <c r="E756" s="121" t="s">
        <v>938</v>
      </c>
      <c r="F756" s="85" t="s">
        <v>46</v>
      </c>
      <c r="G756" s="85" t="s">
        <v>12</v>
      </c>
      <c r="H756" s="148"/>
      <c r="I756" s="142"/>
      <c r="J756" s="144"/>
      <c r="K756" s="144"/>
      <c r="L756" s="85"/>
      <c r="R756" s="53" t="s">
        <v>764</v>
      </c>
      <c r="S756" s="53" t="s">
        <v>764</v>
      </c>
      <c r="T756" s="53" t="s">
        <v>769</v>
      </c>
      <c r="U756" s="53" t="s">
        <v>741</v>
      </c>
      <c r="V756" s="53" t="s">
        <v>770</v>
      </c>
      <c r="W756" s="53" t="s">
        <v>780</v>
      </c>
      <c r="X756" s="61">
        <f>IFERROR(IF(W756="","",WORKDAY.INTL(B756,_xlfn.XLOOKUP(W756,Regras!$F$2:$F$11,Regras!$G$2:$G$11))),"")</f>
        <v>46003</v>
      </c>
      <c r="Y756" s="150" t="s">
        <v>4846</v>
      </c>
      <c r="Z756" s="53" t="s">
        <v>764</v>
      </c>
      <c r="AB756" s="155" t="s">
        <v>4857</v>
      </c>
    </row>
    <row r="757" spans="2:28" x14ac:dyDescent="0.2">
      <c r="B757" s="89">
        <v>46001</v>
      </c>
      <c r="D757" s="85" t="s">
        <v>455</v>
      </c>
      <c r="E757" s="121" t="s">
        <v>456</v>
      </c>
      <c r="F757" s="85" t="s">
        <v>46</v>
      </c>
      <c r="G757" s="85" t="s">
        <v>12</v>
      </c>
      <c r="H757" s="148"/>
      <c r="I757" s="142"/>
      <c r="J757" s="144"/>
      <c r="K757" s="144"/>
      <c r="L757" s="85"/>
      <c r="R757" s="53" t="s">
        <v>764</v>
      </c>
      <c r="S757" s="53" t="s">
        <v>764</v>
      </c>
      <c r="T757" s="53" t="s">
        <v>764</v>
      </c>
      <c r="U757" s="53" t="s">
        <v>741</v>
      </c>
      <c r="V757" s="53" t="s">
        <v>770</v>
      </c>
      <c r="W757" s="53" t="s">
        <v>780</v>
      </c>
      <c r="X757" s="61">
        <f>IFERROR(IF(W757="","",WORKDAY.INTL(B757,_xlfn.XLOOKUP(W757,Regras!$F$2:$F$11,Regras!$G$2:$G$11))),"")</f>
        <v>46003</v>
      </c>
      <c r="Y757" s="150" t="s">
        <v>4858</v>
      </c>
      <c r="Z757" s="53" t="s">
        <v>764</v>
      </c>
      <c r="AB757" s="155" t="s">
        <v>4859</v>
      </c>
    </row>
    <row r="758" spans="2:28" x14ac:dyDescent="0.2">
      <c r="B758" s="89">
        <v>46001</v>
      </c>
      <c r="D758" s="85" t="s">
        <v>94</v>
      </c>
      <c r="E758" s="121" t="s">
        <v>95</v>
      </c>
      <c r="F758" s="85" t="s">
        <v>11</v>
      </c>
      <c r="G758" s="85" t="s">
        <v>12</v>
      </c>
      <c r="H758" s="148"/>
      <c r="I758" s="142"/>
      <c r="J758" s="144"/>
      <c r="K758" s="144"/>
      <c r="L758" s="85"/>
      <c r="R758" s="53" t="s">
        <v>764</v>
      </c>
      <c r="S758" s="53" t="s">
        <v>769</v>
      </c>
      <c r="T758" s="53" t="s">
        <v>769</v>
      </c>
      <c r="U758" s="53" t="s">
        <v>741</v>
      </c>
      <c r="V758" s="53" t="s">
        <v>770</v>
      </c>
      <c r="W758" s="53" t="s">
        <v>780</v>
      </c>
      <c r="X758" s="61">
        <f>IFERROR(IF(W758="","",WORKDAY.INTL(B758,_xlfn.XLOOKUP(W758,Regras!$F$2:$F$11,Regras!$G$2:$G$11))),"")</f>
        <v>46003</v>
      </c>
      <c r="Y758" s="150" t="s">
        <v>4860</v>
      </c>
      <c r="Z758" s="53" t="s">
        <v>764</v>
      </c>
      <c r="AB758" s="150" t="s">
        <v>4860</v>
      </c>
    </row>
    <row r="759" spans="2:28" x14ac:dyDescent="0.2">
      <c r="B759" s="89">
        <v>46001</v>
      </c>
      <c r="D759" s="85" t="s">
        <v>322</v>
      </c>
      <c r="E759" s="121" t="s">
        <v>323</v>
      </c>
      <c r="F759" s="85" t="s">
        <v>22</v>
      </c>
      <c r="G759" s="85" t="s">
        <v>12</v>
      </c>
      <c r="H759" s="148"/>
      <c r="I759" s="142"/>
      <c r="J759" s="144"/>
      <c r="K759" s="144"/>
      <c r="L759" s="85"/>
      <c r="R759" s="53" t="s">
        <v>764</v>
      </c>
      <c r="S759" s="53" t="s">
        <v>769</v>
      </c>
      <c r="T759" s="53" t="s">
        <v>769</v>
      </c>
      <c r="U759" s="53" t="s">
        <v>741</v>
      </c>
      <c r="V759" s="53" t="s">
        <v>770</v>
      </c>
      <c r="W759" s="53" t="s">
        <v>780</v>
      </c>
      <c r="X759" s="61">
        <v>46003</v>
      </c>
      <c r="Y759" s="150" t="s">
        <v>4860</v>
      </c>
      <c r="Z759" s="53" t="s">
        <v>764</v>
      </c>
      <c r="AB759" s="155" t="s">
        <v>4860</v>
      </c>
    </row>
    <row r="760" spans="2:28" x14ac:dyDescent="0.2">
      <c r="B760" s="89">
        <v>46001</v>
      </c>
      <c r="D760" s="85" t="s">
        <v>92</v>
      </c>
      <c r="E760" s="121" t="s">
        <v>93</v>
      </c>
      <c r="F760" s="85" t="s">
        <v>22</v>
      </c>
      <c r="G760" s="85" t="s">
        <v>12</v>
      </c>
      <c r="H760" s="148"/>
      <c r="I760" s="142"/>
      <c r="J760" s="144"/>
      <c r="K760" s="144"/>
      <c r="L760" s="85"/>
      <c r="R760" s="53" t="s">
        <v>764</v>
      </c>
      <c r="S760" s="53" t="s">
        <v>769</v>
      </c>
      <c r="T760" s="53" t="s">
        <v>769</v>
      </c>
      <c r="U760" s="53" t="s">
        <v>741</v>
      </c>
      <c r="V760" s="53" t="s">
        <v>770</v>
      </c>
      <c r="W760" s="53" t="s">
        <v>780</v>
      </c>
      <c r="X760" s="61">
        <v>46003</v>
      </c>
      <c r="Y760" s="150" t="s">
        <v>4862</v>
      </c>
      <c r="Z760" s="53" t="s">
        <v>764</v>
      </c>
      <c r="AB760" s="155" t="s">
        <v>4863</v>
      </c>
    </row>
    <row r="761" spans="2:28" x14ac:dyDescent="0.2">
      <c r="B761" s="89">
        <v>46001</v>
      </c>
      <c r="D761" s="85" t="s">
        <v>280</v>
      </c>
      <c r="E761" s="121" t="s">
        <v>281</v>
      </c>
      <c r="F761" s="85" t="s">
        <v>22</v>
      </c>
      <c r="G761" s="85" t="s">
        <v>12</v>
      </c>
      <c r="H761" s="148"/>
      <c r="I761" s="142"/>
      <c r="J761" s="144"/>
      <c r="K761" s="144"/>
      <c r="L761" s="85"/>
      <c r="R761" s="53" t="s">
        <v>764</v>
      </c>
      <c r="S761" s="53" t="s">
        <v>764</v>
      </c>
      <c r="T761" s="53" t="s">
        <v>769</v>
      </c>
      <c r="U761" s="53" t="s">
        <v>741</v>
      </c>
      <c r="V761" s="53" t="s">
        <v>770</v>
      </c>
      <c r="W761" s="53" t="s">
        <v>1054</v>
      </c>
      <c r="X761" s="61">
        <f>IFERROR(IF(W761="","",WORKDAY.INTL(B761,_xlfn.XLOOKUP(W761,Regras!$F$2:$F$11,Regras!$G$2:$G$11))),"")</f>
        <v>46022</v>
      </c>
      <c r="Y761" s="150" t="s">
        <v>4861</v>
      </c>
      <c r="Z761" s="53" t="s">
        <v>764</v>
      </c>
      <c r="AB761" s="150" t="s">
        <v>4861</v>
      </c>
    </row>
    <row r="762" spans="2:28" x14ac:dyDescent="0.2">
      <c r="B762" s="89">
        <v>46006</v>
      </c>
      <c r="D762" s="85" t="s">
        <v>94</v>
      </c>
      <c r="E762" s="121" t="s">
        <v>95</v>
      </c>
      <c r="F762" s="85" t="s">
        <v>11</v>
      </c>
      <c r="G762" s="85" t="s">
        <v>12</v>
      </c>
      <c r="H762" s="148"/>
      <c r="I762" s="142"/>
      <c r="J762" s="144"/>
      <c r="K762" s="144"/>
      <c r="L762" s="85"/>
      <c r="R762" s="53" t="s">
        <v>764</v>
      </c>
      <c r="S762" s="53" t="s">
        <v>769</v>
      </c>
      <c r="T762" s="53" t="s">
        <v>769</v>
      </c>
      <c r="U762" s="53" t="s">
        <v>741</v>
      </c>
      <c r="V762" s="53" t="s">
        <v>770</v>
      </c>
      <c r="W762" s="53" t="s">
        <v>780</v>
      </c>
      <c r="X762" s="61">
        <f>IFERROR(IF(W762="","",WORKDAY.INTL(B762,_xlfn.XLOOKUP(W762,Regras!$F$2:$F$11,Regras!$G$2:$G$11))),"")</f>
        <v>46008</v>
      </c>
      <c r="Y762" s="150" t="s">
        <v>4870</v>
      </c>
      <c r="Z762" s="53" t="s">
        <v>764</v>
      </c>
      <c r="AB762" s="150" t="s">
        <v>4870</v>
      </c>
    </row>
    <row r="763" spans="2:28" x14ac:dyDescent="0.2">
      <c r="B763" s="89">
        <v>46006</v>
      </c>
      <c r="D763" s="85" t="s">
        <v>92</v>
      </c>
      <c r="E763" s="121" t="s">
        <v>93</v>
      </c>
      <c r="F763" s="85" t="s">
        <v>22</v>
      </c>
      <c r="G763" s="85" t="s">
        <v>12</v>
      </c>
      <c r="H763" s="148"/>
      <c r="I763" s="142"/>
      <c r="J763" s="144"/>
      <c r="K763" s="144"/>
      <c r="L763" s="85"/>
      <c r="R763" s="53" t="s">
        <v>764</v>
      </c>
      <c r="S763" s="53" t="s">
        <v>769</v>
      </c>
      <c r="T763" s="53" t="s">
        <v>769</v>
      </c>
      <c r="U763" s="53" t="s">
        <v>741</v>
      </c>
      <c r="V763" s="53" t="s">
        <v>770</v>
      </c>
      <c r="W763" s="53" t="s">
        <v>780</v>
      </c>
      <c r="X763" s="61">
        <f>IFERROR(IF(W763="","",WORKDAY.INTL(B763,_xlfn.XLOOKUP(W763,Regras!$F$2:$F$11,Regras!$G$2:$G$11))),"")</f>
        <v>46008</v>
      </c>
      <c r="Y763" s="150" t="s">
        <v>4870</v>
      </c>
      <c r="Z763" s="53" t="s">
        <v>764</v>
      </c>
      <c r="AB763" s="155" t="s">
        <v>4871</v>
      </c>
    </row>
    <row r="764" spans="2:28" x14ac:dyDescent="0.2">
      <c r="B764" s="89">
        <v>46006</v>
      </c>
      <c r="D764" s="85" t="s">
        <v>4865</v>
      </c>
      <c r="E764" s="121" t="s">
        <v>4866</v>
      </c>
      <c r="F764" s="85" t="s">
        <v>46</v>
      </c>
      <c r="G764" s="85" t="s">
        <v>12</v>
      </c>
      <c r="H764" s="148"/>
      <c r="I764" s="142"/>
      <c r="J764" s="144"/>
      <c r="K764" s="144"/>
      <c r="L764" s="85"/>
      <c r="R764" s="53" t="s">
        <v>764</v>
      </c>
      <c r="S764" s="53" t="s">
        <v>769</v>
      </c>
      <c r="T764" s="53" t="s">
        <v>769</v>
      </c>
      <c r="U764" s="53" t="s">
        <v>741</v>
      </c>
      <c r="V764" s="53" t="s">
        <v>776</v>
      </c>
      <c r="W764" s="53" t="s">
        <v>1054</v>
      </c>
      <c r="X764" s="61">
        <f>IFERROR(IF(W764="","",WORKDAY.INTL(B764,_xlfn.XLOOKUP(W764,Regras!$F$2:$F$11,Regras!$G$2:$G$11))),"")</f>
        <v>46027</v>
      </c>
      <c r="Y764" s="150" t="s">
        <v>4872</v>
      </c>
      <c r="Z764" s="53" t="s">
        <v>764</v>
      </c>
      <c r="AB764" s="155" t="s">
        <v>4873</v>
      </c>
    </row>
    <row r="765" spans="2:28" x14ac:dyDescent="0.2">
      <c r="B765" s="89">
        <v>46006</v>
      </c>
      <c r="D765" s="85" t="s">
        <v>4867</v>
      </c>
      <c r="E765" s="121" t="s">
        <v>4868</v>
      </c>
      <c r="F765" s="85" t="s">
        <v>17</v>
      </c>
      <c r="G765" s="85" t="s">
        <v>12</v>
      </c>
      <c r="H765" s="148"/>
      <c r="I765" s="142"/>
      <c r="J765" s="144"/>
      <c r="K765" s="144"/>
      <c r="L765" s="85"/>
      <c r="R765" s="53" t="s">
        <v>764</v>
      </c>
      <c r="S765" s="53" t="s">
        <v>769</v>
      </c>
      <c r="T765" s="53" t="s">
        <v>769</v>
      </c>
      <c r="U765" s="53" t="s">
        <v>741</v>
      </c>
      <c r="V765" s="53" t="s">
        <v>770</v>
      </c>
      <c r="W765" s="53" t="s">
        <v>1054</v>
      </c>
      <c r="X765" s="61">
        <f>IFERROR(IF(W765="","",WORKDAY.INTL(B765,_xlfn.XLOOKUP(W765,Regras!$F$2:$F$11,Regras!$G$2:$G$11))),"")</f>
        <v>46027</v>
      </c>
      <c r="Y765" s="150" t="s">
        <v>4872</v>
      </c>
      <c r="Z765" s="53" t="s">
        <v>764</v>
      </c>
      <c r="AB765" s="150" t="s">
        <v>4872</v>
      </c>
    </row>
    <row r="766" spans="2:28" x14ac:dyDescent="0.2">
      <c r="B766" s="89">
        <v>46006</v>
      </c>
      <c r="D766" s="85" t="s">
        <v>707</v>
      </c>
      <c r="E766" s="121" t="s">
        <v>708</v>
      </c>
      <c r="F766" s="85" t="s">
        <v>46</v>
      </c>
      <c r="G766" s="85" t="s">
        <v>12</v>
      </c>
      <c r="H766" s="148"/>
      <c r="I766" s="142"/>
      <c r="J766" s="144"/>
      <c r="K766" s="144"/>
      <c r="L766" s="85"/>
      <c r="R766" s="53" t="s">
        <v>764</v>
      </c>
      <c r="S766" s="53" t="s">
        <v>769</v>
      </c>
      <c r="T766" s="53" t="s">
        <v>769</v>
      </c>
      <c r="U766" s="53" t="s">
        <v>741</v>
      </c>
      <c r="V766" s="53" t="s">
        <v>770</v>
      </c>
      <c r="W766" s="53" t="s">
        <v>780</v>
      </c>
      <c r="X766" s="61">
        <f>IFERROR(IF(W766="","",WORKDAY.INTL(B766,_xlfn.XLOOKUP(W766,Regras!$F$2:$F$11,Regras!$G$2:$G$11))),"")</f>
        <v>46008</v>
      </c>
      <c r="Y766" s="150" t="s">
        <v>1058</v>
      </c>
      <c r="Z766" s="53" t="s">
        <v>764</v>
      </c>
      <c r="AB766" s="150" t="s">
        <v>1058</v>
      </c>
    </row>
    <row r="767" spans="2:28" x14ac:dyDescent="0.2">
      <c r="B767" s="89">
        <v>46006</v>
      </c>
      <c r="D767" s="85" t="s">
        <v>1198</v>
      </c>
      <c r="E767" s="121" t="s">
        <v>4869</v>
      </c>
      <c r="F767" s="85" t="s">
        <v>11</v>
      </c>
      <c r="G767" s="85" t="s">
        <v>12</v>
      </c>
      <c r="H767" s="148"/>
      <c r="I767" s="142"/>
      <c r="J767" s="144"/>
      <c r="K767" s="144"/>
      <c r="L767" s="85"/>
      <c r="R767" s="53" t="s">
        <v>764</v>
      </c>
      <c r="S767" s="53" t="s">
        <v>769</v>
      </c>
      <c r="T767" s="53" t="s">
        <v>769</v>
      </c>
      <c r="U767" s="53" t="s">
        <v>741</v>
      </c>
      <c r="V767" s="53" t="s">
        <v>770</v>
      </c>
      <c r="W767" s="53" t="s">
        <v>780</v>
      </c>
      <c r="X767" s="61">
        <f>IFERROR(IF(W767="","",WORKDAY.INTL(B767,_xlfn.XLOOKUP(W767,Regras!$F$2:$F$11,Regras!$G$2:$G$11))),"")</f>
        <v>46008</v>
      </c>
      <c r="Y767" s="150" t="s">
        <v>1058</v>
      </c>
      <c r="Z767" s="53" t="s">
        <v>764</v>
      </c>
      <c r="AB767" s="150" t="s">
        <v>1058</v>
      </c>
    </row>
    <row r="768" spans="2:28" x14ac:dyDescent="0.2">
      <c r="B768" s="89">
        <v>46006</v>
      </c>
      <c r="D768" s="85" t="s">
        <v>4159</v>
      </c>
      <c r="E768" s="121" t="s">
        <v>3092</v>
      </c>
      <c r="F768" s="85" t="s">
        <v>17</v>
      </c>
      <c r="G768" s="85" t="s">
        <v>12</v>
      </c>
      <c r="H768" s="148"/>
      <c r="I768" s="142"/>
      <c r="J768" s="144"/>
      <c r="K768" s="144"/>
      <c r="L768" s="85"/>
      <c r="R768" s="53" t="s">
        <v>764</v>
      </c>
      <c r="S768" s="53" t="s">
        <v>769</v>
      </c>
      <c r="T768" s="53" t="s">
        <v>769</v>
      </c>
      <c r="U768" s="53" t="s">
        <v>741</v>
      </c>
      <c r="V768" s="53" t="s">
        <v>770</v>
      </c>
      <c r="W768" s="53" t="s">
        <v>780</v>
      </c>
      <c r="X768" s="61">
        <f>IFERROR(IF(W768="","",WORKDAY.INTL(B768,_xlfn.XLOOKUP(W768,Regras!$F$2:$F$11,Regras!$G$2:$G$11))),"")</f>
        <v>46008</v>
      </c>
      <c r="Y768" s="150" t="s">
        <v>1058</v>
      </c>
      <c r="Z768" s="53" t="s">
        <v>764</v>
      </c>
      <c r="AB768" s="150" t="s">
        <v>1058</v>
      </c>
    </row>
    <row r="769" spans="2:28" x14ac:dyDescent="0.2">
      <c r="B769" s="89">
        <v>46006</v>
      </c>
      <c r="D769" s="85" t="s">
        <v>75</v>
      </c>
      <c r="E769" s="121" t="s">
        <v>76</v>
      </c>
      <c r="F769" s="85" t="s">
        <v>46</v>
      </c>
      <c r="G769" s="85" t="s">
        <v>12</v>
      </c>
      <c r="H769" s="148"/>
      <c r="I769" s="142"/>
      <c r="J769" s="144"/>
      <c r="K769" s="144"/>
      <c r="L769" s="85"/>
      <c r="R769" s="53" t="s">
        <v>764</v>
      </c>
      <c r="S769" s="53" t="s">
        <v>769</v>
      </c>
      <c r="T769" s="53" t="s">
        <v>769</v>
      </c>
      <c r="U769" s="53" t="s">
        <v>741</v>
      </c>
      <c r="V769" s="53" t="s">
        <v>770</v>
      </c>
      <c r="W769" s="53" t="s">
        <v>780</v>
      </c>
      <c r="X769" s="61">
        <f>IFERROR(IF(W769="","",WORKDAY.INTL(B769,_xlfn.XLOOKUP(W769,Regras!$F$2:$F$11,Regras!$G$2:$G$11))),"")</f>
        <v>46008</v>
      </c>
      <c r="Y769" s="150" t="s">
        <v>1058</v>
      </c>
      <c r="Z769" s="53" t="s">
        <v>764</v>
      </c>
      <c r="AB769" s="150" t="s">
        <v>1058</v>
      </c>
    </row>
    <row r="770" spans="2:28" x14ac:dyDescent="0.2">
      <c r="B770" s="89">
        <v>46006</v>
      </c>
      <c r="D770" s="85" t="s">
        <v>4034</v>
      </c>
      <c r="E770" s="121" t="s">
        <v>4035</v>
      </c>
      <c r="F770" s="85" t="s">
        <v>22</v>
      </c>
      <c r="G770" s="85" t="s">
        <v>12</v>
      </c>
      <c r="H770" s="148"/>
      <c r="I770" s="142"/>
      <c r="J770" s="144"/>
      <c r="K770" s="144"/>
      <c r="L770" s="85"/>
      <c r="R770" s="53" t="s">
        <v>764</v>
      </c>
      <c r="S770" s="53" t="s">
        <v>769</v>
      </c>
      <c r="T770" s="53" t="s">
        <v>769</v>
      </c>
      <c r="U770" s="53" t="s">
        <v>741</v>
      </c>
      <c r="V770" s="53" t="s">
        <v>770</v>
      </c>
      <c r="W770" s="53" t="s">
        <v>1054</v>
      </c>
      <c r="X770" s="61">
        <f>IFERROR(IF(W770="","",WORKDAY.INTL(B770,_xlfn.XLOOKUP(W770,Regras!$F$2:$F$11,Regras!$G$2:$G$11))),"")</f>
        <v>46027</v>
      </c>
      <c r="Y770" s="150" t="s">
        <v>1058</v>
      </c>
      <c r="Z770" s="53" t="s">
        <v>764</v>
      </c>
      <c r="AB770" s="150" t="s">
        <v>1058</v>
      </c>
    </row>
    <row r="771" spans="2:28" x14ac:dyDescent="0.2">
      <c r="B771" s="89">
        <v>46006</v>
      </c>
      <c r="D771" s="85" t="s">
        <v>192</v>
      </c>
      <c r="E771" s="121" t="s">
        <v>193</v>
      </c>
      <c r="F771" s="85" t="s">
        <v>17</v>
      </c>
      <c r="G771" s="85" t="s">
        <v>12</v>
      </c>
      <c r="H771" s="148"/>
      <c r="I771" s="142"/>
      <c r="J771" s="144"/>
      <c r="K771" s="144"/>
      <c r="L771" s="85"/>
      <c r="R771" s="53" t="s">
        <v>764</v>
      </c>
      <c r="S771" s="53" t="s">
        <v>769</v>
      </c>
      <c r="T771" s="53" t="s">
        <v>769</v>
      </c>
      <c r="U771" s="53" t="s">
        <v>741</v>
      </c>
      <c r="V771" s="53" t="s">
        <v>770</v>
      </c>
      <c r="W771" s="53" t="s">
        <v>1054</v>
      </c>
      <c r="X771" s="61">
        <f>IFERROR(IF(W771="","",WORKDAY.INTL(B771,_xlfn.XLOOKUP(W771,Regras!$F$2:$F$11,Regras!$G$2:$G$11))),"")</f>
        <v>46027</v>
      </c>
      <c r="Y771" s="150" t="s">
        <v>1058</v>
      </c>
      <c r="Z771" s="53" t="s">
        <v>764</v>
      </c>
      <c r="AB771" s="150" t="s">
        <v>1058</v>
      </c>
    </row>
    <row r="772" spans="2:28" x14ac:dyDescent="0.2">
      <c r="B772" s="89">
        <v>46006</v>
      </c>
      <c r="D772" s="85" t="s">
        <v>27</v>
      </c>
      <c r="E772" s="121" t="s">
        <v>28</v>
      </c>
      <c r="F772" s="85" t="s">
        <v>17</v>
      </c>
      <c r="G772" s="85" t="s">
        <v>12</v>
      </c>
      <c r="H772" s="148"/>
      <c r="I772" s="142"/>
      <c r="J772" s="144"/>
      <c r="K772" s="144"/>
      <c r="L772" s="85"/>
      <c r="R772" s="53" t="s">
        <v>764</v>
      </c>
      <c r="S772" s="53" t="s">
        <v>764</v>
      </c>
      <c r="T772" s="53" t="s">
        <v>769</v>
      </c>
      <c r="U772" s="53" t="s">
        <v>741</v>
      </c>
      <c r="V772" s="53" t="s">
        <v>770</v>
      </c>
      <c r="W772" s="53" t="s">
        <v>780</v>
      </c>
      <c r="X772" s="61">
        <f>IFERROR(IF(W772="","",WORKDAY.INTL(B772,_xlfn.XLOOKUP(W772,Regras!$F$2:$F$11,Regras!$G$2:$G$11))),"")</f>
        <v>46008</v>
      </c>
      <c r="Y772" s="150" t="s">
        <v>1058</v>
      </c>
      <c r="Z772" s="53" t="s">
        <v>764</v>
      </c>
      <c r="AB772" s="150" t="s">
        <v>1058</v>
      </c>
    </row>
    <row r="773" spans="2:28" x14ac:dyDescent="0.2">
      <c r="B773" s="89">
        <v>46006</v>
      </c>
      <c r="D773" s="85" t="s">
        <v>364</v>
      </c>
      <c r="E773" s="121" t="s">
        <v>365</v>
      </c>
      <c r="F773" s="85" t="s">
        <v>46</v>
      </c>
      <c r="G773" s="85" t="s">
        <v>12</v>
      </c>
      <c r="H773" s="148"/>
      <c r="I773" s="142"/>
      <c r="J773" s="144"/>
      <c r="K773" s="144"/>
      <c r="L773" s="85"/>
      <c r="R773" s="53" t="s">
        <v>764</v>
      </c>
      <c r="S773" s="53" t="s">
        <v>769</v>
      </c>
      <c r="T773" s="53" t="s">
        <v>769</v>
      </c>
      <c r="U773" s="53" t="s">
        <v>741</v>
      </c>
      <c r="V773" s="53" t="s">
        <v>770</v>
      </c>
      <c r="W773" s="53" t="s">
        <v>780</v>
      </c>
      <c r="X773" s="61">
        <f>IFERROR(IF(W773="","",WORKDAY.INTL(B773,_xlfn.XLOOKUP(W773,Regras!$F$2:$F$11,Regras!$G$2:$G$11))),"")</f>
        <v>46008</v>
      </c>
      <c r="Y773" s="150" t="s">
        <v>1058</v>
      </c>
      <c r="Z773" s="53" t="s">
        <v>764</v>
      </c>
      <c r="AB773" s="150" t="s">
        <v>1058</v>
      </c>
    </row>
    <row r="774" spans="2:28" x14ac:dyDescent="0.2">
      <c r="B774" s="89">
        <v>46006</v>
      </c>
      <c r="D774" s="85" t="s">
        <v>999</v>
      </c>
      <c r="E774" s="121" t="s">
        <v>1000</v>
      </c>
      <c r="F774" s="85" t="s">
        <v>22</v>
      </c>
      <c r="G774" s="85" t="s">
        <v>12</v>
      </c>
      <c r="H774" s="148"/>
      <c r="I774" s="142"/>
      <c r="J774" s="144"/>
      <c r="K774" s="144"/>
      <c r="L774" s="85"/>
      <c r="R774" s="53" t="s">
        <v>764</v>
      </c>
      <c r="S774" s="53" t="s">
        <v>764</v>
      </c>
      <c r="T774" s="53" t="s">
        <v>769</v>
      </c>
      <c r="U774" s="53" t="s">
        <v>741</v>
      </c>
      <c r="V774" s="53" t="s">
        <v>770</v>
      </c>
      <c r="W774" s="53" t="s">
        <v>780</v>
      </c>
      <c r="X774" s="61">
        <f>IFERROR(IF(W774="","",WORKDAY.INTL(B774,_xlfn.XLOOKUP(W774,Regras!$F$2:$F$11,Regras!$G$2:$G$11))),"")</f>
        <v>46008</v>
      </c>
      <c r="Y774" s="150" t="s">
        <v>1058</v>
      </c>
      <c r="Z774" s="53" t="s">
        <v>764</v>
      </c>
      <c r="AB774" s="150" t="s">
        <v>1058</v>
      </c>
    </row>
    <row r="775" spans="2:28" x14ac:dyDescent="0.2">
      <c r="B775" s="89">
        <v>46006</v>
      </c>
      <c r="D775" s="85" t="s">
        <v>606</v>
      </c>
      <c r="E775" s="121" t="s">
        <v>607</v>
      </c>
      <c r="F775" s="85" t="s">
        <v>22</v>
      </c>
      <c r="G775" s="85" t="s">
        <v>12</v>
      </c>
      <c r="H775" s="148"/>
      <c r="I775" s="142"/>
      <c r="J775" s="144"/>
      <c r="K775" s="144"/>
      <c r="L775" s="85"/>
      <c r="R775" s="53" t="s">
        <v>764</v>
      </c>
      <c r="S775" s="53" t="s">
        <v>769</v>
      </c>
      <c r="T775" s="53" t="s">
        <v>769</v>
      </c>
      <c r="U775" s="53" t="s">
        <v>741</v>
      </c>
      <c r="V775" s="53" t="s">
        <v>770</v>
      </c>
      <c r="W775" s="53" t="s">
        <v>1054</v>
      </c>
      <c r="X775" s="61">
        <f>IFERROR(IF(W775="","",WORKDAY.INTL(B775,_xlfn.XLOOKUP(W775,Regras!$F$2:$F$11,Regras!$G$2:$G$11))),"")</f>
        <v>46027</v>
      </c>
      <c r="Y775" s="150" t="s">
        <v>4875</v>
      </c>
      <c r="Z775" s="53" t="s">
        <v>764</v>
      </c>
      <c r="AB775" s="150" t="s">
        <v>4875</v>
      </c>
    </row>
    <row r="776" spans="2:28" x14ac:dyDescent="0.2">
      <c r="B776" s="89">
        <v>46006</v>
      </c>
      <c r="D776" s="85" t="s">
        <v>99</v>
      </c>
      <c r="E776" s="121" t="s">
        <v>1187</v>
      </c>
      <c r="F776" s="85" t="s">
        <v>46</v>
      </c>
      <c r="G776" s="85" t="s">
        <v>12</v>
      </c>
      <c r="H776" s="148"/>
      <c r="I776" s="142"/>
      <c r="J776" s="144"/>
      <c r="K776" s="144"/>
      <c r="L776" s="85"/>
      <c r="R776" s="53" t="s">
        <v>764</v>
      </c>
      <c r="S776" s="53" t="s">
        <v>769</v>
      </c>
      <c r="T776" s="53" t="s">
        <v>769</v>
      </c>
      <c r="U776" s="53" t="s">
        <v>741</v>
      </c>
      <c r="V776" s="53" t="s">
        <v>770</v>
      </c>
      <c r="W776" s="53" t="s">
        <v>780</v>
      </c>
      <c r="X776" s="61">
        <f>IFERROR(IF(W776="","",WORKDAY.INTL(B776,_xlfn.XLOOKUP(W776,Regras!$F$2:$F$11,Regras!$G$2:$G$11))),"")</f>
        <v>46008</v>
      </c>
      <c r="Y776" s="150" t="s">
        <v>1058</v>
      </c>
      <c r="Z776" s="53" t="s">
        <v>764</v>
      </c>
      <c r="AB776" s="150" t="s">
        <v>1058</v>
      </c>
    </row>
    <row r="777" spans="2:28" x14ac:dyDescent="0.2">
      <c r="B777" s="89">
        <v>46006</v>
      </c>
      <c r="D777" s="85" t="s">
        <v>1178</v>
      </c>
      <c r="E777" s="121" t="s">
        <v>1179</v>
      </c>
      <c r="F777" s="85" t="s">
        <v>46</v>
      </c>
      <c r="G777" s="85" t="s">
        <v>12</v>
      </c>
      <c r="H777" s="148"/>
      <c r="I777" s="142"/>
      <c r="J777" s="144"/>
      <c r="K777" s="144"/>
      <c r="L777" s="85"/>
      <c r="R777" s="53" t="s">
        <v>764</v>
      </c>
      <c r="S777" s="53" t="s">
        <v>769</v>
      </c>
      <c r="T777" s="53" t="s">
        <v>769</v>
      </c>
      <c r="U777" s="53" t="s">
        <v>741</v>
      </c>
      <c r="V777" s="53" t="s">
        <v>770</v>
      </c>
      <c r="W777" s="53" t="s">
        <v>780</v>
      </c>
      <c r="X777" s="61">
        <f>IFERROR(IF(W777="","",WORKDAY.INTL(B777,_xlfn.XLOOKUP(W777,Regras!$F$2:$F$11,Regras!$G$2:$G$11))),"")</f>
        <v>46008</v>
      </c>
      <c r="Y777" s="150" t="s">
        <v>1058</v>
      </c>
      <c r="Z777" s="53" t="s">
        <v>764</v>
      </c>
      <c r="AB777" s="150" t="s">
        <v>1058</v>
      </c>
    </row>
    <row r="778" spans="2:28" x14ac:dyDescent="0.2">
      <c r="B778" s="89">
        <v>46006</v>
      </c>
      <c r="D778" s="85" t="s">
        <v>506</v>
      </c>
      <c r="E778" s="121" t="s">
        <v>507</v>
      </c>
      <c r="F778" s="85" t="s">
        <v>46</v>
      </c>
      <c r="G778" s="85" t="s">
        <v>12</v>
      </c>
      <c r="H778" s="148"/>
      <c r="I778" s="142"/>
      <c r="J778" s="144"/>
      <c r="K778" s="144"/>
      <c r="L778" s="85"/>
      <c r="R778" s="53" t="s">
        <v>764</v>
      </c>
      <c r="S778" s="53" t="s">
        <v>769</v>
      </c>
      <c r="T778" s="53" t="s">
        <v>769</v>
      </c>
      <c r="U778" s="53" t="s">
        <v>741</v>
      </c>
      <c r="V778" s="53" t="s">
        <v>770</v>
      </c>
      <c r="W778" s="53" t="s">
        <v>780</v>
      </c>
      <c r="X778" s="61">
        <f>IFERROR(IF(W778="","",WORKDAY.INTL(B778,_xlfn.XLOOKUP(W778,Regras!$F$2:$F$11,Regras!$G$2:$G$11))),"")</f>
        <v>46008</v>
      </c>
      <c r="Y778" s="150" t="s">
        <v>1058</v>
      </c>
      <c r="Z778" s="53" t="s">
        <v>764</v>
      </c>
      <c r="AB778" s="150" t="s">
        <v>1058</v>
      </c>
    </row>
    <row r="779" spans="2:28" x14ac:dyDescent="0.2">
      <c r="B779" s="89">
        <v>46006</v>
      </c>
      <c r="D779" s="85" t="s">
        <v>4159</v>
      </c>
      <c r="E779" s="121" t="s">
        <v>3092</v>
      </c>
      <c r="F779" s="85" t="s">
        <v>17</v>
      </c>
      <c r="G779" s="85" t="s">
        <v>12</v>
      </c>
      <c r="H779" s="148"/>
      <c r="I779" s="142"/>
      <c r="J779" s="144"/>
      <c r="K779" s="144"/>
      <c r="L779" s="85"/>
      <c r="R779" s="53" t="s">
        <v>764</v>
      </c>
      <c r="S779" s="53" t="s">
        <v>769</v>
      </c>
      <c r="T779" s="53" t="s">
        <v>769</v>
      </c>
      <c r="U779" s="53" t="s">
        <v>741</v>
      </c>
      <c r="V779" s="53" t="s">
        <v>770</v>
      </c>
      <c r="W779" s="53" t="s">
        <v>1054</v>
      </c>
      <c r="X779" s="61">
        <f>IFERROR(IF(W779="","",WORKDAY.INTL(B779,_xlfn.XLOOKUP(W779,Regras!$F$2:$F$11,Regras!$G$2:$G$11))),"")</f>
        <v>46027</v>
      </c>
      <c r="Y779" s="150" t="s">
        <v>4874</v>
      </c>
      <c r="Z779" s="53" t="s">
        <v>764</v>
      </c>
      <c r="AB779" s="150" t="s">
        <v>1058</v>
      </c>
    </row>
    <row r="780" spans="2:28" x14ac:dyDescent="0.2">
      <c r="B780" s="89">
        <v>46006</v>
      </c>
      <c r="D780" s="85" t="s">
        <v>4876</v>
      </c>
      <c r="E780" s="121" t="s">
        <v>4877</v>
      </c>
      <c r="F780" s="85" t="s">
        <v>22</v>
      </c>
      <c r="G780" s="85" t="s">
        <v>12</v>
      </c>
      <c r="H780" s="148"/>
      <c r="I780" s="142"/>
      <c r="J780" s="144"/>
      <c r="K780" s="144"/>
      <c r="L780" s="85"/>
      <c r="R780" s="53" t="s">
        <v>764</v>
      </c>
      <c r="S780" s="53" t="s">
        <v>769</v>
      </c>
      <c r="T780" s="53" t="s">
        <v>769</v>
      </c>
      <c r="U780" s="53" t="s">
        <v>741</v>
      </c>
      <c r="V780" s="53" t="s">
        <v>768</v>
      </c>
      <c r="W780" s="53" t="s">
        <v>766</v>
      </c>
      <c r="X780" s="61">
        <f>IFERROR(IF(W780="","",WORKDAY.INTL(B780,_xlfn.XLOOKUP(W780,Regras!$F$2:$F$11,Regras!$G$2:$G$11))),"")</f>
        <v>46069</v>
      </c>
      <c r="Y780" s="150" t="s">
        <v>1003</v>
      </c>
      <c r="Z780" s="53" t="s">
        <v>764</v>
      </c>
      <c r="AB780" s="150" t="s">
        <v>1003</v>
      </c>
    </row>
    <row r="781" spans="2:28" x14ac:dyDescent="0.2">
      <c r="B781" s="89">
        <v>46006</v>
      </c>
      <c r="D781" s="85" t="s">
        <v>4813</v>
      </c>
      <c r="E781" s="121" t="s">
        <v>4783</v>
      </c>
      <c r="F781" s="85" t="s">
        <v>17</v>
      </c>
      <c r="G781" s="85" t="s">
        <v>12</v>
      </c>
      <c r="H781" s="148"/>
      <c r="I781" s="142"/>
      <c r="J781" s="144"/>
      <c r="K781" s="144"/>
      <c r="L781" s="85"/>
      <c r="R781" s="53" t="s">
        <v>764</v>
      </c>
      <c r="S781" s="53" t="s">
        <v>769</v>
      </c>
      <c r="T781" s="53" t="s">
        <v>769</v>
      </c>
      <c r="U781" s="53" t="s">
        <v>741</v>
      </c>
      <c r="V781" s="53" t="s">
        <v>768</v>
      </c>
      <c r="W781" s="53" t="s">
        <v>766</v>
      </c>
      <c r="X781" s="61">
        <f>IFERROR(IF(W781="","",WORKDAY.INTL(B781,_xlfn.XLOOKUP(W781,Regras!$F$2:$F$11,Regras!$G$2:$G$11))),"")</f>
        <v>46069</v>
      </c>
      <c r="Y781" s="150" t="s">
        <v>1003</v>
      </c>
      <c r="Z781" s="53" t="s">
        <v>764</v>
      </c>
      <c r="AB781" s="150" t="s">
        <v>1003</v>
      </c>
    </row>
    <row r="782" spans="2:28" x14ac:dyDescent="0.2">
      <c r="B782" s="89">
        <v>46006</v>
      </c>
      <c r="D782" s="85" t="s">
        <v>304</v>
      </c>
      <c r="E782" s="121" t="s">
        <v>305</v>
      </c>
      <c r="F782" s="85" t="s">
        <v>46</v>
      </c>
      <c r="G782" s="85" t="s">
        <v>12</v>
      </c>
      <c r="H782" s="148"/>
      <c r="I782" s="142"/>
      <c r="J782" s="144"/>
      <c r="K782" s="144"/>
      <c r="L782" s="85"/>
      <c r="R782" s="53" t="s">
        <v>764</v>
      </c>
      <c r="S782" s="53" t="s">
        <v>769</v>
      </c>
      <c r="T782" s="53" t="s">
        <v>769</v>
      </c>
      <c r="U782" s="53" t="s">
        <v>741</v>
      </c>
      <c r="V782" s="53" t="s">
        <v>765</v>
      </c>
      <c r="W782" s="53" t="s">
        <v>766</v>
      </c>
      <c r="X782" s="61">
        <f>IFERROR(IF(W782="","",WORKDAY.INTL(B782,_xlfn.XLOOKUP(W782,Regras!$F$2:$F$11,Regras!$G$2:$G$11))),"")</f>
        <v>46069</v>
      </c>
      <c r="Y782" s="150" t="s">
        <v>1003</v>
      </c>
      <c r="Z782" s="53" t="s">
        <v>764</v>
      </c>
      <c r="AB782" s="150" t="s">
        <v>1003</v>
      </c>
    </row>
    <row r="783" spans="2:28" x14ac:dyDescent="0.2">
      <c r="B783" s="89">
        <v>46006</v>
      </c>
      <c r="D783" s="85" t="s">
        <v>506</v>
      </c>
      <c r="E783" s="121" t="s">
        <v>507</v>
      </c>
      <c r="F783" s="85" t="s">
        <v>46</v>
      </c>
      <c r="G783" s="85" t="s">
        <v>12</v>
      </c>
      <c r="H783" s="148"/>
      <c r="I783" s="142"/>
      <c r="J783" s="144"/>
      <c r="K783" s="144"/>
      <c r="L783" s="85"/>
      <c r="R783" s="53" t="s">
        <v>764</v>
      </c>
      <c r="S783" s="53" t="s">
        <v>769</v>
      </c>
      <c r="T783" s="53" t="s">
        <v>769</v>
      </c>
      <c r="U783" s="53" t="s">
        <v>741</v>
      </c>
      <c r="V783" s="53" t="s">
        <v>770</v>
      </c>
      <c r="W783" s="53" t="s">
        <v>1054</v>
      </c>
      <c r="X783" s="61">
        <f>IFERROR(IF(W783="","",WORKDAY.INTL(B783,_xlfn.XLOOKUP(W783,Regras!$F$2:$F$11,Regras!$G$2:$G$11))),"")</f>
        <v>46027</v>
      </c>
      <c r="Y783" s="150" t="s">
        <v>4878</v>
      </c>
      <c r="Z783" s="53" t="s">
        <v>764</v>
      </c>
      <c r="AB783" s="150" t="s">
        <v>4878</v>
      </c>
    </row>
    <row r="784" spans="2:28" x14ac:dyDescent="0.2">
      <c r="B784" s="89">
        <v>46006</v>
      </c>
      <c r="D784" s="85" t="s">
        <v>99</v>
      </c>
      <c r="E784" s="121" t="s">
        <v>1187</v>
      </c>
      <c r="F784" s="85" t="s">
        <v>46</v>
      </c>
      <c r="G784" s="85" t="s">
        <v>12</v>
      </c>
      <c r="H784" s="148"/>
      <c r="I784" s="142"/>
      <c r="J784" s="144"/>
      <c r="K784" s="144"/>
      <c r="L784" s="85"/>
      <c r="R784" s="53" t="s">
        <v>764</v>
      </c>
      <c r="S784" s="53" t="s">
        <v>769</v>
      </c>
      <c r="T784" s="53" t="s">
        <v>769</v>
      </c>
      <c r="U784" s="53" t="s">
        <v>741</v>
      </c>
      <c r="V784" s="53" t="s">
        <v>770</v>
      </c>
      <c r="W784" s="53" t="s">
        <v>839</v>
      </c>
      <c r="X784" s="61">
        <f>IFERROR(IF(W784="","",WORKDAY.INTL(B784,_xlfn.XLOOKUP(W784,Regras!$F$2:$F$11,Regras!$G$2:$G$11))),"")</f>
        <v>46007</v>
      </c>
      <c r="Y784" s="150" t="s">
        <v>1132</v>
      </c>
      <c r="Z784" s="53" t="s">
        <v>764</v>
      </c>
      <c r="AB784" s="150" t="s">
        <v>1132</v>
      </c>
    </row>
    <row r="785" spans="2:28" x14ac:dyDescent="0.2">
      <c r="B785" s="89">
        <v>46006</v>
      </c>
      <c r="D785" s="85" t="s">
        <v>2237</v>
      </c>
      <c r="E785" s="121" t="s">
        <v>409</v>
      </c>
      <c r="F785" s="85" t="s">
        <v>46</v>
      </c>
      <c r="G785" s="85" t="s">
        <v>12</v>
      </c>
      <c r="H785" s="148"/>
      <c r="I785" s="142"/>
      <c r="J785" s="144"/>
      <c r="K785" s="144"/>
      <c r="L785" s="85"/>
      <c r="R785" s="53" t="s">
        <v>764</v>
      </c>
      <c r="S785" s="53" t="s">
        <v>769</v>
      </c>
      <c r="T785" s="53" t="s">
        <v>769</v>
      </c>
      <c r="U785" s="53" t="s">
        <v>741</v>
      </c>
      <c r="V785" s="53" t="s">
        <v>768</v>
      </c>
      <c r="W785" s="53" t="s">
        <v>780</v>
      </c>
      <c r="X785" s="61">
        <f>IFERROR(IF(W785="","",WORKDAY.INTL(B785,_xlfn.XLOOKUP(W785,Regras!$F$2:$F$11,Regras!$G$2:$G$11))),"")</f>
        <v>46008</v>
      </c>
      <c r="Y785" s="150" t="s">
        <v>4879</v>
      </c>
      <c r="Z785" s="53" t="s">
        <v>764</v>
      </c>
      <c r="AB785" s="155" t="s">
        <v>4880</v>
      </c>
    </row>
    <row r="786" spans="2:28" x14ac:dyDescent="0.2">
      <c r="B786" s="89">
        <v>46006</v>
      </c>
      <c r="D786" s="85" t="s">
        <v>4703</v>
      </c>
      <c r="E786" s="121" t="s">
        <v>4702</v>
      </c>
      <c r="F786" s="85" t="s">
        <v>17</v>
      </c>
      <c r="G786" s="85" t="s">
        <v>12</v>
      </c>
      <c r="H786" s="148"/>
      <c r="I786" s="142"/>
      <c r="J786" s="144"/>
      <c r="K786" s="144"/>
      <c r="L786" s="85"/>
      <c r="R786" s="53" t="s">
        <v>764</v>
      </c>
      <c r="S786" s="53" t="s">
        <v>769</v>
      </c>
      <c r="T786" s="53" t="s">
        <v>769</v>
      </c>
      <c r="U786" s="53" t="s">
        <v>741</v>
      </c>
      <c r="V786" s="53" t="s">
        <v>768</v>
      </c>
      <c r="W786" s="53" t="s">
        <v>1054</v>
      </c>
      <c r="X786" s="61">
        <f>IFERROR(IF(W786="","",WORKDAY.INTL(B786,_xlfn.XLOOKUP(W786,Regras!$F$2:$F$11,Regras!$G$2:$G$11))),"")</f>
        <v>46027</v>
      </c>
      <c r="Y786" s="150" t="s">
        <v>4881</v>
      </c>
      <c r="Z786" s="53" t="s">
        <v>764</v>
      </c>
      <c r="AB786" s="150" t="s">
        <v>4881</v>
      </c>
    </row>
    <row r="787" spans="2:28" x14ac:dyDescent="0.2">
      <c r="B787" s="89">
        <v>46007</v>
      </c>
      <c r="D787" s="85" t="s">
        <v>4882</v>
      </c>
      <c r="E787" s="121"/>
      <c r="F787" s="85" t="s">
        <v>46</v>
      </c>
      <c r="G787" s="85" t="s">
        <v>12</v>
      </c>
      <c r="H787" s="148"/>
      <c r="I787" s="142"/>
      <c r="J787" s="144"/>
      <c r="K787" s="144"/>
      <c r="L787" s="85"/>
      <c r="R787" s="53" t="s">
        <v>769</v>
      </c>
      <c r="S787" s="53" t="s">
        <v>764</v>
      </c>
      <c r="T787" s="53" t="s">
        <v>769</v>
      </c>
      <c r="U787" s="53" t="s">
        <v>741</v>
      </c>
      <c r="V787" s="53" t="s">
        <v>768</v>
      </c>
      <c r="W787" s="53" t="s">
        <v>780</v>
      </c>
      <c r="X787" s="61">
        <f>IFERROR(IF(W787="","",WORKDAY.INTL(B787,_xlfn.XLOOKUP(W787,Regras!$F$2:$F$11,Regras!$G$2:$G$11))),"")</f>
        <v>46009</v>
      </c>
      <c r="Y787" s="150" t="s">
        <v>4883</v>
      </c>
      <c r="Z787" s="53" t="s">
        <v>769</v>
      </c>
      <c r="AB787" s="155" t="s">
        <v>4884</v>
      </c>
    </row>
    <row r="788" spans="2:28" x14ac:dyDescent="0.2">
      <c r="B788" s="89">
        <v>46007</v>
      </c>
      <c r="D788" s="85" t="s">
        <v>4885</v>
      </c>
      <c r="E788" s="121"/>
      <c r="F788" s="85" t="s">
        <v>46</v>
      </c>
      <c r="G788" s="85" t="s">
        <v>12</v>
      </c>
      <c r="H788" s="148"/>
      <c r="I788" s="142"/>
      <c r="J788" s="144"/>
      <c r="K788" s="144"/>
      <c r="L788" s="85"/>
      <c r="R788" s="53" t="s">
        <v>769</v>
      </c>
      <c r="S788" s="53" t="s">
        <v>764</v>
      </c>
      <c r="T788" s="53" t="s">
        <v>769</v>
      </c>
      <c r="U788" s="53" t="s">
        <v>741</v>
      </c>
      <c r="V788" s="53" t="s">
        <v>768</v>
      </c>
      <c r="W788" s="53" t="s">
        <v>780</v>
      </c>
      <c r="X788" s="61">
        <f>IFERROR(IF(W788="","",WORKDAY.INTL(B788,_xlfn.XLOOKUP(W788,Regras!$F$2:$F$11,Regras!$G$2:$G$11))),"")</f>
        <v>46009</v>
      </c>
      <c r="Y788" s="150" t="s">
        <v>4883</v>
      </c>
      <c r="Z788" s="53" t="s">
        <v>769</v>
      </c>
      <c r="AB788" s="155" t="s">
        <v>4884</v>
      </c>
    </row>
    <row r="789" spans="2:28" x14ac:dyDescent="0.2">
      <c r="B789" s="89">
        <v>46007</v>
      </c>
      <c r="D789" s="85" t="s">
        <v>4886</v>
      </c>
      <c r="E789" s="121"/>
      <c r="F789" s="85" t="s">
        <v>46</v>
      </c>
      <c r="G789" s="85" t="s">
        <v>12</v>
      </c>
      <c r="H789" s="148"/>
      <c r="I789" s="142"/>
      <c r="J789" s="144"/>
      <c r="K789" s="144"/>
      <c r="L789" s="85"/>
      <c r="R789" s="53" t="s">
        <v>764</v>
      </c>
      <c r="S789" s="53" t="s">
        <v>764</v>
      </c>
      <c r="T789" s="53" t="s">
        <v>764</v>
      </c>
      <c r="U789" s="53" t="s">
        <v>741</v>
      </c>
      <c r="V789" s="53" t="s">
        <v>768</v>
      </c>
      <c r="W789" s="53" t="s">
        <v>780</v>
      </c>
      <c r="X789" s="61">
        <f>IFERROR(IF(W789="","",WORKDAY.INTL(B789,_xlfn.XLOOKUP(W789,Regras!$F$2:$F$11,Regras!$G$2:$G$11))),"")</f>
        <v>46009</v>
      </c>
      <c r="Y789" s="150" t="s">
        <v>4889</v>
      </c>
      <c r="Z789" s="53" t="s">
        <v>769</v>
      </c>
      <c r="AB789" s="150" t="s">
        <v>4889</v>
      </c>
    </row>
    <row r="790" spans="2:28" x14ac:dyDescent="0.2">
      <c r="B790" s="89">
        <v>46007</v>
      </c>
      <c r="D790" s="85" t="s">
        <v>4887</v>
      </c>
      <c r="E790" s="121"/>
      <c r="F790" s="85" t="s">
        <v>46</v>
      </c>
      <c r="G790" s="85" t="s">
        <v>12</v>
      </c>
      <c r="H790" s="148"/>
      <c r="I790" s="142"/>
      <c r="J790" s="144"/>
      <c r="K790" s="144"/>
      <c r="L790" s="85"/>
      <c r="R790" s="53" t="s">
        <v>769</v>
      </c>
      <c r="S790" s="53" t="s">
        <v>764</v>
      </c>
      <c r="T790" s="53" t="s">
        <v>764</v>
      </c>
      <c r="U790" s="53" t="s">
        <v>741</v>
      </c>
      <c r="V790" s="53" t="s">
        <v>768</v>
      </c>
      <c r="W790" s="53" t="s">
        <v>780</v>
      </c>
      <c r="X790" s="61">
        <f>IFERROR(IF(W790="","",WORKDAY.INTL(B790,_xlfn.XLOOKUP(W790,Regras!$F$2:$F$11,Regras!$G$2:$G$11))),"")</f>
        <v>46009</v>
      </c>
      <c r="Y790" s="150" t="s">
        <v>4891</v>
      </c>
      <c r="Z790" s="53" t="s">
        <v>769</v>
      </c>
      <c r="AB790" s="150" t="s">
        <v>4891</v>
      </c>
    </row>
    <row r="791" spans="2:28" x14ac:dyDescent="0.2">
      <c r="B791" s="89">
        <v>46007</v>
      </c>
      <c r="D791" s="85" t="s">
        <v>4888</v>
      </c>
      <c r="E791" s="121"/>
      <c r="F791" s="85" t="s">
        <v>46</v>
      </c>
      <c r="G791" s="85" t="s">
        <v>12</v>
      </c>
      <c r="H791" s="148"/>
      <c r="I791" s="142"/>
      <c r="J791" s="144"/>
      <c r="K791" s="144"/>
      <c r="L791" s="85"/>
      <c r="R791" s="53" t="s">
        <v>764</v>
      </c>
      <c r="S791" s="53" t="s">
        <v>764</v>
      </c>
      <c r="T791" s="53" t="s">
        <v>764</v>
      </c>
      <c r="U791" s="53" t="s">
        <v>741</v>
      </c>
      <c r="V791" s="53" t="s">
        <v>768</v>
      </c>
      <c r="W791" s="53" t="s">
        <v>780</v>
      </c>
      <c r="X791" s="61">
        <f>IFERROR(IF(W791="","",WORKDAY.INTL(B791,_xlfn.XLOOKUP(W791,Regras!$F$2:$F$11,Regras!$G$2:$G$11))),"")</f>
        <v>46009</v>
      </c>
      <c r="Y791" s="150" t="s">
        <v>4889</v>
      </c>
      <c r="Z791" s="53" t="s">
        <v>769</v>
      </c>
      <c r="AB791" s="150" t="s">
        <v>4890</v>
      </c>
    </row>
    <row r="792" spans="2:28" x14ac:dyDescent="0.2">
      <c r="B792" s="89">
        <v>46007</v>
      </c>
      <c r="D792" s="85" t="s">
        <v>4892</v>
      </c>
      <c r="E792" s="121"/>
      <c r="F792" s="85" t="s">
        <v>46</v>
      </c>
      <c r="G792" s="85" t="s">
        <v>12</v>
      </c>
      <c r="H792" s="148"/>
      <c r="I792" s="142"/>
      <c r="J792" s="144"/>
      <c r="K792" s="144"/>
      <c r="L792" s="85"/>
      <c r="R792" s="53" t="s">
        <v>764</v>
      </c>
      <c r="S792" s="53" t="s">
        <v>764</v>
      </c>
      <c r="T792" s="53" t="s">
        <v>769</v>
      </c>
      <c r="U792" s="53" t="s">
        <v>741</v>
      </c>
      <c r="V792" s="53" t="s">
        <v>768</v>
      </c>
      <c r="W792" s="53" t="s">
        <v>780</v>
      </c>
      <c r="X792" s="61">
        <f>IFERROR(IF(W792="","",WORKDAY.INTL(B792,_xlfn.XLOOKUP(W792,Regras!$F$2:$F$11,Regras!$G$2:$G$11))),"")</f>
        <v>46009</v>
      </c>
      <c r="Y792" s="150" t="s">
        <v>4904</v>
      </c>
      <c r="Z792" s="53" t="s">
        <v>769</v>
      </c>
      <c r="AB792" s="150" t="s">
        <v>4904</v>
      </c>
    </row>
    <row r="793" spans="2:28" x14ac:dyDescent="0.2">
      <c r="B793" s="89">
        <v>46007</v>
      </c>
      <c r="D793" s="85" t="s">
        <v>2352</v>
      </c>
      <c r="E793" s="121"/>
      <c r="F793" s="85" t="s">
        <v>46</v>
      </c>
      <c r="G793" s="85" t="s">
        <v>12</v>
      </c>
      <c r="H793" s="148"/>
      <c r="I793" s="142"/>
      <c r="J793" s="144"/>
      <c r="K793" s="144"/>
      <c r="L793" s="85"/>
      <c r="R793" s="53" t="s">
        <v>764</v>
      </c>
      <c r="S793" s="53" t="s">
        <v>764</v>
      </c>
      <c r="T793" s="53" t="s">
        <v>769</v>
      </c>
      <c r="U793" s="53" t="s">
        <v>741</v>
      </c>
      <c r="V793" s="53" t="s">
        <v>813</v>
      </c>
      <c r="W793" s="53" t="s">
        <v>777</v>
      </c>
      <c r="X793" s="61" t="str">
        <f>IFERROR(IF(W793="","",WORKDAY.INTL(B793,_xlfn.XLOOKUP(W793,Regras!$F$2:$F$11,Regras!$G$2:$G$11))),"")</f>
        <v/>
      </c>
      <c r="Y793" s="150" t="s">
        <v>4905</v>
      </c>
      <c r="Z793" s="53" t="s">
        <v>764</v>
      </c>
      <c r="AB793" s="150" t="s">
        <v>4905</v>
      </c>
    </row>
    <row r="794" spans="2:28" x14ac:dyDescent="0.2">
      <c r="B794" s="89">
        <v>46007</v>
      </c>
      <c r="D794" s="85" t="s">
        <v>4893</v>
      </c>
      <c r="E794" s="121"/>
      <c r="F794" s="85" t="s">
        <v>46</v>
      </c>
      <c r="G794" s="85" t="s">
        <v>12</v>
      </c>
      <c r="H794" s="148"/>
      <c r="I794" s="142"/>
      <c r="J794" s="144"/>
      <c r="K794" s="144"/>
      <c r="L794" s="85"/>
      <c r="R794" s="53" t="s">
        <v>764</v>
      </c>
      <c r="S794" s="53" t="s">
        <v>764</v>
      </c>
      <c r="T794" s="53" t="s">
        <v>764</v>
      </c>
      <c r="U794" s="53" t="s">
        <v>741</v>
      </c>
      <c r="V794" s="53" t="s">
        <v>768</v>
      </c>
      <c r="W794" s="53" t="s">
        <v>780</v>
      </c>
      <c r="X794" s="61">
        <f>IFERROR(IF(W794="","",WORKDAY.INTL(B794,_xlfn.XLOOKUP(W794,Regras!$F$2:$F$11,Regras!$G$2:$G$11))),"")</f>
        <v>46009</v>
      </c>
      <c r="Y794" s="150" t="s">
        <v>4906</v>
      </c>
      <c r="Z794" s="53" t="s">
        <v>769</v>
      </c>
      <c r="AB794" s="150" t="s">
        <v>4906</v>
      </c>
    </row>
    <row r="795" spans="2:28" x14ac:dyDescent="0.2">
      <c r="B795" s="89">
        <v>46007</v>
      </c>
      <c r="D795" s="85" t="s">
        <v>4894</v>
      </c>
      <c r="E795" s="121"/>
      <c r="F795" s="85" t="s">
        <v>46</v>
      </c>
      <c r="G795" s="85" t="s">
        <v>12</v>
      </c>
      <c r="H795" s="148"/>
      <c r="I795" s="142"/>
      <c r="J795" s="144"/>
      <c r="K795" s="144"/>
      <c r="L795" s="85"/>
      <c r="R795" s="53" t="s">
        <v>764</v>
      </c>
      <c r="S795" s="53" t="s">
        <v>764</v>
      </c>
      <c r="T795" s="53" t="s">
        <v>764</v>
      </c>
      <c r="U795" s="53" t="s">
        <v>741</v>
      </c>
      <c r="V795" s="53" t="s">
        <v>768</v>
      </c>
      <c r="W795" s="53" t="s">
        <v>780</v>
      </c>
      <c r="X795" s="61">
        <f>IFERROR(IF(W795="","",WORKDAY.INTL(B795,_xlfn.XLOOKUP(W795,Regras!$F$2:$F$11,Regras!$G$2:$G$11))),"")</f>
        <v>46009</v>
      </c>
      <c r="Y795" s="150" t="s">
        <v>4907</v>
      </c>
      <c r="Z795" s="53" t="s">
        <v>769</v>
      </c>
      <c r="AB795" s="150" t="s">
        <v>4907</v>
      </c>
    </row>
    <row r="796" spans="2:28" x14ac:dyDescent="0.2">
      <c r="B796" s="89">
        <v>46007</v>
      </c>
      <c r="D796" s="85" t="s">
        <v>4895</v>
      </c>
      <c r="E796" s="121"/>
      <c r="F796" s="85" t="s">
        <v>46</v>
      </c>
      <c r="G796" s="85" t="s">
        <v>12</v>
      </c>
      <c r="H796" s="148"/>
      <c r="I796" s="142"/>
      <c r="J796" s="144"/>
      <c r="K796" s="144"/>
      <c r="L796" s="85"/>
      <c r="R796" s="53" t="s">
        <v>764</v>
      </c>
      <c r="S796" s="53" t="s">
        <v>764</v>
      </c>
      <c r="T796" s="53" t="s">
        <v>769</v>
      </c>
      <c r="U796" s="53" t="s">
        <v>741</v>
      </c>
      <c r="V796" s="53" t="s">
        <v>768</v>
      </c>
      <c r="W796" s="53" t="s">
        <v>780</v>
      </c>
      <c r="X796" s="61">
        <f>IFERROR(IF(W796="","",WORKDAY.INTL(B796,_xlfn.XLOOKUP(W796,Regras!$F$2:$F$11,Regras!$G$2:$G$11))),"")</f>
        <v>46009</v>
      </c>
      <c r="Y796" s="150" t="s">
        <v>4908</v>
      </c>
      <c r="Z796" s="53" t="s">
        <v>769</v>
      </c>
      <c r="AB796" s="150" t="s">
        <v>4908</v>
      </c>
    </row>
    <row r="797" spans="2:28" x14ac:dyDescent="0.2">
      <c r="B797" s="89">
        <v>46007</v>
      </c>
      <c r="D797" s="85" t="s">
        <v>4896</v>
      </c>
      <c r="E797" s="121"/>
      <c r="F797" s="85" t="s">
        <v>46</v>
      </c>
      <c r="G797" s="85" t="s">
        <v>12</v>
      </c>
      <c r="H797" s="148"/>
      <c r="I797" s="142"/>
      <c r="J797" s="144"/>
      <c r="K797" s="144"/>
      <c r="L797" s="85"/>
      <c r="R797" s="53" t="s">
        <v>764</v>
      </c>
      <c r="S797" s="53" t="s">
        <v>764</v>
      </c>
      <c r="T797" s="53" t="s">
        <v>764</v>
      </c>
      <c r="U797" s="53" t="s">
        <v>741</v>
      </c>
      <c r="V797" s="53" t="s">
        <v>768</v>
      </c>
      <c r="W797" s="53" t="s">
        <v>780</v>
      </c>
      <c r="X797" s="61">
        <f>IFERROR(IF(W797="","",WORKDAY.INTL(B797,_xlfn.XLOOKUP(W797,Regras!$F$2:$F$11,Regras!$G$2:$G$11))),"")</f>
        <v>46009</v>
      </c>
      <c r="Y797" s="150" t="s">
        <v>4906</v>
      </c>
      <c r="Z797" s="53" t="s">
        <v>769</v>
      </c>
      <c r="AB797" s="150" t="s">
        <v>4906</v>
      </c>
    </row>
    <row r="798" spans="2:28" x14ac:dyDescent="0.2">
      <c r="B798" s="89">
        <v>46007</v>
      </c>
      <c r="D798" s="85" t="s">
        <v>4897</v>
      </c>
      <c r="E798" s="121"/>
      <c r="F798" s="85" t="s">
        <v>46</v>
      </c>
      <c r="G798" s="85" t="s">
        <v>12</v>
      </c>
      <c r="H798" s="148"/>
      <c r="I798" s="142"/>
      <c r="J798" s="144"/>
      <c r="K798" s="144"/>
      <c r="L798" s="85"/>
      <c r="R798" s="53" t="s">
        <v>764</v>
      </c>
      <c r="S798" s="53" t="s">
        <v>764</v>
      </c>
      <c r="T798" s="53" t="s">
        <v>764</v>
      </c>
      <c r="U798" s="53" t="s">
        <v>741</v>
      </c>
      <c r="V798" s="53" t="s">
        <v>768</v>
      </c>
      <c r="W798" s="53" t="s">
        <v>780</v>
      </c>
      <c r="X798" s="61">
        <f>IFERROR(IF(W798="","",WORKDAY.INTL(B798,_xlfn.XLOOKUP(W798,Regras!$F$2:$F$11,Regras!$G$2:$G$11))),"")</f>
        <v>46009</v>
      </c>
      <c r="Y798" s="150" t="s">
        <v>4907</v>
      </c>
      <c r="Z798" s="53" t="s">
        <v>769</v>
      </c>
      <c r="AB798" s="150" t="s">
        <v>4907</v>
      </c>
    </row>
    <row r="799" spans="2:28" x14ac:dyDescent="0.2">
      <c r="B799" s="89">
        <v>46007</v>
      </c>
      <c r="D799" s="85" t="s">
        <v>4903</v>
      </c>
      <c r="E799" s="121"/>
      <c r="F799" s="85" t="s">
        <v>46</v>
      </c>
      <c r="G799" s="85" t="s">
        <v>12</v>
      </c>
      <c r="H799" s="148"/>
      <c r="I799" s="142"/>
      <c r="J799" s="144"/>
      <c r="K799" s="144"/>
      <c r="L799" s="85"/>
      <c r="R799" s="53" t="s">
        <v>764</v>
      </c>
      <c r="S799" s="53" t="s">
        <v>764</v>
      </c>
      <c r="T799" s="53" t="s">
        <v>769</v>
      </c>
      <c r="U799" s="53" t="s">
        <v>741</v>
      </c>
      <c r="V799" s="53" t="s">
        <v>768</v>
      </c>
      <c r="W799" s="53" t="s">
        <v>780</v>
      </c>
      <c r="X799" s="61">
        <f>IFERROR(IF(W799="","",WORKDAY.INTL(B799,_xlfn.XLOOKUP(W799,Regras!$F$2:$F$11,Regras!$G$2:$G$11))),"")</f>
        <v>46009</v>
      </c>
      <c r="Y799" s="150" t="s">
        <v>4908</v>
      </c>
      <c r="Z799" s="53" t="s">
        <v>769</v>
      </c>
      <c r="AB799" s="150" t="s">
        <v>4908</v>
      </c>
    </row>
    <row r="800" spans="2:28" x14ac:dyDescent="0.2">
      <c r="B800" s="89">
        <v>46007</v>
      </c>
      <c r="D800" s="85" t="s">
        <v>4909</v>
      </c>
      <c r="E800" s="121"/>
      <c r="F800" s="85" t="s">
        <v>17</v>
      </c>
      <c r="G800" s="85" t="s">
        <v>12</v>
      </c>
      <c r="H800" s="148"/>
      <c r="I800" s="142"/>
      <c r="J800" s="144"/>
      <c r="K800" s="144"/>
      <c r="L800" s="85"/>
      <c r="R800" s="53" t="s">
        <v>764</v>
      </c>
      <c r="S800" s="53" t="s">
        <v>764</v>
      </c>
      <c r="T800" s="53" t="s">
        <v>764</v>
      </c>
      <c r="U800" s="53" t="s">
        <v>741</v>
      </c>
      <c r="V800" s="53" t="s">
        <v>768</v>
      </c>
      <c r="W800" s="53" t="s">
        <v>780</v>
      </c>
      <c r="X800" s="61"/>
      <c r="Y800" s="150" t="s">
        <v>4910</v>
      </c>
      <c r="Z800" s="53" t="s">
        <v>769</v>
      </c>
      <c r="AB800" s="150" t="s">
        <v>4910</v>
      </c>
    </row>
    <row r="801" spans="2:28" x14ac:dyDescent="0.2">
      <c r="B801" s="89">
        <v>46007</v>
      </c>
      <c r="D801" s="85" t="s">
        <v>4898</v>
      </c>
      <c r="E801" s="121"/>
      <c r="F801" s="85" t="s">
        <v>17</v>
      </c>
      <c r="G801" s="85" t="s">
        <v>12</v>
      </c>
      <c r="H801" s="148"/>
      <c r="I801" s="142"/>
      <c r="J801" s="144"/>
      <c r="K801" s="144"/>
      <c r="L801" s="85"/>
      <c r="R801" s="53" t="s">
        <v>764</v>
      </c>
      <c r="S801" s="53" t="s">
        <v>764</v>
      </c>
      <c r="T801" s="53" t="s">
        <v>764</v>
      </c>
      <c r="U801" s="53" t="s">
        <v>741</v>
      </c>
      <c r="V801" s="53" t="s">
        <v>768</v>
      </c>
      <c r="W801" s="53" t="s">
        <v>780</v>
      </c>
      <c r="X801" s="61">
        <f>IFERROR(IF(W801="","",WORKDAY.INTL(B801,_xlfn.XLOOKUP(W801,Regras!$F$2:$F$11,Regras!$G$2:$G$11))),"")</f>
        <v>46009</v>
      </c>
      <c r="Y801" s="150" t="s">
        <v>4911</v>
      </c>
      <c r="Z801" s="53" t="s">
        <v>769</v>
      </c>
      <c r="AB801" s="150" t="s">
        <v>4911</v>
      </c>
    </row>
    <row r="802" spans="2:28" x14ac:dyDescent="0.2">
      <c r="B802" s="89">
        <v>46007</v>
      </c>
      <c r="D802" s="85" t="s">
        <v>4899</v>
      </c>
      <c r="E802" s="121"/>
      <c r="F802" s="85" t="s">
        <v>17</v>
      </c>
      <c r="G802" s="85" t="s">
        <v>12</v>
      </c>
      <c r="H802" s="148"/>
      <c r="I802" s="142"/>
      <c r="J802" s="144"/>
      <c r="K802" s="144"/>
      <c r="L802" s="85"/>
      <c r="R802" s="53" t="s">
        <v>764</v>
      </c>
      <c r="S802" s="53" t="s">
        <v>764</v>
      </c>
      <c r="T802" s="53" t="s">
        <v>769</v>
      </c>
      <c r="U802" s="53" t="s">
        <v>741</v>
      </c>
      <c r="V802" s="53" t="s">
        <v>768</v>
      </c>
      <c r="W802" s="53" t="s">
        <v>780</v>
      </c>
      <c r="X802" s="61">
        <f>IFERROR(IF(W802="","",WORKDAY.INTL(B802,_xlfn.XLOOKUP(W802,Regras!$F$2:$F$11,Regras!$G$2:$G$11))),"")</f>
        <v>46009</v>
      </c>
      <c r="Y802" s="150" t="s">
        <v>4908</v>
      </c>
      <c r="Z802" s="53" t="s">
        <v>769</v>
      </c>
      <c r="AB802" s="150" t="s">
        <v>4908</v>
      </c>
    </row>
    <row r="803" spans="2:28" x14ac:dyDescent="0.2">
      <c r="B803" s="89">
        <v>46007</v>
      </c>
      <c r="D803" s="85" t="s">
        <v>4900</v>
      </c>
      <c r="E803" s="121" t="s">
        <v>4902</v>
      </c>
      <c r="F803" s="85" t="s">
        <v>46</v>
      </c>
      <c r="G803" s="85" t="s">
        <v>12</v>
      </c>
      <c r="H803" s="148"/>
      <c r="I803" s="142"/>
      <c r="J803" s="144"/>
      <c r="K803" s="144"/>
      <c r="L803" s="85"/>
      <c r="R803" s="53" t="s">
        <v>764</v>
      </c>
      <c r="S803" s="53" t="s">
        <v>769</v>
      </c>
      <c r="T803" s="53" t="s">
        <v>769</v>
      </c>
      <c r="U803" s="53" t="s">
        <v>741</v>
      </c>
      <c r="V803" s="53" t="s">
        <v>768</v>
      </c>
      <c r="W803" s="53" t="s">
        <v>839</v>
      </c>
      <c r="X803" s="61">
        <f>IFERROR(IF(W803="","",WORKDAY.INTL(B803,_xlfn.XLOOKUP(W803,Regras!$F$2:$F$11,Regras!$G$2:$G$11))),"")</f>
        <v>46008</v>
      </c>
      <c r="Y803" s="150" t="s">
        <v>4912</v>
      </c>
      <c r="Z803" s="53" t="s">
        <v>764</v>
      </c>
      <c r="AB803" s="155" t="s">
        <v>4730</v>
      </c>
    </row>
    <row r="804" spans="2:28" x14ac:dyDescent="0.2">
      <c r="B804" s="89">
        <v>46007</v>
      </c>
      <c r="D804" s="85" t="s">
        <v>4901</v>
      </c>
      <c r="E804" s="121" t="s">
        <v>4390</v>
      </c>
      <c r="F804" s="85" t="s">
        <v>22</v>
      </c>
      <c r="G804" s="85" t="s">
        <v>12</v>
      </c>
      <c r="H804" s="148"/>
      <c r="I804" s="142"/>
      <c r="J804" s="144"/>
      <c r="K804" s="144"/>
      <c r="L804" s="85"/>
      <c r="R804" s="53" t="s">
        <v>764</v>
      </c>
      <c r="S804" s="53" t="s">
        <v>769</v>
      </c>
      <c r="T804" s="53" t="s">
        <v>769</v>
      </c>
      <c r="U804" s="53" t="s">
        <v>773</v>
      </c>
      <c r="V804" s="53" t="s">
        <v>765</v>
      </c>
      <c r="W804" s="53" t="s">
        <v>839</v>
      </c>
      <c r="X804" s="61">
        <f>IFERROR(IF(W804="","",WORKDAY.INTL(B804,_xlfn.XLOOKUP(W804,Regras!$F$2:$F$11,Regras!$G$2:$G$11))),"")</f>
        <v>46008</v>
      </c>
      <c r="Y804" s="150" t="s">
        <v>4913</v>
      </c>
      <c r="Z804" s="53" t="s">
        <v>764</v>
      </c>
      <c r="AB804" s="155" t="s">
        <v>4914</v>
      </c>
    </row>
    <row r="805" spans="2:28" x14ac:dyDescent="0.2">
      <c r="B805" s="89"/>
      <c r="D805" s="85"/>
      <c r="E805" s="121"/>
      <c r="F805" s="85"/>
      <c r="G805" s="85" t="s">
        <v>12</v>
      </c>
      <c r="H805" s="148"/>
      <c r="I805" s="142"/>
      <c r="J805" s="144"/>
      <c r="K805" s="144"/>
      <c r="L805" s="85"/>
      <c r="R805" s="53"/>
      <c r="S805" s="53"/>
      <c r="T805" s="53"/>
      <c r="U805" s="53"/>
      <c r="V805" s="53"/>
      <c r="W805" s="53"/>
      <c r="X805" s="61" t="str">
        <f>IFERROR(IF(W805="","",WORKDAY.INTL(B805,_xlfn.XLOOKUP(W805,Regras!$F$2:$F$11,Regras!$G$2:$G$11))),"")</f>
        <v/>
      </c>
      <c r="Y805" s="150"/>
      <c r="Z805" s="53"/>
    </row>
    <row r="806" spans="2:28" x14ac:dyDescent="0.2">
      <c r="B806" s="89"/>
      <c r="D806" s="85"/>
      <c r="E806" s="121"/>
      <c r="F806" s="85"/>
      <c r="G806" s="85" t="s">
        <v>12</v>
      </c>
      <c r="H806" s="148"/>
      <c r="I806" s="142"/>
      <c r="J806" s="144"/>
      <c r="K806" s="144"/>
      <c r="L806" s="85"/>
      <c r="R806" s="53"/>
      <c r="S806" s="53"/>
      <c r="T806" s="53"/>
      <c r="U806" s="53"/>
      <c r="V806" s="53"/>
      <c r="W806" s="53"/>
      <c r="X806" s="61" t="str">
        <f>IFERROR(IF(W806="","",WORKDAY.INTL(B806,_xlfn.XLOOKUP(W806,Regras!$F$2:$F$11,Regras!$G$2:$G$11))),"")</f>
        <v/>
      </c>
      <c r="Y806" s="150"/>
      <c r="Z806" s="53"/>
    </row>
    <row r="807" spans="2:28" x14ac:dyDescent="0.2">
      <c r="B807" s="89"/>
      <c r="D807" s="85"/>
      <c r="E807" s="121"/>
      <c r="F807" s="85"/>
      <c r="G807" s="85" t="s">
        <v>12</v>
      </c>
      <c r="H807" s="148"/>
      <c r="I807" s="142"/>
      <c r="J807" s="144"/>
      <c r="K807" s="144"/>
      <c r="L807" s="85"/>
      <c r="R807" s="53"/>
      <c r="S807" s="53"/>
      <c r="T807" s="53"/>
      <c r="U807" s="53"/>
      <c r="V807" s="53"/>
      <c r="W807" s="53"/>
      <c r="X807" s="61" t="str">
        <f>IFERROR(IF(W807="","",WORKDAY.INTL(B807,_xlfn.XLOOKUP(W807,Regras!$F$2:$F$11,Regras!$G$2:$G$11))),"")</f>
        <v/>
      </c>
      <c r="Y807" s="150"/>
      <c r="Z807" s="53"/>
    </row>
    <row r="808" spans="2:28" x14ac:dyDescent="0.2">
      <c r="B808" s="89"/>
      <c r="D808" s="85"/>
      <c r="E808" s="121"/>
      <c r="F808" s="85"/>
      <c r="G808" s="85" t="s">
        <v>12</v>
      </c>
      <c r="H808" s="148"/>
      <c r="I808" s="142"/>
      <c r="J808" s="144"/>
      <c r="K808" s="144"/>
      <c r="L808" s="85"/>
      <c r="R808" s="53"/>
      <c r="S808" s="53"/>
      <c r="T808" s="53"/>
      <c r="U808" s="53"/>
      <c r="V808" s="53"/>
      <c r="W808" s="53"/>
      <c r="X808" s="61" t="str">
        <f>IFERROR(IF(W808="","",WORKDAY.INTL(B808,_xlfn.XLOOKUP(W808,Regras!$F$2:$F$11,Regras!$G$2:$G$11))),"")</f>
        <v/>
      </c>
      <c r="Y808" s="150"/>
      <c r="Z808" s="53"/>
    </row>
    <row r="809" spans="2:28" x14ac:dyDescent="0.2">
      <c r="B809" s="89"/>
      <c r="D809" s="85"/>
      <c r="E809" s="121"/>
      <c r="F809" s="85"/>
      <c r="G809" s="85" t="s">
        <v>12</v>
      </c>
      <c r="H809" s="148"/>
      <c r="I809" s="142"/>
      <c r="J809" s="144"/>
      <c r="K809" s="144"/>
      <c r="L809" s="85"/>
      <c r="R809" s="53"/>
      <c r="S809" s="53"/>
      <c r="T809" s="53"/>
      <c r="U809" s="53"/>
      <c r="V809" s="53"/>
      <c r="W809" s="53"/>
      <c r="X809" s="61" t="str">
        <f>IFERROR(IF(W809="","",WORKDAY.INTL(B809,_xlfn.XLOOKUP(W809,Regras!$F$2:$F$11,Regras!$G$2:$G$11))),"")</f>
        <v/>
      </c>
      <c r="Y809" s="150"/>
      <c r="Z809" s="53"/>
    </row>
    <row r="810" spans="2:28" x14ac:dyDescent="0.2">
      <c r="B810" s="89"/>
      <c r="D810" s="85"/>
      <c r="E810" s="121"/>
      <c r="F810" s="85"/>
      <c r="G810" s="85" t="s">
        <v>12</v>
      </c>
      <c r="H810" s="148"/>
      <c r="I810" s="142"/>
      <c r="J810" s="144"/>
      <c r="K810" s="144"/>
      <c r="L810" s="85"/>
      <c r="R810" s="53"/>
      <c r="S810" s="53"/>
      <c r="T810" s="53"/>
      <c r="U810" s="53"/>
      <c r="V810" s="53"/>
      <c r="W810" s="53"/>
      <c r="X810" s="61" t="str">
        <f>IFERROR(IF(W810="","",WORKDAY.INTL(B810,_xlfn.XLOOKUP(W810,Regras!$F$2:$F$11,Regras!$G$2:$G$11))),"")</f>
        <v/>
      </c>
      <c r="Y810" s="150"/>
      <c r="Z810" s="53"/>
    </row>
    <row r="811" spans="2:28" x14ac:dyDescent="0.2">
      <c r="B811" s="89"/>
      <c r="D811" s="85"/>
      <c r="E811" s="121"/>
      <c r="F811" s="85"/>
      <c r="G811" s="85" t="s">
        <v>12</v>
      </c>
      <c r="H811" s="148"/>
      <c r="I811" s="142"/>
      <c r="J811" s="144"/>
      <c r="K811" s="144"/>
      <c r="L811" s="85"/>
      <c r="R811" s="53"/>
      <c r="S811" s="53"/>
      <c r="T811" s="53"/>
      <c r="U811" s="53"/>
      <c r="V811" s="53"/>
      <c r="W811" s="53"/>
      <c r="X811" s="61" t="str">
        <f>IFERROR(IF(W811="","",WORKDAY.INTL(B811,_xlfn.XLOOKUP(W811,Regras!$F$2:$F$11,Regras!$G$2:$G$11))),"")</f>
        <v/>
      </c>
      <c r="Y811" s="150"/>
      <c r="Z811" s="53"/>
    </row>
    <row r="812" spans="2:28" x14ac:dyDescent="0.2">
      <c r="B812" s="89"/>
      <c r="D812" s="85"/>
      <c r="E812" s="121"/>
      <c r="F812" s="85"/>
      <c r="G812" s="85" t="s">
        <v>12</v>
      </c>
      <c r="H812" s="148"/>
      <c r="I812" s="142"/>
      <c r="J812" s="144"/>
      <c r="K812" s="144"/>
      <c r="L812" s="85"/>
      <c r="R812" s="53"/>
      <c r="S812" s="53"/>
      <c r="T812" s="53"/>
      <c r="U812" s="53"/>
      <c r="V812" s="53"/>
      <c r="W812" s="53"/>
      <c r="X812" s="61" t="str">
        <f>IFERROR(IF(W812="","",WORKDAY.INTL(B812,_xlfn.XLOOKUP(W812,Regras!$F$2:$F$11,Regras!$G$2:$G$11))),"")</f>
        <v/>
      </c>
      <c r="Y812" s="150"/>
      <c r="Z812" s="53"/>
    </row>
    <row r="813" spans="2:28" x14ac:dyDescent="0.2">
      <c r="B813" s="89"/>
      <c r="D813" s="85"/>
      <c r="E813" s="121"/>
      <c r="F813" s="85"/>
      <c r="G813" s="85" t="s">
        <v>12</v>
      </c>
      <c r="H813" s="148"/>
      <c r="I813" s="142"/>
      <c r="J813" s="144"/>
      <c r="K813" s="144"/>
      <c r="L813" s="85"/>
      <c r="R813" s="53"/>
      <c r="S813" s="53"/>
      <c r="T813" s="53"/>
      <c r="U813" s="53"/>
      <c r="V813" s="53"/>
      <c r="W813" s="53"/>
      <c r="X813" s="61" t="str">
        <f>IFERROR(IF(W813="","",WORKDAY.INTL(B813,_xlfn.XLOOKUP(W813,Regras!$F$2:$F$11,Regras!$G$2:$G$11))),"")</f>
        <v/>
      </c>
      <c r="Y813" s="150"/>
      <c r="Z813" s="53"/>
    </row>
    <row r="814" spans="2:28" x14ac:dyDescent="0.2">
      <c r="B814" s="89"/>
      <c r="D814" s="85"/>
      <c r="E814" s="121"/>
      <c r="F814" s="85"/>
      <c r="G814" s="85" t="s">
        <v>12</v>
      </c>
      <c r="H814" s="148"/>
      <c r="I814" s="142"/>
      <c r="J814" s="144"/>
      <c r="K814" s="144"/>
      <c r="L814" s="85"/>
      <c r="R814" s="53"/>
      <c r="S814" s="53"/>
      <c r="T814" s="53"/>
      <c r="U814" s="53"/>
      <c r="V814" s="53"/>
      <c r="W814" s="53"/>
      <c r="X814" s="61" t="str">
        <f>IFERROR(IF(W814="","",WORKDAY.INTL(B814,_xlfn.XLOOKUP(W814,Regras!$F$2:$F$11,Regras!$G$2:$G$11))),"")</f>
        <v/>
      </c>
      <c r="Y814" s="150"/>
      <c r="Z814" s="53"/>
    </row>
    <row r="815" spans="2:28" x14ac:dyDescent="0.2">
      <c r="B815" s="89"/>
      <c r="D815" s="85"/>
      <c r="E815" s="121"/>
      <c r="F815" s="85"/>
      <c r="G815" s="85" t="s">
        <v>12</v>
      </c>
      <c r="H815" s="148"/>
      <c r="I815" s="142"/>
      <c r="J815" s="144"/>
      <c r="K815" s="144"/>
      <c r="L815" s="85"/>
      <c r="R815" s="53"/>
      <c r="S815" s="53"/>
      <c r="T815" s="53"/>
      <c r="U815" s="53"/>
      <c r="V815" s="53"/>
      <c r="W815" s="53"/>
      <c r="X815" s="61" t="str">
        <f>IFERROR(IF(W815="","",WORKDAY.INTL(B815,_xlfn.XLOOKUP(W815,Regras!$F$2:$F$11,Regras!$G$2:$G$11))),"")</f>
        <v/>
      </c>
      <c r="Y815" s="150"/>
      <c r="Z815" s="53"/>
    </row>
    <row r="816" spans="2:28" x14ac:dyDescent="0.2">
      <c r="B816" s="89"/>
      <c r="D816" s="85"/>
      <c r="E816" s="121"/>
      <c r="F816" s="85"/>
      <c r="G816" s="85" t="s">
        <v>12</v>
      </c>
      <c r="H816" s="148"/>
      <c r="I816" s="142"/>
      <c r="J816" s="144"/>
      <c r="K816" s="144"/>
      <c r="L816" s="85"/>
      <c r="R816" s="53"/>
      <c r="S816" s="53"/>
      <c r="T816" s="53"/>
      <c r="U816" s="53"/>
      <c r="V816" s="53"/>
      <c r="W816" s="53"/>
      <c r="X816" s="61" t="str">
        <f>IFERROR(IF(W816="","",WORKDAY.INTL(B816,_xlfn.XLOOKUP(W816,Regras!$F$2:$F$11,Regras!$G$2:$G$11))),"")</f>
        <v/>
      </c>
      <c r="Y816" s="150"/>
      <c r="Z816" s="53"/>
    </row>
    <row r="817" spans="2:26" x14ac:dyDescent="0.2">
      <c r="B817" s="89"/>
      <c r="D817" s="85"/>
      <c r="E817" s="121"/>
      <c r="F817" s="85"/>
      <c r="G817" s="85" t="s">
        <v>12</v>
      </c>
      <c r="H817" s="148"/>
      <c r="I817" s="142"/>
      <c r="J817" s="144"/>
      <c r="K817" s="144"/>
      <c r="L817" s="85"/>
      <c r="R817" s="53"/>
      <c r="S817" s="53"/>
      <c r="T817" s="53"/>
      <c r="U817" s="53"/>
      <c r="V817" s="53"/>
      <c r="W817" s="53"/>
      <c r="X817" s="61" t="str">
        <f>IFERROR(IF(W817="","",WORKDAY.INTL(B817,_xlfn.XLOOKUP(W817,Regras!$F$2:$F$11,Regras!$G$2:$G$11))),"")</f>
        <v/>
      </c>
      <c r="Y817" s="150"/>
      <c r="Z817" s="53"/>
    </row>
    <row r="818" spans="2:26" x14ac:dyDescent="0.2">
      <c r="B818" s="89"/>
      <c r="D818" s="85"/>
      <c r="E818" s="121"/>
      <c r="F818" s="85"/>
      <c r="G818" s="85" t="s">
        <v>12</v>
      </c>
      <c r="H818" s="148"/>
      <c r="I818" s="142"/>
      <c r="J818" s="144"/>
      <c r="K818" s="144"/>
      <c r="L818" s="85"/>
      <c r="R818" s="53"/>
      <c r="S818" s="53"/>
      <c r="T818" s="53"/>
      <c r="U818" s="53"/>
      <c r="V818" s="53"/>
      <c r="W818" s="53"/>
      <c r="X818" s="61" t="str">
        <f>IFERROR(IF(W818="","",WORKDAY.INTL(B818,_xlfn.XLOOKUP(W818,Regras!$F$2:$F$11,Regras!$G$2:$G$11))),"")</f>
        <v/>
      </c>
      <c r="Y818" s="150"/>
      <c r="Z818" s="53"/>
    </row>
    <row r="819" spans="2:26" x14ac:dyDescent="0.2">
      <c r="B819" s="89"/>
      <c r="D819" s="85"/>
      <c r="E819" s="121"/>
      <c r="F819" s="85"/>
      <c r="G819" s="85" t="s">
        <v>12</v>
      </c>
      <c r="H819" s="148"/>
      <c r="I819" s="142"/>
      <c r="J819" s="144"/>
      <c r="K819" s="144"/>
      <c r="L819" s="85"/>
      <c r="R819" s="53"/>
      <c r="S819" s="53"/>
      <c r="T819" s="53"/>
      <c r="U819" s="53"/>
      <c r="V819" s="53"/>
      <c r="W819" s="53"/>
      <c r="X819" s="61" t="str">
        <f>IFERROR(IF(W819="","",WORKDAY.INTL(B819,_xlfn.XLOOKUP(W819,Regras!$F$2:$F$11,Regras!$G$2:$G$11))),"")</f>
        <v/>
      </c>
      <c r="Y819" s="150"/>
      <c r="Z819" s="53"/>
    </row>
    <row r="820" spans="2:26" x14ac:dyDescent="0.2">
      <c r="B820" s="89"/>
      <c r="D820" s="85"/>
      <c r="E820" s="121"/>
      <c r="F820" s="85"/>
      <c r="G820" s="85" t="s">
        <v>12</v>
      </c>
      <c r="H820" s="148"/>
      <c r="I820" s="142"/>
      <c r="J820" s="144"/>
      <c r="K820" s="144"/>
      <c r="L820" s="85"/>
      <c r="R820" s="53"/>
      <c r="S820" s="53"/>
      <c r="T820" s="53"/>
      <c r="U820" s="53"/>
      <c r="V820" s="53"/>
      <c r="W820" s="53"/>
      <c r="X820" s="61" t="str">
        <f>IFERROR(IF(W820="","",WORKDAY.INTL(B820,_xlfn.XLOOKUP(W820,Regras!$F$2:$F$11,Regras!$G$2:$G$11))),"")</f>
        <v/>
      </c>
      <c r="Y820" s="150"/>
      <c r="Z820" s="53"/>
    </row>
    <row r="821" spans="2:26" x14ac:dyDescent="0.2">
      <c r="B821" s="89"/>
      <c r="D821" s="85"/>
      <c r="E821" s="121"/>
      <c r="F821" s="85"/>
      <c r="G821" s="85" t="s">
        <v>12</v>
      </c>
      <c r="H821" s="148"/>
      <c r="I821" s="142"/>
      <c r="J821" s="144"/>
      <c r="K821" s="144"/>
      <c r="L821" s="85"/>
      <c r="R821" s="53"/>
      <c r="S821" s="53"/>
      <c r="T821" s="53"/>
      <c r="U821" s="53"/>
      <c r="V821" s="53"/>
      <c r="W821" s="53"/>
      <c r="X821" s="61" t="str">
        <f>IFERROR(IF(W821="","",WORKDAY.INTL(B821,_xlfn.XLOOKUP(W821,Regras!$F$2:$F$11,Regras!$G$2:$G$11))),"")</f>
        <v/>
      </c>
      <c r="Y821" s="150"/>
      <c r="Z821" s="53"/>
    </row>
    <row r="822" spans="2:26" x14ac:dyDescent="0.2">
      <c r="B822" s="89"/>
      <c r="D822" s="85"/>
      <c r="E822" s="121"/>
      <c r="F822" s="85"/>
      <c r="G822" s="85" t="s">
        <v>12</v>
      </c>
      <c r="H822" s="148"/>
      <c r="I822" s="142"/>
      <c r="J822" s="144"/>
      <c r="K822" s="144"/>
      <c r="L822" s="85"/>
      <c r="R822" s="53"/>
      <c r="S822" s="53"/>
      <c r="T822" s="53"/>
      <c r="U822" s="53"/>
      <c r="V822" s="53"/>
      <c r="W822" s="53"/>
      <c r="X822" s="61" t="str">
        <f>IFERROR(IF(W822="","",WORKDAY.INTL(B822,_xlfn.XLOOKUP(W822,Regras!$F$2:$F$11,Regras!$G$2:$G$11))),"")</f>
        <v/>
      </c>
      <c r="Y822" s="150"/>
      <c r="Z822" s="53"/>
    </row>
    <row r="823" spans="2:26" x14ac:dyDescent="0.2">
      <c r="B823" s="89"/>
      <c r="D823" s="85"/>
      <c r="E823" s="121"/>
      <c r="F823" s="85"/>
      <c r="G823" s="85" t="s">
        <v>12</v>
      </c>
      <c r="H823" s="148"/>
      <c r="I823" s="142"/>
      <c r="J823" s="144"/>
      <c r="K823" s="144"/>
      <c r="L823" s="85"/>
      <c r="R823" s="53"/>
      <c r="S823" s="53"/>
      <c r="T823" s="53"/>
      <c r="U823" s="53"/>
      <c r="V823" s="53"/>
      <c r="W823" s="53"/>
      <c r="X823" s="61" t="str">
        <f>IFERROR(IF(W823="","",WORKDAY.INTL(B823,_xlfn.XLOOKUP(W823,Regras!$F$2:$F$11,Regras!$G$2:$G$11))),"")</f>
        <v/>
      </c>
      <c r="Y823" s="150"/>
      <c r="Z823" s="53"/>
    </row>
    <row r="824" spans="2:26" x14ac:dyDescent="0.2">
      <c r="B824" s="89"/>
      <c r="D824" s="85"/>
      <c r="E824" s="121"/>
      <c r="F824" s="85"/>
      <c r="G824" s="85" t="s">
        <v>12</v>
      </c>
      <c r="H824" s="148"/>
      <c r="I824" s="142"/>
      <c r="J824" s="144"/>
      <c r="K824" s="144"/>
      <c r="L824" s="85"/>
      <c r="R824" s="53"/>
      <c r="S824" s="53"/>
      <c r="T824" s="53"/>
      <c r="U824" s="53"/>
      <c r="V824" s="53"/>
      <c r="W824" s="53"/>
      <c r="X824" s="61" t="str">
        <f>IFERROR(IF(W824="","",WORKDAY.INTL(B824,_xlfn.XLOOKUP(W824,Regras!$F$2:$F$11,Regras!$G$2:$G$11))),"")</f>
        <v/>
      </c>
      <c r="Y824" s="150"/>
      <c r="Z824" s="53"/>
    </row>
    <row r="825" spans="2:26" x14ac:dyDescent="0.2">
      <c r="B825" s="89"/>
      <c r="D825" s="85"/>
      <c r="E825" s="121"/>
      <c r="F825" s="85"/>
      <c r="G825" s="85" t="s">
        <v>12</v>
      </c>
      <c r="H825" s="148"/>
      <c r="I825" s="142"/>
      <c r="J825" s="144"/>
      <c r="K825" s="144"/>
      <c r="L825" s="85"/>
      <c r="R825" s="53"/>
      <c r="S825" s="53"/>
      <c r="T825" s="53"/>
      <c r="U825" s="53"/>
      <c r="V825" s="53"/>
      <c r="W825" s="53"/>
      <c r="X825" s="61" t="str">
        <f>IFERROR(IF(W825="","",WORKDAY.INTL(B825,_xlfn.XLOOKUP(W825,Regras!$F$2:$F$11,Regras!$G$2:$G$11))),"")</f>
        <v/>
      </c>
      <c r="Y825" s="150"/>
      <c r="Z825" s="53"/>
    </row>
    <row r="826" spans="2:26" x14ac:dyDescent="0.2">
      <c r="B826" s="89"/>
      <c r="D826" s="85"/>
      <c r="E826" s="121"/>
      <c r="F826" s="85"/>
      <c r="G826" s="85" t="s">
        <v>12</v>
      </c>
      <c r="H826" s="148"/>
      <c r="I826" s="142"/>
      <c r="J826" s="144"/>
      <c r="K826" s="144"/>
      <c r="L826" s="85"/>
      <c r="R826" s="53"/>
      <c r="S826" s="53"/>
      <c r="T826" s="53"/>
      <c r="U826" s="53"/>
      <c r="V826" s="53"/>
      <c r="W826" s="53"/>
      <c r="X826" s="61" t="str">
        <f>IFERROR(IF(W826="","",WORKDAY.INTL(B826,_xlfn.XLOOKUP(W826,Regras!$F$2:$F$11,Regras!$G$2:$G$11))),"")</f>
        <v/>
      </c>
      <c r="Y826" s="150"/>
      <c r="Z826" s="53"/>
    </row>
    <row r="827" spans="2:26" x14ac:dyDescent="0.2">
      <c r="B827" s="89"/>
      <c r="D827" s="85"/>
      <c r="E827" s="121"/>
      <c r="F827" s="85"/>
      <c r="G827" s="85" t="s">
        <v>12</v>
      </c>
      <c r="H827" s="148"/>
      <c r="I827" s="142"/>
      <c r="J827" s="144"/>
      <c r="K827" s="144"/>
      <c r="L827" s="85"/>
      <c r="R827" s="53"/>
      <c r="S827" s="53"/>
      <c r="T827" s="53"/>
      <c r="U827" s="53"/>
      <c r="V827" s="53"/>
      <c r="W827" s="53"/>
      <c r="X827" s="61" t="str">
        <f>IFERROR(IF(W827="","",WORKDAY.INTL(B827,_xlfn.XLOOKUP(W827,Regras!$F$2:$F$11,Regras!$G$2:$G$11))),"")</f>
        <v/>
      </c>
      <c r="Y827" s="150"/>
      <c r="Z827" s="53"/>
    </row>
    <row r="828" spans="2:26" x14ac:dyDescent="0.2">
      <c r="B828" s="89"/>
      <c r="D828" s="85"/>
      <c r="E828" s="121"/>
      <c r="F828" s="85"/>
      <c r="G828" s="85" t="s">
        <v>12</v>
      </c>
      <c r="H828" s="148"/>
      <c r="I828" s="142"/>
      <c r="J828" s="144"/>
      <c r="K828" s="144"/>
      <c r="L828" s="85"/>
      <c r="R828" s="53"/>
      <c r="S828" s="53"/>
      <c r="T828" s="53"/>
      <c r="U828" s="53"/>
      <c r="V828" s="53"/>
      <c r="W828" s="53"/>
      <c r="X828" s="61" t="str">
        <f>IFERROR(IF(W828="","",WORKDAY.INTL(B828,_xlfn.XLOOKUP(W828,Regras!$F$2:$F$11,Regras!$G$2:$G$11))),"")</f>
        <v/>
      </c>
      <c r="Y828" s="150"/>
      <c r="Z828" s="53"/>
    </row>
    <row r="829" spans="2:26" x14ac:dyDescent="0.2">
      <c r="B829" s="89"/>
      <c r="D829" s="85"/>
      <c r="E829" s="121"/>
      <c r="F829" s="85"/>
      <c r="G829" s="85" t="s">
        <v>12</v>
      </c>
      <c r="H829" s="148"/>
      <c r="I829" s="142"/>
      <c r="J829" s="144"/>
      <c r="K829" s="144"/>
      <c r="L829" s="85"/>
      <c r="R829" s="53"/>
      <c r="S829" s="53"/>
      <c r="T829" s="53"/>
      <c r="U829" s="53"/>
      <c r="V829" s="53"/>
      <c r="W829" s="53"/>
      <c r="X829" s="61" t="str">
        <f>IFERROR(IF(W829="","",WORKDAY.INTL(B829,_xlfn.XLOOKUP(W829,Regras!$F$2:$F$11,Regras!$G$2:$G$11))),"")</f>
        <v/>
      </c>
      <c r="Y829" s="150"/>
      <c r="Z829" s="53"/>
    </row>
    <row r="830" spans="2:26" x14ac:dyDescent="0.2">
      <c r="B830" s="89"/>
      <c r="D830" s="85"/>
      <c r="E830" s="121"/>
      <c r="F830" s="85"/>
      <c r="G830" s="85" t="s">
        <v>12</v>
      </c>
      <c r="H830" s="148"/>
      <c r="I830" s="142"/>
      <c r="J830" s="144"/>
      <c r="K830" s="144"/>
      <c r="L830" s="85"/>
      <c r="R830" s="53"/>
      <c r="S830" s="53"/>
      <c r="T830" s="53"/>
      <c r="U830" s="53"/>
      <c r="V830" s="53"/>
      <c r="W830" s="53"/>
      <c r="X830" s="61" t="str">
        <f>IFERROR(IF(W830="","",WORKDAY.INTL(B830,_xlfn.XLOOKUP(W830,Regras!$F$2:$F$11,Regras!$G$2:$G$11))),"")</f>
        <v/>
      </c>
      <c r="Y830" s="150"/>
      <c r="Z830" s="53"/>
    </row>
    <row r="831" spans="2:26" x14ac:dyDescent="0.2">
      <c r="B831" s="89"/>
      <c r="D831" s="85"/>
      <c r="E831" s="121"/>
      <c r="F831" s="85"/>
      <c r="G831" s="85" t="s">
        <v>12</v>
      </c>
      <c r="H831" s="148"/>
      <c r="I831" s="142"/>
      <c r="J831" s="144"/>
      <c r="K831" s="144"/>
      <c r="L831" s="85"/>
      <c r="R831" s="53"/>
      <c r="S831" s="53"/>
      <c r="T831" s="53"/>
      <c r="U831" s="53"/>
      <c r="V831" s="53"/>
      <c r="W831" s="53"/>
      <c r="X831" s="61" t="str">
        <f>IFERROR(IF(W831="","",WORKDAY.INTL(B831,_xlfn.XLOOKUP(W831,Regras!$F$2:$F$11,Regras!$G$2:$G$11))),"")</f>
        <v/>
      </c>
      <c r="Y831" s="150"/>
      <c r="Z831" s="53"/>
    </row>
    <row r="832" spans="2:26" x14ac:dyDescent="0.2">
      <c r="B832" s="89"/>
      <c r="D832" s="85"/>
      <c r="E832" s="121"/>
      <c r="F832" s="85"/>
      <c r="G832" s="85" t="s">
        <v>12</v>
      </c>
      <c r="H832" s="148"/>
      <c r="I832" s="142"/>
      <c r="J832" s="144"/>
      <c r="K832" s="144"/>
      <c r="L832" s="85"/>
      <c r="R832" s="53"/>
      <c r="S832" s="53"/>
      <c r="T832" s="53"/>
      <c r="U832" s="53"/>
      <c r="V832" s="53"/>
      <c r="W832" s="53"/>
      <c r="X832" s="61" t="str">
        <f>IFERROR(IF(W832="","",WORKDAY.INTL(B832,_xlfn.XLOOKUP(W832,Regras!$F$2:$F$11,Regras!$G$2:$G$11))),"")</f>
        <v/>
      </c>
      <c r="Y832" s="150"/>
      <c r="Z832" s="53"/>
    </row>
    <row r="833" spans="2:26" x14ac:dyDescent="0.2">
      <c r="B833" s="89"/>
      <c r="D833" s="85"/>
      <c r="E833" s="121"/>
      <c r="F833" s="85"/>
      <c r="G833" s="85" t="s">
        <v>12</v>
      </c>
      <c r="H833" s="148"/>
      <c r="I833" s="142"/>
      <c r="J833" s="144"/>
      <c r="K833" s="144"/>
      <c r="L833" s="85"/>
      <c r="R833" s="53"/>
      <c r="S833" s="53"/>
      <c r="T833" s="53"/>
      <c r="U833" s="53"/>
      <c r="V833" s="53"/>
      <c r="W833" s="53"/>
      <c r="X833" s="61" t="str">
        <f>IFERROR(IF(W833="","",WORKDAY.INTL(B833,_xlfn.XLOOKUP(W833,Regras!$F$2:$F$11,Regras!$G$2:$G$11))),"")</f>
        <v/>
      </c>
      <c r="Y833" s="150"/>
      <c r="Z833" s="53"/>
    </row>
    <row r="834" spans="2:26" x14ac:dyDescent="0.2">
      <c r="B834" s="89"/>
      <c r="D834" s="85"/>
      <c r="E834" s="121"/>
      <c r="F834" s="85"/>
      <c r="G834" s="85" t="s">
        <v>12</v>
      </c>
      <c r="H834" s="148"/>
      <c r="I834" s="142"/>
      <c r="J834" s="144"/>
      <c r="K834" s="144"/>
      <c r="L834" s="85"/>
      <c r="R834" s="53"/>
      <c r="S834" s="53"/>
      <c r="T834" s="53"/>
      <c r="U834" s="53"/>
      <c r="V834" s="53"/>
      <c r="W834" s="53"/>
      <c r="X834" s="61" t="str">
        <f>IFERROR(IF(W834="","",WORKDAY.INTL(B834,_xlfn.XLOOKUP(W834,Regras!$F$2:$F$11,Regras!$G$2:$G$11))),"")</f>
        <v/>
      </c>
      <c r="Y834" s="150"/>
      <c r="Z834" s="53"/>
    </row>
    <row r="835" spans="2:26" x14ac:dyDescent="0.2">
      <c r="B835" s="89"/>
      <c r="D835" s="85"/>
      <c r="E835" s="121"/>
      <c r="F835" s="85"/>
      <c r="G835" s="85" t="s">
        <v>12</v>
      </c>
      <c r="H835" s="148"/>
      <c r="I835" s="142"/>
      <c r="J835" s="144"/>
      <c r="K835" s="144"/>
      <c r="L835" s="85"/>
      <c r="R835" s="53"/>
      <c r="S835" s="53"/>
      <c r="T835" s="53"/>
      <c r="U835" s="53"/>
      <c r="V835" s="53"/>
      <c r="W835" s="53"/>
      <c r="X835" s="61" t="str">
        <f>IFERROR(IF(W835="","",WORKDAY.INTL(B835,_xlfn.XLOOKUP(W835,Regras!$F$2:$F$11,Regras!$G$2:$G$11))),"")</f>
        <v/>
      </c>
      <c r="Y835" s="150"/>
      <c r="Z835" s="53"/>
    </row>
    <row r="836" spans="2:26" x14ac:dyDescent="0.2">
      <c r="B836" s="89"/>
      <c r="D836" s="85"/>
      <c r="E836" s="121"/>
      <c r="F836" s="85"/>
      <c r="G836" s="85" t="s">
        <v>12</v>
      </c>
      <c r="H836" s="148"/>
      <c r="I836" s="142"/>
      <c r="J836" s="144"/>
      <c r="K836" s="144"/>
      <c r="L836" s="85"/>
      <c r="R836" s="53"/>
      <c r="S836" s="53"/>
      <c r="T836" s="53"/>
      <c r="U836" s="53"/>
      <c r="V836" s="53"/>
      <c r="W836" s="53"/>
      <c r="X836" s="61" t="str">
        <f>IFERROR(IF(W836="","",WORKDAY.INTL(B836,_xlfn.XLOOKUP(W836,Regras!$F$2:$F$11,Regras!$G$2:$G$11))),"")</f>
        <v/>
      </c>
      <c r="Y836" s="150"/>
      <c r="Z836" s="53"/>
    </row>
    <row r="837" spans="2:26" x14ac:dyDescent="0.2">
      <c r="B837" s="89"/>
      <c r="D837" s="85"/>
      <c r="E837" s="121"/>
      <c r="F837" s="85"/>
      <c r="G837" s="85" t="s">
        <v>12</v>
      </c>
      <c r="H837" s="148"/>
      <c r="I837" s="142"/>
      <c r="J837" s="144"/>
      <c r="K837" s="144"/>
      <c r="L837" s="85"/>
      <c r="R837" s="53"/>
      <c r="S837" s="53"/>
      <c r="T837" s="53"/>
      <c r="U837" s="53"/>
      <c r="V837" s="53"/>
      <c r="W837" s="53"/>
      <c r="X837" s="61" t="str">
        <f>IFERROR(IF(W837="","",WORKDAY.INTL(B837,_xlfn.XLOOKUP(W837,Regras!$F$2:$F$11,Regras!$G$2:$G$11))),"")</f>
        <v/>
      </c>
      <c r="Y837" s="150"/>
      <c r="Z837" s="53"/>
    </row>
    <row r="838" spans="2:26" x14ac:dyDescent="0.2">
      <c r="B838" s="89"/>
      <c r="D838" s="85"/>
      <c r="E838" s="121"/>
      <c r="F838" s="85"/>
      <c r="G838" s="85" t="s">
        <v>12</v>
      </c>
      <c r="H838" s="148"/>
      <c r="I838" s="142"/>
      <c r="J838" s="144"/>
      <c r="K838" s="144"/>
      <c r="L838" s="85"/>
      <c r="R838" s="53"/>
      <c r="S838" s="53"/>
      <c r="T838" s="53"/>
      <c r="U838" s="53"/>
      <c r="V838" s="53"/>
      <c r="W838" s="53"/>
      <c r="X838" s="61" t="str">
        <f>IFERROR(IF(W838="","",WORKDAY.INTL(B838,_xlfn.XLOOKUP(W838,Regras!$F$2:$F$11,Regras!$G$2:$G$11))),"")</f>
        <v/>
      </c>
      <c r="Y838" s="150"/>
      <c r="Z838" s="53"/>
    </row>
    <row r="839" spans="2:26" x14ac:dyDescent="0.2">
      <c r="B839" s="89"/>
      <c r="D839" s="85"/>
      <c r="E839" s="121"/>
      <c r="F839" s="85"/>
      <c r="G839" s="85" t="s">
        <v>12</v>
      </c>
      <c r="H839" s="148"/>
      <c r="I839" s="142"/>
      <c r="J839" s="144"/>
      <c r="K839" s="144"/>
      <c r="L839" s="85"/>
      <c r="R839" s="53"/>
      <c r="S839" s="53"/>
      <c r="T839" s="53"/>
      <c r="U839" s="53"/>
      <c r="V839" s="53"/>
      <c r="W839" s="53"/>
      <c r="X839" s="61" t="str">
        <f>IFERROR(IF(W839="","",WORKDAY.INTL(B839,_xlfn.XLOOKUP(W839,Regras!$F$2:$F$11,Regras!$G$2:$G$11))),"")</f>
        <v/>
      </c>
      <c r="Y839" s="150"/>
      <c r="Z839" s="53"/>
    </row>
    <row r="840" spans="2:26" x14ac:dyDescent="0.2">
      <c r="B840" s="89"/>
      <c r="D840" s="85"/>
      <c r="E840" s="121"/>
      <c r="F840" s="85"/>
      <c r="G840" s="85" t="s">
        <v>12</v>
      </c>
      <c r="H840" s="148"/>
      <c r="I840" s="142"/>
      <c r="J840" s="144"/>
      <c r="K840" s="144"/>
      <c r="L840" s="85"/>
      <c r="R840" s="53"/>
      <c r="S840" s="53"/>
      <c r="T840" s="53"/>
      <c r="U840" s="53"/>
      <c r="V840" s="53"/>
      <c r="W840" s="53"/>
      <c r="X840" s="61" t="str">
        <f>IFERROR(IF(W840="","",WORKDAY.INTL(B840,_xlfn.XLOOKUP(W840,Regras!$F$2:$F$11,Regras!$G$2:$G$11))),"")</f>
        <v/>
      </c>
      <c r="Y840" s="150"/>
      <c r="Z840" s="53"/>
    </row>
    <row r="841" spans="2:26" x14ac:dyDescent="0.2">
      <c r="D841" s="85"/>
      <c r="E841" s="121"/>
      <c r="F841" s="85"/>
      <c r="G841" s="85" t="s">
        <v>12</v>
      </c>
      <c r="H841" s="148"/>
      <c r="I841" s="142"/>
      <c r="J841" s="144"/>
      <c r="K841" s="144"/>
      <c r="L841" s="85"/>
      <c r="R841" s="53"/>
      <c r="S841" s="53"/>
      <c r="T841" s="53"/>
      <c r="U841" s="53"/>
      <c r="V841" s="53"/>
      <c r="W841" s="53"/>
      <c r="X841" s="61" t="str">
        <f>IFERROR(IF(W841="","",WORKDAY.INTL(B841,_xlfn.XLOOKUP(W841,Regras!$F$2:$F$11,Regras!$G$2:$G$11))),"")</f>
        <v/>
      </c>
      <c r="Y841" s="150"/>
      <c r="Z841" s="53"/>
    </row>
    <row r="842" spans="2:26" x14ac:dyDescent="0.2">
      <c r="D842" s="85"/>
      <c r="E842" s="121"/>
      <c r="F842" s="85"/>
      <c r="G842" s="85" t="s">
        <v>12</v>
      </c>
      <c r="H842" s="148"/>
      <c r="I842" s="142"/>
      <c r="J842" s="144"/>
      <c r="K842" s="144"/>
      <c r="L842" s="85"/>
      <c r="R842" s="53"/>
      <c r="S842" s="53"/>
      <c r="T842" s="53"/>
      <c r="U842" s="53"/>
      <c r="V842" s="53"/>
      <c r="W842" s="53"/>
      <c r="X842" s="61" t="str">
        <f>IFERROR(IF(W842="","",WORKDAY.INTL(B842,_xlfn.XLOOKUP(W842,Regras!$F$2:$F$11,Regras!$G$2:$G$11))),"")</f>
        <v/>
      </c>
      <c r="Y842" s="150"/>
      <c r="Z842" s="53"/>
    </row>
    <row r="843" spans="2:26" x14ac:dyDescent="0.2">
      <c r="D843" s="85"/>
      <c r="E843" s="121"/>
      <c r="F843" s="85"/>
      <c r="G843" s="85" t="s">
        <v>12</v>
      </c>
      <c r="H843" s="148"/>
      <c r="I843" s="142"/>
      <c r="J843" s="144"/>
      <c r="K843" s="144"/>
      <c r="L843" s="85"/>
      <c r="R843" s="53"/>
      <c r="S843" s="53"/>
      <c r="T843" s="53"/>
      <c r="U843" s="53"/>
      <c r="V843" s="53"/>
      <c r="W843" s="53"/>
      <c r="X843" s="61" t="str">
        <f>IFERROR(IF(W843="","",WORKDAY.INTL(B843,_xlfn.XLOOKUP(W843,Regras!$F$2:$F$11,Regras!$G$2:$G$11))),"")</f>
        <v/>
      </c>
      <c r="Y843" s="150"/>
      <c r="Z843" s="53"/>
    </row>
    <row r="844" spans="2:26" x14ac:dyDescent="0.2">
      <c r="D844" s="85"/>
      <c r="E844" s="121"/>
      <c r="F844" s="85"/>
      <c r="G844" s="85" t="s">
        <v>12</v>
      </c>
      <c r="H844" s="148"/>
      <c r="I844" s="142"/>
      <c r="J844" s="144"/>
      <c r="K844" s="144"/>
      <c r="L844" s="85"/>
      <c r="R844" s="53"/>
      <c r="S844" s="53"/>
      <c r="T844" s="53"/>
      <c r="U844" s="53"/>
      <c r="V844" s="53"/>
      <c r="W844" s="53"/>
      <c r="X844" s="61" t="str">
        <f>IFERROR(IF(W844="","",WORKDAY.INTL(B844,_xlfn.XLOOKUP(W844,Regras!$F$2:$F$11,Regras!$G$2:$G$11))),"")</f>
        <v/>
      </c>
      <c r="Y844" s="150"/>
      <c r="Z844" s="53"/>
    </row>
    <row r="845" spans="2:26" x14ac:dyDescent="0.2">
      <c r="D845" s="85"/>
      <c r="E845" s="121"/>
      <c r="F845" s="85"/>
      <c r="G845" s="85" t="s">
        <v>12</v>
      </c>
      <c r="H845" s="148"/>
      <c r="I845" s="142"/>
      <c r="J845" s="144"/>
      <c r="K845" s="144"/>
      <c r="L845" s="85"/>
      <c r="R845" s="53"/>
      <c r="S845" s="53"/>
      <c r="T845" s="53"/>
      <c r="U845" s="53"/>
      <c r="V845" s="53"/>
      <c r="W845" s="53"/>
      <c r="X845" s="61" t="str">
        <f>IFERROR(IF(W845="","",WORKDAY.INTL(B845,_xlfn.XLOOKUP(W845,Regras!$F$2:$F$11,Regras!$G$2:$G$11))),"")</f>
        <v/>
      </c>
      <c r="Y845" s="150"/>
      <c r="Z845" s="53"/>
    </row>
    <row r="846" spans="2:26" x14ac:dyDescent="0.2">
      <c r="D846" s="85"/>
      <c r="E846" s="121"/>
      <c r="F846" s="85"/>
      <c r="G846" s="85" t="s">
        <v>12</v>
      </c>
      <c r="H846" s="148"/>
      <c r="I846" s="142"/>
      <c r="J846" s="144"/>
      <c r="K846" s="144"/>
      <c r="L846" s="85"/>
      <c r="R846" s="53"/>
      <c r="S846" s="53"/>
      <c r="T846" s="53"/>
      <c r="U846" s="53"/>
      <c r="V846" s="53"/>
      <c r="W846" s="53"/>
      <c r="X846" s="61" t="str">
        <f>IFERROR(IF(W846="","",WORKDAY.INTL(B846,_xlfn.XLOOKUP(W846,Regras!$F$2:$F$11,Regras!$G$2:$G$11))),"")</f>
        <v/>
      </c>
      <c r="Y846" s="150"/>
      <c r="Z846" s="53"/>
    </row>
    <row r="847" spans="2:26" x14ac:dyDescent="0.2">
      <c r="D847" s="85"/>
      <c r="E847" s="121"/>
      <c r="F847" s="85"/>
      <c r="G847" s="85" t="s">
        <v>12</v>
      </c>
      <c r="H847" s="148"/>
      <c r="I847" s="142"/>
      <c r="J847" s="144"/>
      <c r="K847" s="144"/>
      <c r="L847" s="85"/>
      <c r="R847" s="53"/>
      <c r="S847" s="53"/>
      <c r="T847" s="53"/>
      <c r="U847" s="53"/>
      <c r="V847" s="53"/>
      <c r="W847" s="53"/>
      <c r="X847" s="61" t="str">
        <f>IFERROR(IF(W847="","",WORKDAY.INTL(B847,_xlfn.XLOOKUP(W847,Regras!$F$2:$F$11,Regras!$G$2:$G$11))),"")</f>
        <v/>
      </c>
      <c r="Y847" s="150"/>
      <c r="Z847" s="53"/>
    </row>
    <row r="848" spans="2:26" x14ac:dyDescent="0.2">
      <c r="D848" s="85"/>
      <c r="E848" s="121"/>
      <c r="F848" s="85"/>
      <c r="G848" s="85" t="s">
        <v>12</v>
      </c>
      <c r="H848" s="148"/>
      <c r="I848" s="142"/>
      <c r="J848" s="144"/>
      <c r="K848" s="144"/>
      <c r="L848" s="85"/>
      <c r="R848" s="53"/>
      <c r="S848" s="53"/>
      <c r="T848" s="53"/>
      <c r="U848" s="53"/>
      <c r="V848" s="53"/>
      <c r="W848" s="53"/>
      <c r="X848" s="61" t="str">
        <f>IFERROR(IF(W848="","",WORKDAY.INTL(B848,_xlfn.XLOOKUP(W848,Regras!$F$2:$F$11,Regras!$G$2:$G$11))),"")</f>
        <v/>
      </c>
      <c r="Y848" s="150"/>
      <c r="Z848" s="53"/>
    </row>
    <row r="849" spans="4:26" x14ac:dyDescent="0.2">
      <c r="D849" s="85"/>
      <c r="E849" s="121"/>
      <c r="F849" s="85"/>
      <c r="G849" s="85" t="s">
        <v>12</v>
      </c>
      <c r="H849" s="148"/>
      <c r="I849" s="142"/>
      <c r="J849" s="144"/>
      <c r="K849" s="144"/>
      <c r="L849" s="85"/>
      <c r="R849" s="53"/>
      <c r="S849" s="53"/>
      <c r="T849" s="53"/>
      <c r="U849" s="53"/>
      <c r="V849" s="53"/>
      <c r="W849" s="53"/>
      <c r="X849" s="61" t="str">
        <f>IFERROR(IF(W849="","",WORKDAY.INTL(B849,_xlfn.XLOOKUP(W849,Regras!$F$2:$F$11,Regras!$G$2:$G$11))),"")</f>
        <v/>
      </c>
      <c r="Y849" s="150"/>
      <c r="Z849" s="53"/>
    </row>
    <row r="850" spans="4:26" x14ac:dyDescent="0.2">
      <c r="D850" s="85"/>
      <c r="E850" s="121"/>
      <c r="F850" s="85"/>
      <c r="G850" s="85" t="s">
        <v>12</v>
      </c>
      <c r="H850" s="148"/>
      <c r="I850" s="142"/>
      <c r="J850" s="144"/>
      <c r="K850" s="144"/>
      <c r="L850" s="85"/>
      <c r="R850" s="53"/>
      <c r="S850" s="53"/>
      <c r="T850" s="53"/>
      <c r="U850" s="53"/>
      <c r="V850" s="53"/>
      <c r="W850" s="53"/>
      <c r="X850" s="61" t="str">
        <f>IFERROR(IF(W850="","",WORKDAY.INTL(B850,_xlfn.XLOOKUP(W850,Regras!$F$2:$F$11,Regras!$G$2:$G$11))),"")</f>
        <v/>
      </c>
      <c r="Y850" s="150"/>
      <c r="Z850" s="53"/>
    </row>
    <row r="851" spans="4:26" x14ac:dyDescent="0.2">
      <c r="D851" s="85"/>
      <c r="E851" s="121"/>
      <c r="F851" s="85"/>
      <c r="G851" s="85" t="s">
        <v>12</v>
      </c>
      <c r="H851" s="148"/>
      <c r="I851" s="142"/>
      <c r="J851" s="144"/>
      <c r="K851" s="144"/>
      <c r="L851" s="85"/>
      <c r="R851" s="53"/>
      <c r="S851" s="53"/>
      <c r="T851" s="53"/>
      <c r="U851" s="53"/>
      <c r="V851" s="53"/>
      <c r="W851" s="53"/>
      <c r="X851" s="61" t="str">
        <f>IFERROR(IF(W851="","",WORKDAY.INTL(B851,_xlfn.XLOOKUP(W851,Regras!$F$2:$F$11,Regras!$G$2:$G$11))),"")</f>
        <v/>
      </c>
      <c r="Y851" s="150"/>
      <c r="Z851" s="53"/>
    </row>
    <row r="852" spans="4:26" x14ac:dyDescent="0.2">
      <c r="D852" s="85"/>
      <c r="E852" s="121"/>
      <c r="F852" s="85"/>
      <c r="G852" s="85" t="s">
        <v>12</v>
      </c>
      <c r="H852" s="148"/>
      <c r="I852" s="142"/>
      <c r="J852" s="144"/>
      <c r="K852" s="144"/>
      <c r="L852" s="85"/>
      <c r="R852" s="53"/>
      <c r="S852" s="53"/>
      <c r="T852" s="53"/>
      <c r="U852" s="53"/>
      <c r="V852" s="53"/>
      <c r="W852" s="53"/>
      <c r="X852" s="61" t="str">
        <f>IFERROR(IF(W852="","",WORKDAY.INTL(B852,_xlfn.XLOOKUP(W852,Regras!$F$2:$F$11,Regras!$G$2:$G$11))),"")</f>
        <v/>
      </c>
      <c r="Y852" s="150"/>
      <c r="Z852" s="53"/>
    </row>
    <row r="853" spans="4:26" x14ac:dyDescent="0.2">
      <c r="D853" s="85"/>
      <c r="E853" s="121"/>
      <c r="F853" s="85"/>
      <c r="G853" s="85" t="s">
        <v>12</v>
      </c>
      <c r="H853" s="148"/>
      <c r="I853" s="142"/>
      <c r="J853" s="144"/>
      <c r="K853" s="144"/>
      <c r="L853" s="85"/>
      <c r="R853" s="53"/>
      <c r="S853" s="53"/>
      <c r="T853" s="53"/>
      <c r="U853" s="53"/>
      <c r="V853" s="53"/>
      <c r="W853" s="53"/>
      <c r="X853" s="61" t="str">
        <f>IFERROR(IF(W853="","",WORKDAY.INTL(B853,_xlfn.XLOOKUP(W853,Regras!$F$2:$F$11,Regras!$G$2:$G$11))),"")</f>
        <v/>
      </c>
      <c r="Y853" s="150"/>
      <c r="Z853" s="53"/>
    </row>
    <row r="854" spans="4:26" x14ac:dyDescent="0.2">
      <c r="D854" s="85"/>
      <c r="E854" s="121"/>
      <c r="F854" s="85"/>
      <c r="G854" s="85" t="s">
        <v>12</v>
      </c>
      <c r="H854" s="148"/>
      <c r="I854" s="142"/>
      <c r="J854" s="144"/>
      <c r="K854" s="144"/>
      <c r="L854" s="85"/>
      <c r="R854" s="53"/>
      <c r="S854" s="53"/>
      <c r="T854" s="53"/>
      <c r="U854" s="53"/>
      <c r="V854" s="53"/>
      <c r="W854" s="53"/>
      <c r="X854" s="61" t="str">
        <f>IFERROR(IF(W854="","",WORKDAY.INTL(B854,_xlfn.XLOOKUP(W854,Regras!$F$2:$F$11,Regras!$G$2:$G$11))),"")</f>
        <v/>
      </c>
      <c r="Y854" s="150"/>
      <c r="Z854" s="53"/>
    </row>
    <row r="855" spans="4:26" x14ac:dyDescent="0.2">
      <c r="D855" s="85"/>
      <c r="E855" s="121"/>
      <c r="F855" s="85"/>
      <c r="G855" s="85" t="s">
        <v>12</v>
      </c>
      <c r="H855" s="148"/>
      <c r="I855" s="142"/>
      <c r="J855" s="144"/>
      <c r="K855" s="144"/>
      <c r="L855" s="85"/>
      <c r="R855" s="53"/>
      <c r="S855" s="53"/>
      <c r="T855" s="53"/>
      <c r="U855" s="53"/>
      <c r="V855" s="53"/>
      <c r="W855" s="53"/>
      <c r="X855" s="61" t="str">
        <f>IFERROR(IF(W855="","",WORKDAY.INTL(B855,_xlfn.XLOOKUP(W855,Regras!$F$2:$F$11,Regras!$G$2:$G$11))),"")</f>
        <v/>
      </c>
      <c r="Y855" s="150"/>
      <c r="Z855" s="53"/>
    </row>
    <row r="856" spans="4:26" x14ac:dyDescent="0.2">
      <c r="D856" s="85"/>
      <c r="E856" s="121"/>
      <c r="F856" s="85"/>
      <c r="G856" s="85" t="s">
        <v>12</v>
      </c>
      <c r="H856" s="148"/>
      <c r="I856" s="142"/>
      <c r="J856" s="144"/>
      <c r="K856" s="144"/>
      <c r="L856" s="85"/>
      <c r="R856" s="53"/>
      <c r="S856" s="53"/>
      <c r="T856" s="53"/>
      <c r="U856" s="53"/>
      <c r="V856" s="53"/>
      <c r="W856" s="53"/>
      <c r="X856" s="61" t="str">
        <f>IFERROR(IF(W856="","",WORKDAY.INTL(B856,_xlfn.XLOOKUP(W856,Regras!$F$2:$F$11,Regras!$G$2:$G$11))),"")</f>
        <v/>
      </c>
      <c r="Y856" s="150"/>
      <c r="Z856" s="53"/>
    </row>
    <row r="857" spans="4:26" x14ac:dyDescent="0.2">
      <c r="D857" s="85"/>
      <c r="E857" s="121"/>
      <c r="F857" s="85"/>
      <c r="G857" s="85" t="s">
        <v>12</v>
      </c>
      <c r="H857" s="148"/>
      <c r="I857" s="142"/>
      <c r="J857" s="144"/>
      <c r="K857" s="144"/>
      <c r="L857" s="85"/>
      <c r="R857" s="53"/>
      <c r="S857" s="53"/>
      <c r="T857" s="53"/>
      <c r="U857" s="53"/>
      <c r="V857" s="53"/>
      <c r="W857" s="53"/>
      <c r="X857" s="61" t="str">
        <f>IFERROR(IF(W857="","",WORKDAY.INTL(B857,_xlfn.XLOOKUP(W857,Regras!$F$2:$F$11,Regras!$G$2:$G$11))),"")</f>
        <v/>
      </c>
      <c r="Y857" s="150"/>
      <c r="Z857" s="53"/>
    </row>
    <row r="858" spans="4:26" x14ac:dyDescent="0.2">
      <c r="D858" s="85"/>
      <c r="E858" s="121"/>
      <c r="F858" s="85"/>
      <c r="G858" s="85" t="s">
        <v>12</v>
      </c>
      <c r="H858" s="148"/>
      <c r="I858" s="142"/>
      <c r="J858" s="144"/>
      <c r="K858" s="144"/>
      <c r="L858" s="85"/>
      <c r="R858" s="53"/>
      <c r="S858" s="53"/>
      <c r="T858" s="53"/>
      <c r="U858" s="53"/>
      <c r="V858" s="53"/>
      <c r="W858" s="53"/>
      <c r="X858" s="61" t="str">
        <f>IFERROR(IF(W858="","",WORKDAY.INTL(B858,_xlfn.XLOOKUP(W858,Regras!$F$2:$F$11,Regras!$G$2:$G$11))),"")</f>
        <v/>
      </c>
      <c r="Y858" s="150"/>
      <c r="Z858" s="53"/>
    </row>
    <row r="859" spans="4:26" x14ac:dyDescent="0.2">
      <c r="D859" s="85"/>
      <c r="E859" s="121"/>
      <c r="F859" s="85"/>
      <c r="G859" s="85" t="s">
        <v>12</v>
      </c>
      <c r="H859" s="148"/>
      <c r="I859" s="142"/>
      <c r="J859" s="144"/>
      <c r="K859" s="144"/>
      <c r="L859" s="85"/>
      <c r="R859" s="53"/>
      <c r="S859" s="53"/>
      <c r="T859" s="53"/>
      <c r="U859" s="53"/>
      <c r="V859" s="53"/>
      <c r="W859" s="53"/>
      <c r="X859" s="61" t="str">
        <f>IFERROR(IF(W859="","",WORKDAY.INTL(B859,_xlfn.XLOOKUP(W859,Regras!$F$2:$F$11,Regras!$G$2:$G$11))),"")</f>
        <v/>
      </c>
      <c r="Y859" s="150"/>
      <c r="Z859" s="53"/>
    </row>
    <row r="860" spans="4:26" x14ac:dyDescent="0.2">
      <c r="D860" s="85"/>
      <c r="E860" s="121"/>
      <c r="F860" s="85"/>
      <c r="G860" s="85" t="s">
        <v>12</v>
      </c>
      <c r="H860" s="148"/>
      <c r="I860" s="142"/>
      <c r="J860" s="144"/>
      <c r="K860" s="144"/>
      <c r="L860" s="85"/>
      <c r="R860" s="53"/>
      <c r="S860" s="53"/>
      <c r="T860" s="53"/>
      <c r="U860" s="53"/>
      <c r="V860" s="53"/>
      <c r="W860" s="53"/>
      <c r="X860" s="61" t="str">
        <f>IFERROR(IF(W860="","",WORKDAY.INTL(B860,_xlfn.XLOOKUP(W860,Regras!$F$2:$F$11,Regras!$G$2:$G$11))),"")</f>
        <v/>
      </c>
      <c r="Y860" s="150"/>
      <c r="Z860" s="53"/>
    </row>
    <row r="861" spans="4:26" x14ac:dyDescent="0.2">
      <c r="D861" s="85"/>
      <c r="E861" s="121"/>
      <c r="F861" s="85"/>
      <c r="G861" s="85" t="s">
        <v>12</v>
      </c>
      <c r="H861" s="148"/>
      <c r="I861" s="142"/>
      <c r="J861" s="144"/>
      <c r="K861" s="144"/>
      <c r="L861" s="85"/>
      <c r="R861" s="53"/>
      <c r="S861" s="53"/>
      <c r="T861" s="53"/>
      <c r="U861" s="53"/>
      <c r="V861" s="53"/>
      <c r="W861" s="53"/>
      <c r="X861" s="61" t="str">
        <f>IFERROR(IF(W861="","",WORKDAY.INTL(B861,_xlfn.XLOOKUP(W861,Regras!$F$2:$F$11,Regras!$G$2:$G$11))),"")</f>
        <v/>
      </c>
      <c r="Y861" s="150"/>
      <c r="Z861" s="53"/>
    </row>
    <row r="862" spans="4:26" x14ac:dyDescent="0.2">
      <c r="D862" s="85"/>
      <c r="E862" s="121"/>
      <c r="F862" s="85"/>
      <c r="G862" s="85" t="s">
        <v>12</v>
      </c>
      <c r="H862" s="148"/>
      <c r="I862" s="142"/>
      <c r="J862" s="144"/>
      <c r="K862" s="144"/>
      <c r="L862" s="85"/>
      <c r="R862" s="53"/>
      <c r="S862" s="53"/>
      <c r="T862" s="53"/>
      <c r="U862" s="53"/>
      <c r="V862" s="53"/>
      <c r="W862" s="53"/>
      <c r="X862" s="61" t="str">
        <f>IFERROR(IF(W862="","",WORKDAY.INTL(B862,_xlfn.XLOOKUP(W862,Regras!$F$2:$F$11,Regras!$G$2:$G$11))),"")</f>
        <v/>
      </c>
      <c r="Y862" s="150"/>
      <c r="Z862" s="53"/>
    </row>
    <row r="863" spans="4:26" x14ac:dyDescent="0.2">
      <c r="D863" s="85"/>
      <c r="E863" s="121"/>
      <c r="F863" s="85"/>
      <c r="G863" s="85" t="s">
        <v>12</v>
      </c>
      <c r="H863" s="148"/>
      <c r="I863" s="142"/>
      <c r="J863" s="144"/>
      <c r="K863" s="144"/>
      <c r="L863" s="85"/>
      <c r="R863" s="53"/>
      <c r="S863" s="53"/>
      <c r="T863" s="53"/>
      <c r="U863" s="53"/>
      <c r="V863" s="53"/>
      <c r="W863" s="53"/>
      <c r="X863" s="61" t="str">
        <f>IFERROR(IF(W863="","",WORKDAY.INTL(B863,_xlfn.XLOOKUP(W863,Regras!$F$2:$F$11,Regras!$G$2:$G$11))),"")</f>
        <v/>
      </c>
      <c r="Y863" s="150"/>
      <c r="Z863" s="53"/>
    </row>
    <row r="864" spans="4:26" x14ac:dyDescent="0.2">
      <c r="D864" s="85"/>
      <c r="E864" s="125"/>
      <c r="F864" s="85"/>
      <c r="G864" s="85" t="s">
        <v>12</v>
      </c>
      <c r="H864" s="148"/>
      <c r="I864" s="142"/>
      <c r="J864" s="144"/>
      <c r="K864" s="144"/>
      <c r="L864" s="85"/>
      <c r="R864" s="53"/>
      <c r="S864" s="53"/>
      <c r="T864" s="53"/>
      <c r="U864" s="53"/>
      <c r="V864" s="53"/>
      <c r="W864" s="53"/>
      <c r="X864" s="61" t="str">
        <f>IFERROR(IF(W864="","",WORKDAY.INTL(B864,_xlfn.XLOOKUP(W864,Regras!$F$2:$F$11,Regras!$G$2:$G$11))),"")</f>
        <v/>
      </c>
      <c r="Y864" s="150"/>
      <c r="Z864" s="53"/>
    </row>
    <row r="865" spans="4:26" x14ac:dyDescent="0.2">
      <c r="D865" s="85"/>
      <c r="E865" s="125"/>
      <c r="F865" s="85"/>
      <c r="G865" s="85" t="s">
        <v>12</v>
      </c>
      <c r="H865" s="148"/>
      <c r="I865" s="142"/>
      <c r="J865" s="144"/>
      <c r="K865" s="144"/>
      <c r="L865" s="85"/>
      <c r="R865" s="53"/>
      <c r="S865" s="53"/>
      <c r="T865" s="53"/>
      <c r="U865" s="53"/>
      <c r="V865" s="53"/>
      <c r="W865" s="53"/>
      <c r="X865" s="61" t="str">
        <f>IFERROR(IF(W865="","",WORKDAY.INTL(B865,_xlfn.XLOOKUP(W865,Regras!$F$2:$F$11,Regras!$G$2:$G$11))),"")</f>
        <v/>
      </c>
      <c r="Y865" s="150"/>
      <c r="Z865" s="53"/>
    </row>
    <row r="866" spans="4:26" x14ac:dyDescent="0.2">
      <c r="D866" s="85"/>
      <c r="E866" s="125"/>
      <c r="F866" s="85"/>
      <c r="G866" s="85" t="s">
        <v>12</v>
      </c>
      <c r="H866" s="148"/>
      <c r="I866" s="142"/>
      <c r="J866" s="144"/>
      <c r="K866" s="144"/>
      <c r="L866" s="85"/>
      <c r="R866" s="53"/>
      <c r="S866" s="53"/>
      <c r="T866" s="53"/>
      <c r="U866" s="53"/>
      <c r="V866" s="53"/>
      <c r="W866" s="53"/>
      <c r="X866" s="61" t="str">
        <f>IFERROR(IF(W866="","",WORKDAY.INTL(B866,_xlfn.XLOOKUP(W866,Regras!$F$2:$F$11,Regras!$G$2:$G$11))),"")</f>
        <v/>
      </c>
      <c r="Y866" s="150"/>
      <c r="Z866" s="53"/>
    </row>
    <row r="867" spans="4:26" x14ac:dyDescent="0.2">
      <c r="D867" s="85"/>
      <c r="E867" s="125"/>
      <c r="F867" s="85"/>
      <c r="G867" s="85" t="s">
        <v>12</v>
      </c>
      <c r="H867" s="148"/>
      <c r="I867" s="142"/>
      <c r="J867" s="144"/>
      <c r="K867" s="144"/>
      <c r="L867" s="85"/>
      <c r="R867" s="53"/>
      <c r="S867" s="53"/>
      <c r="T867" s="53"/>
      <c r="U867" s="53"/>
      <c r="V867" s="53"/>
      <c r="W867" s="53"/>
      <c r="X867" s="61" t="str">
        <f>IFERROR(IF(W867="","",WORKDAY.INTL(B867,_xlfn.XLOOKUP(W867,Regras!$F$2:$F$11,Regras!$G$2:$G$11))),"")</f>
        <v/>
      </c>
      <c r="Y867" s="150"/>
      <c r="Z867" s="53"/>
    </row>
    <row r="868" spans="4:26" x14ac:dyDescent="0.2">
      <c r="D868" s="85"/>
      <c r="E868" s="125"/>
      <c r="F868" s="85"/>
      <c r="G868" s="85" t="s">
        <v>12</v>
      </c>
      <c r="H868" s="148"/>
      <c r="I868" s="142"/>
      <c r="J868" s="144"/>
      <c r="K868" s="144"/>
      <c r="L868" s="85"/>
      <c r="R868" s="53"/>
      <c r="S868" s="53"/>
      <c r="T868" s="53"/>
      <c r="U868" s="53"/>
      <c r="V868" s="53"/>
      <c r="W868" s="53"/>
      <c r="X868" s="61" t="str">
        <f>IFERROR(IF(W868="","",WORKDAY.INTL(B868,_xlfn.XLOOKUP(W868,Regras!$F$2:$F$11,Regras!$G$2:$G$11))),"")</f>
        <v/>
      </c>
      <c r="Y868" s="150"/>
      <c r="Z868" s="53"/>
    </row>
    <row r="869" spans="4:26" x14ac:dyDescent="0.2">
      <c r="D869" s="85"/>
      <c r="E869" s="125"/>
      <c r="F869" s="85"/>
      <c r="G869" s="85" t="s">
        <v>12</v>
      </c>
      <c r="H869" s="148"/>
      <c r="I869" s="142"/>
      <c r="J869" s="144"/>
      <c r="K869" s="144"/>
      <c r="L869" s="85"/>
      <c r="R869" s="53"/>
      <c r="S869" s="53"/>
      <c r="T869" s="53"/>
      <c r="U869" s="53"/>
      <c r="V869" s="53"/>
      <c r="W869" s="53"/>
      <c r="X869" s="61" t="str">
        <f>IFERROR(IF(W869="","",WORKDAY.INTL(B869,_xlfn.XLOOKUP(W869,Regras!$F$2:$F$11,Regras!$G$2:$G$11))),"")</f>
        <v/>
      </c>
      <c r="Y869" s="150"/>
      <c r="Z869" s="53"/>
    </row>
    <row r="870" spans="4:26" x14ac:dyDescent="0.2">
      <c r="D870" s="85"/>
      <c r="E870" s="125"/>
      <c r="F870" s="85"/>
      <c r="G870" s="85" t="s">
        <v>12</v>
      </c>
      <c r="H870" s="148"/>
      <c r="I870" s="142"/>
      <c r="J870" s="144"/>
      <c r="K870" s="144"/>
      <c r="L870" s="85"/>
      <c r="R870" s="53"/>
      <c r="S870" s="53"/>
      <c r="T870" s="53"/>
      <c r="U870" s="53"/>
      <c r="V870" s="53"/>
      <c r="W870" s="53"/>
      <c r="X870" s="61" t="str">
        <f>IFERROR(IF(W870="","",WORKDAY.INTL(B870,_xlfn.XLOOKUP(W870,Regras!$F$2:$F$11,Regras!$G$2:$G$11))),"")</f>
        <v/>
      </c>
      <c r="Y870" s="150"/>
      <c r="Z870" s="53"/>
    </row>
    <row r="871" spans="4:26" x14ac:dyDescent="0.2">
      <c r="D871" s="85"/>
      <c r="E871" s="125"/>
      <c r="F871" s="85"/>
      <c r="G871" s="85" t="s">
        <v>12</v>
      </c>
      <c r="H871" s="148"/>
      <c r="I871" s="142"/>
      <c r="J871" s="144"/>
      <c r="K871" s="144"/>
      <c r="L871" s="85"/>
      <c r="R871" s="53"/>
      <c r="S871" s="53"/>
      <c r="T871" s="53"/>
      <c r="U871" s="53"/>
      <c r="V871" s="53"/>
      <c r="W871" s="53"/>
      <c r="X871" s="61" t="str">
        <f>IFERROR(IF(W871="","",WORKDAY.INTL(B871,_xlfn.XLOOKUP(W871,Regras!$F$2:$F$11,Regras!$G$2:$G$11))),"")</f>
        <v/>
      </c>
      <c r="Y871" s="150"/>
      <c r="Z871" s="53"/>
    </row>
    <row r="872" spans="4:26" x14ac:dyDescent="0.2">
      <c r="D872" s="85"/>
      <c r="E872" s="125"/>
      <c r="F872" s="85"/>
      <c r="G872" s="85" t="s">
        <v>12</v>
      </c>
      <c r="H872" s="148"/>
      <c r="I872" s="142"/>
      <c r="J872" s="144"/>
      <c r="K872" s="144"/>
      <c r="L872" s="85"/>
      <c r="R872" s="53"/>
      <c r="S872" s="53"/>
      <c r="T872" s="53"/>
      <c r="U872" s="53"/>
      <c r="V872" s="53"/>
      <c r="W872" s="53"/>
      <c r="X872" s="61" t="str">
        <f>IFERROR(IF(W872="","",WORKDAY.INTL(B872,_xlfn.XLOOKUP(W872,Regras!$F$2:$F$11,Regras!$G$2:$G$11))),"")</f>
        <v/>
      </c>
      <c r="Y872" s="150"/>
      <c r="Z872" s="53"/>
    </row>
    <row r="873" spans="4:26" x14ac:dyDescent="0.2">
      <c r="D873" s="85"/>
      <c r="E873" s="125"/>
      <c r="F873" s="85"/>
      <c r="G873" s="85" t="s">
        <v>12</v>
      </c>
      <c r="H873" s="148"/>
      <c r="I873" s="142"/>
      <c r="J873" s="144"/>
      <c r="K873" s="144"/>
      <c r="L873" s="85"/>
      <c r="R873" s="53"/>
      <c r="S873" s="53"/>
      <c r="T873" s="53"/>
      <c r="U873" s="53"/>
      <c r="V873" s="53"/>
      <c r="W873" s="53"/>
      <c r="X873" s="61" t="str">
        <f>IFERROR(IF(W873="","",WORKDAY.INTL(B873,_xlfn.XLOOKUP(W873,Regras!$F$2:$F$11,Regras!$G$2:$G$11))),"")</f>
        <v/>
      </c>
      <c r="Y873" s="150"/>
      <c r="Z873" s="53"/>
    </row>
    <row r="874" spans="4:26" x14ac:dyDescent="0.2">
      <c r="D874" s="85"/>
      <c r="E874" s="125"/>
      <c r="F874" s="85"/>
      <c r="G874" s="85" t="s">
        <v>12</v>
      </c>
      <c r="H874" s="148"/>
      <c r="I874" s="142"/>
      <c r="J874" s="144"/>
      <c r="K874" s="144"/>
      <c r="L874" s="85"/>
      <c r="R874" s="53"/>
      <c r="S874" s="53"/>
      <c r="T874" s="53"/>
      <c r="U874" s="53"/>
      <c r="V874" s="53"/>
      <c r="W874" s="53"/>
      <c r="X874" s="61" t="str">
        <f>IFERROR(IF(W874="","",WORKDAY.INTL(B874,_xlfn.XLOOKUP(W874,Regras!$F$2:$F$11,Regras!$G$2:$G$11))),"")</f>
        <v/>
      </c>
      <c r="Y874" s="150"/>
      <c r="Z874" s="53"/>
    </row>
    <row r="875" spans="4:26" x14ac:dyDescent="0.2">
      <c r="D875" s="85"/>
      <c r="E875" s="125"/>
      <c r="F875" s="85"/>
      <c r="G875" s="85" t="s">
        <v>12</v>
      </c>
      <c r="H875" s="148"/>
      <c r="I875" s="142"/>
      <c r="J875" s="144"/>
      <c r="K875" s="144"/>
      <c r="L875" s="85"/>
      <c r="R875" s="53"/>
      <c r="S875" s="53"/>
      <c r="T875" s="53"/>
      <c r="U875" s="53"/>
      <c r="V875" s="53"/>
      <c r="W875" s="53"/>
      <c r="X875" s="61" t="str">
        <f>IFERROR(IF(W875="","",WORKDAY.INTL(B875,_xlfn.XLOOKUP(W875,Regras!$F$2:$F$11,Regras!$G$2:$G$11))),"")</f>
        <v/>
      </c>
      <c r="Y875" s="150"/>
      <c r="Z875" s="53"/>
    </row>
    <row r="876" spans="4:26" x14ac:dyDescent="0.2">
      <c r="D876" s="85"/>
      <c r="E876" s="125"/>
      <c r="F876" s="85"/>
      <c r="G876" s="85" t="s">
        <v>12</v>
      </c>
      <c r="H876" s="148"/>
      <c r="I876" s="142"/>
      <c r="J876" s="144"/>
      <c r="K876" s="144"/>
      <c r="L876" s="85"/>
      <c r="R876" s="53"/>
      <c r="S876" s="53"/>
      <c r="T876" s="53"/>
      <c r="U876" s="53"/>
      <c r="V876" s="53"/>
      <c r="W876" s="53"/>
      <c r="X876" s="61" t="str">
        <f>IFERROR(IF(W876="","",WORKDAY.INTL(B876,_xlfn.XLOOKUP(W876,Regras!$F$2:$F$11,Regras!$G$2:$G$11))),"")</f>
        <v/>
      </c>
      <c r="Y876" s="150"/>
      <c r="Z876" s="53"/>
    </row>
    <row r="877" spans="4:26" x14ac:dyDescent="0.2">
      <c r="D877" s="85"/>
      <c r="E877" s="125"/>
      <c r="F877" s="85"/>
      <c r="G877" s="85" t="s">
        <v>12</v>
      </c>
      <c r="H877" s="148"/>
      <c r="I877" s="142"/>
      <c r="J877" s="144"/>
      <c r="K877" s="144"/>
      <c r="L877" s="85"/>
      <c r="R877" s="53"/>
      <c r="S877" s="53"/>
      <c r="T877" s="53"/>
      <c r="U877" s="53"/>
      <c r="V877" s="53"/>
      <c r="W877" s="53"/>
      <c r="X877" s="61" t="str">
        <f>IFERROR(IF(W877="","",WORKDAY.INTL(B877,_xlfn.XLOOKUP(W877,Regras!$F$2:$F$11,Regras!$G$2:$G$11))),"")</f>
        <v/>
      </c>
      <c r="Y877" s="150"/>
      <c r="Z877" s="53"/>
    </row>
    <row r="878" spans="4:26" x14ac:dyDescent="0.2">
      <c r="D878" s="85"/>
      <c r="E878" s="125"/>
      <c r="F878" s="85"/>
      <c r="G878" s="85" t="s">
        <v>12</v>
      </c>
      <c r="H878" s="148"/>
      <c r="I878" s="142"/>
      <c r="J878" s="144"/>
      <c r="K878" s="144"/>
      <c r="L878" s="85"/>
      <c r="R878" s="53"/>
      <c r="S878" s="53"/>
      <c r="T878" s="53"/>
      <c r="U878" s="53"/>
      <c r="V878" s="53"/>
      <c r="W878" s="53"/>
      <c r="X878" s="61" t="str">
        <f>IFERROR(IF(W878="","",WORKDAY.INTL(B878,_xlfn.XLOOKUP(W878,Regras!$F$2:$F$11,Regras!$G$2:$G$11))),"")</f>
        <v/>
      </c>
      <c r="Y878" s="150"/>
      <c r="Z878" s="53"/>
    </row>
    <row r="879" spans="4:26" x14ac:dyDescent="0.2">
      <c r="D879" s="85"/>
      <c r="E879" s="125"/>
      <c r="F879" s="85"/>
      <c r="G879" s="85" t="s">
        <v>12</v>
      </c>
      <c r="H879" s="148"/>
      <c r="I879" s="142"/>
      <c r="J879" s="144"/>
      <c r="K879" s="144"/>
      <c r="L879" s="85"/>
      <c r="R879" s="53"/>
      <c r="S879" s="53"/>
      <c r="T879" s="53"/>
      <c r="U879" s="53"/>
      <c r="V879" s="53"/>
      <c r="W879" s="53"/>
      <c r="X879" s="61" t="str">
        <f>IFERROR(IF(W879="","",WORKDAY.INTL(B879,_xlfn.XLOOKUP(W879,Regras!$F$2:$F$11,Regras!$G$2:$G$11))),"")</f>
        <v/>
      </c>
      <c r="Y879" s="150"/>
      <c r="Z879" s="53"/>
    </row>
    <row r="880" spans="4:26" x14ac:dyDescent="0.2">
      <c r="D880" s="85"/>
      <c r="E880" s="125"/>
      <c r="F880" s="85"/>
      <c r="G880" s="85" t="s">
        <v>12</v>
      </c>
      <c r="H880" s="148"/>
      <c r="I880" s="142"/>
      <c r="J880" s="144"/>
      <c r="K880" s="144"/>
      <c r="L880" s="85"/>
      <c r="R880" s="53"/>
      <c r="S880" s="53"/>
      <c r="T880" s="53"/>
      <c r="U880" s="53"/>
      <c r="V880" s="53"/>
      <c r="W880" s="53"/>
      <c r="X880" s="61" t="str">
        <f>IFERROR(IF(W880="","",WORKDAY.INTL(B880,_xlfn.XLOOKUP(W880,Regras!$F$2:$F$11,Regras!$G$2:$G$11))),"")</f>
        <v/>
      </c>
      <c r="Y880" s="150"/>
      <c r="Z880" s="53"/>
    </row>
    <row r="881" spans="4:26" x14ac:dyDescent="0.2">
      <c r="D881" s="85"/>
      <c r="E881" s="125"/>
      <c r="F881" s="85"/>
      <c r="G881" s="85" t="s">
        <v>12</v>
      </c>
      <c r="H881" s="148"/>
      <c r="I881" s="142"/>
      <c r="J881" s="144"/>
      <c r="K881" s="144"/>
      <c r="L881" s="85"/>
      <c r="R881" s="53"/>
      <c r="S881" s="53"/>
      <c r="T881" s="53"/>
      <c r="U881" s="53"/>
      <c r="V881" s="53"/>
      <c r="W881" s="53"/>
      <c r="X881" s="61" t="str">
        <f>IFERROR(IF(W881="","",WORKDAY.INTL(B881,_xlfn.XLOOKUP(W881,Regras!$F$2:$F$11,Regras!$G$2:$G$11))),"")</f>
        <v/>
      </c>
      <c r="Y881" s="150"/>
      <c r="Z881" s="53"/>
    </row>
    <row r="882" spans="4:26" x14ac:dyDescent="0.2">
      <c r="D882" s="85"/>
      <c r="E882" s="125"/>
      <c r="F882" s="85"/>
      <c r="G882" s="85" t="s">
        <v>12</v>
      </c>
      <c r="H882" s="148"/>
      <c r="I882" s="142"/>
      <c r="J882" s="144"/>
      <c r="K882" s="144"/>
      <c r="L882" s="85"/>
      <c r="R882" s="53"/>
      <c r="S882" s="53"/>
      <c r="T882" s="53"/>
      <c r="U882" s="53"/>
      <c r="V882" s="53"/>
      <c r="W882" s="53"/>
      <c r="X882" s="61" t="str">
        <f>IFERROR(IF(W882="","",WORKDAY.INTL(B882,_xlfn.XLOOKUP(W882,Regras!$F$2:$F$11,Regras!$G$2:$G$11))),"")</f>
        <v/>
      </c>
      <c r="Y882" s="150"/>
      <c r="Z882" s="53"/>
    </row>
    <row r="883" spans="4:26" x14ac:dyDescent="0.2">
      <c r="D883" s="85"/>
      <c r="E883" s="125"/>
      <c r="F883" s="85"/>
      <c r="G883" s="85" t="s">
        <v>12</v>
      </c>
      <c r="H883" s="148"/>
      <c r="I883" s="142"/>
      <c r="J883" s="144"/>
      <c r="K883" s="144"/>
      <c r="L883" s="85"/>
      <c r="R883" s="53"/>
      <c r="S883" s="53"/>
      <c r="T883" s="53"/>
      <c r="U883" s="53"/>
      <c r="V883" s="53"/>
      <c r="W883" s="53"/>
      <c r="X883" s="61" t="str">
        <f>IFERROR(IF(W883="","",WORKDAY.INTL(B883,_xlfn.XLOOKUP(W883,Regras!$F$2:$F$11,Regras!$G$2:$G$11))),"")</f>
        <v/>
      </c>
      <c r="Y883" s="150"/>
      <c r="Z883" s="53"/>
    </row>
    <row r="884" spans="4:26" x14ac:dyDescent="0.2">
      <c r="D884" s="85"/>
      <c r="E884" s="125"/>
      <c r="F884" s="85"/>
      <c r="G884" s="85" t="s">
        <v>12</v>
      </c>
      <c r="H884" s="148"/>
      <c r="I884" s="142"/>
      <c r="J884" s="144"/>
      <c r="K884" s="144"/>
      <c r="L884" s="85"/>
      <c r="R884" s="53"/>
      <c r="S884" s="53"/>
      <c r="T884" s="53"/>
      <c r="U884" s="53"/>
      <c r="V884" s="53"/>
      <c r="W884" s="53"/>
      <c r="X884" s="61" t="str">
        <f>IFERROR(IF(W884="","",WORKDAY.INTL(B884,_xlfn.XLOOKUP(W884,Regras!$F$2:$F$11,Regras!$G$2:$G$11))),"")</f>
        <v/>
      </c>
      <c r="Y884" s="150"/>
      <c r="Z884" s="53"/>
    </row>
    <row r="885" spans="4:26" x14ac:dyDescent="0.2">
      <c r="D885" s="85"/>
      <c r="E885" s="125"/>
      <c r="F885" s="85"/>
      <c r="G885" s="85" t="s">
        <v>12</v>
      </c>
      <c r="H885" s="148"/>
      <c r="I885" s="142"/>
      <c r="J885" s="144"/>
      <c r="K885" s="144"/>
      <c r="L885" s="85"/>
      <c r="R885" s="53"/>
      <c r="S885" s="53"/>
      <c r="T885" s="53"/>
      <c r="U885" s="53"/>
      <c r="V885" s="53"/>
      <c r="W885" s="53"/>
      <c r="X885" s="61" t="str">
        <f>IFERROR(IF(W885="","",WORKDAY.INTL(B885,_xlfn.XLOOKUP(W885,Regras!$F$2:$F$11,Regras!$G$2:$G$11))),"")</f>
        <v/>
      </c>
      <c r="Y885" s="150"/>
      <c r="Z885" s="53"/>
    </row>
    <row r="886" spans="4:26" x14ac:dyDescent="0.2">
      <c r="D886" s="85"/>
      <c r="E886" s="125"/>
      <c r="F886" s="85"/>
      <c r="G886" s="85" t="s">
        <v>12</v>
      </c>
      <c r="H886" s="148"/>
      <c r="I886" s="142"/>
      <c r="J886" s="144"/>
      <c r="K886" s="144"/>
      <c r="L886" s="85"/>
      <c r="R886" s="53"/>
      <c r="S886" s="53"/>
      <c r="T886" s="53"/>
      <c r="U886" s="53"/>
      <c r="V886" s="53"/>
      <c r="W886" s="53"/>
      <c r="X886" s="61" t="str">
        <f>IFERROR(IF(W886="","",WORKDAY.INTL(B886,_xlfn.XLOOKUP(W886,Regras!$F$2:$F$11,Regras!$G$2:$G$11))),"")</f>
        <v/>
      </c>
      <c r="Y886" s="150"/>
      <c r="Z886" s="53"/>
    </row>
    <row r="887" spans="4:26" x14ac:dyDescent="0.2">
      <c r="D887" s="85"/>
      <c r="E887" s="125"/>
      <c r="F887" s="85"/>
      <c r="G887" s="85" t="s">
        <v>12</v>
      </c>
      <c r="H887" s="148"/>
      <c r="I887" s="142"/>
      <c r="J887" s="144"/>
      <c r="K887" s="144"/>
      <c r="L887" s="85"/>
      <c r="R887" s="53"/>
      <c r="S887" s="53"/>
      <c r="T887" s="53"/>
      <c r="U887" s="53"/>
      <c r="V887" s="53"/>
      <c r="W887" s="53"/>
      <c r="X887" s="61" t="str">
        <f>IFERROR(IF(W887="","",WORKDAY.INTL(B887,_xlfn.XLOOKUP(W887,Regras!$F$2:$F$11,Regras!$G$2:$G$11))),"")</f>
        <v/>
      </c>
      <c r="Y887" s="150"/>
      <c r="Z887" s="53"/>
    </row>
    <row r="888" spans="4:26" x14ac:dyDescent="0.2">
      <c r="D888" s="85"/>
      <c r="E888" s="125"/>
      <c r="F888" s="85"/>
      <c r="G888" s="85" t="s">
        <v>12</v>
      </c>
      <c r="H888" s="148"/>
      <c r="I888" s="142"/>
      <c r="J888" s="144"/>
      <c r="K888" s="144"/>
      <c r="L888" s="85"/>
      <c r="R888" s="53"/>
      <c r="S888" s="53"/>
      <c r="T888" s="53"/>
      <c r="U888" s="53"/>
      <c r="V888" s="53"/>
      <c r="W888" s="53"/>
      <c r="X888" s="61" t="str">
        <f>IFERROR(IF(W888="","",WORKDAY.INTL(B888,_xlfn.XLOOKUP(W888,Regras!$F$2:$F$11,Regras!$G$2:$G$11))),"")</f>
        <v/>
      </c>
      <c r="Y888" s="150"/>
      <c r="Z888" s="53"/>
    </row>
    <row r="889" spans="4:26" x14ac:dyDescent="0.2">
      <c r="D889" s="85"/>
      <c r="E889" s="125"/>
      <c r="F889" s="85"/>
      <c r="G889" s="85" t="s">
        <v>12</v>
      </c>
      <c r="H889" s="148"/>
      <c r="I889" s="142"/>
      <c r="J889" s="144"/>
      <c r="K889" s="144"/>
      <c r="L889" s="85"/>
      <c r="R889" s="53"/>
      <c r="S889" s="53"/>
      <c r="T889" s="53"/>
      <c r="U889" s="53"/>
      <c r="V889" s="53"/>
      <c r="W889" s="53"/>
      <c r="X889" s="61" t="str">
        <f>IFERROR(IF(W889="","",WORKDAY.INTL(B889,_xlfn.XLOOKUP(W889,Regras!$F$2:$F$11,Regras!$G$2:$G$11))),"")</f>
        <v/>
      </c>
      <c r="Y889" s="150"/>
      <c r="Z889" s="53"/>
    </row>
    <row r="890" spans="4:26" x14ac:dyDescent="0.2">
      <c r="D890" s="85"/>
      <c r="E890" s="125"/>
      <c r="F890" s="85"/>
      <c r="G890" s="85" t="s">
        <v>12</v>
      </c>
      <c r="H890" s="148"/>
      <c r="I890" s="142"/>
      <c r="J890" s="144"/>
      <c r="K890" s="144"/>
      <c r="L890" s="85"/>
      <c r="R890" s="53"/>
      <c r="S890" s="53"/>
      <c r="T890" s="53"/>
      <c r="U890" s="53"/>
      <c r="V890" s="53"/>
      <c r="W890" s="53"/>
      <c r="X890" s="61" t="str">
        <f>IFERROR(IF(W890="","",WORKDAY.INTL(B890,_xlfn.XLOOKUP(W890,Regras!$F$2:$F$11,Regras!$G$2:$G$11))),"")</f>
        <v/>
      </c>
      <c r="Y890" s="150"/>
      <c r="Z890" s="53"/>
    </row>
    <row r="891" spans="4:26" x14ac:dyDescent="0.2">
      <c r="D891" s="85"/>
      <c r="E891" s="125"/>
      <c r="F891" s="85"/>
      <c r="G891" s="85" t="s">
        <v>12</v>
      </c>
      <c r="H891" s="148"/>
      <c r="I891" s="142"/>
      <c r="J891" s="144"/>
      <c r="K891" s="144"/>
      <c r="L891" s="85"/>
      <c r="R891" s="53"/>
      <c r="S891" s="53"/>
      <c r="T891" s="53"/>
      <c r="U891" s="53"/>
      <c r="V891" s="53"/>
      <c r="W891" s="53"/>
      <c r="X891" s="61" t="str">
        <f>IFERROR(IF(W891="","",WORKDAY.INTL(B891,_xlfn.XLOOKUP(W891,Regras!$F$2:$F$11,Regras!$G$2:$G$11))),"")</f>
        <v/>
      </c>
      <c r="Y891" s="150"/>
      <c r="Z891" s="53"/>
    </row>
    <row r="892" spans="4:26" x14ac:dyDescent="0.2">
      <c r="D892" s="85"/>
      <c r="E892" s="125"/>
      <c r="F892" s="85"/>
      <c r="G892" s="85" t="s">
        <v>12</v>
      </c>
      <c r="H892" s="148"/>
      <c r="I892" s="142"/>
      <c r="J892" s="144"/>
      <c r="K892" s="144"/>
      <c r="L892" s="85"/>
      <c r="R892" s="53"/>
      <c r="S892" s="53"/>
      <c r="T892" s="53"/>
      <c r="U892" s="53"/>
      <c r="V892" s="53"/>
      <c r="W892" s="53"/>
      <c r="X892" s="61" t="str">
        <f>IFERROR(IF(W892="","",WORKDAY.INTL(B892,_xlfn.XLOOKUP(W892,Regras!$F$2:$F$11,Regras!$G$2:$G$11))),"")</f>
        <v/>
      </c>
      <c r="Y892" s="150"/>
      <c r="Z892" s="53"/>
    </row>
    <row r="893" spans="4:26" x14ac:dyDescent="0.2">
      <c r="D893" s="85"/>
      <c r="E893" s="125"/>
      <c r="F893" s="85"/>
      <c r="G893" s="85" t="s">
        <v>12</v>
      </c>
      <c r="H893" s="148"/>
      <c r="I893" s="142"/>
      <c r="J893" s="144"/>
      <c r="K893" s="144"/>
      <c r="L893" s="85"/>
      <c r="R893" s="53"/>
      <c r="S893" s="53"/>
      <c r="T893" s="53"/>
      <c r="U893" s="53"/>
      <c r="V893" s="53"/>
      <c r="W893" s="53"/>
      <c r="X893" s="61" t="str">
        <f>IFERROR(IF(W893="","",WORKDAY.INTL(B893,_xlfn.XLOOKUP(W893,Regras!$F$2:$F$11,Regras!$G$2:$G$11))),"")</f>
        <v/>
      </c>
      <c r="Y893" s="150"/>
      <c r="Z893" s="53"/>
    </row>
    <row r="894" spans="4:26" x14ac:dyDescent="0.2">
      <c r="D894" s="85"/>
      <c r="E894" s="125"/>
      <c r="F894" s="85"/>
      <c r="G894" s="85" t="s">
        <v>12</v>
      </c>
      <c r="H894" s="148"/>
      <c r="I894" s="142"/>
      <c r="J894" s="144"/>
      <c r="K894" s="144"/>
      <c r="L894" s="85"/>
      <c r="R894" s="53"/>
      <c r="S894" s="53"/>
      <c r="T894" s="53"/>
      <c r="U894" s="53"/>
      <c r="V894" s="53"/>
      <c r="W894" s="53"/>
      <c r="X894" s="61" t="str">
        <f>IFERROR(IF(W894="","",WORKDAY.INTL(B894,_xlfn.XLOOKUP(W894,Regras!$F$2:$F$11,Regras!$G$2:$G$11))),"")</f>
        <v/>
      </c>
      <c r="Y894" s="150"/>
      <c r="Z894" s="53"/>
    </row>
    <row r="895" spans="4:26" x14ac:dyDescent="0.2">
      <c r="D895" s="85"/>
      <c r="E895" s="125"/>
      <c r="F895" s="85"/>
      <c r="G895" s="85" t="s">
        <v>12</v>
      </c>
      <c r="H895" s="148"/>
      <c r="I895" s="142"/>
      <c r="J895" s="144"/>
      <c r="K895" s="144"/>
      <c r="L895" s="85"/>
      <c r="R895" s="53"/>
      <c r="S895" s="53"/>
      <c r="T895" s="53"/>
      <c r="U895" s="53"/>
      <c r="V895" s="53"/>
      <c r="W895" s="53"/>
      <c r="X895" s="61" t="str">
        <f>IFERROR(IF(W895="","",WORKDAY.INTL(B895,_xlfn.XLOOKUP(W895,Regras!$F$2:$F$11,Regras!$G$2:$G$11))),"")</f>
        <v/>
      </c>
      <c r="Y895" s="150"/>
      <c r="Z895" s="53"/>
    </row>
    <row r="896" spans="4:26" x14ac:dyDescent="0.2">
      <c r="D896" s="85"/>
      <c r="E896" s="125"/>
      <c r="F896" s="85"/>
      <c r="G896" s="85" t="s">
        <v>12</v>
      </c>
      <c r="H896" s="148"/>
      <c r="I896" s="142"/>
      <c r="J896" s="144"/>
      <c r="K896" s="144"/>
      <c r="L896" s="85"/>
      <c r="R896" s="53"/>
      <c r="S896" s="53"/>
      <c r="T896" s="53"/>
      <c r="U896" s="53"/>
      <c r="V896" s="53"/>
      <c r="W896" s="53"/>
      <c r="X896" s="61" t="str">
        <f>IFERROR(IF(W896="","",WORKDAY.INTL(B896,_xlfn.XLOOKUP(W896,Regras!$F$2:$F$11,Regras!$G$2:$G$11))),"")</f>
        <v/>
      </c>
      <c r="Y896" s="150"/>
      <c r="Z896" s="53"/>
    </row>
    <row r="897" spans="4:26" x14ac:dyDescent="0.2">
      <c r="D897" s="85"/>
      <c r="E897" s="125"/>
      <c r="F897" s="85"/>
      <c r="G897" s="85" t="s">
        <v>12</v>
      </c>
      <c r="H897" s="148"/>
      <c r="I897" s="142"/>
      <c r="J897" s="144"/>
      <c r="K897" s="144"/>
      <c r="L897" s="85"/>
      <c r="R897" s="53"/>
      <c r="S897" s="53"/>
      <c r="T897" s="53"/>
      <c r="U897" s="53"/>
      <c r="V897" s="53"/>
      <c r="W897" s="53"/>
      <c r="X897" s="61" t="str">
        <f>IFERROR(IF(W897="","",WORKDAY.INTL(B897,_xlfn.XLOOKUP(W897,Regras!$F$2:$F$11,Regras!$G$2:$G$11))),"")</f>
        <v/>
      </c>
      <c r="Y897" s="150"/>
      <c r="Z897" s="53"/>
    </row>
    <row r="898" spans="4:26" x14ac:dyDescent="0.2">
      <c r="D898" s="85"/>
      <c r="E898" s="125"/>
      <c r="F898" s="85"/>
      <c r="G898" s="85" t="s">
        <v>12</v>
      </c>
      <c r="H898" s="148"/>
      <c r="I898" s="142"/>
      <c r="J898" s="144"/>
      <c r="K898" s="144"/>
      <c r="L898" s="85"/>
      <c r="R898" s="53"/>
      <c r="S898" s="53"/>
      <c r="T898" s="53"/>
      <c r="U898" s="53"/>
      <c r="V898" s="53"/>
      <c r="W898" s="53"/>
      <c r="X898" s="61" t="str">
        <f>IFERROR(IF(W898="","",WORKDAY.INTL(B898,_xlfn.XLOOKUP(W898,Regras!$F$2:$F$11,Regras!$G$2:$G$11))),"")</f>
        <v/>
      </c>
      <c r="Y898" s="150"/>
      <c r="Z898" s="53"/>
    </row>
    <row r="899" spans="4:26" x14ac:dyDescent="0.2">
      <c r="D899" s="85"/>
      <c r="E899" s="125"/>
      <c r="F899" s="85"/>
      <c r="G899" s="85" t="s">
        <v>12</v>
      </c>
      <c r="H899" s="148"/>
      <c r="I899" s="142"/>
      <c r="J899" s="144"/>
      <c r="K899" s="144"/>
      <c r="L899" s="85"/>
      <c r="R899" s="53"/>
      <c r="S899" s="53"/>
      <c r="T899" s="53"/>
      <c r="U899" s="53"/>
      <c r="V899" s="53"/>
      <c r="W899" s="53"/>
      <c r="X899" s="61" t="str">
        <f>IFERROR(IF(W899="","",WORKDAY.INTL(B899,_xlfn.XLOOKUP(W899,Regras!$F$2:$F$11,Regras!$G$2:$G$11))),"")</f>
        <v/>
      </c>
      <c r="Y899" s="150"/>
      <c r="Z899" s="53"/>
    </row>
    <row r="900" spans="4:26" x14ac:dyDescent="0.2">
      <c r="D900" s="85"/>
      <c r="E900" s="125"/>
      <c r="F900" s="85"/>
      <c r="G900" s="85" t="s">
        <v>12</v>
      </c>
      <c r="H900" s="148"/>
      <c r="I900" s="142"/>
      <c r="J900" s="144"/>
      <c r="K900" s="144"/>
      <c r="L900" s="85"/>
      <c r="R900" s="53"/>
      <c r="S900" s="53"/>
      <c r="T900" s="53"/>
      <c r="U900" s="53"/>
      <c r="V900" s="53"/>
      <c r="W900" s="53"/>
      <c r="X900" s="61" t="str">
        <f>IFERROR(IF(W900="","",WORKDAY.INTL(B900,_xlfn.XLOOKUP(W900,Regras!$F$2:$F$11,Regras!$G$2:$G$11))),"")</f>
        <v/>
      </c>
      <c r="Y900" s="150"/>
      <c r="Z900" s="53"/>
    </row>
    <row r="901" spans="4:26" x14ac:dyDescent="0.2">
      <c r="D901" s="85"/>
      <c r="E901" s="125"/>
      <c r="F901" s="85"/>
      <c r="G901" s="85" t="s">
        <v>12</v>
      </c>
      <c r="H901" s="148"/>
      <c r="I901" s="142"/>
      <c r="J901" s="144"/>
      <c r="K901" s="144"/>
      <c r="L901" s="85"/>
      <c r="R901" s="53"/>
      <c r="S901" s="53"/>
      <c r="T901" s="53"/>
      <c r="U901" s="53"/>
      <c r="V901" s="53"/>
      <c r="W901" s="53"/>
      <c r="X901" s="61" t="str">
        <f>IFERROR(IF(W901="","",WORKDAY.INTL(B901,_xlfn.XLOOKUP(W901,Regras!$F$2:$F$11,Regras!$G$2:$G$11))),"")</f>
        <v/>
      </c>
      <c r="Y901" s="150"/>
      <c r="Z901" s="53"/>
    </row>
    <row r="902" spans="4:26" x14ac:dyDescent="0.2">
      <c r="D902" s="85"/>
      <c r="E902" s="125"/>
      <c r="F902" s="85"/>
      <c r="G902" s="85" t="s">
        <v>12</v>
      </c>
      <c r="H902" s="148"/>
      <c r="I902" s="142"/>
      <c r="J902" s="144"/>
      <c r="K902" s="144"/>
      <c r="L902" s="85"/>
      <c r="R902" s="53"/>
      <c r="S902" s="53"/>
      <c r="T902" s="53"/>
      <c r="U902" s="53"/>
      <c r="V902" s="53"/>
      <c r="W902" s="53"/>
      <c r="X902" s="61" t="str">
        <f>IFERROR(IF(W902="","",WORKDAY.INTL(B902,_xlfn.XLOOKUP(W902,Regras!$F$2:$F$11,Regras!$G$2:$G$11))),"")</f>
        <v/>
      </c>
      <c r="Y902" s="150"/>
      <c r="Z902" s="53"/>
    </row>
    <row r="903" spans="4:26" x14ac:dyDescent="0.2">
      <c r="D903" s="85"/>
      <c r="E903" s="125"/>
      <c r="F903" s="85"/>
      <c r="G903" s="85" t="s">
        <v>12</v>
      </c>
      <c r="H903" s="148"/>
      <c r="I903" s="142"/>
      <c r="J903" s="144"/>
      <c r="K903" s="144"/>
      <c r="L903" s="85"/>
      <c r="R903" s="53"/>
      <c r="S903" s="53"/>
      <c r="T903" s="53"/>
      <c r="U903" s="53"/>
      <c r="V903" s="53"/>
      <c r="W903" s="53"/>
      <c r="X903" s="61" t="str">
        <f>IFERROR(IF(W903="","",WORKDAY.INTL(B903,_xlfn.XLOOKUP(W903,Regras!$F$2:$F$11,Regras!$G$2:$G$11))),"")</f>
        <v/>
      </c>
      <c r="Y903" s="150"/>
      <c r="Z903" s="53"/>
    </row>
    <row r="904" spans="4:26" x14ac:dyDescent="0.2">
      <c r="D904" s="85"/>
      <c r="E904" s="125"/>
      <c r="F904" s="85"/>
      <c r="G904" s="85" t="s">
        <v>12</v>
      </c>
      <c r="H904" s="148"/>
      <c r="I904" s="142"/>
      <c r="J904" s="144"/>
      <c r="K904" s="144"/>
      <c r="L904" s="85"/>
      <c r="R904" s="53"/>
      <c r="S904" s="53"/>
      <c r="T904" s="53"/>
      <c r="U904" s="53"/>
      <c r="V904" s="53"/>
      <c r="W904" s="53"/>
      <c r="X904" s="61" t="str">
        <f>IFERROR(IF(W904="","",WORKDAY.INTL(B904,_xlfn.XLOOKUP(W904,Regras!$F$2:$F$11,Regras!$G$2:$G$11))),"")</f>
        <v/>
      </c>
      <c r="Y904" s="150"/>
      <c r="Z904" s="53"/>
    </row>
    <row r="905" spans="4:26" x14ac:dyDescent="0.2">
      <c r="D905" s="85"/>
      <c r="E905" s="125"/>
      <c r="F905" s="85"/>
      <c r="G905" s="85" t="s">
        <v>12</v>
      </c>
      <c r="H905" s="148"/>
      <c r="I905" s="142"/>
      <c r="J905" s="144"/>
      <c r="K905" s="144"/>
      <c r="L905" s="85"/>
      <c r="R905" s="53"/>
      <c r="S905" s="53"/>
      <c r="T905" s="53"/>
      <c r="U905" s="53"/>
      <c r="V905" s="53"/>
      <c r="W905" s="53"/>
      <c r="X905" s="61" t="str">
        <f>IFERROR(IF(W905="","",WORKDAY.INTL(B905,_xlfn.XLOOKUP(W905,Regras!$F$2:$F$11,Regras!$G$2:$G$11))),"")</f>
        <v/>
      </c>
      <c r="Y905" s="150"/>
      <c r="Z905" s="53"/>
    </row>
    <row r="906" spans="4:26" x14ac:dyDescent="0.2">
      <c r="D906" s="85"/>
      <c r="E906" s="125"/>
      <c r="F906" s="85"/>
      <c r="G906" s="85" t="s">
        <v>12</v>
      </c>
      <c r="H906" s="148"/>
      <c r="I906" s="142"/>
      <c r="J906" s="144"/>
      <c r="K906" s="144"/>
      <c r="L906" s="85"/>
      <c r="R906" s="53"/>
      <c r="S906" s="53"/>
      <c r="T906" s="53"/>
      <c r="U906" s="53"/>
      <c r="V906" s="53"/>
      <c r="W906" s="53"/>
      <c r="X906" s="61" t="str">
        <f>IFERROR(IF(W906="","",WORKDAY.INTL(B906,_xlfn.XLOOKUP(W906,Regras!$F$2:$F$11,Regras!$G$2:$G$11))),"")</f>
        <v/>
      </c>
      <c r="Y906" s="150"/>
      <c r="Z906" s="53"/>
    </row>
    <row r="907" spans="4:26" x14ac:dyDescent="0.2">
      <c r="D907" s="85"/>
      <c r="E907" s="125"/>
      <c r="F907" s="85"/>
      <c r="G907" s="85" t="s">
        <v>12</v>
      </c>
      <c r="H907" s="148"/>
      <c r="I907" s="142"/>
      <c r="J907" s="144"/>
      <c r="K907" s="144"/>
      <c r="L907" s="85"/>
      <c r="R907" s="53"/>
      <c r="S907" s="53"/>
      <c r="T907" s="53"/>
      <c r="U907" s="53"/>
      <c r="V907" s="53"/>
      <c r="W907" s="53"/>
      <c r="X907" s="61" t="str">
        <f>IFERROR(IF(W907="","",WORKDAY.INTL(B907,_xlfn.XLOOKUP(W907,Regras!$F$2:$F$11,Regras!$G$2:$G$11))),"")</f>
        <v/>
      </c>
      <c r="Y907" s="150"/>
      <c r="Z907" s="53"/>
    </row>
    <row r="908" spans="4:26" x14ac:dyDescent="0.2">
      <c r="D908" s="85"/>
      <c r="E908" s="125"/>
      <c r="F908" s="85"/>
      <c r="G908" s="85" t="s">
        <v>12</v>
      </c>
      <c r="H908" s="148"/>
      <c r="I908" s="142"/>
      <c r="J908" s="144"/>
      <c r="K908" s="144"/>
      <c r="L908" s="85"/>
      <c r="R908" s="53"/>
      <c r="S908" s="53"/>
      <c r="T908" s="53"/>
      <c r="U908" s="53"/>
      <c r="V908" s="53"/>
      <c r="W908" s="53"/>
      <c r="X908" s="61" t="str">
        <f>IFERROR(IF(W908="","",WORKDAY.INTL(B908,_xlfn.XLOOKUP(W908,Regras!$F$2:$F$11,Regras!$G$2:$G$11))),"")</f>
        <v/>
      </c>
      <c r="Y908" s="150"/>
      <c r="Z908" s="53"/>
    </row>
    <row r="909" spans="4:26" x14ac:dyDescent="0.2">
      <c r="D909" s="85"/>
      <c r="E909" s="125"/>
      <c r="F909" s="85"/>
      <c r="G909" s="85" t="s">
        <v>12</v>
      </c>
      <c r="H909" s="148"/>
      <c r="I909" s="142"/>
      <c r="J909" s="144"/>
      <c r="K909" s="144"/>
      <c r="L909" s="85"/>
      <c r="R909" s="53"/>
      <c r="S909" s="53"/>
      <c r="T909" s="53"/>
      <c r="U909" s="53"/>
      <c r="V909" s="53"/>
      <c r="W909" s="53"/>
      <c r="X909" s="61" t="str">
        <f>IFERROR(IF(W909="","",WORKDAY.INTL(B909,_xlfn.XLOOKUP(W909,Regras!$F$2:$F$11,Regras!$G$2:$G$11))),"")</f>
        <v/>
      </c>
      <c r="Y909" s="150"/>
      <c r="Z909" s="53"/>
    </row>
    <row r="910" spans="4:26" x14ac:dyDescent="0.2">
      <c r="D910" s="85"/>
      <c r="E910" s="125"/>
      <c r="F910" s="85"/>
      <c r="G910" s="85" t="s">
        <v>12</v>
      </c>
      <c r="H910" s="148"/>
      <c r="I910" s="142"/>
      <c r="J910" s="144"/>
      <c r="K910" s="144"/>
      <c r="L910" s="85"/>
      <c r="R910" s="53"/>
      <c r="S910" s="53"/>
      <c r="T910" s="53"/>
      <c r="U910" s="53"/>
      <c r="V910" s="53"/>
      <c r="W910" s="53"/>
      <c r="X910" s="61" t="str">
        <f>IFERROR(IF(W910="","",WORKDAY.INTL(B910,_xlfn.XLOOKUP(W910,Regras!$F$2:$F$11,Regras!$G$2:$G$11))),"")</f>
        <v/>
      </c>
      <c r="Y910" s="150"/>
      <c r="Z910" s="53"/>
    </row>
    <row r="911" spans="4:26" x14ac:dyDescent="0.2">
      <c r="D911" s="85"/>
      <c r="E911" s="125"/>
      <c r="F911" s="85"/>
      <c r="G911" s="85" t="s">
        <v>12</v>
      </c>
      <c r="H911" s="148"/>
      <c r="I911" s="142"/>
      <c r="J911" s="144"/>
      <c r="K911" s="144"/>
      <c r="L911" s="85"/>
      <c r="R911" s="53"/>
      <c r="S911" s="53"/>
      <c r="T911" s="53"/>
      <c r="U911" s="53"/>
      <c r="V911" s="53"/>
      <c r="W911" s="53"/>
      <c r="X911" s="61" t="str">
        <f>IFERROR(IF(W911="","",WORKDAY.INTL(B911,_xlfn.XLOOKUP(W911,Regras!$F$2:$F$11,Regras!$G$2:$G$11))),"")</f>
        <v/>
      </c>
      <c r="Y911" s="150"/>
      <c r="Z911" s="53"/>
    </row>
    <row r="912" spans="4:26" x14ac:dyDescent="0.2">
      <c r="D912" s="85"/>
      <c r="E912" s="125"/>
      <c r="F912" s="85"/>
      <c r="G912" s="85" t="s">
        <v>12</v>
      </c>
      <c r="H912" s="148"/>
      <c r="I912" s="142"/>
      <c r="J912" s="144"/>
      <c r="K912" s="144"/>
      <c r="L912" s="85"/>
      <c r="R912" s="53"/>
      <c r="S912" s="53"/>
      <c r="T912" s="53"/>
      <c r="U912" s="53"/>
      <c r="V912" s="53"/>
      <c r="W912" s="53"/>
      <c r="X912" s="61" t="str">
        <f>IFERROR(IF(W912="","",WORKDAY.INTL(B912,_xlfn.XLOOKUP(W912,Regras!$F$2:$F$11,Regras!$G$2:$G$11))),"")</f>
        <v/>
      </c>
      <c r="Y912" s="150"/>
      <c r="Z912" s="53"/>
    </row>
    <row r="913" spans="4:26" x14ac:dyDescent="0.2">
      <c r="D913" s="85"/>
      <c r="E913" s="125"/>
      <c r="F913" s="85"/>
      <c r="G913" s="85" t="s">
        <v>12</v>
      </c>
      <c r="H913" s="148"/>
      <c r="I913" s="142"/>
      <c r="J913" s="144"/>
      <c r="K913" s="144"/>
      <c r="L913" s="85"/>
      <c r="R913" s="53"/>
      <c r="S913" s="53"/>
      <c r="T913" s="53"/>
      <c r="U913" s="53"/>
      <c r="V913" s="53"/>
      <c r="W913" s="53"/>
      <c r="X913" s="61" t="str">
        <f>IFERROR(IF(W913="","",WORKDAY.INTL(B913,_xlfn.XLOOKUP(W913,Regras!$F$2:$F$11,Regras!$G$2:$G$11))),"")</f>
        <v/>
      </c>
      <c r="Y913" s="150"/>
      <c r="Z913" s="53"/>
    </row>
    <row r="914" spans="4:26" x14ac:dyDescent="0.2">
      <c r="D914" s="85"/>
      <c r="E914" s="125"/>
      <c r="F914" s="85"/>
      <c r="G914" s="85" t="s">
        <v>12</v>
      </c>
      <c r="H914" s="148"/>
      <c r="I914" s="142"/>
      <c r="J914" s="144"/>
      <c r="K914" s="144"/>
      <c r="L914" s="85"/>
      <c r="R914" s="53"/>
      <c r="S914" s="53"/>
      <c r="T914" s="53"/>
      <c r="U914" s="53"/>
      <c r="V914" s="53"/>
      <c r="W914" s="53"/>
      <c r="X914" s="61" t="str">
        <f>IFERROR(IF(W914="","",WORKDAY.INTL(B914,_xlfn.XLOOKUP(W914,Regras!$F$2:$F$11,Regras!$G$2:$G$11))),"")</f>
        <v/>
      </c>
      <c r="Y914" s="150"/>
      <c r="Z914" s="53"/>
    </row>
    <row r="915" spans="4:26" x14ac:dyDescent="0.2">
      <c r="D915" s="85"/>
      <c r="E915" s="125"/>
      <c r="F915" s="85"/>
      <c r="G915" s="85" t="s">
        <v>12</v>
      </c>
      <c r="H915" s="148"/>
      <c r="I915" s="142"/>
      <c r="J915" s="144"/>
      <c r="K915" s="144"/>
      <c r="L915" s="85"/>
      <c r="R915" s="53"/>
      <c r="S915" s="53"/>
      <c r="T915" s="53"/>
      <c r="U915" s="53"/>
      <c r="V915" s="53"/>
      <c r="W915" s="53"/>
      <c r="X915" s="61" t="str">
        <f>IFERROR(IF(W915="","",WORKDAY.INTL(B915,_xlfn.XLOOKUP(W915,Regras!$F$2:$F$11,Regras!$G$2:$G$11))),"")</f>
        <v/>
      </c>
      <c r="Y915" s="150"/>
      <c r="Z915" s="53"/>
    </row>
    <row r="916" spans="4:26" x14ac:dyDescent="0.2">
      <c r="D916" s="85"/>
      <c r="E916" s="125"/>
      <c r="F916" s="85"/>
      <c r="G916" s="85" t="s">
        <v>12</v>
      </c>
      <c r="H916" s="148"/>
      <c r="I916" s="142"/>
      <c r="J916" s="144"/>
      <c r="K916" s="144"/>
      <c r="L916" s="85"/>
      <c r="R916" s="53"/>
      <c r="S916" s="53"/>
      <c r="T916" s="53"/>
      <c r="U916" s="53"/>
      <c r="V916" s="53"/>
      <c r="W916" s="53"/>
      <c r="X916" s="61" t="str">
        <f>IFERROR(IF(W916="","",WORKDAY.INTL(B916,_xlfn.XLOOKUP(W916,Regras!$F$2:$F$11,Regras!$G$2:$G$11))),"")</f>
        <v/>
      </c>
      <c r="Y916" s="150"/>
      <c r="Z916" s="53"/>
    </row>
    <row r="917" spans="4:26" x14ac:dyDescent="0.2">
      <c r="D917" s="85"/>
      <c r="E917" s="125"/>
      <c r="F917" s="85"/>
      <c r="G917" s="85" t="s">
        <v>12</v>
      </c>
      <c r="H917" s="148"/>
      <c r="I917" s="142"/>
      <c r="J917" s="144"/>
      <c r="K917" s="144"/>
      <c r="L917" s="85"/>
      <c r="R917" s="53"/>
      <c r="S917" s="53"/>
      <c r="T917" s="53"/>
      <c r="U917" s="53"/>
      <c r="V917" s="53"/>
      <c r="W917" s="53"/>
      <c r="X917" s="61" t="str">
        <f>IFERROR(IF(W917="","",WORKDAY.INTL(B917,_xlfn.XLOOKUP(W917,Regras!$F$2:$F$11,Regras!$G$2:$G$11))),"")</f>
        <v/>
      </c>
      <c r="Y917" s="150"/>
      <c r="Z917" s="53"/>
    </row>
    <row r="918" spans="4:26" x14ac:dyDescent="0.2">
      <c r="D918" s="85"/>
      <c r="E918" s="125"/>
      <c r="F918" s="85"/>
      <c r="G918" s="85" t="s">
        <v>12</v>
      </c>
      <c r="H918" s="148"/>
      <c r="I918" s="142"/>
      <c r="J918" s="144"/>
      <c r="K918" s="144"/>
      <c r="L918" s="85"/>
      <c r="R918" s="53"/>
      <c r="S918" s="53"/>
      <c r="T918" s="53"/>
      <c r="U918" s="53"/>
      <c r="V918" s="53"/>
      <c r="W918" s="53"/>
      <c r="X918" s="61" t="str">
        <f>IFERROR(IF(W918="","",WORKDAY.INTL(B918,_xlfn.XLOOKUP(W918,Regras!$F$2:$F$11,Regras!$G$2:$G$11))),"")</f>
        <v/>
      </c>
      <c r="Y918" s="150"/>
      <c r="Z918" s="53"/>
    </row>
    <row r="919" spans="4:26" x14ac:dyDescent="0.2">
      <c r="D919" s="85"/>
      <c r="E919" s="125"/>
      <c r="F919" s="85"/>
      <c r="G919" s="85" t="s">
        <v>12</v>
      </c>
      <c r="H919" s="148"/>
      <c r="I919" s="142"/>
      <c r="J919" s="144"/>
      <c r="K919" s="144"/>
      <c r="L919" s="85"/>
      <c r="R919" s="53"/>
      <c r="S919" s="53"/>
      <c r="T919" s="53"/>
      <c r="U919" s="53"/>
      <c r="V919" s="53"/>
      <c r="W919" s="53"/>
      <c r="X919" s="61" t="str">
        <f>IFERROR(IF(W919="","",WORKDAY.INTL(B919,_xlfn.XLOOKUP(W919,Regras!$F$2:$F$11,Regras!$G$2:$G$11))),"")</f>
        <v/>
      </c>
      <c r="Y919" s="150"/>
      <c r="Z919" s="53"/>
    </row>
    <row r="920" spans="4:26" x14ac:dyDescent="0.2">
      <c r="D920" s="85"/>
      <c r="E920" s="125"/>
      <c r="F920" s="85"/>
      <c r="G920" s="85" t="s">
        <v>12</v>
      </c>
      <c r="H920" s="148"/>
      <c r="I920" s="142"/>
      <c r="J920" s="144"/>
      <c r="K920" s="144"/>
      <c r="L920" s="85"/>
      <c r="R920" s="53"/>
      <c r="S920" s="53"/>
      <c r="T920" s="53"/>
      <c r="U920" s="53"/>
      <c r="V920" s="53"/>
      <c r="W920" s="53"/>
      <c r="X920" s="61" t="str">
        <f>IFERROR(IF(W920="","",WORKDAY.INTL(B920,_xlfn.XLOOKUP(W920,Regras!$F$2:$F$11,Regras!$G$2:$G$11))),"")</f>
        <v/>
      </c>
      <c r="Y920" s="150"/>
      <c r="Z920" s="53"/>
    </row>
    <row r="921" spans="4:26" x14ac:dyDescent="0.2">
      <c r="D921" s="85"/>
      <c r="E921" s="125"/>
      <c r="F921" s="85"/>
      <c r="G921" s="85" t="s">
        <v>12</v>
      </c>
      <c r="H921" s="148"/>
      <c r="I921" s="142"/>
      <c r="J921" s="144"/>
      <c r="K921" s="144"/>
      <c r="L921" s="85"/>
      <c r="R921" s="53"/>
      <c r="S921" s="53"/>
      <c r="T921" s="53"/>
      <c r="U921" s="53"/>
      <c r="V921" s="53"/>
      <c r="W921" s="53"/>
      <c r="X921" s="61" t="str">
        <f>IFERROR(IF(W921="","",WORKDAY.INTL(B921,_xlfn.XLOOKUP(W921,Regras!$F$2:$F$11,Regras!$G$2:$G$11))),"")</f>
        <v/>
      </c>
      <c r="Y921" s="150"/>
      <c r="Z921" s="53"/>
    </row>
    <row r="922" spans="4:26" x14ac:dyDescent="0.2">
      <c r="D922" s="85"/>
      <c r="E922" s="125"/>
      <c r="F922" s="85"/>
      <c r="G922" s="85" t="s">
        <v>12</v>
      </c>
      <c r="H922" s="148"/>
      <c r="I922" s="142"/>
      <c r="J922" s="144"/>
      <c r="K922" s="144"/>
      <c r="L922" s="85"/>
      <c r="R922" s="53"/>
      <c r="S922" s="53"/>
      <c r="T922" s="53"/>
      <c r="U922" s="53"/>
      <c r="V922" s="53"/>
      <c r="W922" s="53"/>
      <c r="X922" s="61" t="str">
        <f>IFERROR(IF(W922="","",WORKDAY.INTL(B922,_xlfn.XLOOKUP(W922,Regras!$F$2:$F$11,Regras!$G$2:$G$11))),"")</f>
        <v/>
      </c>
      <c r="Y922" s="150"/>
      <c r="Z922" s="53"/>
    </row>
    <row r="923" spans="4:26" x14ac:dyDescent="0.2">
      <c r="D923" s="85"/>
      <c r="E923" s="125"/>
      <c r="F923" s="85"/>
      <c r="G923" s="85" t="s">
        <v>12</v>
      </c>
      <c r="H923" s="148"/>
      <c r="I923" s="142"/>
      <c r="J923" s="144"/>
      <c r="K923" s="144"/>
      <c r="L923" s="85"/>
      <c r="R923" s="53"/>
      <c r="S923" s="53"/>
      <c r="T923" s="53"/>
      <c r="U923" s="53"/>
      <c r="V923" s="53"/>
      <c r="W923" s="53"/>
      <c r="X923" s="61" t="str">
        <f>IFERROR(IF(W923="","",WORKDAY.INTL(B923,_xlfn.XLOOKUP(W923,Regras!$F$2:$F$11,Regras!$G$2:$G$11))),"")</f>
        <v/>
      </c>
      <c r="Y923" s="150"/>
      <c r="Z923" s="53"/>
    </row>
    <row r="924" spans="4:26" x14ac:dyDescent="0.2">
      <c r="D924" s="85"/>
      <c r="E924" s="125"/>
      <c r="F924" s="85"/>
      <c r="G924" s="85" t="s">
        <v>12</v>
      </c>
      <c r="H924" s="148"/>
      <c r="I924" s="142"/>
      <c r="J924" s="144"/>
      <c r="K924" s="144"/>
      <c r="L924" s="85"/>
      <c r="R924" s="53"/>
      <c r="S924" s="53"/>
      <c r="T924" s="53"/>
      <c r="U924" s="53"/>
      <c r="V924" s="53"/>
      <c r="W924" s="53"/>
      <c r="X924" s="61" t="str">
        <f>IFERROR(IF(W924="","",WORKDAY.INTL(B924,_xlfn.XLOOKUP(W924,Regras!$F$2:$F$11,Regras!$G$2:$G$11))),"")</f>
        <v/>
      </c>
      <c r="Y924" s="150"/>
      <c r="Z924" s="53"/>
    </row>
    <row r="925" spans="4:26" x14ac:dyDescent="0.2">
      <c r="D925" s="85"/>
      <c r="E925" s="125"/>
      <c r="F925" s="85"/>
      <c r="G925" s="85" t="s">
        <v>12</v>
      </c>
      <c r="H925" s="148"/>
      <c r="I925" s="142"/>
      <c r="J925" s="144"/>
      <c r="K925" s="144"/>
      <c r="L925" s="85"/>
      <c r="R925" s="53"/>
      <c r="S925" s="53"/>
      <c r="T925" s="53"/>
      <c r="U925" s="53"/>
      <c r="V925" s="53"/>
      <c r="W925" s="53"/>
      <c r="X925" s="61" t="str">
        <f>IFERROR(IF(W925="","",WORKDAY.INTL(B925,_xlfn.XLOOKUP(W925,Regras!$F$2:$F$11,Regras!$G$2:$G$11))),"")</f>
        <v/>
      </c>
      <c r="Y925" s="150"/>
      <c r="Z925" s="53"/>
    </row>
    <row r="926" spans="4:26" x14ac:dyDescent="0.2">
      <c r="D926" s="85"/>
      <c r="E926" s="125"/>
      <c r="F926" s="85"/>
      <c r="G926" s="85" t="s">
        <v>12</v>
      </c>
      <c r="H926" s="148"/>
      <c r="I926" s="142"/>
      <c r="J926" s="144"/>
      <c r="K926" s="144"/>
      <c r="L926" s="85"/>
      <c r="R926" s="53"/>
      <c r="S926" s="53"/>
      <c r="T926" s="53"/>
      <c r="U926" s="53"/>
      <c r="V926" s="53"/>
      <c r="W926" s="53"/>
      <c r="X926" s="61" t="str">
        <f>IFERROR(IF(W926="","",WORKDAY.INTL(B926,_xlfn.XLOOKUP(W926,Regras!$F$2:$F$11,Regras!$G$2:$G$11))),"")</f>
        <v/>
      </c>
      <c r="Y926" s="150"/>
      <c r="Z926" s="53"/>
    </row>
    <row r="927" spans="4:26" x14ac:dyDescent="0.2">
      <c r="D927" s="85"/>
      <c r="E927" s="125"/>
      <c r="F927" s="85"/>
      <c r="G927" s="85" t="s">
        <v>12</v>
      </c>
      <c r="H927" s="148"/>
      <c r="I927" s="142"/>
      <c r="J927" s="144"/>
      <c r="K927" s="144"/>
      <c r="L927" s="85"/>
      <c r="R927" s="53"/>
      <c r="S927" s="53"/>
      <c r="T927" s="53"/>
      <c r="U927" s="53"/>
      <c r="V927" s="53"/>
      <c r="W927" s="53"/>
      <c r="X927" s="61" t="str">
        <f>IFERROR(IF(W927="","",WORKDAY.INTL(B927,_xlfn.XLOOKUP(W927,Regras!$F$2:$F$11,Regras!$G$2:$G$11))),"")</f>
        <v/>
      </c>
      <c r="Y927" s="150"/>
      <c r="Z927" s="53"/>
    </row>
    <row r="928" spans="4:26" x14ac:dyDescent="0.2">
      <c r="D928" s="85"/>
      <c r="E928" s="125"/>
      <c r="F928" s="85"/>
      <c r="G928" s="85" t="s">
        <v>12</v>
      </c>
      <c r="H928" s="148"/>
      <c r="I928" s="142"/>
      <c r="J928" s="144"/>
      <c r="K928" s="144"/>
      <c r="L928" s="85"/>
      <c r="R928" s="53"/>
      <c r="S928" s="53"/>
      <c r="T928" s="53"/>
      <c r="U928" s="53"/>
      <c r="V928" s="53"/>
      <c r="W928" s="53"/>
      <c r="X928" s="61" t="str">
        <f>IFERROR(IF(W928="","",WORKDAY.INTL(B928,_xlfn.XLOOKUP(W928,Regras!$F$2:$F$11,Regras!$G$2:$G$11))),"")</f>
        <v/>
      </c>
      <c r="Y928" s="150"/>
      <c r="Z928" s="53"/>
    </row>
    <row r="929" spans="4:26" x14ac:dyDescent="0.2">
      <c r="D929" s="85"/>
      <c r="E929" s="125"/>
      <c r="F929" s="85"/>
      <c r="G929" s="85" t="s">
        <v>12</v>
      </c>
      <c r="H929" s="148"/>
      <c r="I929" s="142"/>
      <c r="J929" s="144"/>
      <c r="K929" s="144"/>
      <c r="L929" s="85"/>
      <c r="R929" s="53"/>
      <c r="S929" s="53"/>
      <c r="T929" s="53"/>
      <c r="U929" s="53"/>
      <c r="V929" s="53"/>
      <c r="W929" s="53"/>
      <c r="X929" s="61" t="str">
        <f>IFERROR(IF(W929="","",WORKDAY.INTL(B929,_xlfn.XLOOKUP(W929,Regras!$F$2:$F$11,Regras!$G$2:$G$11))),"")</f>
        <v/>
      </c>
      <c r="Y929" s="150"/>
      <c r="Z929" s="53"/>
    </row>
    <row r="930" spans="4:26" x14ac:dyDescent="0.2">
      <c r="D930" s="85"/>
      <c r="E930" s="125"/>
      <c r="F930" s="85"/>
      <c r="G930" s="85" t="s">
        <v>12</v>
      </c>
      <c r="H930" s="148"/>
      <c r="I930" s="142"/>
      <c r="J930" s="144"/>
      <c r="K930" s="144"/>
      <c r="L930" s="85"/>
      <c r="R930" s="53"/>
      <c r="S930" s="53"/>
      <c r="T930" s="53"/>
      <c r="U930" s="53"/>
      <c r="V930" s="53"/>
      <c r="W930" s="53"/>
      <c r="X930" s="61" t="str">
        <f>IFERROR(IF(W930="","",WORKDAY.INTL(B930,_xlfn.XLOOKUP(W930,Regras!$F$2:$F$11,Regras!$G$2:$G$11))),"")</f>
        <v/>
      </c>
      <c r="Y930" s="150"/>
      <c r="Z930" s="53"/>
    </row>
    <row r="931" spans="4:26" x14ac:dyDescent="0.2">
      <c r="D931" s="85"/>
      <c r="E931" s="125"/>
      <c r="F931" s="85"/>
      <c r="G931" s="85" t="s">
        <v>12</v>
      </c>
      <c r="H931" s="148"/>
      <c r="I931" s="142"/>
      <c r="J931" s="144"/>
      <c r="K931" s="144"/>
      <c r="L931" s="85"/>
      <c r="R931" s="53"/>
      <c r="S931" s="53"/>
      <c r="T931" s="53"/>
      <c r="U931" s="53"/>
      <c r="V931" s="53"/>
      <c r="W931" s="53"/>
      <c r="X931" s="61" t="str">
        <f>IFERROR(IF(W931="","",WORKDAY.INTL(B931,_xlfn.XLOOKUP(W931,Regras!$F$2:$F$11,Regras!$G$2:$G$11))),"")</f>
        <v/>
      </c>
      <c r="Y931" s="150"/>
      <c r="Z931" s="53"/>
    </row>
    <row r="932" spans="4:26" x14ac:dyDescent="0.2">
      <c r="D932" s="85"/>
      <c r="F932" s="85"/>
      <c r="G932" s="85" t="s">
        <v>12</v>
      </c>
      <c r="I932" s="142"/>
      <c r="J932" s="144"/>
      <c r="K932" s="144"/>
      <c r="R932" s="53"/>
      <c r="S932" s="53"/>
      <c r="T932" s="53"/>
      <c r="U932" s="53"/>
      <c r="V932" s="53"/>
      <c r="W932" s="53"/>
      <c r="X932" s="61" t="str">
        <f>IFERROR(IF(W932="","",WORKDAY.INTL(B932,_xlfn.XLOOKUP(W932,Regras!$F$2:$F$11,Regras!$G$2:$G$11))),"")</f>
        <v/>
      </c>
      <c r="Y932" s="150"/>
      <c r="Z932" s="53"/>
    </row>
    <row r="933" spans="4:26" x14ac:dyDescent="0.2">
      <c r="D933" s="85"/>
      <c r="F933" s="85"/>
      <c r="G933" s="85" t="s">
        <v>12</v>
      </c>
      <c r="I933" s="142"/>
      <c r="J933" s="144"/>
      <c r="K933" s="144"/>
      <c r="R933" s="53"/>
      <c r="S933" s="53"/>
      <c r="T933" s="53"/>
      <c r="U933" s="53"/>
      <c r="V933" s="53"/>
      <c r="W933" s="53"/>
      <c r="X933" s="61" t="str">
        <f>IFERROR(IF(W933="","",WORKDAY.INTL(B933,_xlfn.XLOOKUP(W933,Regras!$F$2:$F$11,Regras!$G$2:$G$11))),"")</f>
        <v/>
      </c>
      <c r="Y933" s="150"/>
      <c r="Z933" s="53"/>
    </row>
    <row r="934" spans="4:26" x14ac:dyDescent="0.2">
      <c r="D934" s="85"/>
      <c r="F934" s="85"/>
      <c r="G934" s="85" t="s">
        <v>12</v>
      </c>
      <c r="I934" s="142"/>
      <c r="J934" s="144"/>
      <c r="K934" s="144"/>
      <c r="R934" s="53"/>
      <c r="S934" s="53"/>
      <c r="T934" s="53"/>
      <c r="U934" s="53"/>
      <c r="V934" s="53"/>
      <c r="W934" s="53"/>
      <c r="X934" s="61" t="str">
        <f>IFERROR(IF(W934="","",WORKDAY.INTL(B934,_xlfn.XLOOKUP(W934,Regras!$F$2:$F$11,Regras!$G$2:$G$11))),"")</f>
        <v/>
      </c>
      <c r="Y934" s="150"/>
      <c r="Z934" s="53"/>
    </row>
    <row r="935" spans="4:26" x14ac:dyDescent="0.2">
      <c r="D935" s="85"/>
      <c r="F935" s="85"/>
      <c r="G935" s="85" t="s">
        <v>12</v>
      </c>
      <c r="I935" s="142"/>
      <c r="J935" s="144"/>
      <c r="K935" s="144"/>
      <c r="R935" s="53"/>
      <c r="S935" s="53"/>
      <c r="T935" s="53"/>
      <c r="U935" s="53"/>
      <c r="V935" s="53"/>
      <c r="W935" s="53"/>
      <c r="X935" s="61" t="str">
        <f>IFERROR(IF(W935="","",WORKDAY.INTL(B935,_xlfn.XLOOKUP(W935,Regras!$F$2:$F$11,Regras!$G$2:$G$11))),"")</f>
        <v/>
      </c>
      <c r="Y935" s="150"/>
      <c r="Z935" s="53"/>
    </row>
    <row r="936" spans="4:26" x14ac:dyDescent="0.2">
      <c r="D936" s="85"/>
      <c r="F936" s="85"/>
      <c r="G936" s="85" t="s">
        <v>12</v>
      </c>
      <c r="I936" s="142"/>
      <c r="J936" s="144"/>
      <c r="K936" s="144"/>
      <c r="R936" s="53"/>
      <c r="S936" s="53"/>
      <c r="T936" s="53"/>
      <c r="U936" s="53"/>
      <c r="V936" s="53"/>
      <c r="W936" s="53"/>
      <c r="X936" s="61" t="str">
        <f>IFERROR(IF(W936="","",WORKDAY.INTL(B936,_xlfn.XLOOKUP(W936,Regras!$F$2:$F$11,Regras!$G$2:$G$11))),"")</f>
        <v/>
      </c>
      <c r="Y936" s="150"/>
      <c r="Z936" s="53"/>
    </row>
    <row r="937" spans="4:26" x14ac:dyDescent="0.2">
      <c r="D937" s="85"/>
      <c r="F937" s="85"/>
      <c r="G937" s="85" t="s">
        <v>12</v>
      </c>
      <c r="I937" s="142"/>
      <c r="J937" s="144"/>
      <c r="K937" s="144"/>
      <c r="R937" s="53"/>
      <c r="S937" s="53"/>
      <c r="T937" s="53"/>
      <c r="U937" s="53"/>
      <c r="V937" s="53"/>
      <c r="W937" s="53"/>
      <c r="X937" s="61" t="str">
        <f>IFERROR(IF(W937="","",WORKDAY.INTL(B937,_xlfn.XLOOKUP(W937,Regras!$F$2:$F$11,Regras!$G$2:$G$11))),"")</f>
        <v/>
      </c>
      <c r="Y937" s="150"/>
      <c r="Z937" s="53"/>
    </row>
    <row r="938" spans="4:26" x14ac:dyDescent="0.2">
      <c r="D938" s="85"/>
      <c r="F938" s="85"/>
      <c r="G938" s="85" t="s">
        <v>12</v>
      </c>
      <c r="I938" s="142"/>
      <c r="J938" s="144"/>
      <c r="K938" s="144"/>
      <c r="R938" s="53"/>
      <c r="S938" s="53"/>
      <c r="T938" s="53"/>
      <c r="U938" s="53"/>
      <c r="V938" s="53"/>
      <c r="W938" s="53"/>
      <c r="X938" s="61" t="str">
        <f>IFERROR(IF(W938="","",WORKDAY.INTL(B938,_xlfn.XLOOKUP(W938,Regras!$F$2:$F$11,Regras!$G$2:$G$11))),"")</f>
        <v/>
      </c>
      <c r="Y938" s="150"/>
      <c r="Z938" s="53"/>
    </row>
    <row r="939" spans="4:26" x14ac:dyDescent="0.2">
      <c r="D939" s="85"/>
      <c r="F939" s="85"/>
      <c r="G939" s="85" t="s">
        <v>12</v>
      </c>
      <c r="I939" s="142"/>
      <c r="J939" s="144"/>
      <c r="K939" s="144"/>
      <c r="R939" s="53"/>
      <c r="S939" s="53"/>
      <c r="T939" s="53"/>
      <c r="U939" s="53"/>
      <c r="V939" s="53"/>
      <c r="W939" s="53"/>
      <c r="X939" s="61" t="str">
        <f>IFERROR(IF(W939="","",WORKDAY.INTL(B939,_xlfn.XLOOKUP(W939,Regras!$F$2:$F$11,Regras!$G$2:$G$11))),"")</f>
        <v/>
      </c>
      <c r="Y939" s="150"/>
      <c r="Z939" s="53"/>
    </row>
    <row r="940" spans="4:26" x14ac:dyDescent="0.2">
      <c r="D940" s="85"/>
      <c r="F940" s="85"/>
      <c r="G940" s="85" t="s">
        <v>12</v>
      </c>
      <c r="I940" s="142"/>
      <c r="J940" s="144"/>
      <c r="K940" s="144"/>
      <c r="R940" s="53"/>
      <c r="S940" s="53"/>
      <c r="T940" s="53"/>
      <c r="U940" s="53"/>
      <c r="V940" s="53"/>
      <c r="W940" s="53"/>
      <c r="X940" s="61" t="str">
        <f>IFERROR(IF(W940="","",WORKDAY.INTL(B940,_xlfn.XLOOKUP(W940,Regras!$F$2:$F$11,Regras!$G$2:$G$11))),"")</f>
        <v/>
      </c>
      <c r="Y940" s="150"/>
      <c r="Z940" s="53"/>
    </row>
    <row r="941" spans="4:26" x14ac:dyDescent="0.2">
      <c r="D941" s="85"/>
      <c r="F941" s="85"/>
      <c r="G941" s="85" t="s">
        <v>12</v>
      </c>
      <c r="I941" s="142"/>
      <c r="J941" s="144"/>
      <c r="K941" s="144"/>
      <c r="R941" s="53"/>
      <c r="S941" s="53"/>
      <c r="T941" s="53"/>
      <c r="U941" s="53"/>
      <c r="V941" s="53"/>
      <c r="W941" s="53"/>
      <c r="X941" s="61" t="str">
        <f>IFERROR(IF(W941="","",WORKDAY.INTL(B941,_xlfn.XLOOKUP(W941,Regras!$F$2:$F$11,Regras!$G$2:$G$11))),"")</f>
        <v/>
      </c>
      <c r="Y941" s="150"/>
      <c r="Z941" s="53"/>
    </row>
    <row r="942" spans="4:26" x14ac:dyDescent="0.2">
      <c r="D942" s="85"/>
      <c r="F942" s="85"/>
      <c r="G942" s="85" t="s">
        <v>12</v>
      </c>
      <c r="I942" s="142"/>
      <c r="J942" s="144"/>
      <c r="K942" s="144"/>
      <c r="R942" s="53"/>
      <c r="S942" s="53"/>
      <c r="T942" s="53"/>
      <c r="U942" s="53"/>
      <c r="V942" s="53"/>
      <c r="W942" s="53"/>
      <c r="X942" s="61" t="str">
        <f>IFERROR(IF(W942="","",WORKDAY.INTL(B942,_xlfn.XLOOKUP(W942,Regras!$F$2:$F$11,Regras!$G$2:$G$11))),"")</f>
        <v/>
      </c>
      <c r="Y942" s="150"/>
      <c r="Z942" s="53"/>
    </row>
    <row r="943" spans="4:26" x14ac:dyDescent="0.2">
      <c r="D943" s="85"/>
      <c r="F943" s="85"/>
      <c r="G943" s="85" t="s">
        <v>12</v>
      </c>
      <c r="I943" s="142"/>
      <c r="J943" s="144"/>
      <c r="K943" s="144"/>
      <c r="R943" s="53"/>
      <c r="S943" s="53"/>
      <c r="T943" s="53"/>
      <c r="U943" s="53"/>
      <c r="V943" s="53"/>
      <c r="W943" s="53"/>
      <c r="X943" s="61" t="str">
        <f>IFERROR(IF(W943="","",WORKDAY.INTL(B943,_xlfn.XLOOKUP(W943,Regras!$F$2:$F$11,Regras!$G$2:$G$11))),"")</f>
        <v/>
      </c>
      <c r="Y943" s="150"/>
      <c r="Z943" s="53"/>
    </row>
    <row r="944" spans="4:26" x14ac:dyDescent="0.2">
      <c r="D944" s="85"/>
      <c r="F944" s="85"/>
      <c r="G944" s="85" t="s">
        <v>12</v>
      </c>
      <c r="I944" s="142"/>
      <c r="J944" s="144"/>
      <c r="K944" s="144"/>
      <c r="R944" s="53"/>
      <c r="S944" s="53"/>
      <c r="T944" s="53"/>
      <c r="U944" s="53"/>
      <c r="V944" s="53"/>
      <c r="W944" s="53"/>
      <c r="X944" s="61" t="str">
        <f>IFERROR(IF(W944="","",WORKDAY.INTL(B944,_xlfn.XLOOKUP(W944,Regras!$F$2:$F$11,Regras!$G$2:$G$11))),"")</f>
        <v/>
      </c>
      <c r="Y944" s="150"/>
      <c r="Z944" s="53"/>
    </row>
    <row r="945" spans="4:26" x14ac:dyDescent="0.2">
      <c r="D945" s="85"/>
      <c r="F945" s="85"/>
      <c r="G945" s="85" t="s">
        <v>12</v>
      </c>
      <c r="I945" s="142"/>
      <c r="J945" s="144"/>
      <c r="K945" s="144"/>
      <c r="R945" s="53"/>
      <c r="S945" s="53"/>
      <c r="T945" s="53"/>
      <c r="U945" s="53"/>
      <c r="V945" s="53"/>
      <c r="W945" s="53"/>
      <c r="X945" s="61" t="str">
        <f>IFERROR(IF(W945="","",WORKDAY.INTL(B945,_xlfn.XLOOKUP(W945,Regras!$F$2:$F$11,Regras!$G$2:$G$11))),"")</f>
        <v/>
      </c>
      <c r="Y945" s="150"/>
      <c r="Z945" s="53"/>
    </row>
    <row r="946" spans="4:26" x14ac:dyDescent="0.2">
      <c r="D946" s="85"/>
      <c r="F946" s="85"/>
      <c r="G946" s="85" t="s">
        <v>12</v>
      </c>
      <c r="I946" s="142"/>
      <c r="J946" s="144"/>
      <c r="K946" s="144"/>
      <c r="R946" s="53"/>
      <c r="S946" s="53"/>
      <c r="T946" s="53"/>
      <c r="U946" s="53"/>
      <c r="V946" s="53"/>
      <c r="W946" s="53"/>
      <c r="X946" s="61" t="str">
        <f>IFERROR(IF(W946="","",WORKDAY.INTL(B946,_xlfn.XLOOKUP(W946,Regras!$F$2:$F$11,Regras!$G$2:$G$11))),"")</f>
        <v/>
      </c>
      <c r="Y946" s="150"/>
      <c r="Z946" s="53"/>
    </row>
    <row r="947" spans="4:26" x14ac:dyDescent="0.2">
      <c r="D947" s="85"/>
      <c r="F947" s="85"/>
      <c r="G947" s="85" t="s">
        <v>12</v>
      </c>
      <c r="I947" s="142"/>
      <c r="J947" s="144"/>
      <c r="K947" s="144"/>
      <c r="R947" s="53"/>
      <c r="S947" s="53"/>
      <c r="T947" s="53"/>
      <c r="U947" s="53"/>
      <c r="V947" s="53"/>
      <c r="W947" s="53"/>
      <c r="X947" s="61" t="str">
        <f>IFERROR(IF(W947="","",WORKDAY.INTL(B947,_xlfn.XLOOKUP(W947,Regras!$F$2:$F$11,Regras!$G$2:$G$11))),"")</f>
        <v/>
      </c>
      <c r="Y947" s="150"/>
      <c r="Z947" s="53"/>
    </row>
    <row r="948" spans="4:26" x14ac:dyDescent="0.2">
      <c r="D948" s="85"/>
      <c r="F948" s="85"/>
      <c r="G948" s="85" t="s">
        <v>12</v>
      </c>
      <c r="I948" s="142"/>
      <c r="J948" s="144"/>
      <c r="K948" s="144"/>
      <c r="R948" s="53"/>
      <c r="S948" s="53"/>
      <c r="T948" s="53"/>
      <c r="U948" s="53"/>
      <c r="V948" s="53"/>
      <c r="W948" s="53"/>
      <c r="X948" s="61" t="str">
        <f>IFERROR(IF(W948="","",WORKDAY.INTL(B948,_xlfn.XLOOKUP(W948,Regras!$F$2:$F$11,Regras!$G$2:$G$11))),"")</f>
        <v/>
      </c>
      <c r="Y948" s="150"/>
      <c r="Z948" s="53"/>
    </row>
    <row r="949" spans="4:26" x14ac:dyDescent="0.2">
      <c r="D949" s="85"/>
      <c r="F949" s="85"/>
      <c r="G949" s="85" t="s">
        <v>12</v>
      </c>
      <c r="I949" s="142"/>
      <c r="J949" s="144"/>
      <c r="K949" s="144"/>
      <c r="R949" s="53"/>
      <c r="S949" s="53"/>
      <c r="T949" s="53"/>
      <c r="U949" s="53"/>
      <c r="V949" s="53"/>
      <c r="W949" s="53"/>
      <c r="X949" s="61" t="str">
        <f>IFERROR(IF(W949="","",WORKDAY.INTL(B949,_xlfn.XLOOKUP(W949,Regras!$F$2:$F$11,Regras!$G$2:$G$11))),"")</f>
        <v/>
      </c>
      <c r="Y949" s="150"/>
      <c r="Z949" s="53"/>
    </row>
    <row r="950" spans="4:26" x14ac:dyDescent="0.2">
      <c r="D950" s="85"/>
      <c r="F950" s="85"/>
      <c r="G950" s="85" t="s">
        <v>12</v>
      </c>
      <c r="I950" s="142"/>
      <c r="J950" s="144"/>
      <c r="K950" s="144"/>
      <c r="R950" s="53"/>
      <c r="S950" s="53"/>
      <c r="T950" s="53"/>
      <c r="U950" s="53"/>
      <c r="V950" s="53"/>
      <c r="W950" s="53"/>
      <c r="X950" s="61" t="str">
        <f>IFERROR(IF(W950="","",WORKDAY.INTL(B950,_xlfn.XLOOKUP(W950,Regras!$F$2:$F$11,Regras!$G$2:$G$11))),"")</f>
        <v/>
      </c>
      <c r="Y950" s="150"/>
      <c r="Z950" s="53"/>
    </row>
    <row r="951" spans="4:26" x14ac:dyDescent="0.2">
      <c r="D951" s="85"/>
      <c r="F951" s="85"/>
      <c r="G951" s="85" t="s">
        <v>12</v>
      </c>
      <c r="I951" s="142"/>
      <c r="J951" s="144"/>
      <c r="K951" s="144"/>
      <c r="R951" s="53"/>
      <c r="S951" s="53"/>
      <c r="T951" s="53"/>
      <c r="U951" s="53"/>
      <c r="V951" s="53"/>
      <c r="W951" s="53"/>
      <c r="X951" s="61" t="str">
        <f>IFERROR(IF(W951="","",WORKDAY.INTL(B951,_xlfn.XLOOKUP(W951,Regras!$F$2:$F$11,Regras!$G$2:$G$11))),"")</f>
        <v/>
      </c>
      <c r="Y951" s="150"/>
      <c r="Z951" s="53"/>
    </row>
    <row r="952" spans="4:26" x14ac:dyDescent="0.2">
      <c r="D952" s="85"/>
      <c r="F952" s="85"/>
      <c r="G952" s="85" t="s">
        <v>12</v>
      </c>
      <c r="I952" s="142"/>
      <c r="J952" s="144"/>
      <c r="K952" s="144"/>
      <c r="R952" s="53"/>
      <c r="S952" s="53"/>
      <c r="T952" s="53"/>
      <c r="U952" s="53"/>
      <c r="V952" s="53"/>
      <c r="W952" s="53"/>
      <c r="X952" s="61" t="str">
        <f>IFERROR(IF(W952="","",WORKDAY.INTL(B952,_xlfn.XLOOKUP(W952,Regras!$F$2:$F$11,Regras!$G$2:$G$11))),"")</f>
        <v/>
      </c>
      <c r="Y952" s="150"/>
      <c r="Z952" s="53"/>
    </row>
    <row r="953" spans="4:26" x14ac:dyDescent="0.2">
      <c r="D953" s="85"/>
      <c r="F953" s="85"/>
      <c r="G953" s="85" t="s">
        <v>12</v>
      </c>
      <c r="I953" s="142"/>
      <c r="J953" s="144"/>
      <c r="K953" s="144"/>
      <c r="R953" s="53"/>
      <c r="S953" s="53"/>
      <c r="T953" s="53"/>
      <c r="U953" s="53"/>
      <c r="V953" s="53"/>
      <c r="W953" s="53"/>
      <c r="X953" s="61" t="str">
        <f>IFERROR(IF(W953="","",WORKDAY.INTL(B953,_xlfn.XLOOKUP(W953,Regras!$F$2:$F$11,Regras!$G$2:$G$11))),"")</f>
        <v/>
      </c>
      <c r="Y953" s="150"/>
      <c r="Z953" s="53"/>
    </row>
    <row r="954" spans="4:26" x14ac:dyDescent="0.2">
      <c r="D954" s="85"/>
      <c r="F954" s="85"/>
      <c r="G954" s="85" t="s">
        <v>12</v>
      </c>
      <c r="I954" s="142"/>
      <c r="J954" s="144"/>
      <c r="K954" s="144"/>
      <c r="R954" s="53"/>
      <c r="S954" s="53"/>
      <c r="T954" s="53"/>
      <c r="U954" s="53"/>
      <c r="V954" s="53"/>
      <c r="W954" s="53"/>
      <c r="X954" s="61" t="str">
        <f>IFERROR(IF(W954="","",WORKDAY.INTL(B954,_xlfn.XLOOKUP(W954,Regras!$F$2:$F$11,Regras!$G$2:$G$11))),"")</f>
        <v/>
      </c>
      <c r="Y954" s="150"/>
      <c r="Z954" s="53"/>
    </row>
    <row r="955" spans="4:26" x14ac:dyDescent="0.2">
      <c r="D955" s="85"/>
      <c r="F955" s="85"/>
      <c r="G955" s="85" t="s">
        <v>12</v>
      </c>
      <c r="I955" s="142"/>
      <c r="J955" s="144"/>
      <c r="K955" s="144"/>
      <c r="R955" s="53"/>
      <c r="S955" s="53"/>
      <c r="T955" s="53"/>
      <c r="U955" s="53"/>
      <c r="V955" s="53"/>
      <c r="W955" s="53"/>
      <c r="X955" s="61" t="str">
        <f>IFERROR(IF(W955="","",WORKDAY.INTL(B955,_xlfn.XLOOKUP(W955,Regras!$F$2:$F$11,Regras!$G$2:$G$11))),"")</f>
        <v/>
      </c>
      <c r="Y955" s="150"/>
      <c r="Z955" s="53"/>
    </row>
    <row r="956" spans="4:26" x14ac:dyDescent="0.2">
      <c r="D956" s="85"/>
      <c r="F956" s="85"/>
      <c r="G956" s="85" t="s">
        <v>12</v>
      </c>
      <c r="I956" s="142"/>
      <c r="J956" s="144"/>
      <c r="K956" s="144"/>
      <c r="R956" s="53"/>
      <c r="S956" s="53"/>
      <c r="T956" s="53"/>
      <c r="U956" s="53"/>
      <c r="V956" s="53"/>
      <c r="W956" s="53"/>
      <c r="X956" s="61" t="str">
        <f>IFERROR(IF(W956="","",WORKDAY.INTL(B956,_xlfn.XLOOKUP(W956,Regras!$F$2:$F$11,Regras!$G$2:$G$11))),"")</f>
        <v/>
      </c>
      <c r="Y956" s="150"/>
      <c r="Z956" s="53"/>
    </row>
    <row r="957" spans="4:26" x14ac:dyDescent="0.2">
      <c r="D957" s="85"/>
      <c r="F957" s="85"/>
      <c r="G957" s="85" t="s">
        <v>12</v>
      </c>
      <c r="I957" s="142"/>
      <c r="J957" s="144"/>
      <c r="K957" s="144"/>
      <c r="R957" s="53"/>
      <c r="S957" s="53"/>
      <c r="T957" s="53"/>
      <c r="U957" s="53"/>
      <c r="V957" s="53"/>
      <c r="W957" s="53"/>
      <c r="X957" s="61" t="str">
        <f>IFERROR(IF(W957="","",WORKDAY.INTL(B957,_xlfn.XLOOKUP(W957,Regras!$F$2:$F$11,Regras!$G$2:$G$11))),"")</f>
        <v/>
      </c>
      <c r="Y957" s="150"/>
      <c r="Z957" s="53"/>
    </row>
    <row r="958" spans="4:26" x14ac:dyDescent="0.2">
      <c r="D958" s="85"/>
      <c r="F958" s="85"/>
      <c r="G958" s="85" t="s">
        <v>12</v>
      </c>
      <c r="I958" s="142"/>
      <c r="J958" s="144"/>
      <c r="K958" s="144"/>
      <c r="R958" s="53"/>
      <c r="S958" s="53"/>
      <c r="T958" s="53"/>
      <c r="U958" s="53"/>
      <c r="V958" s="53"/>
      <c r="W958" s="53"/>
      <c r="X958" s="61" t="str">
        <f>IFERROR(IF(W958="","",WORKDAY.INTL(B958,_xlfn.XLOOKUP(W958,Regras!$F$2:$F$11,Regras!$G$2:$G$11))),"")</f>
        <v/>
      </c>
      <c r="Y958" s="150"/>
      <c r="Z958" s="53"/>
    </row>
    <row r="959" spans="4:26" x14ac:dyDescent="0.2">
      <c r="D959" s="85"/>
      <c r="F959" s="85"/>
      <c r="G959" s="85" t="s">
        <v>12</v>
      </c>
      <c r="I959" s="142"/>
      <c r="J959" s="144"/>
      <c r="K959" s="144"/>
      <c r="R959" s="53"/>
      <c r="S959" s="53"/>
      <c r="T959" s="53"/>
      <c r="U959" s="53"/>
      <c r="V959" s="53"/>
      <c r="W959" s="53"/>
      <c r="X959" s="61" t="str">
        <f>IFERROR(IF(W959="","",WORKDAY.INTL(B959,_xlfn.XLOOKUP(W959,Regras!$F$2:$F$11,Regras!$G$2:$G$11))),"")</f>
        <v/>
      </c>
      <c r="Y959" s="150"/>
      <c r="Z959" s="53"/>
    </row>
    <row r="960" spans="4:26" x14ac:dyDescent="0.2">
      <c r="D960" s="85"/>
      <c r="F960" s="85"/>
      <c r="G960" s="85" t="s">
        <v>12</v>
      </c>
      <c r="I960" s="142"/>
      <c r="J960" s="144"/>
      <c r="K960" s="144"/>
      <c r="R960" s="53"/>
      <c r="S960" s="53"/>
      <c r="T960" s="53"/>
      <c r="U960" s="53"/>
      <c r="V960" s="53"/>
      <c r="W960" s="53"/>
      <c r="X960" s="61" t="str">
        <f>IFERROR(IF(W960="","",WORKDAY.INTL(B960,_xlfn.XLOOKUP(W960,Regras!$F$2:$F$11,Regras!$G$2:$G$11))),"")</f>
        <v/>
      </c>
      <c r="Y960" s="150"/>
      <c r="Z960" s="53"/>
    </row>
    <row r="961" spans="4:26" x14ac:dyDescent="0.2">
      <c r="D961" s="85"/>
      <c r="F961" s="85"/>
      <c r="G961" s="85" t="s">
        <v>12</v>
      </c>
      <c r="I961" s="142"/>
      <c r="J961" s="144"/>
      <c r="K961" s="144"/>
      <c r="R961" s="53"/>
      <c r="S961" s="53"/>
      <c r="T961" s="53"/>
      <c r="U961" s="53"/>
      <c r="V961" s="53"/>
      <c r="W961" s="53"/>
      <c r="X961" s="61" t="str">
        <f>IFERROR(IF(W961="","",WORKDAY.INTL(B961,_xlfn.XLOOKUP(W961,Regras!$F$2:$F$11,Regras!$G$2:$G$11))),"")</f>
        <v/>
      </c>
      <c r="Y961" s="150"/>
      <c r="Z961" s="53"/>
    </row>
    <row r="962" spans="4:26" x14ac:dyDescent="0.2">
      <c r="D962" s="85"/>
      <c r="F962" s="85"/>
      <c r="G962" s="85" t="s">
        <v>12</v>
      </c>
      <c r="I962" s="142"/>
      <c r="J962" s="144"/>
      <c r="K962" s="144"/>
      <c r="R962" s="53"/>
      <c r="S962" s="53"/>
      <c r="T962" s="53"/>
      <c r="U962" s="53"/>
      <c r="V962" s="53"/>
      <c r="W962" s="53"/>
      <c r="X962" s="61" t="str">
        <f>IFERROR(IF(W962="","",WORKDAY.INTL(B962,_xlfn.XLOOKUP(W962,Regras!$F$2:$F$11,Regras!$G$2:$G$11))),"")</f>
        <v/>
      </c>
      <c r="Y962" s="150"/>
      <c r="Z962" s="53"/>
    </row>
    <row r="963" spans="4:26" x14ac:dyDescent="0.2">
      <c r="D963" s="85"/>
      <c r="F963" s="85"/>
      <c r="G963" s="85" t="s">
        <v>12</v>
      </c>
      <c r="I963" s="142"/>
      <c r="J963" s="144"/>
      <c r="K963" s="144"/>
      <c r="R963" s="53"/>
      <c r="S963" s="53"/>
      <c r="T963" s="53"/>
      <c r="U963" s="53"/>
      <c r="V963" s="53"/>
      <c r="W963" s="53"/>
      <c r="X963" s="61" t="str">
        <f>IFERROR(IF(W963="","",WORKDAY.INTL(B963,_xlfn.XLOOKUP(W963,Regras!$F$2:$F$11,Regras!$G$2:$G$11))),"")</f>
        <v/>
      </c>
      <c r="Y963" s="150"/>
      <c r="Z963" s="53"/>
    </row>
    <row r="964" spans="4:26" x14ac:dyDescent="0.2">
      <c r="D964" s="85"/>
      <c r="F964" s="85"/>
      <c r="G964" s="85" t="s">
        <v>12</v>
      </c>
      <c r="I964" s="142"/>
      <c r="J964" s="144"/>
      <c r="K964" s="144"/>
      <c r="R964" s="53"/>
      <c r="S964" s="53"/>
      <c r="T964" s="53"/>
      <c r="U964" s="53"/>
      <c r="V964" s="53"/>
      <c r="W964" s="53"/>
      <c r="X964" s="61" t="str">
        <f>IFERROR(IF(W964="","",WORKDAY.INTL(B964,_xlfn.XLOOKUP(W964,Regras!$F$2:$F$11,Regras!$G$2:$G$11))),"")</f>
        <v/>
      </c>
      <c r="Y964" s="150"/>
      <c r="Z964" s="53"/>
    </row>
    <row r="965" spans="4:26" x14ac:dyDescent="0.2">
      <c r="D965" s="85"/>
      <c r="F965" s="85"/>
      <c r="G965" s="85" t="s">
        <v>12</v>
      </c>
      <c r="I965" s="142"/>
      <c r="J965" s="144"/>
      <c r="K965" s="144"/>
      <c r="R965" s="53"/>
      <c r="S965" s="53"/>
      <c r="T965" s="53"/>
      <c r="U965" s="53"/>
      <c r="V965" s="53"/>
      <c r="W965" s="53"/>
      <c r="X965" s="61" t="str">
        <f>IFERROR(IF(W965="","",WORKDAY.INTL(B965,_xlfn.XLOOKUP(W965,Regras!$F$2:$F$11,Regras!$G$2:$G$11))),"")</f>
        <v/>
      </c>
      <c r="Y965" s="150"/>
      <c r="Z965" s="53"/>
    </row>
    <row r="966" spans="4:26" x14ac:dyDescent="0.2">
      <c r="D966" s="85"/>
      <c r="F966" s="85"/>
      <c r="G966" s="85" t="s">
        <v>12</v>
      </c>
      <c r="I966" s="142"/>
      <c r="J966" s="144"/>
      <c r="K966" s="144"/>
      <c r="R966" s="53"/>
      <c r="S966" s="53"/>
      <c r="T966" s="53"/>
      <c r="U966" s="53"/>
      <c r="V966" s="53"/>
      <c r="W966" s="53"/>
      <c r="X966" s="61" t="str">
        <f>IFERROR(IF(W966="","",WORKDAY.INTL(B966,_xlfn.XLOOKUP(W966,Regras!$F$2:$F$11,Regras!$G$2:$G$11))),"")</f>
        <v/>
      </c>
      <c r="Y966" s="150"/>
      <c r="Z966" s="53"/>
    </row>
    <row r="967" spans="4:26" x14ac:dyDescent="0.2">
      <c r="D967" s="85"/>
      <c r="F967" s="85"/>
      <c r="G967" s="85" t="s">
        <v>12</v>
      </c>
      <c r="I967" s="142"/>
      <c r="J967" s="144"/>
      <c r="K967" s="144"/>
      <c r="R967" s="53"/>
      <c r="S967" s="53"/>
      <c r="T967" s="53"/>
      <c r="U967" s="53"/>
      <c r="V967" s="53"/>
      <c r="W967" s="53"/>
      <c r="X967" s="61" t="str">
        <f>IFERROR(IF(W967="","",WORKDAY.INTL(B967,_xlfn.XLOOKUP(W967,Regras!$F$2:$F$11,Regras!$G$2:$G$11))),"")</f>
        <v/>
      </c>
      <c r="Y967" s="150"/>
      <c r="Z967" s="53"/>
    </row>
    <row r="968" spans="4:26" x14ac:dyDescent="0.2">
      <c r="D968" s="85"/>
      <c r="F968" s="85"/>
      <c r="G968" s="85" t="s">
        <v>12</v>
      </c>
      <c r="I968" s="142"/>
      <c r="J968" s="144"/>
      <c r="K968" s="144"/>
      <c r="R968" s="53"/>
      <c r="S968" s="53"/>
      <c r="T968" s="53"/>
      <c r="U968" s="53"/>
      <c r="V968" s="53"/>
      <c r="W968" s="53"/>
      <c r="X968" s="61" t="str">
        <f>IFERROR(IF(W968="","",WORKDAY.INTL(B968,_xlfn.XLOOKUP(W968,Regras!$F$2:$F$11,Regras!$G$2:$G$11))),"")</f>
        <v/>
      </c>
      <c r="Y968" s="150"/>
      <c r="Z968" s="53"/>
    </row>
    <row r="969" spans="4:26" x14ac:dyDescent="0.2">
      <c r="D969" s="85"/>
      <c r="F969" s="85"/>
      <c r="G969" s="85" t="s">
        <v>12</v>
      </c>
      <c r="I969" s="142"/>
      <c r="J969" s="144"/>
      <c r="K969" s="144"/>
      <c r="R969" s="53"/>
      <c r="S969" s="53"/>
      <c r="T969" s="53"/>
      <c r="U969" s="53"/>
      <c r="V969" s="53"/>
      <c r="W969" s="53"/>
      <c r="X969" s="61" t="str">
        <f>IFERROR(IF(W969="","",WORKDAY.INTL(B969,_xlfn.XLOOKUP(W969,Regras!$F$2:$F$11,Regras!$G$2:$G$11))),"")</f>
        <v/>
      </c>
      <c r="Y969" s="150"/>
      <c r="Z969" s="53"/>
    </row>
    <row r="970" spans="4:26" x14ac:dyDescent="0.2">
      <c r="D970" s="85"/>
      <c r="F970" s="85"/>
      <c r="G970" s="85" t="s">
        <v>12</v>
      </c>
      <c r="I970" s="142"/>
      <c r="J970" s="144"/>
      <c r="K970" s="144"/>
      <c r="R970" s="53"/>
      <c r="S970" s="53"/>
      <c r="T970" s="53"/>
      <c r="U970" s="53"/>
      <c r="V970" s="53"/>
      <c r="W970" s="53"/>
      <c r="X970" s="61" t="str">
        <f>IFERROR(IF(W970="","",WORKDAY.INTL(B970,_xlfn.XLOOKUP(W970,Regras!$F$2:$F$11,Regras!$G$2:$G$11))),"")</f>
        <v/>
      </c>
      <c r="Y970" s="150"/>
      <c r="Z970" s="53"/>
    </row>
    <row r="971" spans="4:26" x14ac:dyDescent="0.2">
      <c r="D971" s="85"/>
      <c r="F971" s="85"/>
      <c r="G971" s="85" t="s">
        <v>12</v>
      </c>
      <c r="I971" s="142"/>
      <c r="J971" s="144"/>
      <c r="K971" s="144"/>
      <c r="R971" s="53"/>
      <c r="S971" s="53"/>
      <c r="T971" s="53"/>
      <c r="U971" s="53"/>
      <c r="V971" s="53"/>
      <c r="W971" s="53"/>
      <c r="X971" s="61" t="str">
        <f>IFERROR(IF(W971="","",WORKDAY.INTL(B971,_xlfn.XLOOKUP(W971,Regras!$F$2:$F$11,Regras!$G$2:$G$11))),"")</f>
        <v/>
      </c>
      <c r="Y971" s="150"/>
      <c r="Z971" s="53"/>
    </row>
    <row r="972" spans="4:26" x14ac:dyDescent="0.2">
      <c r="D972" s="85"/>
      <c r="F972" s="85"/>
      <c r="G972" s="85" t="s">
        <v>12</v>
      </c>
      <c r="I972" s="142"/>
      <c r="J972" s="144"/>
      <c r="K972" s="144"/>
      <c r="R972" s="53"/>
      <c r="S972" s="53"/>
      <c r="T972" s="53"/>
      <c r="U972" s="53"/>
      <c r="V972" s="53"/>
      <c r="W972" s="53"/>
      <c r="X972" s="61" t="str">
        <f>IFERROR(IF(W972="","",WORKDAY.INTL(B972,_xlfn.XLOOKUP(W972,Regras!$F$2:$F$11,Regras!$G$2:$G$11))),"")</f>
        <v/>
      </c>
      <c r="Y972" s="150"/>
      <c r="Z972" s="53"/>
    </row>
    <row r="973" spans="4:26" x14ac:dyDescent="0.2">
      <c r="D973" s="85"/>
      <c r="F973" s="85"/>
      <c r="G973" s="85" t="s">
        <v>12</v>
      </c>
      <c r="I973" s="142"/>
      <c r="J973" s="144"/>
      <c r="K973" s="144"/>
      <c r="R973" s="53"/>
      <c r="S973" s="53"/>
      <c r="T973" s="53"/>
      <c r="U973" s="53"/>
      <c r="V973" s="53"/>
      <c r="W973" s="53"/>
      <c r="X973" s="61" t="str">
        <f>IFERROR(IF(W973="","",WORKDAY.INTL(B973,_xlfn.XLOOKUP(W973,Regras!$F$2:$F$11,Regras!$G$2:$G$11))),"")</f>
        <v/>
      </c>
      <c r="Y973" s="150"/>
      <c r="Z973" s="53"/>
    </row>
    <row r="974" spans="4:26" x14ac:dyDescent="0.2">
      <c r="D974" s="85"/>
      <c r="F974" s="85"/>
      <c r="G974" s="85" t="s">
        <v>12</v>
      </c>
      <c r="I974" s="142"/>
      <c r="J974" s="144"/>
      <c r="K974" s="144"/>
      <c r="R974" s="53"/>
      <c r="S974" s="53"/>
      <c r="T974" s="53"/>
      <c r="U974" s="53"/>
      <c r="V974" s="53"/>
      <c r="W974" s="53"/>
      <c r="X974" s="61" t="str">
        <f>IFERROR(IF(W974="","",WORKDAY.INTL(B974,_xlfn.XLOOKUP(W974,Regras!$F$2:$F$11,Regras!$G$2:$G$11))),"")</f>
        <v/>
      </c>
      <c r="Y974" s="150"/>
      <c r="Z974" s="53"/>
    </row>
    <row r="975" spans="4:26" x14ac:dyDescent="0.2">
      <c r="D975" s="85"/>
      <c r="F975" s="85"/>
      <c r="G975" s="85" t="s">
        <v>12</v>
      </c>
      <c r="I975" s="142"/>
      <c r="J975" s="144"/>
      <c r="K975" s="144"/>
      <c r="R975" s="53"/>
      <c r="S975" s="53"/>
      <c r="T975" s="53"/>
      <c r="U975" s="53"/>
      <c r="V975" s="53"/>
      <c r="W975" s="53"/>
      <c r="X975" s="61" t="str">
        <f>IFERROR(IF(W975="","",WORKDAY.INTL(B975,_xlfn.XLOOKUP(W975,Regras!$F$2:$F$11,Regras!$G$2:$G$11))),"")</f>
        <v/>
      </c>
      <c r="Y975" s="150"/>
      <c r="Z975" s="53"/>
    </row>
    <row r="976" spans="4:26" x14ac:dyDescent="0.2">
      <c r="D976" s="85"/>
      <c r="F976" s="85"/>
      <c r="G976" s="85" t="s">
        <v>12</v>
      </c>
      <c r="I976" s="142"/>
      <c r="J976" s="144"/>
      <c r="K976" s="144"/>
      <c r="R976" s="53"/>
      <c r="S976" s="53"/>
      <c r="T976" s="53"/>
      <c r="U976" s="53"/>
      <c r="V976" s="53"/>
      <c r="W976" s="53"/>
      <c r="X976" s="61" t="str">
        <f>IFERROR(IF(W976="","",WORKDAY.INTL(B976,_xlfn.XLOOKUP(W976,Regras!$F$2:$F$11,Regras!$G$2:$G$11))),"")</f>
        <v/>
      </c>
      <c r="Y976" s="150"/>
      <c r="Z976" s="53"/>
    </row>
    <row r="977" spans="4:26" x14ac:dyDescent="0.2">
      <c r="D977" s="85"/>
      <c r="F977" s="85"/>
      <c r="G977" s="85" t="s">
        <v>12</v>
      </c>
      <c r="I977" s="142"/>
      <c r="J977" s="144"/>
      <c r="K977" s="144"/>
      <c r="R977" s="53"/>
      <c r="S977" s="53"/>
      <c r="T977" s="53"/>
      <c r="U977" s="53"/>
      <c r="V977" s="53"/>
      <c r="W977" s="53"/>
      <c r="X977" s="61" t="str">
        <f>IFERROR(IF(W977="","",WORKDAY.INTL(B977,_xlfn.XLOOKUP(W977,Regras!$F$2:$F$11,Regras!$G$2:$G$11))),"")</f>
        <v/>
      </c>
      <c r="Y977" s="150"/>
      <c r="Z977" s="53"/>
    </row>
    <row r="978" spans="4:26" x14ac:dyDescent="0.2">
      <c r="D978" s="85"/>
      <c r="F978" s="85"/>
      <c r="G978" s="85" t="s">
        <v>12</v>
      </c>
      <c r="I978" s="142"/>
      <c r="J978" s="144"/>
      <c r="K978" s="144"/>
      <c r="R978" s="53"/>
      <c r="S978" s="53"/>
      <c r="T978" s="53"/>
      <c r="U978" s="53"/>
      <c r="V978" s="53"/>
      <c r="W978" s="53"/>
      <c r="X978" s="61" t="str">
        <f>IFERROR(IF(W978="","",WORKDAY.INTL(B978,_xlfn.XLOOKUP(W978,Regras!$F$2:$F$11,Regras!$G$2:$G$11))),"")</f>
        <v/>
      </c>
      <c r="Y978" s="150"/>
      <c r="Z978" s="53"/>
    </row>
    <row r="979" spans="4:26" x14ac:dyDescent="0.2">
      <c r="D979" s="85"/>
      <c r="G979" s="85" t="s">
        <v>12</v>
      </c>
      <c r="I979" s="142"/>
      <c r="J979" s="144"/>
      <c r="K979" s="144"/>
      <c r="R979" s="53"/>
      <c r="S979" s="53"/>
      <c r="T979" s="53"/>
      <c r="U979" s="53"/>
      <c r="V979" s="53"/>
      <c r="W979" s="53"/>
      <c r="X979" s="61" t="str">
        <f>IFERROR(IF(W979="","",WORKDAY.INTL(B979,_xlfn.XLOOKUP(W979,Regras!$F$2:$F$11,Regras!$G$2:$G$11))),"")</f>
        <v/>
      </c>
      <c r="Y979" s="150"/>
      <c r="Z979" s="53"/>
    </row>
    <row r="980" spans="4:26" x14ac:dyDescent="0.2">
      <c r="D980" s="85"/>
      <c r="G980" s="85" t="s">
        <v>12</v>
      </c>
      <c r="I980" s="142"/>
      <c r="J980" s="144"/>
      <c r="K980" s="144"/>
      <c r="R980" s="53"/>
      <c r="S980" s="53"/>
      <c r="T980" s="53"/>
      <c r="U980" s="53"/>
      <c r="V980" s="53"/>
      <c r="W980" s="53"/>
      <c r="X980" s="61" t="str">
        <f>IFERROR(IF(W980="","",WORKDAY.INTL(B980,_xlfn.XLOOKUP(W980,Regras!$F$2:$F$11,Regras!$G$2:$G$11))),"")</f>
        <v/>
      </c>
      <c r="Y980" s="150"/>
      <c r="Z980" s="53"/>
    </row>
    <row r="981" spans="4:26" x14ac:dyDescent="0.2">
      <c r="D981" s="85"/>
      <c r="G981" s="85" t="s">
        <v>12</v>
      </c>
      <c r="I981" s="142"/>
      <c r="J981" s="144"/>
      <c r="K981" s="144"/>
      <c r="R981" s="53"/>
      <c r="S981" s="53"/>
      <c r="T981" s="53"/>
      <c r="U981" s="53"/>
      <c r="V981" s="53"/>
      <c r="W981" s="53"/>
      <c r="X981" s="61" t="str">
        <f>IFERROR(IF(W981="","",WORKDAY.INTL(B981,_xlfn.XLOOKUP(W981,Regras!$F$2:$F$11,Regras!$G$2:$G$11))),"")</f>
        <v/>
      </c>
      <c r="Y981" s="150"/>
      <c r="Z981" s="53"/>
    </row>
    <row r="982" spans="4:26" x14ac:dyDescent="0.2">
      <c r="D982" s="85"/>
      <c r="G982" s="85" t="s">
        <v>12</v>
      </c>
      <c r="I982" s="142"/>
      <c r="J982" s="144"/>
      <c r="K982" s="144"/>
      <c r="R982" s="53"/>
      <c r="S982" s="53"/>
      <c r="T982" s="53"/>
      <c r="U982" s="53"/>
      <c r="V982" s="53"/>
      <c r="W982" s="53"/>
      <c r="X982" s="61" t="str">
        <f>IFERROR(IF(W982="","",WORKDAY.INTL(B982,_xlfn.XLOOKUP(W982,Regras!$F$2:$F$11,Regras!$G$2:$G$11))),"")</f>
        <v/>
      </c>
      <c r="Y982" s="150"/>
      <c r="Z982" s="53"/>
    </row>
    <row r="983" spans="4:26" x14ac:dyDescent="0.2">
      <c r="D983" s="85"/>
      <c r="G983" s="85" t="s">
        <v>12</v>
      </c>
      <c r="I983" s="142"/>
      <c r="J983" s="144"/>
      <c r="K983" s="144"/>
      <c r="R983" s="53"/>
      <c r="S983" s="53"/>
      <c r="T983" s="53"/>
      <c r="U983" s="53"/>
      <c r="V983" s="53"/>
      <c r="W983" s="53"/>
      <c r="X983" s="61" t="str">
        <f>IFERROR(IF(W983="","",WORKDAY.INTL(B983,_xlfn.XLOOKUP(W983,Regras!$F$2:$F$11,Regras!$G$2:$G$11))),"")</f>
        <v/>
      </c>
      <c r="Y983" s="150"/>
      <c r="Z983" s="53"/>
    </row>
    <row r="984" spans="4:26" x14ac:dyDescent="0.2">
      <c r="D984" s="85"/>
      <c r="G984" s="85" t="s">
        <v>12</v>
      </c>
      <c r="I984" s="142"/>
      <c r="J984" s="144"/>
      <c r="K984" s="144"/>
      <c r="R984" s="53"/>
      <c r="S984" s="53"/>
      <c r="T984" s="53"/>
      <c r="U984" s="53"/>
      <c r="V984" s="53"/>
      <c r="W984" s="53"/>
      <c r="X984" s="61" t="str">
        <f>IFERROR(IF(W984="","",WORKDAY.INTL(B984,_xlfn.XLOOKUP(W984,Regras!$F$2:$F$11,Regras!$G$2:$G$11))),"")</f>
        <v/>
      </c>
      <c r="Y984" s="150"/>
      <c r="Z984" s="53"/>
    </row>
    <row r="985" spans="4:26" x14ac:dyDescent="0.2">
      <c r="D985" s="85"/>
      <c r="G985" s="85" t="s">
        <v>12</v>
      </c>
      <c r="I985" s="142"/>
      <c r="J985" s="144"/>
      <c r="K985" s="144"/>
      <c r="R985" s="53"/>
      <c r="S985" s="53"/>
      <c r="T985" s="53"/>
      <c r="U985" s="53"/>
      <c r="V985" s="53"/>
      <c r="W985" s="53"/>
      <c r="X985" s="61" t="str">
        <f>IFERROR(IF(W985="","",WORKDAY.INTL(B985,_xlfn.XLOOKUP(W985,Regras!$F$2:$F$11,Regras!$G$2:$G$11))),"")</f>
        <v/>
      </c>
      <c r="Y985" s="150"/>
      <c r="Z985" s="53"/>
    </row>
    <row r="986" spans="4:26" x14ac:dyDescent="0.2">
      <c r="D986" s="85"/>
      <c r="G986" s="85" t="s">
        <v>12</v>
      </c>
      <c r="I986" s="142"/>
      <c r="J986" s="144"/>
      <c r="K986" s="144"/>
      <c r="R986" s="53"/>
      <c r="S986" s="53"/>
      <c r="T986" s="53"/>
      <c r="U986" s="53"/>
      <c r="V986" s="53"/>
      <c r="W986" s="53"/>
      <c r="X986" s="61" t="str">
        <f>IFERROR(IF(W986="","",WORKDAY.INTL(B986,_xlfn.XLOOKUP(W986,Regras!$F$2:$F$11,Regras!$G$2:$G$11))),"")</f>
        <v/>
      </c>
      <c r="Y986" s="150"/>
      <c r="Z986" s="53"/>
    </row>
    <row r="987" spans="4:26" x14ac:dyDescent="0.2">
      <c r="D987" s="85"/>
      <c r="G987" s="85" t="s">
        <v>12</v>
      </c>
      <c r="I987" s="142"/>
      <c r="J987" s="144"/>
      <c r="K987" s="144"/>
      <c r="R987" s="53"/>
      <c r="S987" s="53"/>
      <c r="T987" s="53"/>
      <c r="U987" s="53"/>
      <c r="V987" s="53"/>
      <c r="W987" s="53"/>
      <c r="X987" s="61" t="str">
        <f>IFERROR(IF(W987="","",WORKDAY.INTL(B987,_xlfn.XLOOKUP(W987,Regras!$F$2:$F$11,Regras!$G$2:$G$11))),"")</f>
        <v/>
      </c>
      <c r="Y987" s="150"/>
      <c r="Z987" s="53"/>
    </row>
    <row r="988" spans="4:26" x14ac:dyDescent="0.2">
      <c r="D988" s="85"/>
      <c r="G988" s="85" t="s">
        <v>12</v>
      </c>
      <c r="I988" s="142"/>
      <c r="J988" s="144"/>
      <c r="K988" s="144"/>
      <c r="R988" s="53"/>
      <c r="S988" s="53"/>
      <c r="T988" s="53"/>
      <c r="U988" s="53"/>
      <c r="V988" s="53"/>
      <c r="W988" s="53"/>
      <c r="X988" s="61" t="str">
        <f>IFERROR(IF(W988="","",WORKDAY.INTL(B988,_xlfn.XLOOKUP(W988,Regras!$F$2:$F$11,Regras!$G$2:$G$11))),"")</f>
        <v/>
      </c>
      <c r="Y988" s="150"/>
      <c r="Z988" s="53"/>
    </row>
    <row r="989" spans="4:26" x14ac:dyDescent="0.2">
      <c r="D989" s="85"/>
      <c r="G989" s="85" t="s">
        <v>12</v>
      </c>
      <c r="I989" s="142"/>
      <c r="J989" s="144"/>
      <c r="K989" s="144"/>
      <c r="R989" s="53"/>
      <c r="S989" s="53"/>
      <c r="T989" s="53"/>
      <c r="U989" s="53"/>
      <c r="V989" s="53"/>
      <c r="W989" s="53"/>
      <c r="X989" s="61" t="str">
        <f>IFERROR(IF(W989="","",WORKDAY.INTL(B989,_xlfn.XLOOKUP(W989,Regras!$F$2:$F$11,Regras!$G$2:$G$11))),"")</f>
        <v/>
      </c>
      <c r="Y989" s="150"/>
      <c r="Z989" s="53"/>
    </row>
    <row r="990" spans="4:26" x14ac:dyDescent="0.2">
      <c r="D990" s="85"/>
      <c r="G990" s="85" t="s">
        <v>12</v>
      </c>
      <c r="I990" s="142"/>
      <c r="J990" s="144"/>
      <c r="K990" s="144"/>
      <c r="R990" s="53"/>
      <c r="S990" s="53"/>
      <c r="T990" s="53"/>
      <c r="U990" s="53"/>
      <c r="V990" s="53"/>
      <c r="W990" s="53"/>
      <c r="X990" s="61" t="str">
        <f>IFERROR(IF(W990="","",WORKDAY.INTL(B990,_xlfn.XLOOKUP(W990,Regras!$F$2:$F$11,Regras!$G$2:$G$11))),"")</f>
        <v/>
      </c>
      <c r="Y990" s="150"/>
      <c r="Z990" s="53"/>
    </row>
    <row r="991" spans="4:26" x14ac:dyDescent="0.2">
      <c r="D991" s="85"/>
      <c r="G991" s="85" t="s">
        <v>12</v>
      </c>
      <c r="I991" s="142"/>
      <c r="J991" s="144"/>
      <c r="K991" s="144"/>
      <c r="R991" s="53"/>
      <c r="S991" s="53"/>
      <c r="T991" s="53"/>
      <c r="U991" s="53"/>
      <c r="V991" s="53"/>
      <c r="W991" s="53"/>
      <c r="X991" s="61" t="str">
        <f>IFERROR(IF(W991="","",WORKDAY.INTL(B991,_xlfn.XLOOKUP(W991,Regras!$F$2:$F$11,Regras!$G$2:$G$11))),"")</f>
        <v/>
      </c>
      <c r="Y991" s="150"/>
      <c r="Z991" s="53"/>
    </row>
    <row r="992" spans="4:26" x14ac:dyDescent="0.2">
      <c r="D992" s="85"/>
      <c r="G992" s="85" t="s">
        <v>12</v>
      </c>
      <c r="I992" s="142"/>
      <c r="J992" s="144"/>
      <c r="K992" s="144"/>
      <c r="R992" s="53"/>
      <c r="S992" s="53"/>
      <c r="T992" s="53"/>
      <c r="U992" s="53"/>
      <c r="V992" s="53"/>
      <c r="W992" s="53"/>
      <c r="X992" s="61" t="str">
        <f>IFERROR(IF(W992="","",WORKDAY.INTL(B992,_xlfn.XLOOKUP(W992,Regras!$F$2:$F$11,Regras!$G$2:$G$11))),"")</f>
        <v/>
      </c>
      <c r="Y992" s="150"/>
      <c r="Z992" s="53"/>
    </row>
    <row r="993" spans="4:26" x14ac:dyDescent="0.2">
      <c r="D993" s="85"/>
      <c r="G993" s="85" t="s">
        <v>12</v>
      </c>
      <c r="I993" s="142"/>
      <c r="J993" s="144"/>
      <c r="K993" s="144"/>
      <c r="R993" s="53"/>
      <c r="S993" s="53"/>
      <c r="T993" s="53"/>
      <c r="U993" s="53"/>
      <c r="V993" s="53"/>
      <c r="W993" s="53"/>
      <c r="X993" s="61" t="str">
        <f>IFERROR(IF(W993="","",WORKDAY.INTL(B993,_xlfn.XLOOKUP(W993,Regras!$F$2:$F$11,Regras!$G$2:$G$11))),"")</f>
        <v/>
      </c>
      <c r="Y993" s="150"/>
      <c r="Z993" s="53"/>
    </row>
    <row r="994" spans="4:26" x14ac:dyDescent="0.2">
      <c r="D994" s="85"/>
      <c r="G994" s="85" t="s">
        <v>12</v>
      </c>
      <c r="I994" s="142"/>
      <c r="J994" s="144"/>
      <c r="K994" s="144"/>
      <c r="R994" s="53"/>
      <c r="S994" s="53"/>
      <c r="T994" s="53"/>
      <c r="U994" s="53"/>
      <c r="V994" s="53"/>
      <c r="W994" s="53"/>
      <c r="X994" s="61" t="str">
        <f>IFERROR(IF(W994="","",WORKDAY.INTL(B994,_xlfn.XLOOKUP(W994,Regras!$F$2:$F$11,Regras!$G$2:$G$11))),"")</f>
        <v/>
      </c>
      <c r="Y994" s="150"/>
      <c r="Z994" s="53"/>
    </row>
    <row r="995" spans="4:26" x14ac:dyDescent="0.2">
      <c r="D995" s="85"/>
      <c r="G995" s="85" t="s">
        <v>12</v>
      </c>
      <c r="I995" s="142"/>
      <c r="J995" s="144"/>
      <c r="K995" s="144"/>
      <c r="R995" s="53"/>
      <c r="S995" s="53"/>
      <c r="T995" s="53"/>
      <c r="U995" s="53"/>
      <c r="V995" s="53"/>
      <c r="W995" s="53"/>
      <c r="X995" s="61" t="str">
        <f>IFERROR(IF(W995="","",WORKDAY.INTL(B995,_xlfn.XLOOKUP(W995,Regras!$F$2:$F$11,Regras!$G$2:$G$11))),"")</f>
        <v/>
      </c>
      <c r="Y995" s="150"/>
      <c r="Z995" s="53"/>
    </row>
    <row r="996" spans="4:26" x14ac:dyDescent="0.2">
      <c r="D996" s="85"/>
      <c r="G996" s="85" t="s">
        <v>12</v>
      </c>
      <c r="I996" s="142"/>
      <c r="J996" s="144"/>
      <c r="K996" s="144"/>
      <c r="R996" s="53"/>
      <c r="S996" s="53"/>
      <c r="T996" s="53"/>
      <c r="U996" s="53"/>
      <c r="V996" s="53"/>
      <c r="W996" s="53"/>
      <c r="X996" s="61" t="str">
        <f>IFERROR(IF(W996="","",WORKDAY.INTL(B996,_xlfn.XLOOKUP(W996,Regras!$F$2:$F$11,Regras!$G$2:$G$11))),"")</f>
        <v/>
      </c>
      <c r="Y996" s="150"/>
      <c r="Z996" s="53"/>
    </row>
    <row r="997" spans="4:26" x14ac:dyDescent="0.2">
      <c r="D997" s="85"/>
      <c r="G997" s="85" t="s">
        <v>12</v>
      </c>
      <c r="I997" s="142"/>
      <c r="J997" s="144"/>
      <c r="K997" s="144"/>
      <c r="R997" s="53"/>
      <c r="S997" s="53"/>
      <c r="T997" s="53"/>
      <c r="U997" s="53"/>
      <c r="V997" s="53"/>
      <c r="W997" s="53"/>
      <c r="X997" s="61" t="str">
        <f>IFERROR(IF(W997="","",WORKDAY.INTL(B997,_xlfn.XLOOKUP(W997,Regras!$F$2:$F$11,Regras!$G$2:$G$11))),"")</f>
        <v/>
      </c>
      <c r="Y997" s="150"/>
      <c r="Z997" s="53"/>
    </row>
    <row r="998" spans="4:26" x14ac:dyDescent="0.2">
      <c r="D998" s="85"/>
      <c r="G998" s="85" t="s">
        <v>12</v>
      </c>
      <c r="I998" s="142"/>
      <c r="J998" s="144"/>
      <c r="K998" s="144"/>
      <c r="R998" s="53"/>
      <c r="S998" s="53"/>
      <c r="T998" s="53"/>
      <c r="U998" s="53"/>
      <c r="V998" s="53"/>
      <c r="W998" s="53"/>
      <c r="X998" s="61" t="str">
        <f>IFERROR(IF(W998="","",WORKDAY.INTL(B998,_xlfn.XLOOKUP(W998,Regras!$F$2:$F$11,Regras!$G$2:$G$11))),"")</f>
        <v/>
      </c>
      <c r="Y998" s="150"/>
      <c r="Z998" s="53"/>
    </row>
    <row r="999" spans="4:26" x14ac:dyDescent="0.2">
      <c r="D999" s="85"/>
      <c r="G999" s="85" t="s">
        <v>12</v>
      </c>
      <c r="I999" s="142"/>
      <c r="J999" s="144"/>
      <c r="K999" s="144"/>
      <c r="R999" s="53"/>
      <c r="S999" s="53"/>
      <c r="T999" s="53"/>
      <c r="U999" s="53"/>
      <c r="V999" s="53"/>
      <c r="W999" s="53"/>
      <c r="X999" s="61" t="str">
        <f>IFERROR(IF(W999="","",WORKDAY.INTL(B999,_xlfn.XLOOKUP(W999,Regras!$F$2:$F$11,Regras!$G$2:$G$11))),"")</f>
        <v/>
      </c>
      <c r="Y999" s="150"/>
      <c r="Z999" s="53"/>
    </row>
    <row r="1000" spans="4:26" x14ac:dyDescent="0.2">
      <c r="D1000" s="85"/>
      <c r="G1000" s="85" t="s">
        <v>12</v>
      </c>
      <c r="I1000" s="142"/>
      <c r="J1000" s="144"/>
      <c r="K1000" s="144"/>
      <c r="R1000" s="53"/>
      <c r="S1000" s="53"/>
      <c r="T1000" s="53"/>
      <c r="U1000" s="53"/>
      <c r="V1000" s="53"/>
      <c r="W1000" s="53"/>
      <c r="X1000" s="61" t="str">
        <f>IFERROR(IF(W1000="","",WORKDAY.INTL(B1000,_xlfn.XLOOKUP(W1000,Regras!$F$2:$F$11,Regras!$G$2:$G$11))),"")</f>
        <v/>
      </c>
      <c r="Y1000" s="150"/>
      <c r="Z1000" s="53"/>
    </row>
    <row r="1001" spans="4:26" x14ac:dyDescent="0.2">
      <c r="D1001" s="85"/>
      <c r="G1001" s="85" t="s">
        <v>12</v>
      </c>
      <c r="I1001" s="142"/>
      <c r="J1001" s="144"/>
      <c r="K1001" s="144"/>
      <c r="R1001" s="53"/>
      <c r="S1001" s="53"/>
      <c r="T1001" s="53"/>
      <c r="U1001" s="53"/>
      <c r="V1001" s="53"/>
      <c r="W1001" s="53"/>
      <c r="X1001" s="61" t="str">
        <f>IFERROR(IF(W1001="","",WORKDAY.INTL(B1001,_xlfn.XLOOKUP(W1001,Regras!$F$2:$F$11,Regras!$G$2:$G$11))),"")</f>
        <v/>
      </c>
      <c r="Y1001" s="150"/>
      <c r="Z1001" s="53"/>
    </row>
    <row r="1002" spans="4:26" x14ac:dyDescent="0.2">
      <c r="D1002" s="85"/>
      <c r="G1002" s="85" t="s">
        <v>12</v>
      </c>
      <c r="I1002" s="142"/>
      <c r="J1002" s="144"/>
      <c r="K1002" s="144"/>
      <c r="R1002" s="53"/>
      <c r="S1002" s="53"/>
      <c r="T1002" s="53"/>
      <c r="U1002" s="53"/>
      <c r="V1002" s="53"/>
      <c r="W1002" s="53"/>
      <c r="X1002" s="61" t="str">
        <f>IFERROR(IF(W1002="","",WORKDAY.INTL(B1002,_xlfn.XLOOKUP(W1002,Regras!$F$2:$F$11,Regras!$G$2:$G$11))),"")</f>
        <v/>
      </c>
      <c r="Y1002" s="150"/>
      <c r="Z1002" s="53"/>
    </row>
    <row r="1003" spans="4:26" x14ac:dyDescent="0.2">
      <c r="D1003" s="85"/>
      <c r="G1003" s="85" t="s">
        <v>12</v>
      </c>
      <c r="I1003" s="142"/>
      <c r="J1003" s="144"/>
      <c r="K1003" s="144"/>
      <c r="R1003" s="53"/>
      <c r="S1003" s="53"/>
      <c r="T1003" s="53"/>
      <c r="U1003" s="53"/>
      <c r="V1003" s="53"/>
      <c r="W1003" s="53"/>
      <c r="X1003" s="61" t="str">
        <f>IFERROR(IF(W1003="","",WORKDAY.INTL(B1003,_xlfn.XLOOKUP(W1003,Regras!$F$2:$F$11,Regras!$G$2:$G$11))),"")</f>
        <v/>
      </c>
      <c r="Y1003" s="150"/>
      <c r="Z1003" s="53"/>
    </row>
    <row r="1004" spans="4:26" x14ac:dyDescent="0.2">
      <c r="D1004" s="85"/>
      <c r="G1004" s="85" t="s">
        <v>12</v>
      </c>
      <c r="I1004" s="142"/>
      <c r="J1004" s="144"/>
      <c r="K1004" s="144"/>
      <c r="R1004" s="53"/>
      <c r="S1004" s="53"/>
      <c r="T1004" s="53"/>
      <c r="U1004" s="53"/>
      <c r="V1004" s="53"/>
      <c r="W1004" s="53"/>
      <c r="X1004" s="61" t="str">
        <f>IFERROR(IF(W1004="","",WORKDAY.INTL(B1004,_xlfn.XLOOKUP(W1004,Regras!$F$2:$F$11,Regras!$G$2:$G$11))),"")</f>
        <v/>
      </c>
      <c r="Y1004" s="150"/>
      <c r="Z1004" s="53"/>
    </row>
    <row r="1005" spans="4:26" x14ac:dyDescent="0.2">
      <c r="D1005" s="85"/>
      <c r="G1005" s="85" t="s">
        <v>12</v>
      </c>
      <c r="I1005" s="142"/>
      <c r="J1005" s="144"/>
      <c r="K1005" s="144"/>
      <c r="R1005" s="53"/>
      <c r="S1005" s="53"/>
      <c r="T1005" s="53"/>
      <c r="U1005" s="53"/>
      <c r="V1005" s="53"/>
      <c r="W1005" s="53"/>
      <c r="X1005" s="61" t="str">
        <f>IFERROR(IF(W1005="","",WORKDAY.INTL(B1005,_xlfn.XLOOKUP(W1005,Regras!$F$2:$F$11,Regras!$G$2:$G$11))),"")</f>
        <v/>
      </c>
      <c r="Y1005" s="150"/>
      <c r="Z1005" s="53"/>
    </row>
    <row r="1006" spans="4:26" x14ac:dyDescent="0.2">
      <c r="D1006" s="85"/>
      <c r="G1006" s="85" t="s">
        <v>12</v>
      </c>
      <c r="I1006" s="142"/>
      <c r="J1006" s="144"/>
      <c r="K1006" s="144"/>
      <c r="R1006" s="53"/>
      <c r="S1006" s="53"/>
      <c r="T1006" s="53"/>
      <c r="U1006" s="53"/>
      <c r="V1006" s="53"/>
      <c r="W1006" s="53"/>
      <c r="X1006" s="61" t="str">
        <f>IFERROR(IF(W1006="","",WORKDAY.INTL(B1006,_xlfn.XLOOKUP(W1006,Regras!$F$2:$F$11,Regras!$G$2:$G$11))),"")</f>
        <v/>
      </c>
      <c r="Y1006" s="150"/>
      <c r="Z1006" s="53"/>
    </row>
    <row r="1007" spans="4:26" x14ac:dyDescent="0.2">
      <c r="D1007" s="85"/>
      <c r="G1007" s="85" t="s">
        <v>12</v>
      </c>
      <c r="I1007" s="142"/>
      <c r="J1007" s="144"/>
      <c r="K1007" s="144"/>
      <c r="R1007" s="53"/>
      <c r="S1007" s="53"/>
      <c r="T1007" s="53"/>
      <c r="U1007" s="53"/>
      <c r="V1007" s="53"/>
      <c r="W1007" s="53"/>
      <c r="X1007" s="61" t="str">
        <f>IFERROR(IF(W1007="","",WORKDAY.INTL(B1007,_xlfn.XLOOKUP(W1007,Regras!$F$2:$F$11,Regras!$G$2:$G$11))),"")</f>
        <v/>
      </c>
      <c r="Y1007" s="150"/>
      <c r="Z1007" s="53"/>
    </row>
    <row r="1008" spans="4:26" x14ac:dyDescent="0.2">
      <c r="D1008" s="85"/>
      <c r="G1008" s="85" t="s">
        <v>12</v>
      </c>
      <c r="I1008" s="142"/>
      <c r="J1008" s="144"/>
      <c r="K1008" s="144"/>
      <c r="R1008" s="53"/>
      <c r="S1008" s="53"/>
      <c r="T1008" s="53"/>
      <c r="U1008" s="53"/>
      <c r="V1008" s="53"/>
      <c r="W1008" s="53"/>
      <c r="X1008" s="61" t="str">
        <f>IFERROR(IF(W1008="","",WORKDAY.INTL(B1008,_xlfn.XLOOKUP(W1008,Regras!$F$2:$F$11,Regras!$G$2:$G$11))),"")</f>
        <v/>
      </c>
      <c r="Y1008" s="150"/>
      <c r="Z1008" s="53"/>
    </row>
    <row r="1009" spans="4:26" x14ac:dyDescent="0.2">
      <c r="D1009" s="85"/>
      <c r="G1009" s="85" t="s">
        <v>12</v>
      </c>
      <c r="I1009" s="142"/>
      <c r="J1009" s="144"/>
      <c r="K1009" s="144"/>
      <c r="R1009" s="53"/>
      <c r="S1009" s="53"/>
      <c r="T1009" s="53"/>
      <c r="U1009" s="53"/>
      <c r="V1009" s="53"/>
      <c r="W1009" s="53"/>
      <c r="X1009" s="61" t="str">
        <f>IFERROR(IF(W1009="","",WORKDAY.INTL(B1009,_xlfn.XLOOKUP(W1009,Regras!$F$2:$F$11,Regras!$G$2:$G$11))),"")</f>
        <v/>
      </c>
      <c r="Y1009" s="150"/>
      <c r="Z1009" s="53"/>
    </row>
    <row r="1010" spans="4:26" x14ac:dyDescent="0.2">
      <c r="D1010" s="85"/>
      <c r="G1010" s="85" t="s">
        <v>12</v>
      </c>
      <c r="I1010" s="142"/>
      <c r="J1010" s="144"/>
      <c r="K1010" s="144"/>
      <c r="R1010" s="53"/>
      <c r="S1010" s="53"/>
      <c r="T1010" s="53"/>
      <c r="U1010" s="53"/>
      <c r="V1010" s="53"/>
      <c r="W1010" s="53"/>
      <c r="X1010" s="61" t="str">
        <f>IFERROR(IF(W1010="","",WORKDAY.INTL(B1010,_xlfn.XLOOKUP(W1010,Regras!$F$2:$F$11,Regras!$G$2:$G$11))),"")</f>
        <v/>
      </c>
      <c r="Y1010" s="150"/>
      <c r="Z1010" s="53"/>
    </row>
    <row r="1011" spans="4:26" x14ac:dyDescent="0.2">
      <c r="D1011" s="85"/>
      <c r="G1011" s="85" t="s">
        <v>12</v>
      </c>
      <c r="I1011" s="142"/>
      <c r="J1011" s="144"/>
      <c r="K1011" s="144"/>
      <c r="R1011" s="53"/>
      <c r="S1011" s="53"/>
      <c r="T1011" s="53"/>
      <c r="U1011" s="53"/>
      <c r="V1011" s="53"/>
      <c r="W1011" s="53"/>
      <c r="X1011" s="61" t="str">
        <f>IFERROR(IF(W1011="","",WORKDAY.INTL(B1011,_xlfn.XLOOKUP(W1011,Regras!$F$2:$F$11,Regras!$G$2:$G$11))),"")</f>
        <v/>
      </c>
      <c r="Y1011" s="150"/>
      <c r="Z1011" s="53"/>
    </row>
    <row r="1012" spans="4:26" x14ac:dyDescent="0.2">
      <c r="D1012" s="85"/>
      <c r="G1012" s="85" t="s">
        <v>12</v>
      </c>
      <c r="I1012" s="142"/>
      <c r="J1012" s="144"/>
      <c r="K1012" s="144"/>
      <c r="R1012" s="53"/>
      <c r="S1012" s="53"/>
      <c r="T1012" s="53"/>
      <c r="U1012" s="53"/>
      <c r="V1012" s="53"/>
      <c r="W1012" s="53"/>
      <c r="X1012" s="61" t="str">
        <f>IFERROR(IF(W1012="","",WORKDAY.INTL(B1012,_xlfn.XLOOKUP(W1012,Regras!$F$2:$F$11,Regras!$G$2:$G$11))),"")</f>
        <v/>
      </c>
      <c r="Y1012" s="150"/>
      <c r="Z1012" s="53"/>
    </row>
    <row r="1013" spans="4:26" x14ac:dyDescent="0.2">
      <c r="D1013" s="85"/>
      <c r="G1013" s="85" t="s">
        <v>12</v>
      </c>
      <c r="I1013" s="142"/>
      <c r="J1013" s="144"/>
      <c r="K1013" s="144"/>
      <c r="R1013" s="53"/>
      <c r="S1013" s="53"/>
      <c r="T1013" s="53"/>
      <c r="U1013" s="53"/>
      <c r="V1013" s="53"/>
      <c r="W1013" s="53"/>
      <c r="X1013" s="61" t="str">
        <f>IFERROR(IF(W1013="","",WORKDAY.INTL(B1013,_xlfn.XLOOKUP(W1013,Regras!$F$2:$F$11,Regras!$G$2:$G$11))),"")</f>
        <v/>
      </c>
      <c r="Y1013" s="150"/>
      <c r="Z1013" s="53"/>
    </row>
    <row r="1014" spans="4:26" x14ac:dyDescent="0.2">
      <c r="D1014" s="85"/>
      <c r="G1014" s="85" t="s">
        <v>12</v>
      </c>
      <c r="I1014" s="142"/>
      <c r="J1014" s="144"/>
      <c r="K1014" s="144"/>
      <c r="R1014" s="53"/>
      <c r="S1014" s="53"/>
      <c r="T1014" s="53"/>
      <c r="U1014" s="53"/>
      <c r="V1014" s="53"/>
      <c r="W1014" s="53"/>
      <c r="X1014" s="61" t="str">
        <f>IFERROR(IF(W1014="","",WORKDAY.INTL(B1014,_xlfn.XLOOKUP(W1014,Regras!$F$2:$F$11,Regras!$G$2:$G$11))),"")</f>
        <v/>
      </c>
      <c r="Y1014" s="150"/>
      <c r="Z1014" s="53"/>
    </row>
    <row r="1015" spans="4:26" x14ac:dyDescent="0.2">
      <c r="D1015" s="85"/>
      <c r="G1015" s="85" t="s">
        <v>12</v>
      </c>
      <c r="I1015" s="142"/>
      <c r="J1015" s="144"/>
      <c r="K1015" s="144"/>
      <c r="R1015" s="53"/>
      <c r="S1015" s="53"/>
      <c r="T1015" s="53"/>
      <c r="U1015" s="53"/>
      <c r="V1015" s="53"/>
      <c r="W1015" s="53"/>
      <c r="X1015" s="61" t="str">
        <f>IFERROR(IF(W1015="","",WORKDAY.INTL(B1015,_xlfn.XLOOKUP(W1015,Regras!$F$2:$F$11,Regras!$G$2:$G$11))),"")</f>
        <v/>
      </c>
      <c r="Y1015" s="150"/>
      <c r="Z1015" s="53"/>
    </row>
    <row r="1016" spans="4:26" x14ac:dyDescent="0.2">
      <c r="D1016" s="85"/>
      <c r="G1016" s="85" t="s">
        <v>12</v>
      </c>
      <c r="I1016" s="142"/>
      <c r="J1016" s="144"/>
      <c r="K1016" s="144"/>
      <c r="R1016" s="53"/>
      <c r="S1016" s="53"/>
      <c r="T1016" s="53"/>
      <c r="U1016" s="53"/>
      <c r="V1016" s="53"/>
      <c r="W1016" s="53"/>
      <c r="X1016" s="61" t="str">
        <f>IFERROR(IF(W1016="","",WORKDAY.INTL(B1016,_xlfn.XLOOKUP(W1016,Regras!$F$2:$F$11,Regras!$G$2:$G$11))),"")</f>
        <v/>
      </c>
      <c r="Y1016" s="150"/>
      <c r="Z1016" s="53"/>
    </row>
    <row r="1017" spans="4:26" x14ac:dyDescent="0.2">
      <c r="D1017" s="85"/>
      <c r="G1017" s="85" t="s">
        <v>12</v>
      </c>
      <c r="I1017" s="142"/>
      <c r="J1017" s="144"/>
      <c r="K1017" s="144"/>
      <c r="R1017" s="53"/>
      <c r="S1017" s="53"/>
      <c r="T1017" s="53"/>
      <c r="U1017" s="53"/>
      <c r="V1017" s="53"/>
      <c r="W1017" s="53"/>
      <c r="X1017" s="61" t="str">
        <f>IFERROR(IF(W1017="","",WORKDAY.INTL(B1017,_xlfn.XLOOKUP(W1017,Regras!$F$2:$F$11,Regras!$G$2:$G$11))),"")</f>
        <v/>
      </c>
      <c r="Y1017" s="150"/>
      <c r="Z1017" s="53"/>
    </row>
    <row r="1018" spans="4:26" x14ac:dyDescent="0.2">
      <c r="G1018" s="85" t="s">
        <v>12</v>
      </c>
      <c r="I1018" s="142"/>
      <c r="J1018" s="144"/>
      <c r="K1018" s="144"/>
      <c r="R1018" s="53"/>
      <c r="S1018" s="53"/>
      <c r="T1018" s="53"/>
      <c r="U1018" s="53"/>
      <c r="V1018" s="53"/>
      <c r="W1018" s="53"/>
      <c r="X1018" s="61" t="str">
        <f>IFERROR(IF(W1018="","",WORKDAY.INTL(B1018,_xlfn.XLOOKUP(W1018,Regras!$F$2:$F$11,Regras!$G$2:$G$11))),"")</f>
        <v/>
      </c>
      <c r="Y1018" s="150"/>
      <c r="Z1018" s="53"/>
    </row>
    <row r="1019" spans="4:26" x14ac:dyDescent="0.2">
      <c r="G1019" s="85" t="s">
        <v>12</v>
      </c>
      <c r="I1019" s="142"/>
      <c r="J1019" s="144"/>
      <c r="K1019" s="144"/>
      <c r="R1019" s="53"/>
      <c r="S1019" s="53"/>
      <c r="T1019" s="53"/>
      <c r="U1019" s="53"/>
      <c r="V1019" s="53"/>
      <c r="W1019" s="53"/>
      <c r="X1019" s="61" t="str">
        <f>IFERROR(IF(W1019="","",WORKDAY.INTL(B1019,_xlfn.XLOOKUP(W1019,Regras!$F$2:$F$11,Regras!$G$2:$G$11))),"")</f>
        <v/>
      </c>
      <c r="Y1019" s="150"/>
      <c r="Z1019" s="53"/>
    </row>
    <row r="1020" spans="4:26" x14ac:dyDescent="0.2">
      <c r="G1020" s="85" t="s">
        <v>12</v>
      </c>
      <c r="I1020" s="142"/>
      <c r="J1020" s="144"/>
      <c r="K1020" s="144"/>
      <c r="R1020" s="53"/>
      <c r="S1020" s="53"/>
      <c r="T1020" s="53"/>
      <c r="U1020" s="53"/>
      <c r="V1020" s="53"/>
      <c r="W1020" s="53"/>
      <c r="X1020" s="61" t="str">
        <f>IFERROR(IF(W1020="","",WORKDAY.INTL(B1020,_xlfn.XLOOKUP(W1020,Regras!$F$2:$F$11,Regras!$G$2:$G$11))),"")</f>
        <v/>
      </c>
      <c r="Y1020" s="150"/>
      <c r="Z1020" s="53"/>
    </row>
    <row r="1021" spans="4:26" x14ac:dyDescent="0.2">
      <c r="G1021" s="85" t="s">
        <v>12</v>
      </c>
      <c r="I1021" s="142"/>
      <c r="J1021" s="144"/>
      <c r="K1021" s="144"/>
      <c r="R1021" s="53"/>
      <c r="S1021" s="53"/>
      <c r="T1021" s="53"/>
      <c r="U1021" s="53"/>
      <c r="V1021" s="53"/>
      <c r="W1021" s="53"/>
      <c r="X1021" s="61" t="str">
        <f>IFERROR(IF(W1021="","",WORKDAY.INTL(B1021,_xlfn.XLOOKUP(W1021,Regras!$F$2:$F$11,Regras!$G$2:$G$11))),"")</f>
        <v/>
      </c>
      <c r="Y1021" s="150"/>
      <c r="Z1021" s="53"/>
    </row>
    <row r="1022" spans="4:26" x14ac:dyDescent="0.2">
      <c r="G1022" s="85" t="s">
        <v>12</v>
      </c>
      <c r="I1022" s="142"/>
      <c r="J1022" s="144"/>
      <c r="K1022" s="144"/>
      <c r="R1022" s="53"/>
      <c r="S1022" s="53"/>
      <c r="T1022" s="53"/>
      <c r="U1022" s="53"/>
      <c r="V1022" s="53"/>
      <c r="W1022" s="53"/>
      <c r="X1022" s="61" t="str">
        <f>IFERROR(IF(W1022="","",WORKDAY.INTL(B1022,_xlfn.XLOOKUP(W1022,Regras!$F$2:$F$11,Regras!$G$2:$G$11))),"")</f>
        <v/>
      </c>
      <c r="Y1022" s="150"/>
      <c r="Z1022" s="53"/>
    </row>
    <row r="1023" spans="4:26" x14ac:dyDescent="0.2">
      <c r="G1023" s="85" t="s">
        <v>12</v>
      </c>
      <c r="I1023" s="142"/>
      <c r="J1023" s="144"/>
      <c r="K1023" s="144"/>
      <c r="R1023" s="53"/>
      <c r="S1023" s="53"/>
      <c r="T1023" s="53"/>
      <c r="U1023" s="53"/>
      <c r="V1023" s="53"/>
      <c r="W1023" s="53"/>
      <c r="X1023" s="61" t="str">
        <f>IFERROR(IF(W1023="","",WORKDAY.INTL(B1023,_xlfn.XLOOKUP(W1023,Regras!$F$2:$F$11,Regras!$G$2:$G$11))),"")</f>
        <v/>
      </c>
      <c r="Y1023" s="150"/>
      <c r="Z1023" s="53"/>
    </row>
    <row r="1024" spans="4:26" x14ac:dyDescent="0.2">
      <c r="G1024" s="85" t="s">
        <v>12</v>
      </c>
      <c r="I1024" s="142"/>
      <c r="J1024" s="144"/>
      <c r="K1024" s="144"/>
      <c r="R1024" s="53"/>
      <c r="S1024" s="53"/>
      <c r="T1024" s="53"/>
      <c r="U1024" s="53"/>
      <c r="V1024" s="53"/>
      <c r="W1024" s="53"/>
      <c r="X1024" s="61" t="str">
        <f>IFERROR(IF(W1024="","",WORKDAY.INTL(B1024,_xlfn.XLOOKUP(W1024,Regras!$F$2:$F$11,Regras!$G$2:$G$11))),"")</f>
        <v/>
      </c>
      <c r="Y1024" s="150"/>
      <c r="Z1024" s="53"/>
    </row>
    <row r="1025" spans="7:26" x14ac:dyDescent="0.2">
      <c r="G1025" s="85" t="s">
        <v>12</v>
      </c>
      <c r="I1025" s="142"/>
      <c r="J1025" s="144"/>
      <c r="K1025" s="144"/>
      <c r="R1025" s="53"/>
      <c r="S1025" s="53"/>
      <c r="T1025" s="53"/>
      <c r="U1025" s="53"/>
      <c r="V1025" s="53"/>
      <c r="W1025" s="53"/>
      <c r="X1025" s="61" t="str">
        <f>IFERROR(IF(W1025="","",WORKDAY.INTL(B1025,_xlfn.XLOOKUP(W1025,Regras!$F$2:$F$11,Regras!$G$2:$G$11))),"")</f>
        <v/>
      </c>
      <c r="Y1025" s="150"/>
      <c r="Z1025" s="53"/>
    </row>
    <row r="1026" spans="7:26" x14ac:dyDescent="0.2">
      <c r="G1026" s="85" t="s">
        <v>12</v>
      </c>
      <c r="I1026" s="142"/>
      <c r="J1026" s="144"/>
      <c r="K1026" s="144"/>
      <c r="R1026" s="53"/>
      <c r="S1026" s="53"/>
      <c r="T1026" s="53"/>
      <c r="U1026" s="53"/>
      <c r="V1026" s="53"/>
      <c r="W1026" s="53"/>
      <c r="X1026" s="61" t="str">
        <f>IFERROR(IF(W1026="","",WORKDAY.INTL(B1026,_xlfn.XLOOKUP(W1026,Regras!$F$2:$F$11,Regras!$G$2:$G$11))),"")</f>
        <v/>
      </c>
      <c r="Y1026" s="150"/>
      <c r="Z1026" s="53"/>
    </row>
    <row r="1027" spans="7:26" x14ac:dyDescent="0.2">
      <c r="G1027" s="85" t="s">
        <v>12</v>
      </c>
      <c r="I1027" s="142"/>
      <c r="J1027" s="144"/>
      <c r="K1027" s="144"/>
      <c r="R1027" s="53"/>
      <c r="S1027" s="53"/>
      <c r="T1027" s="53"/>
      <c r="U1027" s="53"/>
      <c r="V1027" s="53"/>
      <c r="W1027" s="53"/>
      <c r="X1027" s="61" t="str">
        <f>IFERROR(IF(W1027="","",WORKDAY.INTL(B1027,_xlfn.XLOOKUP(W1027,Regras!$F$2:$F$11,Regras!$G$2:$G$11))),"")</f>
        <v/>
      </c>
      <c r="Y1027" s="150"/>
      <c r="Z1027" s="53"/>
    </row>
    <row r="1028" spans="7:26" x14ac:dyDescent="0.2">
      <c r="G1028" s="85" t="s">
        <v>12</v>
      </c>
      <c r="I1028" s="142"/>
      <c r="J1028" s="144"/>
      <c r="K1028" s="144"/>
      <c r="R1028" s="53"/>
      <c r="S1028" s="53"/>
      <c r="T1028" s="53"/>
      <c r="U1028" s="53"/>
      <c r="V1028" s="53"/>
      <c r="W1028" s="53"/>
      <c r="X1028" s="61" t="str">
        <f>IFERROR(IF(W1028="","",WORKDAY.INTL(B1028,_xlfn.XLOOKUP(W1028,Regras!$F$2:$F$11,Regras!$G$2:$G$11))),"")</f>
        <v/>
      </c>
      <c r="Y1028" s="150"/>
      <c r="Z1028" s="53"/>
    </row>
    <row r="1029" spans="7:26" x14ac:dyDescent="0.2">
      <c r="G1029" s="85" t="s">
        <v>12</v>
      </c>
      <c r="I1029" s="142"/>
      <c r="J1029" s="144"/>
      <c r="K1029" s="144"/>
      <c r="R1029" s="53"/>
      <c r="S1029" s="53"/>
      <c r="T1029" s="53"/>
      <c r="U1029" s="53"/>
      <c r="V1029" s="53"/>
      <c r="W1029" s="53"/>
      <c r="X1029" s="61" t="str">
        <f>IFERROR(IF(W1029="","",WORKDAY.INTL(B1029,_xlfn.XLOOKUP(W1029,Regras!$F$2:$F$11,Regras!$G$2:$G$11))),"")</f>
        <v/>
      </c>
      <c r="Y1029" s="150"/>
      <c r="Z1029" s="53"/>
    </row>
    <row r="1030" spans="7:26" x14ac:dyDescent="0.2">
      <c r="G1030" s="85" t="s">
        <v>12</v>
      </c>
      <c r="I1030" s="142"/>
      <c r="J1030" s="144"/>
      <c r="K1030" s="144"/>
      <c r="R1030" s="53"/>
      <c r="S1030" s="53"/>
      <c r="T1030" s="53"/>
      <c r="U1030" s="53"/>
      <c r="V1030" s="53"/>
      <c r="W1030" s="53"/>
      <c r="X1030" s="61" t="str">
        <f>IFERROR(IF(W1030="","",WORKDAY.INTL(B1030,_xlfn.XLOOKUP(W1030,Regras!$F$2:$F$11,Regras!$G$2:$G$11))),"")</f>
        <v/>
      </c>
      <c r="Y1030" s="150"/>
      <c r="Z1030" s="53"/>
    </row>
    <row r="1031" spans="7:26" x14ac:dyDescent="0.2">
      <c r="G1031" s="85" t="s">
        <v>12</v>
      </c>
      <c r="I1031" s="142"/>
      <c r="J1031" s="144"/>
      <c r="K1031" s="144"/>
      <c r="R1031" s="53"/>
      <c r="S1031" s="53"/>
      <c r="T1031" s="53"/>
      <c r="U1031" s="53"/>
      <c r="V1031" s="53"/>
      <c r="W1031" s="53"/>
      <c r="X1031" s="61" t="str">
        <f>IFERROR(IF(W1031="","",WORKDAY.INTL(B1031,_xlfn.XLOOKUP(W1031,Regras!$F$2:$F$11,Regras!$G$2:$G$11))),"")</f>
        <v/>
      </c>
      <c r="Y1031" s="150"/>
      <c r="Z1031" s="53"/>
    </row>
    <row r="1032" spans="7:26" x14ac:dyDescent="0.2">
      <c r="G1032" s="85" t="s">
        <v>12</v>
      </c>
      <c r="I1032" s="142"/>
      <c r="J1032" s="144"/>
      <c r="K1032" s="144"/>
      <c r="R1032" s="53"/>
      <c r="S1032" s="53"/>
      <c r="T1032" s="53"/>
      <c r="U1032" s="53"/>
      <c r="V1032" s="53"/>
      <c r="W1032" s="53"/>
      <c r="X1032" s="61" t="str">
        <f>IFERROR(IF(W1032="","",WORKDAY.INTL(B1032,_xlfn.XLOOKUP(W1032,Regras!$F$2:$F$11,Regras!$G$2:$G$11))),"")</f>
        <v/>
      </c>
      <c r="Y1032" s="150"/>
      <c r="Z1032" s="53"/>
    </row>
    <row r="1033" spans="7:26" x14ac:dyDescent="0.2">
      <c r="G1033" s="85" t="s">
        <v>12</v>
      </c>
      <c r="I1033" s="142"/>
      <c r="J1033" s="144"/>
      <c r="K1033" s="144"/>
      <c r="R1033" s="53"/>
      <c r="S1033" s="53"/>
      <c r="T1033" s="53"/>
      <c r="U1033" s="53"/>
      <c r="V1033" s="53"/>
      <c r="W1033" s="53"/>
      <c r="X1033" s="61" t="str">
        <f>IFERROR(IF(W1033="","",WORKDAY.INTL(B1033,_xlfn.XLOOKUP(W1033,Regras!$F$2:$F$11,Regras!$G$2:$G$11))),"")</f>
        <v/>
      </c>
      <c r="Y1033" s="150"/>
      <c r="Z1033" s="53"/>
    </row>
    <row r="1034" spans="7:26" x14ac:dyDescent="0.2">
      <c r="G1034" s="85" t="s">
        <v>12</v>
      </c>
      <c r="I1034" s="142"/>
      <c r="J1034" s="144"/>
      <c r="K1034" s="144"/>
      <c r="R1034" s="53"/>
      <c r="S1034" s="53"/>
      <c r="T1034" s="53"/>
      <c r="U1034" s="53"/>
      <c r="V1034" s="53"/>
      <c r="W1034" s="53"/>
      <c r="X1034" s="61" t="str">
        <f>IFERROR(IF(W1034="","",WORKDAY.INTL(B1034,_xlfn.XLOOKUP(W1034,Regras!$F$2:$F$11,Regras!$G$2:$G$11))),"")</f>
        <v/>
      </c>
      <c r="Y1034" s="150"/>
      <c r="Z1034" s="53"/>
    </row>
    <row r="1035" spans="7:26" x14ac:dyDescent="0.2">
      <c r="G1035" s="85" t="s">
        <v>12</v>
      </c>
      <c r="I1035" s="142"/>
      <c r="J1035" s="144"/>
      <c r="K1035" s="144"/>
      <c r="R1035" s="53"/>
      <c r="S1035" s="53"/>
      <c r="T1035" s="53"/>
      <c r="U1035" s="53"/>
      <c r="V1035" s="53"/>
      <c r="W1035" s="53"/>
      <c r="X1035" s="61" t="str">
        <f>IFERROR(IF(W1035="","",WORKDAY.INTL(B1035,_xlfn.XLOOKUP(W1035,Regras!$F$2:$F$11,Regras!$G$2:$G$11))),"")</f>
        <v/>
      </c>
      <c r="Y1035" s="150"/>
      <c r="Z1035" s="53"/>
    </row>
    <row r="1036" spans="7:26" x14ac:dyDescent="0.2">
      <c r="G1036" s="85" t="s">
        <v>12</v>
      </c>
      <c r="I1036" s="142"/>
      <c r="J1036" s="144"/>
      <c r="K1036" s="144"/>
      <c r="R1036" s="53"/>
      <c r="S1036" s="53"/>
      <c r="T1036" s="53"/>
      <c r="U1036" s="53"/>
      <c r="V1036" s="53"/>
      <c r="W1036" s="53"/>
      <c r="X1036" s="61" t="str">
        <f>IFERROR(IF(W1036="","",WORKDAY.INTL(B1036,_xlfn.XLOOKUP(W1036,Regras!$F$2:$F$11,Regras!$G$2:$G$11))),"")</f>
        <v/>
      </c>
      <c r="Y1036" s="150"/>
      <c r="Z1036" s="53"/>
    </row>
    <row r="1037" spans="7:26" x14ac:dyDescent="0.2">
      <c r="G1037" s="85" t="s">
        <v>12</v>
      </c>
      <c r="I1037" s="142"/>
      <c r="J1037" s="144"/>
      <c r="K1037" s="144"/>
      <c r="R1037" s="53"/>
      <c r="S1037" s="53"/>
      <c r="T1037" s="53"/>
      <c r="U1037" s="53"/>
      <c r="V1037" s="53"/>
      <c r="W1037" s="53"/>
      <c r="X1037" s="61" t="str">
        <f>IFERROR(IF(W1037="","",WORKDAY.INTL(B1037,_xlfn.XLOOKUP(W1037,Regras!$F$2:$F$11,Regras!$G$2:$G$11))),"")</f>
        <v/>
      </c>
      <c r="Y1037" s="150"/>
      <c r="Z1037" s="53"/>
    </row>
    <row r="1038" spans="7:26" x14ac:dyDescent="0.2">
      <c r="G1038" s="85" t="s">
        <v>12</v>
      </c>
      <c r="I1038" s="142"/>
      <c r="J1038" s="144"/>
      <c r="K1038" s="144"/>
      <c r="R1038" s="53"/>
      <c r="S1038" s="53"/>
      <c r="T1038" s="53"/>
      <c r="U1038" s="53"/>
      <c r="V1038" s="53"/>
      <c r="W1038" s="53"/>
      <c r="X1038" s="61" t="str">
        <f>IFERROR(IF(W1038="","",WORKDAY.INTL(B1038,_xlfn.XLOOKUP(W1038,Regras!$F$2:$F$11,Regras!$G$2:$G$11))),"")</f>
        <v/>
      </c>
      <c r="Y1038" s="150"/>
      <c r="Z1038" s="53"/>
    </row>
    <row r="1039" spans="7:26" x14ac:dyDescent="0.2">
      <c r="G1039" s="85" t="s">
        <v>12</v>
      </c>
      <c r="I1039" s="142"/>
      <c r="J1039" s="144"/>
      <c r="K1039" s="144"/>
      <c r="R1039" s="53"/>
      <c r="S1039" s="53"/>
      <c r="T1039" s="53"/>
      <c r="U1039" s="53"/>
      <c r="V1039" s="53"/>
      <c r="W1039" s="53"/>
      <c r="X1039" s="61" t="str">
        <f>IFERROR(IF(W1039="","",WORKDAY.INTL(B1039,_xlfn.XLOOKUP(W1039,Regras!$F$2:$F$11,Regras!$G$2:$G$11))),"")</f>
        <v/>
      </c>
      <c r="Y1039" s="150"/>
      <c r="Z1039" s="53"/>
    </row>
    <row r="1040" spans="7:26" x14ac:dyDescent="0.2">
      <c r="G1040" s="85" t="s">
        <v>12</v>
      </c>
      <c r="I1040" s="142"/>
      <c r="J1040" s="144"/>
      <c r="K1040" s="144"/>
      <c r="R1040" s="53"/>
      <c r="S1040" s="53"/>
      <c r="T1040" s="53"/>
      <c r="U1040" s="53"/>
      <c r="V1040" s="53"/>
      <c r="W1040" s="53"/>
      <c r="X1040" s="61" t="str">
        <f>IFERROR(IF(W1040="","",WORKDAY.INTL(B1040,_xlfn.XLOOKUP(W1040,Regras!$F$2:$F$11,Regras!$G$2:$G$11))),"")</f>
        <v/>
      </c>
      <c r="Y1040" s="150"/>
      <c r="Z1040" s="53"/>
    </row>
    <row r="1041" spans="7:26" x14ac:dyDescent="0.2">
      <c r="G1041" s="85" t="s">
        <v>12</v>
      </c>
      <c r="I1041" s="142"/>
      <c r="J1041" s="144"/>
      <c r="K1041" s="144"/>
      <c r="R1041" s="53"/>
      <c r="S1041" s="53"/>
      <c r="T1041" s="53"/>
      <c r="U1041" s="53"/>
      <c r="V1041" s="53"/>
      <c r="W1041" s="53"/>
      <c r="X1041" s="61" t="str">
        <f>IFERROR(IF(W1041="","",WORKDAY.INTL(B1041,_xlfn.XLOOKUP(W1041,Regras!$F$2:$F$11,Regras!$G$2:$G$11))),"")</f>
        <v/>
      </c>
      <c r="Y1041" s="150"/>
      <c r="Z1041" s="53"/>
    </row>
    <row r="1042" spans="7:26" x14ac:dyDescent="0.2">
      <c r="G1042" s="85" t="s">
        <v>12</v>
      </c>
      <c r="I1042" s="142"/>
      <c r="J1042" s="144"/>
      <c r="K1042" s="144"/>
      <c r="R1042" s="53"/>
      <c r="S1042" s="53"/>
      <c r="T1042" s="53"/>
      <c r="U1042" s="53"/>
      <c r="V1042" s="53"/>
      <c r="W1042" s="53"/>
      <c r="X1042" s="61" t="str">
        <f>IFERROR(IF(W1042="","",WORKDAY.INTL(B1042,_xlfn.XLOOKUP(W1042,Regras!$F$2:$F$11,Regras!$G$2:$G$11))),"")</f>
        <v/>
      </c>
      <c r="Y1042" s="150"/>
      <c r="Z1042" s="53"/>
    </row>
    <row r="1043" spans="7:26" x14ac:dyDescent="0.2">
      <c r="G1043" s="85" t="s">
        <v>12</v>
      </c>
      <c r="I1043" s="142"/>
      <c r="J1043" s="144"/>
      <c r="K1043" s="144"/>
      <c r="R1043" s="53"/>
      <c r="S1043" s="53"/>
      <c r="T1043" s="53"/>
      <c r="U1043" s="53"/>
      <c r="V1043" s="53"/>
      <c r="W1043" s="53"/>
      <c r="X1043" s="61" t="str">
        <f>IFERROR(IF(W1043="","",WORKDAY.INTL(B1043,_xlfn.XLOOKUP(W1043,Regras!$F$2:$F$11,Regras!$G$2:$G$11))),"")</f>
        <v/>
      </c>
      <c r="Y1043" s="150"/>
      <c r="Z1043" s="53"/>
    </row>
    <row r="1044" spans="7:26" x14ac:dyDescent="0.2">
      <c r="G1044" s="85" t="s">
        <v>12</v>
      </c>
      <c r="I1044" s="142"/>
      <c r="J1044" s="144"/>
      <c r="K1044" s="144"/>
      <c r="R1044" s="53"/>
      <c r="S1044" s="53"/>
      <c r="T1044" s="53"/>
      <c r="U1044" s="53"/>
      <c r="V1044" s="53"/>
      <c r="W1044" s="53"/>
      <c r="X1044" s="61" t="str">
        <f>IFERROR(IF(W1044="","",WORKDAY.INTL(B1044,_xlfn.XLOOKUP(W1044,Regras!$F$2:$F$11,Regras!$G$2:$G$11))),"")</f>
        <v/>
      </c>
      <c r="Y1044" s="150"/>
      <c r="Z1044" s="53"/>
    </row>
    <row r="1045" spans="7:26" x14ac:dyDescent="0.2">
      <c r="G1045" s="85" t="s">
        <v>12</v>
      </c>
      <c r="I1045" s="142"/>
      <c r="J1045" s="144"/>
      <c r="K1045" s="144"/>
      <c r="R1045" s="53"/>
      <c r="S1045" s="53"/>
      <c r="T1045" s="53"/>
      <c r="U1045" s="53"/>
      <c r="V1045" s="53"/>
      <c r="W1045" s="53"/>
      <c r="X1045" s="61" t="str">
        <f>IFERROR(IF(W1045="","",WORKDAY.INTL(B1045,_xlfn.XLOOKUP(W1045,Regras!$F$2:$F$11,Regras!$G$2:$G$11))),"")</f>
        <v/>
      </c>
      <c r="Y1045" s="150"/>
      <c r="Z1045" s="53"/>
    </row>
    <row r="1046" spans="7:26" x14ac:dyDescent="0.2">
      <c r="G1046" s="85" t="s">
        <v>12</v>
      </c>
      <c r="I1046" s="142"/>
      <c r="J1046" s="144"/>
      <c r="K1046" s="144"/>
      <c r="R1046" s="53"/>
      <c r="S1046" s="53"/>
      <c r="T1046" s="53"/>
      <c r="U1046" s="53"/>
      <c r="V1046" s="53"/>
      <c r="W1046" s="53"/>
      <c r="X1046" s="61" t="str">
        <f>IFERROR(IF(W1046="","",WORKDAY.INTL(B1046,_xlfn.XLOOKUP(W1046,Regras!$F$2:$F$11,Regras!$G$2:$G$11))),"")</f>
        <v/>
      </c>
      <c r="Y1046" s="150"/>
      <c r="Z1046" s="53"/>
    </row>
    <row r="1047" spans="7:26" x14ac:dyDescent="0.2">
      <c r="G1047" s="85" t="s">
        <v>12</v>
      </c>
      <c r="I1047" s="142"/>
      <c r="J1047" s="144"/>
      <c r="K1047" s="144"/>
      <c r="R1047" s="53"/>
      <c r="S1047" s="53"/>
      <c r="T1047" s="53"/>
      <c r="U1047" s="53"/>
      <c r="V1047" s="53"/>
      <c r="W1047" s="53"/>
      <c r="X1047" s="61" t="str">
        <f>IFERROR(IF(W1047="","",WORKDAY.INTL(B1047,_xlfn.XLOOKUP(W1047,Regras!$F$2:$F$11,Regras!$G$2:$G$11))),"")</f>
        <v/>
      </c>
      <c r="Y1047" s="150"/>
      <c r="Z1047" s="53"/>
    </row>
    <row r="1048" spans="7:26" x14ac:dyDescent="0.2">
      <c r="G1048" s="85" t="s">
        <v>12</v>
      </c>
      <c r="I1048" s="142"/>
      <c r="J1048" s="144"/>
      <c r="K1048" s="144"/>
      <c r="R1048" s="53"/>
      <c r="S1048" s="53"/>
      <c r="T1048" s="53"/>
      <c r="U1048" s="53"/>
      <c r="V1048" s="53"/>
      <c r="W1048" s="53"/>
      <c r="X1048" s="61" t="str">
        <f>IFERROR(IF(W1048="","",WORKDAY.INTL(B1048,_xlfn.XLOOKUP(W1048,Regras!$F$2:$F$11,Regras!$G$2:$G$11))),"")</f>
        <v/>
      </c>
      <c r="Y1048" s="150"/>
      <c r="Z1048" s="53"/>
    </row>
    <row r="1049" spans="7:26" x14ac:dyDescent="0.2">
      <c r="G1049" s="85" t="s">
        <v>12</v>
      </c>
      <c r="I1049" s="142"/>
      <c r="J1049" s="144"/>
      <c r="K1049" s="144"/>
      <c r="R1049" s="53"/>
      <c r="S1049" s="53"/>
      <c r="T1049" s="53"/>
      <c r="U1049" s="53"/>
      <c r="V1049" s="53"/>
      <c r="W1049" s="53"/>
      <c r="X1049" s="61" t="str">
        <f>IFERROR(IF(W1049="","",WORKDAY.INTL(B1049,_xlfn.XLOOKUP(W1049,Regras!$F$2:$F$11,Regras!$G$2:$G$11))),"")</f>
        <v/>
      </c>
      <c r="Y1049" s="150"/>
      <c r="Z1049" s="53"/>
    </row>
    <row r="1050" spans="7:26" x14ac:dyDescent="0.2">
      <c r="G1050" s="85" t="s">
        <v>12</v>
      </c>
      <c r="I1050" s="142"/>
      <c r="J1050" s="144"/>
      <c r="K1050" s="144"/>
      <c r="R1050" s="53"/>
      <c r="S1050" s="53"/>
      <c r="T1050" s="53"/>
      <c r="U1050" s="53"/>
      <c r="V1050" s="53"/>
      <c r="W1050" s="53"/>
      <c r="X1050" s="61" t="str">
        <f>IFERROR(IF(W1050="","",WORKDAY.INTL(B1050,_xlfn.XLOOKUP(W1050,Regras!$F$2:$F$11,Regras!$G$2:$G$11))),"")</f>
        <v/>
      </c>
      <c r="Y1050" s="150"/>
      <c r="Z1050" s="53"/>
    </row>
    <row r="1051" spans="7:26" x14ac:dyDescent="0.2">
      <c r="G1051" s="85" t="s">
        <v>12</v>
      </c>
      <c r="I1051" s="142"/>
      <c r="J1051" s="144"/>
      <c r="K1051" s="144"/>
      <c r="R1051" s="53"/>
      <c r="S1051" s="53"/>
      <c r="T1051" s="53"/>
      <c r="U1051" s="53"/>
      <c r="V1051" s="53"/>
      <c r="W1051" s="53"/>
      <c r="X1051" s="61" t="str">
        <f>IFERROR(IF(W1051="","",WORKDAY.INTL(B1051,_xlfn.XLOOKUP(W1051,Regras!$F$2:$F$11,Regras!$G$2:$G$11))),"")</f>
        <v/>
      </c>
      <c r="Y1051" s="150"/>
      <c r="Z1051" s="53"/>
    </row>
    <row r="1052" spans="7:26" x14ac:dyDescent="0.2">
      <c r="G1052" s="85" t="s">
        <v>12</v>
      </c>
      <c r="I1052" s="142"/>
      <c r="J1052" s="144"/>
      <c r="K1052" s="144"/>
      <c r="R1052" s="53"/>
      <c r="S1052" s="53"/>
      <c r="T1052" s="53"/>
      <c r="U1052" s="53"/>
      <c r="V1052" s="53"/>
      <c r="W1052" s="53"/>
      <c r="X1052" s="61" t="str">
        <f>IFERROR(IF(W1052="","",WORKDAY.INTL(B1052,_xlfn.XLOOKUP(W1052,Regras!$F$2:$F$11,Regras!$G$2:$G$11))),"")</f>
        <v/>
      </c>
      <c r="Y1052" s="150"/>
      <c r="Z1052" s="53"/>
    </row>
    <row r="1053" spans="7:26" x14ac:dyDescent="0.2">
      <c r="G1053" s="85" t="s">
        <v>12</v>
      </c>
      <c r="I1053" s="142"/>
      <c r="J1053" s="144"/>
      <c r="K1053" s="144"/>
      <c r="R1053" s="53"/>
      <c r="S1053" s="53"/>
      <c r="T1053" s="53"/>
      <c r="U1053" s="53"/>
      <c r="V1053" s="53"/>
      <c r="W1053" s="53"/>
      <c r="X1053" s="61" t="str">
        <f>IFERROR(IF(W1053="","",WORKDAY.INTL(B1053,_xlfn.XLOOKUP(W1053,Regras!$F$2:$F$11,Regras!$G$2:$G$11))),"")</f>
        <v/>
      </c>
      <c r="Y1053" s="150"/>
      <c r="Z1053" s="53"/>
    </row>
    <row r="1054" spans="7:26" x14ac:dyDescent="0.2">
      <c r="G1054" s="85" t="s">
        <v>12</v>
      </c>
      <c r="I1054" s="142"/>
      <c r="J1054" s="144"/>
      <c r="K1054" s="144"/>
      <c r="R1054" s="53"/>
      <c r="S1054" s="53"/>
      <c r="T1054" s="53"/>
      <c r="U1054" s="53"/>
      <c r="V1054" s="53"/>
      <c r="W1054" s="53"/>
      <c r="X1054" s="61" t="str">
        <f>IFERROR(IF(W1054="","",WORKDAY.INTL(B1054,_xlfn.XLOOKUP(W1054,Regras!$F$2:$F$11,Regras!$G$2:$G$11))),"")</f>
        <v/>
      </c>
      <c r="Y1054" s="150"/>
      <c r="Z1054" s="53"/>
    </row>
    <row r="1055" spans="7:26" x14ac:dyDescent="0.2">
      <c r="G1055" s="85" t="s">
        <v>12</v>
      </c>
      <c r="I1055" s="142"/>
      <c r="J1055" s="144"/>
      <c r="K1055" s="144"/>
      <c r="R1055" s="53"/>
      <c r="S1055" s="53"/>
      <c r="T1055" s="53"/>
      <c r="U1055" s="53"/>
      <c r="V1055" s="53"/>
      <c r="W1055" s="53"/>
      <c r="X1055" s="61" t="str">
        <f>IFERROR(IF(W1055="","",WORKDAY.INTL(B1055,_xlfn.XLOOKUP(W1055,Regras!$F$2:$F$11,Regras!$G$2:$G$11))),"")</f>
        <v/>
      </c>
      <c r="Y1055" s="150"/>
      <c r="Z1055" s="53"/>
    </row>
    <row r="1056" spans="7:26" x14ac:dyDescent="0.2">
      <c r="G1056" s="85" t="s">
        <v>12</v>
      </c>
      <c r="I1056" s="142"/>
      <c r="J1056" s="144"/>
      <c r="K1056" s="144"/>
      <c r="R1056" s="53"/>
      <c r="S1056" s="53"/>
      <c r="T1056" s="53"/>
      <c r="U1056" s="53"/>
      <c r="V1056" s="53"/>
      <c r="W1056" s="53"/>
      <c r="X1056" s="61" t="str">
        <f>IFERROR(IF(W1056="","",WORKDAY.INTL(B1056,_xlfn.XLOOKUP(W1056,Regras!$F$2:$F$11,Regras!$G$2:$G$11))),"")</f>
        <v/>
      </c>
      <c r="Y1056" s="150"/>
      <c r="Z1056" s="53"/>
    </row>
    <row r="1057" spans="7:26" x14ac:dyDescent="0.2">
      <c r="G1057" s="85" t="s">
        <v>12</v>
      </c>
      <c r="I1057" s="142"/>
      <c r="J1057" s="144"/>
      <c r="K1057" s="144"/>
      <c r="R1057" s="53"/>
      <c r="S1057" s="53"/>
      <c r="T1057" s="53"/>
      <c r="U1057" s="53"/>
      <c r="V1057" s="53"/>
      <c r="W1057" s="53"/>
      <c r="X1057" s="61" t="str">
        <f>IFERROR(IF(W1057="","",WORKDAY.INTL(B1057,_xlfn.XLOOKUP(W1057,Regras!$F$2:$F$11,Regras!$G$2:$G$11))),"")</f>
        <v/>
      </c>
      <c r="Y1057" s="150"/>
      <c r="Z1057" s="53"/>
    </row>
    <row r="1058" spans="7:26" x14ac:dyDescent="0.2">
      <c r="G1058" s="85" t="s">
        <v>12</v>
      </c>
      <c r="I1058" s="142"/>
      <c r="J1058" s="144"/>
      <c r="K1058" s="144"/>
      <c r="R1058" s="53"/>
      <c r="S1058" s="53"/>
      <c r="T1058" s="53"/>
      <c r="U1058" s="53"/>
      <c r="V1058" s="53"/>
      <c r="W1058" s="53"/>
      <c r="X1058" s="61" t="str">
        <f>IFERROR(IF(W1058="","",WORKDAY.INTL(B1058,_xlfn.XLOOKUP(W1058,Regras!$F$2:$F$11,Regras!$G$2:$G$11))),"")</f>
        <v/>
      </c>
      <c r="Y1058" s="150"/>
      <c r="Z1058" s="53"/>
    </row>
    <row r="1059" spans="7:26" x14ac:dyDescent="0.2">
      <c r="G1059" s="85" t="s">
        <v>12</v>
      </c>
      <c r="I1059" s="142"/>
      <c r="J1059" s="144"/>
      <c r="K1059" s="144"/>
      <c r="R1059" s="53"/>
      <c r="S1059" s="53"/>
      <c r="T1059" s="53"/>
      <c r="U1059" s="53"/>
      <c r="V1059" s="53"/>
      <c r="W1059" s="53"/>
      <c r="X1059" s="61" t="str">
        <f>IFERROR(IF(W1059="","",WORKDAY.INTL(B1059,_xlfn.XLOOKUP(W1059,Regras!$F$2:$F$11,Regras!$G$2:$G$11))),"")</f>
        <v/>
      </c>
      <c r="Y1059" s="150"/>
      <c r="Z1059" s="53"/>
    </row>
    <row r="1060" spans="7:26" x14ac:dyDescent="0.2">
      <c r="G1060" s="85" t="s">
        <v>12</v>
      </c>
      <c r="I1060" s="142"/>
      <c r="J1060" s="144"/>
      <c r="K1060" s="144"/>
      <c r="R1060" s="53"/>
      <c r="S1060" s="53"/>
      <c r="T1060" s="53"/>
      <c r="U1060" s="53"/>
      <c r="V1060" s="53"/>
      <c r="W1060" s="53"/>
      <c r="X1060" s="61" t="str">
        <f>IFERROR(IF(W1060="","",WORKDAY.INTL(B1060,_xlfn.XLOOKUP(W1060,Regras!$F$2:$F$11,Regras!$G$2:$G$11))),"")</f>
        <v/>
      </c>
      <c r="Y1060" s="150"/>
      <c r="Z1060" s="53"/>
    </row>
    <row r="1061" spans="7:26" x14ac:dyDescent="0.2">
      <c r="G1061" s="85" t="s">
        <v>12</v>
      </c>
      <c r="I1061" s="142"/>
      <c r="J1061" s="144"/>
      <c r="K1061" s="144"/>
      <c r="R1061" s="53"/>
      <c r="S1061" s="53"/>
      <c r="T1061" s="53"/>
      <c r="U1061" s="53"/>
      <c r="V1061" s="53"/>
      <c r="W1061" s="53"/>
      <c r="X1061" s="61" t="str">
        <f>IFERROR(IF(W1061="","",WORKDAY.INTL(B1061,_xlfn.XLOOKUP(W1061,Regras!$F$2:$F$11,Regras!$G$2:$G$11))),"")</f>
        <v/>
      </c>
      <c r="Y1061" s="150"/>
      <c r="Z1061" s="53"/>
    </row>
    <row r="1062" spans="7:26" x14ac:dyDescent="0.2">
      <c r="G1062" s="85" t="s">
        <v>12</v>
      </c>
      <c r="I1062" s="142"/>
      <c r="J1062" s="144"/>
      <c r="K1062" s="144"/>
      <c r="R1062" s="53"/>
      <c r="S1062" s="53"/>
      <c r="T1062" s="53"/>
      <c r="U1062" s="53"/>
      <c r="V1062" s="53"/>
      <c r="W1062" s="53"/>
      <c r="X1062" s="61" t="str">
        <f>IFERROR(IF(W1062="","",WORKDAY.INTL(B1062,_xlfn.XLOOKUP(W1062,Regras!$F$2:$F$11,Regras!$G$2:$G$11))),"")</f>
        <v/>
      </c>
      <c r="Y1062" s="150"/>
      <c r="Z1062" s="53"/>
    </row>
    <row r="1063" spans="7:26" x14ac:dyDescent="0.2">
      <c r="G1063" s="85" t="s">
        <v>12</v>
      </c>
      <c r="I1063" s="142"/>
      <c r="J1063" s="144"/>
      <c r="K1063" s="144"/>
      <c r="R1063" s="53"/>
      <c r="S1063" s="53"/>
      <c r="T1063" s="53"/>
      <c r="U1063" s="53"/>
      <c r="V1063" s="53"/>
      <c r="W1063" s="53"/>
      <c r="X1063" s="61" t="str">
        <f>IFERROR(IF(W1063="","",WORKDAY.INTL(B1063,_xlfn.XLOOKUP(W1063,Regras!$F$2:$F$11,Regras!$G$2:$G$11))),"")</f>
        <v/>
      </c>
      <c r="Y1063" s="150"/>
      <c r="Z1063" s="53"/>
    </row>
    <row r="1064" spans="7:26" x14ac:dyDescent="0.2">
      <c r="G1064" s="85" t="s">
        <v>12</v>
      </c>
      <c r="I1064" s="142"/>
      <c r="J1064" s="144"/>
      <c r="K1064" s="144"/>
      <c r="R1064" s="53"/>
      <c r="S1064" s="53"/>
      <c r="T1064" s="53"/>
      <c r="U1064" s="53"/>
      <c r="V1064" s="53"/>
      <c r="W1064" s="53"/>
      <c r="X1064" s="61" t="str">
        <f>IFERROR(IF(W1064="","",WORKDAY.INTL(B1064,_xlfn.XLOOKUP(W1064,Regras!$F$2:$F$11,Regras!$G$2:$G$11))),"")</f>
        <v/>
      </c>
      <c r="Y1064" s="150"/>
      <c r="Z1064" s="53"/>
    </row>
    <row r="1065" spans="7:26" x14ac:dyDescent="0.2">
      <c r="G1065" s="85" t="s">
        <v>12</v>
      </c>
      <c r="I1065" s="142"/>
      <c r="J1065" s="144"/>
      <c r="K1065" s="144"/>
      <c r="R1065" s="53"/>
      <c r="S1065" s="53"/>
      <c r="T1065" s="53"/>
      <c r="U1065" s="53"/>
      <c r="V1065" s="53"/>
      <c r="W1065" s="53"/>
      <c r="X1065" s="61" t="str">
        <f>IFERROR(IF(W1065="","",WORKDAY.INTL(B1065,_xlfn.XLOOKUP(W1065,Regras!$F$2:$F$11,Regras!$G$2:$G$11))),"")</f>
        <v/>
      </c>
      <c r="Y1065" s="150"/>
      <c r="Z1065" s="53"/>
    </row>
    <row r="1066" spans="7:26" x14ac:dyDescent="0.2">
      <c r="G1066" s="85" t="s">
        <v>12</v>
      </c>
      <c r="I1066" s="142"/>
      <c r="J1066" s="144"/>
      <c r="K1066" s="144"/>
      <c r="R1066" s="53"/>
      <c r="S1066" s="53"/>
      <c r="T1066" s="53"/>
      <c r="U1066" s="53"/>
      <c r="V1066" s="53"/>
      <c r="W1066" s="53"/>
      <c r="X1066" s="61" t="str">
        <f>IFERROR(IF(W1066="","",WORKDAY.INTL(B1066,_xlfn.XLOOKUP(W1066,Regras!$F$2:$F$11,Regras!$G$2:$G$11))),"")</f>
        <v/>
      </c>
      <c r="Y1066" s="150"/>
      <c r="Z1066" s="53"/>
    </row>
    <row r="1067" spans="7:26" x14ac:dyDescent="0.2">
      <c r="G1067" s="85" t="s">
        <v>12</v>
      </c>
      <c r="I1067" s="142"/>
      <c r="J1067" s="144"/>
      <c r="K1067" s="144"/>
      <c r="R1067" s="53"/>
      <c r="S1067" s="53"/>
      <c r="T1067" s="53"/>
      <c r="U1067" s="53"/>
      <c r="V1067" s="53"/>
      <c r="W1067" s="53"/>
      <c r="X1067" s="61" t="str">
        <f>IFERROR(IF(W1067="","",WORKDAY.INTL(B1067,_xlfn.XLOOKUP(W1067,Regras!$F$2:$F$11,Regras!$G$2:$G$11))),"")</f>
        <v/>
      </c>
      <c r="Y1067" s="150"/>
      <c r="Z1067" s="53"/>
    </row>
    <row r="1068" spans="7:26" x14ac:dyDescent="0.2">
      <c r="G1068" s="85" t="s">
        <v>12</v>
      </c>
      <c r="I1068" s="142"/>
      <c r="J1068" s="144"/>
      <c r="K1068" s="144"/>
      <c r="R1068" s="53"/>
      <c r="S1068" s="53"/>
      <c r="T1068" s="53"/>
      <c r="U1068" s="53"/>
      <c r="V1068" s="53"/>
      <c r="W1068" s="53"/>
      <c r="X1068" s="61" t="str">
        <f>IFERROR(IF(W1068="","",WORKDAY.INTL(B1068,_xlfn.XLOOKUP(W1068,Regras!$F$2:$F$11,Regras!$G$2:$G$11))),"")</f>
        <v/>
      </c>
      <c r="Y1068" s="150"/>
      <c r="Z1068" s="53"/>
    </row>
    <row r="1069" spans="7:26" x14ac:dyDescent="0.2">
      <c r="G1069" s="85" t="s">
        <v>12</v>
      </c>
      <c r="I1069" s="142"/>
      <c r="J1069" s="144"/>
      <c r="K1069" s="144"/>
      <c r="R1069" s="53"/>
      <c r="S1069" s="53"/>
      <c r="T1069" s="53"/>
      <c r="U1069" s="53"/>
      <c r="V1069" s="53"/>
      <c r="W1069" s="53"/>
      <c r="X1069" s="61" t="str">
        <f>IFERROR(IF(W1069="","",WORKDAY.INTL(B1069,_xlfn.XLOOKUP(W1069,Regras!$F$2:$F$11,Regras!$G$2:$G$11))),"")</f>
        <v/>
      </c>
      <c r="Y1069" s="150"/>
      <c r="Z1069" s="53"/>
    </row>
    <row r="1070" spans="7:26" x14ac:dyDescent="0.2">
      <c r="G1070" s="85" t="s">
        <v>12</v>
      </c>
      <c r="I1070" s="142"/>
      <c r="J1070" s="144"/>
      <c r="K1070" s="144"/>
      <c r="R1070" s="53"/>
      <c r="S1070" s="53"/>
      <c r="T1070" s="53"/>
      <c r="U1070" s="53"/>
      <c r="V1070" s="53"/>
      <c r="W1070" s="53"/>
      <c r="X1070" s="61" t="str">
        <f>IFERROR(IF(W1070="","",WORKDAY.INTL(B1070,_xlfn.XLOOKUP(W1070,Regras!$F$2:$F$11,Regras!$G$2:$G$11))),"")</f>
        <v/>
      </c>
      <c r="Y1070" s="150"/>
      <c r="Z1070" s="53"/>
    </row>
    <row r="1071" spans="7:26" x14ac:dyDescent="0.2">
      <c r="G1071" s="85" t="s">
        <v>12</v>
      </c>
      <c r="I1071" s="142"/>
      <c r="J1071" s="144"/>
      <c r="K1071" s="144"/>
      <c r="R1071" s="53"/>
      <c r="S1071" s="53"/>
      <c r="T1071" s="53"/>
      <c r="U1071" s="53"/>
      <c r="V1071" s="53"/>
      <c r="W1071" s="53"/>
      <c r="X1071" s="61" t="str">
        <f>IFERROR(IF(W1071="","",WORKDAY.INTL(B1071,_xlfn.XLOOKUP(W1071,Regras!$F$2:$F$11,Regras!$G$2:$G$11))),"")</f>
        <v/>
      </c>
      <c r="Y1071" s="150"/>
      <c r="Z1071" s="53"/>
    </row>
    <row r="1072" spans="7:26" x14ac:dyDescent="0.2">
      <c r="G1072" s="85" t="s">
        <v>12</v>
      </c>
      <c r="I1072" s="142"/>
      <c r="J1072" s="144"/>
      <c r="K1072" s="144"/>
      <c r="R1072" s="53"/>
      <c r="S1072" s="53"/>
      <c r="T1072" s="53"/>
      <c r="U1072" s="53"/>
      <c r="V1072" s="53"/>
      <c r="W1072" s="53"/>
      <c r="X1072" s="61" t="str">
        <f>IFERROR(IF(W1072="","",WORKDAY.INTL(B1072,_xlfn.XLOOKUP(W1072,Regras!$F$2:$F$11,Regras!$G$2:$G$11))),"")</f>
        <v/>
      </c>
      <c r="Y1072" s="150"/>
      <c r="Z1072" s="53"/>
    </row>
    <row r="1073" spans="7:26" x14ac:dyDescent="0.2">
      <c r="G1073" s="85" t="s">
        <v>12</v>
      </c>
      <c r="I1073" s="142"/>
      <c r="J1073" s="144"/>
      <c r="K1073" s="144"/>
      <c r="R1073" s="53"/>
      <c r="S1073" s="53"/>
      <c r="T1073" s="53"/>
      <c r="U1073" s="53"/>
      <c r="V1073" s="53"/>
      <c r="W1073" s="53"/>
      <c r="X1073" s="61" t="str">
        <f>IFERROR(IF(W1073="","",WORKDAY.INTL(B1073,_xlfn.XLOOKUP(W1073,Regras!$F$2:$F$11,Regras!$G$2:$G$11))),"")</f>
        <v/>
      </c>
      <c r="Y1073" s="150"/>
      <c r="Z1073" s="53"/>
    </row>
    <row r="1074" spans="7:26" x14ac:dyDescent="0.2">
      <c r="G1074" s="85" t="s">
        <v>12</v>
      </c>
      <c r="I1074" s="142"/>
      <c r="J1074" s="144"/>
      <c r="K1074" s="144"/>
      <c r="R1074" s="53"/>
      <c r="S1074" s="53"/>
      <c r="T1074" s="53"/>
      <c r="U1074" s="53"/>
      <c r="V1074" s="53"/>
      <c r="W1074" s="53"/>
      <c r="X1074" s="61" t="str">
        <f>IFERROR(IF(W1074="","",WORKDAY.INTL(B1074,_xlfn.XLOOKUP(W1074,Regras!$F$2:$F$11,Regras!$G$2:$G$11))),"")</f>
        <v/>
      </c>
      <c r="Y1074" s="150"/>
      <c r="Z1074" s="53"/>
    </row>
    <row r="1075" spans="7:26" x14ac:dyDescent="0.2">
      <c r="G1075" s="85" t="s">
        <v>12</v>
      </c>
      <c r="I1075" s="142"/>
      <c r="J1075" s="144"/>
      <c r="K1075" s="144"/>
      <c r="R1075" s="53"/>
      <c r="S1075" s="53"/>
      <c r="T1075" s="53"/>
      <c r="U1075" s="53"/>
      <c r="V1075" s="53"/>
      <c r="W1075" s="53"/>
      <c r="X1075" s="61" t="str">
        <f>IFERROR(IF(W1075="","",WORKDAY.INTL(B1075,_xlfn.XLOOKUP(W1075,Regras!$F$2:$F$11,Regras!$G$2:$G$11))),"")</f>
        <v/>
      </c>
      <c r="Y1075" s="150"/>
      <c r="Z1075" s="53"/>
    </row>
    <row r="1076" spans="7:26" x14ac:dyDescent="0.2">
      <c r="G1076" s="85" t="s">
        <v>12</v>
      </c>
      <c r="I1076" s="142"/>
      <c r="J1076" s="144"/>
      <c r="K1076" s="144"/>
      <c r="R1076" s="53"/>
      <c r="S1076" s="53"/>
      <c r="T1076" s="53"/>
      <c r="U1076" s="53"/>
      <c r="V1076" s="53"/>
      <c r="W1076" s="53"/>
      <c r="X1076" s="61" t="str">
        <f>IFERROR(IF(W1076="","",WORKDAY.INTL(B1076,_xlfn.XLOOKUP(W1076,Regras!$F$2:$F$11,Regras!$G$2:$G$11))),"")</f>
        <v/>
      </c>
      <c r="Y1076" s="150"/>
      <c r="Z1076" s="53"/>
    </row>
    <row r="1077" spans="7:26" x14ac:dyDescent="0.2">
      <c r="G1077" s="85" t="s">
        <v>12</v>
      </c>
      <c r="I1077" s="142"/>
      <c r="J1077" s="144"/>
      <c r="K1077" s="144"/>
      <c r="R1077" s="53"/>
      <c r="S1077" s="53"/>
      <c r="T1077" s="53"/>
      <c r="U1077" s="53"/>
      <c r="V1077" s="53"/>
      <c r="W1077" s="53"/>
      <c r="X1077" s="61" t="str">
        <f>IFERROR(IF(W1077="","",WORKDAY.INTL(B1077,_xlfn.XLOOKUP(W1077,Regras!$F$2:$F$11,Regras!$G$2:$G$11))),"")</f>
        <v/>
      </c>
      <c r="Y1077" s="150"/>
      <c r="Z1077" s="53"/>
    </row>
    <row r="1078" spans="7:26" x14ac:dyDescent="0.2">
      <c r="G1078" s="85" t="s">
        <v>12</v>
      </c>
      <c r="I1078" s="142"/>
      <c r="J1078" s="144"/>
      <c r="K1078" s="144"/>
      <c r="R1078" s="53"/>
      <c r="S1078" s="53"/>
      <c r="T1078" s="53"/>
      <c r="U1078" s="53"/>
      <c r="V1078" s="53"/>
      <c r="W1078" s="53"/>
      <c r="X1078" s="61" t="str">
        <f>IFERROR(IF(W1078="","",WORKDAY.INTL(B1078,_xlfn.XLOOKUP(W1078,Regras!$F$2:$F$11,Regras!$G$2:$G$11))),"")</f>
        <v/>
      </c>
      <c r="Y1078" s="150"/>
      <c r="Z1078" s="53"/>
    </row>
    <row r="1079" spans="7:26" x14ac:dyDescent="0.2">
      <c r="G1079" s="85" t="s">
        <v>12</v>
      </c>
      <c r="I1079" s="142"/>
      <c r="J1079" s="144"/>
      <c r="K1079" s="144"/>
      <c r="R1079" s="53"/>
      <c r="S1079" s="53"/>
      <c r="T1079" s="53"/>
      <c r="U1079" s="53"/>
      <c r="V1079" s="53"/>
      <c r="W1079" s="53"/>
      <c r="X1079" s="61" t="str">
        <f>IFERROR(IF(W1079="","",WORKDAY.INTL(B1079,_xlfn.XLOOKUP(W1079,Regras!$F$2:$F$11,Regras!$G$2:$G$11))),"")</f>
        <v/>
      </c>
      <c r="Y1079" s="150"/>
      <c r="Z1079" s="53"/>
    </row>
    <row r="1080" spans="7:26" x14ac:dyDescent="0.2">
      <c r="G1080" s="85" t="s">
        <v>12</v>
      </c>
      <c r="I1080" s="142"/>
      <c r="J1080" s="144"/>
      <c r="K1080" s="144"/>
      <c r="R1080" s="53"/>
      <c r="S1080" s="53"/>
      <c r="T1080" s="53"/>
      <c r="U1080" s="53"/>
      <c r="V1080" s="53"/>
      <c r="W1080" s="53"/>
      <c r="X1080" s="61" t="str">
        <f>IFERROR(IF(W1080="","",WORKDAY.INTL(B1080,_xlfn.XLOOKUP(W1080,Regras!$F$2:$F$11,Regras!$G$2:$G$11))),"")</f>
        <v/>
      </c>
      <c r="Y1080" s="150"/>
      <c r="Z1080" s="53"/>
    </row>
    <row r="1081" spans="7:26" x14ac:dyDescent="0.2">
      <c r="G1081" s="85" t="s">
        <v>12</v>
      </c>
      <c r="I1081" s="142"/>
      <c r="J1081" s="144"/>
      <c r="K1081" s="144"/>
      <c r="R1081" s="53"/>
      <c r="S1081" s="53"/>
      <c r="T1081" s="53"/>
      <c r="U1081" s="53"/>
      <c r="V1081" s="53"/>
      <c r="W1081" s="53"/>
      <c r="X1081" s="61" t="str">
        <f>IFERROR(IF(W1081="","",WORKDAY.INTL(B1081,_xlfn.XLOOKUP(W1081,Regras!$F$2:$F$11,Regras!$G$2:$G$11))),"")</f>
        <v/>
      </c>
      <c r="Y1081" s="150"/>
      <c r="Z1081" s="53"/>
    </row>
    <row r="1082" spans="7:26" x14ac:dyDescent="0.2">
      <c r="G1082" s="85" t="s">
        <v>12</v>
      </c>
      <c r="I1082" s="142"/>
      <c r="J1082" s="144"/>
      <c r="K1082" s="144"/>
      <c r="R1082" s="53"/>
      <c r="S1082" s="53"/>
      <c r="T1082" s="53"/>
      <c r="U1082" s="53"/>
      <c r="V1082" s="53"/>
      <c r="W1082" s="53"/>
      <c r="X1082" s="61" t="str">
        <f>IFERROR(IF(W1082="","",WORKDAY.INTL(B1082,_xlfn.XLOOKUP(W1082,Regras!$F$2:$F$11,Regras!$G$2:$G$11))),"")</f>
        <v/>
      </c>
      <c r="Y1082" s="150"/>
      <c r="Z1082" s="53"/>
    </row>
    <row r="1083" spans="7:26" x14ac:dyDescent="0.2">
      <c r="G1083" s="85" t="s">
        <v>12</v>
      </c>
      <c r="I1083" s="142"/>
      <c r="J1083" s="144"/>
      <c r="K1083" s="144"/>
      <c r="R1083" s="53"/>
      <c r="S1083" s="53"/>
      <c r="T1083" s="53"/>
      <c r="U1083" s="53"/>
      <c r="V1083" s="53"/>
      <c r="W1083" s="53"/>
      <c r="X1083" s="61" t="str">
        <f>IFERROR(IF(W1083="","",WORKDAY.INTL(B1083,_xlfn.XLOOKUP(W1083,Regras!$F$2:$F$11,Regras!$G$2:$G$11))),"")</f>
        <v/>
      </c>
      <c r="Y1083" s="150"/>
      <c r="Z1083" s="53"/>
    </row>
    <row r="1084" spans="7:26" x14ac:dyDescent="0.2">
      <c r="G1084" s="85" t="s">
        <v>12</v>
      </c>
      <c r="I1084" s="142"/>
      <c r="J1084" s="144"/>
      <c r="K1084" s="144"/>
      <c r="R1084" s="53"/>
      <c r="S1084" s="53"/>
      <c r="T1084" s="53"/>
      <c r="U1084" s="53"/>
      <c r="V1084" s="53"/>
      <c r="W1084" s="53"/>
      <c r="X1084" s="61" t="str">
        <f>IFERROR(IF(W1084="","",WORKDAY.INTL(B1084,_xlfn.XLOOKUP(W1084,Regras!$F$2:$F$11,Regras!$G$2:$G$11))),"")</f>
        <v/>
      </c>
      <c r="Y1084" s="150"/>
      <c r="Z1084" s="53"/>
    </row>
    <row r="1085" spans="7:26" x14ac:dyDescent="0.2">
      <c r="G1085" s="85" t="s">
        <v>12</v>
      </c>
      <c r="I1085" s="142"/>
      <c r="J1085" s="144"/>
      <c r="K1085" s="144"/>
      <c r="R1085" s="53"/>
      <c r="S1085" s="53"/>
      <c r="T1085" s="53"/>
      <c r="U1085" s="53"/>
      <c r="V1085" s="53"/>
      <c r="W1085" s="53"/>
      <c r="X1085" s="61" t="str">
        <f>IFERROR(IF(W1085="","",WORKDAY.INTL(B1085,_xlfn.XLOOKUP(W1085,Regras!$F$2:$F$11,Regras!$G$2:$G$11))),"")</f>
        <v/>
      </c>
      <c r="Y1085" s="150"/>
      <c r="Z1085" s="53"/>
    </row>
    <row r="1086" spans="7:26" x14ac:dyDescent="0.2">
      <c r="G1086" s="85" t="s">
        <v>12</v>
      </c>
      <c r="I1086" s="142"/>
      <c r="J1086" s="144"/>
      <c r="K1086" s="144"/>
      <c r="R1086" s="53"/>
      <c r="S1086" s="53"/>
      <c r="T1086" s="53"/>
      <c r="U1086" s="53"/>
      <c r="V1086" s="53"/>
      <c r="W1086" s="53"/>
      <c r="X1086" s="61" t="str">
        <f>IFERROR(IF(W1086="","",WORKDAY.INTL(B1086,_xlfn.XLOOKUP(W1086,Regras!$F$2:$F$11,Regras!$G$2:$G$11))),"")</f>
        <v/>
      </c>
      <c r="Y1086" s="150"/>
      <c r="Z1086" s="53"/>
    </row>
    <row r="1087" spans="7:26" x14ac:dyDescent="0.2">
      <c r="G1087" s="85" t="s">
        <v>12</v>
      </c>
      <c r="I1087" s="142"/>
      <c r="J1087" s="144"/>
      <c r="K1087" s="144"/>
      <c r="R1087" s="53"/>
      <c r="S1087" s="53"/>
      <c r="T1087" s="53"/>
      <c r="U1087" s="53"/>
      <c r="V1087" s="53"/>
      <c r="W1087" s="53"/>
      <c r="X1087" s="61" t="str">
        <f>IFERROR(IF(W1087="","",WORKDAY.INTL(B1087,_xlfn.XLOOKUP(W1087,Regras!$F$2:$F$11,Regras!$G$2:$G$11))),"")</f>
        <v/>
      </c>
      <c r="Y1087" s="150"/>
      <c r="Z1087" s="53"/>
    </row>
    <row r="1088" spans="7:26" x14ac:dyDescent="0.2">
      <c r="G1088" s="85" t="s">
        <v>12</v>
      </c>
      <c r="I1088" s="142"/>
      <c r="J1088" s="144"/>
      <c r="K1088" s="144"/>
      <c r="R1088" s="53"/>
      <c r="S1088" s="53"/>
      <c r="T1088" s="53"/>
      <c r="U1088" s="53"/>
      <c r="V1088" s="53"/>
      <c r="W1088" s="53"/>
      <c r="X1088" s="61" t="str">
        <f>IFERROR(IF(W1088="","",WORKDAY.INTL(B1088,_xlfn.XLOOKUP(W1088,Regras!$F$2:$F$11,Regras!$G$2:$G$11))),"")</f>
        <v/>
      </c>
      <c r="Y1088" s="150"/>
      <c r="Z1088" s="53"/>
    </row>
    <row r="1089" spans="7:26" x14ac:dyDescent="0.2">
      <c r="G1089" s="85" t="s">
        <v>12</v>
      </c>
      <c r="I1089" s="142"/>
      <c r="J1089" s="144"/>
      <c r="K1089" s="144"/>
      <c r="R1089" s="53"/>
      <c r="S1089" s="53"/>
      <c r="T1089" s="53"/>
      <c r="U1089" s="53"/>
      <c r="V1089" s="53"/>
      <c r="W1089" s="53"/>
      <c r="X1089" s="61" t="str">
        <f>IFERROR(IF(W1089="","",WORKDAY.INTL(B1089,_xlfn.XLOOKUP(W1089,Regras!$F$2:$F$11,Regras!$G$2:$G$11))),"")</f>
        <v/>
      </c>
      <c r="Y1089" s="150"/>
      <c r="Z1089" s="53"/>
    </row>
    <row r="1090" spans="7:26" x14ac:dyDescent="0.2">
      <c r="G1090" s="85" t="s">
        <v>12</v>
      </c>
      <c r="I1090" s="142"/>
      <c r="J1090" s="144"/>
      <c r="K1090" s="144"/>
      <c r="R1090" s="53"/>
      <c r="S1090" s="53"/>
      <c r="T1090" s="53"/>
      <c r="U1090" s="53"/>
      <c r="V1090" s="53"/>
      <c r="W1090" s="53"/>
      <c r="X1090" s="61" t="str">
        <f>IFERROR(IF(W1090="","",WORKDAY.INTL(B1090,_xlfn.XLOOKUP(W1090,Regras!$F$2:$F$11,Regras!$G$2:$G$11))),"")</f>
        <v/>
      </c>
      <c r="Y1090" s="150"/>
      <c r="Z1090" s="53"/>
    </row>
    <row r="1091" spans="7:26" x14ac:dyDescent="0.2">
      <c r="G1091" s="85" t="s">
        <v>12</v>
      </c>
      <c r="I1091" s="142"/>
      <c r="J1091" s="144"/>
      <c r="K1091" s="144"/>
      <c r="R1091" s="53"/>
      <c r="S1091" s="53"/>
      <c r="T1091" s="53"/>
      <c r="U1091" s="53"/>
      <c r="V1091" s="53"/>
      <c r="W1091" s="53"/>
      <c r="X1091" s="61" t="str">
        <f>IFERROR(IF(W1091="","",WORKDAY.INTL(B1091,_xlfn.XLOOKUP(W1091,Regras!$F$2:$F$11,Regras!$G$2:$G$11))),"")</f>
        <v/>
      </c>
      <c r="Y1091" s="150"/>
      <c r="Z1091" s="53"/>
    </row>
    <row r="1092" spans="7:26" x14ac:dyDescent="0.2">
      <c r="G1092" s="85" t="s">
        <v>12</v>
      </c>
      <c r="I1092" s="142"/>
      <c r="J1092" s="144"/>
      <c r="K1092" s="144"/>
      <c r="R1092" s="53"/>
      <c r="S1092" s="53"/>
      <c r="T1092" s="53"/>
      <c r="U1092" s="53"/>
      <c r="V1092" s="53"/>
      <c r="W1092" s="53"/>
      <c r="X1092" s="61" t="str">
        <f>IFERROR(IF(W1092="","",WORKDAY.INTL(B1092,_xlfn.XLOOKUP(W1092,Regras!$F$2:$F$11,Regras!$G$2:$G$11))),"")</f>
        <v/>
      </c>
      <c r="Y1092" s="150"/>
      <c r="Z1092" s="53"/>
    </row>
    <row r="1093" spans="7:26" x14ac:dyDescent="0.2">
      <c r="G1093" s="85" t="s">
        <v>12</v>
      </c>
      <c r="I1093" s="142"/>
      <c r="J1093" s="144"/>
      <c r="K1093" s="144"/>
      <c r="R1093" s="53"/>
      <c r="S1093" s="53"/>
      <c r="T1093" s="53"/>
      <c r="U1093" s="53"/>
      <c r="V1093" s="53"/>
      <c r="W1093" s="53"/>
      <c r="X1093" s="61" t="str">
        <f>IFERROR(IF(W1093="","",WORKDAY.INTL(B1093,_xlfn.XLOOKUP(W1093,Regras!$F$2:$F$11,Regras!$G$2:$G$11))),"")</f>
        <v/>
      </c>
      <c r="Y1093" s="150"/>
      <c r="Z1093" s="53"/>
    </row>
    <row r="1094" spans="7:26" x14ac:dyDescent="0.2">
      <c r="G1094" s="85" t="s">
        <v>12</v>
      </c>
      <c r="I1094" s="142"/>
      <c r="J1094" s="144"/>
      <c r="K1094" s="144"/>
      <c r="R1094" s="53"/>
      <c r="S1094" s="53"/>
      <c r="T1094" s="53"/>
      <c r="U1094" s="53"/>
      <c r="V1094" s="53"/>
      <c r="W1094" s="53"/>
      <c r="X1094" s="61" t="str">
        <f>IFERROR(IF(W1094="","",WORKDAY.INTL(B1094,_xlfn.XLOOKUP(W1094,Regras!$F$2:$F$11,Regras!$G$2:$G$11))),"")</f>
        <v/>
      </c>
      <c r="Y1094" s="150"/>
      <c r="Z1094" s="53"/>
    </row>
    <row r="1095" spans="7:26" x14ac:dyDescent="0.2">
      <c r="G1095" s="85" t="s">
        <v>12</v>
      </c>
      <c r="I1095" s="142"/>
      <c r="J1095" s="144"/>
      <c r="K1095" s="144"/>
      <c r="R1095" s="53"/>
      <c r="S1095" s="53"/>
      <c r="T1095" s="53"/>
      <c r="U1095" s="53"/>
      <c r="V1095" s="53"/>
      <c r="W1095" s="53"/>
      <c r="X1095" s="61" t="str">
        <f>IFERROR(IF(W1095="","",WORKDAY.INTL(B1095,_xlfn.XLOOKUP(W1095,Regras!$F$2:$F$11,Regras!$G$2:$G$11))),"")</f>
        <v/>
      </c>
      <c r="Y1095" s="150"/>
      <c r="Z1095" s="53"/>
    </row>
    <row r="1096" spans="7:26" x14ac:dyDescent="0.2">
      <c r="G1096" s="85" t="s">
        <v>12</v>
      </c>
      <c r="I1096" s="142"/>
      <c r="J1096" s="144"/>
      <c r="K1096" s="144"/>
      <c r="R1096" s="53"/>
      <c r="S1096" s="53"/>
      <c r="T1096" s="53"/>
      <c r="U1096" s="53"/>
      <c r="V1096" s="53"/>
      <c r="W1096" s="53"/>
      <c r="X1096" s="61" t="str">
        <f>IFERROR(IF(W1096="","",WORKDAY.INTL(B1096,_xlfn.XLOOKUP(W1096,Regras!$F$2:$F$11,Regras!$G$2:$G$11))),"")</f>
        <v/>
      </c>
      <c r="Y1096" s="150"/>
      <c r="Z1096" s="53"/>
    </row>
    <row r="1097" spans="7:26" x14ac:dyDescent="0.2">
      <c r="G1097" s="85" t="s">
        <v>12</v>
      </c>
      <c r="I1097" s="142"/>
      <c r="J1097" s="144"/>
      <c r="K1097" s="144"/>
      <c r="R1097" s="53"/>
      <c r="S1097" s="53"/>
      <c r="T1097" s="53"/>
      <c r="U1097" s="53"/>
      <c r="V1097" s="53"/>
      <c r="W1097" s="53"/>
      <c r="X1097" s="61" t="str">
        <f>IFERROR(IF(W1097="","",WORKDAY.INTL(B1097,_xlfn.XLOOKUP(W1097,Regras!$F$2:$F$11,Regras!$G$2:$G$11))),"")</f>
        <v/>
      </c>
      <c r="Y1097" s="150"/>
      <c r="Z1097" s="53"/>
    </row>
    <row r="1098" spans="7:26" x14ac:dyDescent="0.2">
      <c r="G1098" s="85" t="s">
        <v>12</v>
      </c>
      <c r="I1098" s="142"/>
      <c r="J1098" s="144"/>
      <c r="K1098" s="144"/>
      <c r="R1098" s="53"/>
      <c r="S1098" s="53"/>
      <c r="T1098" s="53"/>
      <c r="U1098" s="53"/>
      <c r="V1098" s="53"/>
      <c r="W1098" s="53"/>
      <c r="X1098" s="61" t="str">
        <f>IFERROR(IF(W1098="","",WORKDAY.INTL(B1098,_xlfn.XLOOKUP(W1098,Regras!$F$2:$F$11,Regras!$G$2:$G$11))),"")</f>
        <v/>
      </c>
      <c r="Y1098" s="150"/>
      <c r="Z1098" s="53"/>
    </row>
    <row r="1099" spans="7:26" x14ac:dyDescent="0.2">
      <c r="G1099" s="85" t="s">
        <v>12</v>
      </c>
      <c r="I1099" s="142"/>
      <c r="J1099" s="144"/>
      <c r="K1099" s="144"/>
      <c r="R1099" s="53"/>
      <c r="S1099" s="53"/>
      <c r="T1099" s="53"/>
      <c r="U1099" s="53"/>
      <c r="V1099" s="53"/>
      <c r="W1099" s="53"/>
      <c r="X1099" s="61" t="str">
        <f>IFERROR(IF(W1099="","",WORKDAY.INTL(B1099,_xlfn.XLOOKUP(W1099,Regras!$F$2:$F$11,Regras!$G$2:$G$11))),"")</f>
        <v/>
      </c>
      <c r="Y1099" s="150"/>
      <c r="Z1099" s="53"/>
    </row>
    <row r="1100" spans="7:26" x14ac:dyDescent="0.2">
      <c r="G1100" s="85" t="s">
        <v>12</v>
      </c>
      <c r="I1100" s="142"/>
      <c r="J1100" s="144"/>
      <c r="K1100" s="144"/>
      <c r="R1100" s="53"/>
      <c r="S1100" s="53"/>
      <c r="T1100" s="53"/>
      <c r="U1100" s="53"/>
      <c r="V1100" s="53"/>
      <c r="W1100" s="53"/>
      <c r="X1100" s="61" t="str">
        <f>IFERROR(IF(W1100="","",WORKDAY.INTL(B1100,_xlfn.XLOOKUP(W1100,Regras!$F$2:$F$11,Regras!$G$2:$G$11))),"")</f>
        <v/>
      </c>
      <c r="Y1100" s="150"/>
      <c r="Z1100" s="53"/>
    </row>
    <row r="1101" spans="7:26" x14ac:dyDescent="0.2">
      <c r="G1101" s="85" t="s">
        <v>12</v>
      </c>
      <c r="I1101" s="142"/>
      <c r="J1101" s="144"/>
      <c r="K1101" s="144"/>
      <c r="R1101" s="53"/>
      <c r="S1101" s="53"/>
      <c r="T1101" s="53"/>
      <c r="U1101" s="53"/>
      <c r="V1101" s="53"/>
      <c r="W1101" s="53"/>
      <c r="X1101" s="61" t="str">
        <f>IFERROR(IF(W1101="","",WORKDAY.INTL(B1101,_xlfn.XLOOKUP(W1101,Regras!$F$2:$F$11,Regras!$G$2:$G$11))),"")</f>
        <v/>
      </c>
      <c r="Y1101" s="150"/>
      <c r="Z1101" s="53"/>
    </row>
    <row r="1102" spans="7:26" x14ac:dyDescent="0.2">
      <c r="G1102" s="85" t="s">
        <v>12</v>
      </c>
      <c r="I1102" s="142"/>
      <c r="J1102" s="144"/>
      <c r="K1102" s="144"/>
      <c r="R1102" s="53"/>
      <c r="S1102" s="53"/>
      <c r="T1102" s="53"/>
      <c r="U1102" s="53"/>
      <c r="V1102" s="53"/>
      <c r="W1102" s="53"/>
      <c r="X1102" s="61" t="str">
        <f>IFERROR(IF(W1102="","",WORKDAY.INTL(B1102,_xlfn.XLOOKUP(W1102,Regras!$F$2:$F$11,Regras!$G$2:$G$11))),"")</f>
        <v/>
      </c>
      <c r="Y1102" s="150"/>
      <c r="Z1102" s="53"/>
    </row>
    <row r="1103" spans="7:26" x14ac:dyDescent="0.2">
      <c r="G1103" s="85" t="s">
        <v>12</v>
      </c>
      <c r="I1103" s="142"/>
      <c r="J1103" s="144"/>
      <c r="K1103" s="144"/>
      <c r="R1103" s="53"/>
      <c r="S1103" s="53"/>
      <c r="T1103" s="53"/>
      <c r="U1103" s="53"/>
      <c r="V1103" s="53"/>
      <c r="W1103" s="53"/>
      <c r="X1103" s="61" t="str">
        <f>IFERROR(IF(W1103="","",WORKDAY.INTL(B1103,_xlfn.XLOOKUP(W1103,Regras!$F$2:$F$11,Regras!$G$2:$G$11))),"")</f>
        <v/>
      </c>
      <c r="Y1103" s="150"/>
      <c r="Z1103" s="53"/>
    </row>
    <row r="1104" spans="7:26" x14ac:dyDescent="0.2">
      <c r="G1104" s="85" t="s">
        <v>12</v>
      </c>
      <c r="I1104" s="142"/>
      <c r="J1104" s="144"/>
      <c r="K1104" s="144"/>
      <c r="R1104" s="53"/>
      <c r="S1104" s="53"/>
      <c r="T1104" s="53"/>
      <c r="U1104" s="53"/>
      <c r="V1104" s="53"/>
      <c r="W1104" s="53"/>
      <c r="X1104" s="61" t="str">
        <f>IFERROR(IF(W1104="","",WORKDAY.INTL(B1104,_xlfn.XLOOKUP(W1104,Regras!$F$2:$F$11,Regras!$G$2:$G$11))),"")</f>
        <v/>
      </c>
      <c r="Y1104" s="150"/>
      <c r="Z1104" s="53"/>
    </row>
    <row r="1105" spans="7:26" x14ac:dyDescent="0.2">
      <c r="G1105" s="85" t="s">
        <v>12</v>
      </c>
      <c r="I1105" s="142"/>
      <c r="J1105" s="144"/>
      <c r="K1105" s="144"/>
      <c r="R1105" s="53"/>
      <c r="S1105" s="53"/>
      <c r="T1105" s="53"/>
      <c r="U1105" s="53"/>
      <c r="V1105" s="53"/>
      <c r="W1105" s="53"/>
      <c r="X1105" s="61" t="str">
        <f>IFERROR(IF(W1105="","",WORKDAY.INTL(B1105,_xlfn.XLOOKUP(W1105,Regras!$F$2:$F$11,Regras!$G$2:$G$11))),"")</f>
        <v/>
      </c>
      <c r="Y1105" s="150"/>
      <c r="Z1105" s="53"/>
    </row>
    <row r="1106" spans="7:26" x14ac:dyDescent="0.2">
      <c r="G1106" s="85" t="s">
        <v>12</v>
      </c>
      <c r="I1106" s="142"/>
      <c r="J1106" s="144"/>
      <c r="K1106" s="144"/>
      <c r="R1106" s="53"/>
      <c r="S1106" s="53"/>
      <c r="T1106" s="53"/>
      <c r="U1106" s="53"/>
      <c r="V1106" s="53"/>
      <c r="W1106" s="53"/>
      <c r="X1106" s="61" t="str">
        <f>IFERROR(IF(W1106="","",WORKDAY.INTL(B1106,_xlfn.XLOOKUP(W1106,Regras!$F$2:$F$11,Regras!$G$2:$G$11))),"")</f>
        <v/>
      </c>
      <c r="Y1106" s="150"/>
      <c r="Z1106" s="53"/>
    </row>
    <row r="1107" spans="7:26" x14ac:dyDescent="0.2">
      <c r="G1107" s="85" t="s">
        <v>12</v>
      </c>
      <c r="I1107" s="142"/>
      <c r="J1107" s="144"/>
      <c r="K1107" s="144"/>
      <c r="R1107" s="53"/>
      <c r="S1107" s="53"/>
      <c r="T1107" s="53"/>
      <c r="U1107" s="53"/>
      <c r="V1107" s="53"/>
      <c r="W1107" s="53"/>
      <c r="X1107" s="61" t="str">
        <f>IFERROR(IF(W1107="","",WORKDAY.INTL(B1107,_xlfn.XLOOKUP(W1107,Regras!$F$2:$F$11,Regras!$G$2:$G$11))),"")</f>
        <v/>
      </c>
      <c r="Y1107" s="150"/>
      <c r="Z1107" s="53"/>
    </row>
    <row r="1108" spans="7:26" x14ac:dyDescent="0.2">
      <c r="G1108" s="85" t="s">
        <v>12</v>
      </c>
      <c r="I1108" s="142"/>
      <c r="J1108" s="144"/>
      <c r="K1108" s="144"/>
      <c r="R1108" s="53"/>
      <c r="S1108" s="53"/>
      <c r="T1108" s="53"/>
      <c r="U1108" s="53"/>
      <c r="V1108" s="53"/>
      <c r="W1108" s="53"/>
      <c r="X1108" s="61" t="str">
        <f>IFERROR(IF(W1108="","",WORKDAY.INTL(B1108,_xlfn.XLOOKUP(W1108,Regras!$F$2:$F$11,Regras!$G$2:$G$11))),"")</f>
        <v/>
      </c>
      <c r="Y1108" s="150"/>
      <c r="Z1108" s="53"/>
    </row>
    <row r="1109" spans="7:26" x14ac:dyDescent="0.2">
      <c r="G1109" s="85" t="s">
        <v>12</v>
      </c>
      <c r="I1109" s="142"/>
      <c r="J1109" s="144"/>
      <c r="K1109" s="144"/>
      <c r="R1109" s="53"/>
      <c r="S1109" s="53"/>
      <c r="T1109" s="53"/>
      <c r="U1109" s="53"/>
      <c r="V1109" s="53"/>
      <c r="W1109" s="53"/>
      <c r="X1109" s="61" t="str">
        <f>IFERROR(IF(W1109="","",WORKDAY.INTL(B1109,_xlfn.XLOOKUP(W1109,Regras!$F$2:$F$11,Regras!$G$2:$G$11))),"")</f>
        <v/>
      </c>
      <c r="Y1109" s="150"/>
      <c r="Z1109" s="53"/>
    </row>
    <row r="1110" spans="7:26" x14ac:dyDescent="0.2">
      <c r="G1110" s="85" t="s">
        <v>12</v>
      </c>
      <c r="I1110" s="142"/>
      <c r="J1110" s="144"/>
      <c r="K1110" s="144"/>
      <c r="R1110" s="53"/>
      <c r="S1110" s="53"/>
      <c r="T1110" s="53"/>
      <c r="U1110" s="53"/>
      <c r="V1110" s="53"/>
      <c r="W1110" s="53"/>
      <c r="X1110" s="61" t="str">
        <f>IFERROR(IF(W1110="","",WORKDAY.INTL(B1110,_xlfn.XLOOKUP(W1110,Regras!$F$2:$F$11,Regras!$G$2:$G$11))),"")</f>
        <v/>
      </c>
      <c r="Y1110" s="150"/>
      <c r="Z1110" s="53"/>
    </row>
    <row r="1111" spans="7:26" x14ac:dyDescent="0.2">
      <c r="G1111" s="85" t="s">
        <v>12</v>
      </c>
      <c r="I1111" s="142"/>
      <c r="J1111" s="144"/>
      <c r="K1111" s="144"/>
      <c r="R1111" s="53"/>
      <c r="S1111" s="53"/>
      <c r="T1111" s="53"/>
      <c r="U1111" s="53"/>
      <c r="V1111" s="53"/>
      <c r="W1111" s="53"/>
      <c r="X1111" s="61" t="str">
        <f>IFERROR(IF(W1111="","",WORKDAY.INTL(B1111,_xlfn.XLOOKUP(W1111,Regras!$F$2:$F$11,Regras!$G$2:$G$11))),"")</f>
        <v/>
      </c>
      <c r="Y1111" s="150"/>
      <c r="Z1111" s="53"/>
    </row>
    <row r="1112" spans="7:26" x14ac:dyDescent="0.2">
      <c r="G1112" s="85" t="s">
        <v>12</v>
      </c>
      <c r="I1112" s="142"/>
      <c r="J1112" s="144"/>
      <c r="K1112" s="144"/>
      <c r="R1112" s="53"/>
      <c r="S1112" s="53"/>
      <c r="T1112" s="53"/>
      <c r="U1112" s="53"/>
      <c r="V1112" s="53"/>
      <c r="W1112" s="53"/>
      <c r="X1112" s="61" t="str">
        <f>IFERROR(IF(W1112="","",WORKDAY.INTL(B1112,_xlfn.XLOOKUP(W1112,Regras!$F$2:$F$11,Regras!$G$2:$G$11))),"")</f>
        <v/>
      </c>
      <c r="Y1112" s="150"/>
      <c r="Z1112" s="53"/>
    </row>
    <row r="1113" spans="7:26" x14ac:dyDescent="0.2">
      <c r="G1113" s="85" t="s">
        <v>12</v>
      </c>
      <c r="I1113" s="142"/>
      <c r="J1113" s="144"/>
      <c r="K1113" s="144"/>
      <c r="R1113" s="53"/>
      <c r="S1113" s="53"/>
      <c r="T1113" s="53"/>
      <c r="U1113" s="53"/>
      <c r="V1113" s="53"/>
      <c r="W1113" s="53"/>
      <c r="X1113" s="61" t="str">
        <f>IFERROR(IF(W1113="","",WORKDAY.INTL(B1113,_xlfn.XLOOKUP(W1113,Regras!$F$2:$F$11,Regras!$G$2:$G$11))),"")</f>
        <v/>
      </c>
      <c r="Y1113" s="150"/>
      <c r="Z1113" s="53"/>
    </row>
    <row r="1114" spans="7:26" x14ac:dyDescent="0.2">
      <c r="G1114" s="85" t="s">
        <v>12</v>
      </c>
      <c r="I1114" s="142"/>
      <c r="J1114" s="144"/>
      <c r="K1114" s="144"/>
      <c r="R1114" s="53"/>
      <c r="S1114" s="53"/>
      <c r="T1114" s="53"/>
      <c r="U1114" s="53"/>
      <c r="V1114" s="53"/>
      <c r="W1114" s="53"/>
      <c r="X1114" s="61" t="str">
        <f>IFERROR(IF(W1114="","",WORKDAY.INTL(B1114,_xlfn.XLOOKUP(W1114,Regras!$F$2:$F$11,Regras!$G$2:$G$11))),"")</f>
        <v/>
      </c>
      <c r="Y1114" s="150"/>
      <c r="Z1114" s="53"/>
    </row>
    <row r="1115" spans="7:26" x14ac:dyDescent="0.2">
      <c r="G1115" s="85" t="s">
        <v>12</v>
      </c>
      <c r="I1115" s="142"/>
      <c r="J1115" s="144"/>
      <c r="K1115" s="144"/>
      <c r="R1115" s="53"/>
      <c r="S1115" s="53"/>
      <c r="T1115" s="53"/>
      <c r="U1115" s="53"/>
      <c r="V1115" s="53"/>
      <c r="W1115" s="53"/>
      <c r="X1115" s="61" t="str">
        <f>IFERROR(IF(W1115="","",WORKDAY.INTL(B1115,_xlfn.XLOOKUP(W1115,Regras!$F$2:$F$11,Regras!$G$2:$G$11))),"")</f>
        <v/>
      </c>
      <c r="Y1115" s="150"/>
      <c r="Z1115" s="53"/>
    </row>
    <row r="1116" spans="7:26" x14ac:dyDescent="0.2">
      <c r="G1116" s="85" t="s">
        <v>12</v>
      </c>
      <c r="I1116" s="142"/>
      <c r="J1116" s="144"/>
      <c r="K1116" s="144"/>
      <c r="R1116" s="53"/>
      <c r="S1116" s="53"/>
      <c r="T1116" s="53"/>
      <c r="U1116" s="53"/>
      <c r="V1116" s="53"/>
      <c r="W1116" s="53"/>
      <c r="X1116" s="61" t="str">
        <f>IFERROR(IF(W1116="","",WORKDAY.INTL(B1116,_xlfn.XLOOKUP(W1116,Regras!$F$2:$F$11,Regras!$G$2:$G$11))),"")</f>
        <v/>
      </c>
      <c r="Y1116" s="150"/>
      <c r="Z1116" s="53"/>
    </row>
    <row r="1117" spans="7:26" x14ac:dyDescent="0.2">
      <c r="G1117" s="85" t="s">
        <v>12</v>
      </c>
      <c r="I1117" s="142"/>
      <c r="J1117" s="144"/>
      <c r="K1117" s="144"/>
      <c r="R1117" s="53"/>
      <c r="S1117" s="53"/>
      <c r="T1117" s="53"/>
      <c r="U1117" s="53"/>
      <c r="V1117" s="53"/>
      <c r="W1117" s="53"/>
      <c r="X1117" s="61" t="str">
        <f>IFERROR(IF(W1117="","",WORKDAY.INTL(B1117,_xlfn.XLOOKUP(W1117,Regras!$F$2:$F$11,Regras!$G$2:$G$11))),"")</f>
        <v/>
      </c>
      <c r="Y1117" s="150"/>
      <c r="Z1117" s="53"/>
    </row>
    <row r="1118" spans="7:26" x14ac:dyDescent="0.2">
      <c r="G1118" s="85" t="s">
        <v>12</v>
      </c>
      <c r="I1118" s="142"/>
      <c r="J1118" s="144"/>
      <c r="K1118" s="144"/>
      <c r="R1118" s="53"/>
      <c r="S1118" s="53"/>
      <c r="T1118" s="53"/>
      <c r="U1118" s="53"/>
      <c r="V1118" s="53"/>
      <c r="W1118" s="53"/>
      <c r="X1118" s="61" t="str">
        <f>IFERROR(IF(W1118="","",WORKDAY.INTL(B1118,_xlfn.XLOOKUP(W1118,Regras!$F$2:$F$11,Regras!$G$2:$G$11))),"")</f>
        <v/>
      </c>
      <c r="Y1118" s="150"/>
      <c r="Z1118" s="53"/>
    </row>
    <row r="1119" spans="7:26" x14ac:dyDescent="0.2">
      <c r="G1119" s="85" t="s">
        <v>12</v>
      </c>
      <c r="I1119" s="142"/>
      <c r="J1119" s="144"/>
      <c r="K1119" s="144"/>
      <c r="R1119" s="53"/>
      <c r="S1119" s="53"/>
      <c r="T1119" s="53"/>
      <c r="U1119" s="53"/>
      <c r="V1119" s="53"/>
      <c r="W1119" s="53"/>
      <c r="X1119" s="61" t="str">
        <f>IFERROR(IF(W1119="","",WORKDAY.INTL(B1119,_xlfn.XLOOKUP(W1119,Regras!$F$2:$F$11,Regras!$G$2:$G$11))),"")</f>
        <v/>
      </c>
      <c r="Y1119" s="150"/>
      <c r="Z1119" s="53"/>
    </row>
    <row r="1120" spans="7:26" x14ac:dyDescent="0.2">
      <c r="G1120" s="85" t="s">
        <v>12</v>
      </c>
      <c r="I1120" s="142"/>
      <c r="J1120" s="144"/>
      <c r="K1120" s="144"/>
      <c r="R1120" s="53"/>
      <c r="S1120" s="53"/>
      <c r="T1120" s="53"/>
      <c r="U1120" s="53"/>
      <c r="V1120" s="53"/>
      <c r="W1120" s="53"/>
      <c r="X1120" s="61" t="str">
        <f>IFERROR(IF(W1120="","",WORKDAY.INTL(B1120,_xlfn.XLOOKUP(W1120,Regras!$F$2:$F$11,Regras!$G$2:$G$11))),"")</f>
        <v/>
      </c>
      <c r="Y1120" s="150"/>
      <c r="Z1120" s="53"/>
    </row>
    <row r="1121" spans="7:26" x14ac:dyDescent="0.2">
      <c r="G1121" s="85" t="s">
        <v>12</v>
      </c>
      <c r="I1121" s="142"/>
      <c r="J1121" s="144"/>
      <c r="K1121" s="144"/>
      <c r="R1121" s="53"/>
      <c r="S1121" s="53"/>
      <c r="T1121" s="53"/>
      <c r="U1121" s="53"/>
      <c r="V1121" s="53"/>
      <c r="W1121" s="53"/>
      <c r="X1121" s="61" t="str">
        <f>IFERROR(IF(W1121="","",WORKDAY.INTL(B1121,_xlfn.XLOOKUP(W1121,Regras!$F$2:$F$11,Regras!$G$2:$G$11))),"")</f>
        <v/>
      </c>
      <c r="Y1121" s="150"/>
      <c r="Z1121" s="53"/>
    </row>
    <row r="1122" spans="7:26" x14ac:dyDescent="0.2">
      <c r="G1122" s="85" t="s">
        <v>12</v>
      </c>
      <c r="I1122" s="142"/>
      <c r="J1122" s="144"/>
      <c r="K1122" s="144"/>
      <c r="R1122" s="53"/>
      <c r="S1122" s="53"/>
      <c r="T1122" s="53"/>
      <c r="U1122" s="53"/>
      <c r="V1122" s="53"/>
      <c r="W1122" s="53"/>
      <c r="X1122" s="61" t="str">
        <f>IFERROR(IF(W1122="","",WORKDAY.INTL(B1122,_xlfn.XLOOKUP(W1122,Regras!$F$2:$F$11,Regras!$G$2:$G$11))),"")</f>
        <v/>
      </c>
      <c r="Y1122" s="150"/>
      <c r="Z1122" s="53"/>
    </row>
    <row r="1123" spans="7:26" x14ac:dyDescent="0.2">
      <c r="G1123" s="85" t="s">
        <v>12</v>
      </c>
      <c r="I1123" s="142"/>
      <c r="J1123" s="144"/>
      <c r="K1123" s="144"/>
      <c r="R1123" s="53"/>
      <c r="S1123" s="53"/>
      <c r="T1123" s="53"/>
      <c r="U1123" s="53"/>
      <c r="V1123" s="53"/>
      <c r="W1123" s="53"/>
      <c r="X1123" s="61" t="str">
        <f>IFERROR(IF(W1123="","",WORKDAY.INTL(B1123,_xlfn.XLOOKUP(W1123,Regras!$F$2:$F$11,Regras!$G$2:$G$11))),"")</f>
        <v/>
      </c>
      <c r="Y1123" s="150"/>
      <c r="Z1123" s="53"/>
    </row>
    <row r="1124" spans="7:26" x14ac:dyDescent="0.2">
      <c r="G1124" s="85" t="s">
        <v>12</v>
      </c>
      <c r="I1124" s="142"/>
      <c r="J1124" s="144"/>
      <c r="K1124" s="144"/>
      <c r="R1124" s="53"/>
      <c r="S1124" s="53"/>
      <c r="T1124" s="53"/>
      <c r="U1124" s="53"/>
      <c r="V1124" s="53"/>
      <c r="W1124" s="53"/>
      <c r="X1124" s="61" t="str">
        <f>IFERROR(IF(W1124="","",WORKDAY.INTL(B1124,_xlfn.XLOOKUP(W1124,Regras!$F$2:$F$11,Regras!$G$2:$G$11))),"")</f>
        <v/>
      </c>
      <c r="Y1124" s="150"/>
      <c r="Z1124" s="53"/>
    </row>
    <row r="1125" spans="7:26" x14ac:dyDescent="0.2">
      <c r="G1125" s="85" t="s">
        <v>12</v>
      </c>
      <c r="I1125" s="142"/>
      <c r="J1125" s="144"/>
      <c r="K1125" s="144"/>
      <c r="R1125" s="53"/>
      <c r="S1125" s="53"/>
      <c r="T1125" s="53"/>
      <c r="U1125" s="53"/>
      <c r="V1125" s="53"/>
      <c r="W1125" s="53"/>
      <c r="X1125" s="61" t="str">
        <f>IFERROR(IF(W1125="","",WORKDAY.INTL(B1125,_xlfn.XLOOKUP(W1125,Regras!$F$2:$F$11,Regras!$G$2:$G$11))),"")</f>
        <v/>
      </c>
      <c r="Y1125" s="150"/>
      <c r="Z1125" s="53"/>
    </row>
    <row r="1126" spans="7:26" x14ac:dyDescent="0.2">
      <c r="G1126" s="85" t="s">
        <v>12</v>
      </c>
      <c r="I1126" s="142"/>
      <c r="J1126" s="144"/>
      <c r="K1126" s="144"/>
      <c r="R1126" s="53"/>
      <c r="S1126" s="53"/>
      <c r="T1126" s="53"/>
      <c r="U1126" s="53"/>
      <c r="V1126" s="53"/>
      <c r="W1126" s="53"/>
      <c r="X1126" s="61" t="str">
        <f>IFERROR(IF(W1126="","",WORKDAY.INTL(B1126,_xlfn.XLOOKUP(W1126,Regras!$F$2:$F$11,Regras!$G$2:$G$11))),"")</f>
        <v/>
      </c>
      <c r="Y1126" s="150"/>
      <c r="Z1126" s="53"/>
    </row>
    <row r="1127" spans="7:26" x14ac:dyDescent="0.2">
      <c r="G1127" s="85" t="s">
        <v>12</v>
      </c>
      <c r="I1127" s="142"/>
      <c r="J1127" s="144"/>
      <c r="K1127" s="144"/>
      <c r="R1127" s="53"/>
      <c r="S1127" s="53"/>
      <c r="T1127" s="53"/>
      <c r="U1127" s="53"/>
      <c r="V1127" s="53"/>
      <c r="W1127" s="53"/>
      <c r="X1127" s="61" t="str">
        <f>IFERROR(IF(W1127="","",WORKDAY.INTL(B1127,_xlfn.XLOOKUP(W1127,Regras!$F$2:$F$11,Regras!$G$2:$G$11))),"")</f>
        <v/>
      </c>
      <c r="Y1127" s="150"/>
      <c r="Z1127" s="53"/>
    </row>
    <row r="1128" spans="7:26" x14ac:dyDescent="0.2">
      <c r="G1128" s="85" t="s">
        <v>12</v>
      </c>
      <c r="I1128" s="142"/>
      <c r="J1128" s="144"/>
      <c r="K1128" s="144"/>
      <c r="R1128" s="53"/>
      <c r="S1128" s="53"/>
      <c r="T1128" s="53"/>
      <c r="U1128" s="53"/>
      <c r="V1128" s="53"/>
      <c r="W1128" s="53"/>
      <c r="X1128" s="61" t="str">
        <f>IFERROR(IF(W1128="","",WORKDAY.INTL(B1128,_xlfn.XLOOKUP(W1128,Regras!$F$2:$F$11,Regras!$G$2:$G$11))),"")</f>
        <v/>
      </c>
      <c r="Y1128" s="150"/>
      <c r="Z1128" s="53"/>
    </row>
    <row r="1129" spans="7:26" x14ac:dyDescent="0.2">
      <c r="G1129" s="85" t="s">
        <v>12</v>
      </c>
      <c r="I1129" s="142"/>
      <c r="J1129" s="144"/>
      <c r="K1129" s="144"/>
      <c r="R1129" s="53"/>
      <c r="S1129" s="53"/>
      <c r="T1129" s="53"/>
      <c r="U1129" s="53"/>
      <c r="V1129" s="53"/>
      <c r="W1129" s="53"/>
      <c r="X1129" s="61" t="str">
        <f>IFERROR(IF(W1129="","",WORKDAY.INTL(B1129,_xlfn.XLOOKUP(W1129,Regras!$F$2:$F$11,Regras!$G$2:$G$11))),"")</f>
        <v/>
      </c>
      <c r="Y1129" s="150"/>
      <c r="Z1129" s="53"/>
    </row>
    <row r="1130" spans="7:26" x14ac:dyDescent="0.2">
      <c r="G1130" s="85" t="s">
        <v>12</v>
      </c>
      <c r="I1130" s="142"/>
      <c r="J1130" s="144"/>
      <c r="K1130" s="144"/>
      <c r="R1130" s="53"/>
      <c r="S1130" s="53"/>
      <c r="T1130" s="53"/>
      <c r="U1130" s="53"/>
      <c r="V1130" s="53"/>
      <c r="W1130" s="53"/>
      <c r="X1130" s="61" t="str">
        <f>IFERROR(IF(W1130="","",WORKDAY.INTL(B1130,_xlfn.XLOOKUP(W1130,Regras!$F$2:$F$11,Regras!$G$2:$G$11))),"")</f>
        <v/>
      </c>
      <c r="Y1130" s="150"/>
      <c r="Z1130" s="53"/>
    </row>
    <row r="1131" spans="7:26" x14ac:dyDescent="0.2">
      <c r="G1131" s="85" t="s">
        <v>12</v>
      </c>
      <c r="I1131" s="142"/>
      <c r="J1131" s="144"/>
      <c r="K1131" s="144"/>
      <c r="R1131" s="53"/>
      <c r="S1131" s="53"/>
      <c r="T1131" s="53"/>
      <c r="U1131" s="53"/>
      <c r="V1131" s="53"/>
      <c r="W1131" s="53"/>
      <c r="X1131" s="61" t="str">
        <f>IFERROR(IF(W1131="","",WORKDAY.INTL(B1131,_xlfn.XLOOKUP(W1131,Regras!$F$2:$F$11,Regras!$G$2:$G$11))),"")</f>
        <v/>
      </c>
      <c r="Y1131" s="150"/>
      <c r="Z1131" s="53"/>
    </row>
    <row r="1132" spans="7:26" x14ac:dyDescent="0.2">
      <c r="G1132" s="85" t="s">
        <v>12</v>
      </c>
      <c r="I1132" s="142"/>
      <c r="J1132" s="144"/>
      <c r="K1132" s="144"/>
      <c r="R1132" s="53"/>
      <c r="S1132" s="53"/>
      <c r="T1132" s="53"/>
      <c r="U1132" s="53"/>
      <c r="V1132" s="53"/>
      <c r="W1132" s="53"/>
      <c r="X1132" s="61" t="str">
        <f>IFERROR(IF(W1132="","",WORKDAY.INTL(B1132,_xlfn.XLOOKUP(W1132,Regras!$F$2:$F$11,Regras!$G$2:$G$11))),"")</f>
        <v/>
      </c>
      <c r="Y1132" s="150"/>
      <c r="Z1132" s="53"/>
    </row>
    <row r="1133" spans="7:26" x14ac:dyDescent="0.2">
      <c r="G1133" s="85" t="s">
        <v>12</v>
      </c>
      <c r="I1133" s="142"/>
      <c r="J1133" s="144"/>
      <c r="K1133" s="144"/>
      <c r="R1133" s="53"/>
      <c r="S1133" s="53"/>
      <c r="T1133" s="53"/>
      <c r="U1133" s="53"/>
      <c r="V1133" s="53"/>
      <c r="W1133" s="53"/>
      <c r="X1133" s="61" t="str">
        <f>IFERROR(IF(W1133="","",WORKDAY.INTL(B1133,_xlfn.XLOOKUP(W1133,Regras!$F$2:$F$11,Regras!$G$2:$G$11))),"")</f>
        <v/>
      </c>
      <c r="Y1133" s="150"/>
      <c r="Z1133" s="53"/>
    </row>
    <row r="1134" spans="7:26" x14ac:dyDescent="0.2">
      <c r="G1134" s="85" t="s">
        <v>12</v>
      </c>
      <c r="I1134" s="142"/>
      <c r="J1134" s="144"/>
      <c r="K1134" s="144"/>
      <c r="R1134" s="53"/>
      <c r="S1134" s="53"/>
      <c r="T1134" s="53"/>
      <c r="U1134" s="53"/>
      <c r="V1134" s="53"/>
      <c r="W1134" s="53"/>
      <c r="X1134" s="61" t="str">
        <f>IFERROR(IF(W1134="","",WORKDAY.INTL(B1134,_xlfn.XLOOKUP(W1134,Regras!$F$2:$F$11,Regras!$G$2:$G$11))),"")</f>
        <v/>
      </c>
      <c r="Y1134" s="150"/>
      <c r="Z1134" s="53"/>
    </row>
    <row r="1135" spans="7:26" x14ac:dyDescent="0.2">
      <c r="G1135" s="85" t="s">
        <v>12</v>
      </c>
      <c r="I1135" s="142"/>
      <c r="J1135" s="144"/>
      <c r="K1135" s="144"/>
      <c r="R1135" s="53"/>
      <c r="S1135" s="53"/>
      <c r="T1135" s="53"/>
      <c r="U1135" s="53"/>
      <c r="V1135" s="53"/>
      <c r="W1135" s="53"/>
      <c r="X1135" s="61" t="str">
        <f>IFERROR(IF(W1135="","",WORKDAY.INTL(B1135,_xlfn.XLOOKUP(W1135,Regras!$F$2:$F$11,Regras!$G$2:$G$11))),"")</f>
        <v/>
      </c>
      <c r="Y1135" s="150"/>
      <c r="Z1135" s="53"/>
    </row>
    <row r="1136" spans="7:26" x14ac:dyDescent="0.2">
      <c r="G1136" s="85" t="s">
        <v>12</v>
      </c>
      <c r="I1136" s="142"/>
      <c r="J1136" s="144"/>
      <c r="K1136" s="144"/>
      <c r="R1136" s="53"/>
      <c r="S1136" s="53"/>
      <c r="T1136" s="53"/>
      <c r="U1136" s="53"/>
      <c r="V1136" s="53"/>
      <c r="W1136" s="53"/>
      <c r="X1136" s="61" t="str">
        <f>IFERROR(IF(W1136="","",WORKDAY.INTL(B1136,_xlfn.XLOOKUP(W1136,Regras!$F$2:$F$11,Regras!$G$2:$G$11))),"")</f>
        <v/>
      </c>
      <c r="Y1136" s="150"/>
      <c r="Z1136" s="53"/>
    </row>
    <row r="1137" spans="7:26" x14ac:dyDescent="0.2">
      <c r="G1137" s="85" t="s">
        <v>12</v>
      </c>
      <c r="I1137" s="142"/>
      <c r="J1137" s="144"/>
      <c r="K1137" s="144"/>
      <c r="R1137" s="53"/>
      <c r="S1137" s="53"/>
      <c r="T1137" s="53"/>
      <c r="U1137" s="53"/>
      <c r="V1137" s="53"/>
      <c r="W1137" s="53"/>
      <c r="X1137" s="61" t="str">
        <f>IFERROR(IF(W1137="","",WORKDAY.INTL(B1137,_xlfn.XLOOKUP(W1137,Regras!$F$2:$F$11,Regras!$G$2:$G$11))),"")</f>
        <v/>
      </c>
      <c r="Y1137" s="150"/>
      <c r="Z1137" s="53"/>
    </row>
    <row r="1138" spans="7:26" x14ac:dyDescent="0.2">
      <c r="G1138" s="85" t="s">
        <v>12</v>
      </c>
      <c r="I1138" s="142"/>
      <c r="J1138" s="144"/>
      <c r="K1138" s="144"/>
      <c r="R1138" s="53"/>
      <c r="S1138" s="53"/>
      <c r="T1138" s="53"/>
      <c r="U1138" s="53"/>
      <c r="V1138" s="53"/>
      <c r="W1138" s="53"/>
      <c r="X1138" s="61" t="str">
        <f>IFERROR(IF(W1138="","",WORKDAY.INTL(B1138,_xlfn.XLOOKUP(W1138,Regras!$F$2:$F$11,Regras!$G$2:$G$11))),"")</f>
        <v/>
      </c>
      <c r="Y1138" s="150"/>
      <c r="Z1138" s="53"/>
    </row>
    <row r="1139" spans="7:26" x14ac:dyDescent="0.2">
      <c r="G1139" s="85" t="s">
        <v>12</v>
      </c>
      <c r="I1139" s="142"/>
      <c r="J1139" s="144"/>
      <c r="K1139" s="144"/>
      <c r="R1139" s="53"/>
      <c r="S1139" s="53"/>
      <c r="T1139" s="53"/>
      <c r="U1139" s="53"/>
      <c r="V1139" s="53"/>
      <c r="W1139" s="53"/>
      <c r="X1139" s="61" t="str">
        <f>IFERROR(IF(W1139="","",WORKDAY.INTL(B1139,_xlfn.XLOOKUP(W1139,Regras!$F$2:$F$11,Regras!$G$2:$G$11))),"")</f>
        <v/>
      </c>
      <c r="Y1139" s="150"/>
      <c r="Z1139" s="53"/>
    </row>
    <row r="1140" spans="7:26" x14ac:dyDescent="0.2">
      <c r="G1140" s="85" t="s">
        <v>12</v>
      </c>
      <c r="I1140" s="142"/>
      <c r="J1140" s="144"/>
      <c r="K1140" s="144"/>
      <c r="R1140" s="53"/>
      <c r="S1140" s="53"/>
      <c r="T1140" s="53"/>
      <c r="U1140" s="53"/>
      <c r="V1140" s="53"/>
      <c r="W1140" s="53"/>
      <c r="X1140" s="61" t="str">
        <f>IFERROR(IF(W1140="","",WORKDAY.INTL(B1140,_xlfn.XLOOKUP(W1140,Regras!$F$2:$F$11,Regras!$G$2:$G$11))),"")</f>
        <v/>
      </c>
      <c r="Y1140" s="150"/>
      <c r="Z1140" s="53"/>
    </row>
    <row r="1141" spans="7:26" x14ac:dyDescent="0.2">
      <c r="G1141" s="85" t="s">
        <v>12</v>
      </c>
      <c r="I1141" s="142"/>
      <c r="J1141" s="144"/>
      <c r="K1141" s="144"/>
      <c r="R1141" s="53"/>
      <c r="S1141" s="53"/>
      <c r="T1141" s="53"/>
      <c r="U1141" s="53"/>
      <c r="V1141" s="53"/>
      <c r="W1141" s="53"/>
      <c r="X1141" s="61" t="str">
        <f>IFERROR(IF(W1141="","",WORKDAY.INTL(B1141,_xlfn.XLOOKUP(W1141,Regras!$F$2:$F$11,Regras!$G$2:$G$11))),"")</f>
        <v/>
      </c>
      <c r="Y1141" s="150"/>
      <c r="Z1141" s="53"/>
    </row>
    <row r="1142" spans="7:26" x14ac:dyDescent="0.2">
      <c r="G1142" s="85" t="s">
        <v>12</v>
      </c>
      <c r="I1142" s="142"/>
      <c r="J1142" s="144"/>
      <c r="K1142" s="144"/>
      <c r="R1142" s="53"/>
      <c r="S1142" s="53"/>
      <c r="T1142" s="53"/>
      <c r="U1142" s="53"/>
      <c r="V1142" s="53"/>
      <c r="W1142" s="53"/>
      <c r="X1142" s="61" t="str">
        <f>IFERROR(IF(W1142="","",WORKDAY.INTL(B1142,_xlfn.XLOOKUP(W1142,Regras!$F$2:$F$11,Regras!$G$2:$G$11))),"")</f>
        <v/>
      </c>
      <c r="Y1142" s="150"/>
      <c r="Z1142" s="53"/>
    </row>
    <row r="1143" spans="7:26" x14ac:dyDescent="0.2">
      <c r="G1143" s="85" t="s">
        <v>12</v>
      </c>
      <c r="I1143" s="142"/>
      <c r="J1143" s="144"/>
      <c r="K1143" s="144"/>
      <c r="R1143" s="53"/>
      <c r="S1143" s="53"/>
      <c r="T1143" s="53"/>
      <c r="U1143" s="53"/>
      <c r="V1143" s="53"/>
      <c r="W1143" s="53"/>
      <c r="X1143" s="61" t="str">
        <f>IFERROR(IF(W1143="","",WORKDAY.INTL(B1143,_xlfn.XLOOKUP(W1143,Regras!$F$2:$F$11,Regras!$G$2:$G$11))),"")</f>
        <v/>
      </c>
      <c r="Y1143" s="150"/>
      <c r="Z1143" s="53"/>
    </row>
    <row r="1144" spans="7:26" x14ac:dyDescent="0.2">
      <c r="G1144" s="85" t="s">
        <v>12</v>
      </c>
      <c r="I1144" s="142"/>
      <c r="J1144" s="144"/>
      <c r="K1144" s="144"/>
      <c r="R1144" s="53"/>
      <c r="S1144" s="53"/>
      <c r="T1144" s="53"/>
      <c r="U1144" s="53"/>
      <c r="V1144" s="53"/>
      <c r="W1144" s="53"/>
      <c r="X1144" s="61" t="str">
        <f>IFERROR(IF(W1144="","",WORKDAY.INTL(B1144,_xlfn.XLOOKUP(W1144,Regras!$F$2:$F$11,Regras!$G$2:$G$11))),"")</f>
        <v/>
      </c>
      <c r="Y1144" s="150"/>
      <c r="Z1144" s="53"/>
    </row>
    <row r="1145" spans="7:26" x14ac:dyDescent="0.2">
      <c r="G1145" s="85" t="s">
        <v>12</v>
      </c>
      <c r="I1145" s="142"/>
      <c r="J1145" s="144"/>
      <c r="K1145" s="144"/>
      <c r="R1145" s="53"/>
      <c r="S1145" s="53"/>
      <c r="T1145" s="53"/>
      <c r="U1145" s="53"/>
      <c r="V1145" s="53"/>
      <c r="W1145" s="53"/>
      <c r="X1145" s="61" t="str">
        <f>IFERROR(IF(W1145="","",WORKDAY.INTL(B1145,_xlfn.XLOOKUP(W1145,Regras!$F$2:$F$11,Regras!$G$2:$G$11))),"")</f>
        <v/>
      </c>
      <c r="Y1145" s="150"/>
      <c r="Z1145" s="53"/>
    </row>
    <row r="1146" spans="7:26" x14ac:dyDescent="0.2">
      <c r="G1146" s="85" t="s">
        <v>12</v>
      </c>
      <c r="I1146" s="142"/>
      <c r="J1146" s="144"/>
      <c r="K1146" s="144"/>
      <c r="R1146" s="53"/>
      <c r="S1146" s="53"/>
      <c r="T1146" s="53"/>
      <c r="U1146" s="53"/>
      <c r="V1146" s="53"/>
      <c r="W1146" s="53"/>
      <c r="X1146" s="61" t="str">
        <f>IFERROR(IF(W1146="","",WORKDAY.INTL(B1146,_xlfn.XLOOKUP(W1146,Regras!$F$2:$F$11,Regras!$G$2:$G$11))),"")</f>
        <v/>
      </c>
      <c r="Y1146" s="150"/>
      <c r="Z1146" s="53"/>
    </row>
    <row r="1147" spans="7:26" x14ac:dyDescent="0.2">
      <c r="G1147" s="85" t="s">
        <v>12</v>
      </c>
      <c r="I1147" s="142"/>
      <c r="J1147" s="144"/>
      <c r="K1147" s="144"/>
      <c r="R1147" s="53"/>
      <c r="S1147" s="53"/>
      <c r="T1147" s="53"/>
      <c r="U1147" s="53"/>
      <c r="V1147" s="53"/>
      <c r="W1147" s="53"/>
      <c r="X1147" s="61" t="str">
        <f>IFERROR(IF(W1147="","",WORKDAY.INTL(B1147,_xlfn.XLOOKUP(W1147,Regras!$F$2:$F$11,Regras!$G$2:$G$11))),"")</f>
        <v/>
      </c>
      <c r="Y1147" s="150"/>
      <c r="Z1147" s="53"/>
    </row>
    <row r="1148" spans="7:26" x14ac:dyDescent="0.2">
      <c r="G1148" s="85" t="s">
        <v>12</v>
      </c>
      <c r="I1148" s="142"/>
      <c r="J1148" s="144"/>
      <c r="K1148" s="144"/>
      <c r="R1148" s="53"/>
      <c r="S1148" s="53"/>
      <c r="T1148" s="53"/>
      <c r="U1148" s="53"/>
      <c r="V1148" s="53"/>
      <c r="W1148" s="53"/>
      <c r="X1148" s="61" t="str">
        <f>IFERROR(IF(W1148="","",WORKDAY.INTL(B1148,_xlfn.XLOOKUP(W1148,Regras!$F$2:$F$11,Regras!$G$2:$G$11))),"")</f>
        <v/>
      </c>
      <c r="Y1148" s="150"/>
      <c r="Z1148" s="53"/>
    </row>
    <row r="1149" spans="7:26" x14ac:dyDescent="0.2">
      <c r="G1149" s="85" t="s">
        <v>12</v>
      </c>
      <c r="I1149" s="142"/>
      <c r="J1149" s="144"/>
      <c r="K1149" s="144"/>
      <c r="R1149" s="53"/>
      <c r="S1149" s="53"/>
      <c r="T1149" s="53"/>
      <c r="U1149" s="53"/>
      <c r="V1149" s="53"/>
      <c r="W1149" s="53"/>
      <c r="X1149" s="61" t="str">
        <f>IFERROR(IF(W1149="","",WORKDAY.INTL(B1149,_xlfn.XLOOKUP(W1149,Regras!$F$2:$F$11,Regras!$G$2:$G$11))),"")</f>
        <v/>
      </c>
      <c r="Y1149" s="150"/>
      <c r="Z1149" s="53"/>
    </row>
    <row r="1150" spans="7:26" x14ac:dyDescent="0.2">
      <c r="G1150" s="85" t="s">
        <v>12</v>
      </c>
      <c r="I1150" s="142"/>
      <c r="J1150" s="144"/>
      <c r="K1150" s="144"/>
      <c r="R1150" s="53"/>
      <c r="S1150" s="53"/>
      <c r="T1150" s="53"/>
      <c r="U1150" s="53"/>
      <c r="V1150" s="53"/>
      <c r="W1150" s="53"/>
      <c r="X1150" s="61" t="str">
        <f>IFERROR(IF(W1150="","",WORKDAY.INTL(B1150,_xlfn.XLOOKUP(W1150,Regras!$F$2:$F$11,Regras!$G$2:$G$11))),"")</f>
        <v/>
      </c>
      <c r="Y1150" s="150"/>
      <c r="Z1150" s="53"/>
    </row>
    <row r="1151" spans="7:26" x14ac:dyDescent="0.2">
      <c r="G1151" s="85" t="s">
        <v>12</v>
      </c>
      <c r="I1151" s="142"/>
      <c r="J1151" s="144"/>
      <c r="K1151" s="144"/>
      <c r="R1151" s="53"/>
      <c r="S1151" s="53"/>
      <c r="T1151" s="53"/>
      <c r="U1151" s="53"/>
      <c r="V1151" s="53"/>
      <c r="W1151" s="53"/>
      <c r="X1151" s="61" t="str">
        <f>IFERROR(IF(W1151="","",WORKDAY.INTL(B1151,_xlfn.XLOOKUP(W1151,Regras!$F$2:$F$11,Regras!$G$2:$G$11))),"")</f>
        <v/>
      </c>
      <c r="Y1151" s="150"/>
      <c r="Z1151" s="53"/>
    </row>
    <row r="1152" spans="7:26" x14ac:dyDescent="0.2">
      <c r="G1152" s="85" t="s">
        <v>12</v>
      </c>
      <c r="I1152" s="142"/>
      <c r="J1152" s="144"/>
      <c r="K1152" s="144"/>
      <c r="R1152" s="53"/>
      <c r="S1152" s="53"/>
      <c r="T1152" s="53"/>
      <c r="U1152" s="53"/>
      <c r="V1152" s="53"/>
      <c r="W1152" s="53"/>
      <c r="X1152" s="61" t="str">
        <f>IFERROR(IF(W1152="","",WORKDAY.INTL(B1152,_xlfn.XLOOKUP(W1152,Regras!$F$2:$F$11,Regras!$G$2:$G$11))),"")</f>
        <v/>
      </c>
      <c r="Y1152" s="150"/>
      <c r="Z1152" s="53"/>
    </row>
    <row r="1153" spans="7:26" x14ac:dyDescent="0.2">
      <c r="G1153" s="85" t="s">
        <v>12</v>
      </c>
      <c r="I1153" s="142"/>
      <c r="J1153" s="144"/>
      <c r="K1153" s="144"/>
      <c r="R1153" s="53"/>
      <c r="S1153" s="53"/>
      <c r="T1153" s="53"/>
      <c r="U1153" s="53"/>
      <c r="V1153" s="53"/>
      <c r="W1153" s="53"/>
      <c r="X1153" s="61" t="str">
        <f>IFERROR(IF(W1153="","",WORKDAY.INTL(B1153,_xlfn.XLOOKUP(W1153,Regras!$F$2:$F$11,Regras!$G$2:$G$11))),"")</f>
        <v/>
      </c>
      <c r="Y1153" s="150"/>
      <c r="Z1153" s="53"/>
    </row>
    <row r="1154" spans="7:26" x14ac:dyDescent="0.2">
      <c r="G1154" s="85" t="s">
        <v>12</v>
      </c>
      <c r="I1154" s="142"/>
      <c r="J1154" s="144"/>
      <c r="K1154" s="144"/>
      <c r="R1154" s="53"/>
      <c r="S1154" s="53"/>
      <c r="T1154" s="53"/>
      <c r="U1154" s="53"/>
      <c r="V1154" s="53"/>
      <c r="W1154" s="53"/>
      <c r="X1154" s="61" t="str">
        <f>IFERROR(IF(W1154="","",WORKDAY.INTL(B1154,_xlfn.XLOOKUP(W1154,Regras!$F$2:$F$11,Regras!$G$2:$G$11))),"")</f>
        <v/>
      </c>
      <c r="Y1154" s="150"/>
      <c r="Z1154" s="53"/>
    </row>
    <row r="1155" spans="7:26" x14ac:dyDescent="0.2">
      <c r="G1155" s="85" t="s">
        <v>12</v>
      </c>
      <c r="I1155" s="142"/>
      <c r="J1155" s="144"/>
      <c r="K1155" s="144"/>
      <c r="R1155" s="53"/>
      <c r="S1155" s="53"/>
      <c r="T1155" s="53"/>
      <c r="U1155" s="53"/>
      <c r="V1155" s="53"/>
      <c r="W1155" s="53"/>
      <c r="X1155" s="61" t="str">
        <f>IFERROR(IF(W1155="","",WORKDAY.INTL(B1155,_xlfn.XLOOKUP(W1155,Regras!$F$2:$F$11,Regras!$G$2:$G$11))),"")</f>
        <v/>
      </c>
      <c r="Y1155" s="150"/>
      <c r="Z1155" s="53"/>
    </row>
    <row r="1156" spans="7:26" x14ac:dyDescent="0.2">
      <c r="G1156" s="85" t="s">
        <v>12</v>
      </c>
      <c r="I1156" s="142"/>
      <c r="J1156" s="144"/>
      <c r="K1156" s="144"/>
      <c r="R1156" s="53"/>
      <c r="S1156" s="53"/>
      <c r="T1156" s="53"/>
      <c r="U1156" s="53"/>
      <c r="V1156" s="53"/>
      <c r="W1156" s="53"/>
      <c r="X1156" s="61" t="str">
        <f>IFERROR(IF(W1156="","",WORKDAY.INTL(B1156,_xlfn.XLOOKUP(W1156,Regras!$F$2:$F$11,Regras!$G$2:$G$11))),"")</f>
        <v/>
      </c>
      <c r="Y1156" s="150"/>
      <c r="Z1156" s="53"/>
    </row>
    <row r="1157" spans="7:26" x14ac:dyDescent="0.2">
      <c r="G1157" s="85" t="s">
        <v>12</v>
      </c>
      <c r="I1157" s="142"/>
      <c r="J1157" s="144"/>
      <c r="K1157" s="144"/>
      <c r="R1157" s="53"/>
      <c r="S1157" s="53"/>
      <c r="T1157" s="53"/>
      <c r="U1157" s="53"/>
      <c r="V1157" s="53"/>
      <c r="W1157" s="53"/>
      <c r="X1157" s="61" t="str">
        <f>IFERROR(IF(W1157="","",WORKDAY.INTL(B1157,_xlfn.XLOOKUP(W1157,Regras!$F$2:$F$11,Regras!$G$2:$G$11))),"")</f>
        <v/>
      </c>
      <c r="Y1157" s="150"/>
      <c r="Z1157" s="53"/>
    </row>
    <row r="1158" spans="7:26" x14ac:dyDescent="0.2">
      <c r="G1158" s="85" t="s">
        <v>12</v>
      </c>
      <c r="I1158" s="142"/>
      <c r="J1158" s="144"/>
      <c r="K1158" s="144"/>
      <c r="R1158" s="53"/>
      <c r="S1158" s="53"/>
      <c r="T1158" s="53"/>
      <c r="U1158" s="53"/>
      <c r="V1158" s="53"/>
      <c r="W1158" s="53"/>
      <c r="X1158" s="61" t="str">
        <f>IFERROR(IF(W1158="","",WORKDAY.INTL(B1158,_xlfn.XLOOKUP(W1158,Regras!$F$2:$F$11,Regras!$G$2:$G$11))),"")</f>
        <v/>
      </c>
      <c r="Y1158" s="150"/>
      <c r="Z1158" s="53"/>
    </row>
    <row r="1159" spans="7:26" x14ac:dyDescent="0.2">
      <c r="G1159" s="85" t="s">
        <v>12</v>
      </c>
      <c r="I1159" s="142"/>
      <c r="J1159" s="144"/>
      <c r="K1159" s="144"/>
      <c r="R1159" s="53"/>
      <c r="S1159" s="53"/>
      <c r="T1159" s="53"/>
      <c r="U1159" s="53"/>
      <c r="V1159" s="53"/>
      <c r="W1159" s="53"/>
      <c r="X1159" s="61" t="str">
        <f>IFERROR(IF(W1159="","",WORKDAY.INTL(B1159,_xlfn.XLOOKUP(W1159,Regras!$F$2:$F$11,Regras!$G$2:$G$11))),"")</f>
        <v/>
      </c>
      <c r="Y1159" s="150"/>
      <c r="Z1159" s="53"/>
    </row>
    <row r="1160" spans="7:26" x14ac:dyDescent="0.2">
      <c r="G1160" s="85" t="s">
        <v>12</v>
      </c>
      <c r="I1160" s="142"/>
      <c r="J1160" s="144"/>
      <c r="K1160" s="144"/>
      <c r="R1160" s="53"/>
      <c r="S1160" s="53"/>
      <c r="T1160" s="53"/>
      <c r="U1160" s="53"/>
      <c r="V1160" s="53"/>
      <c r="W1160" s="53"/>
      <c r="X1160" s="61" t="str">
        <f>IFERROR(IF(W1160="","",WORKDAY.INTL(B1160,_xlfn.XLOOKUP(W1160,Regras!$F$2:$F$11,Regras!$G$2:$G$11))),"")</f>
        <v/>
      </c>
      <c r="Y1160" s="150"/>
      <c r="Z1160" s="53"/>
    </row>
    <row r="1161" spans="7:26" x14ac:dyDescent="0.2">
      <c r="G1161" s="85" t="s">
        <v>12</v>
      </c>
      <c r="I1161" s="142"/>
      <c r="J1161" s="144"/>
      <c r="K1161" s="144"/>
      <c r="R1161" s="53"/>
      <c r="S1161" s="53"/>
      <c r="T1161" s="53"/>
      <c r="U1161" s="53"/>
      <c r="V1161" s="53"/>
      <c r="W1161" s="53"/>
      <c r="X1161" s="61" t="str">
        <f>IFERROR(IF(W1161="","",WORKDAY.INTL(B1161,_xlfn.XLOOKUP(W1161,Regras!$F$2:$F$11,Regras!$G$2:$G$11))),"")</f>
        <v/>
      </c>
      <c r="Y1161" s="150"/>
      <c r="Z1161" s="53"/>
    </row>
    <row r="1162" spans="7:26" x14ac:dyDescent="0.2">
      <c r="G1162" s="85" t="s">
        <v>12</v>
      </c>
      <c r="I1162" s="142"/>
      <c r="J1162" s="144"/>
      <c r="K1162" s="144"/>
      <c r="R1162" s="53"/>
      <c r="S1162" s="53"/>
      <c r="T1162" s="53"/>
      <c r="U1162" s="53"/>
      <c r="V1162" s="53"/>
      <c r="W1162" s="53"/>
      <c r="X1162" s="61" t="str">
        <f>IFERROR(IF(W1162="","",WORKDAY.INTL(B1162,_xlfn.XLOOKUP(W1162,Regras!$F$2:$F$11,Regras!$G$2:$G$11))),"")</f>
        <v/>
      </c>
      <c r="Y1162" s="150"/>
      <c r="Z1162" s="53"/>
    </row>
    <row r="1163" spans="7:26" x14ac:dyDescent="0.2">
      <c r="G1163" s="85" t="s">
        <v>12</v>
      </c>
      <c r="I1163" s="142"/>
      <c r="J1163" s="144"/>
      <c r="K1163" s="144"/>
      <c r="R1163" s="53"/>
      <c r="S1163" s="53"/>
      <c r="T1163" s="53"/>
      <c r="U1163" s="53"/>
      <c r="V1163" s="53"/>
      <c r="W1163" s="53"/>
      <c r="X1163" s="61" t="str">
        <f>IFERROR(IF(W1163="","",WORKDAY.INTL(B1163,_xlfn.XLOOKUP(W1163,Regras!$F$2:$F$11,Regras!$G$2:$G$11))),"")</f>
        <v/>
      </c>
      <c r="Y1163" s="150"/>
      <c r="Z1163" s="53"/>
    </row>
    <row r="1164" spans="7:26" x14ac:dyDescent="0.2">
      <c r="G1164" s="85" t="s">
        <v>12</v>
      </c>
      <c r="I1164" s="142"/>
      <c r="J1164" s="144"/>
      <c r="K1164" s="144"/>
      <c r="R1164" s="53"/>
      <c r="S1164" s="53"/>
      <c r="T1164" s="53"/>
      <c r="U1164" s="53"/>
      <c r="V1164" s="53"/>
      <c r="W1164" s="53"/>
      <c r="X1164" s="61" t="str">
        <f>IFERROR(IF(W1164="","",WORKDAY.INTL(B1164,_xlfn.XLOOKUP(W1164,Regras!$F$2:$F$11,Regras!$G$2:$G$11))),"")</f>
        <v/>
      </c>
      <c r="Y1164" s="150"/>
      <c r="Z1164" s="53"/>
    </row>
    <row r="1165" spans="7:26" x14ac:dyDescent="0.2">
      <c r="G1165" s="85" t="s">
        <v>12</v>
      </c>
      <c r="I1165" s="142"/>
      <c r="J1165" s="144"/>
      <c r="K1165" s="144"/>
      <c r="R1165" s="53"/>
      <c r="S1165" s="53"/>
      <c r="T1165" s="53"/>
      <c r="U1165" s="53"/>
      <c r="V1165" s="53"/>
      <c r="W1165" s="53"/>
      <c r="X1165" s="61" t="str">
        <f>IFERROR(IF(W1165="","",WORKDAY.INTL(B1165,_xlfn.XLOOKUP(W1165,Regras!$F$2:$F$11,Regras!$G$2:$G$11))),"")</f>
        <v/>
      </c>
      <c r="Y1165" s="150"/>
      <c r="Z1165" s="53"/>
    </row>
    <row r="1166" spans="7:26" x14ac:dyDescent="0.2">
      <c r="G1166" s="85" t="s">
        <v>12</v>
      </c>
      <c r="I1166" s="142"/>
      <c r="J1166" s="144"/>
      <c r="K1166" s="144"/>
      <c r="R1166" s="53"/>
      <c r="S1166" s="53"/>
      <c r="T1166" s="53"/>
      <c r="U1166" s="53"/>
      <c r="V1166" s="53"/>
      <c r="W1166" s="53"/>
      <c r="X1166" s="61" t="str">
        <f>IFERROR(IF(W1166="","",WORKDAY.INTL(B1166,_xlfn.XLOOKUP(W1166,Regras!$F$2:$F$11,Regras!$G$2:$G$11))),"")</f>
        <v/>
      </c>
      <c r="Y1166" s="150"/>
      <c r="Z1166" s="53"/>
    </row>
    <row r="1167" spans="7:26" x14ac:dyDescent="0.2">
      <c r="G1167" s="85" t="s">
        <v>12</v>
      </c>
      <c r="I1167" s="142"/>
      <c r="J1167" s="144"/>
      <c r="K1167" s="144"/>
      <c r="R1167" s="53"/>
      <c r="S1167" s="53"/>
      <c r="T1167" s="53"/>
      <c r="U1167" s="53"/>
      <c r="V1167" s="53"/>
      <c r="W1167" s="53"/>
      <c r="X1167" s="61" t="str">
        <f>IFERROR(IF(W1167="","",WORKDAY.INTL(B1167,_xlfn.XLOOKUP(W1167,Regras!$F$2:$F$11,Regras!$G$2:$G$11))),"")</f>
        <v/>
      </c>
      <c r="Y1167" s="150"/>
      <c r="Z1167" s="53"/>
    </row>
    <row r="1168" spans="7:26" x14ac:dyDescent="0.2">
      <c r="G1168" s="85" t="s">
        <v>12</v>
      </c>
      <c r="I1168" s="142"/>
      <c r="J1168" s="144"/>
      <c r="K1168" s="144"/>
      <c r="R1168" s="53"/>
      <c r="S1168" s="53"/>
      <c r="T1168" s="53"/>
      <c r="U1168" s="53"/>
      <c r="V1168" s="53"/>
      <c r="W1168" s="53"/>
      <c r="X1168" s="61" t="str">
        <f>IFERROR(IF(W1168="","",WORKDAY.INTL(B1168,_xlfn.XLOOKUP(W1168,Regras!$F$2:$F$11,Regras!$G$2:$G$11))),"")</f>
        <v/>
      </c>
      <c r="Y1168" s="150"/>
      <c r="Z1168" s="53"/>
    </row>
    <row r="1169" spans="7:26" x14ac:dyDescent="0.2">
      <c r="G1169" s="85" t="s">
        <v>12</v>
      </c>
      <c r="I1169" s="142"/>
      <c r="J1169" s="144"/>
      <c r="K1169" s="144"/>
      <c r="R1169" s="53"/>
      <c r="S1169" s="53"/>
      <c r="T1169" s="53"/>
      <c r="U1169" s="53"/>
      <c r="V1169" s="53"/>
      <c r="W1169" s="53"/>
      <c r="X1169" s="61" t="str">
        <f>IFERROR(IF(W1169="","",WORKDAY.INTL(B1169,_xlfn.XLOOKUP(W1169,Regras!$F$2:$F$11,Regras!$G$2:$G$11))),"")</f>
        <v/>
      </c>
      <c r="Y1169" s="150"/>
      <c r="Z1169" s="53"/>
    </row>
    <row r="1170" spans="7:26" x14ac:dyDescent="0.2">
      <c r="G1170" s="85" t="s">
        <v>12</v>
      </c>
      <c r="I1170" s="142"/>
      <c r="J1170" s="144"/>
      <c r="K1170" s="144"/>
      <c r="R1170" s="53"/>
      <c r="S1170" s="53"/>
      <c r="T1170" s="53"/>
      <c r="U1170" s="53"/>
      <c r="V1170" s="53"/>
      <c r="W1170" s="53"/>
      <c r="X1170" s="61" t="str">
        <f>IFERROR(IF(W1170="","",WORKDAY.INTL(B1170,_xlfn.XLOOKUP(W1170,Regras!$F$2:$F$11,Regras!$G$2:$G$11))),"")</f>
        <v/>
      </c>
      <c r="Y1170" s="150"/>
      <c r="Z1170" s="53"/>
    </row>
    <row r="1171" spans="7:26" x14ac:dyDescent="0.2">
      <c r="G1171" s="85" t="s">
        <v>12</v>
      </c>
      <c r="I1171" s="142"/>
      <c r="J1171" s="144"/>
      <c r="K1171" s="144"/>
      <c r="R1171" s="53"/>
      <c r="S1171" s="53"/>
      <c r="T1171" s="53"/>
      <c r="U1171" s="53"/>
      <c r="V1171" s="53"/>
      <c r="W1171" s="53"/>
      <c r="X1171" s="61" t="str">
        <f>IFERROR(IF(W1171="","",WORKDAY.INTL(B1171,_xlfn.XLOOKUP(W1171,Regras!$F$2:$F$11,Regras!$G$2:$G$11))),"")</f>
        <v/>
      </c>
      <c r="Y1171" s="150"/>
      <c r="Z1171" s="53"/>
    </row>
    <row r="1172" spans="7:26" x14ac:dyDescent="0.2">
      <c r="G1172" s="85" t="s">
        <v>12</v>
      </c>
      <c r="I1172" s="142"/>
      <c r="J1172" s="144"/>
      <c r="K1172" s="144"/>
      <c r="R1172" s="53"/>
      <c r="S1172" s="53"/>
      <c r="T1172" s="53"/>
      <c r="U1172" s="53"/>
      <c r="V1172" s="53"/>
      <c r="W1172" s="53"/>
      <c r="X1172" s="61" t="str">
        <f>IFERROR(IF(W1172="","",WORKDAY.INTL(B1172,_xlfn.XLOOKUP(W1172,Regras!$F$2:$F$11,Regras!$G$2:$G$11))),"")</f>
        <v/>
      </c>
      <c r="Y1172" s="150"/>
      <c r="Z1172" s="53"/>
    </row>
    <row r="1173" spans="7:26" x14ac:dyDescent="0.2">
      <c r="G1173" s="85" t="s">
        <v>12</v>
      </c>
      <c r="I1173" s="142"/>
      <c r="J1173" s="144"/>
      <c r="K1173" s="144"/>
      <c r="R1173" s="53"/>
      <c r="S1173" s="53"/>
      <c r="T1173" s="53"/>
      <c r="U1173" s="53"/>
      <c r="V1173" s="53"/>
      <c r="W1173" s="53"/>
      <c r="X1173" s="61" t="str">
        <f>IFERROR(IF(W1173="","",WORKDAY.INTL(B1173,_xlfn.XLOOKUP(W1173,Regras!$F$2:$F$11,Regras!$G$2:$G$11))),"")</f>
        <v/>
      </c>
      <c r="Y1173" s="150"/>
      <c r="Z1173" s="53"/>
    </row>
    <row r="1174" spans="7:26" x14ac:dyDescent="0.2">
      <c r="G1174" s="85" t="s">
        <v>12</v>
      </c>
      <c r="I1174" s="142"/>
      <c r="J1174" s="144"/>
      <c r="K1174" s="144"/>
      <c r="R1174" s="53"/>
      <c r="S1174" s="53"/>
      <c r="T1174" s="53"/>
      <c r="U1174" s="53"/>
      <c r="V1174" s="53"/>
      <c r="W1174" s="53"/>
      <c r="X1174" s="61" t="str">
        <f>IFERROR(IF(W1174="","",WORKDAY.INTL(B1174,_xlfn.XLOOKUP(W1174,Regras!$F$2:$F$11,Regras!$G$2:$G$11))),"")</f>
        <v/>
      </c>
      <c r="Y1174" s="150"/>
      <c r="Z1174" s="53"/>
    </row>
    <row r="1175" spans="7:26" x14ac:dyDescent="0.2">
      <c r="G1175" s="85" t="s">
        <v>12</v>
      </c>
      <c r="I1175" s="142"/>
      <c r="J1175" s="144"/>
      <c r="K1175" s="144"/>
      <c r="R1175" s="53"/>
      <c r="S1175" s="53"/>
      <c r="T1175" s="53"/>
      <c r="U1175" s="53"/>
      <c r="V1175" s="53"/>
      <c r="W1175" s="53"/>
      <c r="X1175" s="61" t="str">
        <f>IFERROR(IF(W1175="","",WORKDAY.INTL(B1175,_xlfn.XLOOKUP(W1175,Regras!$F$2:$F$11,Regras!$G$2:$G$11))),"")</f>
        <v/>
      </c>
      <c r="Y1175" s="150"/>
      <c r="Z1175" s="53"/>
    </row>
    <row r="1176" spans="7:26" x14ac:dyDescent="0.2">
      <c r="G1176" s="85" t="s">
        <v>12</v>
      </c>
      <c r="I1176" s="142"/>
      <c r="J1176" s="144"/>
      <c r="K1176" s="144"/>
      <c r="R1176" s="53"/>
      <c r="S1176" s="53"/>
      <c r="T1176" s="53"/>
      <c r="U1176" s="53"/>
      <c r="V1176" s="53"/>
      <c r="W1176" s="53"/>
      <c r="X1176" s="61" t="str">
        <f>IFERROR(IF(W1176="","",WORKDAY.INTL(B1176,_xlfn.XLOOKUP(W1176,Regras!$F$2:$F$11,Regras!$G$2:$G$11))),"")</f>
        <v/>
      </c>
      <c r="Y1176" s="150"/>
      <c r="Z1176" s="53"/>
    </row>
    <row r="1177" spans="7:26" x14ac:dyDescent="0.2">
      <c r="G1177" s="85" t="s">
        <v>12</v>
      </c>
      <c r="I1177" s="142"/>
      <c r="J1177" s="144"/>
      <c r="K1177" s="144"/>
      <c r="R1177" s="53"/>
      <c r="S1177" s="53"/>
      <c r="T1177" s="53"/>
      <c r="U1177" s="53"/>
      <c r="V1177" s="53"/>
      <c r="W1177" s="53"/>
      <c r="X1177" s="61" t="str">
        <f>IFERROR(IF(W1177="","",WORKDAY.INTL(B1177,_xlfn.XLOOKUP(W1177,Regras!$F$2:$F$11,Regras!$G$2:$G$11))),"")</f>
        <v/>
      </c>
      <c r="Y1177" s="150"/>
      <c r="Z1177" s="53"/>
    </row>
    <row r="1178" spans="7:26" x14ac:dyDescent="0.2">
      <c r="G1178" s="85" t="s">
        <v>12</v>
      </c>
      <c r="I1178" s="142"/>
      <c r="J1178" s="144"/>
      <c r="K1178" s="144"/>
      <c r="R1178" s="53"/>
      <c r="S1178" s="53"/>
      <c r="T1178" s="53"/>
      <c r="U1178" s="53"/>
      <c r="V1178" s="53"/>
      <c r="W1178" s="53"/>
      <c r="X1178" s="61" t="str">
        <f>IFERROR(IF(W1178="","",WORKDAY.INTL(B1178,_xlfn.XLOOKUP(W1178,Regras!$F$2:$F$11,Regras!$G$2:$G$11))),"")</f>
        <v/>
      </c>
      <c r="Y1178" s="150"/>
      <c r="Z1178" s="53"/>
    </row>
    <row r="1179" spans="7:26" x14ac:dyDescent="0.2">
      <c r="G1179" s="85" t="s">
        <v>12</v>
      </c>
      <c r="I1179" s="142"/>
      <c r="J1179" s="144"/>
      <c r="K1179" s="144"/>
      <c r="R1179" s="53"/>
      <c r="S1179" s="53"/>
      <c r="T1179" s="53"/>
      <c r="U1179" s="53"/>
      <c r="V1179" s="53"/>
      <c r="W1179" s="53"/>
      <c r="X1179" s="61" t="str">
        <f>IFERROR(IF(W1179="","",WORKDAY.INTL(B1179,_xlfn.XLOOKUP(W1179,Regras!$F$2:$F$11,Regras!$G$2:$G$11))),"")</f>
        <v/>
      </c>
      <c r="Y1179" s="150"/>
      <c r="Z1179" s="53"/>
    </row>
    <row r="1180" spans="7:26" x14ac:dyDescent="0.2">
      <c r="G1180" s="85" t="s">
        <v>12</v>
      </c>
      <c r="I1180" s="142"/>
      <c r="J1180" s="144"/>
      <c r="K1180" s="144"/>
      <c r="R1180" s="53"/>
      <c r="S1180" s="53"/>
      <c r="T1180" s="53"/>
      <c r="U1180" s="53"/>
      <c r="V1180" s="53"/>
      <c r="W1180" s="53"/>
      <c r="X1180" s="61" t="str">
        <f>IFERROR(IF(W1180="","",WORKDAY.INTL(B1180,_xlfn.XLOOKUP(W1180,Regras!$F$2:$F$11,Regras!$G$2:$G$11))),"")</f>
        <v/>
      </c>
      <c r="Y1180" s="150"/>
      <c r="Z1180" s="53"/>
    </row>
    <row r="1181" spans="7:26" x14ac:dyDescent="0.2">
      <c r="G1181" s="85" t="s">
        <v>12</v>
      </c>
      <c r="I1181" s="142"/>
      <c r="J1181" s="144"/>
      <c r="K1181" s="144"/>
      <c r="R1181" s="53"/>
      <c r="S1181" s="53"/>
      <c r="T1181" s="53"/>
      <c r="U1181" s="53"/>
      <c r="V1181" s="53"/>
      <c r="W1181" s="53"/>
      <c r="X1181" s="61" t="str">
        <f>IFERROR(IF(W1181="","",WORKDAY.INTL(B1181,_xlfn.XLOOKUP(W1181,Regras!$F$2:$F$11,Regras!$G$2:$G$11))),"")</f>
        <v/>
      </c>
      <c r="Y1181" s="150"/>
      <c r="Z1181" s="53"/>
    </row>
    <row r="1182" spans="7:26" x14ac:dyDescent="0.2">
      <c r="G1182" s="85" t="s">
        <v>12</v>
      </c>
      <c r="I1182" s="142"/>
      <c r="J1182" s="144"/>
      <c r="K1182" s="144"/>
      <c r="R1182" s="53"/>
      <c r="S1182" s="53"/>
      <c r="T1182" s="53"/>
      <c r="U1182" s="53"/>
      <c r="V1182" s="53"/>
      <c r="W1182" s="53"/>
      <c r="X1182" s="61" t="str">
        <f>IFERROR(IF(W1182="","",WORKDAY.INTL(B1182,_xlfn.XLOOKUP(W1182,Regras!$F$2:$F$11,Regras!$G$2:$G$11))),"")</f>
        <v/>
      </c>
      <c r="Y1182" s="150"/>
      <c r="Z1182" s="53"/>
    </row>
    <row r="1183" spans="7:26" x14ac:dyDescent="0.2">
      <c r="G1183" s="85" t="s">
        <v>12</v>
      </c>
      <c r="I1183" s="142"/>
      <c r="J1183" s="144"/>
      <c r="K1183" s="144"/>
      <c r="R1183" s="53"/>
      <c r="S1183" s="53"/>
      <c r="T1183" s="53"/>
      <c r="U1183" s="53"/>
      <c r="V1183" s="53"/>
      <c r="W1183" s="53"/>
      <c r="X1183" s="61" t="str">
        <f>IFERROR(IF(W1183="","",WORKDAY.INTL(B1183,_xlfn.XLOOKUP(W1183,Regras!$F$2:$F$11,Regras!$G$2:$G$11))),"")</f>
        <v/>
      </c>
      <c r="Y1183" s="150"/>
      <c r="Z1183" s="53"/>
    </row>
    <row r="1184" spans="7:26" x14ac:dyDescent="0.2">
      <c r="G1184" s="85" t="s">
        <v>12</v>
      </c>
      <c r="I1184" s="142"/>
      <c r="J1184" s="144"/>
      <c r="K1184" s="144"/>
      <c r="R1184" s="53"/>
      <c r="S1184" s="53"/>
      <c r="T1184" s="53"/>
      <c r="U1184" s="53"/>
      <c r="V1184" s="53"/>
      <c r="W1184" s="53"/>
      <c r="X1184" s="61" t="str">
        <f>IFERROR(IF(W1184="","",WORKDAY.INTL(B1184,_xlfn.XLOOKUP(W1184,Regras!$F$2:$F$11,Regras!$G$2:$G$11))),"")</f>
        <v/>
      </c>
      <c r="Y1184" s="150"/>
      <c r="Z1184" s="53"/>
    </row>
    <row r="1185" spans="7:26" x14ac:dyDescent="0.2">
      <c r="G1185" s="85" t="s">
        <v>12</v>
      </c>
      <c r="I1185" s="142"/>
      <c r="J1185" s="144"/>
      <c r="K1185" s="144"/>
      <c r="R1185" s="53"/>
      <c r="S1185" s="53"/>
      <c r="T1185" s="53"/>
      <c r="U1185" s="53"/>
      <c r="V1185" s="53"/>
      <c r="W1185" s="53"/>
      <c r="X1185" s="61" t="str">
        <f>IFERROR(IF(W1185="","",WORKDAY.INTL(B1185,_xlfn.XLOOKUP(W1185,Regras!$F$2:$F$11,Regras!$G$2:$G$11))),"")</f>
        <v/>
      </c>
      <c r="Y1185" s="150"/>
      <c r="Z1185" s="53"/>
    </row>
    <row r="1186" spans="7:26" x14ac:dyDescent="0.2">
      <c r="G1186" s="85" t="s">
        <v>12</v>
      </c>
      <c r="I1186" s="142"/>
      <c r="J1186" s="144"/>
      <c r="K1186" s="144"/>
      <c r="R1186" s="53"/>
      <c r="S1186" s="53"/>
      <c r="T1186" s="53"/>
      <c r="U1186" s="53"/>
      <c r="V1186" s="53"/>
      <c r="W1186" s="53"/>
      <c r="X1186" s="61" t="str">
        <f>IFERROR(IF(W1186="","",WORKDAY.INTL(B1186,_xlfn.XLOOKUP(W1186,Regras!$F$2:$F$11,Regras!$G$2:$G$11))),"")</f>
        <v/>
      </c>
      <c r="Y1186" s="150"/>
      <c r="Z1186" s="53"/>
    </row>
    <row r="1187" spans="7:26" x14ac:dyDescent="0.2">
      <c r="G1187" s="85" t="s">
        <v>12</v>
      </c>
      <c r="I1187" s="142"/>
      <c r="J1187" s="144"/>
      <c r="K1187" s="144"/>
      <c r="R1187" s="53"/>
      <c r="S1187" s="53"/>
      <c r="T1187" s="53"/>
      <c r="U1187" s="53"/>
      <c r="V1187" s="53"/>
      <c r="W1187" s="53"/>
      <c r="X1187" s="61" t="str">
        <f>IFERROR(IF(W1187="","",WORKDAY.INTL(B1187,_xlfn.XLOOKUP(W1187,Regras!$F$2:$F$11,Regras!$G$2:$G$11))),"")</f>
        <v/>
      </c>
      <c r="Y1187" s="150"/>
      <c r="Z1187" s="53"/>
    </row>
    <row r="1188" spans="7:26" x14ac:dyDescent="0.2">
      <c r="G1188" s="85" t="s">
        <v>12</v>
      </c>
      <c r="I1188" s="142"/>
      <c r="J1188" s="144"/>
      <c r="K1188" s="144"/>
      <c r="R1188" s="53"/>
      <c r="S1188" s="53"/>
      <c r="T1188" s="53"/>
      <c r="U1188" s="53"/>
      <c r="V1188" s="53"/>
      <c r="W1188" s="53"/>
      <c r="X1188" s="61" t="str">
        <f>IFERROR(IF(W1188="","",WORKDAY.INTL(B1188,_xlfn.XLOOKUP(W1188,Regras!$F$2:$F$11,Regras!$G$2:$G$11))),"")</f>
        <v/>
      </c>
      <c r="Y1188" s="150"/>
      <c r="Z1188" s="53"/>
    </row>
    <row r="1189" spans="7:26" x14ac:dyDescent="0.2">
      <c r="G1189" s="85" t="s">
        <v>12</v>
      </c>
      <c r="I1189" s="142"/>
      <c r="J1189" s="144"/>
      <c r="K1189" s="144"/>
      <c r="R1189" s="53"/>
      <c r="S1189" s="53"/>
      <c r="T1189" s="53"/>
      <c r="U1189" s="53"/>
      <c r="V1189" s="53"/>
      <c r="W1189" s="53"/>
      <c r="X1189" s="61" t="str">
        <f>IFERROR(IF(W1189="","",WORKDAY.INTL(B1189,_xlfn.XLOOKUP(W1189,Regras!$F$2:$F$11,Regras!$G$2:$G$11))),"")</f>
        <v/>
      </c>
      <c r="Y1189" s="150"/>
      <c r="Z1189" s="53"/>
    </row>
    <row r="1190" spans="7:26" x14ac:dyDescent="0.2">
      <c r="G1190" s="85" t="s">
        <v>12</v>
      </c>
      <c r="I1190" s="142"/>
      <c r="J1190" s="144"/>
      <c r="K1190" s="144"/>
      <c r="R1190" s="53"/>
      <c r="S1190" s="53"/>
      <c r="T1190" s="53"/>
      <c r="U1190" s="53"/>
      <c r="V1190" s="53"/>
      <c r="W1190" s="53"/>
      <c r="X1190" s="61" t="str">
        <f>IFERROR(IF(W1190="","",WORKDAY.INTL(B1190,_xlfn.XLOOKUP(W1190,Regras!$F$2:$F$11,Regras!$G$2:$G$11))),"")</f>
        <v/>
      </c>
      <c r="Y1190" s="150"/>
      <c r="Z1190" s="53"/>
    </row>
    <row r="1191" spans="7:26" x14ac:dyDescent="0.2">
      <c r="G1191" s="85" t="s">
        <v>12</v>
      </c>
      <c r="I1191" s="142"/>
      <c r="J1191" s="144"/>
      <c r="K1191" s="144"/>
      <c r="R1191" s="53"/>
      <c r="S1191" s="53"/>
      <c r="T1191" s="53"/>
      <c r="U1191" s="53"/>
      <c r="V1191" s="53"/>
      <c r="W1191" s="53"/>
      <c r="X1191" s="61" t="str">
        <f>IFERROR(IF(W1191="","",WORKDAY.INTL(B1191,_xlfn.XLOOKUP(W1191,Regras!$F$2:$F$11,Regras!$G$2:$G$11))),"")</f>
        <v/>
      </c>
      <c r="Y1191" s="150"/>
      <c r="Z1191" s="53"/>
    </row>
    <row r="1192" spans="7:26" x14ac:dyDescent="0.2">
      <c r="G1192" s="85" t="s">
        <v>12</v>
      </c>
      <c r="I1192" s="142"/>
      <c r="J1192" s="144"/>
      <c r="K1192" s="144"/>
      <c r="R1192" s="53"/>
      <c r="S1192" s="53"/>
      <c r="T1192" s="53"/>
      <c r="U1192" s="53"/>
      <c r="V1192" s="53"/>
      <c r="W1192" s="53"/>
      <c r="X1192" s="61" t="str">
        <f>IFERROR(IF(W1192="","",WORKDAY.INTL(B1192,_xlfn.XLOOKUP(W1192,Regras!$F$2:$F$11,Regras!$G$2:$G$11))),"")</f>
        <v/>
      </c>
      <c r="Y1192" s="150"/>
      <c r="Z1192" s="53"/>
    </row>
    <row r="1193" spans="7:26" x14ac:dyDescent="0.2">
      <c r="G1193" s="85" t="s">
        <v>12</v>
      </c>
      <c r="I1193" s="142"/>
      <c r="J1193" s="144"/>
      <c r="K1193" s="144"/>
      <c r="R1193" s="53"/>
      <c r="S1193" s="53"/>
      <c r="T1193" s="53"/>
      <c r="U1193" s="53"/>
      <c r="V1193" s="53"/>
      <c r="W1193" s="53"/>
      <c r="X1193" s="61" t="str">
        <f>IFERROR(IF(W1193="","",WORKDAY.INTL(B1193,_xlfn.XLOOKUP(W1193,Regras!$F$2:$F$11,Regras!$G$2:$G$11))),"")</f>
        <v/>
      </c>
      <c r="Y1193" s="150"/>
      <c r="Z1193" s="53"/>
    </row>
    <row r="1194" spans="7:26" x14ac:dyDescent="0.2">
      <c r="G1194" s="85" t="s">
        <v>12</v>
      </c>
      <c r="I1194" s="142"/>
      <c r="J1194" s="144"/>
      <c r="K1194" s="144"/>
      <c r="R1194" s="53"/>
      <c r="S1194" s="53"/>
      <c r="T1194" s="53"/>
      <c r="U1194" s="53"/>
      <c r="V1194" s="53"/>
      <c r="W1194" s="53"/>
      <c r="X1194" s="61" t="str">
        <f>IFERROR(IF(W1194="","",WORKDAY.INTL(B1194,_xlfn.XLOOKUP(W1194,Regras!$F$2:$F$11,Regras!$G$2:$G$11))),"")</f>
        <v/>
      </c>
      <c r="Y1194" s="150"/>
      <c r="Z1194" s="53"/>
    </row>
    <row r="1195" spans="7:26" x14ac:dyDescent="0.2">
      <c r="G1195" s="85" t="s">
        <v>12</v>
      </c>
      <c r="I1195" s="142"/>
      <c r="J1195" s="144"/>
      <c r="K1195" s="144"/>
      <c r="R1195" s="53"/>
      <c r="S1195" s="53"/>
      <c r="T1195" s="53"/>
      <c r="U1195" s="53"/>
      <c r="V1195" s="53"/>
      <c r="W1195" s="53"/>
      <c r="X1195" s="61" t="str">
        <f>IFERROR(IF(W1195="","",WORKDAY.INTL(B1195,_xlfn.XLOOKUP(W1195,Regras!$F$2:$F$11,Regras!$G$2:$G$11))),"")</f>
        <v/>
      </c>
      <c r="Y1195" s="150"/>
      <c r="Z1195" s="53"/>
    </row>
    <row r="1196" spans="7:26" x14ac:dyDescent="0.2">
      <c r="G1196" s="85" t="s">
        <v>12</v>
      </c>
      <c r="I1196" s="142"/>
      <c r="J1196" s="144"/>
      <c r="K1196" s="144"/>
      <c r="R1196" s="53"/>
      <c r="S1196" s="53"/>
      <c r="T1196" s="53"/>
      <c r="U1196" s="53"/>
      <c r="V1196" s="53"/>
      <c r="W1196" s="53"/>
      <c r="X1196" s="61" t="str">
        <f>IFERROR(IF(W1196="","",WORKDAY.INTL(B1196,_xlfn.XLOOKUP(W1196,Regras!$F$2:$F$11,Regras!$G$2:$G$11))),"")</f>
        <v/>
      </c>
      <c r="Y1196" s="150"/>
      <c r="Z1196" s="53"/>
    </row>
    <row r="1197" spans="7:26" x14ac:dyDescent="0.2">
      <c r="G1197" s="85" t="s">
        <v>12</v>
      </c>
      <c r="I1197" s="142"/>
      <c r="J1197" s="144"/>
      <c r="K1197" s="144"/>
      <c r="R1197" s="53"/>
      <c r="S1197" s="53"/>
      <c r="T1197" s="53"/>
      <c r="U1197" s="53"/>
      <c r="V1197" s="53"/>
      <c r="W1197" s="53"/>
      <c r="X1197" s="61" t="str">
        <f>IFERROR(IF(W1197="","",WORKDAY.INTL(B1197,_xlfn.XLOOKUP(W1197,Regras!$F$2:$F$11,Regras!$G$2:$G$11))),"")</f>
        <v/>
      </c>
      <c r="Y1197" s="150"/>
      <c r="Z1197" s="53"/>
    </row>
    <row r="1198" spans="7:26" x14ac:dyDescent="0.2">
      <c r="G1198" s="85" t="s">
        <v>12</v>
      </c>
      <c r="I1198" s="142"/>
      <c r="J1198" s="144"/>
      <c r="K1198" s="144"/>
      <c r="R1198" s="53"/>
      <c r="S1198" s="53"/>
      <c r="T1198" s="53"/>
      <c r="U1198" s="53"/>
      <c r="V1198" s="53"/>
      <c r="W1198" s="53"/>
      <c r="X1198" s="61" t="str">
        <f>IFERROR(IF(W1198="","",WORKDAY.INTL(B1198,_xlfn.XLOOKUP(W1198,Regras!$F$2:$F$11,Regras!$G$2:$G$11))),"")</f>
        <v/>
      </c>
      <c r="Y1198" s="150"/>
      <c r="Z1198" s="53"/>
    </row>
    <row r="1199" spans="7:26" x14ac:dyDescent="0.2">
      <c r="G1199" s="85" t="s">
        <v>12</v>
      </c>
      <c r="I1199" s="142"/>
      <c r="J1199" s="144"/>
      <c r="K1199" s="144"/>
      <c r="R1199" s="53"/>
      <c r="S1199" s="53"/>
      <c r="T1199" s="53"/>
      <c r="U1199" s="53"/>
      <c r="V1199" s="53"/>
      <c r="W1199" s="53"/>
      <c r="X1199" s="61" t="str">
        <f>IFERROR(IF(W1199="","",WORKDAY.INTL(B1199,_xlfn.XLOOKUP(W1199,Regras!$F$2:$F$11,Regras!$G$2:$G$11))),"")</f>
        <v/>
      </c>
      <c r="Y1199" s="150"/>
      <c r="Z1199" s="53"/>
    </row>
    <row r="1200" spans="7:26" x14ac:dyDescent="0.2">
      <c r="G1200" s="85" t="s">
        <v>12</v>
      </c>
      <c r="I1200" s="142"/>
      <c r="J1200" s="144"/>
      <c r="K1200" s="144"/>
      <c r="R1200" s="53"/>
      <c r="S1200" s="53"/>
      <c r="T1200" s="53"/>
      <c r="U1200" s="53"/>
      <c r="V1200" s="53"/>
      <c r="W1200" s="53"/>
      <c r="X1200" s="61" t="str">
        <f>IFERROR(IF(W1200="","",WORKDAY.INTL(B1200,_xlfn.XLOOKUP(W1200,Regras!$F$2:$F$11,Regras!$G$2:$G$11))),"")</f>
        <v/>
      </c>
      <c r="Y1200" s="150"/>
      <c r="Z1200" s="53"/>
    </row>
    <row r="1201" spans="7:26" x14ac:dyDescent="0.2">
      <c r="G1201" s="85" t="s">
        <v>12</v>
      </c>
      <c r="I1201" s="142"/>
      <c r="J1201" s="144"/>
      <c r="K1201" s="144"/>
      <c r="R1201" s="53"/>
      <c r="S1201" s="53"/>
      <c r="T1201" s="53"/>
      <c r="U1201" s="53"/>
      <c r="V1201" s="53"/>
      <c r="W1201" s="53"/>
      <c r="X1201" s="61" t="str">
        <f>IFERROR(IF(W1201="","",WORKDAY.INTL(B1201,_xlfn.XLOOKUP(W1201,Regras!$F$2:$F$11,Regras!$G$2:$G$11))),"")</f>
        <v/>
      </c>
      <c r="Y1201" s="150"/>
      <c r="Z1201" s="53"/>
    </row>
    <row r="1202" spans="7:26" x14ac:dyDescent="0.2">
      <c r="G1202" s="85" t="s">
        <v>12</v>
      </c>
      <c r="I1202" s="142"/>
      <c r="J1202" s="144"/>
      <c r="K1202" s="144"/>
      <c r="R1202" s="53"/>
      <c r="S1202" s="53"/>
      <c r="T1202" s="53"/>
      <c r="U1202" s="53"/>
      <c r="V1202" s="53"/>
      <c r="W1202" s="53"/>
      <c r="X1202" s="61" t="str">
        <f>IFERROR(IF(W1202="","",WORKDAY.INTL(B1202,_xlfn.XLOOKUP(W1202,Regras!$F$2:$F$11,Regras!$G$2:$G$11))),"")</f>
        <v/>
      </c>
      <c r="Y1202" s="150"/>
      <c r="Z1202" s="53"/>
    </row>
    <row r="1203" spans="7:26" x14ac:dyDescent="0.2">
      <c r="G1203" s="85" t="s">
        <v>12</v>
      </c>
      <c r="I1203" s="142"/>
      <c r="J1203" s="144"/>
      <c r="K1203" s="144"/>
      <c r="R1203" s="53"/>
      <c r="S1203" s="53"/>
      <c r="T1203" s="53"/>
      <c r="U1203" s="53"/>
      <c r="V1203" s="53"/>
      <c r="W1203" s="53"/>
      <c r="X1203" s="61" t="str">
        <f>IFERROR(IF(W1203="","",WORKDAY.INTL(B1203,_xlfn.XLOOKUP(W1203,Regras!$F$2:$F$11,Regras!$G$2:$G$11))),"")</f>
        <v/>
      </c>
      <c r="Y1203" s="150"/>
      <c r="Z1203" s="53"/>
    </row>
    <row r="1204" spans="7:26" x14ac:dyDescent="0.2">
      <c r="G1204" s="85" t="s">
        <v>12</v>
      </c>
      <c r="I1204" s="142"/>
      <c r="J1204" s="144"/>
      <c r="K1204" s="144"/>
      <c r="R1204" s="53"/>
      <c r="S1204" s="53"/>
      <c r="T1204" s="53"/>
      <c r="U1204" s="53"/>
      <c r="V1204" s="53"/>
      <c r="W1204" s="53"/>
      <c r="X1204" s="61" t="str">
        <f>IFERROR(IF(W1204="","",WORKDAY.INTL(B1204,_xlfn.XLOOKUP(W1204,Regras!$F$2:$F$11,Regras!$G$2:$G$11))),"")</f>
        <v/>
      </c>
      <c r="Y1204" s="150"/>
      <c r="Z1204" s="53"/>
    </row>
    <row r="1205" spans="7:26" x14ac:dyDescent="0.2">
      <c r="G1205" s="85" t="s">
        <v>12</v>
      </c>
      <c r="I1205" s="142"/>
      <c r="J1205" s="144"/>
      <c r="K1205" s="144"/>
      <c r="R1205" s="53"/>
      <c r="S1205" s="53"/>
      <c r="T1205" s="53"/>
      <c r="U1205" s="53"/>
      <c r="V1205" s="53"/>
      <c r="W1205" s="53"/>
      <c r="X1205" s="61" t="str">
        <f>IFERROR(IF(W1205="","",WORKDAY.INTL(B1205,_xlfn.XLOOKUP(W1205,Regras!$F$2:$F$11,Regras!$G$2:$G$11))),"")</f>
        <v/>
      </c>
      <c r="Y1205" s="150"/>
      <c r="Z1205" s="53"/>
    </row>
    <row r="1206" spans="7:26" x14ac:dyDescent="0.2">
      <c r="G1206" s="85" t="s">
        <v>12</v>
      </c>
      <c r="I1206" s="142"/>
      <c r="J1206" s="144"/>
      <c r="K1206" s="144"/>
      <c r="R1206" s="53"/>
      <c r="S1206" s="53"/>
      <c r="T1206" s="53"/>
      <c r="U1206" s="53"/>
      <c r="V1206" s="53"/>
      <c r="W1206" s="53"/>
      <c r="X1206" s="61" t="str">
        <f>IFERROR(IF(W1206="","",WORKDAY.INTL(B1206,_xlfn.XLOOKUP(W1206,Regras!$F$2:$F$11,Regras!$G$2:$G$11))),"")</f>
        <v/>
      </c>
      <c r="Y1206" s="150"/>
      <c r="Z1206" s="53"/>
    </row>
    <row r="1207" spans="7:26" x14ac:dyDescent="0.2">
      <c r="G1207" s="85" t="s">
        <v>12</v>
      </c>
      <c r="I1207" s="142"/>
      <c r="J1207" s="144"/>
      <c r="K1207" s="144"/>
      <c r="R1207" s="53"/>
      <c r="S1207" s="53"/>
      <c r="T1207" s="53"/>
      <c r="U1207" s="53"/>
      <c r="V1207" s="53"/>
      <c r="W1207" s="53"/>
      <c r="X1207" s="61" t="str">
        <f>IFERROR(IF(W1207="","",WORKDAY.INTL(B1207,_xlfn.XLOOKUP(W1207,Regras!$F$2:$F$11,Regras!$G$2:$G$11))),"")</f>
        <v/>
      </c>
      <c r="Y1207" s="150"/>
      <c r="Z1207" s="53"/>
    </row>
    <row r="1208" spans="7:26" x14ac:dyDescent="0.2">
      <c r="G1208" s="85" t="s">
        <v>12</v>
      </c>
      <c r="I1208" s="142"/>
      <c r="J1208" s="144"/>
      <c r="K1208" s="144"/>
      <c r="R1208" s="53"/>
      <c r="S1208" s="53"/>
      <c r="T1208" s="53"/>
      <c r="U1208" s="53"/>
      <c r="V1208" s="53"/>
      <c r="W1208" s="53"/>
      <c r="X1208" s="61" t="str">
        <f>IFERROR(IF(W1208="","",WORKDAY.INTL(B1208,_xlfn.XLOOKUP(W1208,Regras!$F$2:$F$11,Regras!$G$2:$G$11))),"")</f>
        <v/>
      </c>
      <c r="Y1208" s="150"/>
      <c r="Z1208" s="53"/>
    </row>
    <row r="1209" spans="7:26" x14ac:dyDescent="0.2">
      <c r="G1209" s="85" t="s">
        <v>12</v>
      </c>
      <c r="I1209" s="142"/>
      <c r="J1209" s="144"/>
      <c r="K1209" s="144"/>
      <c r="R1209" s="53"/>
      <c r="S1209" s="53"/>
      <c r="T1209" s="53"/>
      <c r="U1209" s="53"/>
      <c r="V1209" s="53"/>
      <c r="W1209" s="53"/>
      <c r="X1209" s="61" t="str">
        <f>IFERROR(IF(W1209="","",WORKDAY.INTL(B1209,_xlfn.XLOOKUP(W1209,Regras!$F$2:$F$11,Regras!$G$2:$G$11))),"")</f>
        <v/>
      </c>
      <c r="Y1209" s="150"/>
      <c r="Z1209" s="53"/>
    </row>
    <row r="1210" spans="7:26" x14ac:dyDescent="0.2">
      <c r="G1210" s="85" t="s">
        <v>12</v>
      </c>
      <c r="I1210" s="142"/>
      <c r="J1210" s="144"/>
      <c r="K1210" s="144"/>
      <c r="R1210" s="53"/>
      <c r="S1210" s="53"/>
      <c r="T1210" s="53"/>
      <c r="U1210" s="53"/>
      <c r="V1210" s="53"/>
      <c r="W1210" s="53"/>
      <c r="X1210" s="61" t="str">
        <f>IFERROR(IF(W1210="","",WORKDAY.INTL(B1210,_xlfn.XLOOKUP(W1210,Regras!$F$2:$F$11,Regras!$G$2:$G$11))),"")</f>
        <v/>
      </c>
      <c r="Y1210" s="150"/>
      <c r="Z1210" s="53"/>
    </row>
    <row r="1211" spans="7:26" x14ac:dyDescent="0.2">
      <c r="G1211" s="85" t="s">
        <v>12</v>
      </c>
      <c r="I1211" s="142"/>
      <c r="J1211" s="144"/>
      <c r="K1211" s="144"/>
      <c r="R1211" s="53"/>
      <c r="S1211" s="53"/>
      <c r="T1211" s="53"/>
      <c r="U1211" s="53"/>
      <c r="V1211" s="53"/>
      <c r="W1211" s="53"/>
      <c r="X1211" s="61" t="str">
        <f>IFERROR(IF(W1211="","",WORKDAY.INTL(B1211,_xlfn.XLOOKUP(W1211,Regras!$F$2:$F$11,Regras!$G$2:$G$11))),"")</f>
        <v/>
      </c>
      <c r="Y1211" s="150"/>
      <c r="Z1211" s="53"/>
    </row>
    <row r="1212" spans="7:26" x14ac:dyDescent="0.2">
      <c r="G1212" s="85" t="s">
        <v>12</v>
      </c>
      <c r="I1212" s="142"/>
      <c r="J1212" s="144"/>
      <c r="K1212" s="144"/>
      <c r="R1212" s="53"/>
      <c r="S1212" s="53"/>
      <c r="T1212" s="53"/>
      <c r="U1212" s="53"/>
      <c r="V1212" s="53"/>
      <c r="W1212" s="53"/>
      <c r="X1212" s="61" t="str">
        <f>IFERROR(IF(W1212="","",WORKDAY.INTL(B1212,_xlfn.XLOOKUP(W1212,Regras!$F$2:$F$11,Regras!$G$2:$G$11))),"")</f>
        <v/>
      </c>
      <c r="Y1212" s="150"/>
      <c r="Z1212" s="53"/>
    </row>
    <row r="1213" spans="7:26" x14ac:dyDescent="0.2">
      <c r="G1213" s="85" t="s">
        <v>12</v>
      </c>
      <c r="I1213" s="142"/>
      <c r="J1213" s="144"/>
      <c r="K1213" s="144"/>
      <c r="R1213" s="53"/>
      <c r="S1213" s="53"/>
      <c r="T1213" s="53"/>
      <c r="U1213" s="53"/>
      <c r="V1213" s="53"/>
      <c r="W1213" s="53"/>
      <c r="X1213" s="61" t="str">
        <f>IFERROR(IF(W1213="","",WORKDAY.INTL(B1213,_xlfn.XLOOKUP(W1213,Regras!$F$2:$F$11,Regras!$G$2:$G$11))),"")</f>
        <v/>
      </c>
      <c r="Y1213" s="150"/>
      <c r="Z1213" s="53"/>
    </row>
    <row r="1214" spans="7:26" x14ac:dyDescent="0.2">
      <c r="G1214" s="85" t="s">
        <v>12</v>
      </c>
      <c r="I1214" s="142"/>
      <c r="J1214" s="144"/>
      <c r="K1214" s="144"/>
      <c r="R1214" s="53"/>
      <c r="S1214" s="53"/>
      <c r="T1214" s="53"/>
      <c r="U1214" s="53"/>
      <c r="V1214" s="53"/>
      <c r="W1214" s="53"/>
      <c r="X1214" s="61" t="str">
        <f>IFERROR(IF(W1214="","",WORKDAY.INTL(B1214,_xlfn.XLOOKUP(W1214,Regras!$F$2:$F$11,Regras!$G$2:$G$11))),"")</f>
        <v/>
      </c>
      <c r="Y1214" s="150"/>
      <c r="Z1214" s="53"/>
    </row>
    <row r="1215" spans="7:26" x14ac:dyDescent="0.2">
      <c r="G1215" s="85" t="s">
        <v>12</v>
      </c>
      <c r="I1215" s="142"/>
      <c r="J1215" s="144"/>
      <c r="K1215" s="144"/>
      <c r="R1215" s="53"/>
      <c r="S1215" s="53"/>
      <c r="T1215" s="53"/>
      <c r="U1215" s="53"/>
      <c r="V1215" s="53"/>
      <c r="W1215" s="53"/>
      <c r="X1215" s="61" t="str">
        <f>IFERROR(IF(W1215="","",WORKDAY.INTL(B1215,_xlfn.XLOOKUP(W1215,Regras!$F$2:$F$11,Regras!$G$2:$G$11))),"")</f>
        <v/>
      </c>
      <c r="Y1215" s="150"/>
      <c r="Z1215" s="53"/>
    </row>
    <row r="1216" spans="7:26" x14ac:dyDescent="0.2">
      <c r="G1216" s="85" t="s">
        <v>12</v>
      </c>
      <c r="I1216" s="142"/>
      <c r="J1216" s="144"/>
      <c r="K1216" s="144"/>
      <c r="R1216" s="53"/>
      <c r="S1216" s="53"/>
      <c r="T1216" s="53"/>
      <c r="U1216" s="53"/>
      <c r="V1216" s="53"/>
      <c r="W1216" s="53"/>
      <c r="X1216" s="61" t="str">
        <f>IFERROR(IF(W1216="","",WORKDAY.INTL(B1216,_xlfn.XLOOKUP(W1216,Regras!$F$2:$F$11,Regras!$G$2:$G$11))),"")</f>
        <v/>
      </c>
      <c r="Y1216" s="150"/>
      <c r="Z1216" s="53"/>
    </row>
    <row r="1217" spans="7:26" x14ac:dyDescent="0.2">
      <c r="G1217" s="85" t="s">
        <v>12</v>
      </c>
      <c r="I1217" s="142"/>
      <c r="J1217" s="144"/>
      <c r="K1217" s="144"/>
      <c r="R1217" s="53"/>
      <c r="S1217" s="53"/>
      <c r="T1217" s="53"/>
      <c r="U1217" s="53"/>
      <c r="V1217" s="53"/>
      <c r="W1217" s="53"/>
      <c r="X1217" s="61" t="str">
        <f>IFERROR(IF(W1217="","",WORKDAY.INTL(B1217,_xlfn.XLOOKUP(W1217,Regras!$F$2:$F$11,Regras!$G$2:$G$11))),"")</f>
        <v/>
      </c>
      <c r="Y1217" s="150"/>
      <c r="Z1217" s="53"/>
    </row>
    <row r="1218" spans="7:26" x14ac:dyDescent="0.2">
      <c r="G1218" s="85" t="s">
        <v>12</v>
      </c>
      <c r="I1218" s="142"/>
      <c r="J1218" s="144"/>
      <c r="K1218" s="144"/>
      <c r="R1218" s="53"/>
      <c r="S1218" s="53"/>
      <c r="T1218" s="53"/>
      <c r="U1218" s="53"/>
      <c r="V1218" s="53"/>
      <c r="W1218" s="53"/>
      <c r="X1218" s="61" t="str">
        <f>IFERROR(IF(W1218="","",WORKDAY.INTL(B1218,_xlfn.XLOOKUP(W1218,Regras!$F$2:$F$11,Regras!$G$2:$G$11))),"")</f>
        <v/>
      </c>
      <c r="Y1218" s="150"/>
      <c r="Z1218" s="53"/>
    </row>
    <row r="1219" spans="7:26" x14ac:dyDescent="0.2">
      <c r="G1219" s="85" t="s">
        <v>12</v>
      </c>
      <c r="I1219" s="142"/>
      <c r="J1219" s="144"/>
      <c r="K1219" s="144"/>
      <c r="R1219" s="53"/>
      <c r="S1219" s="53"/>
      <c r="T1219" s="53"/>
      <c r="U1219" s="53"/>
      <c r="V1219" s="53"/>
      <c r="W1219" s="53"/>
      <c r="X1219" s="61" t="str">
        <f>IFERROR(IF(W1219="","",WORKDAY.INTL(B1219,_xlfn.XLOOKUP(W1219,Regras!$F$2:$F$11,Regras!$G$2:$G$11))),"")</f>
        <v/>
      </c>
      <c r="Y1219" s="150"/>
      <c r="Z1219" s="53"/>
    </row>
    <row r="1220" spans="7:26" x14ac:dyDescent="0.2">
      <c r="G1220" s="85" t="s">
        <v>12</v>
      </c>
      <c r="I1220" s="142"/>
      <c r="J1220" s="144"/>
      <c r="K1220" s="144"/>
      <c r="R1220" s="53"/>
      <c r="S1220" s="53"/>
      <c r="T1220" s="53"/>
      <c r="U1220" s="53"/>
      <c r="V1220" s="53"/>
      <c r="W1220" s="53"/>
      <c r="X1220" s="61" t="str">
        <f>IFERROR(IF(W1220="","",WORKDAY.INTL(B1220,_xlfn.XLOOKUP(W1220,Regras!$F$2:$F$11,Regras!$G$2:$G$11))),"")</f>
        <v/>
      </c>
      <c r="Y1220" s="150"/>
      <c r="Z1220" s="53"/>
    </row>
    <row r="1221" spans="7:26" x14ac:dyDescent="0.2">
      <c r="G1221" s="85" t="s">
        <v>12</v>
      </c>
      <c r="I1221" s="142"/>
      <c r="J1221" s="144"/>
      <c r="K1221" s="144"/>
      <c r="R1221" s="53"/>
      <c r="S1221" s="53"/>
      <c r="T1221" s="53"/>
      <c r="U1221" s="53"/>
      <c r="V1221" s="53"/>
      <c r="W1221" s="53"/>
      <c r="X1221" s="61" t="str">
        <f>IFERROR(IF(W1221="","",WORKDAY.INTL(B1221,_xlfn.XLOOKUP(W1221,Regras!$F$2:$F$11,Regras!$G$2:$G$11))),"")</f>
        <v/>
      </c>
      <c r="Y1221" s="150"/>
      <c r="Z1221" s="53"/>
    </row>
    <row r="1222" spans="7:26" x14ac:dyDescent="0.2">
      <c r="G1222" s="85" t="s">
        <v>12</v>
      </c>
      <c r="I1222" s="142"/>
      <c r="J1222" s="144"/>
      <c r="K1222" s="144"/>
      <c r="R1222" s="53"/>
      <c r="S1222" s="53"/>
      <c r="T1222" s="53"/>
      <c r="U1222" s="53"/>
      <c r="V1222" s="53"/>
      <c r="W1222" s="53"/>
      <c r="X1222" s="61" t="str">
        <f>IFERROR(IF(W1222="","",WORKDAY.INTL(B1222,_xlfn.XLOOKUP(W1222,Regras!$F$2:$F$11,Regras!$G$2:$G$11))),"")</f>
        <v/>
      </c>
      <c r="Y1222" s="150"/>
      <c r="Z1222" s="53"/>
    </row>
    <row r="1223" spans="7:26" x14ac:dyDescent="0.2">
      <c r="G1223" s="85" t="s">
        <v>12</v>
      </c>
      <c r="I1223" s="142"/>
      <c r="J1223" s="144"/>
      <c r="K1223" s="144"/>
      <c r="R1223" s="53"/>
      <c r="S1223" s="53"/>
      <c r="T1223" s="53"/>
      <c r="U1223" s="53"/>
      <c r="V1223" s="53"/>
      <c r="W1223" s="53"/>
      <c r="X1223" s="61" t="str">
        <f>IFERROR(IF(W1223="","",WORKDAY.INTL(B1223,_xlfn.XLOOKUP(W1223,Regras!$F$2:$F$11,Regras!$G$2:$G$11))),"")</f>
        <v/>
      </c>
      <c r="Y1223" s="150"/>
      <c r="Z1223" s="53"/>
    </row>
    <row r="1224" spans="7:26" x14ac:dyDescent="0.2">
      <c r="G1224" s="85" t="s">
        <v>12</v>
      </c>
      <c r="I1224" s="142"/>
      <c r="J1224" s="144"/>
      <c r="K1224" s="144"/>
      <c r="R1224" s="53"/>
      <c r="S1224" s="53"/>
      <c r="T1224" s="53"/>
      <c r="U1224" s="53"/>
      <c r="V1224" s="53"/>
      <c r="W1224" s="53"/>
      <c r="X1224" s="61" t="str">
        <f>IFERROR(IF(W1224="","",WORKDAY.INTL(B1224,_xlfn.XLOOKUP(W1224,Regras!$F$2:$F$11,Regras!$G$2:$G$11))),"")</f>
        <v/>
      </c>
      <c r="Y1224" s="150"/>
      <c r="Z1224" s="53"/>
    </row>
    <row r="1225" spans="7:26" x14ac:dyDescent="0.2">
      <c r="G1225" s="85" t="s">
        <v>12</v>
      </c>
      <c r="I1225" s="142"/>
      <c r="J1225" s="144"/>
      <c r="K1225" s="144"/>
      <c r="R1225" s="53"/>
      <c r="S1225" s="53"/>
      <c r="T1225" s="53"/>
      <c r="U1225" s="53"/>
      <c r="V1225" s="53"/>
      <c r="W1225" s="53"/>
      <c r="X1225" s="61" t="str">
        <f>IFERROR(IF(W1225="","",WORKDAY.INTL(B1225,_xlfn.XLOOKUP(W1225,Regras!$F$2:$F$11,Regras!$G$2:$G$11))),"")</f>
        <v/>
      </c>
      <c r="Y1225" s="150"/>
      <c r="Z1225" s="53"/>
    </row>
    <row r="1226" spans="7:26" x14ac:dyDescent="0.2">
      <c r="G1226" s="85" t="s">
        <v>12</v>
      </c>
      <c r="I1226" s="142"/>
      <c r="J1226" s="144"/>
      <c r="K1226" s="144"/>
      <c r="R1226" s="53"/>
      <c r="S1226" s="53"/>
      <c r="T1226" s="53"/>
      <c r="U1226" s="53"/>
      <c r="V1226" s="53"/>
      <c r="W1226" s="53"/>
      <c r="X1226" s="61" t="str">
        <f>IFERROR(IF(W1226="","",WORKDAY.INTL(B1226,_xlfn.XLOOKUP(W1226,Regras!$F$2:$F$11,Regras!$G$2:$G$11))),"")</f>
        <v/>
      </c>
      <c r="Y1226" s="150"/>
      <c r="Z1226" s="53"/>
    </row>
    <row r="1227" spans="7:26" x14ac:dyDescent="0.2">
      <c r="G1227" s="85" t="s">
        <v>12</v>
      </c>
      <c r="I1227" s="142"/>
      <c r="J1227" s="144"/>
      <c r="K1227" s="144"/>
      <c r="R1227" s="53"/>
      <c r="S1227" s="53"/>
      <c r="T1227" s="53"/>
      <c r="U1227" s="53"/>
      <c r="V1227" s="53"/>
      <c r="W1227" s="53"/>
      <c r="X1227" s="61" t="str">
        <f>IFERROR(IF(W1227="","",WORKDAY.INTL(B1227,_xlfn.XLOOKUP(W1227,Regras!$F$2:$F$11,Regras!$G$2:$G$11))),"")</f>
        <v/>
      </c>
      <c r="Y1227" s="150"/>
      <c r="Z1227" s="53"/>
    </row>
    <row r="1228" spans="7:26" x14ac:dyDescent="0.2">
      <c r="G1228" s="85" t="s">
        <v>12</v>
      </c>
      <c r="I1228" s="142"/>
      <c r="J1228" s="144"/>
      <c r="K1228" s="144"/>
      <c r="R1228" s="53"/>
      <c r="S1228" s="53"/>
      <c r="T1228" s="53"/>
      <c r="U1228" s="53"/>
      <c r="V1228" s="53"/>
      <c r="W1228" s="53"/>
      <c r="X1228" s="61" t="str">
        <f>IFERROR(IF(W1228="","",WORKDAY.INTL(B1228,_xlfn.XLOOKUP(W1228,Regras!$F$2:$F$11,Regras!$G$2:$G$11))),"")</f>
        <v/>
      </c>
      <c r="Y1228" s="150"/>
      <c r="Z1228" s="53"/>
    </row>
    <row r="1229" spans="7:26" x14ac:dyDescent="0.2">
      <c r="G1229" s="85" t="s">
        <v>12</v>
      </c>
      <c r="I1229" s="142"/>
      <c r="J1229" s="144"/>
      <c r="K1229" s="144"/>
      <c r="R1229" s="53"/>
      <c r="S1229" s="53"/>
      <c r="T1229" s="53"/>
      <c r="U1229" s="53"/>
      <c r="V1229" s="53"/>
      <c r="W1229" s="53"/>
      <c r="X1229" s="61" t="str">
        <f>IFERROR(IF(W1229="","",WORKDAY.INTL(B1229,_xlfn.XLOOKUP(W1229,Regras!$F$2:$F$11,Regras!$G$2:$G$11))),"")</f>
        <v/>
      </c>
      <c r="Y1229" s="150"/>
      <c r="Z1229" s="53"/>
    </row>
    <row r="1230" spans="7:26" x14ac:dyDescent="0.2">
      <c r="G1230" s="85" t="s">
        <v>12</v>
      </c>
      <c r="I1230" s="142"/>
      <c r="J1230" s="144"/>
      <c r="K1230" s="144"/>
      <c r="R1230" s="53"/>
      <c r="S1230" s="53"/>
      <c r="T1230" s="53"/>
      <c r="U1230" s="53"/>
      <c r="V1230" s="53"/>
      <c r="W1230" s="53"/>
      <c r="X1230" s="61" t="str">
        <f>IFERROR(IF(W1230="","",WORKDAY.INTL(B1230,_xlfn.XLOOKUP(W1230,Regras!$F$2:$F$11,Regras!$G$2:$G$11))),"")</f>
        <v/>
      </c>
      <c r="Y1230" s="150"/>
      <c r="Z1230" s="53"/>
    </row>
    <row r="1231" spans="7:26" x14ac:dyDescent="0.2">
      <c r="G1231" s="85" t="s">
        <v>12</v>
      </c>
      <c r="I1231" s="142"/>
      <c r="J1231" s="144"/>
      <c r="K1231" s="144"/>
      <c r="R1231" s="53"/>
      <c r="S1231" s="53"/>
      <c r="T1231" s="53"/>
      <c r="U1231" s="53"/>
      <c r="V1231" s="53"/>
      <c r="W1231" s="53"/>
      <c r="X1231" s="61" t="str">
        <f>IFERROR(IF(W1231="","",WORKDAY.INTL(B1231,_xlfn.XLOOKUP(W1231,Regras!$F$2:$F$11,Regras!$G$2:$G$11))),"")</f>
        <v/>
      </c>
      <c r="Y1231" s="150"/>
      <c r="Z1231" s="53"/>
    </row>
    <row r="1232" spans="7:26" x14ac:dyDescent="0.2">
      <c r="G1232" s="85" t="s">
        <v>12</v>
      </c>
      <c r="I1232" s="142"/>
      <c r="J1232" s="144"/>
      <c r="K1232" s="144"/>
      <c r="R1232" s="53"/>
      <c r="S1232" s="53"/>
      <c r="T1232" s="53"/>
      <c r="U1232" s="53"/>
      <c r="V1232" s="53"/>
      <c r="W1232" s="53"/>
      <c r="X1232" s="61" t="str">
        <f>IFERROR(IF(W1232="","",WORKDAY.INTL(B1232,_xlfn.XLOOKUP(W1232,Regras!$F$2:$F$11,Regras!$G$2:$G$11))),"")</f>
        <v/>
      </c>
      <c r="Y1232" s="150"/>
      <c r="Z1232" s="53"/>
    </row>
    <row r="1233" spans="7:26" x14ac:dyDescent="0.2">
      <c r="G1233" s="85" t="s">
        <v>12</v>
      </c>
      <c r="I1233" s="142"/>
      <c r="J1233" s="144"/>
      <c r="K1233" s="144"/>
      <c r="R1233" s="53"/>
      <c r="S1233" s="53"/>
      <c r="T1233" s="53"/>
      <c r="U1233" s="53"/>
      <c r="V1233" s="53"/>
      <c r="W1233" s="53"/>
      <c r="X1233" s="61" t="str">
        <f>IFERROR(IF(W1233="","",WORKDAY.INTL(B1233,_xlfn.XLOOKUP(W1233,Regras!$F$2:$F$11,Regras!$G$2:$G$11))),"")</f>
        <v/>
      </c>
      <c r="Y1233" s="150"/>
      <c r="Z1233" s="53"/>
    </row>
    <row r="1234" spans="7:26" x14ac:dyDescent="0.2">
      <c r="G1234" s="85" t="s">
        <v>12</v>
      </c>
      <c r="I1234" s="142"/>
      <c r="J1234" s="144"/>
      <c r="K1234" s="144"/>
      <c r="R1234" s="53"/>
      <c r="S1234" s="53"/>
      <c r="T1234" s="53"/>
      <c r="U1234" s="53"/>
      <c r="V1234" s="53"/>
      <c r="W1234" s="53"/>
      <c r="X1234" s="61" t="str">
        <f>IFERROR(IF(W1234="","",WORKDAY.INTL(B1234,_xlfn.XLOOKUP(W1234,Regras!$F$2:$F$11,Regras!$G$2:$G$11))),"")</f>
        <v/>
      </c>
      <c r="Y1234" s="150"/>
      <c r="Z1234" s="53"/>
    </row>
    <row r="1235" spans="7:26" x14ac:dyDescent="0.2">
      <c r="G1235" s="85" t="s">
        <v>12</v>
      </c>
      <c r="I1235" s="142"/>
      <c r="J1235" s="144"/>
      <c r="K1235" s="144"/>
      <c r="R1235" s="53"/>
      <c r="S1235" s="53"/>
      <c r="T1235" s="53"/>
      <c r="U1235" s="53"/>
      <c r="V1235" s="53"/>
      <c r="W1235" s="53"/>
      <c r="X1235" s="61" t="str">
        <f>IFERROR(IF(W1235="","",WORKDAY.INTL(B1235,_xlfn.XLOOKUP(W1235,Regras!$F$2:$F$11,Regras!$G$2:$G$11))),"")</f>
        <v/>
      </c>
      <c r="Y1235" s="150"/>
      <c r="Z1235" s="53"/>
    </row>
    <row r="1236" spans="7:26" x14ac:dyDescent="0.2">
      <c r="G1236" s="85" t="s">
        <v>12</v>
      </c>
      <c r="I1236" s="142"/>
      <c r="J1236" s="144"/>
      <c r="K1236" s="144"/>
      <c r="R1236" s="53"/>
      <c r="S1236" s="53"/>
      <c r="T1236" s="53"/>
      <c r="U1236" s="53"/>
      <c r="V1236" s="53"/>
      <c r="W1236" s="53"/>
      <c r="X1236" s="61" t="str">
        <f>IFERROR(IF(W1236="","",WORKDAY.INTL(B1236,_xlfn.XLOOKUP(W1236,Regras!$F$2:$F$11,Regras!$G$2:$G$11))),"")</f>
        <v/>
      </c>
      <c r="Y1236" s="150"/>
      <c r="Z1236" s="53"/>
    </row>
    <row r="1237" spans="7:26" x14ac:dyDescent="0.2">
      <c r="G1237" s="85" t="s">
        <v>12</v>
      </c>
      <c r="I1237" s="142"/>
      <c r="J1237" s="144"/>
      <c r="K1237" s="144"/>
      <c r="R1237" s="53"/>
      <c r="S1237" s="53"/>
      <c r="T1237" s="53"/>
      <c r="U1237" s="53"/>
      <c r="V1237" s="53"/>
      <c r="W1237" s="53"/>
      <c r="X1237" s="61" t="str">
        <f>IFERROR(IF(W1237="","",WORKDAY.INTL(B1237,_xlfn.XLOOKUP(W1237,Regras!$F$2:$F$11,Regras!$G$2:$G$11))),"")</f>
        <v/>
      </c>
      <c r="Y1237" s="150"/>
      <c r="Z1237" s="53"/>
    </row>
    <row r="1238" spans="7:26" x14ac:dyDescent="0.2">
      <c r="G1238" s="85" t="s">
        <v>12</v>
      </c>
      <c r="I1238" s="142"/>
      <c r="J1238" s="144"/>
      <c r="K1238" s="144"/>
      <c r="R1238" s="53"/>
      <c r="S1238" s="53"/>
      <c r="T1238" s="53"/>
      <c r="U1238" s="53"/>
      <c r="V1238" s="53"/>
      <c r="W1238" s="53"/>
      <c r="X1238" s="61" t="str">
        <f>IFERROR(IF(W1238="","",WORKDAY.INTL(B1238,_xlfn.XLOOKUP(W1238,Regras!$F$2:$F$11,Regras!$G$2:$G$11))),"")</f>
        <v/>
      </c>
      <c r="Y1238" s="150"/>
      <c r="Z1238" s="53"/>
    </row>
    <row r="1239" spans="7:26" x14ac:dyDescent="0.2">
      <c r="G1239" s="85" t="s">
        <v>12</v>
      </c>
      <c r="I1239" s="142"/>
      <c r="J1239" s="144"/>
      <c r="K1239" s="144"/>
      <c r="R1239" s="53"/>
      <c r="S1239" s="53"/>
      <c r="T1239" s="53"/>
      <c r="U1239" s="53"/>
      <c r="V1239" s="53"/>
      <c r="W1239" s="53"/>
      <c r="X1239" s="61" t="str">
        <f>IFERROR(IF(W1239="","",WORKDAY.INTL(B1239,_xlfn.XLOOKUP(W1239,Regras!$F$2:$F$11,Regras!$G$2:$G$11))),"")</f>
        <v/>
      </c>
      <c r="Y1239" s="150"/>
      <c r="Z1239" s="53"/>
    </row>
    <row r="1240" spans="7:26" x14ac:dyDescent="0.2">
      <c r="G1240" s="85" t="s">
        <v>12</v>
      </c>
      <c r="I1240" s="142"/>
      <c r="J1240" s="144"/>
      <c r="K1240" s="144"/>
      <c r="R1240" s="53"/>
      <c r="S1240" s="53"/>
      <c r="T1240" s="53"/>
      <c r="U1240" s="53"/>
      <c r="V1240" s="53"/>
      <c r="W1240" s="53"/>
      <c r="X1240" s="61" t="str">
        <f>IFERROR(IF(W1240="","",WORKDAY.INTL(B1240,_xlfn.XLOOKUP(W1240,Regras!$F$2:$F$11,Regras!$G$2:$G$11))),"")</f>
        <v/>
      </c>
      <c r="Y1240" s="150"/>
      <c r="Z1240" s="53"/>
    </row>
    <row r="1241" spans="7:26" x14ac:dyDescent="0.2">
      <c r="G1241" s="85" t="s">
        <v>12</v>
      </c>
      <c r="I1241" s="142"/>
      <c r="J1241" s="144"/>
      <c r="K1241" s="144"/>
      <c r="R1241" s="53"/>
      <c r="S1241" s="53"/>
      <c r="T1241" s="53"/>
      <c r="U1241" s="53"/>
      <c r="V1241" s="53"/>
      <c r="W1241" s="53"/>
      <c r="X1241" s="61" t="str">
        <f>IFERROR(IF(W1241="","",WORKDAY.INTL(B1241,_xlfn.XLOOKUP(W1241,Regras!$F$2:$F$11,Regras!$G$2:$G$11))),"")</f>
        <v/>
      </c>
      <c r="Y1241" s="150"/>
      <c r="Z1241" s="53"/>
    </row>
    <row r="1242" spans="7:26" x14ac:dyDescent="0.2">
      <c r="G1242" s="85" t="s">
        <v>12</v>
      </c>
      <c r="I1242" s="142"/>
      <c r="J1242" s="144"/>
      <c r="K1242" s="144"/>
      <c r="R1242" s="53"/>
      <c r="S1242" s="53"/>
      <c r="T1242" s="53"/>
      <c r="U1242" s="53"/>
      <c r="V1242" s="53"/>
      <c r="W1242" s="53"/>
      <c r="X1242" s="61" t="str">
        <f>IFERROR(IF(W1242="","",WORKDAY.INTL(B1242,_xlfn.XLOOKUP(W1242,Regras!$F$2:$F$11,Regras!$G$2:$G$11))),"")</f>
        <v/>
      </c>
      <c r="Y1242" s="150"/>
      <c r="Z1242" s="53"/>
    </row>
    <row r="1243" spans="7:26" x14ac:dyDescent="0.2">
      <c r="G1243" s="85" t="s">
        <v>12</v>
      </c>
      <c r="I1243" s="142"/>
      <c r="J1243" s="144"/>
      <c r="K1243" s="144"/>
      <c r="R1243" s="53"/>
      <c r="S1243" s="53"/>
      <c r="T1243" s="53"/>
      <c r="U1243" s="53"/>
      <c r="V1243" s="53"/>
      <c r="W1243" s="53"/>
      <c r="X1243" s="61" t="str">
        <f>IFERROR(IF(W1243="","",WORKDAY.INTL(B1243,_xlfn.XLOOKUP(W1243,Regras!$F$2:$F$11,Regras!$G$2:$G$11))),"")</f>
        <v/>
      </c>
      <c r="Y1243" s="150"/>
      <c r="Z1243" s="53"/>
    </row>
    <row r="1244" spans="7:26" x14ac:dyDescent="0.2">
      <c r="G1244" s="85" t="s">
        <v>12</v>
      </c>
      <c r="I1244" s="142"/>
      <c r="J1244" s="144"/>
      <c r="K1244" s="144"/>
      <c r="R1244" s="53"/>
      <c r="S1244" s="53"/>
      <c r="T1244" s="53"/>
      <c r="U1244" s="53"/>
      <c r="V1244" s="53"/>
      <c r="W1244" s="53"/>
      <c r="X1244" s="61" t="str">
        <f>IFERROR(IF(W1244="","",WORKDAY.INTL(B1244,_xlfn.XLOOKUP(W1244,Regras!$F$2:$F$11,Regras!$G$2:$G$11))),"")</f>
        <v/>
      </c>
      <c r="Y1244" s="150"/>
      <c r="Z1244" s="53"/>
    </row>
    <row r="1245" spans="7:26" x14ac:dyDescent="0.2">
      <c r="G1245" s="85" t="s">
        <v>12</v>
      </c>
      <c r="I1245" s="142"/>
      <c r="J1245" s="144"/>
      <c r="K1245" s="144"/>
      <c r="R1245" s="53"/>
      <c r="S1245" s="53"/>
      <c r="T1245" s="53"/>
      <c r="U1245" s="53"/>
      <c r="V1245" s="53"/>
      <c r="W1245" s="53"/>
      <c r="X1245" s="61" t="str">
        <f>IFERROR(IF(W1245="","",WORKDAY.INTL(B1245,_xlfn.XLOOKUP(W1245,Regras!$F$2:$F$11,Regras!$G$2:$G$11))),"")</f>
        <v/>
      </c>
      <c r="Y1245" s="150"/>
      <c r="Z1245" s="53"/>
    </row>
    <row r="1246" spans="7:26" x14ac:dyDescent="0.2">
      <c r="G1246" s="85" t="s">
        <v>12</v>
      </c>
      <c r="I1246" s="142"/>
      <c r="J1246" s="144"/>
      <c r="K1246" s="144"/>
      <c r="R1246" s="53"/>
      <c r="S1246" s="53"/>
      <c r="T1246" s="53"/>
      <c r="U1246" s="53"/>
      <c r="V1246" s="53"/>
      <c r="W1246" s="53"/>
      <c r="X1246" s="61" t="str">
        <f>IFERROR(IF(W1246="","",WORKDAY.INTL(B1246,_xlfn.XLOOKUP(W1246,Regras!$F$2:$F$11,Regras!$G$2:$G$11))),"")</f>
        <v/>
      </c>
      <c r="Y1246" s="150"/>
      <c r="Z1246" s="53"/>
    </row>
    <row r="1247" spans="7:26" x14ac:dyDescent="0.2">
      <c r="G1247" s="85" t="s">
        <v>12</v>
      </c>
      <c r="I1247" s="142"/>
      <c r="J1247" s="144"/>
      <c r="K1247" s="144"/>
      <c r="R1247" s="53"/>
      <c r="S1247" s="53"/>
      <c r="T1247" s="53"/>
      <c r="U1247" s="53"/>
      <c r="V1247" s="53"/>
      <c r="W1247" s="53"/>
      <c r="X1247" s="61" t="str">
        <f>IFERROR(IF(W1247="","",WORKDAY.INTL(B1247,_xlfn.XLOOKUP(W1247,Regras!$F$2:$F$11,Regras!$G$2:$G$11))),"")</f>
        <v/>
      </c>
      <c r="Y1247" s="150"/>
      <c r="Z1247" s="53"/>
    </row>
    <row r="1248" spans="7:26" x14ac:dyDescent="0.2">
      <c r="G1248" s="85" t="s">
        <v>12</v>
      </c>
      <c r="I1248" s="142"/>
      <c r="J1248" s="144"/>
      <c r="K1248" s="144"/>
      <c r="R1248" s="53"/>
      <c r="S1248" s="53"/>
      <c r="T1248" s="53"/>
      <c r="U1248" s="53"/>
      <c r="V1248" s="53"/>
      <c r="W1248" s="53"/>
      <c r="X1248" s="61" t="str">
        <f>IFERROR(IF(W1248="","",WORKDAY.INTL(B1248,_xlfn.XLOOKUP(W1248,Regras!$F$2:$F$11,Regras!$G$2:$G$11))),"")</f>
        <v/>
      </c>
      <c r="Y1248" s="150"/>
      <c r="Z1248" s="53"/>
    </row>
    <row r="1249" spans="7:26" x14ac:dyDescent="0.2">
      <c r="G1249" s="85" t="s">
        <v>12</v>
      </c>
      <c r="I1249" s="142"/>
      <c r="J1249" s="144"/>
      <c r="K1249" s="144"/>
      <c r="R1249" s="53"/>
      <c r="S1249" s="53"/>
      <c r="T1249" s="53"/>
      <c r="U1249" s="53"/>
      <c r="V1249" s="53"/>
      <c r="W1249" s="53"/>
      <c r="X1249" s="61" t="str">
        <f>IFERROR(IF(W1249="","",WORKDAY.INTL(B1249,_xlfn.XLOOKUP(W1249,Regras!$F$2:$F$11,Regras!$G$2:$G$11))),"")</f>
        <v/>
      </c>
      <c r="Y1249" s="150"/>
      <c r="Z1249" s="53"/>
    </row>
    <row r="1250" spans="7:26" x14ac:dyDescent="0.2">
      <c r="G1250" s="85" t="s">
        <v>12</v>
      </c>
      <c r="I1250" s="142"/>
      <c r="J1250" s="144"/>
      <c r="K1250" s="144"/>
      <c r="R1250" s="53"/>
      <c r="S1250" s="53"/>
      <c r="T1250" s="53"/>
      <c r="U1250" s="53"/>
      <c r="V1250" s="53"/>
      <c r="W1250" s="53"/>
      <c r="X1250" s="61" t="str">
        <f>IFERROR(IF(W1250="","",WORKDAY.INTL(B1250,_xlfn.XLOOKUP(W1250,Regras!$F$2:$F$11,Regras!$G$2:$G$11))),"")</f>
        <v/>
      </c>
      <c r="Y1250" s="150"/>
      <c r="Z1250" s="53"/>
    </row>
    <row r="1251" spans="7:26" x14ac:dyDescent="0.2">
      <c r="G1251" s="85" t="s">
        <v>12</v>
      </c>
      <c r="I1251" s="142"/>
      <c r="J1251" s="144"/>
      <c r="K1251" s="144"/>
      <c r="R1251" s="53"/>
      <c r="S1251" s="53"/>
      <c r="T1251" s="53"/>
      <c r="U1251" s="53"/>
      <c r="V1251" s="53"/>
      <c r="W1251" s="53"/>
      <c r="X1251" s="61" t="str">
        <f>IFERROR(IF(W1251="","",WORKDAY.INTL(B1251,_xlfn.XLOOKUP(W1251,Regras!$F$2:$F$11,Regras!$G$2:$G$11))),"")</f>
        <v/>
      </c>
      <c r="Y1251" s="150"/>
      <c r="Z1251" s="53"/>
    </row>
    <row r="1252" spans="7:26" x14ac:dyDescent="0.2">
      <c r="G1252" s="85" t="s">
        <v>12</v>
      </c>
      <c r="I1252" s="142"/>
      <c r="J1252" s="144"/>
      <c r="K1252" s="144"/>
      <c r="R1252" s="53"/>
      <c r="S1252" s="53"/>
      <c r="T1252" s="53"/>
      <c r="U1252" s="53"/>
      <c r="V1252" s="53"/>
      <c r="W1252" s="53"/>
      <c r="X1252" s="61" t="str">
        <f>IFERROR(IF(W1252="","",WORKDAY.INTL(B1252,_xlfn.XLOOKUP(W1252,Regras!$F$2:$F$11,Regras!$G$2:$G$11))),"")</f>
        <v/>
      </c>
      <c r="Y1252" s="150"/>
      <c r="Z1252" s="53"/>
    </row>
    <row r="1253" spans="7:26" x14ac:dyDescent="0.2">
      <c r="G1253" s="85" t="s">
        <v>12</v>
      </c>
      <c r="I1253" s="142"/>
      <c r="J1253" s="144"/>
      <c r="K1253" s="144"/>
      <c r="R1253" s="53"/>
      <c r="S1253" s="53"/>
      <c r="T1253" s="53"/>
      <c r="U1253" s="53"/>
      <c r="V1253" s="53"/>
      <c r="W1253" s="53"/>
      <c r="X1253" s="61" t="str">
        <f>IFERROR(IF(W1253="","",WORKDAY.INTL(B1253,_xlfn.XLOOKUP(W1253,Regras!$F$2:$F$11,Regras!$G$2:$G$11))),"")</f>
        <v/>
      </c>
      <c r="Y1253" s="150"/>
      <c r="Z1253" s="53"/>
    </row>
    <row r="1254" spans="7:26" x14ac:dyDescent="0.2">
      <c r="G1254" s="85" t="s">
        <v>12</v>
      </c>
      <c r="I1254" s="142"/>
      <c r="J1254" s="144"/>
      <c r="K1254" s="144"/>
      <c r="R1254" s="53"/>
      <c r="S1254" s="53"/>
      <c r="T1254" s="53"/>
      <c r="U1254" s="53"/>
      <c r="V1254" s="53"/>
      <c r="W1254" s="53"/>
      <c r="X1254" s="61" t="str">
        <f>IFERROR(IF(W1254="","",WORKDAY.INTL(B1254,_xlfn.XLOOKUP(W1254,Regras!$F$2:$F$11,Regras!$G$2:$G$11))),"")</f>
        <v/>
      </c>
      <c r="Y1254" s="150"/>
      <c r="Z1254" s="53"/>
    </row>
    <row r="1255" spans="7:26" x14ac:dyDescent="0.2">
      <c r="G1255" s="85" t="s">
        <v>12</v>
      </c>
      <c r="I1255" s="142"/>
      <c r="J1255" s="144"/>
      <c r="K1255" s="144"/>
      <c r="R1255" s="53"/>
      <c r="S1255" s="53"/>
      <c r="T1255" s="53"/>
      <c r="U1255" s="53"/>
      <c r="V1255" s="53"/>
      <c r="W1255" s="53"/>
      <c r="X1255" s="61" t="str">
        <f>IFERROR(IF(W1255="","",WORKDAY.INTL(B1255,_xlfn.XLOOKUP(W1255,Regras!$F$2:$F$11,Regras!$G$2:$G$11))),"")</f>
        <v/>
      </c>
      <c r="Y1255" s="150"/>
      <c r="Z1255" s="53"/>
    </row>
    <row r="1256" spans="7:26" x14ac:dyDescent="0.2">
      <c r="G1256" s="85" t="s">
        <v>12</v>
      </c>
      <c r="I1256" s="142"/>
      <c r="J1256" s="144"/>
      <c r="K1256" s="144"/>
      <c r="R1256" s="53"/>
      <c r="S1256" s="53"/>
      <c r="T1256" s="53"/>
      <c r="U1256" s="53"/>
      <c r="V1256" s="53"/>
      <c r="W1256" s="53"/>
      <c r="X1256" s="61" t="str">
        <f>IFERROR(IF(W1256="","",WORKDAY.INTL(B1256,_xlfn.XLOOKUP(W1256,Regras!$F$2:$F$11,Regras!$G$2:$G$11))),"")</f>
        <v/>
      </c>
      <c r="Y1256" s="150"/>
      <c r="Z1256" s="53"/>
    </row>
    <row r="1257" spans="7:26" x14ac:dyDescent="0.2">
      <c r="G1257" s="85" t="s">
        <v>12</v>
      </c>
      <c r="I1257" s="142"/>
      <c r="J1257" s="144"/>
      <c r="K1257" s="144"/>
      <c r="R1257" s="53"/>
      <c r="S1257" s="53"/>
      <c r="T1257" s="53"/>
      <c r="U1257" s="53"/>
      <c r="V1257" s="53"/>
      <c r="W1257" s="53"/>
      <c r="X1257" s="61" t="str">
        <f>IFERROR(IF(W1257="","",WORKDAY.INTL(B1257,_xlfn.XLOOKUP(W1257,Regras!$F$2:$F$11,Regras!$G$2:$G$11))),"")</f>
        <v/>
      </c>
      <c r="Y1257" s="150"/>
      <c r="Z1257" s="53"/>
    </row>
    <row r="1258" spans="7:26" x14ac:dyDescent="0.2">
      <c r="G1258" s="85" t="s">
        <v>12</v>
      </c>
      <c r="I1258" s="142"/>
      <c r="J1258" s="144"/>
      <c r="K1258" s="144"/>
      <c r="R1258" s="53"/>
      <c r="S1258" s="53"/>
      <c r="T1258" s="53"/>
      <c r="U1258" s="53"/>
      <c r="V1258" s="53"/>
      <c r="W1258" s="53"/>
      <c r="X1258" s="61" t="str">
        <f>IFERROR(IF(W1258="","",WORKDAY.INTL(B1258,_xlfn.XLOOKUP(W1258,Regras!$F$2:$F$11,Regras!$G$2:$G$11))),"")</f>
        <v/>
      </c>
      <c r="Y1258" s="150"/>
      <c r="Z1258" s="53"/>
    </row>
    <row r="1259" spans="7:26" x14ac:dyDescent="0.2">
      <c r="G1259" s="85" t="s">
        <v>12</v>
      </c>
      <c r="R1259" s="53"/>
      <c r="S1259" s="53"/>
      <c r="T1259" s="53"/>
      <c r="U1259" s="53"/>
      <c r="V1259" s="53"/>
      <c r="W1259" s="53"/>
      <c r="X1259" s="61" t="str">
        <f>IFERROR(IF(W1259="","",WORKDAY.INTL(B1259,_xlfn.XLOOKUP(W1259,Regras!$F$2:$F$11,Regras!$G$2:$G$11))),"")</f>
        <v/>
      </c>
      <c r="Y1259" s="150"/>
      <c r="Z1259" s="53"/>
    </row>
    <row r="1260" spans="7:26" x14ac:dyDescent="0.2">
      <c r="G1260" s="85" t="s">
        <v>12</v>
      </c>
      <c r="R1260" s="53"/>
      <c r="S1260" s="53"/>
      <c r="T1260" s="53"/>
      <c r="U1260" s="53"/>
      <c r="V1260" s="53"/>
      <c r="W1260" s="53"/>
      <c r="X1260" s="61" t="str">
        <f>IFERROR(IF(W1260="","",WORKDAY.INTL(B1260,_xlfn.XLOOKUP(W1260,Regras!$F$2:$F$11,Regras!$G$2:$G$11))),"")</f>
        <v/>
      </c>
      <c r="Y1260" s="150"/>
      <c r="Z1260" s="53"/>
    </row>
    <row r="1261" spans="7:26" x14ac:dyDescent="0.2">
      <c r="G1261" s="85" t="s">
        <v>12</v>
      </c>
      <c r="R1261" s="53"/>
      <c r="S1261" s="53"/>
      <c r="T1261" s="53"/>
      <c r="U1261" s="53"/>
      <c r="V1261" s="53"/>
      <c r="W1261" s="53"/>
      <c r="X1261" s="61" t="str">
        <f>IFERROR(IF(W1261="","",WORKDAY.INTL(B1261,_xlfn.XLOOKUP(W1261,Regras!$F$2:$F$11,Regras!$G$2:$G$11))),"")</f>
        <v/>
      </c>
      <c r="Y1261" s="150"/>
      <c r="Z1261" s="53"/>
    </row>
    <row r="1262" spans="7:26" x14ac:dyDescent="0.2">
      <c r="G1262" s="85" t="s">
        <v>12</v>
      </c>
      <c r="R1262" s="53"/>
      <c r="S1262" s="53"/>
      <c r="T1262" s="53"/>
      <c r="U1262" s="53"/>
      <c r="V1262" s="53"/>
      <c r="W1262" s="53"/>
      <c r="X1262" s="61" t="str">
        <f>IFERROR(IF(W1262="","",WORKDAY.INTL(B1262,_xlfn.XLOOKUP(W1262,Regras!$F$2:$F$11,Regras!$G$2:$G$11))),"")</f>
        <v/>
      </c>
      <c r="Y1262" s="150"/>
      <c r="Z1262" s="53"/>
    </row>
    <row r="1263" spans="7:26" x14ac:dyDescent="0.2">
      <c r="G1263" s="85" t="s">
        <v>12</v>
      </c>
      <c r="R1263" s="53"/>
      <c r="S1263" s="53"/>
      <c r="T1263" s="53"/>
      <c r="U1263" s="53"/>
      <c r="V1263" s="53"/>
      <c r="W1263" s="53"/>
      <c r="X1263" s="61" t="str">
        <f>IFERROR(IF(W1263="","",WORKDAY.INTL(B1263,_xlfn.XLOOKUP(W1263,Regras!$F$2:$F$11,Regras!$G$2:$G$11))),"")</f>
        <v/>
      </c>
      <c r="Y1263" s="150"/>
      <c r="Z1263" s="53"/>
    </row>
    <row r="1264" spans="7:26" x14ac:dyDescent="0.2">
      <c r="G1264" s="85" t="s">
        <v>12</v>
      </c>
      <c r="R1264" s="53"/>
      <c r="S1264" s="53"/>
      <c r="T1264" s="53"/>
      <c r="U1264" s="53"/>
      <c r="V1264" s="53"/>
      <c r="W1264" s="53"/>
      <c r="X1264" s="61" t="str">
        <f>IFERROR(IF(W1264="","",WORKDAY.INTL(B1264,_xlfn.XLOOKUP(W1264,Regras!$F$2:$F$11,Regras!$G$2:$G$11))),"")</f>
        <v/>
      </c>
      <c r="Y1264" s="150"/>
      <c r="Z1264" s="53"/>
    </row>
    <row r="1265" spans="7:26" x14ac:dyDescent="0.2">
      <c r="G1265" s="85" t="s">
        <v>12</v>
      </c>
      <c r="R1265" s="53"/>
      <c r="S1265" s="53"/>
      <c r="T1265" s="53"/>
      <c r="U1265" s="53"/>
      <c r="V1265" s="53"/>
      <c r="W1265" s="53"/>
      <c r="X1265" s="61" t="str">
        <f>IFERROR(IF(W1265="","",WORKDAY.INTL(B1265,_xlfn.XLOOKUP(W1265,Regras!$F$2:$F$11,Regras!$G$2:$G$11))),"")</f>
        <v/>
      </c>
      <c r="Y1265" s="150"/>
      <c r="Z1265" s="53"/>
    </row>
    <row r="1266" spans="7:26" x14ac:dyDescent="0.2">
      <c r="G1266" s="85" t="s">
        <v>12</v>
      </c>
      <c r="R1266" s="53"/>
      <c r="S1266" s="53"/>
      <c r="T1266" s="53"/>
      <c r="U1266" s="53"/>
      <c r="V1266" s="53"/>
      <c r="W1266" s="53"/>
      <c r="X1266" s="61" t="str">
        <f>IFERROR(IF(W1266="","",WORKDAY.INTL(B1266,_xlfn.XLOOKUP(W1266,Regras!$F$2:$F$11,Regras!$G$2:$G$11))),"")</f>
        <v/>
      </c>
      <c r="Y1266" s="150"/>
      <c r="Z1266" s="53"/>
    </row>
    <row r="1267" spans="7:26" x14ac:dyDescent="0.2">
      <c r="G1267" s="85" t="s">
        <v>12</v>
      </c>
      <c r="R1267" s="53"/>
      <c r="S1267" s="53"/>
      <c r="T1267" s="53"/>
      <c r="U1267" s="53"/>
      <c r="V1267" s="53"/>
      <c r="W1267" s="53"/>
      <c r="X1267" s="61" t="str">
        <f>IFERROR(IF(W1267="","",WORKDAY.INTL(B1267,_xlfn.XLOOKUP(W1267,Regras!$F$2:$F$11,Regras!$G$2:$G$11))),"")</f>
        <v/>
      </c>
      <c r="Y1267" s="150"/>
      <c r="Z1267" s="53"/>
    </row>
    <row r="1268" spans="7:26" x14ac:dyDescent="0.2">
      <c r="G1268" s="85" t="s">
        <v>12</v>
      </c>
      <c r="R1268" s="53"/>
      <c r="S1268" s="53"/>
      <c r="T1268" s="53"/>
      <c r="U1268" s="53"/>
      <c r="V1268" s="53"/>
      <c r="W1268" s="53"/>
      <c r="X1268" s="61" t="str">
        <f>IFERROR(IF(W1268="","",WORKDAY.INTL(B1268,_xlfn.XLOOKUP(W1268,Regras!$F$2:$F$11,Regras!$G$2:$G$11))),"")</f>
        <v/>
      </c>
      <c r="Y1268" s="150"/>
      <c r="Z1268" s="53"/>
    </row>
    <row r="1269" spans="7:26" x14ac:dyDescent="0.2">
      <c r="G1269" s="85" t="s">
        <v>12</v>
      </c>
      <c r="R1269" s="53"/>
      <c r="S1269" s="53"/>
      <c r="T1269" s="53"/>
      <c r="U1269" s="53"/>
      <c r="V1269" s="53"/>
      <c r="W1269" s="53"/>
      <c r="X1269" s="61" t="str">
        <f>IFERROR(IF(W1269="","",WORKDAY.INTL(B1269,_xlfn.XLOOKUP(W1269,Regras!$F$2:$F$11,Regras!$G$2:$G$11))),"")</f>
        <v/>
      </c>
      <c r="Y1269" s="150"/>
      <c r="Z1269" s="53"/>
    </row>
    <row r="1270" spans="7:26" x14ac:dyDescent="0.2">
      <c r="G1270" s="85" t="s">
        <v>12</v>
      </c>
      <c r="R1270" s="53"/>
      <c r="S1270" s="53"/>
      <c r="T1270" s="53"/>
      <c r="U1270" s="53"/>
      <c r="V1270" s="53"/>
      <c r="W1270" s="53"/>
      <c r="X1270" s="61" t="str">
        <f>IFERROR(IF(W1270="","",WORKDAY.INTL(B1270,_xlfn.XLOOKUP(W1270,Regras!$F$2:$F$11,Regras!$G$2:$G$11))),"")</f>
        <v/>
      </c>
      <c r="Y1270" s="150"/>
      <c r="Z1270" s="53"/>
    </row>
    <row r="1271" spans="7:26" x14ac:dyDescent="0.2">
      <c r="G1271" s="85" t="s">
        <v>12</v>
      </c>
      <c r="R1271" s="53"/>
      <c r="S1271" s="53"/>
      <c r="T1271" s="53"/>
      <c r="U1271" s="53"/>
      <c r="V1271" s="53"/>
      <c r="W1271" s="53"/>
      <c r="X1271" s="61" t="str">
        <f>IFERROR(IF(W1271="","",WORKDAY.INTL(B1271,_xlfn.XLOOKUP(W1271,Regras!$F$2:$F$11,Regras!$G$2:$G$11))),"")</f>
        <v/>
      </c>
      <c r="Y1271" s="150"/>
      <c r="Z1271" s="53"/>
    </row>
    <row r="1272" spans="7:26" x14ac:dyDescent="0.2">
      <c r="G1272" s="85" t="s">
        <v>12</v>
      </c>
      <c r="R1272" s="53"/>
      <c r="S1272" s="53"/>
      <c r="T1272" s="53"/>
      <c r="U1272" s="53"/>
      <c r="V1272" s="53"/>
      <c r="W1272" s="53"/>
      <c r="X1272" s="61" t="str">
        <f>IFERROR(IF(W1272="","",WORKDAY.INTL(B1272,_xlfn.XLOOKUP(W1272,Regras!$F$2:$F$11,Regras!$G$2:$G$11))),"")</f>
        <v/>
      </c>
      <c r="Y1272" s="150"/>
      <c r="Z1272" s="53"/>
    </row>
    <row r="1273" spans="7:26" x14ac:dyDescent="0.2">
      <c r="G1273" s="85" t="s">
        <v>12</v>
      </c>
      <c r="R1273" s="53"/>
      <c r="S1273" s="53"/>
      <c r="T1273" s="53"/>
      <c r="U1273" s="53"/>
      <c r="V1273" s="53"/>
      <c r="W1273" s="53"/>
      <c r="X1273" s="61" t="str">
        <f>IFERROR(IF(W1273="","",WORKDAY.INTL(B1273,_xlfn.XLOOKUP(W1273,Regras!$F$2:$F$11,Regras!$G$2:$G$11))),"")</f>
        <v/>
      </c>
      <c r="Y1273" s="150"/>
      <c r="Z1273" s="53"/>
    </row>
    <row r="1274" spans="7:26" x14ac:dyDescent="0.2">
      <c r="G1274" s="85" t="s">
        <v>12</v>
      </c>
      <c r="R1274" s="53"/>
      <c r="S1274" s="53"/>
      <c r="T1274" s="53"/>
      <c r="U1274" s="53"/>
      <c r="V1274" s="53"/>
      <c r="W1274" s="53"/>
      <c r="X1274" s="61" t="str">
        <f>IFERROR(IF(W1274="","",WORKDAY.INTL(B1274,_xlfn.XLOOKUP(W1274,Regras!$F$2:$F$11,Regras!$G$2:$G$11))),"")</f>
        <v/>
      </c>
      <c r="Y1274" s="150"/>
      <c r="Z1274" s="53"/>
    </row>
    <row r="1275" spans="7:26" x14ac:dyDescent="0.2">
      <c r="G1275" s="85" t="s">
        <v>12</v>
      </c>
      <c r="R1275" s="53"/>
      <c r="S1275" s="53"/>
      <c r="T1275" s="53"/>
      <c r="U1275" s="53"/>
      <c r="V1275" s="53"/>
      <c r="W1275" s="53"/>
      <c r="X1275" s="61" t="str">
        <f>IFERROR(IF(W1275="","",WORKDAY.INTL(B1275,_xlfn.XLOOKUP(W1275,Regras!$F$2:$F$11,Regras!$G$2:$G$11))),"")</f>
        <v/>
      </c>
      <c r="Y1275" s="150"/>
      <c r="Z1275" s="53"/>
    </row>
    <row r="1276" spans="7:26" x14ac:dyDescent="0.2">
      <c r="G1276" s="85" t="s">
        <v>12</v>
      </c>
      <c r="R1276" s="53"/>
      <c r="S1276" s="53"/>
      <c r="T1276" s="53"/>
      <c r="U1276" s="53"/>
      <c r="V1276" s="53"/>
      <c r="W1276" s="53"/>
      <c r="X1276" s="61" t="str">
        <f>IFERROR(IF(W1276="","",WORKDAY.INTL(B1276,_xlfn.XLOOKUP(W1276,Regras!$F$2:$F$11,Regras!$G$2:$G$11))),"")</f>
        <v/>
      </c>
      <c r="Y1276" s="150"/>
      <c r="Z1276" s="53"/>
    </row>
    <row r="1277" spans="7:26" x14ac:dyDescent="0.2">
      <c r="G1277" s="85" t="s">
        <v>12</v>
      </c>
      <c r="R1277" s="53"/>
      <c r="S1277" s="53"/>
      <c r="T1277" s="53"/>
      <c r="U1277" s="53"/>
      <c r="V1277" s="53"/>
      <c r="W1277" s="53"/>
      <c r="X1277" s="61" t="str">
        <f>IFERROR(IF(W1277="","",WORKDAY.INTL(B1277,_xlfn.XLOOKUP(W1277,Regras!$F$2:$F$11,Regras!$G$2:$G$11))),"")</f>
        <v/>
      </c>
      <c r="Y1277" s="150"/>
      <c r="Z1277" s="53"/>
    </row>
    <row r="1278" spans="7:26" x14ac:dyDescent="0.2">
      <c r="G1278" s="85" t="s">
        <v>12</v>
      </c>
      <c r="R1278" s="53"/>
      <c r="S1278" s="53"/>
      <c r="T1278" s="53"/>
      <c r="U1278" s="53"/>
      <c r="V1278" s="53"/>
      <c r="W1278" s="53"/>
      <c r="X1278" s="61" t="str">
        <f>IFERROR(IF(W1278="","",WORKDAY.INTL(B1278,_xlfn.XLOOKUP(W1278,Regras!$F$2:$F$11,Regras!$G$2:$G$11))),"")</f>
        <v/>
      </c>
      <c r="Y1278" s="150"/>
      <c r="Z1278" s="53"/>
    </row>
    <row r="1279" spans="7:26" x14ac:dyDescent="0.2">
      <c r="G1279" s="85" t="s">
        <v>12</v>
      </c>
      <c r="R1279" s="53"/>
      <c r="S1279" s="53"/>
      <c r="T1279" s="53"/>
      <c r="U1279" s="53"/>
      <c r="V1279" s="53"/>
      <c r="W1279" s="53"/>
      <c r="X1279" s="61" t="str">
        <f>IFERROR(IF(W1279="","",WORKDAY.INTL(B1279,_xlfn.XLOOKUP(W1279,Regras!$F$2:$F$11,Regras!$G$2:$G$11))),"")</f>
        <v/>
      </c>
      <c r="Y1279" s="150"/>
      <c r="Z1279" s="53"/>
    </row>
    <row r="1280" spans="7:26" x14ac:dyDescent="0.2">
      <c r="G1280" s="85" t="s">
        <v>12</v>
      </c>
      <c r="R1280" s="53"/>
      <c r="S1280" s="53"/>
      <c r="T1280" s="53"/>
      <c r="U1280" s="53"/>
      <c r="V1280" s="53"/>
      <c r="W1280" s="53"/>
      <c r="X1280" s="61" t="str">
        <f>IFERROR(IF(W1280="","",WORKDAY.INTL(B1280,_xlfn.XLOOKUP(W1280,Regras!$F$2:$F$11,Regras!$G$2:$G$11))),"")</f>
        <v/>
      </c>
      <c r="Y1280" s="150"/>
      <c r="Z1280" s="53"/>
    </row>
    <row r="1281" spans="7:26" x14ac:dyDescent="0.2">
      <c r="G1281" s="85" t="s">
        <v>12</v>
      </c>
      <c r="R1281" s="53"/>
      <c r="S1281" s="53"/>
      <c r="T1281" s="53"/>
      <c r="U1281" s="53"/>
      <c r="V1281" s="53"/>
      <c r="W1281" s="53"/>
      <c r="X1281" s="61" t="str">
        <f>IFERROR(IF(W1281="","",WORKDAY.INTL(B1281,_xlfn.XLOOKUP(W1281,Regras!$F$2:$F$11,Regras!$G$2:$G$11))),"")</f>
        <v/>
      </c>
      <c r="Y1281" s="150"/>
      <c r="Z1281" s="53"/>
    </row>
    <row r="1282" spans="7:26" x14ac:dyDescent="0.2">
      <c r="G1282" s="85" t="s">
        <v>12</v>
      </c>
      <c r="R1282" s="53"/>
      <c r="S1282" s="53"/>
      <c r="T1282" s="53"/>
      <c r="U1282" s="53"/>
      <c r="V1282" s="53"/>
      <c r="W1282" s="53"/>
      <c r="X1282" s="61" t="str">
        <f>IFERROR(IF(W1282="","",WORKDAY.INTL(B1282,_xlfn.XLOOKUP(W1282,Regras!$F$2:$F$11,Regras!$G$2:$G$11))),"")</f>
        <v/>
      </c>
      <c r="Y1282" s="150"/>
      <c r="Z1282" s="53"/>
    </row>
    <row r="1283" spans="7:26" x14ac:dyDescent="0.2">
      <c r="G1283" s="85" t="s">
        <v>12</v>
      </c>
      <c r="R1283" s="53"/>
      <c r="S1283" s="53"/>
      <c r="T1283" s="53"/>
      <c r="U1283" s="53"/>
      <c r="V1283" s="53"/>
      <c r="W1283" s="53"/>
      <c r="X1283" s="61" t="str">
        <f>IFERROR(IF(W1283="","",WORKDAY.INTL(B1283,_xlfn.XLOOKUP(W1283,Regras!$F$2:$F$11,Regras!$G$2:$G$11))),"")</f>
        <v/>
      </c>
      <c r="Y1283" s="150"/>
      <c r="Z1283" s="53"/>
    </row>
    <row r="1284" spans="7:26" x14ac:dyDescent="0.2">
      <c r="G1284" s="85" t="s">
        <v>12</v>
      </c>
      <c r="R1284" s="53"/>
      <c r="S1284" s="53"/>
      <c r="T1284" s="53"/>
      <c r="U1284" s="53"/>
      <c r="V1284" s="53"/>
      <c r="W1284" s="53"/>
      <c r="X1284" s="61" t="str">
        <f>IFERROR(IF(W1284="","",WORKDAY.INTL(B1284,_xlfn.XLOOKUP(W1284,Regras!$F$2:$F$11,Regras!$G$2:$G$11))),"")</f>
        <v/>
      </c>
      <c r="Y1284" s="150"/>
      <c r="Z1284" s="53"/>
    </row>
    <row r="1285" spans="7:26" x14ac:dyDescent="0.2">
      <c r="G1285" s="85" t="s">
        <v>12</v>
      </c>
      <c r="R1285" s="53"/>
      <c r="S1285" s="53"/>
      <c r="T1285" s="53"/>
      <c r="U1285" s="53"/>
      <c r="V1285" s="53"/>
      <c r="W1285" s="53"/>
      <c r="X1285" s="61" t="str">
        <f>IFERROR(IF(W1285="","",WORKDAY.INTL(B1285,_xlfn.XLOOKUP(W1285,Regras!$F$2:$F$11,Regras!$G$2:$G$11))),"")</f>
        <v/>
      </c>
      <c r="Y1285" s="150"/>
      <c r="Z1285" s="53"/>
    </row>
    <row r="1286" spans="7:26" x14ac:dyDescent="0.2">
      <c r="G1286" s="85" t="s">
        <v>12</v>
      </c>
      <c r="R1286" s="53"/>
      <c r="S1286" s="53"/>
      <c r="T1286" s="53"/>
      <c r="U1286" s="53"/>
      <c r="V1286" s="53"/>
      <c r="W1286" s="53"/>
      <c r="X1286" s="61" t="str">
        <f>IFERROR(IF(W1286="","",WORKDAY.INTL(B1286,_xlfn.XLOOKUP(W1286,Regras!$F$2:$F$11,Regras!$G$2:$G$11))),"")</f>
        <v/>
      </c>
      <c r="Y1286" s="150"/>
      <c r="Z1286" s="53"/>
    </row>
    <row r="1287" spans="7:26" x14ac:dyDescent="0.2">
      <c r="G1287" s="85" t="s">
        <v>12</v>
      </c>
      <c r="R1287" s="53"/>
      <c r="S1287" s="53"/>
      <c r="T1287" s="53"/>
      <c r="U1287" s="53"/>
      <c r="V1287" s="53"/>
      <c r="W1287" s="53"/>
      <c r="X1287" s="61" t="str">
        <f>IFERROR(IF(W1287="","",WORKDAY.INTL(B1287,_xlfn.XLOOKUP(W1287,Regras!$F$2:$F$11,Regras!$G$2:$G$11))),"")</f>
        <v/>
      </c>
      <c r="Y1287" s="150"/>
      <c r="Z1287" s="53"/>
    </row>
    <row r="1288" spans="7:26" x14ac:dyDescent="0.2">
      <c r="G1288" s="85" t="s">
        <v>12</v>
      </c>
      <c r="R1288" s="53"/>
      <c r="S1288" s="53"/>
      <c r="T1288" s="53"/>
      <c r="U1288" s="53"/>
      <c r="V1288" s="53"/>
      <c r="W1288" s="53"/>
      <c r="X1288" s="61" t="str">
        <f>IFERROR(IF(W1288="","",WORKDAY.INTL(B1288,_xlfn.XLOOKUP(W1288,Regras!$F$2:$F$11,Regras!$G$2:$G$11))),"")</f>
        <v/>
      </c>
      <c r="Y1288" s="150"/>
      <c r="Z1288" s="53"/>
    </row>
    <row r="1289" spans="7:26" x14ac:dyDescent="0.2">
      <c r="G1289" s="85" t="s">
        <v>12</v>
      </c>
      <c r="R1289" s="53"/>
      <c r="S1289" s="53"/>
      <c r="T1289" s="53"/>
      <c r="U1289" s="53"/>
      <c r="V1289" s="53"/>
      <c r="W1289" s="53"/>
      <c r="X1289" s="61" t="str">
        <f>IFERROR(IF(W1289="","",WORKDAY.INTL(B1289,_xlfn.XLOOKUP(W1289,Regras!$F$2:$F$11,Regras!$G$2:$G$11))),"")</f>
        <v/>
      </c>
      <c r="Y1289" s="150"/>
      <c r="Z1289" s="53"/>
    </row>
    <row r="1290" spans="7:26" x14ac:dyDescent="0.2">
      <c r="G1290" s="85" t="s">
        <v>12</v>
      </c>
      <c r="R1290" s="53"/>
      <c r="S1290" s="53"/>
      <c r="T1290" s="53"/>
      <c r="U1290" s="53"/>
      <c r="V1290" s="53"/>
      <c r="W1290" s="53"/>
      <c r="X1290" s="61" t="str">
        <f>IFERROR(IF(W1290="","",WORKDAY.INTL(B1290,_xlfn.XLOOKUP(W1290,Regras!$F$2:$F$11,Regras!$G$2:$G$11))),"")</f>
        <v/>
      </c>
      <c r="Y1290" s="150"/>
      <c r="Z1290" s="53"/>
    </row>
    <row r="1291" spans="7:26" x14ac:dyDescent="0.2">
      <c r="G1291" s="85" t="s">
        <v>12</v>
      </c>
      <c r="R1291" s="53"/>
      <c r="S1291" s="53"/>
      <c r="T1291" s="53"/>
      <c r="U1291" s="53"/>
      <c r="V1291" s="53"/>
      <c r="W1291" s="53"/>
      <c r="X1291" s="61" t="str">
        <f>IFERROR(IF(W1291="","",WORKDAY.INTL(B1291,_xlfn.XLOOKUP(W1291,Regras!$F$2:$F$11,Regras!$G$2:$G$11))),"")</f>
        <v/>
      </c>
      <c r="Y1291" s="150"/>
      <c r="Z1291" s="53"/>
    </row>
    <row r="1292" spans="7:26" x14ac:dyDescent="0.2">
      <c r="G1292" s="85" t="s">
        <v>12</v>
      </c>
      <c r="R1292" s="53"/>
      <c r="S1292" s="53"/>
      <c r="T1292" s="53"/>
      <c r="U1292" s="53"/>
      <c r="V1292" s="53"/>
      <c r="W1292" s="53"/>
      <c r="X1292" s="61" t="str">
        <f>IFERROR(IF(W1292="","",WORKDAY.INTL(B1292,_xlfn.XLOOKUP(W1292,Regras!$F$2:$F$11,Regras!$G$2:$G$11))),"")</f>
        <v/>
      </c>
      <c r="Y1292" s="150"/>
      <c r="Z1292" s="53"/>
    </row>
    <row r="1293" spans="7:26" x14ac:dyDescent="0.2">
      <c r="G1293" s="85" t="s">
        <v>12</v>
      </c>
      <c r="R1293" s="53"/>
      <c r="S1293" s="53"/>
      <c r="T1293" s="53"/>
      <c r="U1293" s="53"/>
      <c r="V1293" s="53"/>
      <c r="W1293" s="53"/>
      <c r="X1293" s="61" t="str">
        <f>IFERROR(IF(W1293="","",WORKDAY.INTL(B1293,_xlfn.XLOOKUP(W1293,Regras!$F$2:$F$11,Regras!$G$2:$G$11))),"")</f>
        <v/>
      </c>
      <c r="Y1293" s="150"/>
      <c r="Z1293" s="53"/>
    </row>
    <row r="1294" spans="7:26" x14ac:dyDescent="0.2">
      <c r="G1294" s="85" t="s">
        <v>12</v>
      </c>
      <c r="R1294" s="53"/>
      <c r="S1294" s="53"/>
      <c r="T1294" s="53"/>
      <c r="U1294" s="53"/>
      <c r="V1294" s="53"/>
      <c r="W1294" s="53"/>
      <c r="X1294" s="61" t="str">
        <f>IFERROR(IF(W1294="","",WORKDAY.INTL(B1294,_xlfn.XLOOKUP(W1294,Regras!$F$2:$F$11,Regras!$G$2:$G$11))),"")</f>
        <v/>
      </c>
      <c r="Y1294" s="150"/>
      <c r="Z1294" s="53"/>
    </row>
    <row r="1295" spans="7:26" x14ac:dyDescent="0.2">
      <c r="G1295" s="85" t="s">
        <v>12</v>
      </c>
      <c r="R1295" s="53"/>
      <c r="S1295" s="53"/>
      <c r="T1295" s="53"/>
      <c r="U1295" s="53"/>
      <c r="V1295" s="53"/>
      <c r="W1295" s="53"/>
      <c r="X1295" s="61" t="str">
        <f>IFERROR(IF(W1295="","",WORKDAY.INTL(B1295,_xlfn.XLOOKUP(W1295,Regras!$F$2:$F$11,Regras!$G$2:$G$11))),"")</f>
        <v/>
      </c>
      <c r="Y1295" s="150"/>
      <c r="Z1295" s="53"/>
    </row>
    <row r="1296" spans="7:26" x14ac:dyDescent="0.2">
      <c r="G1296" s="85" t="s">
        <v>12</v>
      </c>
      <c r="R1296" s="53"/>
      <c r="S1296" s="53"/>
      <c r="T1296" s="53"/>
      <c r="U1296" s="53"/>
      <c r="V1296" s="53"/>
      <c r="W1296" s="53"/>
      <c r="X1296" s="61" t="str">
        <f>IFERROR(IF(W1296="","",WORKDAY.INTL(B1296,_xlfn.XLOOKUP(W1296,Regras!$F$2:$F$11,Regras!$G$2:$G$11))),"")</f>
        <v/>
      </c>
      <c r="Y1296" s="150"/>
      <c r="Z1296" s="53"/>
    </row>
    <row r="1297" spans="7:26" x14ac:dyDescent="0.2">
      <c r="G1297" s="85" t="s">
        <v>12</v>
      </c>
      <c r="R1297" s="53"/>
      <c r="S1297" s="53"/>
      <c r="T1297" s="53"/>
      <c r="U1297" s="53"/>
      <c r="V1297" s="53"/>
      <c r="W1297" s="53"/>
      <c r="X1297" s="61" t="str">
        <f>IFERROR(IF(W1297="","",WORKDAY.INTL(B1297,_xlfn.XLOOKUP(W1297,Regras!$F$2:$F$11,Regras!$G$2:$G$11))),"")</f>
        <v/>
      </c>
      <c r="Y1297" s="150"/>
      <c r="Z1297" s="53"/>
    </row>
    <row r="1298" spans="7:26" x14ac:dyDescent="0.2">
      <c r="G1298" s="85" t="s">
        <v>12</v>
      </c>
      <c r="R1298" s="53"/>
      <c r="S1298" s="53"/>
      <c r="T1298" s="53"/>
      <c r="U1298" s="53"/>
      <c r="V1298" s="53"/>
      <c r="W1298" s="53"/>
      <c r="X1298" s="61" t="str">
        <f>IFERROR(IF(W1298="","",WORKDAY.INTL(B1298,_xlfn.XLOOKUP(W1298,Regras!$F$2:$F$11,Regras!$G$2:$G$11))),"")</f>
        <v/>
      </c>
      <c r="Y1298" s="150"/>
      <c r="Z1298" s="53"/>
    </row>
    <row r="1299" spans="7:26" x14ac:dyDescent="0.2">
      <c r="G1299" s="85" t="s">
        <v>12</v>
      </c>
      <c r="R1299" s="53"/>
      <c r="S1299" s="53"/>
      <c r="T1299" s="53"/>
      <c r="U1299" s="53"/>
      <c r="V1299" s="53"/>
      <c r="W1299" s="53"/>
      <c r="X1299" s="61" t="str">
        <f>IFERROR(IF(W1299="","",WORKDAY.INTL(B1299,_xlfn.XLOOKUP(W1299,Regras!$F$2:$F$11,Regras!$G$2:$G$11))),"")</f>
        <v/>
      </c>
      <c r="Y1299" s="150"/>
      <c r="Z1299" s="53"/>
    </row>
    <row r="1300" spans="7:26" x14ac:dyDescent="0.2">
      <c r="G1300" s="85" t="s">
        <v>12</v>
      </c>
      <c r="R1300" s="53"/>
      <c r="S1300" s="53"/>
      <c r="T1300" s="53"/>
      <c r="U1300" s="53"/>
      <c r="V1300" s="53"/>
      <c r="W1300" s="53"/>
      <c r="X1300" s="61" t="str">
        <f>IFERROR(IF(W1300="","",WORKDAY.INTL(B1300,_xlfn.XLOOKUP(W1300,Regras!$F$2:$F$11,Regras!$G$2:$G$11))),"")</f>
        <v/>
      </c>
      <c r="Y1300" s="150"/>
      <c r="Z1300" s="53"/>
    </row>
    <row r="1301" spans="7:26" x14ac:dyDescent="0.2">
      <c r="G1301" s="85" t="s">
        <v>12</v>
      </c>
      <c r="R1301" s="53"/>
      <c r="S1301" s="53"/>
      <c r="T1301" s="53"/>
      <c r="U1301" s="53"/>
      <c r="V1301" s="53"/>
      <c r="W1301" s="53"/>
      <c r="X1301" s="61" t="str">
        <f>IFERROR(IF(W1301="","",WORKDAY.INTL(B1301,_xlfn.XLOOKUP(W1301,Regras!$F$2:$F$11,Regras!$G$2:$G$11))),"")</f>
        <v/>
      </c>
      <c r="Y1301" s="150"/>
      <c r="Z1301" s="53"/>
    </row>
    <row r="1302" spans="7:26" x14ac:dyDescent="0.2">
      <c r="G1302" s="85" t="s">
        <v>12</v>
      </c>
      <c r="R1302" s="53"/>
      <c r="S1302" s="53"/>
      <c r="T1302" s="53"/>
      <c r="U1302" s="53"/>
      <c r="V1302" s="53"/>
      <c r="W1302" s="53"/>
      <c r="X1302" s="61" t="str">
        <f>IFERROR(IF(W1302="","",WORKDAY.INTL(B1302,_xlfn.XLOOKUP(W1302,Regras!$F$2:$F$11,Regras!$G$2:$G$11))),"")</f>
        <v/>
      </c>
      <c r="Y1302" s="150"/>
      <c r="Z1302" s="53"/>
    </row>
    <row r="1303" spans="7:26" x14ac:dyDescent="0.2">
      <c r="G1303" s="85" t="s">
        <v>12</v>
      </c>
      <c r="R1303" s="53"/>
      <c r="S1303" s="53"/>
      <c r="T1303" s="53"/>
      <c r="U1303" s="53"/>
      <c r="V1303" s="53"/>
      <c r="W1303" s="53"/>
      <c r="X1303" s="61" t="str">
        <f>IFERROR(IF(W1303="","",WORKDAY.INTL(B1303,_xlfn.XLOOKUP(W1303,Regras!$F$2:$F$11,Regras!$G$2:$G$11))),"")</f>
        <v/>
      </c>
      <c r="Y1303" s="150"/>
      <c r="Z1303" s="53"/>
    </row>
    <row r="1304" spans="7:26" x14ac:dyDescent="0.2">
      <c r="G1304" s="85" t="s">
        <v>12</v>
      </c>
      <c r="R1304" s="53"/>
      <c r="S1304" s="53"/>
      <c r="T1304" s="53"/>
      <c r="U1304" s="53"/>
      <c r="V1304" s="53"/>
      <c r="W1304" s="53"/>
      <c r="X1304" s="61" t="str">
        <f>IFERROR(IF(W1304="","",WORKDAY.INTL(B1304,_xlfn.XLOOKUP(W1304,Regras!$F$2:$F$11,Regras!$G$2:$G$11))),"")</f>
        <v/>
      </c>
      <c r="Y1304" s="150"/>
      <c r="Z1304" s="53"/>
    </row>
    <row r="1305" spans="7:26" x14ac:dyDescent="0.2">
      <c r="G1305" s="85" t="s">
        <v>12</v>
      </c>
      <c r="R1305" s="53"/>
      <c r="S1305" s="53"/>
      <c r="T1305" s="53"/>
      <c r="U1305" s="53"/>
      <c r="V1305" s="53"/>
      <c r="W1305" s="53"/>
      <c r="X1305" s="61" t="str">
        <f>IFERROR(IF(W1305="","",WORKDAY.INTL(B1305,_xlfn.XLOOKUP(W1305,Regras!$F$2:$F$11,Regras!$G$2:$G$11))),"")</f>
        <v/>
      </c>
      <c r="Y1305" s="150"/>
      <c r="Z1305" s="53"/>
    </row>
    <row r="1306" spans="7:26" x14ac:dyDescent="0.2">
      <c r="G1306" s="85" t="s">
        <v>12</v>
      </c>
      <c r="R1306" s="53"/>
      <c r="S1306" s="53"/>
      <c r="T1306" s="53"/>
      <c r="U1306" s="53"/>
      <c r="V1306" s="53"/>
      <c r="W1306" s="53"/>
      <c r="X1306" s="61" t="str">
        <f>IFERROR(IF(W1306="","",WORKDAY.INTL(B1306,_xlfn.XLOOKUP(W1306,Regras!$F$2:$F$11,Regras!$G$2:$G$11))),"")</f>
        <v/>
      </c>
      <c r="Y1306" s="150"/>
      <c r="Z1306" s="53"/>
    </row>
    <row r="1307" spans="7:26" x14ac:dyDescent="0.2">
      <c r="G1307" s="85" t="s">
        <v>12</v>
      </c>
      <c r="R1307" s="53"/>
      <c r="S1307" s="53"/>
      <c r="T1307" s="53"/>
      <c r="U1307" s="53"/>
      <c r="V1307" s="53"/>
      <c r="W1307" s="53"/>
      <c r="X1307" s="61" t="str">
        <f>IFERROR(IF(W1307="","",WORKDAY.INTL(B1307,_xlfn.XLOOKUP(W1307,Regras!$F$2:$F$11,Regras!$G$2:$G$11))),"")</f>
        <v/>
      </c>
      <c r="Y1307" s="150"/>
      <c r="Z1307" s="53"/>
    </row>
    <row r="1308" spans="7:26" x14ac:dyDescent="0.2">
      <c r="G1308" s="85" t="s">
        <v>12</v>
      </c>
      <c r="R1308" s="53"/>
      <c r="S1308" s="53"/>
      <c r="T1308" s="53"/>
      <c r="U1308" s="53"/>
      <c r="V1308" s="53"/>
      <c r="W1308" s="53"/>
      <c r="X1308" s="61" t="str">
        <f>IFERROR(IF(W1308="","",WORKDAY.INTL(B1308,_xlfn.XLOOKUP(W1308,Regras!$F$2:$F$11,Regras!$G$2:$G$11))),"")</f>
        <v/>
      </c>
      <c r="Y1308" s="150"/>
      <c r="Z1308" s="53"/>
    </row>
    <row r="1309" spans="7:26" x14ac:dyDescent="0.2">
      <c r="G1309" s="85" t="s">
        <v>12</v>
      </c>
      <c r="R1309" s="53"/>
      <c r="S1309" s="53"/>
      <c r="T1309" s="53"/>
      <c r="U1309" s="53"/>
      <c r="V1309" s="53"/>
      <c r="W1309" s="53"/>
      <c r="X1309" s="61" t="str">
        <f>IFERROR(IF(W1309="","",WORKDAY.INTL(B1309,_xlfn.XLOOKUP(W1309,Regras!$F$2:$F$11,Regras!$G$2:$G$11))),"")</f>
        <v/>
      </c>
      <c r="Y1309" s="150"/>
      <c r="Z1309" s="53"/>
    </row>
    <row r="1310" spans="7:26" x14ac:dyDescent="0.2">
      <c r="G1310" s="85" t="s">
        <v>12</v>
      </c>
      <c r="R1310" s="53"/>
      <c r="S1310" s="53"/>
      <c r="T1310" s="53"/>
      <c r="U1310" s="53"/>
      <c r="V1310" s="53"/>
      <c r="W1310" s="53"/>
      <c r="X1310" s="61" t="str">
        <f>IFERROR(IF(W1310="","",WORKDAY.INTL(B1310,_xlfn.XLOOKUP(W1310,Regras!$F$2:$F$11,Regras!$G$2:$G$11))),"")</f>
        <v/>
      </c>
      <c r="Y1310" s="150"/>
      <c r="Z1310" s="53"/>
    </row>
    <row r="1311" spans="7:26" x14ac:dyDescent="0.2">
      <c r="G1311" s="85" t="s">
        <v>12</v>
      </c>
      <c r="R1311" s="53"/>
      <c r="S1311" s="53"/>
      <c r="T1311" s="53"/>
      <c r="U1311" s="53"/>
      <c r="V1311" s="53"/>
      <c r="W1311" s="53"/>
      <c r="X1311" s="61" t="str">
        <f>IFERROR(IF(W1311="","",WORKDAY.INTL(B1311,_xlfn.XLOOKUP(W1311,Regras!$F$2:$F$11,Regras!$G$2:$G$11))),"")</f>
        <v/>
      </c>
      <c r="Y1311" s="150"/>
      <c r="Z1311" s="53"/>
    </row>
    <row r="1312" spans="7:26" x14ac:dyDescent="0.2">
      <c r="G1312" s="85" t="s">
        <v>12</v>
      </c>
      <c r="R1312" s="53"/>
      <c r="S1312" s="53"/>
      <c r="T1312" s="53"/>
      <c r="U1312" s="53"/>
      <c r="V1312" s="53"/>
      <c r="W1312" s="53"/>
      <c r="X1312" s="61" t="str">
        <f>IFERROR(IF(W1312="","",WORKDAY.INTL(B1312,_xlfn.XLOOKUP(W1312,Regras!$F$2:$F$11,Regras!$G$2:$G$11))),"")</f>
        <v/>
      </c>
      <c r="Y1312" s="150"/>
      <c r="Z1312" s="53"/>
    </row>
    <row r="1313" spans="7:26" x14ac:dyDescent="0.2">
      <c r="G1313" s="85" t="s">
        <v>12</v>
      </c>
      <c r="R1313" s="53"/>
      <c r="S1313" s="53"/>
      <c r="T1313" s="53"/>
      <c r="U1313" s="53"/>
      <c r="V1313" s="53"/>
      <c r="W1313" s="53"/>
      <c r="X1313" s="61" t="str">
        <f>IFERROR(IF(W1313="","",WORKDAY.INTL(B1313,_xlfn.XLOOKUP(W1313,Regras!$F$2:$F$11,Regras!$G$2:$G$11))),"")</f>
        <v/>
      </c>
      <c r="Y1313" s="150"/>
      <c r="Z1313" s="53"/>
    </row>
    <row r="1314" spans="7:26" x14ac:dyDescent="0.2">
      <c r="G1314" s="85" t="s">
        <v>12</v>
      </c>
      <c r="R1314" s="53"/>
      <c r="S1314" s="53"/>
      <c r="T1314" s="53"/>
      <c r="U1314" s="53"/>
      <c r="V1314" s="53"/>
      <c r="W1314" s="53"/>
      <c r="X1314" s="61" t="str">
        <f>IFERROR(IF(W1314="","",WORKDAY.INTL(B1314,_xlfn.XLOOKUP(W1314,Regras!$F$2:$F$11,Regras!$G$2:$G$11))),"")</f>
        <v/>
      </c>
      <c r="Y1314" s="150"/>
      <c r="Z1314" s="53"/>
    </row>
    <row r="1315" spans="7:26" x14ac:dyDescent="0.2">
      <c r="G1315" s="85" t="s">
        <v>12</v>
      </c>
      <c r="R1315" s="53"/>
      <c r="S1315" s="53"/>
      <c r="T1315" s="53"/>
      <c r="U1315" s="53"/>
      <c r="V1315" s="53"/>
      <c r="W1315" s="53"/>
      <c r="X1315" s="61" t="str">
        <f>IFERROR(IF(W1315="","",WORKDAY.INTL(B1315,_xlfn.XLOOKUP(W1315,Regras!$F$2:$F$11,Regras!$G$2:$G$11))),"")</f>
        <v/>
      </c>
      <c r="Y1315" s="150"/>
      <c r="Z1315" s="53"/>
    </row>
    <row r="1316" spans="7:26" x14ac:dyDescent="0.2">
      <c r="G1316" s="85" t="s">
        <v>12</v>
      </c>
      <c r="R1316" s="53"/>
      <c r="S1316" s="53"/>
      <c r="T1316" s="53"/>
      <c r="U1316" s="53"/>
      <c r="V1316" s="53"/>
      <c r="W1316" s="53"/>
      <c r="X1316" s="61" t="str">
        <f>IFERROR(IF(W1316="","",WORKDAY.INTL(B1316,_xlfn.XLOOKUP(W1316,Regras!$F$2:$F$11,Regras!$G$2:$G$11))),"")</f>
        <v/>
      </c>
      <c r="Y1316" s="150"/>
      <c r="Z1316" s="53"/>
    </row>
    <row r="1317" spans="7:26" x14ac:dyDescent="0.2">
      <c r="G1317" s="85" t="s">
        <v>12</v>
      </c>
      <c r="R1317" s="53"/>
      <c r="S1317" s="53"/>
      <c r="T1317" s="53"/>
      <c r="U1317" s="53"/>
      <c r="V1317" s="53"/>
      <c r="W1317" s="53"/>
      <c r="X1317" s="61" t="str">
        <f>IFERROR(IF(W1317="","",WORKDAY.INTL(B1317,_xlfn.XLOOKUP(W1317,Regras!$F$2:$F$11,Regras!$G$2:$G$11))),"")</f>
        <v/>
      </c>
      <c r="Y1317" s="150"/>
      <c r="Z1317" s="53"/>
    </row>
    <row r="1318" spans="7:26" x14ac:dyDescent="0.2">
      <c r="G1318" s="85" t="s">
        <v>12</v>
      </c>
      <c r="R1318" s="53"/>
      <c r="S1318" s="53"/>
      <c r="T1318" s="53"/>
      <c r="U1318" s="53"/>
      <c r="V1318" s="53"/>
      <c r="W1318" s="53"/>
      <c r="X1318" s="61" t="str">
        <f>IFERROR(IF(W1318="","",WORKDAY.INTL(B1318,_xlfn.XLOOKUP(W1318,Regras!$F$2:$F$11,Regras!$G$2:$G$11))),"")</f>
        <v/>
      </c>
      <c r="Y1318" s="150"/>
      <c r="Z1318" s="53"/>
    </row>
    <row r="1319" spans="7:26" x14ac:dyDescent="0.2">
      <c r="G1319" s="85" t="s">
        <v>12</v>
      </c>
      <c r="R1319" s="53"/>
      <c r="S1319" s="53"/>
      <c r="T1319" s="53"/>
      <c r="U1319" s="53"/>
      <c r="V1319" s="53"/>
      <c r="W1319" s="53"/>
      <c r="X1319" s="61" t="str">
        <f>IFERROR(IF(W1319="","",WORKDAY.INTL(B1319,_xlfn.XLOOKUP(W1319,Regras!$F$2:$F$11,Regras!$G$2:$G$11))),"")</f>
        <v/>
      </c>
      <c r="Y1319" s="150"/>
      <c r="Z1319" s="53"/>
    </row>
    <row r="1320" spans="7:26" x14ac:dyDescent="0.2">
      <c r="G1320" s="85" t="s">
        <v>12</v>
      </c>
      <c r="R1320" s="53"/>
      <c r="S1320" s="53"/>
      <c r="T1320" s="53"/>
      <c r="U1320" s="53"/>
      <c r="V1320" s="53"/>
      <c r="W1320" s="53"/>
      <c r="X1320" s="61" t="str">
        <f>IFERROR(IF(W1320="","",WORKDAY.INTL(B1320,_xlfn.XLOOKUP(W1320,Regras!$F$2:$F$11,Regras!$G$2:$G$11))),"")</f>
        <v/>
      </c>
      <c r="Y1320" s="150"/>
      <c r="Z1320" s="53"/>
    </row>
    <row r="1321" spans="7:26" x14ac:dyDescent="0.2">
      <c r="G1321" s="85" t="s">
        <v>12</v>
      </c>
      <c r="R1321" s="53"/>
      <c r="S1321" s="53"/>
      <c r="T1321" s="53"/>
      <c r="U1321" s="53"/>
      <c r="V1321" s="53"/>
      <c r="W1321" s="53"/>
      <c r="X1321" s="61" t="str">
        <f>IFERROR(IF(W1321="","",WORKDAY.INTL(B1321,_xlfn.XLOOKUP(W1321,Regras!$F$2:$F$11,Regras!$G$2:$G$11))),"")</f>
        <v/>
      </c>
      <c r="Y1321" s="150"/>
      <c r="Z1321" s="53"/>
    </row>
    <row r="1322" spans="7:26" x14ac:dyDescent="0.2">
      <c r="G1322" s="85" t="s">
        <v>12</v>
      </c>
      <c r="R1322" s="53"/>
      <c r="S1322" s="53"/>
      <c r="T1322" s="53"/>
      <c r="U1322" s="53"/>
      <c r="V1322" s="53"/>
      <c r="W1322" s="53"/>
      <c r="X1322" s="61" t="str">
        <f>IFERROR(IF(W1322="","",WORKDAY.INTL(B1322,_xlfn.XLOOKUP(W1322,Regras!$F$2:$F$11,Regras!$G$2:$G$11))),"")</f>
        <v/>
      </c>
      <c r="Y1322" s="150"/>
      <c r="Z1322" s="53"/>
    </row>
    <row r="1323" spans="7:26" x14ac:dyDescent="0.2">
      <c r="G1323" s="85" t="s">
        <v>12</v>
      </c>
      <c r="R1323" s="53"/>
      <c r="S1323" s="53"/>
      <c r="T1323" s="53"/>
      <c r="U1323" s="53"/>
      <c r="V1323" s="53"/>
      <c r="W1323" s="53"/>
      <c r="X1323" s="61" t="str">
        <f>IFERROR(IF(W1323="","",WORKDAY.INTL(B1323,_xlfn.XLOOKUP(W1323,Regras!$F$2:$F$11,Regras!$G$2:$G$11))),"")</f>
        <v/>
      </c>
      <c r="Y1323" s="150"/>
      <c r="Z1323" s="53"/>
    </row>
    <row r="1324" spans="7:26" x14ac:dyDescent="0.2">
      <c r="G1324" s="85" t="s">
        <v>12</v>
      </c>
      <c r="R1324" s="53"/>
      <c r="S1324" s="53"/>
      <c r="T1324" s="53"/>
      <c r="U1324" s="53"/>
      <c r="V1324" s="53"/>
      <c r="W1324" s="53"/>
      <c r="X1324" s="61" t="str">
        <f>IFERROR(IF(W1324="","",WORKDAY.INTL(B1324,_xlfn.XLOOKUP(W1324,Regras!$F$2:$F$11,Regras!$G$2:$G$11))),"")</f>
        <v/>
      </c>
      <c r="Y1324" s="150"/>
      <c r="Z1324" s="53"/>
    </row>
    <row r="1325" spans="7:26" x14ac:dyDescent="0.2">
      <c r="G1325" s="85" t="s">
        <v>12</v>
      </c>
      <c r="R1325" s="53"/>
      <c r="S1325" s="53"/>
      <c r="T1325" s="53"/>
      <c r="U1325" s="53"/>
      <c r="V1325" s="53"/>
      <c r="W1325" s="53"/>
      <c r="X1325" s="61" t="str">
        <f>IFERROR(IF(W1325="","",WORKDAY.INTL(B1325,_xlfn.XLOOKUP(W1325,Regras!$F$2:$F$11,Regras!$G$2:$G$11))),"")</f>
        <v/>
      </c>
      <c r="Y1325" s="150"/>
      <c r="Z1325" s="53"/>
    </row>
    <row r="1326" spans="7:26" x14ac:dyDescent="0.2">
      <c r="G1326" s="85" t="s">
        <v>12</v>
      </c>
      <c r="R1326" s="53"/>
      <c r="S1326" s="53"/>
      <c r="T1326" s="53"/>
      <c r="U1326" s="53"/>
      <c r="V1326" s="53"/>
      <c r="W1326" s="53"/>
      <c r="X1326" s="61" t="str">
        <f>IFERROR(IF(W1326="","",WORKDAY.INTL(B1326,_xlfn.XLOOKUP(W1326,Regras!$F$2:$F$11,Regras!$G$2:$G$11))),"")</f>
        <v/>
      </c>
      <c r="Y1326" s="150"/>
      <c r="Z1326" s="53"/>
    </row>
    <row r="1327" spans="7:26" x14ac:dyDescent="0.2">
      <c r="G1327" s="85" t="s">
        <v>12</v>
      </c>
      <c r="R1327" s="53"/>
      <c r="S1327" s="53"/>
      <c r="T1327" s="53"/>
      <c r="U1327" s="53"/>
      <c r="V1327" s="53"/>
      <c r="W1327" s="53"/>
      <c r="X1327" s="61" t="str">
        <f>IFERROR(IF(W1327="","",WORKDAY.INTL(B1327,_xlfn.XLOOKUP(W1327,Regras!$F$2:$F$11,Regras!$G$2:$G$11))),"")</f>
        <v/>
      </c>
      <c r="Y1327" s="150"/>
      <c r="Z1327" s="53"/>
    </row>
    <row r="1328" spans="7:26" x14ac:dyDescent="0.2">
      <c r="G1328" s="85" t="s">
        <v>12</v>
      </c>
      <c r="R1328" s="53"/>
      <c r="S1328" s="53"/>
      <c r="T1328" s="53"/>
      <c r="U1328" s="53"/>
      <c r="V1328" s="53"/>
      <c r="W1328" s="53"/>
      <c r="X1328" s="61" t="str">
        <f>IFERROR(IF(W1328="","",WORKDAY.INTL(B1328,_xlfn.XLOOKUP(W1328,Regras!$F$2:$F$11,Regras!$G$2:$G$11))),"")</f>
        <v/>
      </c>
      <c r="Y1328" s="150"/>
      <c r="Z1328" s="53"/>
    </row>
    <row r="1329" spans="7:26" x14ac:dyDescent="0.2">
      <c r="G1329" s="85" t="s">
        <v>12</v>
      </c>
      <c r="R1329" s="53"/>
      <c r="S1329" s="53"/>
      <c r="T1329" s="53"/>
      <c r="U1329" s="53"/>
      <c r="V1329" s="53"/>
      <c r="W1329" s="53"/>
      <c r="X1329" s="61" t="str">
        <f>IFERROR(IF(W1329="","",WORKDAY.INTL(B1329,_xlfn.XLOOKUP(W1329,Regras!$F$2:$F$11,Regras!$G$2:$G$11))),"")</f>
        <v/>
      </c>
      <c r="Y1329" s="150"/>
      <c r="Z1329" s="53"/>
    </row>
    <row r="1330" spans="7:26" x14ac:dyDescent="0.2">
      <c r="G1330" s="85" t="s">
        <v>12</v>
      </c>
      <c r="R1330" s="53"/>
      <c r="S1330" s="53"/>
      <c r="T1330" s="53"/>
      <c r="U1330" s="53"/>
      <c r="V1330" s="53"/>
      <c r="W1330" s="53"/>
      <c r="X1330" s="61" t="str">
        <f>IFERROR(IF(W1330="","",WORKDAY.INTL(B1330,_xlfn.XLOOKUP(W1330,Regras!$F$2:$F$11,Regras!$G$2:$G$11))),"")</f>
        <v/>
      </c>
      <c r="Y1330" s="150"/>
      <c r="Z1330" s="53"/>
    </row>
    <row r="1331" spans="7:26" x14ac:dyDescent="0.2">
      <c r="G1331" s="85" t="s">
        <v>12</v>
      </c>
      <c r="R1331" s="53"/>
      <c r="S1331" s="53"/>
      <c r="T1331" s="53"/>
      <c r="U1331" s="53"/>
      <c r="V1331" s="53"/>
      <c r="W1331" s="53"/>
      <c r="X1331" s="61" t="str">
        <f>IFERROR(IF(W1331="","",WORKDAY.INTL(B1331,_xlfn.XLOOKUP(W1331,Regras!$F$2:$F$11,Regras!$G$2:$G$11))),"")</f>
        <v/>
      </c>
      <c r="Y1331" s="150"/>
      <c r="Z1331" s="53"/>
    </row>
    <row r="1332" spans="7:26" x14ac:dyDescent="0.2">
      <c r="G1332" s="85" t="s">
        <v>12</v>
      </c>
      <c r="R1332" s="53"/>
      <c r="S1332" s="53"/>
      <c r="T1332" s="53"/>
      <c r="U1332" s="53"/>
      <c r="V1332" s="53"/>
      <c r="W1332" s="53"/>
      <c r="X1332" s="61" t="str">
        <f>IFERROR(IF(W1332="","",WORKDAY.INTL(B1332,_xlfn.XLOOKUP(W1332,Regras!$F$2:$F$11,Regras!$G$2:$G$11))),"")</f>
        <v/>
      </c>
      <c r="Y1332" s="150"/>
      <c r="Z1332" s="53"/>
    </row>
    <row r="1333" spans="7:26" x14ac:dyDescent="0.2">
      <c r="G1333" s="85" t="s">
        <v>12</v>
      </c>
      <c r="R1333" s="53"/>
      <c r="S1333" s="53"/>
      <c r="T1333" s="53"/>
      <c r="U1333" s="53"/>
      <c r="V1333" s="53"/>
      <c r="W1333" s="53"/>
      <c r="X1333" s="61" t="str">
        <f>IFERROR(IF(W1333="","",WORKDAY.INTL(B1333,_xlfn.XLOOKUP(W1333,Regras!$F$2:$F$11,Regras!$G$2:$G$11))),"")</f>
        <v/>
      </c>
      <c r="Y1333" s="150"/>
      <c r="Z1333" s="53"/>
    </row>
    <row r="1334" spans="7:26" x14ac:dyDescent="0.2">
      <c r="G1334" s="85" t="s">
        <v>12</v>
      </c>
      <c r="R1334" s="53"/>
      <c r="S1334" s="53"/>
      <c r="T1334" s="53"/>
      <c r="U1334" s="53"/>
      <c r="V1334" s="53"/>
      <c r="W1334" s="53"/>
      <c r="X1334" s="61" t="str">
        <f>IFERROR(IF(W1334="","",WORKDAY.INTL(B1334,_xlfn.XLOOKUP(W1334,Regras!$F$2:$F$11,Regras!$G$2:$G$11))),"")</f>
        <v/>
      </c>
      <c r="Y1334" s="150"/>
      <c r="Z1334" s="53"/>
    </row>
    <row r="1335" spans="7:26" x14ac:dyDescent="0.2">
      <c r="G1335" s="85" t="s">
        <v>12</v>
      </c>
      <c r="R1335" s="53"/>
      <c r="S1335" s="53"/>
      <c r="T1335" s="53"/>
      <c r="U1335" s="53"/>
      <c r="V1335" s="53"/>
      <c r="W1335" s="53"/>
      <c r="X1335" s="61" t="str">
        <f>IFERROR(IF(W1335="","",WORKDAY.INTL(B1335,_xlfn.XLOOKUP(W1335,Regras!$F$2:$F$11,Regras!$G$2:$G$11))),"")</f>
        <v/>
      </c>
      <c r="Y1335" s="150"/>
      <c r="Z1335" s="53"/>
    </row>
    <row r="1336" spans="7:26" x14ac:dyDescent="0.2">
      <c r="G1336" s="85" t="s">
        <v>12</v>
      </c>
      <c r="R1336" s="53"/>
      <c r="S1336" s="53"/>
      <c r="T1336" s="53"/>
      <c r="U1336" s="53"/>
      <c r="V1336" s="53"/>
      <c r="W1336" s="53"/>
      <c r="X1336" s="61" t="str">
        <f>IFERROR(IF(W1336="","",WORKDAY.INTL(B1336,_xlfn.XLOOKUP(W1336,Regras!$F$2:$F$11,Regras!$G$2:$G$11))),"")</f>
        <v/>
      </c>
      <c r="Y1336" s="150"/>
      <c r="Z1336" s="53"/>
    </row>
    <row r="1337" spans="7:26" x14ac:dyDescent="0.2">
      <c r="G1337" s="85" t="s">
        <v>12</v>
      </c>
      <c r="R1337" s="53"/>
      <c r="S1337" s="53"/>
      <c r="T1337" s="53"/>
      <c r="U1337" s="53"/>
      <c r="V1337" s="53"/>
      <c r="W1337" s="53"/>
      <c r="X1337" s="61" t="str">
        <f>IFERROR(IF(W1337="","",WORKDAY.INTL(B1337,_xlfn.XLOOKUP(W1337,Regras!$F$2:$F$11,Regras!$G$2:$G$11))),"")</f>
        <v/>
      </c>
      <c r="Y1337" s="150"/>
      <c r="Z1337" s="53"/>
    </row>
    <row r="1338" spans="7:26" x14ac:dyDescent="0.2">
      <c r="G1338" s="85" t="s">
        <v>12</v>
      </c>
      <c r="R1338" s="53"/>
      <c r="S1338" s="53"/>
      <c r="T1338" s="53"/>
      <c r="U1338" s="53"/>
      <c r="V1338" s="53"/>
      <c r="W1338" s="53"/>
      <c r="X1338" s="61" t="str">
        <f>IFERROR(IF(W1338="","",WORKDAY.INTL(B1338,_xlfn.XLOOKUP(W1338,Regras!$F$2:$F$11,Regras!$G$2:$G$11))),"")</f>
        <v/>
      </c>
      <c r="Y1338" s="150"/>
      <c r="Z1338" s="53"/>
    </row>
    <row r="1339" spans="7:26" x14ac:dyDescent="0.2">
      <c r="G1339" s="85" t="s">
        <v>12</v>
      </c>
      <c r="R1339" s="53"/>
      <c r="S1339" s="53"/>
      <c r="T1339" s="53"/>
      <c r="U1339" s="53"/>
      <c r="V1339" s="53"/>
      <c r="W1339" s="53"/>
      <c r="X1339" s="61" t="str">
        <f>IFERROR(IF(W1339="","",WORKDAY.INTL(B1339,_xlfn.XLOOKUP(W1339,Regras!$F$2:$F$11,Regras!$G$2:$G$11))),"")</f>
        <v/>
      </c>
      <c r="Y1339" s="150"/>
      <c r="Z1339" s="53"/>
    </row>
    <row r="1340" spans="7:26" x14ac:dyDescent="0.2">
      <c r="G1340" s="85" t="s">
        <v>12</v>
      </c>
      <c r="R1340" s="53"/>
      <c r="S1340" s="53"/>
      <c r="T1340" s="53"/>
      <c r="U1340" s="53"/>
      <c r="V1340" s="53"/>
      <c r="W1340" s="53"/>
      <c r="X1340" s="61" t="str">
        <f>IFERROR(IF(W1340="","",WORKDAY.INTL(B1340,_xlfn.XLOOKUP(W1340,Regras!$F$2:$F$11,Regras!$G$2:$G$11))),"")</f>
        <v/>
      </c>
      <c r="Y1340" s="150"/>
      <c r="Z1340" s="53"/>
    </row>
    <row r="1341" spans="7:26" x14ac:dyDescent="0.2">
      <c r="G1341" s="85" t="s">
        <v>12</v>
      </c>
      <c r="R1341" s="53"/>
      <c r="S1341" s="53"/>
      <c r="T1341" s="53"/>
      <c r="U1341" s="53"/>
      <c r="V1341" s="53"/>
      <c r="W1341" s="53"/>
      <c r="X1341" s="61" t="str">
        <f>IFERROR(IF(W1341="","",WORKDAY.INTL(B1341,_xlfn.XLOOKUP(W1341,Regras!$F$2:$F$11,Regras!$G$2:$G$11))),"")</f>
        <v/>
      </c>
      <c r="Y1341" s="150"/>
      <c r="Z1341" s="53"/>
    </row>
    <row r="1342" spans="7:26" x14ac:dyDescent="0.2">
      <c r="G1342" s="85" t="s">
        <v>12</v>
      </c>
      <c r="R1342" s="53"/>
      <c r="S1342" s="53"/>
      <c r="T1342" s="53"/>
      <c r="U1342" s="53"/>
      <c r="V1342" s="53"/>
      <c r="W1342" s="53"/>
      <c r="X1342" s="61" t="str">
        <f>IFERROR(IF(W1342="","",WORKDAY.INTL(B1342,_xlfn.XLOOKUP(W1342,Regras!$F$2:$F$11,Regras!$G$2:$G$11))),"")</f>
        <v/>
      </c>
      <c r="Y1342" s="150"/>
      <c r="Z1342" s="53"/>
    </row>
    <row r="1343" spans="7:26" x14ac:dyDescent="0.2">
      <c r="G1343" s="85" t="s">
        <v>12</v>
      </c>
      <c r="R1343" s="53"/>
      <c r="S1343" s="53"/>
      <c r="T1343" s="53"/>
      <c r="U1343" s="53"/>
      <c r="V1343" s="53"/>
      <c r="W1343" s="53"/>
      <c r="X1343" s="61" t="str">
        <f>IFERROR(IF(W1343="","",WORKDAY.INTL(B1343,_xlfn.XLOOKUP(W1343,Regras!$F$2:$F$11,Regras!$G$2:$G$11))),"")</f>
        <v/>
      </c>
      <c r="Y1343" s="150"/>
      <c r="Z1343" s="53"/>
    </row>
    <row r="1344" spans="7:26" x14ac:dyDescent="0.2">
      <c r="G1344" s="85" t="s">
        <v>12</v>
      </c>
      <c r="R1344" s="53"/>
      <c r="S1344" s="53"/>
      <c r="T1344" s="53"/>
      <c r="U1344" s="53"/>
      <c r="V1344" s="53"/>
      <c r="W1344" s="53"/>
      <c r="X1344" s="61" t="str">
        <f>IFERROR(IF(W1344="","",WORKDAY.INTL(B1344,_xlfn.XLOOKUP(W1344,Regras!$F$2:$F$11,Regras!$G$2:$G$11))),"")</f>
        <v/>
      </c>
      <c r="Y1344" s="150"/>
      <c r="Z1344" s="53"/>
    </row>
    <row r="1345" spans="7:26" x14ac:dyDescent="0.2">
      <c r="G1345" s="85" t="s">
        <v>12</v>
      </c>
      <c r="R1345" s="53"/>
      <c r="S1345" s="53"/>
      <c r="T1345" s="53"/>
      <c r="U1345" s="53"/>
      <c r="V1345" s="53"/>
      <c r="W1345" s="53"/>
      <c r="X1345" s="61" t="str">
        <f>IFERROR(IF(W1345="","",WORKDAY.INTL(B1345,_xlfn.XLOOKUP(W1345,Regras!$F$2:$F$11,Regras!$G$2:$G$11))),"")</f>
        <v/>
      </c>
      <c r="Y1345" s="150"/>
      <c r="Z1345" s="53"/>
    </row>
    <row r="1346" spans="7:26" x14ac:dyDescent="0.2">
      <c r="G1346" s="85" t="s">
        <v>12</v>
      </c>
      <c r="R1346" s="53"/>
      <c r="S1346" s="53"/>
      <c r="T1346" s="53"/>
      <c r="U1346" s="53"/>
      <c r="V1346" s="53"/>
      <c r="W1346" s="53"/>
      <c r="X1346" s="61" t="str">
        <f>IFERROR(IF(W1346="","",WORKDAY.INTL(B1346,_xlfn.XLOOKUP(W1346,Regras!$F$2:$F$11,Regras!$G$2:$G$11))),"")</f>
        <v/>
      </c>
      <c r="Y1346" s="150"/>
      <c r="Z1346" s="53"/>
    </row>
    <row r="1347" spans="7:26" x14ac:dyDescent="0.2">
      <c r="G1347" s="85" t="s">
        <v>12</v>
      </c>
      <c r="R1347" s="53"/>
      <c r="S1347" s="53"/>
      <c r="T1347" s="53"/>
      <c r="U1347" s="53"/>
      <c r="V1347" s="53"/>
      <c r="W1347" s="53"/>
      <c r="X1347" s="61" t="str">
        <f>IFERROR(IF(W1347="","",WORKDAY.INTL(B1347,_xlfn.XLOOKUP(W1347,Regras!$F$2:$F$11,Regras!$G$2:$G$11))),"")</f>
        <v/>
      </c>
      <c r="Y1347" s="150"/>
      <c r="Z1347" s="53"/>
    </row>
    <row r="1348" spans="7:26" x14ac:dyDescent="0.2">
      <c r="G1348" s="85" t="s">
        <v>12</v>
      </c>
      <c r="R1348" s="53"/>
      <c r="S1348" s="53"/>
      <c r="T1348" s="53"/>
      <c r="U1348" s="53"/>
      <c r="V1348" s="53"/>
      <c r="W1348" s="53"/>
      <c r="X1348" s="61" t="str">
        <f>IFERROR(IF(W1348="","",WORKDAY.INTL(B1348,_xlfn.XLOOKUP(W1348,Regras!$F$2:$F$11,Regras!$G$2:$G$11))),"")</f>
        <v/>
      </c>
      <c r="Y1348" s="150"/>
      <c r="Z1348" s="53"/>
    </row>
    <row r="1349" spans="7:26" x14ac:dyDescent="0.2">
      <c r="G1349" s="85" t="s">
        <v>12</v>
      </c>
      <c r="R1349" s="53"/>
      <c r="S1349" s="53"/>
      <c r="T1349" s="53"/>
      <c r="U1349" s="53"/>
      <c r="V1349" s="53"/>
      <c r="W1349" s="53"/>
      <c r="X1349" s="61" t="str">
        <f>IFERROR(IF(W1349="","",WORKDAY.INTL(B1349,_xlfn.XLOOKUP(W1349,Regras!$F$2:$F$11,Regras!$G$2:$G$11))),"")</f>
        <v/>
      </c>
      <c r="Y1349" s="150"/>
      <c r="Z1349" s="53"/>
    </row>
    <row r="1350" spans="7:26" x14ac:dyDescent="0.2">
      <c r="G1350" s="85" t="s">
        <v>12</v>
      </c>
      <c r="R1350" s="53"/>
      <c r="S1350" s="53"/>
      <c r="T1350" s="53"/>
      <c r="U1350" s="53"/>
      <c r="V1350" s="53"/>
      <c r="W1350" s="53"/>
      <c r="X1350" s="61" t="str">
        <f>IFERROR(IF(W1350="","",WORKDAY.INTL(B1350,_xlfn.XLOOKUP(W1350,Regras!$F$2:$F$11,Regras!$G$2:$G$11))),"")</f>
        <v/>
      </c>
      <c r="Y1350" s="150"/>
      <c r="Z1350" s="53"/>
    </row>
    <row r="1351" spans="7:26" x14ac:dyDescent="0.2">
      <c r="G1351" s="85" t="s">
        <v>12</v>
      </c>
      <c r="R1351" s="53"/>
      <c r="S1351" s="53"/>
      <c r="T1351" s="53"/>
      <c r="U1351" s="53"/>
      <c r="V1351" s="53"/>
      <c r="W1351" s="53"/>
      <c r="X1351" s="61" t="str">
        <f>IFERROR(IF(W1351="","",WORKDAY.INTL(B1351,_xlfn.XLOOKUP(W1351,Regras!$F$2:$F$11,Regras!$G$2:$G$11))),"")</f>
        <v/>
      </c>
      <c r="Y1351" s="150"/>
      <c r="Z1351" s="53"/>
    </row>
    <row r="1352" spans="7:26" x14ac:dyDescent="0.2">
      <c r="G1352" s="85" t="s">
        <v>12</v>
      </c>
      <c r="R1352" s="53"/>
      <c r="S1352" s="53"/>
      <c r="T1352" s="53"/>
      <c r="U1352" s="53"/>
      <c r="V1352" s="53"/>
      <c r="W1352" s="53"/>
      <c r="X1352" s="61" t="str">
        <f>IFERROR(IF(W1352="","",WORKDAY.INTL(B1352,_xlfn.XLOOKUP(W1352,Regras!$F$2:$F$11,Regras!$G$2:$G$11))),"")</f>
        <v/>
      </c>
      <c r="Y1352" s="150"/>
      <c r="Z1352" s="53"/>
    </row>
    <row r="1353" spans="7:26" x14ac:dyDescent="0.2">
      <c r="G1353" s="85" t="s">
        <v>12</v>
      </c>
      <c r="R1353" s="53"/>
      <c r="S1353" s="53"/>
      <c r="T1353" s="53"/>
      <c r="U1353" s="53"/>
      <c r="V1353" s="53"/>
      <c r="W1353" s="53"/>
      <c r="X1353" s="61" t="str">
        <f>IFERROR(IF(W1353="","",WORKDAY.INTL(B1353,_xlfn.XLOOKUP(W1353,Regras!$F$2:$F$11,Regras!$G$2:$G$11))),"")</f>
        <v/>
      </c>
      <c r="Y1353" s="150"/>
      <c r="Z1353" s="53"/>
    </row>
    <row r="1354" spans="7:26" x14ac:dyDescent="0.2">
      <c r="G1354" s="85" t="s">
        <v>12</v>
      </c>
      <c r="R1354" s="53"/>
      <c r="S1354" s="53"/>
      <c r="T1354" s="53"/>
      <c r="U1354" s="53"/>
      <c r="V1354" s="53"/>
      <c r="W1354" s="53"/>
      <c r="X1354" s="61" t="str">
        <f>IFERROR(IF(W1354="","",WORKDAY.INTL(B1354,_xlfn.XLOOKUP(W1354,Regras!$F$2:$F$11,Regras!$G$2:$G$11))),"")</f>
        <v/>
      </c>
      <c r="Y1354" s="150"/>
      <c r="Z1354" s="53"/>
    </row>
    <row r="1355" spans="7:26" x14ac:dyDescent="0.2">
      <c r="G1355" s="85" t="s">
        <v>12</v>
      </c>
      <c r="R1355" s="53"/>
      <c r="S1355" s="53"/>
      <c r="T1355" s="53"/>
      <c r="U1355" s="53"/>
      <c r="V1355" s="53"/>
      <c r="W1355" s="53"/>
      <c r="X1355" s="61" t="str">
        <f>IFERROR(IF(W1355="","",WORKDAY.INTL(B1355,_xlfn.XLOOKUP(W1355,Regras!$F$2:$F$11,Regras!$G$2:$G$11))),"")</f>
        <v/>
      </c>
      <c r="Y1355" s="150"/>
      <c r="Z1355" s="53"/>
    </row>
    <row r="1356" spans="7:26" x14ac:dyDescent="0.2">
      <c r="G1356" s="85" t="s">
        <v>12</v>
      </c>
      <c r="R1356" s="53"/>
      <c r="S1356" s="53"/>
      <c r="T1356" s="53"/>
      <c r="U1356" s="53"/>
      <c r="V1356" s="53"/>
      <c r="W1356" s="53"/>
      <c r="X1356" s="61" t="str">
        <f>IFERROR(IF(W1356="","",WORKDAY.INTL(B1356,_xlfn.XLOOKUP(W1356,Regras!$F$2:$F$11,Regras!$G$2:$G$11))),"")</f>
        <v/>
      </c>
      <c r="Y1356" s="150"/>
      <c r="Z1356" s="53"/>
    </row>
    <row r="1357" spans="7:26" x14ac:dyDescent="0.2">
      <c r="G1357" s="85" t="s">
        <v>12</v>
      </c>
      <c r="R1357" s="53"/>
      <c r="S1357" s="53"/>
      <c r="T1357" s="53"/>
      <c r="U1357" s="53"/>
      <c r="V1357" s="53"/>
      <c r="W1357" s="53"/>
      <c r="X1357" s="61" t="str">
        <f>IFERROR(IF(W1357="","",WORKDAY.INTL(B1357,_xlfn.XLOOKUP(W1357,Regras!$F$2:$F$11,Regras!$G$2:$G$11))),"")</f>
        <v/>
      </c>
      <c r="Y1357" s="150"/>
      <c r="Z1357" s="53"/>
    </row>
    <row r="1358" spans="7:26" x14ac:dyDescent="0.2">
      <c r="G1358" s="85" t="s">
        <v>12</v>
      </c>
      <c r="R1358" s="53"/>
      <c r="S1358" s="53"/>
      <c r="T1358" s="53"/>
      <c r="U1358" s="53"/>
      <c r="V1358" s="53"/>
      <c r="W1358" s="53"/>
      <c r="X1358" s="61" t="str">
        <f>IFERROR(IF(W1358="","",WORKDAY.INTL(B1358,_xlfn.XLOOKUP(W1358,Regras!$F$2:$F$11,Regras!$G$2:$G$11))),"")</f>
        <v/>
      </c>
      <c r="Y1358" s="150"/>
      <c r="Z1358" s="53"/>
    </row>
    <row r="1359" spans="7:26" x14ac:dyDescent="0.2">
      <c r="G1359" s="85" t="s">
        <v>12</v>
      </c>
      <c r="R1359" s="53"/>
      <c r="S1359" s="53"/>
      <c r="T1359" s="53"/>
      <c r="U1359" s="53"/>
      <c r="V1359" s="53"/>
      <c r="W1359" s="53"/>
      <c r="X1359" s="61" t="str">
        <f>IFERROR(IF(W1359="","",WORKDAY.INTL(B1359,_xlfn.XLOOKUP(W1359,Regras!$F$2:$F$11,Regras!$G$2:$G$11))),"")</f>
        <v/>
      </c>
      <c r="Y1359" s="150"/>
      <c r="Z1359" s="53"/>
    </row>
    <row r="1360" spans="7:26" x14ac:dyDescent="0.2">
      <c r="G1360" s="85" t="s">
        <v>12</v>
      </c>
      <c r="R1360" s="53"/>
      <c r="S1360" s="53"/>
      <c r="T1360" s="53"/>
      <c r="U1360" s="53"/>
      <c r="V1360" s="53"/>
      <c r="W1360" s="53"/>
      <c r="X1360" s="61" t="str">
        <f>IFERROR(IF(W1360="","",WORKDAY.INTL(B1360,_xlfn.XLOOKUP(W1360,Regras!$F$2:$F$11,Regras!$G$2:$G$11))),"")</f>
        <v/>
      </c>
      <c r="Y1360" s="150"/>
      <c r="Z1360" s="53"/>
    </row>
    <row r="1361" spans="7:26" x14ac:dyDescent="0.2">
      <c r="G1361" s="85" t="s">
        <v>12</v>
      </c>
      <c r="R1361" s="53"/>
      <c r="S1361" s="53"/>
      <c r="T1361" s="53"/>
      <c r="U1361" s="53"/>
      <c r="V1361" s="53"/>
      <c r="W1361" s="53"/>
      <c r="X1361" s="61" t="str">
        <f>IFERROR(IF(W1361="","",WORKDAY.INTL(B1361,_xlfn.XLOOKUP(W1361,Regras!$F$2:$F$11,Regras!$G$2:$G$11))),"")</f>
        <v/>
      </c>
      <c r="Y1361" s="150"/>
      <c r="Z1361" s="53"/>
    </row>
    <row r="1362" spans="7:26" x14ac:dyDescent="0.2">
      <c r="G1362" s="85" t="s">
        <v>12</v>
      </c>
      <c r="R1362" s="53"/>
      <c r="S1362" s="53"/>
      <c r="T1362" s="53"/>
      <c r="U1362" s="53"/>
      <c r="V1362" s="53"/>
      <c r="W1362" s="53"/>
      <c r="X1362" s="61" t="str">
        <f>IFERROR(IF(W1362="","",WORKDAY.INTL(B1362,_xlfn.XLOOKUP(W1362,Regras!$F$2:$F$11,Regras!$G$2:$G$11))),"")</f>
        <v/>
      </c>
      <c r="Y1362" s="150"/>
      <c r="Z1362" s="53"/>
    </row>
    <row r="1363" spans="7:26" x14ac:dyDescent="0.2">
      <c r="G1363" s="85" t="s">
        <v>12</v>
      </c>
      <c r="R1363" s="53"/>
      <c r="S1363" s="53"/>
      <c r="T1363" s="53"/>
      <c r="U1363" s="53"/>
      <c r="V1363" s="53"/>
      <c r="W1363" s="53"/>
      <c r="X1363" s="61" t="str">
        <f>IFERROR(IF(W1363="","",WORKDAY.INTL(B1363,_xlfn.XLOOKUP(W1363,Regras!$F$2:$F$11,Regras!$G$2:$G$11))),"")</f>
        <v/>
      </c>
      <c r="Y1363" s="150"/>
      <c r="Z1363" s="53"/>
    </row>
    <row r="1364" spans="7:26" x14ac:dyDescent="0.2">
      <c r="G1364" s="85" t="s">
        <v>12</v>
      </c>
      <c r="R1364" s="53"/>
      <c r="S1364" s="53"/>
      <c r="T1364" s="53"/>
      <c r="U1364" s="53"/>
      <c r="V1364" s="53"/>
      <c r="W1364" s="53"/>
      <c r="X1364" s="61" t="str">
        <f>IFERROR(IF(W1364="","",WORKDAY.INTL(B1364,_xlfn.XLOOKUP(W1364,Regras!$F$2:$F$11,Regras!$G$2:$G$11))),"")</f>
        <v/>
      </c>
      <c r="Y1364" s="150"/>
      <c r="Z1364" s="53"/>
    </row>
    <row r="1365" spans="7:26" x14ac:dyDescent="0.2">
      <c r="G1365" s="85" t="s">
        <v>12</v>
      </c>
      <c r="R1365" s="53"/>
      <c r="S1365" s="53"/>
      <c r="T1365" s="53"/>
      <c r="U1365" s="53"/>
      <c r="V1365" s="53"/>
      <c r="W1365" s="53"/>
      <c r="X1365" s="61" t="str">
        <f>IFERROR(IF(W1365="","",WORKDAY.INTL(B1365,_xlfn.XLOOKUP(W1365,Regras!$F$2:$F$11,Regras!$G$2:$G$11))),"")</f>
        <v/>
      </c>
      <c r="Y1365" s="150"/>
      <c r="Z1365" s="53"/>
    </row>
    <row r="1366" spans="7:26" x14ac:dyDescent="0.2">
      <c r="G1366" s="85" t="s">
        <v>12</v>
      </c>
      <c r="R1366" s="53"/>
      <c r="S1366" s="53"/>
      <c r="T1366" s="53"/>
      <c r="U1366" s="53"/>
      <c r="V1366" s="53"/>
      <c r="W1366" s="53"/>
      <c r="X1366" s="61" t="str">
        <f>IFERROR(IF(W1366="","",WORKDAY.INTL(B1366,_xlfn.XLOOKUP(W1366,Regras!$F$2:$F$11,Regras!$G$2:$G$11))),"")</f>
        <v/>
      </c>
      <c r="Y1366" s="150"/>
      <c r="Z1366" s="53"/>
    </row>
    <row r="1367" spans="7:26" x14ac:dyDescent="0.2">
      <c r="G1367" s="85" t="s">
        <v>12</v>
      </c>
      <c r="R1367" s="53"/>
      <c r="S1367" s="53"/>
      <c r="T1367" s="53"/>
      <c r="U1367" s="53"/>
      <c r="V1367" s="53"/>
      <c r="W1367" s="53"/>
      <c r="X1367" s="61" t="str">
        <f>IFERROR(IF(W1367="","",WORKDAY.INTL(B1367,_xlfn.XLOOKUP(W1367,Regras!$F$2:$F$11,Regras!$G$2:$G$11))),"")</f>
        <v/>
      </c>
      <c r="Y1367" s="150"/>
      <c r="Z1367" s="53"/>
    </row>
    <row r="1368" spans="7:26" x14ac:dyDescent="0.2">
      <c r="G1368" s="85" t="s">
        <v>12</v>
      </c>
      <c r="R1368" s="53"/>
      <c r="S1368" s="53"/>
      <c r="T1368" s="53"/>
      <c r="U1368" s="53"/>
      <c r="V1368" s="53"/>
      <c r="W1368" s="53"/>
      <c r="X1368" s="61" t="str">
        <f>IFERROR(IF(W1368="","",WORKDAY.INTL(B1368,_xlfn.XLOOKUP(W1368,Regras!$F$2:$F$11,Regras!$G$2:$G$11))),"")</f>
        <v/>
      </c>
      <c r="Y1368" s="150"/>
      <c r="Z1368" s="53"/>
    </row>
    <row r="1369" spans="7:26" x14ac:dyDescent="0.2">
      <c r="G1369" s="85" t="s">
        <v>12</v>
      </c>
      <c r="R1369" s="53"/>
      <c r="S1369" s="53"/>
      <c r="T1369" s="53"/>
      <c r="U1369" s="53"/>
      <c r="V1369" s="53"/>
      <c r="W1369" s="53"/>
      <c r="X1369" s="61" t="str">
        <f>IFERROR(IF(W1369="","",WORKDAY.INTL(B1369,_xlfn.XLOOKUP(W1369,Regras!$F$2:$F$11,Regras!$G$2:$G$11))),"")</f>
        <v/>
      </c>
      <c r="Y1369" s="150"/>
      <c r="Z1369" s="53"/>
    </row>
    <row r="1370" spans="7:26" x14ac:dyDescent="0.2">
      <c r="G1370" s="85" t="s">
        <v>12</v>
      </c>
      <c r="R1370" s="53"/>
      <c r="S1370" s="53"/>
      <c r="T1370" s="53"/>
      <c r="U1370" s="53"/>
      <c r="V1370" s="53"/>
      <c r="W1370" s="53"/>
      <c r="X1370" s="61" t="str">
        <f>IFERROR(IF(W1370="","",WORKDAY.INTL(B1370,_xlfn.XLOOKUP(W1370,Regras!$F$2:$F$11,Regras!$G$2:$G$11))),"")</f>
        <v/>
      </c>
      <c r="Y1370" s="150"/>
      <c r="Z1370" s="53"/>
    </row>
    <row r="1371" spans="7:26" x14ac:dyDescent="0.2">
      <c r="G1371" s="85" t="s">
        <v>12</v>
      </c>
      <c r="R1371" s="53"/>
      <c r="S1371" s="53"/>
      <c r="T1371" s="53"/>
      <c r="U1371" s="53"/>
      <c r="V1371" s="53"/>
      <c r="W1371" s="53"/>
      <c r="X1371" s="61" t="str">
        <f>IFERROR(IF(W1371="","",WORKDAY.INTL(B1371,_xlfn.XLOOKUP(W1371,Regras!$F$2:$F$11,Regras!$G$2:$G$11))),"")</f>
        <v/>
      </c>
      <c r="Y1371" s="150"/>
      <c r="Z1371" s="53"/>
    </row>
    <row r="1372" spans="7:26" x14ac:dyDescent="0.2">
      <c r="G1372" s="85" t="s">
        <v>12</v>
      </c>
      <c r="R1372" s="53"/>
      <c r="S1372" s="53"/>
      <c r="T1372" s="53"/>
      <c r="U1372" s="53"/>
      <c r="V1372" s="53"/>
      <c r="W1372" s="53"/>
      <c r="X1372" s="61" t="str">
        <f>IFERROR(IF(W1372="","",WORKDAY.INTL(B1372,_xlfn.XLOOKUP(W1372,Regras!$F$2:$F$11,Regras!$G$2:$G$11))),"")</f>
        <v/>
      </c>
      <c r="Y1372" s="150"/>
      <c r="Z1372" s="53"/>
    </row>
    <row r="1373" spans="7:26" x14ac:dyDescent="0.2">
      <c r="G1373" s="85" t="s">
        <v>12</v>
      </c>
      <c r="R1373" s="53"/>
      <c r="S1373" s="53"/>
      <c r="T1373" s="53"/>
      <c r="U1373" s="53"/>
      <c r="V1373" s="53"/>
      <c r="W1373" s="53"/>
      <c r="X1373" s="61" t="str">
        <f>IFERROR(IF(W1373="","",WORKDAY.INTL(B1373,_xlfn.XLOOKUP(W1373,Regras!$F$2:$F$11,Regras!$G$2:$G$11))),"")</f>
        <v/>
      </c>
      <c r="Y1373" s="150"/>
      <c r="Z1373" s="53"/>
    </row>
    <row r="1374" spans="7:26" x14ac:dyDescent="0.2">
      <c r="G1374" s="85" t="s">
        <v>12</v>
      </c>
      <c r="R1374" s="53"/>
      <c r="S1374" s="53"/>
      <c r="T1374" s="53"/>
      <c r="U1374" s="53"/>
      <c r="V1374" s="53"/>
      <c r="W1374" s="53"/>
      <c r="X1374" s="61" t="str">
        <f>IFERROR(IF(W1374="","",WORKDAY.INTL(B1374,_xlfn.XLOOKUP(W1374,Regras!$F$2:$F$11,Regras!$G$2:$G$11))),"")</f>
        <v/>
      </c>
      <c r="Y1374" s="150"/>
      <c r="Z1374" s="53"/>
    </row>
    <row r="1375" spans="7:26" x14ac:dyDescent="0.2">
      <c r="G1375" s="85" t="s">
        <v>12</v>
      </c>
      <c r="R1375" s="53"/>
      <c r="S1375" s="53"/>
      <c r="T1375" s="53"/>
      <c r="U1375" s="53"/>
      <c r="V1375" s="53"/>
      <c r="W1375" s="53"/>
      <c r="X1375" s="61" t="str">
        <f>IFERROR(IF(W1375="","",WORKDAY.INTL(B1375,_xlfn.XLOOKUP(W1375,Regras!$F$2:$F$11,Regras!$G$2:$G$11))),"")</f>
        <v/>
      </c>
      <c r="Y1375" s="150"/>
      <c r="Z1375" s="53"/>
    </row>
    <row r="1376" spans="7:26" x14ac:dyDescent="0.2">
      <c r="G1376" s="85" t="s">
        <v>12</v>
      </c>
      <c r="R1376" s="53"/>
      <c r="S1376" s="53"/>
      <c r="T1376" s="53"/>
      <c r="U1376" s="53"/>
      <c r="V1376" s="53"/>
      <c r="W1376" s="53"/>
      <c r="X1376" s="61" t="str">
        <f>IFERROR(IF(W1376="","",WORKDAY.INTL(B1376,_xlfn.XLOOKUP(W1376,Regras!$F$2:$F$11,Regras!$G$2:$G$11))),"")</f>
        <v/>
      </c>
      <c r="Y1376" s="150"/>
      <c r="Z1376" s="53"/>
    </row>
    <row r="1377" spans="7:26" x14ac:dyDescent="0.2">
      <c r="G1377" s="85" t="s">
        <v>12</v>
      </c>
      <c r="R1377" s="53"/>
      <c r="S1377" s="53"/>
      <c r="T1377" s="53"/>
      <c r="U1377" s="53"/>
      <c r="V1377" s="53"/>
      <c r="W1377" s="53"/>
      <c r="X1377" s="61" t="str">
        <f>IFERROR(IF(W1377="","",WORKDAY.INTL(B1377,_xlfn.XLOOKUP(W1377,Regras!$F$2:$F$11,Regras!$G$2:$G$11))),"")</f>
        <v/>
      </c>
      <c r="Y1377" s="150"/>
      <c r="Z1377" s="53"/>
    </row>
    <row r="1378" spans="7:26" x14ac:dyDescent="0.2">
      <c r="G1378" s="85" t="s">
        <v>12</v>
      </c>
      <c r="R1378" s="53"/>
      <c r="S1378" s="53"/>
      <c r="T1378" s="53"/>
      <c r="U1378" s="53"/>
      <c r="V1378" s="53"/>
      <c r="W1378" s="53"/>
      <c r="X1378" s="61" t="str">
        <f>IFERROR(IF(W1378="","",WORKDAY.INTL(B1378,_xlfn.XLOOKUP(W1378,Regras!$F$2:$F$11,Regras!$G$2:$G$11))),"")</f>
        <v/>
      </c>
      <c r="Y1378" s="150"/>
      <c r="Z1378" s="53"/>
    </row>
    <row r="1379" spans="7:26" x14ac:dyDescent="0.2">
      <c r="G1379" s="85" t="s">
        <v>12</v>
      </c>
      <c r="R1379" s="53"/>
      <c r="S1379" s="53"/>
      <c r="T1379" s="53"/>
      <c r="U1379" s="53"/>
      <c r="V1379" s="53"/>
      <c r="W1379" s="53"/>
      <c r="X1379" s="61" t="str">
        <f>IFERROR(IF(W1379="","",WORKDAY.INTL(B1379,_xlfn.XLOOKUP(W1379,Regras!$F$2:$F$11,Regras!$G$2:$G$11))),"")</f>
        <v/>
      </c>
      <c r="Y1379" s="150"/>
      <c r="Z1379" s="53"/>
    </row>
    <row r="1380" spans="7:26" x14ac:dyDescent="0.2">
      <c r="G1380" s="85" t="s">
        <v>12</v>
      </c>
      <c r="R1380" s="53"/>
      <c r="S1380" s="53"/>
      <c r="T1380" s="53"/>
      <c r="U1380" s="53"/>
      <c r="V1380" s="53"/>
      <c r="W1380" s="53"/>
      <c r="X1380" s="61" t="str">
        <f>IFERROR(IF(W1380="","",WORKDAY.INTL(B1380,_xlfn.XLOOKUP(W1380,Regras!$F$2:$F$11,Regras!$G$2:$G$11))),"")</f>
        <v/>
      </c>
      <c r="Y1380" s="150"/>
      <c r="Z1380" s="53"/>
    </row>
    <row r="1381" spans="7:26" x14ac:dyDescent="0.2">
      <c r="G1381" s="85" t="s">
        <v>12</v>
      </c>
      <c r="R1381" s="53"/>
      <c r="S1381" s="53"/>
      <c r="T1381" s="53"/>
      <c r="U1381" s="53"/>
      <c r="V1381" s="53"/>
      <c r="W1381" s="53"/>
      <c r="X1381" s="61" t="str">
        <f>IFERROR(IF(W1381="","",WORKDAY.INTL(B1381,_xlfn.XLOOKUP(W1381,Regras!$F$2:$F$11,Regras!$G$2:$G$11))),"")</f>
        <v/>
      </c>
      <c r="Y1381" s="150"/>
      <c r="Z1381" s="53"/>
    </row>
    <row r="1382" spans="7:26" x14ac:dyDescent="0.2">
      <c r="G1382" s="85" t="s">
        <v>12</v>
      </c>
      <c r="R1382" s="53"/>
      <c r="S1382" s="53"/>
      <c r="T1382" s="53"/>
      <c r="U1382" s="53"/>
      <c r="V1382" s="53"/>
      <c r="W1382" s="53"/>
      <c r="X1382" s="61" t="str">
        <f>IFERROR(IF(W1382="","",WORKDAY.INTL(B1382,_xlfn.XLOOKUP(W1382,Regras!$F$2:$F$11,Regras!$G$2:$G$11))),"")</f>
        <v/>
      </c>
      <c r="Y1382" s="150"/>
      <c r="Z1382" s="53"/>
    </row>
    <row r="1383" spans="7:26" x14ac:dyDescent="0.2">
      <c r="G1383" s="85" t="s">
        <v>12</v>
      </c>
      <c r="R1383" s="53"/>
      <c r="S1383" s="53"/>
      <c r="T1383" s="53"/>
      <c r="U1383" s="53"/>
      <c r="V1383" s="53"/>
      <c r="W1383" s="53"/>
      <c r="X1383" s="61" t="str">
        <f>IFERROR(IF(W1383="","",WORKDAY.INTL(B1383,_xlfn.XLOOKUP(W1383,Regras!$F$2:$F$11,Regras!$G$2:$G$11))),"")</f>
        <v/>
      </c>
      <c r="Y1383" s="150"/>
      <c r="Z1383" s="53"/>
    </row>
    <row r="1384" spans="7:26" x14ac:dyDescent="0.2">
      <c r="G1384" s="85" t="s">
        <v>12</v>
      </c>
      <c r="R1384" s="53"/>
      <c r="S1384" s="53"/>
      <c r="T1384" s="53"/>
      <c r="U1384" s="53"/>
      <c r="V1384" s="53"/>
      <c r="W1384" s="53"/>
      <c r="X1384" s="61" t="str">
        <f>IFERROR(IF(W1384="","",WORKDAY.INTL(B1384,_xlfn.XLOOKUP(W1384,Regras!$F$2:$F$11,Regras!$G$2:$G$11))),"")</f>
        <v/>
      </c>
      <c r="Y1384" s="150"/>
      <c r="Z1384" s="53"/>
    </row>
    <row r="1385" spans="7:26" x14ac:dyDescent="0.2">
      <c r="G1385" s="85" t="s">
        <v>12</v>
      </c>
      <c r="R1385" s="53"/>
      <c r="S1385" s="53"/>
      <c r="T1385" s="53"/>
      <c r="U1385" s="53"/>
      <c r="V1385" s="53"/>
      <c r="W1385" s="53"/>
      <c r="X1385" s="61" t="str">
        <f>IFERROR(IF(W1385="","",WORKDAY.INTL(B1385,_xlfn.XLOOKUP(W1385,Regras!$F$2:$F$11,Regras!$G$2:$G$11))),"")</f>
        <v/>
      </c>
      <c r="Y1385" s="150"/>
      <c r="Z1385" s="53"/>
    </row>
    <row r="1386" spans="7:26" x14ac:dyDescent="0.2">
      <c r="G1386" s="85" t="s">
        <v>12</v>
      </c>
      <c r="R1386" s="53"/>
      <c r="S1386" s="53"/>
      <c r="T1386" s="53"/>
      <c r="U1386" s="53"/>
      <c r="V1386" s="53"/>
      <c r="W1386" s="53"/>
      <c r="X1386" s="61" t="str">
        <f>IFERROR(IF(W1386="","",WORKDAY.INTL(B1386,_xlfn.XLOOKUP(W1386,Regras!$F$2:$F$11,Regras!$G$2:$G$11))),"")</f>
        <v/>
      </c>
      <c r="Y1386" s="150"/>
      <c r="Z1386" s="53"/>
    </row>
    <row r="1387" spans="7:26" x14ac:dyDescent="0.2">
      <c r="G1387" s="85" t="s">
        <v>12</v>
      </c>
      <c r="R1387" s="53"/>
      <c r="S1387" s="53"/>
      <c r="T1387" s="53"/>
      <c r="U1387" s="53"/>
      <c r="V1387" s="53"/>
      <c r="W1387" s="53"/>
      <c r="X1387" s="61" t="str">
        <f>IFERROR(IF(W1387="","",WORKDAY.INTL(B1387,_xlfn.XLOOKUP(W1387,Regras!$F$2:$F$11,Regras!$G$2:$G$11))),"")</f>
        <v/>
      </c>
      <c r="Y1387" s="150"/>
      <c r="Z1387" s="53"/>
    </row>
    <row r="1388" spans="7:26" x14ac:dyDescent="0.2">
      <c r="G1388" s="85" t="s">
        <v>12</v>
      </c>
      <c r="R1388" s="53"/>
      <c r="S1388" s="53"/>
      <c r="T1388" s="53"/>
      <c r="U1388" s="53"/>
      <c r="V1388" s="53"/>
      <c r="W1388" s="53"/>
      <c r="X1388" s="61" t="str">
        <f>IFERROR(IF(W1388="","",WORKDAY.INTL(B1388,_xlfn.XLOOKUP(W1388,Regras!$F$2:$F$11,Regras!$G$2:$G$11))),"")</f>
        <v/>
      </c>
      <c r="Y1388" s="150"/>
      <c r="Z1388" s="53"/>
    </row>
    <row r="1389" spans="7:26" x14ac:dyDescent="0.2">
      <c r="G1389" s="85" t="s">
        <v>12</v>
      </c>
      <c r="R1389" s="53"/>
      <c r="S1389" s="53"/>
      <c r="T1389" s="53"/>
      <c r="U1389" s="53"/>
      <c r="V1389" s="53"/>
      <c r="W1389" s="53"/>
      <c r="X1389" s="61" t="str">
        <f>IFERROR(IF(W1389="","",WORKDAY.INTL(B1389,_xlfn.XLOOKUP(W1389,Regras!$F$2:$F$11,Regras!$G$2:$G$11))),"")</f>
        <v/>
      </c>
      <c r="Y1389" s="150"/>
      <c r="Z1389" s="53"/>
    </row>
    <row r="1390" spans="7:26" x14ac:dyDescent="0.2">
      <c r="G1390" s="85" t="s">
        <v>12</v>
      </c>
      <c r="R1390" s="53"/>
      <c r="S1390" s="53"/>
      <c r="T1390" s="53"/>
      <c r="U1390" s="53"/>
      <c r="V1390" s="53"/>
      <c r="W1390" s="53"/>
      <c r="X1390" s="61" t="str">
        <f>IFERROR(IF(W1390="","",WORKDAY.INTL(B1390,_xlfn.XLOOKUP(W1390,Regras!$F$2:$F$11,Regras!$G$2:$G$11))),"")</f>
        <v/>
      </c>
      <c r="Y1390" s="150"/>
      <c r="Z1390" s="53"/>
    </row>
    <row r="1391" spans="7:26" x14ac:dyDescent="0.2">
      <c r="G1391" s="85" t="s">
        <v>12</v>
      </c>
      <c r="R1391" s="53"/>
      <c r="S1391" s="53"/>
      <c r="T1391" s="53"/>
      <c r="U1391" s="53"/>
      <c r="V1391" s="53"/>
      <c r="W1391" s="53"/>
      <c r="X1391" s="61" t="str">
        <f>IFERROR(IF(W1391="","",WORKDAY.INTL(B1391,_xlfn.XLOOKUP(W1391,Regras!$F$2:$F$11,Regras!$G$2:$G$11))),"")</f>
        <v/>
      </c>
      <c r="Y1391" s="150"/>
      <c r="Z1391" s="53"/>
    </row>
    <row r="1392" spans="7:26" x14ac:dyDescent="0.2">
      <c r="G1392" s="85" t="s">
        <v>12</v>
      </c>
      <c r="R1392" s="53"/>
      <c r="S1392" s="53"/>
      <c r="T1392" s="53"/>
      <c r="U1392" s="53"/>
      <c r="V1392" s="53"/>
      <c r="W1392" s="53"/>
      <c r="X1392" s="61" t="str">
        <f>IFERROR(IF(W1392="","",WORKDAY.INTL(B1392,_xlfn.XLOOKUP(W1392,Regras!$F$2:$F$11,Regras!$G$2:$G$11))),"")</f>
        <v/>
      </c>
      <c r="Y1392" s="150"/>
      <c r="Z1392" s="53"/>
    </row>
    <row r="1393" spans="7:26" x14ac:dyDescent="0.2">
      <c r="G1393" s="85" t="s">
        <v>12</v>
      </c>
      <c r="R1393" s="53"/>
      <c r="S1393" s="53"/>
      <c r="T1393" s="53"/>
      <c r="U1393" s="53"/>
      <c r="V1393" s="53"/>
      <c r="W1393" s="53"/>
      <c r="X1393" s="61" t="str">
        <f>IFERROR(IF(W1393="","",WORKDAY.INTL(B1393,_xlfn.XLOOKUP(W1393,Regras!$F$2:$F$11,Regras!$G$2:$G$11))),"")</f>
        <v/>
      </c>
      <c r="Y1393" s="150"/>
      <c r="Z1393" s="53"/>
    </row>
    <row r="1394" spans="7:26" x14ac:dyDescent="0.2">
      <c r="G1394" s="85" t="s">
        <v>12</v>
      </c>
      <c r="R1394" s="53"/>
      <c r="S1394" s="53"/>
      <c r="T1394" s="53"/>
      <c r="U1394" s="53"/>
      <c r="V1394" s="53"/>
      <c r="W1394" s="53"/>
      <c r="X1394" s="61" t="str">
        <f>IFERROR(IF(W1394="","",WORKDAY.INTL(B1394,_xlfn.XLOOKUP(W1394,Regras!$F$2:$F$11,Regras!$G$2:$G$11))),"")</f>
        <v/>
      </c>
      <c r="Y1394" s="150"/>
      <c r="Z1394" s="53"/>
    </row>
    <row r="1395" spans="7:26" x14ac:dyDescent="0.2">
      <c r="G1395" s="85" t="s">
        <v>12</v>
      </c>
      <c r="R1395" s="53"/>
      <c r="S1395" s="53"/>
      <c r="T1395" s="53"/>
      <c r="U1395" s="53"/>
      <c r="V1395" s="53"/>
      <c r="W1395" s="53"/>
      <c r="X1395" s="61" t="str">
        <f>IFERROR(IF(W1395="","",WORKDAY.INTL(B1395,_xlfn.XLOOKUP(W1395,Regras!$F$2:$F$11,Regras!$G$2:$G$11))),"")</f>
        <v/>
      </c>
      <c r="Y1395" s="150"/>
      <c r="Z1395" s="53"/>
    </row>
    <row r="1396" spans="7:26" x14ac:dyDescent="0.2">
      <c r="G1396" s="85" t="s">
        <v>12</v>
      </c>
      <c r="R1396" s="53"/>
      <c r="S1396" s="53"/>
      <c r="T1396" s="53"/>
      <c r="U1396" s="53"/>
      <c r="V1396" s="53"/>
      <c r="W1396" s="53"/>
      <c r="X1396" s="61" t="str">
        <f>IFERROR(IF(W1396="","",WORKDAY.INTL(B1396,_xlfn.XLOOKUP(W1396,Regras!$F$2:$F$11,Regras!$G$2:$G$11))),"")</f>
        <v/>
      </c>
      <c r="Y1396" s="150"/>
      <c r="Z1396" s="53"/>
    </row>
    <row r="1397" spans="7:26" x14ac:dyDescent="0.2">
      <c r="G1397" s="85" t="s">
        <v>12</v>
      </c>
      <c r="R1397" s="53"/>
      <c r="S1397" s="53"/>
      <c r="T1397" s="53"/>
      <c r="U1397" s="53"/>
      <c r="V1397" s="53"/>
      <c r="W1397" s="53"/>
      <c r="X1397" s="61" t="str">
        <f>IFERROR(IF(W1397="","",WORKDAY.INTL(B1397,_xlfn.XLOOKUP(W1397,Regras!$F$2:$F$11,Regras!$G$2:$G$11))),"")</f>
        <v/>
      </c>
      <c r="Y1397" s="150"/>
      <c r="Z1397" s="53"/>
    </row>
    <row r="1398" spans="7:26" x14ac:dyDescent="0.2">
      <c r="G1398" s="85" t="s">
        <v>12</v>
      </c>
      <c r="R1398" s="53"/>
      <c r="S1398" s="53"/>
      <c r="T1398" s="53"/>
      <c r="U1398" s="53"/>
      <c r="V1398" s="53"/>
      <c r="W1398" s="53"/>
      <c r="X1398" s="61" t="str">
        <f>IFERROR(IF(W1398="","",WORKDAY.INTL(B1398,_xlfn.XLOOKUP(W1398,Regras!$F$2:$F$11,Regras!$G$2:$G$11))),"")</f>
        <v/>
      </c>
      <c r="Y1398" s="150"/>
      <c r="Z1398" s="53"/>
    </row>
    <row r="1399" spans="7:26" x14ac:dyDescent="0.2">
      <c r="G1399" s="85" t="s">
        <v>12</v>
      </c>
      <c r="R1399" s="53"/>
      <c r="S1399" s="53"/>
      <c r="T1399" s="53"/>
      <c r="U1399" s="53"/>
      <c r="V1399" s="53"/>
      <c r="W1399" s="53"/>
      <c r="X1399" s="61" t="str">
        <f>IFERROR(IF(W1399="","",WORKDAY.INTL(B1399,_xlfn.XLOOKUP(W1399,Regras!$F$2:$F$11,Regras!$G$2:$G$11))),"")</f>
        <v/>
      </c>
      <c r="Y1399" s="150"/>
      <c r="Z1399" s="53"/>
    </row>
    <row r="1400" spans="7:26" x14ac:dyDescent="0.2">
      <c r="G1400" s="85" t="s">
        <v>12</v>
      </c>
      <c r="R1400" s="53"/>
      <c r="S1400" s="53"/>
      <c r="T1400" s="53"/>
      <c r="U1400" s="53"/>
      <c r="V1400" s="53"/>
      <c r="W1400" s="53"/>
      <c r="X1400" s="61" t="str">
        <f>IFERROR(IF(W1400="","",WORKDAY.INTL(B1400,_xlfn.XLOOKUP(W1400,Regras!$F$2:$F$11,Regras!$G$2:$G$11))),"")</f>
        <v/>
      </c>
      <c r="Y1400" s="150"/>
      <c r="Z1400" s="53"/>
    </row>
    <row r="1401" spans="7:26" x14ac:dyDescent="0.2">
      <c r="G1401" s="85" t="s">
        <v>12</v>
      </c>
      <c r="R1401" s="53"/>
      <c r="S1401" s="53"/>
      <c r="T1401" s="53"/>
      <c r="U1401" s="53"/>
      <c r="V1401" s="53"/>
      <c r="W1401" s="53"/>
      <c r="X1401" s="61" t="str">
        <f>IFERROR(IF(W1401="","",WORKDAY.INTL(B1401,_xlfn.XLOOKUP(W1401,Regras!$F$2:$F$11,Regras!$G$2:$G$11))),"")</f>
        <v/>
      </c>
      <c r="Y1401" s="150"/>
      <c r="Z1401" s="53"/>
    </row>
    <row r="1402" spans="7:26" x14ac:dyDescent="0.2">
      <c r="G1402" s="85" t="s">
        <v>12</v>
      </c>
      <c r="R1402" s="53"/>
      <c r="S1402" s="53"/>
      <c r="T1402" s="53"/>
      <c r="U1402" s="53"/>
      <c r="V1402" s="53"/>
      <c r="W1402" s="53"/>
      <c r="X1402" s="61" t="str">
        <f>IFERROR(IF(W1402="","",WORKDAY.INTL(B1402,_xlfn.XLOOKUP(W1402,Regras!$F$2:$F$11,Regras!$G$2:$G$11))),"")</f>
        <v/>
      </c>
      <c r="Y1402" s="150"/>
      <c r="Z1402" s="53"/>
    </row>
    <row r="1403" spans="7:26" x14ac:dyDescent="0.2">
      <c r="G1403" s="85" t="s">
        <v>12</v>
      </c>
      <c r="R1403" s="53"/>
      <c r="S1403" s="53"/>
      <c r="T1403" s="53"/>
      <c r="U1403" s="53"/>
      <c r="V1403" s="53"/>
      <c r="W1403" s="53"/>
      <c r="X1403" s="61" t="str">
        <f>IFERROR(IF(W1403="","",WORKDAY.INTL(B1403,_xlfn.XLOOKUP(W1403,Regras!$F$2:$F$11,Regras!$G$2:$G$11))),"")</f>
        <v/>
      </c>
      <c r="Y1403" s="150"/>
      <c r="Z1403" s="53"/>
    </row>
    <row r="1404" spans="7:26" x14ac:dyDescent="0.2">
      <c r="G1404" s="85" t="s">
        <v>12</v>
      </c>
      <c r="R1404" s="53"/>
      <c r="S1404" s="53"/>
      <c r="T1404" s="53"/>
      <c r="U1404" s="53"/>
      <c r="V1404" s="53"/>
      <c r="W1404" s="53"/>
      <c r="X1404" s="61" t="str">
        <f>IFERROR(IF(W1404="","",WORKDAY.INTL(B1404,_xlfn.XLOOKUP(W1404,Regras!$F$2:$F$11,Regras!$G$2:$G$11))),"")</f>
        <v/>
      </c>
      <c r="Y1404" s="150"/>
      <c r="Z1404" s="53"/>
    </row>
    <row r="1405" spans="7:26" x14ac:dyDescent="0.2">
      <c r="G1405" s="85" t="s">
        <v>12</v>
      </c>
      <c r="R1405" s="53"/>
      <c r="S1405" s="53"/>
      <c r="T1405" s="53"/>
      <c r="U1405" s="53"/>
      <c r="V1405" s="53"/>
      <c r="W1405" s="53"/>
      <c r="X1405" s="61" t="str">
        <f>IFERROR(IF(W1405="","",WORKDAY.INTL(B1405,_xlfn.XLOOKUP(W1405,Regras!$F$2:$F$11,Regras!$G$2:$G$11))),"")</f>
        <v/>
      </c>
      <c r="Y1405" s="150"/>
      <c r="Z1405" s="53"/>
    </row>
    <row r="1406" spans="7:26" x14ac:dyDescent="0.2">
      <c r="G1406" s="85" t="s">
        <v>12</v>
      </c>
      <c r="R1406" s="53"/>
      <c r="S1406" s="53"/>
      <c r="T1406" s="53"/>
      <c r="U1406" s="53"/>
      <c r="V1406" s="53"/>
      <c r="W1406" s="53"/>
      <c r="X1406" s="61" t="str">
        <f>IFERROR(IF(W1406="","",WORKDAY.INTL(B1406,_xlfn.XLOOKUP(W1406,Regras!$F$2:$F$11,Regras!$G$2:$G$11))),"")</f>
        <v/>
      </c>
      <c r="Y1406" s="150"/>
      <c r="Z1406" s="53"/>
    </row>
    <row r="1407" spans="7:26" x14ac:dyDescent="0.2">
      <c r="G1407" s="85" t="s">
        <v>12</v>
      </c>
      <c r="R1407" s="53"/>
      <c r="S1407" s="53"/>
      <c r="T1407" s="53"/>
      <c r="U1407" s="53"/>
      <c r="V1407" s="53"/>
      <c r="W1407" s="53"/>
      <c r="X1407" s="61" t="str">
        <f>IFERROR(IF(W1407="","",WORKDAY.INTL(B1407,_xlfn.XLOOKUP(W1407,Regras!$F$2:$F$11,Regras!$G$2:$G$11))),"")</f>
        <v/>
      </c>
      <c r="Y1407" s="150"/>
      <c r="Z1407" s="53"/>
    </row>
    <row r="1408" spans="7:26" x14ac:dyDescent="0.2">
      <c r="G1408" s="85" t="s">
        <v>12</v>
      </c>
      <c r="R1408" s="53"/>
      <c r="S1408" s="53"/>
      <c r="T1408" s="53"/>
      <c r="U1408" s="53"/>
      <c r="V1408" s="53"/>
      <c r="W1408" s="53"/>
      <c r="X1408" s="61" t="str">
        <f>IFERROR(IF(W1408="","",WORKDAY.INTL(B1408,_xlfn.XLOOKUP(W1408,Regras!$F$2:$F$11,Regras!$G$2:$G$11))),"")</f>
        <v/>
      </c>
      <c r="Y1408" s="150"/>
      <c r="Z1408" s="53"/>
    </row>
    <row r="1409" spans="7:26" x14ac:dyDescent="0.2">
      <c r="G1409" s="85" t="s">
        <v>12</v>
      </c>
      <c r="R1409" s="53"/>
      <c r="S1409" s="53"/>
      <c r="T1409" s="53"/>
      <c r="U1409" s="53"/>
      <c r="V1409" s="53"/>
      <c r="W1409" s="53"/>
      <c r="X1409" s="61" t="str">
        <f>IFERROR(IF(W1409="","",WORKDAY.INTL(B1409,_xlfn.XLOOKUP(W1409,Regras!$F$2:$F$11,Regras!$G$2:$G$11))),"")</f>
        <v/>
      </c>
      <c r="Y1409" s="150"/>
      <c r="Z1409" s="53"/>
    </row>
    <row r="1410" spans="7:26" x14ac:dyDescent="0.2">
      <c r="G1410" s="85" t="s">
        <v>12</v>
      </c>
      <c r="R1410" s="53"/>
      <c r="S1410" s="53"/>
      <c r="T1410" s="53"/>
      <c r="U1410" s="53"/>
      <c r="V1410" s="53"/>
      <c r="W1410" s="53"/>
      <c r="X1410" s="61" t="str">
        <f>IFERROR(IF(W1410="","",WORKDAY.INTL(B1410,_xlfn.XLOOKUP(W1410,Regras!$F$2:$F$11,Regras!$G$2:$G$11))),"")</f>
        <v/>
      </c>
      <c r="Y1410" s="150"/>
      <c r="Z1410" s="53"/>
    </row>
    <row r="1411" spans="7:26" x14ac:dyDescent="0.2">
      <c r="G1411" s="85" t="s">
        <v>12</v>
      </c>
      <c r="R1411" s="53"/>
      <c r="S1411" s="53"/>
      <c r="T1411" s="53"/>
      <c r="U1411" s="53"/>
      <c r="V1411" s="53"/>
      <c r="W1411" s="53"/>
      <c r="X1411" s="61" t="str">
        <f>IFERROR(IF(W1411="","",WORKDAY.INTL(B1411,_xlfn.XLOOKUP(W1411,Regras!$F$2:$F$11,Regras!$G$2:$G$11))),"")</f>
        <v/>
      </c>
      <c r="Y1411" s="150"/>
      <c r="Z1411" s="53"/>
    </row>
    <row r="1412" spans="7:26" x14ac:dyDescent="0.2">
      <c r="G1412" s="85" t="s">
        <v>12</v>
      </c>
      <c r="R1412" s="53"/>
      <c r="S1412" s="53"/>
      <c r="T1412" s="53"/>
      <c r="U1412" s="53"/>
      <c r="V1412" s="53"/>
      <c r="W1412" s="53"/>
      <c r="X1412" s="61" t="str">
        <f>IFERROR(IF(W1412="","",WORKDAY.INTL(B1412,_xlfn.XLOOKUP(W1412,Regras!$F$2:$F$11,Regras!$G$2:$G$11))),"")</f>
        <v/>
      </c>
      <c r="Y1412" s="150"/>
      <c r="Z1412" s="53"/>
    </row>
    <row r="1413" spans="7:26" x14ac:dyDescent="0.2">
      <c r="G1413" s="85" t="s">
        <v>12</v>
      </c>
      <c r="R1413" s="53"/>
      <c r="S1413" s="53"/>
      <c r="T1413" s="53"/>
      <c r="U1413" s="53"/>
      <c r="V1413" s="53"/>
      <c r="W1413" s="53"/>
      <c r="X1413" s="61" t="str">
        <f>IFERROR(IF(W1413="","",WORKDAY.INTL(B1413,_xlfn.XLOOKUP(W1413,Regras!$F$2:$F$11,Regras!$G$2:$G$11))),"")</f>
        <v/>
      </c>
      <c r="Y1413" s="150"/>
      <c r="Z1413" s="53"/>
    </row>
    <row r="1414" spans="7:26" x14ac:dyDescent="0.2">
      <c r="G1414" s="85" t="s">
        <v>12</v>
      </c>
      <c r="R1414" s="53"/>
      <c r="S1414" s="53"/>
      <c r="T1414" s="53"/>
      <c r="U1414" s="53"/>
      <c r="V1414" s="53"/>
      <c r="W1414" s="53"/>
      <c r="X1414" s="61" t="str">
        <f>IFERROR(IF(W1414="","",WORKDAY.INTL(B1414,_xlfn.XLOOKUP(W1414,Regras!$F$2:$F$11,Regras!$G$2:$G$11))),"")</f>
        <v/>
      </c>
      <c r="Y1414" s="150"/>
      <c r="Z1414" s="53"/>
    </row>
    <row r="1415" spans="7:26" x14ac:dyDescent="0.2">
      <c r="G1415" s="85" t="s">
        <v>12</v>
      </c>
      <c r="R1415" s="53"/>
      <c r="S1415" s="53"/>
      <c r="T1415" s="53"/>
      <c r="U1415" s="53"/>
      <c r="V1415" s="53"/>
      <c r="W1415" s="53"/>
      <c r="X1415" s="61" t="str">
        <f>IFERROR(IF(W1415="","",WORKDAY.INTL(B1415,_xlfn.XLOOKUP(W1415,Regras!$F$2:$F$11,Regras!$G$2:$G$11))),"")</f>
        <v/>
      </c>
      <c r="Y1415" s="150"/>
      <c r="Z1415" s="53"/>
    </row>
    <row r="1416" spans="7:26" x14ac:dyDescent="0.2">
      <c r="G1416" s="85" t="s">
        <v>12</v>
      </c>
      <c r="R1416" s="53"/>
      <c r="S1416" s="53"/>
      <c r="T1416" s="53"/>
      <c r="U1416" s="53"/>
      <c r="V1416" s="53"/>
      <c r="W1416" s="53"/>
      <c r="X1416" s="61" t="str">
        <f>IFERROR(IF(W1416="","",WORKDAY.INTL(B1416,_xlfn.XLOOKUP(W1416,Regras!$F$2:$F$11,Regras!$G$2:$G$11))),"")</f>
        <v/>
      </c>
      <c r="Y1416" s="150"/>
      <c r="Z1416" s="53"/>
    </row>
    <row r="1417" spans="7:26" x14ac:dyDescent="0.2">
      <c r="G1417" s="85" t="s">
        <v>12</v>
      </c>
      <c r="R1417" s="53"/>
      <c r="S1417" s="53"/>
      <c r="T1417" s="53"/>
      <c r="U1417" s="53"/>
      <c r="V1417" s="53"/>
      <c r="W1417" s="53"/>
      <c r="X1417" s="61" t="str">
        <f>IFERROR(IF(W1417="","",WORKDAY.INTL(B1417,_xlfn.XLOOKUP(W1417,Regras!$F$2:$F$11,Regras!$G$2:$G$11))),"")</f>
        <v/>
      </c>
      <c r="Y1417" s="150"/>
      <c r="Z1417" s="53"/>
    </row>
    <row r="1418" spans="7:26" x14ac:dyDescent="0.2">
      <c r="G1418" s="85" t="s">
        <v>12</v>
      </c>
      <c r="R1418" s="53"/>
      <c r="S1418" s="53"/>
      <c r="T1418" s="53"/>
      <c r="U1418" s="53"/>
      <c r="V1418" s="53"/>
      <c r="W1418" s="53"/>
      <c r="X1418" s="61" t="str">
        <f>IFERROR(IF(W1418="","",WORKDAY.INTL(B1418,_xlfn.XLOOKUP(W1418,Regras!$F$2:$F$11,Regras!$G$2:$G$11))),"")</f>
        <v/>
      </c>
      <c r="Y1418" s="150"/>
      <c r="Z1418" s="53"/>
    </row>
    <row r="1419" spans="7:26" x14ac:dyDescent="0.2">
      <c r="G1419" s="85" t="s">
        <v>12</v>
      </c>
      <c r="R1419" s="53"/>
      <c r="S1419" s="53"/>
      <c r="T1419" s="53"/>
      <c r="U1419" s="53"/>
      <c r="V1419" s="53"/>
      <c r="W1419" s="53"/>
      <c r="X1419" s="61" t="str">
        <f>IFERROR(IF(W1419="","",WORKDAY.INTL(B1419,_xlfn.XLOOKUP(W1419,Regras!$F$2:$F$11,Regras!$G$2:$G$11))),"")</f>
        <v/>
      </c>
      <c r="Y1419" s="150"/>
      <c r="Z1419" s="53"/>
    </row>
    <row r="1420" spans="7:26" x14ac:dyDescent="0.2">
      <c r="G1420" s="85" t="s">
        <v>12</v>
      </c>
      <c r="R1420" s="53"/>
      <c r="S1420" s="53"/>
      <c r="T1420" s="53"/>
      <c r="U1420" s="53"/>
      <c r="V1420" s="53"/>
      <c r="W1420" s="53"/>
      <c r="X1420" s="61" t="str">
        <f>IFERROR(IF(W1420="","",WORKDAY.INTL(B1420,_xlfn.XLOOKUP(W1420,Regras!$F$2:$F$11,Regras!$G$2:$G$11))),"")</f>
        <v/>
      </c>
      <c r="Y1420" s="150"/>
      <c r="Z1420" s="53"/>
    </row>
    <row r="1421" spans="7:26" x14ac:dyDescent="0.2">
      <c r="G1421" s="85" t="s">
        <v>12</v>
      </c>
      <c r="R1421" s="53"/>
      <c r="S1421" s="53"/>
      <c r="T1421" s="53"/>
      <c r="U1421" s="53"/>
      <c r="V1421" s="53"/>
      <c r="W1421" s="53"/>
      <c r="X1421" s="61" t="str">
        <f>IFERROR(IF(W1421="","",WORKDAY.INTL(B1421,_xlfn.XLOOKUP(W1421,Regras!$F$2:$F$11,Regras!$G$2:$G$11))),"")</f>
        <v/>
      </c>
      <c r="Y1421" s="150"/>
      <c r="Z1421" s="53"/>
    </row>
    <row r="1422" spans="7:26" x14ac:dyDescent="0.2">
      <c r="G1422" s="85" t="s">
        <v>12</v>
      </c>
      <c r="R1422" s="53"/>
      <c r="S1422" s="53"/>
      <c r="T1422" s="53"/>
      <c r="U1422" s="53"/>
      <c r="V1422" s="53"/>
      <c r="W1422" s="53"/>
      <c r="X1422" s="61" t="str">
        <f>IFERROR(IF(W1422="","",WORKDAY.INTL(B1422,_xlfn.XLOOKUP(W1422,Regras!$F$2:$F$11,Regras!$G$2:$G$11))),"")</f>
        <v/>
      </c>
      <c r="Y1422" s="150"/>
      <c r="Z1422" s="53"/>
    </row>
    <row r="1423" spans="7:26" x14ac:dyDescent="0.2">
      <c r="G1423" s="85" t="s">
        <v>12</v>
      </c>
      <c r="R1423" s="53"/>
      <c r="S1423" s="53"/>
      <c r="T1423" s="53"/>
      <c r="U1423" s="53"/>
      <c r="V1423" s="53"/>
      <c r="W1423" s="53"/>
      <c r="X1423" s="61" t="str">
        <f>IFERROR(IF(W1423="","",WORKDAY.INTL(B1423,_xlfn.XLOOKUP(W1423,Regras!$F$2:$F$11,Regras!$G$2:$G$11))),"")</f>
        <v/>
      </c>
      <c r="Y1423" s="150"/>
      <c r="Z1423" s="53"/>
    </row>
    <row r="1424" spans="7:26" x14ac:dyDescent="0.2">
      <c r="G1424" s="85" t="s">
        <v>12</v>
      </c>
      <c r="R1424" s="53"/>
      <c r="S1424" s="53"/>
      <c r="T1424" s="53"/>
      <c r="U1424" s="53"/>
      <c r="V1424" s="53"/>
      <c r="W1424" s="53"/>
      <c r="X1424" s="61" t="str">
        <f>IFERROR(IF(W1424="","",WORKDAY.INTL(B1424,_xlfn.XLOOKUP(W1424,Regras!$F$2:$F$11,Regras!$G$2:$G$11))),"")</f>
        <v/>
      </c>
      <c r="Y1424" s="150"/>
      <c r="Z1424" s="53"/>
    </row>
    <row r="1425" spans="7:26" x14ac:dyDescent="0.2">
      <c r="G1425" s="85" t="s">
        <v>12</v>
      </c>
      <c r="R1425" s="53"/>
      <c r="S1425" s="53"/>
      <c r="T1425" s="53"/>
      <c r="U1425" s="53"/>
      <c r="V1425" s="53"/>
      <c r="W1425" s="53"/>
      <c r="X1425" s="61" t="str">
        <f>IFERROR(IF(W1425="","",WORKDAY.INTL(B1425,_xlfn.XLOOKUP(W1425,Regras!$F$2:$F$11,Regras!$G$2:$G$11))),"")</f>
        <v/>
      </c>
      <c r="Y1425" s="150"/>
      <c r="Z1425" s="53"/>
    </row>
    <row r="1426" spans="7:26" x14ac:dyDescent="0.2">
      <c r="G1426" s="85" t="s">
        <v>12</v>
      </c>
      <c r="R1426" s="53"/>
      <c r="S1426" s="53"/>
      <c r="T1426" s="53"/>
      <c r="U1426" s="53"/>
      <c r="V1426" s="53"/>
      <c r="W1426" s="53"/>
      <c r="X1426" s="61" t="str">
        <f>IFERROR(IF(W1426="","",WORKDAY.INTL(B1426,_xlfn.XLOOKUP(W1426,Regras!$F$2:$F$11,Regras!$G$2:$G$11))),"")</f>
        <v/>
      </c>
      <c r="Y1426" s="150"/>
      <c r="Z1426" s="53"/>
    </row>
    <row r="1427" spans="7:26" x14ac:dyDescent="0.2">
      <c r="G1427" s="85" t="s">
        <v>12</v>
      </c>
      <c r="R1427" s="53"/>
      <c r="S1427" s="53"/>
      <c r="T1427" s="53"/>
      <c r="U1427" s="53"/>
      <c r="V1427" s="53"/>
      <c r="W1427" s="53"/>
      <c r="X1427" s="61" t="str">
        <f>IFERROR(IF(W1427="","",WORKDAY.INTL(B1427,_xlfn.XLOOKUP(W1427,Regras!$F$2:$F$11,Regras!$G$2:$G$11))),"")</f>
        <v/>
      </c>
      <c r="Y1427" s="150"/>
      <c r="Z1427" s="53"/>
    </row>
    <row r="1428" spans="7:26" x14ac:dyDescent="0.2">
      <c r="G1428" s="85" t="s">
        <v>12</v>
      </c>
      <c r="R1428" s="53"/>
      <c r="S1428" s="53"/>
      <c r="T1428" s="53"/>
      <c r="U1428" s="53"/>
      <c r="V1428" s="53"/>
      <c r="W1428" s="53"/>
      <c r="X1428" s="61" t="str">
        <f>IFERROR(IF(W1428="","",WORKDAY.INTL(B1428,_xlfn.XLOOKUP(W1428,Regras!$F$2:$F$11,Regras!$G$2:$G$11))),"")</f>
        <v/>
      </c>
      <c r="Y1428" s="150"/>
      <c r="Z1428" s="53"/>
    </row>
    <row r="1429" spans="7:26" x14ac:dyDescent="0.2">
      <c r="G1429" s="85" t="s">
        <v>12</v>
      </c>
      <c r="R1429" s="53"/>
      <c r="S1429" s="53"/>
      <c r="T1429" s="53"/>
      <c r="U1429" s="53"/>
      <c r="V1429" s="53"/>
      <c r="W1429" s="53"/>
      <c r="X1429" s="61" t="str">
        <f>IFERROR(IF(W1429="","",WORKDAY.INTL(B1429,_xlfn.XLOOKUP(W1429,Regras!$F$2:$F$11,Regras!$G$2:$G$11))),"")</f>
        <v/>
      </c>
      <c r="Y1429" s="150"/>
      <c r="Z1429" s="53"/>
    </row>
    <row r="1430" spans="7:26" x14ac:dyDescent="0.2">
      <c r="G1430" s="85" t="s">
        <v>12</v>
      </c>
      <c r="R1430" s="53"/>
      <c r="S1430" s="53"/>
      <c r="T1430" s="53"/>
      <c r="U1430" s="53"/>
      <c r="V1430" s="53"/>
      <c r="W1430" s="53"/>
      <c r="X1430" s="61" t="str">
        <f>IFERROR(IF(W1430="","",WORKDAY.INTL(B1430,_xlfn.XLOOKUP(W1430,Regras!$F$2:$F$11,Regras!$G$2:$G$11))),"")</f>
        <v/>
      </c>
      <c r="Y1430" s="150"/>
      <c r="Z1430" s="53"/>
    </row>
    <row r="1431" spans="7:26" x14ac:dyDescent="0.2">
      <c r="G1431" s="85" t="s">
        <v>12</v>
      </c>
      <c r="R1431" s="53"/>
      <c r="S1431" s="53"/>
      <c r="T1431" s="53"/>
      <c r="U1431" s="53"/>
      <c r="V1431" s="53"/>
      <c r="W1431" s="53"/>
      <c r="X1431" s="61" t="str">
        <f>IFERROR(IF(W1431="","",WORKDAY.INTL(B1431,_xlfn.XLOOKUP(W1431,Regras!$F$2:$F$11,Regras!$G$2:$G$11))),"")</f>
        <v/>
      </c>
      <c r="Y1431" s="150"/>
      <c r="Z1431" s="53"/>
    </row>
    <row r="1432" spans="7:26" x14ac:dyDescent="0.2">
      <c r="G1432" s="85" t="s">
        <v>12</v>
      </c>
      <c r="R1432" s="53"/>
      <c r="S1432" s="53"/>
      <c r="T1432" s="53"/>
      <c r="U1432" s="53"/>
      <c r="V1432" s="53"/>
      <c r="W1432" s="53"/>
      <c r="X1432" s="61" t="str">
        <f>IFERROR(IF(W1432="","",WORKDAY.INTL(B1432,_xlfn.XLOOKUP(W1432,Regras!$F$2:$F$11,Regras!$G$2:$G$11))),"")</f>
        <v/>
      </c>
      <c r="Y1432" s="150"/>
      <c r="Z1432" s="53"/>
    </row>
    <row r="1433" spans="7:26" x14ac:dyDescent="0.2">
      <c r="G1433" s="85" t="s">
        <v>12</v>
      </c>
      <c r="R1433" s="53"/>
      <c r="S1433" s="53"/>
      <c r="T1433" s="53"/>
      <c r="U1433" s="53"/>
      <c r="V1433" s="53"/>
      <c r="W1433" s="53"/>
      <c r="X1433" s="61" t="str">
        <f>IFERROR(IF(W1433="","",WORKDAY.INTL(B1433,_xlfn.XLOOKUP(W1433,Regras!$F$2:$F$11,Regras!$G$2:$G$11))),"")</f>
        <v/>
      </c>
      <c r="Y1433" s="150"/>
      <c r="Z1433" s="53"/>
    </row>
    <row r="1434" spans="7:26" x14ac:dyDescent="0.2">
      <c r="G1434" s="85" t="s">
        <v>12</v>
      </c>
      <c r="R1434" s="53"/>
      <c r="S1434" s="53"/>
      <c r="T1434" s="53"/>
      <c r="U1434" s="53"/>
      <c r="V1434" s="53"/>
      <c r="W1434" s="53"/>
      <c r="X1434" s="61" t="str">
        <f>IFERROR(IF(W1434="","",WORKDAY.INTL(B1434,_xlfn.XLOOKUP(W1434,Regras!$F$2:$F$11,Regras!$G$2:$G$11))),"")</f>
        <v/>
      </c>
      <c r="Y1434" s="150"/>
      <c r="Z1434" s="53"/>
    </row>
    <row r="1435" spans="7:26" x14ac:dyDescent="0.2">
      <c r="G1435" s="85" t="s">
        <v>12</v>
      </c>
      <c r="R1435" s="53"/>
      <c r="S1435" s="53"/>
      <c r="T1435" s="53"/>
      <c r="U1435" s="53"/>
      <c r="V1435" s="53"/>
      <c r="W1435" s="53"/>
      <c r="X1435" s="61" t="str">
        <f>IFERROR(IF(W1435="","",WORKDAY.INTL(B1435,_xlfn.XLOOKUP(W1435,Regras!$F$2:$F$11,Regras!$G$2:$G$11))),"")</f>
        <v/>
      </c>
      <c r="Y1435" s="150"/>
      <c r="Z1435" s="53"/>
    </row>
    <row r="1436" spans="7:26" x14ac:dyDescent="0.2">
      <c r="G1436" s="85" t="s">
        <v>12</v>
      </c>
      <c r="R1436" s="53"/>
      <c r="S1436" s="53"/>
      <c r="T1436" s="53"/>
      <c r="U1436" s="53"/>
      <c r="V1436" s="53"/>
      <c r="W1436" s="53"/>
      <c r="X1436" s="61" t="str">
        <f>IFERROR(IF(W1436="","",WORKDAY.INTL(B1436,_xlfn.XLOOKUP(W1436,Regras!$F$2:$F$11,Regras!$G$2:$G$11))),"")</f>
        <v/>
      </c>
      <c r="Y1436" s="150"/>
      <c r="Z1436" s="53"/>
    </row>
    <row r="1437" spans="7:26" x14ac:dyDescent="0.2">
      <c r="G1437" s="85" t="s">
        <v>12</v>
      </c>
      <c r="R1437" s="53"/>
      <c r="S1437" s="53"/>
      <c r="T1437" s="53"/>
      <c r="U1437" s="53"/>
      <c r="V1437" s="53"/>
      <c r="W1437" s="53"/>
      <c r="X1437" s="61" t="str">
        <f>IFERROR(IF(W1437="","",WORKDAY.INTL(B1437,_xlfn.XLOOKUP(W1437,Regras!$F$2:$F$11,Regras!$G$2:$G$11))),"")</f>
        <v/>
      </c>
      <c r="Y1437" s="150"/>
      <c r="Z1437" s="53"/>
    </row>
    <row r="1438" spans="7:26" x14ac:dyDescent="0.2">
      <c r="G1438" s="85" t="s">
        <v>12</v>
      </c>
      <c r="R1438" s="53"/>
      <c r="S1438" s="53"/>
      <c r="T1438" s="53"/>
      <c r="U1438" s="53"/>
      <c r="V1438" s="53"/>
      <c r="W1438" s="53"/>
      <c r="X1438" s="61" t="str">
        <f>IFERROR(IF(W1438="","",WORKDAY.INTL(B1438,_xlfn.XLOOKUP(W1438,Regras!$F$2:$F$11,Regras!$G$2:$G$11))),"")</f>
        <v/>
      </c>
      <c r="Y1438" s="150"/>
      <c r="Z1438" s="53"/>
    </row>
    <row r="1439" spans="7:26" x14ac:dyDescent="0.2">
      <c r="G1439" s="85" t="s">
        <v>12</v>
      </c>
      <c r="R1439" s="53"/>
      <c r="S1439" s="53"/>
      <c r="T1439" s="53"/>
      <c r="U1439" s="53"/>
      <c r="V1439" s="53"/>
      <c r="W1439" s="53"/>
      <c r="X1439" s="61" t="str">
        <f>IFERROR(IF(W1439="","",WORKDAY.INTL(B1439,_xlfn.XLOOKUP(W1439,Regras!$F$2:$F$11,Regras!$G$2:$G$11))),"")</f>
        <v/>
      </c>
      <c r="Y1439" s="150"/>
      <c r="Z1439" s="53"/>
    </row>
    <row r="1440" spans="7:26" x14ac:dyDescent="0.2">
      <c r="G1440" s="85" t="s">
        <v>12</v>
      </c>
      <c r="R1440" s="53"/>
      <c r="S1440" s="53"/>
      <c r="T1440" s="53"/>
      <c r="U1440" s="53"/>
      <c r="V1440" s="53"/>
      <c r="W1440" s="53"/>
      <c r="X1440" s="61" t="str">
        <f>IFERROR(IF(W1440="","",WORKDAY.INTL(B1440,_xlfn.XLOOKUP(W1440,Regras!$F$2:$F$11,Regras!$G$2:$G$11))),"")</f>
        <v/>
      </c>
      <c r="Y1440" s="150"/>
      <c r="Z1440" s="53"/>
    </row>
    <row r="1441" spans="7:26" x14ac:dyDescent="0.2">
      <c r="G1441" s="85" t="s">
        <v>12</v>
      </c>
      <c r="R1441" s="53"/>
      <c r="S1441" s="53"/>
      <c r="T1441" s="53"/>
      <c r="U1441" s="53"/>
      <c r="V1441" s="53"/>
      <c r="W1441" s="53"/>
      <c r="X1441" s="61" t="str">
        <f>IFERROR(IF(W1441="","",WORKDAY.INTL(B1441,_xlfn.XLOOKUP(W1441,Regras!$F$2:$F$11,Regras!$G$2:$G$11))),"")</f>
        <v/>
      </c>
      <c r="Y1441" s="150"/>
      <c r="Z1441" s="53"/>
    </row>
    <row r="1442" spans="7:26" x14ac:dyDescent="0.2">
      <c r="G1442" s="85" t="s">
        <v>12</v>
      </c>
      <c r="R1442" s="53"/>
      <c r="S1442" s="53"/>
      <c r="T1442" s="53"/>
      <c r="U1442" s="53"/>
      <c r="V1442" s="53"/>
      <c r="W1442" s="53"/>
      <c r="X1442" s="61" t="str">
        <f>IFERROR(IF(W1442="","",WORKDAY.INTL(B1442,_xlfn.XLOOKUP(W1442,Regras!$F$2:$F$11,Regras!$G$2:$G$11))),"")</f>
        <v/>
      </c>
      <c r="Y1442" s="150"/>
      <c r="Z1442" s="53"/>
    </row>
    <row r="1443" spans="7:26" x14ac:dyDescent="0.2">
      <c r="G1443" s="85" t="s">
        <v>12</v>
      </c>
      <c r="R1443" s="53"/>
      <c r="S1443" s="53"/>
      <c r="T1443" s="53"/>
      <c r="U1443" s="53"/>
      <c r="V1443" s="53"/>
      <c r="W1443" s="53"/>
      <c r="X1443" s="61" t="str">
        <f>IFERROR(IF(W1443="","",WORKDAY.INTL(B1443,_xlfn.XLOOKUP(W1443,Regras!$F$2:$F$11,Regras!$G$2:$G$11))),"")</f>
        <v/>
      </c>
      <c r="Y1443" s="150"/>
      <c r="Z1443" s="53"/>
    </row>
    <row r="1444" spans="7:26" x14ac:dyDescent="0.2">
      <c r="G1444" s="85" t="s">
        <v>12</v>
      </c>
      <c r="R1444" s="53"/>
      <c r="S1444" s="53"/>
      <c r="T1444" s="53"/>
      <c r="U1444" s="53"/>
      <c r="V1444" s="53"/>
      <c r="W1444" s="53"/>
      <c r="X1444" s="61" t="str">
        <f>IFERROR(IF(W1444="","",WORKDAY.INTL(B1444,_xlfn.XLOOKUP(W1444,Regras!$F$2:$F$11,Regras!$G$2:$G$11))),"")</f>
        <v/>
      </c>
      <c r="Y1444" s="150"/>
      <c r="Z1444" s="53"/>
    </row>
    <row r="1445" spans="7:26" x14ac:dyDescent="0.2">
      <c r="G1445" s="85" t="s">
        <v>12</v>
      </c>
      <c r="R1445" s="53"/>
      <c r="S1445" s="53"/>
      <c r="T1445" s="53"/>
      <c r="U1445" s="53"/>
      <c r="V1445" s="53"/>
      <c r="W1445" s="53"/>
      <c r="X1445" s="61" t="str">
        <f>IFERROR(IF(W1445="","",WORKDAY.INTL(B1445,_xlfn.XLOOKUP(W1445,Regras!$F$2:$F$11,Regras!$G$2:$G$11))),"")</f>
        <v/>
      </c>
      <c r="Y1445" s="150"/>
      <c r="Z1445" s="53"/>
    </row>
    <row r="1446" spans="7:26" x14ac:dyDescent="0.2">
      <c r="G1446" s="85" t="s">
        <v>12</v>
      </c>
      <c r="R1446" s="53"/>
      <c r="S1446" s="53"/>
      <c r="T1446" s="53"/>
      <c r="U1446" s="53"/>
      <c r="V1446" s="53"/>
      <c r="W1446" s="53"/>
      <c r="X1446" s="61" t="str">
        <f>IFERROR(IF(W1446="","",WORKDAY.INTL(B1446,_xlfn.XLOOKUP(W1446,Regras!$F$2:$F$11,Regras!$G$2:$G$11))),"")</f>
        <v/>
      </c>
      <c r="Y1446" s="150"/>
      <c r="Z1446" s="53"/>
    </row>
    <row r="1447" spans="7:26" x14ac:dyDescent="0.2">
      <c r="G1447" s="85" t="s">
        <v>12</v>
      </c>
      <c r="R1447" s="53"/>
      <c r="S1447" s="53"/>
      <c r="T1447" s="53"/>
      <c r="U1447" s="53"/>
      <c r="V1447" s="53"/>
      <c r="W1447" s="53"/>
      <c r="X1447" s="61" t="str">
        <f>IFERROR(IF(W1447="","",WORKDAY.INTL(B1447,_xlfn.XLOOKUP(W1447,Regras!$F$2:$F$11,Regras!$G$2:$G$11))),"")</f>
        <v/>
      </c>
      <c r="Y1447" s="150"/>
      <c r="Z1447" s="53"/>
    </row>
    <row r="1448" spans="7:26" x14ac:dyDescent="0.2">
      <c r="G1448" s="85" t="s">
        <v>12</v>
      </c>
      <c r="R1448" s="53"/>
      <c r="S1448" s="53"/>
      <c r="T1448" s="53"/>
      <c r="U1448" s="53"/>
      <c r="V1448" s="53"/>
      <c r="W1448" s="53"/>
      <c r="X1448" s="61" t="str">
        <f>IFERROR(IF(W1448="","",WORKDAY.INTL(B1448,_xlfn.XLOOKUP(W1448,Regras!$F$2:$F$11,Regras!$G$2:$G$11))),"")</f>
        <v/>
      </c>
      <c r="Y1448" s="150"/>
      <c r="Z1448" s="53"/>
    </row>
    <row r="1449" spans="7:26" x14ac:dyDescent="0.2">
      <c r="G1449" s="85" t="s">
        <v>12</v>
      </c>
      <c r="R1449" s="53"/>
      <c r="S1449" s="53"/>
      <c r="T1449" s="53"/>
      <c r="U1449" s="53"/>
      <c r="V1449" s="53"/>
      <c r="W1449" s="53"/>
      <c r="X1449" s="61" t="str">
        <f>IFERROR(IF(W1449="","",WORKDAY.INTL(B1449,_xlfn.XLOOKUP(W1449,Regras!$F$2:$F$11,Regras!$G$2:$G$11))),"")</f>
        <v/>
      </c>
      <c r="Y1449" s="150"/>
      <c r="Z1449" s="53"/>
    </row>
    <row r="1450" spans="7:26" x14ac:dyDescent="0.2">
      <c r="G1450" s="85" t="s">
        <v>12</v>
      </c>
      <c r="R1450" s="53"/>
      <c r="S1450" s="53"/>
      <c r="T1450" s="53"/>
      <c r="U1450" s="53"/>
      <c r="V1450" s="53"/>
      <c r="W1450" s="53"/>
      <c r="X1450" s="61" t="str">
        <f>IFERROR(IF(W1450="","",WORKDAY.INTL(B1450,_xlfn.XLOOKUP(W1450,Regras!$F$2:$F$11,Regras!$G$2:$G$11))),"")</f>
        <v/>
      </c>
      <c r="Y1450" s="150"/>
      <c r="Z1450" s="53"/>
    </row>
    <row r="1451" spans="7:26" x14ac:dyDescent="0.2">
      <c r="G1451" s="85" t="s">
        <v>12</v>
      </c>
      <c r="R1451" s="53"/>
      <c r="S1451" s="53"/>
      <c r="T1451" s="53"/>
      <c r="U1451" s="53"/>
      <c r="V1451" s="53"/>
      <c r="W1451" s="53"/>
      <c r="X1451" s="61" t="str">
        <f>IFERROR(IF(W1451="","",WORKDAY.INTL(B1451,_xlfn.XLOOKUP(W1451,Regras!$F$2:$F$11,Regras!$G$2:$G$11))),"")</f>
        <v/>
      </c>
      <c r="Y1451" s="150"/>
      <c r="Z1451" s="53"/>
    </row>
    <row r="1452" spans="7:26" x14ac:dyDescent="0.2">
      <c r="G1452" s="85" t="s">
        <v>12</v>
      </c>
      <c r="R1452" s="53"/>
      <c r="S1452" s="53"/>
      <c r="T1452" s="53"/>
      <c r="U1452" s="53"/>
      <c r="V1452" s="53"/>
      <c r="W1452" s="53"/>
      <c r="X1452" s="61" t="str">
        <f>IFERROR(IF(W1452="","",WORKDAY.INTL(B1452,_xlfn.XLOOKUP(W1452,Regras!$F$2:$F$11,Regras!$G$2:$G$11))),"")</f>
        <v/>
      </c>
      <c r="Y1452" s="150"/>
      <c r="Z1452" s="53"/>
    </row>
    <row r="1453" spans="7:26" x14ac:dyDescent="0.2">
      <c r="G1453" s="85" t="s">
        <v>12</v>
      </c>
      <c r="R1453" s="53"/>
      <c r="S1453" s="53"/>
      <c r="T1453" s="53"/>
      <c r="U1453" s="53"/>
      <c r="V1453" s="53"/>
      <c r="W1453" s="53"/>
      <c r="X1453" s="61" t="str">
        <f>IFERROR(IF(W1453="","",WORKDAY.INTL(B1453,_xlfn.XLOOKUP(W1453,Regras!$F$2:$F$11,Regras!$G$2:$G$11))),"")</f>
        <v/>
      </c>
      <c r="Y1453" s="150"/>
      <c r="Z1453" s="53"/>
    </row>
    <row r="1454" spans="7:26" x14ac:dyDescent="0.2">
      <c r="G1454" s="85" t="s">
        <v>12</v>
      </c>
      <c r="R1454" s="53"/>
      <c r="S1454" s="53"/>
      <c r="T1454" s="53"/>
      <c r="U1454" s="53"/>
      <c r="V1454" s="53"/>
      <c r="W1454" s="53"/>
      <c r="X1454" s="61" t="str">
        <f>IFERROR(IF(W1454="","",WORKDAY.INTL(B1454,_xlfn.XLOOKUP(W1454,Regras!$F$2:$F$11,Regras!$G$2:$G$11))),"")</f>
        <v/>
      </c>
      <c r="Y1454" s="150"/>
      <c r="Z1454" s="53"/>
    </row>
    <row r="1455" spans="7:26" x14ac:dyDescent="0.2">
      <c r="G1455" s="85" t="s">
        <v>12</v>
      </c>
      <c r="R1455" s="53"/>
      <c r="S1455" s="53"/>
      <c r="T1455" s="53"/>
      <c r="U1455" s="53"/>
      <c r="V1455" s="53"/>
      <c r="W1455" s="53"/>
      <c r="X1455" s="61" t="str">
        <f>IFERROR(IF(W1455="","",WORKDAY.INTL(B1455,_xlfn.XLOOKUP(W1455,Regras!$F$2:$F$11,Regras!$G$2:$G$11))),"")</f>
        <v/>
      </c>
      <c r="Y1455" s="150"/>
      <c r="Z1455" s="53"/>
    </row>
    <row r="1456" spans="7:26" x14ac:dyDescent="0.2">
      <c r="G1456" s="85" t="s">
        <v>12</v>
      </c>
      <c r="R1456" s="53"/>
      <c r="S1456" s="53"/>
      <c r="T1456" s="53"/>
      <c r="U1456" s="53"/>
      <c r="V1456" s="53"/>
      <c r="W1456" s="53"/>
      <c r="X1456" s="61" t="str">
        <f>IFERROR(IF(W1456="","",WORKDAY.INTL(B1456,_xlfn.XLOOKUP(W1456,Regras!$F$2:$F$11,Regras!$G$2:$G$11))),"")</f>
        <v/>
      </c>
      <c r="Y1456" s="150"/>
      <c r="Z1456" s="53"/>
    </row>
    <row r="1457" spans="7:26" x14ac:dyDescent="0.2">
      <c r="G1457" s="85" t="s">
        <v>12</v>
      </c>
      <c r="R1457" s="53"/>
      <c r="S1457" s="53"/>
      <c r="T1457" s="53"/>
      <c r="U1457" s="53"/>
      <c r="V1457" s="53"/>
      <c r="W1457" s="53"/>
      <c r="X1457" s="61" t="str">
        <f>IFERROR(IF(W1457="","",WORKDAY.INTL(B1457,_xlfn.XLOOKUP(W1457,Regras!$F$2:$F$11,Regras!$G$2:$G$11))),"")</f>
        <v/>
      </c>
      <c r="Y1457" s="150"/>
      <c r="Z1457" s="53"/>
    </row>
    <row r="1458" spans="7:26" x14ac:dyDescent="0.2">
      <c r="G1458" s="85" t="s">
        <v>12</v>
      </c>
      <c r="R1458" s="53"/>
      <c r="S1458" s="53"/>
      <c r="T1458" s="53"/>
      <c r="U1458" s="53"/>
      <c r="V1458" s="53"/>
      <c r="W1458" s="53"/>
      <c r="X1458" s="61" t="str">
        <f>IFERROR(IF(W1458="","",WORKDAY.INTL(B1458,_xlfn.XLOOKUP(W1458,Regras!$F$2:$F$11,Regras!$G$2:$G$11))),"")</f>
        <v/>
      </c>
      <c r="Y1458" s="150"/>
      <c r="Z1458" s="53"/>
    </row>
    <row r="1459" spans="7:26" x14ac:dyDescent="0.2">
      <c r="G1459" s="85" t="s">
        <v>12</v>
      </c>
      <c r="R1459" s="53"/>
      <c r="S1459" s="53"/>
      <c r="T1459" s="53"/>
      <c r="U1459" s="53"/>
      <c r="V1459" s="53"/>
      <c r="W1459" s="53"/>
      <c r="X1459" s="61" t="str">
        <f>IFERROR(IF(W1459="","",WORKDAY.INTL(B1459,_xlfn.XLOOKUP(W1459,Regras!$F$2:$F$11,Regras!$G$2:$G$11))),"")</f>
        <v/>
      </c>
      <c r="Y1459" s="150"/>
      <c r="Z1459" s="53"/>
    </row>
    <row r="1460" spans="7:26" x14ac:dyDescent="0.2">
      <c r="G1460" s="85" t="s">
        <v>12</v>
      </c>
      <c r="R1460" s="53"/>
      <c r="S1460" s="53"/>
      <c r="T1460" s="53"/>
      <c r="U1460" s="53"/>
      <c r="V1460" s="53"/>
      <c r="W1460" s="53"/>
      <c r="X1460" s="61" t="str">
        <f>IFERROR(IF(W1460="","",WORKDAY.INTL(B1460,_xlfn.XLOOKUP(W1460,Regras!$F$2:$F$11,Regras!$G$2:$G$11))),"")</f>
        <v/>
      </c>
      <c r="Y1460" s="150"/>
      <c r="Z1460" s="53"/>
    </row>
    <row r="1461" spans="7:26" x14ac:dyDescent="0.2">
      <c r="G1461" s="85" t="s">
        <v>12</v>
      </c>
      <c r="R1461" s="53"/>
      <c r="S1461" s="53"/>
      <c r="T1461" s="53"/>
      <c r="U1461" s="53"/>
      <c r="V1461" s="53"/>
      <c r="W1461" s="53"/>
      <c r="X1461" s="61" t="str">
        <f>IFERROR(IF(W1461="","",WORKDAY.INTL(B1461,_xlfn.XLOOKUP(W1461,Regras!$F$2:$F$11,Regras!$G$2:$G$11))),"")</f>
        <v/>
      </c>
      <c r="Y1461" s="150"/>
      <c r="Z1461" s="53"/>
    </row>
    <row r="1462" spans="7:26" x14ac:dyDescent="0.2">
      <c r="G1462" s="85" t="s">
        <v>12</v>
      </c>
      <c r="R1462" s="53"/>
      <c r="S1462" s="53"/>
      <c r="T1462" s="53"/>
      <c r="U1462" s="53"/>
      <c r="V1462" s="53"/>
      <c r="W1462" s="53"/>
      <c r="X1462" s="61" t="str">
        <f>IFERROR(IF(W1462="","",WORKDAY.INTL(B1462,_xlfn.XLOOKUP(W1462,Regras!$F$2:$F$11,Regras!$G$2:$G$11))),"")</f>
        <v/>
      </c>
      <c r="Y1462" s="150"/>
      <c r="Z1462" s="53"/>
    </row>
    <row r="1463" spans="7:26" x14ac:dyDescent="0.2">
      <c r="G1463" s="85" t="s">
        <v>12</v>
      </c>
      <c r="R1463" s="53"/>
      <c r="S1463" s="53"/>
      <c r="T1463" s="53"/>
      <c r="U1463" s="53"/>
      <c r="V1463" s="53"/>
      <c r="W1463" s="53"/>
      <c r="X1463" s="61" t="str">
        <f>IFERROR(IF(W1463="","",WORKDAY.INTL(B1463,_xlfn.XLOOKUP(W1463,Regras!$F$2:$F$11,Regras!$G$2:$G$11))),"")</f>
        <v/>
      </c>
      <c r="Y1463" s="150"/>
      <c r="Z1463" s="53"/>
    </row>
    <row r="1464" spans="7:26" x14ac:dyDescent="0.2">
      <c r="G1464" s="85" t="s">
        <v>12</v>
      </c>
      <c r="R1464" s="53"/>
      <c r="S1464" s="53"/>
      <c r="T1464" s="53"/>
      <c r="U1464" s="53"/>
      <c r="V1464" s="53"/>
      <c r="W1464" s="53"/>
      <c r="X1464" s="61" t="str">
        <f>IFERROR(IF(W1464="","",WORKDAY.INTL(B1464,_xlfn.XLOOKUP(W1464,Regras!$F$2:$F$11,Regras!$G$2:$G$11))),"")</f>
        <v/>
      </c>
      <c r="Y1464" s="150"/>
      <c r="Z1464" s="53"/>
    </row>
    <row r="1465" spans="7:26" x14ac:dyDescent="0.2">
      <c r="G1465" s="85" t="s">
        <v>12</v>
      </c>
      <c r="R1465" s="53"/>
      <c r="S1465" s="53"/>
      <c r="T1465" s="53"/>
      <c r="U1465" s="53"/>
      <c r="V1465" s="53"/>
      <c r="W1465" s="53"/>
      <c r="X1465" s="61" t="str">
        <f>IFERROR(IF(W1465="","",WORKDAY.INTL(B1465,_xlfn.XLOOKUP(W1465,Regras!$F$2:$F$11,Regras!$G$2:$G$11))),"")</f>
        <v/>
      </c>
      <c r="Y1465" s="150"/>
      <c r="Z1465" s="53"/>
    </row>
    <row r="1466" spans="7:26" x14ac:dyDescent="0.2">
      <c r="G1466" s="85" t="s">
        <v>12</v>
      </c>
      <c r="R1466" s="53"/>
      <c r="S1466" s="53"/>
      <c r="T1466" s="53"/>
      <c r="U1466" s="53"/>
      <c r="V1466" s="53"/>
      <c r="W1466" s="53"/>
      <c r="X1466" s="61" t="str">
        <f>IFERROR(IF(W1466="","",WORKDAY.INTL(B1466,_xlfn.XLOOKUP(W1466,Regras!$F$2:$F$11,Regras!$G$2:$G$11))),"")</f>
        <v/>
      </c>
      <c r="Y1466" s="150"/>
      <c r="Z1466" s="53"/>
    </row>
    <row r="1467" spans="7:26" x14ac:dyDescent="0.2">
      <c r="G1467" s="85" t="s">
        <v>12</v>
      </c>
      <c r="R1467" s="53"/>
      <c r="S1467" s="53"/>
      <c r="T1467" s="53"/>
      <c r="U1467" s="53"/>
      <c r="V1467" s="53"/>
      <c r="W1467" s="53"/>
      <c r="X1467" s="61" t="str">
        <f>IFERROR(IF(W1467="","",WORKDAY.INTL(B1467,_xlfn.XLOOKUP(W1467,Regras!$F$2:$F$11,Regras!$G$2:$G$11))),"")</f>
        <v/>
      </c>
      <c r="Y1467" s="150"/>
      <c r="Z1467" s="53"/>
    </row>
    <row r="1468" spans="7:26" x14ac:dyDescent="0.2">
      <c r="G1468" s="85" t="s">
        <v>12</v>
      </c>
      <c r="R1468" s="53"/>
      <c r="S1468" s="53"/>
      <c r="T1468" s="53"/>
      <c r="U1468" s="53"/>
      <c r="V1468" s="53"/>
      <c r="W1468" s="53"/>
      <c r="X1468" s="61" t="str">
        <f>IFERROR(IF(W1468="","",WORKDAY.INTL(B1468,_xlfn.XLOOKUP(W1468,Regras!$F$2:$F$11,Regras!$G$2:$G$11))),"")</f>
        <v/>
      </c>
      <c r="Y1468" s="150"/>
      <c r="Z1468" s="53"/>
    </row>
    <row r="1469" spans="7:26" x14ac:dyDescent="0.2">
      <c r="G1469" s="85" t="s">
        <v>12</v>
      </c>
      <c r="R1469" s="53"/>
      <c r="S1469" s="53"/>
      <c r="T1469" s="53"/>
      <c r="U1469" s="53"/>
      <c r="V1469" s="53"/>
      <c r="W1469" s="53"/>
      <c r="X1469" s="61" t="str">
        <f>IFERROR(IF(W1469="","",WORKDAY.INTL(B1469,_xlfn.XLOOKUP(W1469,Regras!$F$2:$F$11,Regras!$G$2:$G$11))),"")</f>
        <v/>
      </c>
      <c r="Y1469" s="150"/>
      <c r="Z1469" s="53"/>
    </row>
    <row r="1470" spans="7:26" x14ac:dyDescent="0.2">
      <c r="G1470" s="85" t="s">
        <v>12</v>
      </c>
      <c r="R1470" s="53"/>
      <c r="S1470" s="53"/>
      <c r="T1470" s="53"/>
      <c r="U1470" s="53"/>
      <c r="V1470" s="53"/>
      <c r="W1470" s="53"/>
      <c r="X1470" s="61" t="str">
        <f>IFERROR(IF(W1470="","",WORKDAY.INTL(B1470,_xlfn.XLOOKUP(W1470,Regras!$F$2:$F$11,Regras!$G$2:$G$11))),"")</f>
        <v/>
      </c>
      <c r="Y1470" s="150"/>
      <c r="Z1470" s="53"/>
    </row>
    <row r="1471" spans="7:26" x14ac:dyDescent="0.2">
      <c r="G1471" s="85" t="s">
        <v>12</v>
      </c>
      <c r="R1471" s="53"/>
      <c r="S1471" s="53"/>
      <c r="T1471" s="53"/>
      <c r="U1471" s="53"/>
      <c r="V1471" s="53"/>
      <c r="W1471" s="53"/>
      <c r="X1471" s="61" t="str">
        <f>IFERROR(IF(W1471="","",WORKDAY.INTL(B1471,_xlfn.XLOOKUP(W1471,Regras!$F$2:$F$11,Regras!$G$2:$G$11))),"")</f>
        <v/>
      </c>
      <c r="Y1471" s="150"/>
      <c r="Z1471" s="53"/>
    </row>
    <row r="1472" spans="7:26" x14ac:dyDescent="0.2">
      <c r="G1472" s="85" t="s">
        <v>12</v>
      </c>
      <c r="R1472" s="53"/>
      <c r="S1472" s="53"/>
      <c r="T1472" s="53"/>
      <c r="U1472" s="53"/>
      <c r="V1472" s="53"/>
      <c r="W1472" s="53"/>
      <c r="X1472" s="61" t="str">
        <f>IFERROR(IF(W1472="","",WORKDAY.INTL(B1472,_xlfn.XLOOKUP(W1472,Regras!$F$2:$F$11,Regras!$G$2:$G$11))),"")</f>
        <v/>
      </c>
      <c r="Y1472" s="150"/>
      <c r="Z1472" s="53"/>
    </row>
    <row r="1473" spans="7:26" x14ac:dyDescent="0.2">
      <c r="G1473" s="85" t="s">
        <v>12</v>
      </c>
      <c r="R1473" s="53"/>
      <c r="S1473" s="53"/>
      <c r="T1473" s="53"/>
      <c r="U1473" s="53"/>
      <c r="V1473" s="53"/>
      <c r="W1473" s="53"/>
      <c r="X1473" s="61" t="str">
        <f>IFERROR(IF(W1473="","",WORKDAY.INTL(B1473,_xlfn.XLOOKUP(W1473,Regras!$F$2:$F$11,Regras!$G$2:$G$11))),"")</f>
        <v/>
      </c>
      <c r="Y1473" s="150"/>
      <c r="Z1473" s="53"/>
    </row>
    <row r="1474" spans="7:26" x14ac:dyDescent="0.2">
      <c r="G1474" s="85" t="s">
        <v>12</v>
      </c>
      <c r="R1474" s="53"/>
      <c r="S1474" s="53"/>
      <c r="T1474" s="53"/>
      <c r="U1474" s="53"/>
      <c r="V1474" s="53"/>
      <c r="W1474" s="53"/>
      <c r="X1474" s="61" t="str">
        <f>IFERROR(IF(W1474="","",WORKDAY.INTL(B1474,_xlfn.XLOOKUP(W1474,Regras!$F$2:$F$11,Regras!$G$2:$G$11))),"")</f>
        <v/>
      </c>
      <c r="Y1474" s="150"/>
      <c r="Z1474" s="53"/>
    </row>
    <row r="1475" spans="7:26" x14ac:dyDescent="0.2">
      <c r="G1475" s="85" t="s">
        <v>12</v>
      </c>
      <c r="R1475" s="53"/>
      <c r="S1475" s="53"/>
      <c r="T1475" s="53"/>
      <c r="U1475" s="53"/>
      <c r="V1475" s="53"/>
      <c r="W1475" s="53"/>
      <c r="X1475" s="61" t="str">
        <f>IFERROR(IF(W1475="","",WORKDAY.INTL(B1475,_xlfn.XLOOKUP(W1475,Regras!$F$2:$F$11,Regras!$G$2:$G$11))),"")</f>
        <v/>
      </c>
      <c r="Y1475" s="150"/>
      <c r="Z1475" s="53"/>
    </row>
    <row r="1476" spans="7:26" x14ac:dyDescent="0.2">
      <c r="G1476" s="85" t="s">
        <v>12</v>
      </c>
      <c r="R1476" s="53"/>
      <c r="S1476" s="53"/>
      <c r="T1476" s="53"/>
      <c r="U1476" s="53"/>
      <c r="V1476" s="53"/>
      <c r="W1476" s="53"/>
      <c r="X1476" s="61" t="str">
        <f>IFERROR(IF(W1476="","",WORKDAY.INTL(B1476,_xlfn.XLOOKUP(W1476,Regras!$F$2:$F$11,Regras!$G$2:$G$11))),"")</f>
        <v/>
      </c>
      <c r="Y1476" s="150"/>
      <c r="Z1476" s="53"/>
    </row>
    <row r="1477" spans="7:26" x14ac:dyDescent="0.2">
      <c r="G1477" s="85" t="s">
        <v>12</v>
      </c>
      <c r="R1477" s="53"/>
      <c r="S1477" s="53"/>
      <c r="T1477" s="53"/>
      <c r="U1477" s="53"/>
      <c r="V1477" s="53"/>
      <c r="W1477" s="53"/>
      <c r="X1477" s="61" t="str">
        <f>IFERROR(IF(W1477="","",WORKDAY.INTL(B1477,_xlfn.XLOOKUP(W1477,Regras!$F$2:$F$11,Regras!$G$2:$G$11))),"")</f>
        <v/>
      </c>
      <c r="Y1477" s="150"/>
      <c r="Z1477" s="53"/>
    </row>
    <row r="1478" spans="7:26" x14ac:dyDescent="0.2">
      <c r="G1478" s="85" t="s">
        <v>12</v>
      </c>
      <c r="R1478" s="53"/>
      <c r="S1478" s="53"/>
      <c r="T1478" s="53"/>
      <c r="U1478" s="53"/>
      <c r="V1478" s="53"/>
      <c r="W1478" s="53"/>
      <c r="X1478" s="61" t="str">
        <f>IFERROR(IF(W1478="","",WORKDAY.INTL(B1478,_xlfn.XLOOKUP(W1478,Regras!$F$2:$F$11,Regras!$G$2:$G$11))),"")</f>
        <v/>
      </c>
      <c r="Y1478" s="150"/>
      <c r="Z1478" s="53"/>
    </row>
    <row r="1479" spans="7:26" x14ac:dyDescent="0.2">
      <c r="G1479" s="85" t="s">
        <v>12</v>
      </c>
      <c r="R1479" s="53"/>
      <c r="S1479" s="53"/>
      <c r="T1479" s="53"/>
      <c r="U1479" s="53"/>
      <c r="V1479" s="53"/>
      <c r="W1479" s="53"/>
      <c r="X1479" s="61" t="str">
        <f>IFERROR(IF(W1479="","",WORKDAY.INTL(B1479,_xlfn.XLOOKUP(W1479,Regras!$F$2:$F$11,Regras!$G$2:$G$11))),"")</f>
        <v/>
      </c>
      <c r="Y1479" s="150"/>
      <c r="Z1479" s="53"/>
    </row>
    <row r="1480" spans="7:26" x14ac:dyDescent="0.2">
      <c r="G1480" s="85" t="s">
        <v>12</v>
      </c>
      <c r="R1480" s="53"/>
      <c r="S1480" s="53"/>
      <c r="T1480" s="53"/>
      <c r="U1480" s="53"/>
      <c r="V1480" s="53"/>
      <c r="W1480" s="53"/>
      <c r="X1480" s="61" t="str">
        <f>IFERROR(IF(W1480="","",WORKDAY.INTL(B1480,_xlfn.XLOOKUP(W1480,Regras!$F$2:$F$11,Regras!$G$2:$G$11))),"")</f>
        <v/>
      </c>
      <c r="Y1480" s="150"/>
      <c r="Z1480" s="53"/>
    </row>
    <row r="1481" spans="7:26" x14ac:dyDescent="0.2">
      <c r="G1481" s="85" t="s">
        <v>12</v>
      </c>
      <c r="R1481" s="53"/>
      <c r="S1481" s="53"/>
      <c r="T1481" s="53"/>
      <c r="U1481" s="53"/>
      <c r="V1481" s="53"/>
      <c r="W1481" s="53"/>
      <c r="X1481" s="61" t="str">
        <f>IFERROR(IF(W1481="","",WORKDAY.INTL(B1481,_xlfn.XLOOKUP(W1481,Regras!$F$2:$F$11,Regras!$G$2:$G$11))),"")</f>
        <v/>
      </c>
      <c r="Y1481" s="150"/>
      <c r="Z1481" s="53"/>
    </row>
    <row r="1482" spans="7:26" x14ac:dyDescent="0.2">
      <c r="G1482" s="85" t="s">
        <v>12</v>
      </c>
      <c r="R1482" s="53"/>
      <c r="S1482" s="53"/>
      <c r="T1482" s="53"/>
      <c r="U1482" s="53"/>
      <c r="V1482" s="53"/>
      <c r="W1482" s="53"/>
      <c r="X1482" s="61" t="str">
        <f>IFERROR(IF(W1482="","",WORKDAY.INTL(B1482,_xlfn.XLOOKUP(W1482,Regras!$F$2:$F$11,Regras!$G$2:$G$11))),"")</f>
        <v/>
      </c>
      <c r="Y1482" s="150"/>
      <c r="Z1482" s="53"/>
    </row>
    <row r="1483" spans="7:26" x14ac:dyDescent="0.2">
      <c r="G1483" s="85" t="s">
        <v>12</v>
      </c>
      <c r="R1483" s="53"/>
      <c r="S1483" s="53"/>
      <c r="T1483" s="53"/>
      <c r="U1483" s="53"/>
      <c r="V1483" s="53"/>
      <c r="W1483" s="53"/>
      <c r="X1483" s="61" t="str">
        <f>IFERROR(IF(W1483="","",WORKDAY.INTL(B1483,_xlfn.XLOOKUP(W1483,Regras!$F$2:$F$11,Regras!$G$2:$G$11))),"")</f>
        <v/>
      </c>
      <c r="Y1483" s="150"/>
      <c r="Z1483" s="53"/>
    </row>
    <row r="1484" spans="7:26" x14ac:dyDescent="0.2">
      <c r="G1484" s="85" t="s">
        <v>12</v>
      </c>
      <c r="R1484" s="53"/>
      <c r="S1484" s="53"/>
      <c r="T1484" s="53"/>
      <c r="U1484" s="53"/>
      <c r="V1484" s="53"/>
      <c r="W1484" s="53"/>
      <c r="X1484" s="61" t="str">
        <f>IFERROR(IF(W1484="","",WORKDAY.INTL(B1484,_xlfn.XLOOKUP(W1484,Regras!$F$2:$F$11,Regras!$G$2:$G$11))),"")</f>
        <v/>
      </c>
      <c r="Y1484" s="150"/>
      <c r="Z1484" s="53"/>
    </row>
    <row r="1485" spans="7:26" x14ac:dyDescent="0.2">
      <c r="G1485" s="85" t="s">
        <v>12</v>
      </c>
      <c r="R1485" s="53"/>
      <c r="S1485" s="53"/>
      <c r="T1485" s="53"/>
      <c r="U1485" s="53"/>
      <c r="V1485" s="53"/>
      <c r="W1485" s="53"/>
      <c r="X1485" s="61" t="str">
        <f>IFERROR(IF(W1485="","",WORKDAY.INTL(B1485,_xlfn.XLOOKUP(W1485,Regras!$F$2:$F$11,Regras!$G$2:$G$11))),"")</f>
        <v/>
      </c>
      <c r="Y1485" s="150"/>
      <c r="Z1485" s="53"/>
    </row>
    <row r="1486" spans="7:26" x14ac:dyDescent="0.2">
      <c r="G1486" s="85" t="s">
        <v>12</v>
      </c>
      <c r="R1486" s="53"/>
      <c r="S1486" s="53"/>
      <c r="T1486" s="53"/>
      <c r="U1486" s="53"/>
      <c r="V1486" s="53"/>
      <c r="W1486" s="53"/>
      <c r="X1486" s="61" t="str">
        <f>IFERROR(IF(W1486="","",WORKDAY.INTL(B1486,_xlfn.XLOOKUP(W1486,Regras!$F$2:$F$11,Regras!$G$2:$G$11))),"")</f>
        <v/>
      </c>
      <c r="Y1486" s="150"/>
      <c r="Z1486" s="53"/>
    </row>
    <row r="1487" spans="7:26" x14ac:dyDescent="0.2">
      <c r="G1487" s="85" t="s">
        <v>12</v>
      </c>
      <c r="R1487" s="53"/>
      <c r="S1487" s="53"/>
      <c r="T1487" s="53"/>
      <c r="U1487" s="53"/>
      <c r="V1487" s="53"/>
      <c r="W1487" s="53"/>
      <c r="X1487" s="61" t="str">
        <f>IFERROR(IF(W1487="","",WORKDAY.INTL(B1487,_xlfn.XLOOKUP(W1487,Regras!$F$2:$F$11,Regras!$G$2:$G$11))),"")</f>
        <v/>
      </c>
      <c r="Y1487" s="150"/>
      <c r="Z1487" s="53"/>
    </row>
    <row r="1488" spans="7:26" x14ac:dyDescent="0.2">
      <c r="G1488" s="85" t="s">
        <v>12</v>
      </c>
      <c r="R1488" s="53"/>
      <c r="S1488" s="53"/>
      <c r="T1488" s="53"/>
      <c r="U1488" s="53"/>
      <c r="V1488" s="53"/>
      <c r="W1488" s="53"/>
      <c r="X1488" s="61" t="str">
        <f>IFERROR(IF(W1488="","",WORKDAY.INTL(B1488,_xlfn.XLOOKUP(W1488,Regras!$F$2:$F$11,Regras!$G$2:$G$11))),"")</f>
        <v/>
      </c>
      <c r="Y1488" s="150"/>
      <c r="Z1488" s="53"/>
    </row>
    <row r="1489" spans="7:26" x14ac:dyDescent="0.2">
      <c r="G1489" s="85" t="s">
        <v>12</v>
      </c>
      <c r="R1489" s="53"/>
      <c r="S1489" s="53"/>
      <c r="T1489" s="53"/>
      <c r="U1489" s="53"/>
      <c r="V1489" s="53"/>
      <c r="W1489" s="53"/>
      <c r="X1489" s="61" t="str">
        <f>IFERROR(IF(W1489="","",WORKDAY.INTL(B1489,_xlfn.XLOOKUP(W1489,Regras!$F$2:$F$11,Regras!$G$2:$G$11))),"")</f>
        <v/>
      </c>
      <c r="Y1489" s="150"/>
      <c r="Z1489" s="53"/>
    </row>
    <row r="1490" spans="7:26" x14ac:dyDescent="0.2">
      <c r="G1490" s="85" t="s">
        <v>12</v>
      </c>
      <c r="R1490" s="53"/>
      <c r="S1490" s="53"/>
      <c r="T1490" s="53"/>
      <c r="U1490" s="53"/>
      <c r="V1490" s="53"/>
      <c r="W1490" s="53"/>
      <c r="X1490" s="61" t="str">
        <f>IFERROR(IF(W1490="","",WORKDAY.INTL(B1490,_xlfn.XLOOKUP(W1490,Regras!$F$2:$F$11,Regras!$G$2:$G$11))),"")</f>
        <v/>
      </c>
      <c r="Y1490" s="150"/>
      <c r="Z1490" s="53"/>
    </row>
    <row r="1491" spans="7:26" x14ac:dyDescent="0.2">
      <c r="G1491" s="85" t="s">
        <v>12</v>
      </c>
      <c r="R1491" s="53"/>
      <c r="S1491" s="53"/>
      <c r="T1491" s="53"/>
      <c r="U1491" s="53"/>
      <c r="V1491" s="53"/>
      <c r="W1491" s="53"/>
      <c r="X1491" s="61" t="str">
        <f>IFERROR(IF(W1491="","",WORKDAY.INTL(B1491,_xlfn.XLOOKUP(W1491,Regras!$F$2:$F$11,Regras!$G$2:$G$11))),"")</f>
        <v/>
      </c>
      <c r="Y1491" s="150"/>
      <c r="Z1491" s="53"/>
    </row>
    <row r="1492" spans="7:26" x14ac:dyDescent="0.2">
      <c r="G1492" s="85" t="s">
        <v>12</v>
      </c>
      <c r="R1492" s="53"/>
      <c r="S1492" s="53"/>
      <c r="T1492" s="53"/>
      <c r="U1492" s="53"/>
      <c r="V1492" s="53"/>
      <c r="W1492" s="53"/>
      <c r="X1492" s="61" t="str">
        <f>IFERROR(IF(W1492="","",WORKDAY.INTL(B1492,_xlfn.XLOOKUP(W1492,Regras!$F$2:$F$11,Regras!$G$2:$G$11))),"")</f>
        <v/>
      </c>
      <c r="Y1492" s="150"/>
      <c r="Z1492" s="53"/>
    </row>
    <row r="1493" spans="7:26" x14ac:dyDescent="0.2">
      <c r="G1493" s="85" t="s">
        <v>12</v>
      </c>
      <c r="R1493" s="53"/>
      <c r="S1493" s="53"/>
      <c r="T1493" s="53"/>
      <c r="U1493" s="53"/>
      <c r="V1493" s="53"/>
      <c r="W1493" s="53"/>
      <c r="X1493" s="61" t="str">
        <f>IFERROR(IF(W1493="","",WORKDAY.INTL(B1493,_xlfn.XLOOKUP(W1493,Regras!$F$2:$F$11,Regras!$G$2:$G$11))),"")</f>
        <v/>
      </c>
      <c r="Y1493" s="150"/>
      <c r="Z1493" s="53"/>
    </row>
    <row r="1494" spans="7:26" x14ac:dyDescent="0.2">
      <c r="G1494" s="85" t="s">
        <v>12</v>
      </c>
      <c r="R1494" s="53"/>
      <c r="S1494" s="53"/>
      <c r="T1494" s="53"/>
      <c r="U1494" s="53"/>
      <c r="V1494" s="53"/>
      <c r="W1494" s="53"/>
      <c r="X1494" s="61" t="str">
        <f>IFERROR(IF(W1494="","",WORKDAY.INTL(B1494,_xlfn.XLOOKUP(W1494,Regras!$F$2:$F$11,Regras!$G$2:$G$11))),"")</f>
        <v/>
      </c>
      <c r="Y1494" s="150"/>
      <c r="Z1494" s="53"/>
    </row>
    <row r="1495" spans="7:26" x14ac:dyDescent="0.2">
      <c r="G1495" s="85" t="s">
        <v>12</v>
      </c>
      <c r="R1495" s="53"/>
      <c r="S1495" s="53"/>
      <c r="T1495" s="53"/>
      <c r="U1495" s="53"/>
      <c r="V1495" s="53"/>
      <c r="W1495" s="53"/>
      <c r="X1495" s="61" t="str">
        <f>IFERROR(IF(W1495="","",WORKDAY.INTL(B1495,_xlfn.XLOOKUP(W1495,Regras!$F$2:$F$11,Regras!$G$2:$G$11))),"")</f>
        <v/>
      </c>
      <c r="Y1495" s="150"/>
      <c r="Z1495" s="53"/>
    </row>
    <row r="1496" spans="7:26" x14ac:dyDescent="0.2">
      <c r="G1496" s="85" t="s">
        <v>12</v>
      </c>
      <c r="R1496" s="53"/>
      <c r="S1496" s="53"/>
      <c r="T1496" s="53"/>
      <c r="U1496" s="53"/>
      <c r="V1496" s="53"/>
      <c r="W1496" s="53"/>
      <c r="X1496" s="61" t="str">
        <f>IFERROR(IF(W1496="","",WORKDAY.INTL(B1496,_xlfn.XLOOKUP(W1496,Regras!$F$2:$F$11,Regras!$G$2:$G$11))),"")</f>
        <v/>
      </c>
      <c r="Y1496" s="150"/>
      <c r="Z1496" s="53"/>
    </row>
    <row r="1497" spans="7:26" x14ac:dyDescent="0.2">
      <c r="G1497" s="85" t="s">
        <v>12</v>
      </c>
      <c r="R1497" s="53"/>
      <c r="S1497" s="53"/>
      <c r="T1497" s="53"/>
      <c r="U1497" s="53"/>
      <c r="V1497" s="53"/>
      <c r="W1497" s="53"/>
      <c r="X1497" s="61" t="str">
        <f>IFERROR(IF(W1497="","",WORKDAY.INTL(B1497,_xlfn.XLOOKUP(W1497,Regras!$F$2:$F$11,Regras!$G$2:$G$11))),"")</f>
        <v/>
      </c>
      <c r="Y1497" s="150"/>
      <c r="Z1497" s="53"/>
    </row>
    <row r="1498" spans="7:26" x14ac:dyDescent="0.2">
      <c r="G1498" s="85" t="s">
        <v>12</v>
      </c>
      <c r="R1498" s="53"/>
      <c r="S1498" s="53"/>
      <c r="T1498" s="53"/>
      <c r="U1498" s="53"/>
      <c r="V1498" s="53"/>
      <c r="W1498" s="53"/>
      <c r="X1498" s="61" t="str">
        <f>IFERROR(IF(W1498="","",WORKDAY.INTL(B1498,_xlfn.XLOOKUP(W1498,Regras!$F$2:$F$11,Regras!$G$2:$G$11))),"")</f>
        <v/>
      </c>
      <c r="Y1498" s="150"/>
      <c r="Z1498" s="53"/>
    </row>
    <row r="1499" spans="7:26" x14ac:dyDescent="0.2">
      <c r="G1499" s="85" t="s">
        <v>12</v>
      </c>
      <c r="R1499" s="53"/>
      <c r="S1499" s="53"/>
      <c r="T1499" s="53"/>
      <c r="U1499" s="53"/>
      <c r="V1499" s="53"/>
      <c r="W1499" s="53"/>
      <c r="X1499" s="61" t="str">
        <f>IFERROR(IF(W1499="","",WORKDAY.INTL(B1499,_xlfn.XLOOKUP(W1499,Regras!$F$2:$F$11,Regras!$G$2:$G$11))),"")</f>
        <v/>
      </c>
      <c r="Y1499" s="150"/>
      <c r="Z1499" s="53"/>
    </row>
    <row r="1500" spans="7:26" x14ac:dyDescent="0.2">
      <c r="G1500" s="85" t="s">
        <v>12</v>
      </c>
      <c r="R1500" s="53"/>
      <c r="S1500" s="53"/>
      <c r="T1500" s="53"/>
      <c r="U1500" s="53"/>
      <c r="V1500" s="53"/>
      <c r="W1500" s="53"/>
      <c r="X1500" s="61" t="str">
        <f>IFERROR(IF(W1500="","",WORKDAY.INTL(B1500,_xlfn.XLOOKUP(W1500,Regras!$F$2:$F$11,Regras!$G$2:$G$11))),"")</f>
        <v/>
      </c>
      <c r="Y1500" s="150"/>
      <c r="Z1500" s="53"/>
    </row>
    <row r="1501" spans="7:26" x14ac:dyDescent="0.2">
      <c r="G1501" s="85" t="s">
        <v>12</v>
      </c>
      <c r="R1501" s="53"/>
      <c r="S1501" s="53"/>
      <c r="T1501" s="53"/>
      <c r="U1501" s="53"/>
      <c r="V1501" s="53"/>
      <c r="W1501" s="53"/>
      <c r="X1501" s="61" t="str">
        <f>IFERROR(IF(W1501="","",WORKDAY.INTL(B1501,_xlfn.XLOOKUP(W1501,Regras!$F$2:$F$11,Regras!$G$2:$G$11))),"")</f>
        <v/>
      </c>
      <c r="Y1501" s="150"/>
      <c r="Z1501" s="53"/>
    </row>
    <row r="1502" spans="7:26" x14ac:dyDescent="0.2">
      <c r="G1502" s="85" t="s">
        <v>12</v>
      </c>
      <c r="R1502" s="53"/>
      <c r="S1502" s="53"/>
      <c r="T1502" s="53"/>
      <c r="U1502" s="53"/>
      <c r="V1502" s="53"/>
      <c r="W1502" s="53"/>
      <c r="X1502" s="61" t="str">
        <f>IFERROR(IF(W1502="","",WORKDAY.INTL(B1502,_xlfn.XLOOKUP(W1502,Regras!$F$2:$F$11,Regras!$G$2:$G$11))),"")</f>
        <v/>
      </c>
      <c r="Y1502" s="150"/>
      <c r="Z1502" s="53"/>
    </row>
    <row r="1503" spans="7:26" x14ac:dyDescent="0.2">
      <c r="G1503" s="85" t="s">
        <v>12</v>
      </c>
      <c r="R1503" s="53"/>
      <c r="S1503" s="53"/>
      <c r="T1503" s="53"/>
      <c r="U1503" s="53"/>
      <c r="V1503" s="53"/>
      <c r="W1503" s="53"/>
      <c r="X1503" s="61" t="str">
        <f>IFERROR(IF(W1503="","",WORKDAY.INTL(B1503,_xlfn.XLOOKUP(W1503,Regras!$F$2:$F$11,Regras!$G$2:$G$11))),"")</f>
        <v/>
      </c>
      <c r="Y1503" s="150"/>
      <c r="Z1503" s="53"/>
    </row>
    <row r="1504" spans="7:26" x14ac:dyDescent="0.2">
      <c r="G1504" s="85" t="s">
        <v>12</v>
      </c>
      <c r="R1504" s="53"/>
      <c r="S1504" s="53"/>
      <c r="T1504" s="53"/>
      <c r="U1504" s="53"/>
      <c r="V1504" s="53"/>
      <c r="W1504" s="53"/>
      <c r="X1504" s="61" t="str">
        <f>IFERROR(IF(W1504="","",WORKDAY.INTL(B1504,_xlfn.XLOOKUP(W1504,Regras!$F$2:$F$11,Regras!$G$2:$G$11))),"")</f>
        <v/>
      </c>
      <c r="Y1504" s="150"/>
      <c r="Z1504" s="53"/>
    </row>
    <row r="1505" spans="7:26" x14ac:dyDescent="0.2">
      <c r="G1505" s="85" t="s">
        <v>12</v>
      </c>
      <c r="R1505" s="53"/>
      <c r="S1505" s="53"/>
      <c r="T1505" s="53"/>
      <c r="U1505" s="53"/>
      <c r="V1505" s="53"/>
      <c r="W1505" s="53"/>
      <c r="X1505" s="61" t="str">
        <f>IFERROR(IF(W1505="","",WORKDAY.INTL(B1505,_xlfn.XLOOKUP(W1505,Regras!$F$2:$F$11,Regras!$G$2:$G$11))),"")</f>
        <v/>
      </c>
      <c r="Y1505" s="150"/>
      <c r="Z1505" s="53"/>
    </row>
    <row r="1506" spans="7:26" x14ac:dyDescent="0.2">
      <c r="G1506" s="85" t="s">
        <v>12</v>
      </c>
      <c r="R1506" s="53"/>
      <c r="S1506" s="53"/>
      <c r="T1506" s="53"/>
      <c r="U1506" s="53"/>
      <c r="V1506" s="53"/>
      <c r="W1506" s="53"/>
      <c r="X1506" s="61" t="str">
        <f>IFERROR(IF(W1506="","",WORKDAY.INTL(B1506,_xlfn.XLOOKUP(W1506,Regras!$F$2:$F$11,Regras!$G$2:$G$11))),"")</f>
        <v/>
      </c>
      <c r="Y1506" s="150"/>
      <c r="Z1506" s="53"/>
    </row>
    <row r="1507" spans="7:26" x14ac:dyDescent="0.2">
      <c r="G1507" s="85" t="s">
        <v>12</v>
      </c>
      <c r="R1507" s="53"/>
      <c r="S1507" s="53"/>
      <c r="T1507" s="53"/>
      <c r="U1507" s="53"/>
      <c r="V1507" s="53"/>
      <c r="W1507" s="53"/>
      <c r="X1507" s="61" t="str">
        <f>IFERROR(IF(W1507="","",WORKDAY.INTL(B1507,_xlfn.XLOOKUP(W1507,Regras!$F$2:$F$11,Regras!$G$2:$G$11))),"")</f>
        <v/>
      </c>
      <c r="Y1507" s="150"/>
      <c r="Z1507" s="53"/>
    </row>
    <row r="1508" spans="7:26" x14ac:dyDescent="0.2">
      <c r="G1508" s="85" t="s">
        <v>12</v>
      </c>
      <c r="R1508" s="53"/>
      <c r="S1508" s="53"/>
      <c r="T1508" s="53"/>
      <c r="U1508" s="53"/>
      <c r="V1508" s="53"/>
      <c r="W1508" s="53"/>
      <c r="X1508" s="61" t="str">
        <f>IFERROR(IF(W1508="","",WORKDAY.INTL(B1508,_xlfn.XLOOKUP(W1508,Regras!$F$2:$F$11,Regras!$G$2:$G$11))),"")</f>
        <v/>
      </c>
      <c r="Y1508" s="150"/>
      <c r="Z1508" s="53"/>
    </row>
    <row r="1509" spans="7:26" x14ac:dyDescent="0.2">
      <c r="G1509" s="85" t="s">
        <v>12</v>
      </c>
      <c r="R1509" s="53"/>
      <c r="S1509" s="53"/>
      <c r="T1509" s="53"/>
      <c r="U1509" s="53"/>
      <c r="V1509" s="53"/>
      <c r="W1509" s="53"/>
      <c r="X1509" s="61" t="str">
        <f>IFERROR(IF(W1509="","",WORKDAY.INTL(B1509,_xlfn.XLOOKUP(W1509,Regras!$F$2:$F$11,Regras!$G$2:$G$11))),"")</f>
        <v/>
      </c>
      <c r="Y1509" s="150"/>
      <c r="Z1509" s="53"/>
    </row>
    <row r="1510" spans="7:26" x14ac:dyDescent="0.2">
      <c r="G1510" s="85" t="s">
        <v>12</v>
      </c>
      <c r="R1510" s="53"/>
      <c r="S1510" s="53"/>
      <c r="T1510" s="53"/>
      <c r="U1510" s="53"/>
      <c r="V1510" s="53"/>
      <c r="W1510" s="53"/>
      <c r="X1510" s="61" t="str">
        <f>IFERROR(IF(W1510="","",WORKDAY.INTL(B1510,_xlfn.XLOOKUP(W1510,Regras!$F$2:$F$11,Regras!$G$2:$G$11))),"")</f>
        <v/>
      </c>
      <c r="Y1510" s="150"/>
      <c r="Z1510" s="53"/>
    </row>
    <row r="1511" spans="7:26" x14ac:dyDescent="0.2">
      <c r="G1511" s="85" t="s">
        <v>12</v>
      </c>
      <c r="R1511" s="53"/>
      <c r="S1511" s="53"/>
      <c r="T1511" s="53"/>
      <c r="U1511" s="53"/>
      <c r="V1511" s="53"/>
      <c r="W1511" s="53"/>
      <c r="X1511" s="61" t="str">
        <f>IFERROR(IF(W1511="","",WORKDAY.INTL(B1511,_xlfn.XLOOKUP(W1511,Regras!$F$2:$F$11,Regras!$G$2:$G$11))),"")</f>
        <v/>
      </c>
      <c r="Y1511" s="150"/>
      <c r="Z1511" s="53"/>
    </row>
    <row r="1512" spans="7:26" x14ac:dyDescent="0.2">
      <c r="G1512" s="85" t="s">
        <v>12</v>
      </c>
      <c r="R1512" s="53"/>
      <c r="S1512" s="53"/>
      <c r="T1512" s="53"/>
      <c r="U1512" s="53"/>
      <c r="V1512" s="53"/>
      <c r="W1512" s="53"/>
      <c r="X1512" s="61" t="str">
        <f>IFERROR(IF(W1512="","",WORKDAY.INTL(B1512,_xlfn.XLOOKUP(W1512,Regras!$F$2:$F$11,Regras!$G$2:$G$11))),"")</f>
        <v/>
      </c>
      <c r="Y1512" s="150"/>
      <c r="Z1512" s="53"/>
    </row>
    <row r="1513" spans="7:26" x14ac:dyDescent="0.2">
      <c r="G1513" s="85" t="s">
        <v>12</v>
      </c>
      <c r="R1513" s="53"/>
      <c r="S1513" s="53"/>
      <c r="T1513" s="53"/>
      <c r="U1513" s="53"/>
      <c r="V1513" s="53"/>
      <c r="W1513" s="53"/>
      <c r="X1513" s="61" t="str">
        <f>IFERROR(IF(W1513="","",WORKDAY.INTL(B1513,_xlfn.XLOOKUP(W1513,Regras!$F$2:$F$11,Regras!$G$2:$G$11))),"")</f>
        <v/>
      </c>
      <c r="Y1513" s="150"/>
      <c r="Z1513" s="53"/>
    </row>
    <row r="1514" spans="7:26" x14ac:dyDescent="0.2">
      <c r="G1514" s="85" t="s">
        <v>12</v>
      </c>
      <c r="R1514" s="53"/>
      <c r="S1514" s="53"/>
      <c r="T1514" s="53"/>
      <c r="U1514" s="53"/>
      <c r="V1514" s="53"/>
      <c r="W1514" s="53"/>
      <c r="X1514" s="61" t="str">
        <f>IFERROR(IF(W1514="","",WORKDAY.INTL(B1514,_xlfn.XLOOKUP(W1514,Regras!$F$2:$F$11,Regras!$G$2:$G$11))),"")</f>
        <v/>
      </c>
      <c r="Y1514" s="150"/>
      <c r="Z1514" s="53"/>
    </row>
    <row r="1515" spans="7:26" x14ac:dyDescent="0.2">
      <c r="G1515" s="85" t="s">
        <v>12</v>
      </c>
      <c r="R1515" s="53"/>
      <c r="S1515" s="53"/>
      <c r="T1515" s="53"/>
      <c r="U1515" s="53"/>
      <c r="V1515" s="53"/>
      <c r="W1515" s="53"/>
      <c r="X1515" s="61" t="str">
        <f>IFERROR(IF(W1515="","",WORKDAY.INTL(B1515,_xlfn.XLOOKUP(W1515,Regras!$F$2:$F$11,Regras!$G$2:$G$11))),"")</f>
        <v/>
      </c>
      <c r="Y1515" s="150"/>
      <c r="Z1515" s="53"/>
    </row>
    <row r="1516" spans="7:26" x14ac:dyDescent="0.2">
      <c r="G1516" s="85" t="s">
        <v>12</v>
      </c>
      <c r="R1516" s="53"/>
      <c r="S1516" s="53"/>
      <c r="T1516" s="53"/>
      <c r="U1516" s="53"/>
      <c r="V1516" s="53"/>
      <c r="W1516" s="53"/>
      <c r="X1516" s="61" t="str">
        <f>IFERROR(IF(W1516="","",WORKDAY.INTL(B1516,_xlfn.XLOOKUP(W1516,Regras!$F$2:$F$11,Regras!$G$2:$G$11))),"")</f>
        <v/>
      </c>
      <c r="Y1516" s="150"/>
      <c r="Z1516" s="53"/>
    </row>
    <row r="1517" spans="7:26" x14ac:dyDescent="0.2">
      <c r="G1517" s="85" t="s">
        <v>12</v>
      </c>
      <c r="R1517" s="53"/>
      <c r="S1517" s="53"/>
      <c r="T1517" s="53"/>
      <c r="U1517" s="53"/>
      <c r="V1517" s="53"/>
      <c r="W1517" s="53"/>
      <c r="X1517" s="61" t="str">
        <f>IFERROR(IF(W1517="","",WORKDAY.INTL(B1517,_xlfn.XLOOKUP(W1517,Regras!$F$2:$F$11,Regras!$G$2:$G$11))),"")</f>
        <v/>
      </c>
      <c r="Y1517" s="150"/>
      <c r="Z1517" s="53"/>
    </row>
    <row r="1518" spans="7:26" x14ac:dyDescent="0.2">
      <c r="G1518" s="85" t="s">
        <v>12</v>
      </c>
      <c r="R1518" s="53"/>
      <c r="S1518" s="53"/>
      <c r="T1518" s="53"/>
      <c r="U1518" s="53"/>
      <c r="V1518" s="53"/>
      <c r="W1518" s="53"/>
      <c r="X1518" s="61" t="str">
        <f>IFERROR(IF(W1518="","",WORKDAY.INTL(B1518,_xlfn.XLOOKUP(W1518,Regras!$F$2:$F$11,Regras!$G$2:$G$11))),"")</f>
        <v/>
      </c>
      <c r="Y1518" s="150"/>
      <c r="Z1518" s="53"/>
    </row>
    <row r="1519" spans="7:26" x14ac:dyDescent="0.2">
      <c r="G1519" s="85" t="s">
        <v>12</v>
      </c>
      <c r="R1519" s="53"/>
      <c r="S1519" s="53"/>
      <c r="T1519" s="53"/>
      <c r="U1519" s="53"/>
      <c r="V1519" s="53"/>
      <c r="W1519" s="53"/>
      <c r="X1519" s="61" t="str">
        <f>IFERROR(IF(W1519="","",WORKDAY.INTL(B1519,_xlfn.XLOOKUP(W1519,Regras!$F$2:$F$11,Regras!$G$2:$G$11))),"")</f>
        <v/>
      </c>
      <c r="Y1519" s="150"/>
      <c r="Z1519" s="53"/>
    </row>
    <row r="1520" spans="7:26" x14ac:dyDescent="0.2">
      <c r="G1520" s="85" t="s">
        <v>12</v>
      </c>
      <c r="R1520" s="53"/>
      <c r="S1520" s="53"/>
      <c r="T1520" s="53"/>
      <c r="U1520" s="53"/>
      <c r="V1520" s="53"/>
      <c r="W1520" s="53"/>
      <c r="X1520" s="61" t="str">
        <f>IFERROR(IF(W1520="","",WORKDAY.INTL(B1520,_xlfn.XLOOKUP(W1520,Regras!$F$2:$F$11,Regras!$G$2:$G$11))),"")</f>
        <v/>
      </c>
      <c r="Y1520" s="150"/>
      <c r="Z1520" s="53"/>
    </row>
    <row r="1521" spans="7:26" x14ac:dyDescent="0.2">
      <c r="G1521" s="85" t="s">
        <v>12</v>
      </c>
      <c r="R1521" s="53"/>
      <c r="S1521" s="53"/>
      <c r="T1521" s="53"/>
      <c r="U1521" s="53"/>
      <c r="V1521" s="53"/>
      <c r="W1521" s="53"/>
      <c r="X1521" s="61" t="str">
        <f>IFERROR(IF(W1521="","",WORKDAY.INTL(B1521,_xlfn.XLOOKUP(W1521,Regras!$F$2:$F$11,Regras!$G$2:$G$11))),"")</f>
        <v/>
      </c>
      <c r="Y1521" s="150"/>
      <c r="Z1521" s="53"/>
    </row>
    <row r="1522" spans="7:26" x14ac:dyDescent="0.2">
      <c r="G1522" s="85" t="s">
        <v>12</v>
      </c>
      <c r="R1522" s="53"/>
      <c r="S1522" s="53"/>
      <c r="T1522" s="53"/>
      <c r="U1522" s="53"/>
      <c r="V1522" s="53"/>
      <c r="W1522" s="53"/>
      <c r="X1522" s="61" t="str">
        <f>IFERROR(IF(W1522="","",WORKDAY.INTL(B1522,_xlfn.XLOOKUP(W1522,Regras!$F$2:$F$11,Regras!$G$2:$G$11))),"")</f>
        <v/>
      </c>
      <c r="Y1522" s="150"/>
      <c r="Z1522" s="53"/>
    </row>
    <row r="1523" spans="7:26" x14ac:dyDescent="0.2">
      <c r="G1523" s="85" t="s">
        <v>12</v>
      </c>
      <c r="R1523" s="53"/>
      <c r="S1523" s="53"/>
      <c r="T1523" s="53"/>
      <c r="U1523" s="53"/>
      <c r="V1523" s="53"/>
      <c r="W1523" s="53"/>
      <c r="X1523" s="61" t="str">
        <f>IFERROR(IF(W1523="","",WORKDAY.INTL(B1523,_xlfn.XLOOKUP(W1523,Regras!$F$2:$F$11,Regras!$G$2:$G$11))),"")</f>
        <v/>
      </c>
      <c r="Y1523" s="150"/>
      <c r="Z1523" s="53"/>
    </row>
    <row r="1524" spans="7:26" x14ac:dyDescent="0.2">
      <c r="G1524" s="85" t="s">
        <v>12</v>
      </c>
      <c r="R1524" s="53"/>
      <c r="S1524" s="53"/>
      <c r="T1524" s="53"/>
      <c r="U1524" s="53"/>
      <c r="V1524" s="53"/>
      <c r="W1524" s="53"/>
      <c r="X1524" s="61" t="str">
        <f>IFERROR(IF(W1524="","",WORKDAY.INTL(B1524,_xlfn.XLOOKUP(W1524,Regras!$F$2:$F$11,Regras!$G$2:$G$11))),"")</f>
        <v/>
      </c>
      <c r="Y1524" s="150"/>
      <c r="Z1524" s="53"/>
    </row>
    <row r="1525" spans="7:26" x14ac:dyDescent="0.2">
      <c r="G1525" s="85" t="s">
        <v>12</v>
      </c>
      <c r="R1525" s="53"/>
      <c r="S1525" s="53"/>
      <c r="T1525" s="53"/>
      <c r="U1525" s="53"/>
      <c r="V1525" s="53"/>
      <c r="W1525" s="53"/>
      <c r="X1525" s="61" t="str">
        <f>IFERROR(IF(W1525="","",WORKDAY.INTL(B1525,_xlfn.XLOOKUP(W1525,Regras!$F$2:$F$11,Regras!$G$2:$G$11))),"")</f>
        <v/>
      </c>
      <c r="Y1525" s="150"/>
      <c r="Z1525" s="53"/>
    </row>
    <row r="1526" spans="7:26" x14ac:dyDescent="0.2">
      <c r="G1526" s="85" t="s">
        <v>12</v>
      </c>
      <c r="R1526" s="53"/>
      <c r="S1526" s="53"/>
      <c r="T1526" s="53"/>
      <c r="U1526" s="53"/>
      <c r="V1526" s="53"/>
      <c r="W1526" s="53"/>
      <c r="X1526" s="61" t="str">
        <f>IFERROR(IF(W1526="","",WORKDAY.INTL(B1526,_xlfn.XLOOKUP(W1526,Regras!$F$2:$F$11,Regras!$G$2:$G$11))),"")</f>
        <v/>
      </c>
      <c r="Y1526" s="150"/>
      <c r="Z1526" s="53"/>
    </row>
    <row r="1527" spans="7:26" x14ac:dyDescent="0.2">
      <c r="G1527" s="85" t="s">
        <v>12</v>
      </c>
      <c r="R1527" s="53"/>
      <c r="S1527" s="53"/>
      <c r="T1527" s="53"/>
      <c r="U1527" s="53"/>
      <c r="V1527" s="53"/>
      <c r="W1527" s="53"/>
      <c r="X1527" s="61" t="str">
        <f>IFERROR(IF(W1527="","",WORKDAY.INTL(B1527,_xlfn.XLOOKUP(W1527,Regras!$F$2:$F$11,Regras!$G$2:$G$11))),"")</f>
        <v/>
      </c>
      <c r="Y1527" s="150"/>
      <c r="Z1527" s="53"/>
    </row>
    <row r="1528" spans="7:26" x14ac:dyDescent="0.2">
      <c r="G1528" s="85" t="s">
        <v>12</v>
      </c>
      <c r="R1528" s="53"/>
      <c r="S1528" s="53"/>
      <c r="T1528" s="53"/>
      <c r="U1528" s="53"/>
      <c r="V1528" s="53"/>
      <c r="W1528" s="53"/>
      <c r="X1528" s="61" t="str">
        <f>IFERROR(IF(W1528="","",WORKDAY.INTL(B1528,_xlfn.XLOOKUP(W1528,Regras!$F$2:$F$11,Regras!$G$2:$G$11))),"")</f>
        <v/>
      </c>
      <c r="Y1528" s="150"/>
      <c r="Z1528" s="53"/>
    </row>
    <row r="1529" spans="7:26" x14ac:dyDescent="0.2">
      <c r="G1529" s="85" t="s">
        <v>12</v>
      </c>
      <c r="R1529" s="53"/>
      <c r="S1529" s="53"/>
      <c r="T1529" s="53"/>
      <c r="U1529" s="53"/>
      <c r="V1529" s="53"/>
      <c r="W1529" s="53"/>
      <c r="X1529" s="61" t="str">
        <f>IFERROR(IF(W1529="","",WORKDAY.INTL(B1529,_xlfn.XLOOKUP(W1529,Regras!$F$2:$F$11,Regras!$G$2:$G$11))),"")</f>
        <v/>
      </c>
      <c r="Y1529" s="150"/>
      <c r="Z1529" s="53"/>
    </row>
    <row r="1530" spans="7:26" x14ac:dyDescent="0.2">
      <c r="G1530" s="85" t="s">
        <v>12</v>
      </c>
      <c r="R1530" s="53"/>
      <c r="S1530" s="53"/>
      <c r="T1530" s="53"/>
      <c r="U1530" s="53"/>
      <c r="V1530" s="53"/>
      <c r="W1530" s="53"/>
      <c r="X1530" s="61" t="str">
        <f>IFERROR(IF(W1530="","",WORKDAY.INTL(B1530,_xlfn.XLOOKUP(W1530,Regras!$F$2:$F$11,Regras!$G$2:$G$11))),"")</f>
        <v/>
      </c>
      <c r="Y1530" s="150"/>
      <c r="Z1530" s="53"/>
    </row>
    <row r="1531" spans="7:26" x14ac:dyDescent="0.2">
      <c r="G1531" s="85" t="s">
        <v>12</v>
      </c>
      <c r="R1531" s="53"/>
      <c r="S1531" s="53"/>
      <c r="T1531" s="53"/>
      <c r="U1531" s="53"/>
      <c r="V1531" s="53"/>
      <c r="W1531" s="53"/>
      <c r="X1531" s="61" t="str">
        <f>IFERROR(IF(W1531="","",WORKDAY.INTL(B1531,_xlfn.XLOOKUP(W1531,Regras!$F$2:$F$11,Regras!$G$2:$G$11))),"")</f>
        <v/>
      </c>
      <c r="Y1531" s="150"/>
      <c r="Z1531" s="53"/>
    </row>
    <row r="1532" spans="7:26" x14ac:dyDescent="0.2">
      <c r="G1532" s="85" t="s">
        <v>12</v>
      </c>
      <c r="R1532" s="53"/>
      <c r="S1532" s="53"/>
      <c r="T1532" s="53"/>
      <c r="U1532" s="53"/>
      <c r="V1532" s="53"/>
      <c r="W1532" s="53"/>
      <c r="X1532" s="61" t="str">
        <f>IFERROR(IF(W1532="","",WORKDAY.INTL(B1532,_xlfn.XLOOKUP(W1532,Regras!$F$2:$F$11,Regras!$G$2:$G$11))),"")</f>
        <v/>
      </c>
      <c r="Y1532" s="150"/>
      <c r="Z1532" s="53"/>
    </row>
    <row r="1533" spans="7:26" x14ac:dyDescent="0.2">
      <c r="G1533" s="85" t="s">
        <v>12</v>
      </c>
      <c r="R1533" s="53"/>
      <c r="S1533" s="53"/>
      <c r="T1533" s="53"/>
      <c r="U1533" s="53"/>
      <c r="V1533" s="53"/>
      <c r="W1533" s="53"/>
      <c r="X1533" s="61" t="str">
        <f>IFERROR(IF(W1533="","",WORKDAY.INTL(B1533,_xlfn.XLOOKUP(W1533,Regras!$F$2:$F$11,Regras!$G$2:$G$11))),"")</f>
        <v/>
      </c>
      <c r="Y1533" s="150"/>
      <c r="Z1533" s="53"/>
    </row>
    <row r="1534" spans="7:26" x14ac:dyDescent="0.2">
      <c r="G1534" s="85" t="s">
        <v>12</v>
      </c>
      <c r="R1534" s="53"/>
      <c r="S1534" s="53"/>
      <c r="T1534" s="53"/>
      <c r="U1534" s="53"/>
      <c r="V1534" s="53"/>
      <c r="W1534" s="53"/>
      <c r="X1534" s="61" t="str">
        <f>IFERROR(IF(W1534="","",WORKDAY.INTL(B1534,_xlfn.XLOOKUP(W1534,Regras!$F$2:$F$11,Regras!$G$2:$G$11))),"")</f>
        <v/>
      </c>
      <c r="Y1534" s="150"/>
      <c r="Z1534" s="53"/>
    </row>
    <row r="1535" spans="7:26" x14ac:dyDescent="0.2">
      <c r="G1535" s="85" t="s">
        <v>12</v>
      </c>
      <c r="R1535" s="53"/>
      <c r="S1535" s="53"/>
      <c r="T1535" s="53"/>
      <c r="U1535" s="53"/>
      <c r="V1535" s="53"/>
      <c r="W1535" s="53"/>
      <c r="X1535" s="61" t="str">
        <f>IFERROR(IF(W1535="","",WORKDAY.INTL(B1535,_xlfn.XLOOKUP(W1535,Regras!$F$2:$F$11,Regras!$G$2:$G$11))),"")</f>
        <v/>
      </c>
      <c r="Y1535" s="150"/>
      <c r="Z1535" s="53"/>
    </row>
    <row r="1536" spans="7:26" x14ac:dyDescent="0.2">
      <c r="G1536" s="85" t="s">
        <v>12</v>
      </c>
      <c r="R1536" s="53"/>
      <c r="S1536" s="53"/>
      <c r="T1536" s="53"/>
      <c r="U1536" s="53"/>
      <c r="V1536" s="53"/>
      <c r="W1536" s="53"/>
      <c r="X1536" s="61" t="str">
        <f>IFERROR(IF(W1536="","",WORKDAY.INTL(B1536,_xlfn.XLOOKUP(W1536,Regras!$F$2:$F$11,Regras!$G$2:$G$11))),"")</f>
        <v/>
      </c>
      <c r="Y1536" s="150"/>
      <c r="Z1536" s="53"/>
    </row>
    <row r="1537" spans="7:26" x14ac:dyDescent="0.2">
      <c r="G1537" s="85" t="s">
        <v>12</v>
      </c>
      <c r="R1537" s="53"/>
      <c r="S1537" s="53"/>
      <c r="T1537" s="53"/>
      <c r="U1537" s="53"/>
      <c r="V1537" s="53"/>
      <c r="W1537" s="53"/>
      <c r="X1537" s="61" t="str">
        <f>IFERROR(IF(W1537="","",WORKDAY.INTL(B1537,_xlfn.XLOOKUP(W1537,Regras!$F$2:$F$11,Regras!$G$2:$G$11))),"")</f>
        <v/>
      </c>
      <c r="Y1537" s="150"/>
      <c r="Z1537" s="53"/>
    </row>
    <row r="1538" spans="7:26" x14ac:dyDescent="0.2">
      <c r="G1538" s="85" t="s">
        <v>12</v>
      </c>
      <c r="R1538" s="53"/>
      <c r="S1538" s="53"/>
      <c r="T1538" s="53"/>
      <c r="U1538" s="53"/>
      <c r="V1538" s="53"/>
      <c r="W1538" s="53"/>
      <c r="X1538" s="61" t="str">
        <f>IFERROR(IF(W1538="","",WORKDAY.INTL(B1538,_xlfn.XLOOKUP(W1538,Regras!$F$2:$F$11,Regras!$G$2:$G$11))),"")</f>
        <v/>
      </c>
      <c r="Y1538" s="150"/>
      <c r="Z1538" s="53"/>
    </row>
    <row r="1539" spans="7:26" x14ac:dyDescent="0.2">
      <c r="G1539" s="85" t="s">
        <v>12</v>
      </c>
      <c r="R1539" s="53"/>
      <c r="S1539" s="53"/>
      <c r="T1539" s="53"/>
      <c r="U1539" s="53"/>
      <c r="V1539" s="53"/>
      <c r="W1539" s="53"/>
      <c r="X1539" s="61" t="str">
        <f>IFERROR(IF(W1539="","",WORKDAY.INTL(B1539,_xlfn.XLOOKUP(W1539,Regras!$F$2:$F$11,Regras!$G$2:$G$11))),"")</f>
        <v/>
      </c>
      <c r="Y1539" s="150"/>
      <c r="Z1539" s="53"/>
    </row>
    <row r="1540" spans="7:26" x14ac:dyDescent="0.2">
      <c r="G1540" s="85" t="s">
        <v>12</v>
      </c>
      <c r="R1540" s="53"/>
      <c r="S1540" s="53"/>
      <c r="T1540" s="53"/>
      <c r="U1540" s="53"/>
      <c r="V1540" s="53"/>
      <c r="W1540" s="53"/>
      <c r="X1540" s="61" t="str">
        <f>IFERROR(IF(W1540="","",WORKDAY.INTL(B1540,_xlfn.XLOOKUP(W1540,Regras!$F$2:$F$11,Regras!$G$2:$G$11))),"")</f>
        <v/>
      </c>
      <c r="Y1540" s="150"/>
      <c r="Z1540" s="53"/>
    </row>
    <row r="1541" spans="7:26" x14ac:dyDescent="0.2">
      <c r="G1541" s="85" t="s">
        <v>12</v>
      </c>
      <c r="R1541" s="53"/>
      <c r="S1541" s="53"/>
      <c r="T1541" s="53"/>
      <c r="U1541" s="53"/>
      <c r="V1541" s="53"/>
      <c r="W1541" s="53"/>
      <c r="X1541" s="61" t="str">
        <f>IFERROR(IF(W1541="","",WORKDAY.INTL(B1541,_xlfn.XLOOKUP(W1541,Regras!$F$2:$F$11,Regras!$G$2:$G$11))),"")</f>
        <v/>
      </c>
      <c r="Y1541" s="150"/>
      <c r="Z1541" s="53"/>
    </row>
    <row r="1542" spans="7:26" x14ac:dyDescent="0.2">
      <c r="G1542" s="85" t="s">
        <v>12</v>
      </c>
      <c r="R1542" s="53"/>
      <c r="S1542" s="53"/>
      <c r="T1542" s="53"/>
      <c r="U1542" s="53"/>
      <c r="V1542" s="53"/>
      <c r="W1542" s="53"/>
      <c r="X1542" s="61" t="str">
        <f>IFERROR(IF(W1542="","",WORKDAY.INTL(B1542,_xlfn.XLOOKUP(W1542,Regras!$F$2:$F$11,Regras!$G$2:$G$11))),"")</f>
        <v/>
      </c>
      <c r="Y1542" s="150"/>
      <c r="Z1542" s="53"/>
    </row>
    <row r="1543" spans="7:26" x14ac:dyDescent="0.2">
      <c r="G1543" s="85" t="s">
        <v>12</v>
      </c>
      <c r="R1543" s="53"/>
      <c r="S1543" s="53"/>
      <c r="T1543" s="53"/>
      <c r="U1543" s="53"/>
      <c r="V1543" s="53"/>
      <c r="W1543" s="53"/>
      <c r="X1543" s="61" t="str">
        <f>IFERROR(IF(W1543="","",WORKDAY.INTL(B1543,_xlfn.XLOOKUP(W1543,Regras!$F$2:$F$11,Regras!$G$2:$G$11))),"")</f>
        <v/>
      </c>
      <c r="Y1543" s="150"/>
      <c r="Z1543" s="53"/>
    </row>
    <row r="1544" spans="7:26" x14ac:dyDescent="0.2">
      <c r="G1544" s="85" t="s">
        <v>12</v>
      </c>
      <c r="R1544" s="53"/>
      <c r="S1544" s="53"/>
      <c r="T1544" s="53"/>
      <c r="U1544" s="53"/>
      <c r="V1544" s="53"/>
      <c r="W1544" s="53"/>
      <c r="X1544" s="61" t="str">
        <f>IFERROR(IF(W1544="","",WORKDAY.INTL(B1544,_xlfn.XLOOKUP(W1544,Regras!$F$2:$F$11,Regras!$G$2:$G$11))),"")</f>
        <v/>
      </c>
      <c r="Y1544" s="150"/>
      <c r="Z1544" s="53"/>
    </row>
    <row r="1545" spans="7:26" x14ac:dyDescent="0.2">
      <c r="G1545" s="85" t="s">
        <v>12</v>
      </c>
      <c r="R1545" s="53"/>
      <c r="S1545" s="53"/>
      <c r="T1545" s="53"/>
      <c r="U1545" s="53"/>
      <c r="V1545" s="53"/>
      <c r="W1545" s="53"/>
      <c r="X1545" s="61" t="str">
        <f>IFERROR(IF(W1545="","",WORKDAY.INTL(B1545,_xlfn.XLOOKUP(W1545,Regras!$F$2:$F$11,Regras!$G$2:$G$11))),"")</f>
        <v/>
      </c>
      <c r="Y1545" s="150"/>
      <c r="Z1545" s="53"/>
    </row>
    <row r="1546" spans="7:26" x14ac:dyDescent="0.2">
      <c r="G1546" s="85" t="s">
        <v>12</v>
      </c>
      <c r="R1546" s="53"/>
      <c r="S1546" s="53"/>
      <c r="T1546" s="53"/>
      <c r="U1546" s="53"/>
      <c r="V1546" s="53"/>
      <c r="W1546" s="53"/>
      <c r="X1546" s="61" t="str">
        <f>IFERROR(IF(W1546="","",WORKDAY.INTL(B1546,_xlfn.XLOOKUP(W1546,Regras!$F$2:$F$11,Regras!$G$2:$G$11))),"")</f>
        <v/>
      </c>
      <c r="Y1546" s="150"/>
      <c r="Z1546" s="53"/>
    </row>
    <row r="1547" spans="7:26" x14ac:dyDescent="0.2">
      <c r="G1547" s="85" t="s">
        <v>12</v>
      </c>
      <c r="R1547" s="53"/>
      <c r="S1547" s="53"/>
      <c r="T1547" s="53"/>
      <c r="U1547" s="53"/>
      <c r="V1547" s="53"/>
      <c r="W1547" s="53"/>
      <c r="X1547" s="61" t="str">
        <f>IFERROR(IF(W1547="","",WORKDAY.INTL(B1547,_xlfn.XLOOKUP(W1547,Regras!$F$2:$F$11,Regras!$G$2:$G$11))),"")</f>
        <v/>
      </c>
      <c r="Y1547" s="150"/>
      <c r="Z1547" s="53"/>
    </row>
    <row r="1548" spans="7:26" x14ac:dyDescent="0.2">
      <c r="G1548" s="85" t="s">
        <v>12</v>
      </c>
      <c r="R1548" s="53"/>
      <c r="S1548" s="53"/>
      <c r="T1548" s="53"/>
      <c r="U1548" s="53"/>
      <c r="V1548" s="53"/>
      <c r="W1548" s="53"/>
      <c r="X1548" s="61" t="str">
        <f>IFERROR(IF(W1548="","",WORKDAY.INTL(B1548,_xlfn.XLOOKUP(W1548,Regras!$F$2:$F$11,Regras!$G$2:$G$11))),"")</f>
        <v/>
      </c>
      <c r="Y1548" s="150"/>
      <c r="Z1548" s="53"/>
    </row>
    <row r="1549" spans="7:26" x14ac:dyDescent="0.2">
      <c r="G1549" s="85" t="s">
        <v>12</v>
      </c>
      <c r="R1549" s="53"/>
      <c r="S1549" s="53"/>
      <c r="T1549" s="53"/>
      <c r="U1549" s="53"/>
      <c r="V1549" s="53"/>
      <c r="W1549" s="53"/>
      <c r="X1549" s="61" t="str">
        <f>IFERROR(IF(W1549="","",WORKDAY.INTL(B1549,_xlfn.XLOOKUP(W1549,Regras!$F$2:$F$11,Regras!$G$2:$G$11))),"")</f>
        <v/>
      </c>
      <c r="Y1549" s="150"/>
      <c r="Z1549" s="53"/>
    </row>
    <row r="1550" spans="7:26" x14ac:dyDescent="0.2">
      <c r="G1550" s="85" t="s">
        <v>12</v>
      </c>
      <c r="R1550" s="53"/>
      <c r="S1550" s="53"/>
      <c r="T1550" s="53"/>
      <c r="U1550" s="53"/>
      <c r="V1550" s="53"/>
      <c r="W1550" s="53"/>
      <c r="X1550" s="61" t="str">
        <f>IFERROR(IF(W1550="","",WORKDAY.INTL(B1550,_xlfn.XLOOKUP(W1550,Regras!$F$2:$F$11,Regras!$G$2:$G$11))),"")</f>
        <v/>
      </c>
      <c r="Y1550" s="150"/>
      <c r="Z1550" s="53"/>
    </row>
    <row r="1551" spans="7:26" x14ac:dyDescent="0.2">
      <c r="G1551" s="85" t="s">
        <v>12</v>
      </c>
      <c r="R1551" s="53"/>
      <c r="S1551" s="53"/>
      <c r="T1551" s="53"/>
      <c r="U1551" s="53"/>
      <c r="V1551" s="53"/>
      <c r="W1551" s="53"/>
      <c r="X1551" s="61" t="str">
        <f>IFERROR(IF(W1551="","",WORKDAY.INTL(B1551,_xlfn.XLOOKUP(W1551,Regras!$F$2:$F$11,Regras!$G$2:$G$11))),"")</f>
        <v/>
      </c>
      <c r="Y1551" s="150"/>
      <c r="Z1551" s="53"/>
    </row>
    <row r="1552" spans="7:26" x14ac:dyDescent="0.2">
      <c r="G1552" s="85" t="s">
        <v>12</v>
      </c>
      <c r="R1552" s="53"/>
      <c r="S1552" s="53"/>
      <c r="T1552" s="53"/>
      <c r="U1552" s="53"/>
      <c r="V1552" s="53"/>
      <c r="W1552" s="53"/>
      <c r="X1552" s="61" t="str">
        <f>IFERROR(IF(W1552="","",WORKDAY.INTL(B1552,_xlfn.XLOOKUP(W1552,Regras!$F$2:$F$11,Regras!$G$2:$G$11))),"")</f>
        <v/>
      </c>
      <c r="Y1552" s="150"/>
      <c r="Z1552" s="53"/>
    </row>
    <row r="1553" spans="7:26" x14ac:dyDescent="0.2">
      <c r="G1553" s="85" t="s">
        <v>12</v>
      </c>
      <c r="R1553" s="53"/>
      <c r="S1553" s="53"/>
      <c r="T1553" s="53"/>
      <c r="U1553" s="53"/>
      <c r="V1553" s="53"/>
      <c r="W1553" s="53"/>
      <c r="X1553" s="61" t="str">
        <f>IFERROR(IF(W1553="","",WORKDAY.INTL(B1553,_xlfn.XLOOKUP(W1553,Regras!$F$2:$F$11,Regras!$G$2:$G$11))),"")</f>
        <v/>
      </c>
      <c r="Y1553" s="150"/>
      <c r="Z1553" s="53"/>
    </row>
    <row r="1554" spans="7:26" x14ac:dyDescent="0.2">
      <c r="G1554" s="85" t="s">
        <v>12</v>
      </c>
      <c r="R1554" s="53"/>
      <c r="S1554" s="53"/>
      <c r="T1554" s="53"/>
      <c r="U1554" s="53"/>
      <c r="V1554" s="53"/>
      <c r="W1554" s="53"/>
      <c r="X1554" s="61" t="str">
        <f>IFERROR(IF(W1554="","",WORKDAY.INTL(B1554,_xlfn.XLOOKUP(W1554,Regras!$F$2:$F$11,Regras!$G$2:$G$11))),"")</f>
        <v/>
      </c>
      <c r="Y1554" s="150"/>
      <c r="Z1554" s="53"/>
    </row>
    <row r="1555" spans="7:26" x14ac:dyDescent="0.2">
      <c r="G1555" s="85" t="s">
        <v>12</v>
      </c>
      <c r="R1555" s="53"/>
      <c r="S1555" s="53"/>
      <c r="T1555" s="53"/>
      <c r="U1555" s="53"/>
      <c r="V1555" s="53"/>
      <c r="W1555" s="53"/>
      <c r="X1555" s="61" t="str">
        <f>IFERROR(IF(W1555="","",WORKDAY.INTL(B1555,_xlfn.XLOOKUP(W1555,Regras!$F$2:$F$11,Regras!$G$2:$G$11))),"")</f>
        <v/>
      </c>
      <c r="Y1555" s="150"/>
      <c r="Z1555" s="53"/>
    </row>
    <row r="1556" spans="7:26" x14ac:dyDescent="0.2">
      <c r="G1556" s="85" t="s">
        <v>12</v>
      </c>
      <c r="R1556" s="53"/>
      <c r="S1556" s="53"/>
      <c r="T1556" s="53"/>
      <c r="U1556" s="53"/>
      <c r="V1556" s="53"/>
      <c r="W1556" s="53"/>
      <c r="X1556" s="61" t="str">
        <f>IFERROR(IF(W1556="","",WORKDAY.INTL(B1556,_xlfn.XLOOKUP(W1556,Regras!$F$2:$F$11,Regras!$G$2:$G$11))),"")</f>
        <v/>
      </c>
      <c r="Y1556" s="150"/>
      <c r="Z1556" s="53"/>
    </row>
    <row r="1557" spans="7:26" x14ac:dyDescent="0.2">
      <c r="G1557" s="85" t="s">
        <v>12</v>
      </c>
      <c r="R1557" s="53"/>
      <c r="S1557" s="53"/>
      <c r="T1557" s="53"/>
      <c r="U1557" s="53"/>
      <c r="V1557" s="53"/>
      <c r="W1557" s="53"/>
      <c r="X1557" s="61" t="str">
        <f>IFERROR(IF(W1557="","",WORKDAY.INTL(B1557,_xlfn.XLOOKUP(W1557,Regras!$F$2:$F$11,Regras!$G$2:$G$11))),"")</f>
        <v/>
      </c>
      <c r="Y1557" s="150"/>
      <c r="Z1557" s="53"/>
    </row>
    <row r="1558" spans="7:26" x14ac:dyDescent="0.2">
      <c r="G1558" s="85" t="s">
        <v>12</v>
      </c>
      <c r="R1558" s="53"/>
      <c r="S1558" s="53"/>
      <c r="T1558" s="53"/>
      <c r="U1558" s="53"/>
      <c r="V1558" s="53"/>
      <c r="W1558" s="53"/>
      <c r="X1558" s="61" t="str">
        <f>IFERROR(IF(W1558="","",WORKDAY.INTL(B1558,_xlfn.XLOOKUP(W1558,Regras!$F$2:$F$11,Regras!$G$2:$G$11))),"")</f>
        <v/>
      </c>
      <c r="Y1558" s="150"/>
      <c r="Z1558" s="53"/>
    </row>
    <row r="1559" spans="7:26" x14ac:dyDescent="0.2">
      <c r="G1559" s="85" t="s">
        <v>12</v>
      </c>
      <c r="R1559" s="53"/>
      <c r="S1559" s="53"/>
      <c r="T1559" s="53"/>
      <c r="U1559" s="53"/>
      <c r="V1559" s="53"/>
      <c r="W1559" s="53"/>
      <c r="X1559" s="61" t="str">
        <f>IFERROR(IF(W1559="","",WORKDAY.INTL(B1559,_xlfn.XLOOKUP(W1559,Regras!$F$2:$F$11,Regras!$G$2:$G$11))),"")</f>
        <v/>
      </c>
      <c r="Y1559" s="150"/>
      <c r="Z1559" s="53"/>
    </row>
    <row r="1560" spans="7:26" x14ac:dyDescent="0.2">
      <c r="G1560" s="85" t="s">
        <v>12</v>
      </c>
      <c r="R1560" s="53"/>
      <c r="S1560" s="53"/>
      <c r="T1560" s="53"/>
      <c r="U1560" s="53"/>
      <c r="V1560" s="53"/>
      <c r="W1560" s="53"/>
      <c r="X1560" s="61" t="str">
        <f>IFERROR(IF(W1560="","",WORKDAY.INTL(B1560,_xlfn.XLOOKUP(W1560,Regras!$F$2:$F$11,Regras!$G$2:$G$11))),"")</f>
        <v/>
      </c>
      <c r="Y1560" s="150"/>
      <c r="Z1560" s="53"/>
    </row>
    <row r="1561" spans="7:26" x14ac:dyDescent="0.2">
      <c r="G1561" s="85" t="s">
        <v>12</v>
      </c>
      <c r="R1561" s="53"/>
      <c r="S1561" s="53"/>
      <c r="T1561" s="53"/>
      <c r="U1561" s="53"/>
      <c r="V1561" s="53"/>
      <c r="W1561" s="53"/>
      <c r="X1561" s="61" t="str">
        <f>IFERROR(IF(W1561="","",WORKDAY.INTL(B1561,_xlfn.XLOOKUP(W1561,Regras!$F$2:$F$11,Regras!$G$2:$G$11))),"")</f>
        <v/>
      </c>
      <c r="Y1561" s="150"/>
      <c r="Z1561" s="53"/>
    </row>
    <row r="1562" spans="7:26" x14ac:dyDescent="0.2">
      <c r="G1562" s="85" t="s">
        <v>12</v>
      </c>
      <c r="R1562" s="53"/>
      <c r="S1562" s="53"/>
      <c r="T1562" s="53"/>
      <c r="U1562" s="53"/>
      <c r="V1562" s="53"/>
      <c r="W1562" s="53"/>
      <c r="X1562" s="61" t="str">
        <f>IFERROR(IF(W1562="","",WORKDAY.INTL(B1562,_xlfn.XLOOKUP(W1562,Regras!$F$2:$F$11,Regras!$G$2:$G$11))),"")</f>
        <v/>
      </c>
      <c r="Y1562" s="150"/>
      <c r="Z1562" s="53"/>
    </row>
    <row r="1563" spans="7:26" x14ac:dyDescent="0.2">
      <c r="G1563" s="85" t="s">
        <v>12</v>
      </c>
      <c r="R1563" s="53"/>
      <c r="S1563" s="53"/>
      <c r="T1563" s="53"/>
      <c r="U1563" s="53"/>
      <c r="V1563" s="53"/>
      <c r="W1563" s="53"/>
      <c r="X1563" s="61" t="str">
        <f>IFERROR(IF(W1563="","",WORKDAY.INTL(B1563,_xlfn.XLOOKUP(W1563,Regras!$F$2:$F$11,Regras!$G$2:$G$11))),"")</f>
        <v/>
      </c>
      <c r="Y1563" s="150"/>
      <c r="Z1563" s="53"/>
    </row>
    <row r="1564" spans="7:26" x14ac:dyDescent="0.2">
      <c r="G1564" s="85" t="s">
        <v>12</v>
      </c>
      <c r="R1564" s="53"/>
      <c r="S1564" s="53"/>
      <c r="T1564" s="53"/>
      <c r="U1564" s="53"/>
      <c r="V1564" s="53"/>
      <c r="W1564" s="53"/>
      <c r="X1564" s="61" t="str">
        <f>IFERROR(IF(W1564="","",WORKDAY.INTL(B1564,_xlfn.XLOOKUP(W1564,Regras!$F$2:$F$11,Regras!$G$2:$G$11))),"")</f>
        <v/>
      </c>
      <c r="Y1564" s="150"/>
      <c r="Z1564" s="53"/>
    </row>
    <row r="1565" spans="7:26" x14ac:dyDescent="0.2">
      <c r="G1565" s="85" t="s">
        <v>12</v>
      </c>
      <c r="R1565" s="53"/>
      <c r="S1565" s="53"/>
      <c r="T1565" s="53"/>
      <c r="U1565" s="53"/>
      <c r="V1565" s="53"/>
      <c r="W1565" s="53"/>
      <c r="X1565" s="61" t="str">
        <f>IFERROR(IF(W1565="","",WORKDAY.INTL(B1565,_xlfn.XLOOKUP(W1565,Regras!$F$2:$F$11,Regras!$G$2:$G$11))),"")</f>
        <v/>
      </c>
      <c r="Y1565" s="150"/>
      <c r="Z1565" s="53"/>
    </row>
    <row r="1566" spans="7:26" x14ac:dyDescent="0.2">
      <c r="G1566" s="85" t="s">
        <v>12</v>
      </c>
      <c r="R1566" s="53"/>
      <c r="S1566" s="53"/>
      <c r="T1566" s="53"/>
      <c r="U1566" s="53"/>
      <c r="V1566" s="53"/>
      <c r="W1566" s="53"/>
      <c r="X1566" s="61" t="str">
        <f>IFERROR(IF(W1566="","",WORKDAY.INTL(B1566,_xlfn.XLOOKUP(W1566,Regras!$F$2:$F$11,Regras!$G$2:$G$11))),"")</f>
        <v/>
      </c>
      <c r="Y1566" s="150"/>
      <c r="Z1566" s="53"/>
    </row>
    <row r="1567" spans="7:26" x14ac:dyDescent="0.2">
      <c r="G1567" s="85" t="s">
        <v>12</v>
      </c>
      <c r="R1567" s="53"/>
      <c r="S1567" s="53"/>
      <c r="T1567" s="53"/>
      <c r="U1567" s="53"/>
      <c r="V1567" s="53"/>
      <c r="W1567" s="53"/>
      <c r="X1567" s="61" t="str">
        <f>IFERROR(IF(W1567="","",WORKDAY.INTL(B1567,_xlfn.XLOOKUP(W1567,Regras!$F$2:$F$11,Regras!$G$2:$G$11))),"")</f>
        <v/>
      </c>
      <c r="Y1567" s="150"/>
      <c r="Z1567" s="53"/>
    </row>
    <row r="1568" spans="7:26" x14ac:dyDescent="0.2">
      <c r="G1568" s="85" t="s">
        <v>12</v>
      </c>
      <c r="R1568" s="53"/>
      <c r="S1568" s="53"/>
      <c r="T1568" s="53"/>
      <c r="U1568" s="53"/>
      <c r="V1568" s="53"/>
      <c r="W1568" s="53"/>
      <c r="X1568" s="61" t="str">
        <f>IFERROR(IF(W1568="","",WORKDAY.INTL(B1568,_xlfn.XLOOKUP(W1568,Regras!$F$2:$F$11,Regras!$G$2:$G$11))),"")</f>
        <v/>
      </c>
      <c r="Y1568" s="150"/>
      <c r="Z1568" s="53"/>
    </row>
    <row r="1569" spans="7:26" x14ac:dyDescent="0.2">
      <c r="G1569" s="85" t="s">
        <v>12</v>
      </c>
      <c r="R1569" s="53"/>
      <c r="S1569" s="53"/>
      <c r="T1569" s="53"/>
      <c r="U1569" s="53"/>
      <c r="V1569" s="53"/>
      <c r="W1569" s="53"/>
      <c r="X1569" s="61" t="str">
        <f>IFERROR(IF(W1569="","",WORKDAY.INTL(B1569,_xlfn.XLOOKUP(W1569,Regras!$F$2:$F$11,Regras!$G$2:$G$11))),"")</f>
        <v/>
      </c>
      <c r="Y1569" s="150"/>
      <c r="Z1569" s="53"/>
    </row>
    <row r="1570" spans="7:26" x14ac:dyDescent="0.2">
      <c r="G1570" s="85" t="s">
        <v>12</v>
      </c>
      <c r="R1570" s="53"/>
      <c r="S1570" s="53"/>
      <c r="T1570" s="53"/>
      <c r="U1570" s="53"/>
      <c r="V1570" s="53"/>
      <c r="W1570" s="53"/>
      <c r="X1570" s="61" t="str">
        <f>IFERROR(IF(W1570="","",WORKDAY.INTL(B1570,_xlfn.XLOOKUP(W1570,Regras!$F$2:$F$11,Regras!$G$2:$G$11))),"")</f>
        <v/>
      </c>
      <c r="Y1570" s="150"/>
      <c r="Z1570" s="53"/>
    </row>
    <row r="1571" spans="7:26" x14ac:dyDescent="0.2">
      <c r="G1571" s="85" t="s">
        <v>12</v>
      </c>
      <c r="R1571" s="53"/>
      <c r="S1571" s="53"/>
      <c r="T1571" s="53"/>
      <c r="U1571" s="53"/>
      <c r="V1571" s="53"/>
      <c r="W1571" s="53"/>
      <c r="X1571" s="61" t="str">
        <f>IFERROR(IF(W1571="","",WORKDAY.INTL(B1571,_xlfn.XLOOKUP(W1571,Regras!$F$2:$F$11,Regras!$G$2:$G$11))),"")</f>
        <v/>
      </c>
      <c r="Y1571" s="150"/>
      <c r="Z1571" s="53"/>
    </row>
    <row r="1572" spans="7:26" x14ac:dyDescent="0.2">
      <c r="G1572" s="85" t="s">
        <v>12</v>
      </c>
      <c r="R1572" s="53"/>
      <c r="S1572" s="53"/>
      <c r="T1572" s="53"/>
      <c r="U1572" s="53"/>
      <c r="V1572" s="53"/>
      <c r="W1572" s="53"/>
      <c r="X1572" s="61" t="str">
        <f>IFERROR(IF(W1572="","",WORKDAY.INTL(B1572,_xlfn.XLOOKUP(W1572,Regras!$F$2:$F$11,Regras!$G$2:$G$11))),"")</f>
        <v/>
      </c>
      <c r="Y1572" s="150"/>
      <c r="Z1572" s="53"/>
    </row>
    <row r="1573" spans="7:26" x14ac:dyDescent="0.2">
      <c r="G1573" s="85" t="s">
        <v>12</v>
      </c>
      <c r="R1573" s="53"/>
      <c r="S1573" s="53"/>
      <c r="T1573" s="53"/>
      <c r="U1573" s="53"/>
      <c r="V1573" s="53"/>
      <c r="W1573" s="53"/>
      <c r="X1573" s="61" t="str">
        <f>IFERROR(IF(W1573="","",WORKDAY.INTL(B1573,_xlfn.XLOOKUP(W1573,Regras!$F$2:$F$11,Regras!$G$2:$G$11))),"")</f>
        <v/>
      </c>
      <c r="Y1573" s="150"/>
      <c r="Z1573" s="53"/>
    </row>
    <row r="1574" spans="7:26" x14ac:dyDescent="0.2">
      <c r="G1574" s="85" t="s">
        <v>12</v>
      </c>
      <c r="R1574" s="53"/>
      <c r="S1574" s="53"/>
      <c r="T1574" s="53"/>
      <c r="U1574" s="53"/>
      <c r="V1574" s="53"/>
      <c r="W1574" s="53"/>
      <c r="X1574" s="61" t="str">
        <f>IFERROR(IF(W1574="","",WORKDAY.INTL(B1574,_xlfn.XLOOKUP(W1574,Regras!$F$2:$F$11,Regras!$G$2:$G$11))),"")</f>
        <v/>
      </c>
      <c r="Y1574" s="150"/>
      <c r="Z1574" s="53"/>
    </row>
    <row r="1575" spans="7:26" x14ac:dyDescent="0.2">
      <c r="G1575" s="85" t="s">
        <v>12</v>
      </c>
      <c r="R1575" s="53"/>
      <c r="S1575" s="53"/>
      <c r="T1575" s="53"/>
      <c r="U1575" s="53"/>
      <c r="V1575" s="53"/>
      <c r="W1575" s="53"/>
      <c r="X1575" s="61" t="str">
        <f>IFERROR(IF(W1575="","",WORKDAY.INTL(B1575,_xlfn.XLOOKUP(W1575,Regras!$F$2:$F$11,Regras!$G$2:$G$11))),"")</f>
        <v/>
      </c>
      <c r="Y1575" s="150"/>
      <c r="Z1575" s="53"/>
    </row>
    <row r="1576" spans="7:26" x14ac:dyDescent="0.2">
      <c r="G1576" s="85" t="s">
        <v>12</v>
      </c>
      <c r="R1576" s="53"/>
      <c r="S1576" s="53"/>
      <c r="T1576" s="53"/>
      <c r="U1576" s="53"/>
      <c r="V1576" s="53"/>
      <c r="W1576" s="53"/>
      <c r="X1576" s="61" t="str">
        <f>IFERROR(IF(W1576="","",WORKDAY.INTL(B1576,_xlfn.XLOOKUP(W1576,Regras!$F$2:$F$11,Regras!$G$2:$G$11))),"")</f>
        <v/>
      </c>
      <c r="Y1576" s="150"/>
      <c r="Z1576" s="53"/>
    </row>
    <row r="1577" spans="7:26" x14ac:dyDescent="0.2">
      <c r="G1577" s="85" t="s">
        <v>12</v>
      </c>
      <c r="R1577" s="53"/>
      <c r="S1577" s="53"/>
      <c r="T1577" s="53"/>
      <c r="U1577" s="53"/>
      <c r="V1577" s="53"/>
      <c r="W1577" s="53"/>
      <c r="X1577" s="61" t="str">
        <f>IFERROR(IF(W1577="","",WORKDAY.INTL(B1577,_xlfn.XLOOKUP(W1577,Regras!$F$2:$F$11,Regras!$G$2:$G$11))),"")</f>
        <v/>
      </c>
      <c r="Y1577" s="150"/>
      <c r="Z1577" s="53"/>
    </row>
    <row r="1578" spans="7:26" x14ac:dyDescent="0.2">
      <c r="G1578" s="85" t="s">
        <v>12</v>
      </c>
      <c r="R1578" s="53"/>
      <c r="S1578" s="53"/>
      <c r="T1578" s="53"/>
      <c r="U1578" s="53"/>
      <c r="V1578" s="53"/>
      <c r="W1578" s="53"/>
      <c r="X1578" s="61" t="str">
        <f>IFERROR(IF(W1578="","",WORKDAY.INTL(B1578,_xlfn.XLOOKUP(W1578,Regras!$F$2:$F$11,Regras!$G$2:$G$11))),"")</f>
        <v/>
      </c>
      <c r="Y1578" s="150"/>
      <c r="Z1578" s="53"/>
    </row>
    <row r="1579" spans="7:26" x14ac:dyDescent="0.2">
      <c r="G1579" s="85" t="s">
        <v>12</v>
      </c>
      <c r="R1579" s="53"/>
      <c r="S1579" s="53"/>
      <c r="T1579" s="53"/>
      <c r="U1579" s="53"/>
      <c r="V1579" s="53"/>
      <c r="W1579" s="53"/>
      <c r="X1579" s="61" t="str">
        <f>IFERROR(IF(W1579="","",WORKDAY.INTL(B1579,_xlfn.XLOOKUP(W1579,Regras!$F$2:$F$11,Regras!$G$2:$G$11))),"")</f>
        <v/>
      </c>
      <c r="Y1579" s="150"/>
      <c r="Z1579" s="53"/>
    </row>
    <row r="1580" spans="7:26" x14ac:dyDescent="0.2">
      <c r="G1580" s="85" t="s">
        <v>12</v>
      </c>
      <c r="R1580" s="53"/>
      <c r="S1580" s="53"/>
      <c r="T1580" s="53"/>
      <c r="U1580" s="53"/>
      <c r="V1580" s="53"/>
      <c r="W1580" s="53"/>
      <c r="X1580" s="61" t="str">
        <f>IFERROR(IF(W1580="","",WORKDAY.INTL(B1580,_xlfn.XLOOKUP(W1580,Regras!$F$2:$F$11,Regras!$G$2:$G$11))),"")</f>
        <v/>
      </c>
      <c r="Y1580" s="150"/>
      <c r="Z1580" s="53"/>
    </row>
    <row r="1581" spans="7:26" x14ac:dyDescent="0.2">
      <c r="G1581" s="85" t="s">
        <v>12</v>
      </c>
      <c r="R1581" s="53"/>
      <c r="S1581" s="53"/>
      <c r="T1581" s="53"/>
      <c r="U1581" s="53"/>
      <c r="V1581" s="53"/>
      <c r="W1581" s="53"/>
      <c r="X1581" s="61" t="str">
        <f>IFERROR(IF(W1581="","",WORKDAY.INTL(B1581,_xlfn.XLOOKUP(W1581,Regras!$F$2:$F$11,Regras!$G$2:$G$11))),"")</f>
        <v/>
      </c>
      <c r="Y1581" s="150"/>
      <c r="Z1581" s="53"/>
    </row>
    <row r="1582" spans="7:26" x14ac:dyDescent="0.2">
      <c r="G1582" s="85" t="s">
        <v>12</v>
      </c>
      <c r="R1582" s="53"/>
      <c r="S1582" s="53"/>
      <c r="T1582" s="53"/>
      <c r="U1582" s="53"/>
      <c r="V1582" s="53"/>
      <c r="W1582" s="53"/>
      <c r="X1582" s="61" t="str">
        <f>IFERROR(IF(W1582="","",WORKDAY.INTL(B1582,_xlfn.XLOOKUP(W1582,Regras!$F$2:$F$11,Regras!$G$2:$G$11))),"")</f>
        <v/>
      </c>
      <c r="Y1582" s="150"/>
      <c r="Z1582" s="53"/>
    </row>
    <row r="1583" spans="7:26" x14ac:dyDescent="0.2">
      <c r="G1583" s="85" t="s">
        <v>12</v>
      </c>
      <c r="R1583" s="53"/>
      <c r="S1583" s="53"/>
      <c r="T1583" s="53"/>
      <c r="U1583" s="53"/>
      <c r="V1583" s="53"/>
      <c r="W1583" s="53"/>
      <c r="X1583" s="61" t="str">
        <f>IFERROR(IF(W1583="","",WORKDAY.INTL(B1583,_xlfn.XLOOKUP(W1583,Regras!$F$2:$F$11,Regras!$G$2:$G$11))),"")</f>
        <v/>
      </c>
      <c r="Y1583" s="150"/>
      <c r="Z1583" s="53"/>
    </row>
    <row r="1584" spans="7:26" x14ac:dyDescent="0.2">
      <c r="G1584" s="85" t="s">
        <v>12</v>
      </c>
      <c r="R1584" s="53"/>
      <c r="S1584" s="53"/>
      <c r="T1584" s="53"/>
      <c r="U1584" s="53"/>
      <c r="V1584" s="53"/>
      <c r="W1584" s="53"/>
      <c r="X1584" s="61" t="str">
        <f>IFERROR(IF(W1584="","",WORKDAY.INTL(B1584,_xlfn.XLOOKUP(W1584,Regras!$F$2:$F$11,Regras!$G$2:$G$11))),"")</f>
        <v/>
      </c>
      <c r="Y1584" s="150"/>
      <c r="Z1584" s="53"/>
    </row>
    <row r="1585" spans="7:26" x14ac:dyDescent="0.2">
      <c r="G1585" s="85" t="s">
        <v>12</v>
      </c>
      <c r="R1585" s="53"/>
      <c r="S1585" s="53"/>
      <c r="T1585" s="53"/>
      <c r="U1585" s="53"/>
      <c r="V1585" s="53"/>
      <c r="W1585" s="53"/>
      <c r="X1585" s="61" t="str">
        <f>IFERROR(IF(W1585="","",WORKDAY.INTL(B1585,_xlfn.XLOOKUP(W1585,Regras!$F$2:$F$11,Regras!$G$2:$G$11))),"")</f>
        <v/>
      </c>
      <c r="Y1585" s="150"/>
      <c r="Z1585" s="53"/>
    </row>
    <row r="1586" spans="7:26" x14ac:dyDescent="0.2">
      <c r="G1586" s="85" t="s">
        <v>12</v>
      </c>
      <c r="R1586" s="53"/>
      <c r="S1586" s="53"/>
      <c r="T1586" s="53"/>
      <c r="U1586" s="53"/>
      <c r="V1586" s="53"/>
      <c r="W1586" s="53"/>
      <c r="X1586" s="61" t="str">
        <f>IFERROR(IF(W1586="","",WORKDAY.INTL(B1586,_xlfn.XLOOKUP(W1586,Regras!$F$2:$F$11,Regras!$G$2:$G$11))),"")</f>
        <v/>
      </c>
      <c r="Y1586" s="150"/>
      <c r="Z1586" s="53"/>
    </row>
    <row r="1587" spans="7:26" x14ac:dyDescent="0.2">
      <c r="G1587" s="85" t="s">
        <v>12</v>
      </c>
      <c r="R1587" s="53"/>
      <c r="S1587" s="53"/>
      <c r="T1587" s="53"/>
      <c r="U1587" s="53"/>
      <c r="V1587" s="53"/>
      <c r="W1587" s="53"/>
      <c r="X1587" s="61" t="str">
        <f>IFERROR(IF(W1587="","",WORKDAY.INTL(B1587,_xlfn.XLOOKUP(W1587,Regras!$F$2:$F$11,Regras!$G$2:$G$11))),"")</f>
        <v/>
      </c>
      <c r="Y1587" s="150"/>
      <c r="Z1587" s="53"/>
    </row>
    <row r="1588" spans="7:26" x14ac:dyDescent="0.2">
      <c r="G1588" s="85" t="s">
        <v>12</v>
      </c>
      <c r="R1588" s="53"/>
      <c r="S1588" s="53"/>
      <c r="T1588" s="53"/>
      <c r="U1588" s="53"/>
      <c r="V1588" s="53"/>
      <c r="W1588" s="53"/>
      <c r="X1588" s="61" t="str">
        <f>IFERROR(IF(W1588="","",WORKDAY.INTL(B1588,_xlfn.XLOOKUP(W1588,Regras!$F$2:$F$11,Regras!$G$2:$G$11))),"")</f>
        <v/>
      </c>
      <c r="Y1588" s="150"/>
      <c r="Z1588" s="53"/>
    </row>
    <row r="1589" spans="7:26" x14ac:dyDescent="0.2">
      <c r="G1589" s="85" t="s">
        <v>12</v>
      </c>
      <c r="R1589" s="53"/>
      <c r="S1589" s="53"/>
      <c r="T1589" s="53"/>
      <c r="U1589" s="53"/>
      <c r="V1589" s="53"/>
      <c r="W1589" s="53"/>
      <c r="X1589" s="61" t="str">
        <f>IFERROR(IF(W1589="","",WORKDAY.INTL(B1589,_xlfn.XLOOKUP(W1589,Regras!$F$2:$F$11,Regras!$G$2:$G$11))),"")</f>
        <v/>
      </c>
      <c r="Y1589" s="150"/>
      <c r="Z1589" s="53"/>
    </row>
    <row r="1590" spans="7:26" x14ac:dyDescent="0.2">
      <c r="G1590" s="85" t="s">
        <v>12</v>
      </c>
      <c r="R1590" s="53"/>
      <c r="S1590" s="53"/>
      <c r="T1590" s="53"/>
      <c r="U1590" s="53"/>
      <c r="V1590" s="53"/>
      <c r="W1590" s="53"/>
      <c r="X1590" s="61" t="str">
        <f>IFERROR(IF(W1590="","",WORKDAY.INTL(B1590,_xlfn.XLOOKUP(W1590,Regras!$F$2:$F$11,Regras!$G$2:$G$11))),"")</f>
        <v/>
      </c>
      <c r="Y1590" s="150"/>
      <c r="Z1590" s="53"/>
    </row>
    <row r="1591" spans="7:26" x14ac:dyDescent="0.2">
      <c r="G1591" s="85" t="s">
        <v>12</v>
      </c>
      <c r="R1591" s="53"/>
      <c r="S1591" s="53"/>
      <c r="T1591" s="53"/>
      <c r="U1591" s="53"/>
      <c r="V1591" s="53"/>
      <c r="W1591" s="53"/>
      <c r="X1591" s="61" t="str">
        <f>IFERROR(IF(W1591="","",WORKDAY.INTL(B1591,_xlfn.XLOOKUP(W1591,Regras!$F$2:$F$11,Regras!$G$2:$G$11))),"")</f>
        <v/>
      </c>
      <c r="Y1591" s="150"/>
      <c r="Z1591" s="53"/>
    </row>
    <row r="1592" spans="7:26" x14ac:dyDescent="0.2">
      <c r="G1592" s="85" t="s">
        <v>12</v>
      </c>
      <c r="R1592" s="53"/>
      <c r="S1592" s="53"/>
      <c r="T1592" s="53"/>
      <c r="U1592" s="53"/>
      <c r="V1592" s="53"/>
      <c r="W1592" s="53"/>
      <c r="X1592" s="61" t="str">
        <f>IFERROR(IF(W1592="","",WORKDAY.INTL(B1592,_xlfn.XLOOKUP(W1592,Regras!$F$2:$F$11,Regras!$G$2:$G$11))),"")</f>
        <v/>
      </c>
      <c r="Y1592" s="150"/>
      <c r="Z1592" s="53"/>
    </row>
    <row r="1593" spans="7:26" x14ac:dyDescent="0.2">
      <c r="G1593" s="85" t="s">
        <v>12</v>
      </c>
      <c r="R1593" s="53"/>
      <c r="S1593" s="53"/>
      <c r="T1593" s="53"/>
      <c r="U1593" s="53"/>
      <c r="V1593" s="53"/>
      <c r="W1593" s="53"/>
      <c r="X1593" s="61" t="str">
        <f>IFERROR(IF(W1593="","",WORKDAY.INTL(B1593,_xlfn.XLOOKUP(W1593,Regras!$F$2:$F$11,Regras!$G$2:$G$11))),"")</f>
        <v/>
      </c>
      <c r="Y1593" s="150"/>
      <c r="Z1593" s="53"/>
    </row>
    <row r="1594" spans="7:26" x14ac:dyDescent="0.2">
      <c r="G1594" s="85" t="s">
        <v>12</v>
      </c>
      <c r="R1594" s="53"/>
      <c r="S1594" s="53"/>
      <c r="T1594" s="53"/>
      <c r="U1594" s="53"/>
      <c r="V1594" s="53"/>
      <c r="W1594" s="53"/>
      <c r="X1594" s="61" t="str">
        <f>IFERROR(IF(W1594="","",WORKDAY.INTL(B1594,_xlfn.XLOOKUP(W1594,Regras!$F$2:$F$11,Regras!$G$2:$G$11))),"")</f>
        <v/>
      </c>
      <c r="Y1594" s="150"/>
      <c r="Z1594" s="53"/>
    </row>
    <row r="1595" spans="7:26" x14ac:dyDescent="0.2">
      <c r="G1595" s="85" t="s">
        <v>12</v>
      </c>
      <c r="R1595" s="53"/>
      <c r="S1595" s="53"/>
      <c r="T1595" s="53"/>
      <c r="U1595" s="53"/>
      <c r="V1595" s="53"/>
      <c r="W1595" s="53"/>
      <c r="X1595" s="61" t="str">
        <f>IFERROR(IF(W1595="","",WORKDAY.INTL(B1595,_xlfn.XLOOKUP(W1595,Regras!$F$2:$F$11,Regras!$G$2:$G$11))),"")</f>
        <v/>
      </c>
      <c r="Y1595" s="150"/>
      <c r="Z1595" s="53"/>
    </row>
    <row r="1596" spans="7:26" x14ac:dyDescent="0.2">
      <c r="G1596" s="85" t="s">
        <v>12</v>
      </c>
      <c r="R1596" s="53"/>
      <c r="S1596" s="53"/>
      <c r="T1596" s="53"/>
      <c r="U1596" s="53"/>
      <c r="V1596" s="53"/>
      <c r="W1596" s="53"/>
      <c r="X1596" s="61" t="str">
        <f>IFERROR(IF(W1596="","",WORKDAY.INTL(B1596,_xlfn.XLOOKUP(W1596,Regras!$F$2:$F$11,Regras!$G$2:$G$11))),"")</f>
        <v/>
      </c>
      <c r="Y1596" s="150"/>
      <c r="Z1596" s="53"/>
    </row>
    <row r="1597" spans="7:26" x14ac:dyDescent="0.2">
      <c r="G1597" s="85" t="s">
        <v>12</v>
      </c>
      <c r="R1597" s="53"/>
      <c r="S1597" s="53"/>
      <c r="T1597" s="53"/>
      <c r="U1597" s="53"/>
      <c r="V1597" s="53"/>
      <c r="W1597" s="53"/>
      <c r="X1597" s="61" t="str">
        <f>IFERROR(IF(W1597="","",WORKDAY.INTL(B1597,_xlfn.XLOOKUP(W1597,Regras!$F$2:$F$11,Regras!$G$2:$G$11))),"")</f>
        <v/>
      </c>
      <c r="Y1597" s="150"/>
      <c r="Z1597" s="53"/>
    </row>
    <row r="1598" spans="7:26" x14ac:dyDescent="0.2">
      <c r="G1598" s="85" t="s">
        <v>12</v>
      </c>
      <c r="R1598" s="53"/>
      <c r="S1598" s="53"/>
      <c r="T1598" s="53"/>
      <c r="U1598" s="53"/>
      <c r="V1598" s="53"/>
      <c r="W1598" s="53"/>
      <c r="X1598" s="61" t="str">
        <f>IFERROR(IF(W1598="","",WORKDAY.INTL(B1598,_xlfn.XLOOKUP(W1598,Regras!$F$2:$F$11,Regras!$G$2:$G$11))),"")</f>
        <v/>
      </c>
      <c r="Y1598" s="150"/>
      <c r="Z1598" s="53"/>
    </row>
    <row r="1599" spans="7:26" x14ac:dyDescent="0.2">
      <c r="G1599" s="85" t="s">
        <v>12</v>
      </c>
      <c r="R1599" s="53"/>
      <c r="S1599" s="53"/>
      <c r="T1599" s="53"/>
      <c r="U1599" s="53"/>
      <c r="V1599" s="53"/>
      <c r="W1599" s="53"/>
      <c r="X1599" s="61" t="str">
        <f>IFERROR(IF(W1599="","",WORKDAY.INTL(B1599,_xlfn.XLOOKUP(W1599,Regras!$F$2:$F$11,Regras!$G$2:$G$11))),"")</f>
        <v/>
      </c>
      <c r="Y1599" s="150"/>
      <c r="Z1599" s="53"/>
    </row>
    <row r="1600" spans="7:26" x14ac:dyDescent="0.2">
      <c r="G1600" s="85" t="s">
        <v>12</v>
      </c>
      <c r="R1600" s="53"/>
      <c r="S1600" s="53"/>
      <c r="T1600" s="53"/>
      <c r="U1600" s="53"/>
      <c r="V1600" s="53"/>
      <c r="W1600" s="53"/>
      <c r="X1600" s="61" t="str">
        <f>IFERROR(IF(W1600="","",WORKDAY.INTL(B1600,_xlfn.XLOOKUP(W1600,Regras!$F$2:$F$11,Regras!$G$2:$G$11))),"")</f>
        <v/>
      </c>
      <c r="Y1600" s="150"/>
      <c r="Z1600" s="53"/>
    </row>
    <row r="1601" spans="7:26" x14ac:dyDescent="0.2">
      <c r="G1601" s="85" t="s">
        <v>12</v>
      </c>
      <c r="R1601" s="53"/>
      <c r="S1601" s="53"/>
      <c r="T1601" s="53"/>
      <c r="U1601" s="53"/>
      <c r="V1601" s="53"/>
      <c r="W1601" s="53"/>
      <c r="X1601" s="61" t="str">
        <f>IFERROR(IF(W1601="","",WORKDAY.INTL(B1601,_xlfn.XLOOKUP(W1601,Regras!$F$2:$F$11,Regras!$G$2:$G$11))),"")</f>
        <v/>
      </c>
      <c r="Y1601" s="150"/>
      <c r="Z1601" s="53"/>
    </row>
    <row r="1602" spans="7:26" x14ac:dyDescent="0.2">
      <c r="G1602" s="85" t="s">
        <v>12</v>
      </c>
      <c r="R1602" s="53"/>
      <c r="S1602" s="53"/>
      <c r="T1602" s="53"/>
      <c r="U1602" s="53"/>
      <c r="V1602" s="53"/>
      <c r="W1602" s="53"/>
      <c r="X1602" s="61" t="str">
        <f>IFERROR(IF(W1602="","",WORKDAY.INTL(B1602,_xlfn.XLOOKUP(W1602,Regras!$F$2:$F$11,Regras!$G$2:$G$11))),"")</f>
        <v/>
      </c>
      <c r="Y1602" s="150"/>
      <c r="Z1602" s="53"/>
    </row>
    <row r="1603" spans="7:26" x14ac:dyDescent="0.2">
      <c r="G1603" s="85" t="s">
        <v>12</v>
      </c>
      <c r="R1603" s="53"/>
      <c r="S1603" s="53"/>
      <c r="T1603" s="53"/>
      <c r="U1603" s="53"/>
      <c r="V1603" s="53"/>
      <c r="W1603" s="53"/>
      <c r="X1603" s="61" t="str">
        <f>IFERROR(IF(W1603="","",WORKDAY.INTL(B1603,_xlfn.XLOOKUP(W1603,Regras!$F$2:$F$11,Regras!$G$2:$G$11))),"")</f>
        <v/>
      </c>
      <c r="Y1603" s="150"/>
      <c r="Z1603" s="53"/>
    </row>
    <row r="1604" spans="7:26" x14ac:dyDescent="0.2">
      <c r="G1604" s="85" t="s">
        <v>12</v>
      </c>
      <c r="R1604" s="53"/>
      <c r="S1604" s="53"/>
      <c r="T1604" s="53"/>
      <c r="U1604" s="53"/>
      <c r="V1604" s="53"/>
      <c r="W1604" s="53"/>
      <c r="X1604" s="61" t="str">
        <f>IFERROR(IF(W1604="","",WORKDAY.INTL(B1604,_xlfn.XLOOKUP(W1604,Regras!$F$2:$F$11,Regras!$G$2:$G$11))),"")</f>
        <v/>
      </c>
      <c r="Y1604" s="150"/>
      <c r="Z1604" s="53"/>
    </row>
    <row r="1605" spans="7:26" x14ac:dyDescent="0.2">
      <c r="G1605" s="85" t="s">
        <v>12</v>
      </c>
      <c r="R1605" s="53"/>
      <c r="S1605" s="53"/>
      <c r="T1605" s="53"/>
      <c r="U1605" s="53"/>
      <c r="V1605" s="53"/>
      <c r="W1605" s="53"/>
      <c r="X1605" s="61" t="str">
        <f>IFERROR(IF(W1605="","",WORKDAY.INTL(B1605,_xlfn.XLOOKUP(W1605,Regras!$F$2:$F$11,Regras!$G$2:$G$11))),"")</f>
        <v/>
      </c>
      <c r="Y1605" s="150"/>
      <c r="Z1605" s="53"/>
    </row>
    <row r="1606" spans="7:26" x14ac:dyDescent="0.2">
      <c r="G1606" s="85" t="s">
        <v>12</v>
      </c>
      <c r="R1606" s="53"/>
      <c r="S1606" s="53"/>
      <c r="T1606" s="53"/>
      <c r="U1606" s="53"/>
      <c r="V1606" s="53"/>
      <c r="W1606" s="53"/>
      <c r="X1606" s="61" t="str">
        <f>IFERROR(IF(W1606="","",WORKDAY.INTL(B1606,_xlfn.XLOOKUP(W1606,Regras!$F$2:$F$11,Regras!$G$2:$G$11))),"")</f>
        <v/>
      </c>
      <c r="Y1606" s="150"/>
      <c r="Z1606" s="53"/>
    </row>
    <row r="1607" spans="7:26" x14ac:dyDescent="0.2">
      <c r="G1607" s="85" t="s">
        <v>12</v>
      </c>
      <c r="R1607" s="53"/>
      <c r="S1607" s="53"/>
      <c r="T1607" s="53"/>
      <c r="U1607" s="53"/>
      <c r="V1607" s="53"/>
      <c r="W1607" s="53"/>
      <c r="X1607" s="61" t="str">
        <f>IFERROR(IF(W1607="","",WORKDAY.INTL(B1607,_xlfn.XLOOKUP(W1607,Regras!$F$2:$F$11,Regras!$G$2:$G$11))),"")</f>
        <v/>
      </c>
      <c r="Y1607" s="150"/>
      <c r="Z1607" s="53"/>
    </row>
    <row r="1608" spans="7:26" x14ac:dyDescent="0.2">
      <c r="G1608" s="85" t="s">
        <v>12</v>
      </c>
      <c r="R1608" s="53"/>
      <c r="S1608" s="53"/>
      <c r="T1608" s="53"/>
      <c r="U1608" s="53"/>
      <c r="V1608" s="53"/>
      <c r="W1608" s="53"/>
      <c r="X1608" s="61" t="str">
        <f>IFERROR(IF(W1608="","",WORKDAY.INTL(B1608,_xlfn.XLOOKUP(W1608,Regras!$F$2:$F$11,Regras!$G$2:$G$11))),"")</f>
        <v/>
      </c>
      <c r="Y1608" s="150"/>
      <c r="Z1608" s="53"/>
    </row>
    <row r="1609" spans="7:26" x14ac:dyDescent="0.2">
      <c r="G1609" s="85" t="s">
        <v>12</v>
      </c>
      <c r="R1609" s="53"/>
      <c r="S1609" s="53"/>
      <c r="T1609" s="53"/>
      <c r="U1609" s="53"/>
      <c r="V1609" s="53"/>
      <c r="W1609" s="53"/>
      <c r="X1609" s="61" t="str">
        <f>IFERROR(IF(W1609="","",WORKDAY.INTL(B1609,_xlfn.XLOOKUP(W1609,Regras!$F$2:$F$11,Regras!$G$2:$G$11))),"")</f>
        <v/>
      </c>
      <c r="Y1609" s="150"/>
      <c r="Z1609" s="53"/>
    </row>
    <row r="1610" spans="7:26" x14ac:dyDescent="0.2">
      <c r="G1610" s="85" t="s">
        <v>12</v>
      </c>
      <c r="R1610" s="53"/>
      <c r="S1610" s="53"/>
      <c r="T1610" s="53"/>
      <c r="U1610" s="53"/>
      <c r="V1610" s="53"/>
      <c r="W1610" s="53"/>
      <c r="X1610" s="61" t="str">
        <f>IFERROR(IF(W1610="","",WORKDAY.INTL(B1610,_xlfn.XLOOKUP(W1610,Regras!$F$2:$F$11,Regras!$G$2:$G$11))),"")</f>
        <v/>
      </c>
      <c r="Y1610" s="150"/>
      <c r="Z1610" s="53"/>
    </row>
    <row r="1611" spans="7:26" x14ac:dyDescent="0.2">
      <c r="G1611" s="85" t="s">
        <v>12</v>
      </c>
      <c r="R1611" s="53"/>
      <c r="S1611" s="53"/>
      <c r="T1611" s="53"/>
      <c r="U1611" s="53"/>
      <c r="V1611" s="53"/>
      <c r="W1611" s="53"/>
      <c r="X1611" s="61" t="str">
        <f>IFERROR(IF(W1611="","",WORKDAY.INTL(B1611,_xlfn.XLOOKUP(W1611,Regras!$F$2:$F$11,Regras!$G$2:$G$11))),"")</f>
        <v/>
      </c>
      <c r="Y1611" s="150"/>
      <c r="Z1611" s="53"/>
    </row>
    <row r="1612" spans="7:26" x14ac:dyDescent="0.2">
      <c r="G1612" s="85" t="s">
        <v>12</v>
      </c>
      <c r="R1612" s="53"/>
      <c r="S1612" s="53"/>
      <c r="T1612" s="53"/>
      <c r="U1612" s="53"/>
      <c r="V1612" s="53"/>
      <c r="W1612" s="53"/>
      <c r="X1612" s="61" t="str">
        <f>IFERROR(IF(W1612="","",WORKDAY.INTL(B1612,_xlfn.XLOOKUP(W1612,Regras!$F$2:$F$11,Regras!$G$2:$G$11))),"")</f>
        <v/>
      </c>
      <c r="Y1612" s="150"/>
      <c r="Z1612" s="53"/>
    </row>
    <row r="1613" spans="7:26" x14ac:dyDescent="0.2">
      <c r="G1613" s="85" t="s">
        <v>12</v>
      </c>
      <c r="R1613" s="53"/>
      <c r="S1613" s="53"/>
      <c r="T1613" s="53"/>
      <c r="U1613" s="53"/>
      <c r="V1613" s="53"/>
      <c r="W1613" s="53"/>
      <c r="X1613" s="61" t="str">
        <f>IFERROR(IF(W1613="","",WORKDAY.INTL(B1613,_xlfn.XLOOKUP(W1613,Regras!$F$2:$F$11,Regras!$G$2:$G$11))),"")</f>
        <v/>
      </c>
      <c r="Y1613" s="150"/>
      <c r="Z1613" s="53"/>
    </row>
    <row r="1614" spans="7:26" x14ac:dyDescent="0.2">
      <c r="G1614" s="85" t="s">
        <v>12</v>
      </c>
      <c r="R1614" s="53"/>
      <c r="S1614" s="53"/>
      <c r="T1614" s="53"/>
      <c r="U1614" s="53"/>
      <c r="V1614" s="53"/>
      <c r="W1614" s="53"/>
      <c r="X1614" s="61" t="str">
        <f>IFERROR(IF(W1614="","",WORKDAY.INTL(B1614,_xlfn.XLOOKUP(W1614,Regras!$F$2:$F$11,Regras!$G$2:$G$11))),"")</f>
        <v/>
      </c>
      <c r="Y1614" s="150"/>
      <c r="Z1614" s="53"/>
    </row>
    <row r="1615" spans="7:26" x14ac:dyDescent="0.2">
      <c r="G1615" s="85" t="s">
        <v>12</v>
      </c>
      <c r="R1615" s="53"/>
      <c r="S1615" s="53"/>
      <c r="T1615" s="53"/>
      <c r="U1615" s="53"/>
      <c r="V1615" s="53"/>
      <c r="W1615" s="53"/>
      <c r="X1615" s="61" t="str">
        <f>IFERROR(IF(W1615="","",WORKDAY.INTL(B1615,_xlfn.XLOOKUP(W1615,Regras!$F$2:$F$11,Regras!$G$2:$G$11))),"")</f>
        <v/>
      </c>
      <c r="Y1615" s="150"/>
      <c r="Z1615" s="53"/>
    </row>
    <row r="1616" spans="7:26" x14ac:dyDescent="0.2">
      <c r="G1616" s="85" t="s">
        <v>12</v>
      </c>
      <c r="R1616" s="53"/>
      <c r="S1616" s="53"/>
      <c r="T1616" s="53"/>
      <c r="U1616" s="53"/>
      <c r="V1616" s="53"/>
      <c r="W1616" s="53"/>
      <c r="X1616" s="61" t="str">
        <f>IFERROR(IF(W1616="","",WORKDAY.INTL(B1616,_xlfn.XLOOKUP(W1616,Regras!$F$2:$F$11,Regras!$G$2:$G$11))),"")</f>
        <v/>
      </c>
      <c r="Y1616" s="150"/>
      <c r="Z1616" s="53"/>
    </row>
    <row r="1617" spans="7:26" x14ac:dyDescent="0.2">
      <c r="G1617" s="85" t="s">
        <v>12</v>
      </c>
      <c r="R1617" s="53"/>
      <c r="S1617" s="53"/>
      <c r="T1617" s="53"/>
      <c r="U1617" s="53"/>
      <c r="V1617" s="53"/>
      <c r="W1617" s="53"/>
      <c r="X1617" s="61" t="str">
        <f>IFERROR(IF(W1617="","",WORKDAY.INTL(B1617,_xlfn.XLOOKUP(W1617,Regras!$F$2:$F$11,Regras!$G$2:$G$11))),"")</f>
        <v/>
      </c>
      <c r="Y1617" s="150"/>
      <c r="Z1617" s="53"/>
    </row>
    <row r="1618" spans="7:26" x14ac:dyDescent="0.2">
      <c r="G1618" s="85" t="s">
        <v>12</v>
      </c>
      <c r="R1618" s="53"/>
      <c r="S1618" s="53"/>
      <c r="T1618" s="53"/>
      <c r="U1618" s="53"/>
      <c r="V1618" s="53"/>
      <c r="W1618" s="53"/>
      <c r="X1618" s="61" t="str">
        <f>IFERROR(IF(W1618="","",WORKDAY.INTL(B1618,_xlfn.XLOOKUP(W1618,Regras!$F$2:$F$11,Regras!$G$2:$G$11))),"")</f>
        <v/>
      </c>
      <c r="Y1618" s="150"/>
      <c r="Z1618" s="53"/>
    </row>
    <row r="1619" spans="7:26" x14ac:dyDescent="0.2">
      <c r="G1619" s="85" t="s">
        <v>12</v>
      </c>
      <c r="R1619" s="53"/>
      <c r="S1619" s="53"/>
      <c r="T1619" s="53"/>
      <c r="U1619" s="53"/>
      <c r="V1619" s="53"/>
      <c r="W1619" s="53"/>
      <c r="X1619" s="61" t="str">
        <f>IFERROR(IF(W1619="","",WORKDAY.INTL(B1619,_xlfn.XLOOKUP(W1619,Regras!$F$2:$F$11,Regras!$G$2:$G$11))),"")</f>
        <v/>
      </c>
      <c r="Y1619" s="150"/>
      <c r="Z1619" s="53"/>
    </row>
    <row r="1620" spans="7:26" x14ac:dyDescent="0.2">
      <c r="G1620" s="85" t="s">
        <v>12</v>
      </c>
      <c r="R1620" s="53"/>
      <c r="S1620" s="53"/>
      <c r="T1620" s="53"/>
      <c r="U1620" s="53"/>
      <c r="V1620" s="53"/>
      <c r="W1620" s="53"/>
      <c r="X1620" s="61" t="str">
        <f>IFERROR(IF(W1620="","",WORKDAY.INTL(B1620,_xlfn.XLOOKUP(W1620,Regras!$F$2:$F$11,Regras!$G$2:$G$11))),"")</f>
        <v/>
      </c>
      <c r="Y1620" s="150"/>
      <c r="Z1620" s="53"/>
    </row>
    <row r="1621" spans="7:26" x14ac:dyDescent="0.2">
      <c r="G1621" s="85" t="s">
        <v>12</v>
      </c>
      <c r="R1621" s="53"/>
      <c r="S1621" s="53"/>
      <c r="T1621" s="53"/>
      <c r="U1621" s="53"/>
      <c r="V1621" s="53"/>
      <c r="W1621" s="53"/>
      <c r="X1621" s="61" t="str">
        <f>IFERROR(IF(W1621="","",WORKDAY.INTL(B1621,_xlfn.XLOOKUP(W1621,Regras!$F$2:$F$11,Regras!$G$2:$G$11))),"")</f>
        <v/>
      </c>
      <c r="Y1621" s="150"/>
      <c r="Z1621" s="53"/>
    </row>
    <row r="1622" spans="7:26" x14ac:dyDescent="0.2">
      <c r="G1622" s="85" t="s">
        <v>12</v>
      </c>
      <c r="R1622" s="53"/>
      <c r="S1622" s="53"/>
      <c r="T1622" s="53"/>
      <c r="U1622" s="53"/>
      <c r="V1622" s="53"/>
      <c r="W1622" s="53"/>
      <c r="X1622" s="61" t="str">
        <f>IFERROR(IF(W1622="","",WORKDAY.INTL(B1622,_xlfn.XLOOKUP(W1622,Regras!$F$2:$F$11,Regras!$G$2:$G$11))),"")</f>
        <v/>
      </c>
      <c r="Y1622" s="150"/>
      <c r="Z1622" s="53"/>
    </row>
    <row r="1623" spans="7:26" x14ac:dyDescent="0.2">
      <c r="G1623" s="85" t="s">
        <v>12</v>
      </c>
      <c r="R1623" s="53"/>
      <c r="S1623" s="53"/>
      <c r="T1623" s="53"/>
      <c r="U1623" s="53"/>
      <c r="V1623" s="53"/>
      <c r="W1623" s="53"/>
      <c r="X1623" s="61" t="str">
        <f>IFERROR(IF(W1623="","",WORKDAY.INTL(B1623,_xlfn.XLOOKUP(W1623,Regras!$F$2:$F$11,Regras!$G$2:$G$11))),"")</f>
        <v/>
      </c>
      <c r="Y1623" s="150"/>
      <c r="Z1623" s="53"/>
    </row>
    <row r="1624" spans="7:26" x14ac:dyDescent="0.2">
      <c r="G1624" s="85" t="s">
        <v>12</v>
      </c>
      <c r="R1624" s="53"/>
      <c r="S1624" s="53"/>
      <c r="T1624" s="53"/>
      <c r="U1624" s="53"/>
      <c r="V1624" s="53"/>
      <c r="W1624" s="53"/>
      <c r="X1624" s="61" t="str">
        <f>IFERROR(IF(W1624="","",WORKDAY.INTL(B1624,_xlfn.XLOOKUP(W1624,Regras!$F$2:$F$11,Regras!$G$2:$G$11))),"")</f>
        <v/>
      </c>
      <c r="Y1624" s="150"/>
      <c r="Z1624" s="53"/>
    </row>
    <row r="1625" spans="7:26" x14ac:dyDescent="0.2">
      <c r="G1625" s="85" t="s">
        <v>12</v>
      </c>
      <c r="R1625" s="53"/>
      <c r="S1625" s="53"/>
      <c r="T1625" s="53"/>
      <c r="U1625" s="53"/>
      <c r="V1625" s="53"/>
      <c r="W1625" s="53"/>
      <c r="X1625" s="61" t="str">
        <f>IFERROR(IF(W1625="","",WORKDAY.INTL(B1625,_xlfn.XLOOKUP(W1625,Regras!$F$2:$F$11,Regras!$G$2:$G$11))),"")</f>
        <v/>
      </c>
      <c r="Y1625" s="150"/>
      <c r="Z1625" s="53"/>
    </row>
    <row r="1626" spans="7:26" x14ac:dyDescent="0.2">
      <c r="G1626" s="85" t="s">
        <v>12</v>
      </c>
      <c r="R1626" s="53"/>
      <c r="S1626" s="53"/>
      <c r="T1626" s="53"/>
      <c r="U1626" s="53"/>
      <c r="V1626" s="53"/>
      <c r="W1626" s="53"/>
      <c r="X1626" s="61" t="str">
        <f>IFERROR(IF(W1626="","",WORKDAY.INTL(B1626,_xlfn.XLOOKUP(W1626,Regras!$F$2:$F$11,Regras!$G$2:$G$11))),"")</f>
        <v/>
      </c>
      <c r="Y1626" s="150"/>
      <c r="Z1626" s="53"/>
    </row>
    <row r="1627" spans="7:26" x14ac:dyDescent="0.2">
      <c r="G1627" s="85" t="s">
        <v>12</v>
      </c>
      <c r="R1627" s="53"/>
      <c r="S1627" s="53"/>
      <c r="T1627" s="53"/>
      <c r="U1627" s="53"/>
      <c r="V1627" s="53"/>
      <c r="W1627" s="53"/>
      <c r="X1627" s="61" t="str">
        <f>IFERROR(IF(W1627="","",WORKDAY.INTL(B1627,_xlfn.XLOOKUP(W1627,Regras!$F$2:$F$11,Regras!$G$2:$G$11))),"")</f>
        <v/>
      </c>
      <c r="Y1627" s="150"/>
      <c r="Z1627" s="53"/>
    </row>
    <row r="1628" spans="7:26" x14ac:dyDescent="0.2">
      <c r="G1628" s="85" t="s">
        <v>12</v>
      </c>
      <c r="R1628" s="53"/>
      <c r="S1628" s="53"/>
      <c r="T1628" s="53"/>
      <c r="U1628" s="53"/>
      <c r="V1628" s="53"/>
      <c r="W1628" s="53"/>
      <c r="X1628" s="61" t="str">
        <f>IFERROR(IF(W1628="","",WORKDAY.INTL(B1628,_xlfn.XLOOKUP(W1628,Regras!$F$2:$F$11,Regras!$G$2:$G$11))),"")</f>
        <v/>
      </c>
      <c r="Y1628" s="150"/>
      <c r="Z1628" s="53"/>
    </row>
    <row r="1629" spans="7:26" x14ac:dyDescent="0.2">
      <c r="G1629" s="85" t="s">
        <v>12</v>
      </c>
      <c r="R1629" s="53"/>
      <c r="S1629" s="53"/>
      <c r="T1629" s="53"/>
      <c r="U1629" s="53"/>
      <c r="V1629" s="53"/>
      <c r="W1629" s="53"/>
      <c r="X1629" s="61" t="str">
        <f>IFERROR(IF(W1629="","",WORKDAY.INTL(B1629,_xlfn.XLOOKUP(W1629,Regras!$F$2:$F$11,Regras!$G$2:$G$11))),"")</f>
        <v/>
      </c>
      <c r="Y1629" s="150"/>
      <c r="Z1629" s="53"/>
    </row>
    <row r="1630" spans="7:26" x14ac:dyDescent="0.2">
      <c r="G1630" s="85" t="s">
        <v>12</v>
      </c>
      <c r="R1630" s="53"/>
      <c r="S1630" s="53"/>
      <c r="T1630" s="53"/>
      <c r="U1630" s="53"/>
      <c r="V1630" s="53"/>
      <c r="W1630" s="53"/>
      <c r="X1630" s="61" t="str">
        <f>IFERROR(IF(W1630="","",WORKDAY.INTL(B1630,_xlfn.XLOOKUP(W1630,Regras!$F$2:$F$11,Regras!$G$2:$G$11))),"")</f>
        <v/>
      </c>
      <c r="Y1630" s="150"/>
      <c r="Z1630" s="53"/>
    </row>
    <row r="1631" spans="7:26" x14ac:dyDescent="0.2">
      <c r="G1631" s="85" t="s">
        <v>12</v>
      </c>
      <c r="R1631" s="53"/>
      <c r="S1631" s="53"/>
      <c r="T1631" s="53"/>
      <c r="U1631" s="53"/>
      <c r="V1631" s="53"/>
      <c r="W1631" s="53"/>
      <c r="X1631" s="61" t="str">
        <f>IFERROR(IF(W1631="","",WORKDAY.INTL(B1631,_xlfn.XLOOKUP(W1631,Regras!$F$2:$F$11,Regras!$G$2:$G$11))),"")</f>
        <v/>
      </c>
      <c r="Y1631" s="150"/>
      <c r="Z1631" s="53"/>
    </row>
    <row r="1632" spans="7:26" x14ac:dyDescent="0.2">
      <c r="G1632" s="85" t="s">
        <v>12</v>
      </c>
      <c r="R1632" s="53"/>
      <c r="S1632" s="53"/>
      <c r="T1632" s="53"/>
      <c r="U1632" s="53"/>
      <c r="V1632" s="53"/>
      <c r="W1632" s="53"/>
      <c r="X1632" s="61" t="str">
        <f>IFERROR(IF(W1632="","",WORKDAY.INTL(B1632,_xlfn.XLOOKUP(W1632,Regras!$F$2:$F$11,Regras!$G$2:$G$11))),"")</f>
        <v/>
      </c>
      <c r="Y1632" s="150"/>
      <c r="Z1632" s="53"/>
    </row>
    <row r="1633" spans="7:26" x14ac:dyDescent="0.2">
      <c r="G1633" s="85" t="s">
        <v>12</v>
      </c>
      <c r="R1633" s="53"/>
      <c r="S1633" s="53"/>
      <c r="T1633" s="53"/>
      <c r="U1633" s="53"/>
      <c r="V1633" s="53"/>
      <c r="W1633" s="53"/>
      <c r="X1633" s="61" t="str">
        <f>IFERROR(IF(W1633="","",WORKDAY.INTL(B1633,_xlfn.XLOOKUP(W1633,Regras!$F$2:$F$11,Regras!$G$2:$G$11))),"")</f>
        <v/>
      </c>
      <c r="Y1633" s="150"/>
      <c r="Z1633" s="53"/>
    </row>
    <row r="1634" spans="7:26" x14ac:dyDescent="0.2">
      <c r="G1634" s="85" t="s">
        <v>12</v>
      </c>
      <c r="R1634" s="53"/>
      <c r="S1634" s="53"/>
      <c r="T1634" s="53"/>
      <c r="U1634" s="53"/>
      <c r="V1634" s="53"/>
      <c r="W1634" s="53"/>
      <c r="X1634" s="61" t="str">
        <f>IFERROR(IF(W1634="","",WORKDAY.INTL(B1634,_xlfn.XLOOKUP(W1634,Regras!$F$2:$F$11,Regras!$G$2:$G$11))),"")</f>
        <v/>
      </c>
      <c r="Y1634" s="150"/>
      <c r="Z1634" s="53"/>
    </row>
    <row r="1635" spans="7:26" x14ac:dyDescent="0.2">
      <c r="G1635" s="85" t="s">
        <v>12</v>
      </c>
      <c r="R1635" s="53"/>
      <c r="S1635" s="53"/>
      <c r="T1635" s="53"/>
      <c r="U1635" s="53"/>
      <c r="V1635" s="53"/>
      <c r="W1635" s="53"/>
      <c r="X1635" s="61" t="str">
        <f>IFERROR(IF(W1635="","",WORKDAY.INTL(B1635,_xlfn.XLOOKUP(W1635,Regras!$F$2:$F$11,Regras!$G$2:$G$11))),"")</f>
        <v/>
      </c>
      <c r="Y1635" s="150"/>
      <c r="Z1635" s="53"/>
    </row>
    <row r="1636" spans="7:26" x14ac:dyDescent="0.2">
      <c r="G1636" s="85" t="s">
        <v>12</v>
      </c>
      <c r="R1636" s="53"/>
      <c r="S1636" s="53"/>
      <c r="T1636" s="53"/>
      <c r="U1636" s="53"/>
      <c r="V1636" s="53"/>
      <c r="W1636" s="53"/>
      <c r="X1636" s="61" t="str">
        <f>IFERROR(IF(W1636="","",WORKDAY.INTL(B1636,_xlfn.XLOOKUP(W1636,Regras!$F$2:$F$11,Regras!$G$2:$G$11))),"")</f>
        <v/>
      </c>
      <c r="Y1636" s="150"/>
      <c r="Z1636" s="53"/>
    </row>
    <row r="1637" spans="7:26" x14ac:dyDescent="0.2">
      <c r="G1637" s="85" t="s">
        <v>12</v>
      </c>
      <c r="R1637" s="53"/>
      <c r="S1637" s="53"/>
      <c r="T1637" s="53"/>
      <c r="U1637" s="53"/>
      <c r="V1637" s="53"/>
      <c r="W1637" s="53"/>
      <c r="X1637" s="61" t="str">
        <f>IFERROR(IF(W1637="","",WORKDAY.INTL(B1637,_xlfn.XLOOKUP(W1637,Regras!$F$2:$F$11,Regras!$G$2:$G$11))),"")</f>
        <v/>
      </c>
      <c r="Y1637" s="150"/>
      <c r="Z1637" s="53"/>
    </row>
    <row r="1638" spans="7:26" x14ac:dyDescent="0.2">
      <c r="G1638" s="85" t="s">
        <v>12</v>
      </c>
      <c r="R1638" s="53"/>
      <c r="S1638" s="53"/>
      <c r="T1638" s="53"/>
      <c r="U1638" s="53"/>
      <c r="V1638" s="53"/>
      <c r="W1638" s="53"/>
      <c r="X1638" s="61" t="str">
        <f>IFERROR(IF(W1638="","",WORKDAY.INTL(B1638,_xlfn.XLOOKUP(W1638,Regras!$F$2:$F$11,Regras!$G$2:$G$11))),"")</f>
        <v/>
      </c>
      <c r="Y1638" s="150"/>
      <c r="Z1638" s="53"/>
    </row>
    <row r="1639" spans="7:26" x14ac:dyDescent="0.2">
      <c r="G1639" s="85" t="s">
        <v>12</v>
      </c>
      <c r="R1639" s="53"/>
      <c r="S1639" s="53"/>
      <c r="T1639" s="53"/>
      <c r="U1639" s="53"/>
      <c r="V1639" s="53"/>
      <c r="W1639" s="53"/>
      <c r="X1639" s="61" t="str">
        <f>IFERROR(IF(W1639="","",WORKDAY.INTL(B1639,_xlfn.XLOOKUP(W1639,Regras!$F$2:$F$11,Regras!$G$2:$G$11))),"")</f>
        <v/>
      </c>
      <c r="Y1639" s="150"/>
      <c r="Z1639" s="53"/>
    </row>
    <row r="1640" spans="7:26" x14ac:dyDescent="0.2">
      <c r="G1640" s="85" t="s">
        <v>12</v>
      </c>
      <c r="R1640" s="53"/>
      <c r="S1640" s="53"/>
      <c r="T1640" s="53"/>
      <c r="U1640" s="53"/>
      <c r="V1640" s="53"/>
      <c r="W1640" s="53"/>
      <c r="X1640" s="61" t="str">
        <f>IFERROR(IF(W1640="","",WORKDAY.INTL(B1640,_xlfn.XLOOKUP(W1640,Regras!$F$2:$F$11,Regras!$G$2:$G$11))),"")</f>
        <v/>
      </c>
      <c r="Y1640" s="150"/>
      <c r="Z1640" s="53"/>
    </row>
    <row r="1641" spans="7:26" x14ac:dyDescent="0.2">
      <c r="G1641" s="85" t="s">
        <v>12</v>
      </c>
      <c r="R1641" s="53"/>
      <c r="S1641" s="53"/>
      <c r="T1641" s="53"/>
      <c r="U1641" s="53"/>
      <c r="V1641" s="53"/>
      <c r="W1641" s="53"/>
      <c r="X1641" s="61" t="str">
        <f>IFERROR(IF(W1641="","",WORKDAY.INTL(B1641,_xlfn.XLOOKUP(W1641,Regras!$F$2:$F$11,Regras!$G$2:$G$11))),"")</f>
        <v/>
      </c>
      <c r="Y1641" s="150"/>
      <c r="Z1641" s="53"/>
    </row>
    <row r="1642" spans="7:26" x14ac:dyDescent="0.2">
      <c r="G1642" s="85" t="s">
        <v>12</v>
      </c>
      <c r="R1642" s="53"/>
      <c r="S1642" s="53"/>
      <c r="T1642" s="53"/>
      <c r="U1642" s="53"/>
      <c r="V1642" s="53"/>
      <c r="W1642" s="53"/>
      <c r="X1642" s="61" t="str">
        <f>IFERROR(IF(W1642="","",WORKDAY.INTL(B1642,_xlfn.XLOOKUP(W1642,Regras!$F$2:$F$11,Regras!$G$2:$G$11))),"")</f>
        <v/>
      </c>
      <c r="Y1642" s="150"/>
      <c r="Z1642" s="53"/>
    </row>
    <row r="1643" spans="7:26" x14ac:dyDescent="0.2">
      <c r="G1643" s="85" t="s">
        <v>12</v>
      </c>
      <c r="R1643" s="53"/>
      <c r="S1643" s="53"/>
      <c r="T1643" s="53"/>
      <c r="U1643" s="53"/>
      <c r="V1643" s="53"/>
      <c r="W1643" s="53"/>
      <c r="X1643" s="61" t="str">
        <f>IFERROR(IF(W1643="","",WORKDAY.INTL(B1643,_xlfn.XLOOKUP(W1643,Regras!$F$2:$F$11,Regras!$G$2:$G$11))),"")</f>
        <v/>
      </c>
      <c r="Y1643" s="150"/>
      <c r="Z1643" s="53"/>
    </row>
    <row r="1644" spans="7:26" x14ac:dyDescent="0.2">
      <c r="G1644" s="85" t="s">
        <v>12</v>
      </c>
      <c r="R1644" s="53"/>
      <c r="S1644" s="53"/>
      <c r="T1644" s="53"/>
      <c r="U1644" s="53"/>
      <c r="V1644" s="53"/>
      <c r="W1644" s="53"/>
      <c r="X1644" s="61" t="str">
        <f>IFERROR(IF(W1644="","",WORKDAY.INTL(B1644,_xlfn.XLOOKUP(W1644,Regras!$F$2:$F$11,Regras!$G$2:$G$11))),"")</f>
        <v/>
      </c>
      <c r="Y1644" s="150"/>
      <c r="Z1644" s="53"/>
    </row>
    <row r="1645" spans="7:26" x14ac:dyDescent="0.2">
      <c r="G1645" s="85" t="s">
        <v>12</v>
      </c>
      <c r="R1645" s="53"/>
      <c r="S1645" s="53"/>
      <c r="T1645" s="53"/>
      <c r="U1645" s="53"/>
      <c r="V1645" s="53"/>
      <c r="W1645" s="53"/>
      <c r="X1645" s="61" t="str">
        <f>IFERROR(IF(W1645="","",WORKDAY.INTL(B1645,_xlfn.XLOOKUP(W1645,Regras!$F$2:$F$11,Regras!$G$2:$G$11))),"")</f>
        <v/>
      </c>
      <c r="Y1645" s="150"/>
      <c r="Z1645" s="53"/>
    </row>
    <row r="1646" spans="7:26" x14ac:dyDescent="0.2">
      <c r="G1646" s="85" t="s">
        <v>12</v>
      </c>
      <c r="R1646" s="53"/>
      <c r="S1646" s="53"/>
      <c r="T1646" s="53"/>
      <c r="U1646" s="53"/>
      <c r="V1646" s="53"/>
      <c r="W1646" s="53"/>
      <c r="X1646" s="61" t="str">
        <f>IFERROR(IF(W1646="","",WORKDAY.INTL(B1646,_xlfn.XLOOKUP(W1646,Regras!$F$2:$F$11,Regras!$G$2:$G$11))),"")</f>
        <v/>
      </c>
      <c r="Y1646" s="150"/>
      <c r="Z1646" s="53"/>
    </row>
    <row r="1647" spans="7:26" x14ac:dyDescent="0.2">
      <c r="G1647" s="85" t="s">
        <v>12</v>
      </c>
      <c r="R1647" s="53"/>
      <c r="S1647" s="53"/>
      <c r="T1647" s="53"/>
      <c r="U1647" s="53"/>
      <c r="V1647" s="53"/>
      <c r="W1647" s="53"/>
      <c r="X1647" s="61" t="str">
        <f>IFERROR(IF(W1647="","",WORKDAY.INTL(B1647,_xlfn.XLOOKUP(W1647,Regras!$F$2:$F$11,Regras!$G$2:$G$11))),"")</f>
        <v/>
      </c>
      <c r="Y1647" s="150"/>
      <c r="Z1647" s="53"/>
    </row>
    <row r="1648" spans="7:26" x14ac:dyDescent="0.2">
      <c r="G1648" s="85" t="s">
        <v>12</v>
      </c>
      <c r="R1648" s="53"/>
      <c r="S1648" s="53"/>
      <c r="T1648" s="53"/>
      <c r="U1648" s="53"/>
      <c r="V1648" s="53"/>
      <c r="W1648" s="53"/>
      <c r="X1648" s="61" t="str">
        <f>IFERROR(IF(W1648="","",WORKDAY.INTL(B1648,_xlfn.XLOOKUP(W1648,Regras!$F$2:$F$11,Regras!$G$2:$G$11))),"")</f>
        <v/>
      </c>
      <c r="Y1648" s="150"/>
      <c r="Z1648" s="53"/>
    </row>
    <row r="1649" spans="7:26" x14ac:dyDescent="0.2">
      <c r="G1649" s="85" t="s">
        <v>12</v>
      </c>
      <c r="R1649" s="53"/>
      <c r="S1649" s="53"/>
      <c r="T1649" s="53"/>
      <c r="U1649" s="53"/>
      <c r="V1649" s="53"/>
      <c r="W1649" s="53"/>
      <c r="X1649" s="61" t="str">
        <f>IFERROR(IF(W1649="","",WORKDAY.INTL(B1649,_xlfn.XLOOKUP(W1649,Regras!$F$2:$F$11,Regras!$G$2:$G$11))),"")</f>
        <v/>
      </c>
      <c r="Y1649" s="150"/>
      <c r="Z1649" s="53"/>
    </row>
    <row r="1650" spans="7:26" x14ac:dyDescent="0.2">
      <c r="G1650" s="85" t="s">
        <v>12</v>
      </c>
      <c r="R1650" s="53"/>
      <c r="S1650" s="53"/>
      <c r="T1650" s="53"/>
      <c r="U1650" s="53"/>
      <c r="V1650" s="53"/>
      <c r="W1650" s="53"/>
      <c r="X1650" s="61" t="str">
        <f>IFERROR(IF(W1650="","",WORKDAY.INTL(B1650,_xlfn.XLOOKUP(W1650,Regras!$F$2:$F$11,Regras!$G$2:$G$11))),"")</f>
        <v/>
      </c>
      <c r="Y1650" s="150"/>
      <c r="Z1650" s="53"/>
    </row>
    <row r="1651" spans="7:26" x14ac:dyDescent="0.2">
      <c r="G1651" s="85" t="s">
        <v>12</v>
      </c>
      <c r="R1651" s="53"/>
      <c r="S1651" s="53"/>
      <c r="T1651" s="53"/>
      <c r="U1651" s="53"/>
      <c r="V1651" s="53"/>
      <c r="W1651" s="53"/>
      <c r="X1651" s="61" t="str">
        <f>IFERROR(IF(W1651="","",WORKDAY.INTL(B1651,_xlfn.XLOOKUP(W1651,Regras!$F$2:$F$11,Regras!$G$2:$G$11))),"")</f>
        <v/>
      </c>
      <c r="Y1651" s="150"/>
      <c r="Z1651" s="53"/>
    </row>
    <row r="1652" spans="7:26" x14ac:dyDescent="0.2">
      <c r="G1652" s="85" t="s">
        <v>12</v>
      </c>
      <c r="R1652" s="53"/>
      <c r="S1652" s="53"/>
      <c r="T1652" s="53"/>
      <c r="U1652" s="53"/>
      <c r="V1652" s="53"/>
      <c r="W1652" s="53"/>
      <c r="X1652" s="61" t="str">
        <f>IFERROR(IF(W1652="","",WORKDAY.INTL(B1652,_xlfn.XLOOKUP(W1652,Regras!$F$2:$F$11,Regras!$G$2:$G$11))),"")</f>
        <v/>
      </c>
      <c r="Y1652" s="150"/>
      <c r="Z1652" s="53"/>
    </row>
    <row r="1653" spans="7:26" x14ac:dyDescent="0.2">
      <c r="G1653" s="85" t="s">
        <v>12</v>
      </c>
      <c r="R1653" s="53"/>
      <c r="S1653" s="53"/>
      <c r="T1653" s="53"/>
      <c r="U1653" s="53"/>
      <c r="V1653" s="53"/>
      <c r="W1653" s="53"/>
      <c r="X1653" s="61" t="str">
        <f>IFERROR(IF(W1653="","",WORKDAY.INTL(B1653,_xlfn.XLOOKUP(W1653,Regras!$F$2:$F$11,Regras!$G$2:$G$11))),"")</f>
        <v/>
      </c>
      <c r="Y1653" s="150"/>
      <c r="Z1653" s="53"/>
    </row>
    <row r="1654" spans="7:26" x14ac:dyDescent="0.2">
      <c r="G1654" s="85" t="s">
        <v>12</v>
      </c>
      <c r="R1654" s="53"/>
      <c r="S1654" s="53"/>
      <c r="T1654" s="53"/>
      <c r="U1654" s="53"/>
      <c r="V1654" s="53"/>
      <c r="W1654" s="53"/>
      <c r="X1654" s="61" t="str">
        <f>IFERROR(IF(W1654="","",WORKDAY.INTL(B1654,_xlfn.XLOOKUP(W1654,Regras!$F$2:$F$11,Regras!$G$2:$G$11))),"")</f>
        <v/>
      </c>
      <c r="Y1654" s="150"/>
      <c r="Z1654" s="53"/>
    </row>
    <row r="1655" spans="7:26" x14ac:dyDescent="0.2">
      <c r="G1655" s="85" t="s">
        <v>12</v>
      </c>
      <c r="R1655" s="53"/>
      <c r="S1655" s="53"/>
      <c r="T1655" s="53"/>
      <c r="U1655" s="53"/>
      <c r="V1655" s="53"/>
      <c r="W1655" s="53"/>
      <c r="X1655" s="61" t="str">
        <f>IFERROR(IF(W1655="","",WORKDAY.INTL(B1655,_xlfn.XLOOKUP(W1655,Regras!$F$2:$F$11,Regras!$G$2:$G$11))),"")</f>
        <v/>
      </c>
      <c r="Y1655" s="150"/>
      <c r="Z1655" s="53"/>
    </row>
    <row r="1656" spans="7:26" x14ac:dyDescent="0.2">
      <c r="G1656" s="85" t="s">
        <v>12</v>
      </c>
      <c r="R1656" s="53"/>
      <c r="S1656" s="53"/>
      <c r="T1656" s="53"/>
      <c r="U1656" s="53"/>
      <c r="V1656" s="53"/>
      <c r="W1656" s="53"/>
      <c r="X1656" s="61" t="str">
        <f>IFERROR(IF(W1656="","",WORKDAY.INTL(B1656,_xlfn.XLOOKUP(W1656,Regras!$F$2:$F$11,Regras!$G$2:$G$11))),"")</f>
        <v/>
      </c>
      <c r="Y1656" s="150"/>
      <c r="Z1656" s="53"/>
    </row>
    <row r="1657" spans="7:26" x14ac:dyDescent="0.2">
      <c r="G1657" s="85" t="s">
        <v>12</v>
      </c>
      <c r="R1657" s="53"/>
      <c r="S1657" s="53"/>
      <c r="T1657" s="53"/>
      <c r="U1657" s="53"/>
      <c r="V1657" s="53"/>
      <c r="W1657" s="53"/>
      <c r="X1657" s="61" t="str">
        <f>IFERROR(IF(W1657="","",WORKDAY.INTL(B1657,_xlfn.XLOOKUP(W1657,Regras!$F$2:$F$11,Regras!$G$2:$G$11))),"")</f>
        <v/>
      </c>
      <c r="Y1657" s="150"/>
      <c r="Z1657" s="53"/>
    </row>
    <row r="1658" spans="7:26" x14ac:dyDescent="0.2">
      <c r="G1658" s="85" t="s">
        <v>12</v>
      </c>
      <c r="R1658" s="53"/>
      <c r="S1658" s="53"/>
      <c r="T1658" s="53"/>
      <c r="U1658" s="53"/>
      <c r="V1658" s="53"/>
      <c r="W1658" s="53"/>
      <c r="X1658" s="61" t="str">
        <f>IFERROR(IF(W1658="","",WORKDAY.INTL(B1658,_xlfn.XLOOKUP(W1658,Regras!$F$2:$F$11,Regras!$G$2:$G$11))),"")</f>
        <v/>
      </c>
      <c r="Y1658" s="150"/>
      <c r="Z1658" s="53"/>
    </row>
    <row r="1659" spans="7:26" x14ac:dyDescent="0.2">
      <c r="G1659" s="85" t="s">
        <v>12</v>
      </c>
      <c r="R1659" s="53"/>
      <c r="S1659" s="53"/>
      <c r="T1659" s="53"/>
      <c r="U1659" s="53"/>
      <c r="V1659" s="53"/>
      <c r="W1659" s="53"/>
      <c r="X1659" s="61" t="str">
        <f>IFERROR(IF(W1659="","",WORKDAY.INTL(B1659,_xlfn.XLOOKUP(W1659,Regras!$F$2:$F$11,Regras!$G$2:$G$11))),"")</f>
        <v/>
      </c>
      <c r="Y1659" s="150"/>
      <c r="Z1659" s="53"/>
    </row>
    <row r="1660" spans="7:26" x14ac:dyDescent="0.2">
      <c r="G1660" s="85" t="s">
        <v>12</v>
      </c>
      <c r="R1660" s="53"/>
      <c r="S1660" s="53"/>
      <c r="T1660" s="53"/>
      <c r="U1660" s="53"/>
      <c r="V1660" s="53"/>
      <c r="W1660" s="53"/>
      <c r="X1660" s="61" t="str">
        <f>IFERROR(IF(W1660="","",WORKDAY.INTL(B1660,_xlfn.XLOOKUP(W1660,Regras!$F$2:$F$11,Regras!$G$2:$G$11))),"")</f>
        <v/>
      </c>
      <c r="Y1660" s="150"/>
      <c r="Z1660" s="53"/>
    </row>
    <row r="1661" spans="7:26" x14ac:dyDescent="0.2">
      <c r="G1661" s="85" t="s">
        <v>12</v>
      </c>
      <c r="R1661" s="53"/>
      <c r="S1661" s="53"/>
      <c r="T1661" s="53"/>
      <c r="U1661" s="53"/>
      <c r="V1661" s="53"/>
      <c r="W1661" s="53"/>
      <c r="X1661" s="61" t="str">
        <f>IFERROR(IF(W1661="","",WORKDAY.INTL(B1661,_xlfn.XLOOKUP(W1661,Regras!$F$2:$F$11,Regras!$G$2:$G$11))),"")</f>
        <v/>
      </c>
      <c r="Y1661" s="150"/>
      <c r="Z1661" s="53"/>
    </row>
    <row r="1662" spans="7:26" x14ac:dyDescent="0.2">
      <c r="G1662" s="85" t="s">
        <v>12</v>
      </c>
      <c r="R1662" s="53"/>
      <c r="S1662" s="53"/>
      <c r="T1662" s="53"/>
      <c r="U1662" s="53"/>
      <c r="V1662" s="53"/>
      <c r="W1662" s="53"/>
      <c r="X1662" s="61" t="str">
        <f>IFERROR(IF(W1662="","",WORKDAY.INTL(B1662,_xlfn.XLOOKUP(W1662,Regras!$F$2:$F$11,Regras!$G$2:$G$11))),"")</f>
        <v/>
      </c>
      <c r="Y1662" s="150"/>
      <c r="Z1662" s="53"/>
    </row>
    <row r="1663" spans="7:26" x14ac:dyDescent="0.2">
      <c r="G1663" s="85" t="s">
        <v>12</v>
      </c>
      <c r="R1663" s="53"/>
      <c r="S1663" s="53"/>
      <c r="T1663" s="53"/>
      <c r="U1663" s="53"/>
      <c r="V1663" s="53"/>
      <c r="W1663" s="53"/>
      <c r="X1663" s="61" t="str">
        <f>IFERROR(IF(W1663="","",WORKDAY.INTL(B1663,_xlfn.XLOOKUP(W1663,Regras!$F$2:$F$11,Regras!$G$2:$G$11))),"")</f>
        <v/>
      </c>
      <c r="Y1663" s="150"/>
      <c r="Z1663" s="53"/>
    </row>
    <row r="1664" spans="7:26" x14ac:dyDescent="0.2">
      <c r="G1664" s="85" t="s">
        <v>12</v>
      </c>
      <c r="R1664" s="53"/>
      <c r="S1664" s="53"/>
      <c r="T1664" s="53"/>
      <c r="U1664" s="53"/>
      <c r="V1664" s="53"/>
      <c r="W1664" s="53"/>
      <c r="X1664" s="61" t="str">
        <f>IFERROR(IF(W1664="","",WORKDAY.INTL(B1664,_xlfn.XLOOKUP(W1664,Regras!$F$2:$F$11,Regras!$G$2:$G$11))),"")</f>
        <v/>
      </c>
      <c r="Y1664" s="150"/>
      <c r="Z1664" s="53"/>
    </row>
    <row r="1665" spans="7:26" x14ac:dyDescent="0.2">
      <c r="G1665" s="85" t="s">
        <v>12</v>
      </c>
      <c r="R1665" s="53"/>
      <c r="S1665" s="53"/>
      <c r="T1665" s="53"/>
      <c r="U1665" s="53"/>
      <c r="V1665" s="53"/>
      <c r="W1665" s="53"/>
      <c r="X1665" s="61" t="str">
        <f>IFERROR(IF(W1665="","",WORKDAY.INTL(B1665,_xlfn.XLOOKUP(W1665,Regras!$F$2:$F$11,Regras!$G$2:$G$11))),"")</f>
        <v/>
      </c>
      <c r="Y1665" s="150"/>
      <c r="Z1665" s="53"/>
    </row>
    <row r="1666" spans="7:26" x14ac:dyDescent="0.2">
      <c r="G1666" s="85" t="s">
        <v>12</v>
      </c>
      <c r="R1666" s="53"/>
      <c r="S1666" s="53"/>
      <c r="T1666" s="53"/>
      <c r="U1666" s="53"/>
      <c r="V1666" s="53"/>
      <c r="W1666" s="53"/>
      <c r="X1666" s="61" t="str">
        <f>IFERROR(IF(W1666="","",WORKDAY.INTL(B1666,_xlfn.XLOOKUP(W1666,Regras!$F$2:$F$11,Regras!$G$2:$G$11))),"")</f>
        <v/>
      </c>
      <c r="Y1666" s="150"/>
      <c r="Z1666" s="53"/>
    </row>
    <row r="1667" spans="7:26" x14ac:dyDescent="0.2">
      <c r="G1667" s="85" t="s">
        <v>12</v>
      </c>
      <c r="R1667" s="53"/>
      <c r="S1667" s="53"/>
      <c r="T1667" s="53"/>
      <c r="U1667" s="53"/>
      <c r="V1667" s="53"/>
      <c r="W1667" s="53"/>
      <c r="X1667" s="61" t="str">
        <f>IFERROR(IF(W1667="","",WORKDAY.INTL(B1667,_xlfn.XLOOKUP(W1667,Regras!$F$2:$F$11,Regras!$G$2:$G$11))),"")</f>
        <v/>
      </c>
      <c r="Y1667" s="150"/>
      <c r="Z1667" s="53"/>
    </row>
    <row r="1668" spans="7:26" x14ac:dyDescent="0.2">
      <c r="G1668" s="85" t="s">
        <v>12</v>
      </c>
      <c r="R1668" s="53"/>
      <c r="S1668" s="53"/>
      <c r="T1668" s="53"/>
      <c r="U1668" s="53"/>
      <c r="V1668" s="53"/>
      <c r="W1668" s="53"/>
      <c r="X1668" s="61" t="str">
        <f>IFERROR(IF(W1668="","",WORKDAY.INTL(B1668,_xlfn.XLOOKUP(W1668,Regras!$F$2:$F$11,Regras!$G$2:$G$11))),"")</f>
        <v/>
      </c>
      <c r="Y1668" s="150"/>
      <c r="Z1668" s="53"/>
    </row>
    <row r="1669" spans="7:26" x14ac:dyDescent="0.2">
      <c r="G1669" s="85" t="s">
        <v>12</v>
      </c>
      <c r="R1669" s="53"/>
      <c r="S1669" s="53"/>
      <c r="T1669" s="53"/>
      <c r="U1669" s="53"/>
      <c r="V1669" s="53"/>
      <c r="W1669" s="53"/>
      <c r="X1669" s="61" t="str">
        <f>IFERROR(IF(W1669="","",WORKDAY.INTL(B1669,_xlfn.XLOOKUP(W1669,Regras!$F$2:$F$11,Regras!$G$2:$G$11))),"")</f>
        <v/>
      </c>
      <c r="Y1669" s="150"/>
      <c r="Z1669" s="53"/>
    </row>
    <row r="1670" spans="7:26" x14ac:dyDescent="0.2">
      <c r="G1670" s="85" t="s">
        <v>12</v>
      </c>
      <c r="R1670" s="53"/>
      <c r="S1670" s="53"/>
      <c r="T1670" s="53"/>
      <c r="U1670" s="53"/>
      <c r="V1670" s="53"/>
      <c r="W1670" s="53"/>
      <c r="X1670" s="61" t="str">
        <f>IFERROR(IF(W1670="","",WORKDAY.INTL(B1670,_xlfn.XLOOKUP(W1670,Regras!$F$2:$F$11,Regras!$G$2:$G$11))),"")</f>
        <v/>
      </c>
      <c r="Y1670" s="150"/>
      <c r="Z1670" s="53"/>
    </row>
    <row r="1671" spans="7:26" x14ac:dyDescent="0.2">
      <c r="G1671" s="85" t="s">
        <v>12</v>
      </c>
      <c r="R1671" s="53"/>
      <c r="S1671" s="53"/>
      <c r="T1671" s="53"/>
      <c r="U1671" s="53"/>
      <c r="V1671" s="53"/>
      <c r="W1671" s="53"/>
      <c r="X1671" s="61" t="str">
        <f>IFERROR(IF(W1671="","",WORKDAY.INTL(B1671,_xlfn.XLOOKUP(W1671,Regras!$F$2:$F$11,Regras!$G$2:$G$11))),"")</f>
        <v/>
      </c>
      <c r="Y1671" s="150"/>
      <c r="Z1671" s="53"/>
    </row>
    <row r="1672" spans="7:26" x14ac:dyDescent="0.2">
      <c r="G1672" s="85" t="s">
        <v>12</v>
      </c>
      <c r="R1672" s="53"/>
      <c r="S1672" s="53"/>
      <c r="T1672" s="53"/>
      <c r="U1672" s="53"/>
      <c r="V1672" s="53"/>
      <c r="W1672" s="53"/>
      <c r="X1672" s="61" t="str">
        <f>IFERROR(IF(W1672="","",WORKDAY.INTL(B1672,_xlfn.XLOOKUP(W1672,Regras!$F$2:$F$11,Regras!$G$2:$G$11))),"")</f>
        <v/>
      </c>
      <c r="Y1672" s="150"/>
      <c r="Z1672" s="53"/>
    </row>
    <row r="1673" spans="7:26" x14ac:dyDescent="0.2">
      <c r="G1673" s="85" t="s">
        <v>12</v>
      </c>
      <c r="R1673" s="53"/>
      <c r="S1673" s="53"/>
      <c r="T1673" s="53"/>
      <c r="U1673" s="53"/>
      <c r="V1673" s="53"/>
      <c r="W1673" s="53"/>
      <c r="X1673" s="61" t="str">
        <f>IFERROR(IF(W1673="","",WORKDAY.INTL(B1673,_xlfn.XLOOKUP(W1673,Regras!$F$2:$F$11,Regras!$G$2:$G$11))),"")</f>
        <v/>
      </c>
      <c r="Y1673" s="150"/>
      <c r="Z1673" s="53"/>
    </row>
    <row r="1674" spans="7:26" x14ac:dyDescent="0.2">
      <c r="G1674" s="85" t="s">
        <v>12</v>
      </c>
      <c r="R1674" s="53"/>
      <c r="S1674" s="53"/>
      <c r="T1674" s="53"/>
      <c r="U1674" s="53"/>
      <c r="V1674" s="53"/>
      <c r="W1674" s="53"/>
      <c r="X1674" s="61" t="str">
        <f>IFERROR(IF(W1674="","",WORKDAY.INTL(B1674,_xlfn.XLOOKUP(W1674,Regras!$F$2:$F$11,Regras!$G$2:$G$11))),"")</f>
        <v/>
      </c>
      <c r="Y1674" s="150"/>
      <c r="Z1674" s="53"/>
    </row>
    <row r="1675" spans="7:26" x14ac:dyDescent="0.2">
      <c r="G1675" s="85" t="s">
        <v>12</v>
      </c>
      <c r="R1675" s="53"/>
      <c r="S1675" s="53"/>
      <c r="T1675" s="53"/>
      <c r="U1675" s="53"/>
      <c r="V1675" s="53"/>
      <c r="W1675" s="53"/>
      <c r="X1675" s="61" t="str">
        <f>IFERROR(IF(W1675="","",WORKDAY.INTL(B1675,_xlfn.XLOOKUP(W1675,Regras!$F$2:$F$11,Regras!$G$2:$G$11))),"")</f>
        <v/>
      </c>
      <c r="Y1675" s="150"/>
      <c r="Z1675" s="53"/>
    </row>
    <row r="1676" spans="7:26" x14ac:dyDescent="0.2">
      <c r="G1676" s="85" t="s">
        <v>12</v>
      </c>
      <c r="R1676" s="53"/>
      <c r="S1676" s="53"/>
      <c r="T1676" s="53"/>
      <c r="U1676" s="53"/>
      <c r="V1676" s="53"/>
      <c r="W1676" s="53"/>
      <c r="X1676" s="61" t="str">
        <f>IFERROR(IF(W1676="","",WORKDAY.INTL(B1676,_xlfn.XLOOKUP(W1676,Regras!$F$2:$F$11,Regras!$G$2:$G$11))),"")</f>
        <v/>
      </c>
      <c r="Y1676" s="150"/>
      <c r="Z1676" s="53"/>
    </row>
    <row r="1677" spans="7:26" x14ac:dyDescent="0.2">
      <c r="G1677" s="85" t="s">
        <v>12</v>
      </c>
      <c r="R1677" s="53"/>
      <c r="S1677" s="53"/>
      <c r="T1677" s="53"/>
      <c r="U1677" s="53"/>
      <c r="V1677" s="53"/>
      <c r="W1677" s="53"/>
      <c r="X1677" s="61" t="str">
        <f>IFERROR(IF(W1677="","",WORKDAY.INTL(B1677,_xlfn.XLOOKUP(W1677,Regras!$F$2:$F$11,Regras!$G$2:$G$11))),"")</f>
        <v/>
      </c>
      <c r="Y1677" s="150"/>
      <c r="Z1677" s="53"/>
    </row>
    <row r="1678" spans="7:26" x14ac:dyDescent="0.2">
      <c r="G1678" s="85" t="s">
        <v>12</v>
      </c>
      <c r="R1678" s="53"/>
      <c r="S1678" s="53"/>
      <c r="T1678" s="53"/>
      <c r="U1678" s="53"/>
      <c r="V1678" s="53"/>
      <c r="W1678" s="53"/>
      <c r="X1678" s="61" t="str">
        <f>IFERROR(IF(W1678="","",WORKDAY.INTL(B1678,_xlfn.XLOOKUP(W1678,Regras!$F$2:$F$11,Regras!$G$2:$G$11))),"")</f>
        <v/>
      </c>
      <c r="Y1678" s="150"/>
      <c r="Z1678" s="53"/>
    </row>
    <row r="1679" spans="7:26" x14ac:dyDescent="0.2">
      <c r="G1679" s="85" t="s">
        <v>12</v>
      </c>
      <c r="R1679" s="53"/>
      <c r="S1679" s="53"/>
      <c r="T1679" s="53"/>
      <c r="U1679" s="53"/>
      <c r="V1679" s="53"/>
      <c r="W1679" s="53"/>
      <c r="X1679" s="61" t="str">
        <f>IFERROR(IF(W1679="","",WORKDAY.INTL(B1679,_xlfn.XLOOKUP(W1679,Regras!$F$2:$F$11,Regras!$G$2:$G$11))),"")</f>
        <v/>
      </c>
      <c r="Y1679" s="150"/>
      <c r="Z1679" s="53"/>
    </row>
    <row r="1680" spans="7:26" x14ac:dyDescent="0.2">
      <c r="G1680" s="85" t="s">
        <v>12</v>
      </c>
      <c r="R1680" s="53"/>
      <c r="S1680" s="53"/>
      <c r="T1680" s="53"/>
      <c r="U1680" s="53"/>
      <c r="V1680" s="53"/>
      <c r="W1680" s="53"/>
      <c r="X1680" s="61" t="str">
        <f>IFERROR(IF(W1680="","",WORKDAY.INTL(B1680,_xlfn.XLOOKUP(W1680,Regras!$F$2:$F$11,Regras!$G$2:$G$11))),"")</f>
        <v/>
      </c>
      <c r="Y1680" s="150"/>
      <c r="Z1680" s="53"/>
    </row>
    <row r="1681" spans="7:26" x14ac:dyDescent="0.2">
      <c r="G1681" s="85" t="s">
        <v>12</v>
      </c>
      <c r="R1681" s="53"/>
      <c r="S1681" s="53"/>
      <c r="T1681" s="53"/>
      <c r="U1681" s="53"/>
      <c r="V1681" s="53"/>
      <c r="W1681" s="53"/>
      <c r="X1681" s="61" t="str">
        <f>IFERROR(IF(W1681="","",WORKDAY.INTL(B1681,_xlfn.XLOOKUP(W1681,Regras!$F$2:$F$11,Regras!$G$2:$G$11))),"")</f>
        <v/>
      </c>
      <c r="Y1681" s="150"/>
      <c r="Z1681" s="53"/>
    </row>
    <row r="1682" spans="7:26" x14ac:dyDescent="0.2">
      <c r="G1682" s="85" t="s">
        <v>12</v>
      </c>
      <c r="R1682" s="53"/>
      <c r="S1682" s="53"/>
      <c r="T1682" s="53"/>
      <c r="U1682" s="53"/>
      <c r="V1682" s="53"/>
      <c r="W1682" s="53"/>
      <c r="X1682" s="61" t="str">
        <f>IFERROR(IF(W1682="","",WORKDAY.INTL(B1682,_xlfn.XLOOKUP(W1682,Regras!$F$2:$F$11,Regras!$G$2:$G$11))),"")</f>
        <v/>
      </c>
      <c r="Y1682" s="150"/>
      <c r="Z1682" s="53"/>
    </row>
    <row r="1683" spans="7:26" x14ac:dyDescent="0.2">
      <c r="G1683" s="85" t="s">
        <v>12</v>
      </c>
      <c r="R1683" s="53"/>
      <c r="S1683" s="53"/>
      <c r="T1683" s="53"/>
      <c r="U1683" s="53"/>
      <c r="V1683" s="53"/>
      <c r="W1683" s="53"/>
      <c r="X1683" s="61" t="str">
        <f>IFERROR(IF(W1683="","",WORKDAY.INTL(B1683,_xlfn.XLOOKUP(W1683,Regras!$F$2:$F$11,Regras!$G$2:$G$11))),"")</f>
        <v/>
      </c>
      <c r="Y1683" s="150"/>
      <c r="Z1683" s="53"/>
    </row>
    <row r="1684" spans="7:26" x14ac:dyDescent="0.2">
      <c r="G1684" s="85" t="s">
        <v>12</v>
      </c>
      <c r="R1684" s="53"/>
      <c r="S1684" s="53"/>
      <c r="T1684" s="53"/>
      <c r="U1684" s="53"/>
      <c r="V1684" s="53"/>
      <c r="W1684" s="53"/>
      <c r="X1684" s="61" t="str">
        <f>IFERROR(IF(W1684="","",WORKDAY.INTL(B1684,_xlfn.XLOOKUP(W1684,Regras!$F$2:$F$11,Regras!$G$2:$G$11))),"")</f>
        <v/>
      </c>
      <c r="Y1684" s="150"/>
      <c r="Z1684" s="53"/>
    </row>
    <row r="1685" spans="7:26" x14ac:dyDescent="0.2">
      <c r="G1685" s="85" t="s">
        <v>12</v>
      </c>
      <c r="R1685" s="53"/>
      <c r="S1685" s="53"/>
      <c r="T1685" s="53"/>
      <c r="U1685" s="53"/>
      <c r="V1685" s="53"/>
      <c r="W1685" s="53"/>
      <c r="X1685" s="61" t="str">
        <f>IFERROR(IF(W1685="","",WORKDAY.INTL(B1685,_xlfn.XLOOKUP(W1685,Regras!$F$2:$F$11,Regras!$G$2:$G$11))),"")</f>
        <v/>
      </c>
      <c r="Y1685" s="150"/>
      <c r="Z1685" s="53"/>
    </row>
    <row r="1686" spans="7:26" x14ac:dyDescent="0.2">
      <c r="G1686" s="85" t="s">
        <v>12</v>
      </c>
      <c r="R1686" s="53"/>
      <c r="S1686" s="53"/>
      <c r="T1686" s="53"/>
      <c r="U1686" s="53"/>
      <c r="V1686" s="53"/>
      <c r="W1686" s="53"/>
      <c r="X1686" s="61" t="str">
        <f>IFERROR(IF(W1686="","",WORKDAY.INTL(B1686,_xlfn.XLOOKUP(W1686,Regras!$F$2:$F$11,Regras!$G$2:$G$11))),"")</f>
        <v/>
      </c>
      <c r="Y1686" s="150"/>
      <c r="Z1686" s="53"/>
    </row>
    <row r="1687" spans="7:26" x14ac:dyDescent="0.2">
      <c r="G1687" s="85" t="s">
        <v>12</v>
      </c>
      <c r="R1687" s="53"/>
      <c r="S1687" s="53"/>
      <c r="T1687" s="53"/>
      <c r="U1687" s="53"/>
      <c r="V1687" s="53"/>
      <c r="W1687" s="53"/>
      <c r="X1687" s="61" t="str">
        <f>IFERROR(IF(W1687="","",WORKDAY.INTL(B1687,_xlfn.XLOOKUP(W1687,Regras!$F$2:$F$11,Regras!$G$2:$G$11))),"")</f>
        <v/>
      </c>
      <c r="Y1687" s="150"/>
      <c r="Z1687" s="53"/>
    </row>
    <row r="1688" spans="7:26" x14ac:dyDescent="0.2">
      <c r="G1688" s="85" t="s">
        <v>12</v>
      </c>
      <c r="R1688" s="53"/>
      <c r="S1688" s="53"/>
      <c r="T1688" s="53"/>
      <c r="U1688" s="53"/>
      <c r="V1688" s="53"/>
      <c r="W1688" s="53"/>
      <c r="X1688" s="61" t="str">
        <f>IFERROR(IF(W1688="","",WORKDAY.INTL(B1688,_xlfn.XLOOKUP(W1688,Regras!$F$2:$F$11,Regras!$G$2:$G$11))),"")</f>
        <v/>
      </c>
      <c r="Y1688" s="150"/>
      <c r="Z1688" s="53"/>
    </row>
    <row r="1689" spans="7:26" x14ac:dyDescent="0.2">
      <c r="G1689" s="85" t="s">
        <v>12</v>
      </c>
      <c r="R1689" s="53"/>
      <c r="S1689" s="53"/>
      <c r="T1689" s="53"/>
      <c r="U1689" s="53"/>
      <c r="V1689" s="53"/>
      <c r="W1689" s="53"/>
      <c r="X1689" s="61" t="str">
        <f>IFERROR(IF(W1689="","",WORKDAY.INTL(B1689,_xlfn.XLOOKUP(W1689,Regras!$F$2:$F$11,Regras!$G$2:$G$11))),"")</f>
        <v/>
      </c>
      <c r="Y1689" s="150"/>
      <c r="Z1689" s="53"/>
    </row>
    <row r="1690" spans="7:26" x14ac:dyDescent="0.2">
      <c r="G1690" s="85" t="s">
        <v>12</v>
      </c>
      <c r="R1690" s="53"/>
      <c r="S1690" s="53"/>
      <c r="T1690" s="53"/>
      <c r="U1690" s="53"/>
      <c r="V1690" s="53"/>
      <c r="W1690" s="53"/>
      <c r="X1690" s="61" t="str">
        <f>IFERROR(IF(W1690="","",WORKDAY.INTL(B1690,_xlfn.XLOOKUP(W1690,Regras!$F$2:$F$11,Regras!$G$2:$G$11))),"")</f>
        <v/>
      </c>
      <c r="Y1690" s="150"/>
      <c r="Z1690" s="53"/>
    </row>
    <row r="1691" spans="7:26" x14ac:dyDescent="0.2">
      <c r="G1691" s="85" t="s">
        <v>12</v>
      </c>
      <c r="R1691" s="53"/>
      <c r="S1691" s="53"/>
      <c r="T1691" s="53"/>
      <c r="U1691" s="53"/>
      <c r="V1691" s="53"/>
      <c r="W1691" s="53"/>
      <c r="X1691" s="61" t="str">
        <f>IFERROR(IF(W1691="","",WORKDAY.INTL(B1691,_xlfn.XLOOKUP(W1691,Regras!$F$2:$F$11,Regras!$G$2:$G$11))),"")</f>
        <v/>
      </c>
      <c r="Y1691" s="150"/>
      <c r="Z1691" s="53"/>
    </row>
    <row r="1692" spans="7:26" x14ac:dyDescent="0.2">
      <c r="G1692" s="85" t="s">
        <v>12</v>
      </c>
      <c r="R1692" s="53"/>
      <c r="S1692" s="53"/>
      <c r="T1692" s="53"/>
      <c r="U1692" s="53"/>
      <c r="V1692" s="53"/>
      <c r="W1692" s="53"/>
      <c r="X1692" s="61" t="str">
        <f>IFERROR(IF(W1692="","",WORKDAY.INTL(B1692,_xlfn.XLOOKUP(W1692,Regras!$F$2:$F$11,Regras!$G$2:$G$11))),"")</f>
        <v/>
      </c>
      <c r="Y1692" s="150"/>
      <c r="Z1692" s="53"/>
    </row>
    <row r="1693" spans="7:26" x14ac:dyDescent="0.2">
      <c r="G1693" s="85" t="s">
        <v>12</v>
      </c>
      <c r="R1693" s="53"/>
      <c r="S1693" s="53"/>
      <c r="T1693" s="53"/>
      <c r="U1693" s="53"/>
      <c r="V1693" s="53"/>
      <c r="W1693" s="53"/>
      <c r="X1693" s="61" t="str">
        <f>IFERROR(IF(W1693="","",WORKDAY.INTL(B1693,_xlfn.XLOOKUP(W1693,Regras!$F$2:$F$11,Regras!$G$2:$G$11))),"")</f>
        <v/>
      </c>
      <c r="Y1693" s="150"/>
      <c r="Z1693" s="53"/>
    </row>
    <row r="1694" spans="7:26" x14ac:dyDescent="0.2">
      <c r="G1694" s="85" t="s">
        <v>12</v>
      </c>
      <c r="R1694" s="53"/>
      <c r="S1694" s="53"/>
      <c r="T1694" s="53"/>
      <c r="U1694" s="53"/>
      <c r="V1694" s="53"/>
      <c r="W1694" s="53"/>
      <c r="X1694" s="61" t="str">
        <f>IFERROR(IF(W1694="","",WORKDAY.INTL(B1694,_xlfn.XLOOKUP(W1694,Regras!$F$2:$F$11,Regras!$G$2:$G$11))),"")</f>
        <v/>
      </c>
      <c r="Y1694" s="150"/>
      <c r="Z1694" s="53"/>
    </row>
    <row r="1695" spans="7:26" x14ac:dyDescent="0.2">
      <c r="G1695" s="85" t="s">
        <v>12</v>
      </c>
      <c r="R1695" s="53"/>
      <c r="S1695" s="53"/>
      <c r="T1695" s="53"/>
      <c r="U1695" s="53"/>
      <c r="V1695" s="53"/>
      <c r="W1695" s="53"/>
      <c r="X1695" s="61" t="str">
        <f>IFERROR(IF(W1695="","",WORKDAY.INTL(B1695,_xlfn.XLOOKUP(W1695,Regras!$F$2:$F$11,Regras!$G$2:$G$11))),"")</f>
        <v/>
      </c>
      <c r="Y1695" s="150"/>
      <c r="Z1695" s="53"/>
    </row>
    <row r="1696" spans="7:26" x14ac:dyDescent="0.2">
      <c r="G1696" s="85" t="s">
        <v>12</v>
      </c>
      <c r="R1696" s="53"/>
      <c r="S1696" s="53"/>
      <c r="T1696" s="53"/>
      <c r="U1696" s="53"/>
      <c r="V1696" s="53"/>
      <c r="W1696" s="53"/>
      <c r="X1696" s="61" t="str">
        <f>IFERROR(IF(W1696="","",WORKDAY.INTL(B1696,_xlfn.XLOOKUP(W1696,Regras!$F$2:$F$11,Regras!$G$2:$G$11))),"")</f>
        <v/>
      </c>
      <c r="Y1696" s="150"/>
      <c r="Z1696" s="53"/>
    </row>
    <row r="1697" spans="7:26" x14ac:dyDescent="0.2">
      <c r="G1697" s="85" t="s">
        <v>12</v>
      </c>
      <c r="R1697" s="53"/>
      <c r="S1697" s="53"/>
      <c r="T1697" s="53"/>
      <c r="U1697" s="53"/>
      <c r="V1697" s="53"/>
      <c r="W1697" s="53"/>
      <c r="X1697" s="61" t="str">
        <f>IFERROR(IF(W1697="","",WORKDAY.INTL(B1697,_xlfn.XLOOKUP(W1697,Regras!$F$2:$F$11,Regras!$G$2:$G$11))),"")</f>
        <v/>
      </c>
      <c r="Y1697" s="150"/>
      <c r="Z1697" s="53"/>
    </row>
    <row r="1698" spans="7:26" x14ac:dyDescent="0.2">
      <c r="G1698" s="85" t="s">
        <v>12</v>
      </c>
      <c r="R1698" s="53"/>
      <c r="S1698" s="53"/>
      <c r="T1698" s="53"/>
      <c r="U1698" s="53"/>
      <c r="V1698" s="53"/>
      <c r="W1698" s="53"/>
      <c r="X1698" s="61" t="str">
        <f>IFERROR(IF(W1698="","",WORKDAY.INTL(B1698,_xlfn.XLOOKUP(W1698,Regras!$F$2:$F$11,Regras!$G$2:$G$11))),"")</f>
        <v/>
      </c>
      <c r="Y1698" s="150"/>
      <c r="Z1698" s="53"/>
    </row>
    <row r="1699" spans="7:26" x14ac:dyDescent="0.2">
      <c r="G1699" s="85" t="s">
        <v>12</v>
      </c>
      <c r="R1699" s="53"/>
      <c r="S1699" s="53"/>
      <c r="T1699" s="53"/>
      <c r="U1699" s="53"/>
      <c r="V1699" s="53"/>
      <c r="W1699" s="53"/>
      <c r="X1699" s="61" t="str">
        <f>IFERROR(IF(W1699="","",WORKDAY.INTL(B1699,_xlfn.XLOOKUP(W1699,Regras!$F$2:$F$11,Regras!$G$2:$G$11))),"")</f>
        <v/>
      </c>
      <c r="Y1699" s="150"/>
      <c r="Z1699" s="53"/>
    </row>
    <row r="1700" spans="7:26" x14ac:dyDescent="0.2">
      <c r="G1700" s="85" t="s">
        <v>12</v>
      </c>
      <c r="R1700" s="53"/>
      <c r="S1700" s="53"/>
      <c r="T1700" s="53"/>
      <c r="U1700" s="53"/>
      <c r="V1700" s="53"/>
      <c r="W1700" s="53"/>
      <c r="X1700" s="61" t="str">
        <f>IFERROR(IF(W1700="","",WORKDAY.INTL(B1700,_xlfn.XLOOKUP(W1700,Regras!$F$2:$F$11,Regras!$G$2:$G$11))),"")</f>
        <v/>
      </c>
      <c r="Y1700" s="150"/>
      <c r="Z1700" s="53"/>
    </row>
    <row r="1701" spans="7:26" x14ac:dyDescent="0.2">
      <c r="G1701" s="85" t="s">
        <v>12</v>
      </c>
      <c r="R1701" s="53"/>
      <c r="S1701" s="53"/>
      <c r="T1701" s="53"/>
      <c r="U1701" s="53"/>
      <c r="V1701" s="53"/>
      <c r="W1701" s="53"/>
      <c r="X1701" s="61" t="str">
        <f>IFERROR(IF(W1701="","",WORKDAY.INTL(B1701,_xlfn.XLOOKUP(W1701,Regras!$F$2:$F$11,Regras!$G$2:$G$11))),"")</f>
        <v/>
      </c>
      <c r="Y1701" s="150"/>
      <c r="Z1701" s="53"/>
    </row>
    <row r="1702" spans="7:26" x14ac:dyDescent="0.2">
      <c r="G1702" s="85" t="s">
        <v>12</v>
      </c>
      <c r="R1702" s="53"/>
      <c r="S1702" s="53"/>
      <c r="T1702" s="53"/>
      <c r="U1702" s="53"/>
      <c r="V1702" s="53"/>
      <c r="W1702" s="53"/>
      <c r="X1702" s="61" t="str">
        <f>IFERROR(IF(W1702="","",WORKDAY.INTL(B1702,_xlfn.XLOOKUP(W1702,Regras!$F$2:$F$11,Regras!$G$2:$G$11))),"")</f>
        <v/>
      </c>
      <c r="Y1702" s="150"/>
      <c r="Z1702" s="53"/>
    </row>
    <row r="1703" spans="7:26" x14ac:dyDescent="0.2">
      <c r="G1703" s="85" t="s">
        <v>12</v>
      </c>
      <c r="R1703" s="53"/>
      <c r="S1703" s="53"/>
      <c r="T1703" s="53"/>
      <c r="U1703" s="53"/>
      <c r="V1703" s="53"/>
      <c r="W1703" s="53"/>
      <c r="X1703" s="61" t="str">
        <f>IFERROR(IF(W1703="","",WORKDAY.INTL(B1703,_xlfn.XLOOKUP(W1703,Regras!$F$2:$F$11,Regras!$G$2:$G$11))),"")</f>
        <v/>
      </c>
      <c r="Y1703" s="150"/>
      <c r="Z1703" s="53"/>
    </row>
    <row r="1704" spans="7:26" x14ac:dyDescent="0.2">
      <c r="G1704" s="85" t="s">
        <v>12</v>
      </c>
      <c r="R1704" s="53"/>
      <c r="S1704" s="53"/>
      <c r="T1704" s="53"/>
      <c r="U1704" s="53"/>
      <c r="V1704" s="53"/>
      <c r="W1704" s="53"/>
      <c r="X1704" s="61" t="str">
        <f>IFERROR(IF(W1704="","",WORKDAY.INTL(B1704,_xlfn.XLOOKUP(W1704,Regras!$F$2:$F$11,Regras!$G$2:$G$11))),"")</f>
        <v/>
      </c>
      <c r="Y1704" s="150"/>
      <c r="Z1704" s="53"/>
    </row>
    <row r="1705" spans="7:26" x14ac:dyDescent="0.2">
      <c r="G1705" s="85" t="s">
        <v>12</v>
      </c>
      <c r="R1705" s="53"/>
      <c r="S1705" s="53"/>
      <c r="T1705" s="53"/>
      <c r="U1705" s="53"/>
      <c r="V1705" s="53"/>
      <c r="W1705" s="53"/>
      <c r="X1705" s="61" t="str">
        <f>IFERROR(IF(W1705="","",WORKDAY.INTL(B1705,_xlfn.XLOOKUP(W1705,Regras!$F$2:$F$11,Regras!$G$2:$G$11))),"")</f>
        <v/>
      </c>
      <c r="Y1705" s="150"/>
      <c r="Z1705" s="53"/>
    </row>
    <row r="1706" spans="7:26" x14ac:dyDescent="0.2">
      <c r="G1706" s="85" t="s">
        <v>12</v>
      </c>
      <c r="R1706" s="53"/>
      <c r="S1706" s="53"/>
      <c r="T1706" s="53"/>
      <c r="U1706" s="53"/>
      <c r="V1706" s="53"/>
      <c r="W1706" s="53"/>
      <c r="X1706" s="61" t="str">
        <f>IFERROR(IF(W1706="","",WORKDAY.INTL(B1706,_xlfn.XLOOKUP(W1706,Regras!$F$2:$F$11,Regras!$G$2:$G$11))),"")</f>
        <v/>
      </c>
      <c r="Y1706" s="150"/>
      <c r="Z1706" s="53"/>
    </row>
    <row r="1707" spans="7:26" x14ac:dyDescent="0.2">
      <c r="G1707" s="85" t="s">
        <v>12</v>
      </c>
      <c r="R1707" s="53"/>
      <c r="S1707" s="53"/>
      <c r="T1707" s="53"/>
      <c r="U1707" s="53"/>
      <c r="V1707" s="53"/>
      <c r="W1707" s="53"/>
      <c r="X1707" s="61" t="str">
        <f>IFERROR(IF(W1707="","",WORKDAY.INTL(B1707,_xlfn.XLOOKUP(W1707,Regras!$F$2:$F$11,Regras!$G$2:$G$11))),"")</f>
        <v/>
      </c>
      <c r="Y1707" s="150"/>
      <c r="Z1707" s="53"/>
    </row>
    <row r="1708" spans="7:26" x14ac:dyDescent="0.2">
      <c r="G1708" s="85" t="s">
        <v>12</v>
      </c>
      <c r="R1708" s="53"/>
      <c r="S1708" s="53"/>
      <c r="T1708" s="53"/>
      <c r="U1708" s="53"/>
      <c r="V1708" s="53"/>
      <c r="W1708" s="53"/>
      <c r="X1708" s="61" t="str">
        <f>IFERROR(IF(W1708="","",WORKDAY.INTL(B1708,_xlfn.XLOOKUP(W1708,Regras!$F$2:$F$11,Regras!$G$2:$G$11))),"")</f>
        <v/>
      </c>
      <c r="Y1708" s="150"/>
      <c r="Z1708" s="53"/>
    </row>
    <row r="1709" spans="7:26" x14ac:dyDescent="0.2">
      <c r="G1709" s="85" t="s">
        <v>12</v>
      </c>
      <c r="R1709" s="53"/>
      <c r="S1709" s="53"/>
      <c r="T1709" s="53"/>
      <c r="U1709" s="53"/>
      <c r="V1709" s="53"/>
      <c r="W1709" s="53"/>
      <c r="X1709" s="61" t="str">
        <f>IFERROR(IF(W1709="","",WORKDAY.INTL(B1709,_xlfn.XLOOKUP(W1709,Regras!$F$2:$F$11,Regras!$G$2:$G$11))),"")</f>
        <v/>
      </c>
      <c r="Y1709" s="150"/>
      <c r="Z1709" s="53"/>
    </row>
    <row r="1710" spans="7:26" x14ac:dyDescent="0.2">
      <c r="G1710" s="85" t="s">
        <v>12</v>
      </c>
      <c r="R1710" s="53"/>
      <c r="S1710" s="53"/>
      <c r="T1710" s="53"/>
      <c r="U1710" s="53"/>
      <c r="V1710" s="53"/>
      <c r="W1710" s="53"/>
      <c r="X1710" s="61" t="str">
        <f>IFERROR(IF(W1710="","",WORKDAY.INTL(B1710,_xlfn.XLOOKUP(W1710,Regras!$F$2:$F$11,Regras!$G$2:$G$11))),"")</f>
        <v/>
      </c>
      <c r="Y1710" s="150"/>
      <c r="Z1710" s="53"/>
    </row>
    <row r="1711" spans="7:26" x14ac:dyDescent="0.2">
      <c r="G1711" s="85" t="s">
        <v>12</v>
      </c>
      <c r="R1711" s="53"/>
      <c r="S1711" s="53"/>
      <c r="T1711" s="53"/>
      <c r="U1711" s="53"/>
      <c r="V1711" s="53"/>
      <c r="W1711" s="53"/>
      <c r="X1711" s="61" t="str">
        <f>IFERROR(IF(W1711="","",WORKDAY.INTL(B1711,_xlfn.XLOOKUP(W1711,Regras!$F$2:$F$11,Regras!$G$2:$G$11))),"")</f>
        <v/>
      </c>
      <c r="Y1711" s="150"/>
      <c r="Z1711" s="53"/>
    </row>
    <row r="1712" spans="7:26" x14ac:dyDescent="0.2">
      <c r="G1712" s="85" t="s">
        <v>12</v>
      </c>
      <c r="R1712" s="53"/>
      <c r="S1712" s="53"/>
      <c r="T1712" s="53"/>
      <c r="U1712" s="53"/>
      <c r="V1712" s="53"/>
      <c r="W1712" s="53"/>
      <c r="X1712" s="61" t="str">
        <f>IFERROR(IF(W1712="","",WORKDAY.INTL(B1712,_xlfn.XLOOKUP(W1712,Regras!$F$2:$F$11,Regras!$G$2:$G$11))),"")</f>
        <v/>
      </c>
      <c r="Y1712" s="150"/>
      <c r="Z1712" s="53"/>
    </row>
    <row r="1713" spans="7:26" x14ac:dyDescent="0.2">
      <c r="G1713" s="85" t="s">
        <v>12</v>
      </c>
      <c r="R1713" s="53"/>
      <c r="S1713" s="53"/>
      <c r="T1713" s="53"/>
      <c r="U1713" s="53"/>
      <c r="V1713" s="53"/>
      <c r="W1713" s="53"/>
      <c r="X1713" s="61" t="str">
        <f>IFERROR(IF(W1713="","",WORKDAY.INTL(B1713,_xlfn.XLOOKUP(W1713,Regras!$F$2:$F$11,Regras!$G$2:$G$11))),"")</f>
        <v/>
      </c>
      <c r="Y1713" s="150"/>
      <c r="Z1713" s="53"/>
    </row>
    <row r="1714" spans="7:26" x14ac:dyDescent="0.2">
      <c r="G1714" s="85" t="s">
        <v>12</v>
      </c>
      <c r="R1714" s="53"/>
      <c r="S1714" s="53"/>
      <c r="T1714" s="53"/>
      <c r="U1714" s="53"/>
      <c r="V1714" s="53"/>
      <c r="W1714" s="53"/>
      <c r="X1714" s="61" t="str">
        <f>IFERROR(IF(W1714="","",WORKDAY.INTL(B1714,_xlfn.XLOOKUP(W1714,Regras!$F$2:$F$11,Regras!$G$2:$G$11))),"")</f>
        <v/>
      </c>
      <c r="Y1714" s="150"/>
      <c r="Z1714" s="53"/>
    </row>
    <row r="1715" spans="7:26" x14ac:dyDescent="0.2">
      <c r="G1715" s="85" t="s">
        <v>12</v>
      </c>
      <c r="R1715" s="53"/>
      <c r="S1715" s="53"/>
      <c r="T1715" s="53"/>
      <c r="U1715" s="53"/>
      <c r="V1715" s="53"/>
      <c r="W1715" s="53"/>
      <c r="X1715" s="61" t="str">
        <f>IFERROR(IF(W1715="","",WORKDAY.INTL(B1715,_xlfn.XLOOKUP(W1715,Regras!$F$2:$F$11,Regras!$G$2:$G$11))),"")</f>
        <v/>
      </c>
      <c r="Y1715" s="150"/>
      <c r="Z1715" s="53"/>
    </row>
    <row r="1716" spans="7:26" x14ac:dyDescent="0.2">
      <c r="G1716" s="85" t="s">
        <v>12</v>
      </c>
      <c r="R1716" s="53"/>
      <c r="S1716" s="53"/>
      <c r="T1716" s="53"/>
      <c r="U1716" s="53"/>
      <c r="V1716" s="53"/>
      <c r="W1716" s="53"/>
      <c r="X1716" s="61" t="str">
        <f>IFERROR(IF(W1716="","",WORKDAY.INTL(B1716,_xlfn.XLOOKUP(W1716,Regras!$F$2:$F$11,Regras!$G$2:$G$11))),"")</f>
        <v/>
      </c>
      <c r="Y1716" s="150"/>
      <c r="Z1716" s="53"/>
    </row>
    <row r="1717" spans="7:26" x14ac:dyDescent="0.2">
      <c r="G1717" s="85" t="s">
        <v>12</v>
      </c>
      <c r="R1717" s="53"/>
      <c r="S1717" s="53"/>
      <c r="T1717" s="53"/>
      <c r="U1717" s="53"/>
      <c r="V1717" s="53"/>
      <c r="W1717" s="53"/>
      <c r="X1717" s="61" t="str">
        <f>IFERROR(IF(W1717="","",WORKDAY.INTL(B1717,_xlfn.XLOOKUP(W1717,Regras!$F$2:$F$11,Regras!$G$2:$G$11))),"")</f>
        <v/>
      </c>
      <c r="Y1717" s="150"/>
      <c r="Z1717" s="53"/>
    </row>
    <row r="1718" spans="7:26" x14ac:dyDescent="0.2">
      <c r="G1718" s="85" t="s">
        <v>12</v>
      </c>
      <c r="R1718" s="53"/>
      <c r="S1718" s="53"/>
      <c r="T1718" s="53"/>
      <c r="U1718" s="53"/>
      <c r="V1718" s="53"/>
      <c r="W1718" s="53"/>
      <c r="X1718" s="61" t="str">
        <f>IFERROR(IF(W1718="","",WORKDAY.INTL(B1718,_xlfn.XLOOKUP(W1718,Regras!$F$2:$F$11,Regras!$G$2:$G$11))),"")</f>
        <v/>
      </c>
      <c r="Y1718" s="150"/>
      <c r="Z1718" s="53"/>
    </row>
    <row r="1719" spans="7:26" x14ac:dyDescent="0.2">
      <c r="G1719" s="85" t="s">
        <v>12</v>
      </c>
      <c r="R1719" s="53"/>
      <c r="S1719" s="53"/>
      <c r="T1719" s="53"/>
      <c r="U1719" s="53"/>
      <c r="V1719" s="53"/>
      <c r="W1719" s="53"/>
      <c r="X1719" s="61" t="str">
        <f>IFERROR(IF(W1719="","",WORKDAY.INTL(B1719,_xlfn.XLOOKUP(W1719,Regras!$F$2:$F$11,Regras!$G$2:$G$11))),"")</f>
        <v/>
      </c>
      <c r="Y1719" s="150"/>
      <c r="Z1719" s="53"/>
    </row>
    <row r="1720" spans="7:26" x14ac:dyDescent="0.2">
      <c r="G1720" s="85" t="s">
        <v>12</v>
      </c>
      <c r="R1720" s="53"/>
      <c r="S1720" s="53"/>
      <c r="T1720" s="53"/>
      <c r="U1720" s="53"/>
      <c r="V1720" s="53"/>
      <c r="W1720" s="53"/>
      <c r="X1720" s="61" t="str">
        <f>IFERROR(IF(W1720="","",WORKDAY.INTL(B1720,_xlfn.XLOOKUP(W1720,Regras!$F$2:$F$11,Regras!$G$2:$G$11))),"")</f>
        <v/>
      </c>
      <c r="Y1720" s="150"/>
      <c r="Z1720" s="53"/>
    </row>
    <row r="1721" spans="7:26" x14ac:dyDescent="0.2">
      <c r="G1721" s="85" t="s">
        <v>12</v>
      </c>
      <c r="R1721" s="53"/>
      <c r="S1721" s="53"/>
      <c r="T1721" s="53"/>
      <c r="U1721" s="53"/>
      <c r="V1721" s="53"/>
      <c r="W1721" s="53"/>
      <c r="X1721" s="61" t="str">
        <f>IFERROR(IF(W1721="","",WORKDAY.INTL(B1721,_xlfn.XLOOKUP(W1721,Regras!$F$2:$F$11,Regras!$G$2:$G$11))),"")</f>
        <v/>
      </c>
      <c r="Y1721" s="150"/>
      <c r="Z1721" s="53"/>
    </row>
    <row r="1722" spans="7:26" x14ac:dyDescent="0.2">
      <c r="G1722" s="85" t="s">
        <v>12</v>
      </c>
      <c r="R1722" s="53"/>
      <c r="S1722" s="53"/>
      <c r="T1722" s="53"/>
      <c r="U1722" s="53"/>
      <c r="V1722" s="53"/>
      <c r="W1722" s="53"/>
      <c r="X1722" s="61" t="str">
        <f>IFERROR(IF(W1722="","",WORKDAY.INTL(B1722,_xlfn.XLOOKUP(W1722,Regras!$F$2:$F$11,Regras!$G$2:$G$11))),"")</f>
        <v/>
      </c>
      <c r="Y1722" s="150"/>
      <c r="Z1722" s="53"/>
    </row>
    <row r="1723" spans="7:26" x14ac:dyDescent="0.2">
      <c r="G1723" s="85" t="s">
        <v>12</v>
      </c>
      <c r="R1723" s="53"/>
      <c r="S1723" s="53"/>
      <c r="T1723" s="53"/>
      <c r="U1723" s="53"/>
      <c r="V1723" s="53"/>
      <c r="W1723" s="53"/>
      <c r="X1723" s="61" t="str">
        <f>IFERROR(IF(W1723="","",WORKDAY.INTL(B1723,_xlfn.XLOOKUP(W1723,Regras!$F$2:$F$11,Regras!$G$2:$G$11))),"")</f>
        <v/>
      </c>
      <c r="Y1723" s="150"/>
      <c r="Z1723" s="53"/>
    </row>
    <row r="1724" spans="7:26" x14ac:dyDescent="0.2">
      <c r="G1724" s="85" t="s">
        <v>12</v>
      </c>
      <c r="R1724" s="53"/>
      <c r="S1724" s="53"/>
      <c r="T1724" s="53"/>
      <c r="U1724" s="53"/>
      <c r="V1724" s="53"/>
      <c r="W1724" s="53"/>
      <c r="X1724" s="61" t="str">
        <f>IFERROR(IF(W1724="","",WORKDAY.INTL(B1724,_xlfn.XLOOKUP(W1724,Regras!$F$2:$F$11,Regras!$G$2:$G$11))),"")</f>
        <v/>
      </c>
      <c r="Y1724" s="150"/>
      <c r="Z1724" s="53"/>
    </row>
    <row r="1725" spans="7:26" x14ac:dyDescent="0.2">
      <c r="G1725" s="85" t="s">
        <v>12</v>
      </c>
      <c r="R1725" s="53"/>
      <c r="S1725" s="53"/>
      <c r="T1725" s="53"/>
      <c r="U1725" s="53"/>
      <c r="V1725" s="53"/>
      <c r="W1725" s="53"/>
      <c r="X1725" s="61" t="str">
        <f>IFERROR(IF(W1725="","",WORKDAY.INTL(B1725,_xlfn.XLOOKUP(W1725,Regras!$F$2:$F$11,Regras!$G$2:$G$11))),"")</f>
        <v/>
      </c>
      <c r="Y1725" s="150"/>
      <c r="Z1725" s="53"/>
    </row>
    <row r="1726" spans="7:26" x14ac:dyDescent="0.2">
      <c r="G1726" s="85" t="s">
        <v>12</v>
      </c>
      <c r="R1726" s="53"/>
      <c r="S1726" s="53"/>
      <c r="T1726" s="53"/>
      <c r="U1726" s="53"/>
      <c r="V1726" s="53"/>
      <c r="W1726" s="53"/>
      <c r="X1726" s="61" t="str">
        <f>IFERROR(IF(W1726="","",WORKDAY.INTL(B1726,_xlfn.XLOOKUP(W1726,Regras!$F$2:$F$11,Regras!$G$2:$G$11))),"")</f>
        <v/>
      </c>
      <c r="Y1726" s="150"/>
      <c r="Z1726" s="53"/>
    </row>
    <row r="1727" spans="7:26" x14ac:dyDescent="0.2">
      <c r="G1727" s="85" t="s">
        <v>12</v>
      </c>
      <c r="R1727" s="53"/>
      <c r="S1727" s="53"/>
      <c r="T1727" s="53"/>
      <c r="U1727" s="53"/>
      <c r="V1727" s="53"/>
      <c r="W1727" s="53"/>
      <c r="X1727" s="61" t="str">
        <f>IFERROR(IF(W1727="","",WORKDAY.INTL(B1727,_xlfn.XLOOKUP(W1727,Regras!$F$2:$F$11,Regras!$G$2:$G$11))),"")</f>
        <v/>
      </c>
      <c r="Y1727" s="150"/>
      <c r="Z1727" s="53"/>
    </row>
    <row r="1728" spans="7:26" x14ac:dyDescent="0.2">
      <c r="G1728" s="85" t="s">
        <v>12</v>
      </c>
      <c r="R1728" s="53"/>
      <c r="S1728" s="53"/>
      <c r="T1728" s="53"/>
      <c r="U1728" s="53"/>
      <c r="V1728" s="53"/>
      <c r="W1728" s="53"/>
      <c r="X1728" s="61" t="str">
        <f>IFERROR(IF(W1728="","",WORKDAY.INTL(B1728,_xlfn.XLOOKUP(W1728,Regras!$F$2:$F$11,Regras!$G$2:$G$11))),"")</f>
        <v/>
      </c>
      <c r="Y1728" s="150"/>
      <c r="Z1728" s="53"/>
    </row>
    <row r="1729" spans="7:26" x14ac:dyDescent="0.2">
      <c r="G1729" s="85" t="s">
        <v>12</v>
      </c>
      <c r="R1729" s="53"/>
      <c r="S1729" s="53"/>
      <c r="T1729" s="53"/>
      <c r="U1729" s="53"/>
      <c r="V1729" s="53"/>
      <c r="W1729" s="53"/>
      <c r="X1729" s="61" t="str">
        <f>IFERROR(IF(W1729="","",WORKDAY.INTL(B1729,_xlfn.XLOOKUP(W1729,Regras!$F$2:$F$11,Regras!$G$2:$G$11))),"")</f>
        <v/>
      </c>
      <c r="Y1729" s="150"/>
      <c r="Z1729" s="53"/>
    </row>
    <row r="1730" spans="7:26" x14ac:dyDescent="0.2">
      <c r="G1730" s="85" t="s">
        <v>12</v>
      </c>
      <c r="R1730" s="53"/>
      <c r="S1730" s="53"/>
      <c r="T1730" s="53"/>
      <c r="U1730" s="53"/>
      <c r="V1730" s="53"/>
      <c r="W1730" s="53"/>
      <c r="X1730" s="61" t="str">
        <f>IFERROR(IF(W1730="","",WORKDAY.INTL(B1730,_xlfn.XLOOKUP(W1730,Regras!$F$2:$F$11,Regras!$G$2:$G$11))),"")</f>
        <v/>
      </c>
      <c r="Y1730" s="150"/>
      <c r="Z1730" s="53"/>
    </row>
    <row r="1731" spans="7:26" x14ac:dyDescent="0.2">
      <c r="G1731" s="85" t="s">
        <v>12</v>
      </c>
      <c r="R1731" s="53"/>
      <c r="S1731" s="53"/>
      <c r="T1731" s="53"/>
      <c r="U1731" s="53"/>
      <c r="V1731" s="53"/>
      <c r="W1731" s="53"/>
      <c r="X1731" s="61" t="str">
        <f>IFERROR(IF(W1731="","",WORKDAY.INTL(B1731,_xlfn.XLOOKUP(W1731,Regras!$F$2:$F$11,Regras!$G$2:$G$11))),"")</f>
        <v/>
      </c>
      <c r="Y1731" s="150"/>
      <c r="Z1731" s="53"/>
    </row>
    <row r="1732" spans="7:26" x14ac:dyDescent="0.2">
      <c r="G1732" s="85" t="s">
        <v>12</v>
      </c>
      <c r="R1732" s="53"/>
      <c r="S1732" s="53"/>
      <c r="T1732" s="53"/>
      <c r="U1732" s="53"/>
      <c r="V1732" s="53"/>
      <c r="W1732" s="53"/>
      <c r="X1732" s="61" t="str">
        <f>IFERROR(IF(W1732="","",WORKDAY.INTL(B1732,_xlfn.XLOOKUP(W1732,Regras!$F$2:$F$11,Regras!$G$2:$G$11))),"")</f>
        <v/>
      </c>
      <c r="Y1732" s="150"/>
      <c r="Z1732" s="53"/>
    </row>
    <row r="1733" spans="7:26" x14ac:dyDescent="0.2">
      <c r="G1733" s="85" t="s">
        <v>12</v>
      </c>
      <c r="R1733" s="53"/>
      <c r="S1733" s="53"/>
      <c r="T1733" s="53"/>
      <c r="U1733" s="53"/>
      <c r="V1733" s="53"/>
      <c r="W1733" s="53"/>
      <c r="X1733" s="61" t="str">
        <f>IFERROR(IF(W1733="","",WORKDAY.INTL(B1733,_xlfn.XLOOKUP(W1733,Regras!$F$2:$F$11,Regras!$G$2:$G$11))),"")</f>
        <v/>
      </c>
      <c r="Y1733" s="150"/>
      <c r="Z1733" s="53"/>
    </row>
    <row r="1734" spans="7:26" x14ac:dyDescent="0.2">
      <c r="G1734" s="85" t="s">
        <v>12</v>
      </c>
      <c r="R1734" s="53"/>
      <c r="S1734" s="53"/>
      <c r="T1734" s="53"/>
      <c r="U1734" s="53"/>
      <c r="V1734" s="53"/>
      <c r="W1734" s="53"/>
      <c r="X1734" s="61" t="str">
        <f>IFERROR(IF(W1734="","",WORKDAY.INTL(B1734,_xlfn.XLOOKUP(W1734,Regras!$F$2:$F$11,Regras!$G$2:$G$11))),"")</f>
        <v/>
      </c>
      <c r="Y1734" s="150"/>
      <c r="Z1734" s="53"/>
    </row>
    <row r="1735" spans="7:26" x14ac:dyDescent="0.2">
      <c r="G1735" s="85" t="s">
        <v>12</v>
      </c>
      <c r="R1735" s="53"/>
      <c r="S1735" s="53"/>
      <c r="T1735" s="53"/>
      <c r="U1735" s="53"/>
      <c r="V1735" s="53"/>
      <c r="W1735" s="53"/>
      <c r="X1735" s="61" t="str">
        <f>IFERROR(IF(W1735="","",WORKDAY.INTL(B1735,_xlfn.XLOOKUP(W1735,Regras!$F$2:$F$11,Regras!$G$2:$G$11))),"")</f>
        <v/>
      </c>
      <c r="Y1735" s="150"/>
      <c r="Z1735" s="53"/>
    </row>
    <row r="1736" spans="7:26" x14ac:dyDescent="0.2">
      <c r="G1736" s="85" t="s">
        <v>12</v>
      </c>
      <c r="R1736" s="53"/>
      <c r="S1736" s="53"/>
      <c r="T1736" s="53"/>
      <c r="U1736" s="53"/>
      <c r="V1736" s="53"/>
      <c r="W1736" s="53"/>
      <c r="X1736" s="61" t="str">
        <f>IFERROR(IF(W1736="","",WORKDAY.INTL(B1736,_xlfn.XLOOKUP(W1736,Regras!$F$2:$F$11,Regras!$G$2:$G$11))),"")</f>
        <v/>
      </c>
      <c r="Y1736" s="150"/>
      <c r="Z1736" s="53"/>
    </row>
    <row r="1737" spans="7:26" x14ac:dyDescent="0.2">
      <c r="G1737" s="85" t="s">
        <v>12</v>
      </c>
      <c r="R1737" s="53"/>
      <c r="S1737" s="53"/>
      <c r="T1737" s="53"/>
      <c r="U1737" s="53"/>
      <c r="V1737" s="53"/>
      <c r="W1737" s="53"/>
      <c r="X1737" s="61" t="str">
        <f>IFERROR(IF(W1737="","",WORKDAY.INTL(B1737,_xlfn.XLOOKUP(W1737,Regras!$F$2:$F$11,Regras!$G$2:$G$11))),"")</f>
        <v/>
      </c>
      <c r="Y1737" s="150"/>
      <c r="Z1737" s="53"/>
    </row>
    <row r="1738" spans="7:26" x14ac:dyDescent="0.2">
      <c r="G1738" s="85" t="s">
        <v>12</v>
      </c>
      <c r="R1738" s="53"/>
      <c r="S1738" s="53"/>
      <c r="T1738" s="53"/>
      <c r="U1738" s="53"/>
      <c r="V1738" s="53"/>
      <c r="W1738" s="53"/>
      <c r="X1738" s="61" t="str">
        <f>IFERROR(IF(W1738="","",WORKDAY.INTL(B1738,_xlfn.XLOOKUP(W1738,Regras!$F$2:$F$11,Regras!$G$2:$G$11))),"")</f>
        <v/>
      </c>
      <c r="Y1738" s="150"/>
      <c r="Z1738" s="53"/>
    </row>
    <row r="1739" spans="7:26" x14ac:dyDescent="0.2">
      <c r="G1739" s="85" t="s">
        <v>12</v>
      </c>
      <c r="R1739" s="53"/>
      <c r="S1739" s="53"/>
      <c r="T1739" s="53"/>
      <c r="U1739" s="53"/>
      <c r="V1739" s="53"/>
      <c r="W1739" s="53"/>
      <c r="X1739" s="61" t="str">
        <f>IFERROR(IF(W1739="","",WORKDAY.INTL(B1739,_xlfn.XLOOKUP(W1739,Regras!$F$2:$F$11,Regras!$G$2:$G$11))),"")</f>
        <v/>
      </c>
      <c r="Y1739" s="150"/>
      <c r="Z1739" s="53"/>
    </row>
    <row r="1740" spans="7:26" x14ac:dyDescent="0.2">
      <c r="G1740" s="85" t="s">
        <v>12</v>
      </c>
      <c r="R1740" s="53"/>
      <c r="S1740" s="53"/>
      <c r="T1740" s="53"/>
      <c r="U1740" s="53"/>
      <c r="V1740" s="53"/>
      <c r="W1740" s="53"/>
      <c r="X1740" s="61" t="str">
        <f>IFERROR(IF(W1740="","",WORKDAY.INTL(B1740,_xlfn.XLOOKUP(W1740,Regras!$F$2:$F$11,Regras!$G$2:$G$11))),"")</f>
        <v/>
      </c>
      <c r="Y1740" s="150"/>
      <c r="Z1740" s="53"/>
    </row>
    <row r="1741" spans="7:26" x14ac:dyDescent="0.2">
      <c r="G1741" s="85" t="s">
        <v>12</v>
      </c>
      <c r="R1741" s="53"/>
      <c r="S1741" s="53"/>
      <c r="T1741" s="53"/>
      <c r="U1741" s="53"/>
      <c r="V1741" s="53"/>
      <c r="W1741" s="53"/>
      <c r="X1741" s="61" t="str">
        <f>IFERROR(IF(W1741="","",WORKDAY.INTL(B1741,_xlfn.XLOOKUP(W1741,Regras!$F$2:$F$11,Regras!$G$2:$G$11))),"")</f>
        <v/>
      </c>
      <c r="Y1741" s="150"/>
      <c r="Z1741" s="53"/>
    </row>
    <row r="1742" spans="7:26" x14ac:dyDescent="0.2">
      <c r="G1742" s="85" t="s">
        <v>12</v>
      </c>
      <c r="R1742" s="53"/>
      <c r="S1742" s="53"/>
      <c r="T1742" s="53"/>
      <c r="U1742" s="53"/>
      <c r="V1742" s="53"/>
      <c r="W1742" s="53"/>
      <c r="X1742" s="61" t="str">
        <f>IFERROR(IF(W1742="","",WORKDAY.INTL(B1742,_xlfn.XLOOKUP(W1742,Regras!$F$2:$F$11,Regras!$G$2:$G$11))),"")</f>
        <v/>
      </c>
      <c r="Y1742" s="150"/>
      <c r="Z1742" s="53"/>
    </row>
    <row r="1743" spans="7:26" x14ac:dyDescent="0.2">
      <c r="G1743" s="85" t="s">
        <v>12</v>
      </c>
      <c r="R1743" s="53"/>
      <c r="S1743" s="53"/>
      <c r="T1743" s="53"/>
      <c r="U1743" s="53"/>
      <c r="V1743" s="53"/>
      <c r="W1743" s="53"/>
      <c r="X1743" s="61" t="str">
        <f>IFERROR(IF(W1743="","",WORKDAY.INTL(B1743,_xlfn.XLOOKUP(W1743,Regras!$F$2:$F$11,Regras!$G$2:$G$11))),"")</f>
        <v/>
      </c>
      <c r="Y1743" s="150"/>
      <c r="Z1743" s="53"/>
    </row>
    <row r="1744" spans="7:26" x14ac:dyDescent="0.2">
      <c r="G1744" s="85" t="s">
        <v>12</v>
      </c>
      <c r="R1744" s="53"/>
      <c r="S1744" s="53"/>
      <c r="T1744" s="53"/>
      <c r="U1744" s="53"/>
      <c r="V1744" s="53"/>
      <c r="W1744" s="53"/>
      <c r="X1744" s="61" t="str">
        <f>IFERROR(IF(W1744="","",WORKDAY.INTL(B1744,_xlfn.XLOOKUP(W1744,Regras!$F$2:$F$11,Regras!$G$2:$G$11))),"")</f>
        <v/>
      </c>
      <c r="Y1744" s="150"/>
      <c r="Z1744" s="53"/>
    </row>
    <row r="1745" spans="7:26" x14ac:dyDescent="0.2">
      <c r="G1745" s="85" t="s">
        <v>12</v>
      </c>
      <c r="R1745" s="53"/>
      <c r="S1745" s="53"/>
      <c r="T1745" s="53"/>
      <c r="U1745" s="53"/>
      <c r="V1745" s="53"/>
      <c r="W1745" s="53"/>
      <c r="X1745" s="61" t="str">
        <f>IFERROR(IF(W1745="","",WORKDAY.INTL(B1745,_xlfn.XLOOKUP(W1745,Regras!$F$2:$F$11,Regras!$G$2:$G$11))),"")</f>
        <v/>
      </c>
      <c r="Y1745" s="150"/>
      <c r="Z1745" s="53"/>
    </row>
    <row r="1746" spans="7:26" x14ac:dyDescent="0.2">
      <c r="G1746" s="85" t="s">
        <v>12</v>
      </c>
      <c r="R1746" s="53"/>
      <c r="S1746" s="53"/>
      <c r="T1746" s="53"/>
      <c r="U1746" s="53"/>
      <c r="V1746" s="53"/>
      <c r="W1746" s="53"/>
      <c r="X1746" s="61" t="str">
        <f>IFERROR(IF(W1746="","",WORKDAY.INTL(B1746,_xlfn.XLOOKUP(W1746,Regras!$F$2:$F$11,Regras!$G$2:$G$11))),"")</f>
        <v/>
      </c>
      <c r="Y1746" s="150"/>
      <c r="Z1746" s="53"/>
    </row>
    <row r="1747" spans="7:26" x14ac:dyDescent="0.2">
      <c r="G1747" s="85" t="s">
        <v>12</v>
      </c>
      <c r="R1747" s="53"/>
      <c r="S1747" s="53"/>
      <c r="T1747" s="53"/>
      <c r="U1747" s="53"/>
      <c r="V1747" s="53"/>
      <c r="W1747" s="53"/>
      <c r="X1747" s="61" t="str">
        <f>IFERROR(IF(W1747="","",WORKDAY.INTL(B1747,_xlfn.XLOOKUP(W1747,Regras!$F$2:$F$11,Regras!$G$2:$G$11))),"")</f>
        <v/>
      </c>
      <c r="Y1747" s="150"/>
      <c r="Z1747" s="53"/>
    </row>
    <row r="1748" spans="7:26" x14ac:dyDescent="0.2">
      <c r="G1748" s="85" t="s">
        <v>12</v>
      </c>
      <c r="R1748" s="53"/>
      <c r="S1748" s="53"/>
      <c r="T1748" s="53"/>
      <c r="U1748" s="53"/>
      <c r="V1748" s="53"/>
      <c r="W1748" s="53"/>
      <c r="X1748" s="61" t="str">
        <f>IFERROR(IF(W1748="","",WORKDAY.INTL(B1748,_xlfn.XLOOKUP(W1748,Regras!$F$2:$F$11,Regras!$G$2:$G$11))),"")</f>
        <v/>
      </c>
      <c r="Y1748" s="150"/>
      <c r="Z1748" s="53"/>
    </row>
    <row r="1749" spans="7:26" x14ac:dyDescent="0.2">
      <c r="G1749" s="85" t="s">
        <v>12</v>
      </c>
      <c r="R1749" s="53"/>
      <c r="S1749" s="53"/>
      <c r="T1749" s="53"/>
      <c r="U1749" s="53"/>
      <c r="V1749" s="53"/>
      <c r="W1749" s="53"/>
      <c r="X1749" s="61" t="str">
        <f>IFERROR(IF(W1749="","",WORKDAY.INTL(B1749,_xlfn.XLOOKUP(W1749,Regras!$F$2:$F$11,Regras!$G$2:$G$11))),"")</f>
        <v/>
      </c>
      <c r="Y1749" s="150"/>
      <c r="Z1749" s="53"/>
    </row>
    <row r="1750" spans="7:26" x14ac:dyDescent="0.2">
      <c r="G1750" s="85" t="s">
        <v>12</v>
      </c>
      <c r="R1750" s="53"/>
      <c r="S1750" s="53"/>
      <c r="T1750" s="53"/>
      <c r="U1750" s="53"/>
      <c r="V1750" s="53"/>
      <c r="W1750" s="53"/>
      <c r="X1750" s="61" t="str">
        <f>IFERROR(IF(W1750="","",WORKDAY.INTL(B1750,_xlfn.XLOOKUP(W1750,Regras!$F$2:$F$11,Regras!$G$2:$G$11))),"")</f>
        <v/>
      </c>
      <c r="Y1750" s="150"/>
      <c r="Z1750" s="53"/>
    </row>
    <row r="1751" spans="7:26" x14ac:dyDescent="0.2">
      <c r="G1751" s="85" t="s">
        <v>12</v>
      </c>
      <c r="R1751" s="53"/>
      <c r="S1751" s="53"/>
      <c r="T1751" s="53"/>
      <c r="U1751" s="53"/>
      <c r="V1751" s="53"/>
      <c r="W1751" s="53"/>
      <c r="X1751" s="61" t="str">
        <f>IFERROR(IF(W1751="","",WORKDAY.INTL(B1751,_xlfn.XLOOKUP(W1751,Regras!$F$2:$F$11,Regras!$G$2:$G$11))),"")</f>
        <v/>
      </c>
      <c r="Y1751" s="150"/>
      <c r="Z1751" s="53"/>
    </row>
    <row r="1752" spans="7:26" x14ac:dyDescent="0.2">
      <c r="G1752" s="85" t="s">
        <v>12</v>
      </c>
      <c r="R1752" s="53"/>
      <c r="S1752" s="53"/>
      <c r="T1752" s="53"/>
      <c r="U1752" s="53"/>
      <c r="V1752" s="53"/>
      <c r="W1752" s="53"/>
      <c r="X1752" s="61" t="str">
        <f>IFERROR(IF(W1752="","",WORKDAY.INTL(B1752,_xlfn.XLOOKUP(W1752,Regras!$F$2:$F$11,Regras!$G$2:$G$11))),"")</f>
        <v/>
      </c>
      <c r="Y1752" s="150"/>
      <c r="Z1752" s="53"/>
    </row>
    <row r="1753" spans="7:26" x14ac:dyDescent="0.2">
      <c r="G1753" s="85" t="s">
        <v>12</v>
      </c>
      <c r="R1753" s="53"/>
      <c r="S1753" s="53"/>
      <c r="T1753" s="53"/>
      <c r="U1753" s="53"/>
      <c r="V1753" s="53"/>
      <c r="W1753" s="53"/>
      <c r="X1753" s="61" t="str">
        <f>IFERROR(IF(W1753="","",WORKDAY.INTL(B1753,_xlfn.XLOOKUP(W1753,Regras!$F$2:$F$11,Regras!$G$2:$G$11))),"")</f>
        <v/>
      </c>
      <c r="Y1753" s="150"/>
      <c r="Z1753" s="53"/>
    </row>
    <row r="1754" spans="7:26" x14ac:dyDescent="0.2">
      <c r="G1754" s="85" t="s">
        <v>12</v>
      </c>
      <c r="R1754" s="53"/>
      <c r="S1754" s="53"/>
      <c r="T1754" s="53"/>
      <c r="U1754" s="53"/>
      <c r="V1754" s="53"/>
      <c r="W1754" s="53"/>
      <c r="X1754" s="61" t="str">
        <f>IFERROR(IF(W1754="","",WORKDAY.INTL(B1754,_xlfn.XLOOKUP(W1754,Regras!$F$2:$F$11,Regras!$G$2:$G$11))),"")</f>
        <v/>
      </c>
      <c r="Y1754" s="150"/>
      <c r="Z1754" s="53"/>
    </row>
    <row r="1755" spans="7:26" x14ac:dyDescent="0.2">
      <c r="G1755" s="85" t="s">
        <v>12</v>
      </c>
      <c r="R1755" s="53"/>
      <c r="S1755" s="53"/>
      <c r="T1755" s="53"/>
      <c r="U1755" s="53"/>
      <c r="V1755" s="53"/>
      <c r="W1755" s="53"/>
      <c r="X1755" s="61" t="str">
        <f>IFERROR(IF(W1755="","",WORKDAY.INTL(B1755,_xlfn.XLOOKUP(W1755,Regras!$F$2:$F$11,Regras!$G$2:$G$11))),"")</f>
        <v/>
      </c>
      <c r="Y1755" s="150"/>
      <c r="Z1755" s="53"/>
    </row>
    <row r="1756" spans="7:26" x14ac:dyDescent="0.2">
      <c r="G1756" s="85" t="s">
        <v>12</v>
      </c>
      <c r="R1756" s="53"/>
      <c r="S1756" s="53"/>
      <c r="T1756" s="53"/>
      <c r="U1756" s="53"/>
      <c r="V1756" s="53"/>
      <c r="W1756" s="53"/>
      <c r="X1756" s="61" t="str">
        <f>IFERROR(IF(W1756="","",WORKDAY.INTL(B1756,_xlfn.XLOOKUP(W1756,Regras!$F$2:$F$11,Regras!$G$2:$G$11))),"")</f>
        <v/>
      </c>
      <c r="Y1756" s="150"/>
      <c r="Z1756" s="53"/>
    </row>
    <row r="1757" spans="7:26" x14ac:dyDescent="0.2">
      <c r="G1757" s="85" t="s">
        <v>12</v>
      </c>
      <c r="R1757" s="53"/>
      <c r="S1757" s="53"/>
      <c r="T1757" s="53"/>
      <c r="U1757" s="53"/>
      <c r="V1757" s="53"/>
      <c r="W1757" s="53"/>
      <c r="X1757" s="61" t="str">
        <f>IFERROR(IF(W1757="","",WORKDAY.INTL(B1757,_xlfn.XLOOKUP(W1757,Regras!$F$2:$F$11,Regras!$G$2:$G$11))),"")</f>
        <v/>
      </c>
      <c r="Y1757" s="150"/>
      <c r="Z1757" s="53"/>
    </row>
    <row r="1758" spans="7:26" x14ac:dyDescent="0.2">
      <c r="G1758" s="85" t="s">
        <v>12</v>
      </c>
      <c r="R1758" s="53"/>
      <c r="S1758" s="53"/>
      <c r="T1758" s="53"/>
      <c r="U1758" s="53"/>
      <c r="V1758" s="53"/>
      <c r="W1758" s="53"/>
      <c r="X1758" s="61" t="str">
        <f>IFERROR(IF(W1758="","",WORKDAY.INTL(B1758,_xlfn.XLOOKUP(W1758,Regras!$F$2:$F$11,Regras!$G$2:$G$11))),"")</f>
        <v/>
      </c>
      <c r="Y1758" s="150"/>
      <c r="Z1758" s="53"/>
    </row>
    <row r="1759" spans="7:26" x14ac:dyDescent="0.2">
      <c r="G1759" s="85" t="s">
        <v>12</v>
      </c>
      <c r="R1759" s="53"/>
      <c r="S1759" s="53"/>
      <c r="T1759" s="53"/>
      <c r="U1759" s="53"/>
      <c r="V1759" s="53"/>
      <c r="W1759" s="53"/>
      <c r="X1759" s="61" t="str">
        <f>IFERROR(IF(W1759="","",WORKDAY.INTL(B1759,_xlfn.XLOOKUP(W1759,Regras!$F$2:$F$11,Regras!$G$2:$G$11))),"")</f>
        <v/>
      </c>
      <c r="Y1759" s="150"/>
      <c r="Z1759" s="53"/>
    </row>
    <row r="1760" spans="7:26" x14ac:dyDescent="0.2">
      <c r="G1760" s="85" t="s">
        <v>12</v>
      </c>
      <c r="R1760" s="53"/>
      <c r="S1760" s="53"/>
      <c r="T1760" s="53"/>
      <c r="U1760" s="53"/>
      <c r="V1760" s="53"/>
      <c r="W1760" s="53"/>
      <c r="X1760" s="61" t="str">
        <f>IFERROR(IF(W1760="","",WORKDAY.INTL(B1760,_xlfn.XLOOKUP(W1760,Regras!$F$2:$F$11,Regras!$G$2:$G$11))),"")</f>
        <v/>
      </c>
      <c r="Y1760" s="150"/>
      <c r="Z1760" s="53"/>
    </row>
    <row r="1761" spans="7:26" x14ac:dyDescent="0.2">
      <c r="G1761" s="85" t="s">
        <v>12</v>
      </c>
      <c r="R1761" s="53"/>
      <c r="S1761" s="53"/>
      <c r="T1761" s="53"/>
      <c r="U1761" s="53"/>
      <c r="V1761" s="53"/>
      <c r="W1761" s="53"/>
      <c r="X1761" s="61" t="str">
        <f>IFERROR(IF(W1761="","",WORKDAY.INTL(B1761,_xlfn.XLOOKUP(W1761,Regras!$F$2:$F$11,Regras!$G$2:$G$11))),"")</f>
        <v/>
      </c>
      <c r="Y1761" s="150"/>
      <c r="Z1761" s="53"/>
    </row>
    <row r="1762" spans="7:26" x14ac:dyDescent="0.2">
      <c r="G1762" s="85" t="s">
        <v>12</v>
      </c>
      <c r="R1762" s="53"/>
      <c r="S1762" s="53"/>
      <c r="T1762" s="53"/>
      <c r="U1762" s="53"/>
      <c r="V1762" s="53"/>
      <c r="W1762" s="53"/>
      <c r="X1762" s="61" t="str">
        <f>IFERROR(IF(W1762="","",WORKDAY.INTL(B1762,_xlfn.XLOOKUP(W1762,Regras!$F$2:$F$11,Regras!$G$2:$G$11))),"")</f>
        <v/>
      </c>
      <c r="Y1762" s="150"/>
      <c r="Z1762" s="53"/>
    </row>
    <row r="1763" spans="7:26" x14ac:dyDescent="0.2">
      <c r="G1763" s="85" t="s">
        <v>12</v>
      </c>
      <c r="R1763" s="53"/>
      <c r="S1763" s="53"/>
      <c r="T1763" s="53"/>
      <c r="U1763" s="53"/>
      <c r="V1763" s="53"/>
      <c r="W1763" s="53"/>
      <c r="X1763" s="61" t="str">
        <f>IFERROR(IF(W1763="","",WORKDAY.INTL(B1763,_xlfn.XLOOKUP(W1763,Regras!$F$2:$F$11,Regras!$G$2:$G$11))),"")</f>
        <v/>
      </c>
      <c r="Y1763" s="150"/>
      <c r="Z1763" s="53"/>
    </row>
    <row r="1764" spans="7:26" x14ac:dyDescent="0.2">
      <c r="G1764" s="85" t="s">
        <v>12</v>
      </c>
      <c r="R1764" s="53"/>
      <c r="S1764" s="53"/>
      <c r="T1764" s="53"/>
      <c r="U1764" s="53"/>
      <c r="V1764" s="53"/>
      <c r="W1764" s="53"/>
      <c r="X1764" s="61" t="str">
        <f>IFERROR(IF(W1764="","",WORKDAY.INTL(B1764,_xlfn.XLOOKUP(W1764,Regras!$F$2:$F$11,Regras!$G$2:$G$11))),"")</f>
        <v/>
      </c>
      <c r="Y1764" s="150"/>
      <c r="Z1764" s="53"/>
    </row>
    <row r="1765" spans="7:26" x14ac:dyDescent="0.2">
      <c r="G1765" s="85" t="s">
        <v>12</v>
      </c>
      <c r="R1765" s="53"/>
      <c r="S1765" s="53"/>
      <c r="T1765" s="53"/>
      <c r="U1765" s="53"/>
      <c r="V1765" s="53"/>
      <c r="W1765" s="53"/>
      <c r="X1765" s="61" t="str">
        <f>IFERROR(IF(W1765="","",WORKDAY.INTL(B1765,_xlfn.XLOOKUP(W1765,Regras!$F$2:$F$11,Regras!$G$2:$G$11))),"")</f>
        <v/>
      </c>
      <c r="Y1765" s="150"/>
      <c r="Z1765" s="53"/>
    </row>
    <row r="1766" spans="7:26" x14ac:dyDescent="0.2">
      <c r="G1766" s="85" t="s">
        <v>12</v>
      </c>
      <c r="R1766" s="53"/>
      <c r="S1766" s="53"/>
      <c r="T1766" s="53"/>
      <c r="U1766" s="53"/>
      <c r="V1766" s="53"/>
      <c r="W1766" s="53"/>
      <c r="X1766" s="61" t="str">
        <f>IFERROR(IF(W1766="","",WORKDAY.INTL(B1766,_xlfn.XLOOKUP(W1766,Regras!$F$2:$F$11,Regras!$G$2:$G$11))),"")</f>
        <v/>
      </c>
      <c r="Y1766" s="150"/>
      <c r="Z1766" s="53"/>
    </row>
    <row r="1767" spans="7:26" x14ac:dyDescent="0.2">
      <c r="G1767" s="85" t="s">
        <v>12</v>
      </c>
      <c r="R1767" s="53"/>
      <c r="S1767" s="53"/>
      <c r="T1767" s="53"/>
      <c r="U1767" s="53"/>
      <c r="V1767" s="53"/>
      <c r="W1767" s="53"/>
      <c r="X1767" s="61" t="str">
        <f>IFERROR(IF(W1767="","",WORKDAY.INTL(B1767,_xlfn.XLOOKUP(W1767,Regras!$F$2:$F$11,Regras!$G$2:$G$11))),"")</f>
        <v/>
      </c>
      <c r="Y1767" s="150"/>
      <c r="Z1767" s="53"/>
    </row>
    <row r="1768" spans="7:26" x14ac:dyDescent="0.2">
      <c r="G1768" s="85" t="s">
        <v>12</v>
      </c>
      <c r="R1768" s="53"/>
      <c r="S1768" s="53"/>
      <c r="T1768" s="53"/>
      <c r="U1768" s="53"/>
      <c r="V1768" s="53"/>
      <c r="W1768" s="53"/>
      <c r="X1768" s="61" t="str">
        <f>IFERROR(IF(W1768="","",WORKDAY.INTL(B1768,_xlfn.XLOOKUP(W1768,Regras!$F$2:$F$11,Regras!$G$2:$G$11))),"")</f>
        <v/>
      </c>
      <c r="Y1768" s="150"/>
      <c r="Z1768" s="53"/>
    </row>
    <row r="1769" spans="7:26" x14ac:dyDescent="0.2">
      <c r="G1769" s="85" t="s">
        <v>12</v>
      </c>
      <c r="R1769" s="53"/>
      <c r="S1769" s="53"/>
      <c r="T1769" s="53"/>
      <c r="U1769" s="53"/>
      <c r="V1769" s="53"/>
      <c r="W1769" s="53"/>
      <c r="X1769" s="61" t="str">
        <f>IFERROR(IF(W1769="","",WORKDAY.INTL(B1769,_xlfn.XLOOKUP(W1769,Regras!$F$2:$F$11,Regras!$G$2:$G$11))),"")</f>
        <v/>
      </c>
      <c r="Y1769" s="150"/>
      <c r="Z1769" s="53"/>
    </row>
    <row r="1770" spans="7:26" x14ac:dyDescent="0.2">
      <c r="G1770" s="85" t="s">
        <v>12</v>
      </c>
      <c r="R1770" s="53"/>
      <c r="S1770" s="53"/>
      <c r="T1770" s="53"/>
      <c r="U1770" s="53"/>
      <c r="V1770" s="53"/>
      <c r="W1770" s="53"/>
      <c r="X1770" s="61" t="str">
        <f>IFERROR(IF(W1770="","",WORKDAY.INTL(B1770,_xlfn.XLOOKUP(W1770,Regras!$F$2:$F$11,Regras!$G$2:$G$11))),"")</f>
        <v/>
      </c>
      <c r="Y1770" s="150"/>
      <c r="Z1770" s="53"/>
    </row>
    <row r="1771" spans="7:26" x14ac:dyDescent="0.2">
      <c r="G1771" s="85" t="s">
        <v>12</v>
      </c>
      <c r="R1771" s="53"/>
      <c r="S1771" s="53"/>
      <c r="T1771" s="53"/>
      <c r="U1771" s="53"/>
      <c r="V1771" s="53"/>
      <c r="W1771" s="53"/>
      <c r="X1771" s="61" t="str">
        <f>IFERROR(IF(W1771="","",WORKDAY.INTL(B1771,_xlfn.XLOOKUP(W1771,Regras!$F$2:$F$11,Regras!$G$2:$G$11))),"")</f>
        <v/>
      </c>
      <c r="Y1771" s="150"/>
      <c r="Z1771" s="53"/>
    </row>
    <row r="1772" spans="7:26" x14ac:dyDescent="0.2">
      <c r="G1772" s="85" t="s">
        <v>12</v>
      </c>
      <c r="R1772" s="53"/>
      <c r="S1772" s="53"/>
      <c r="T1772" s="53"/>
      <c r="U1772" s="53"/>
      <c r="V1772" s="53"/>
      <c r="W1772" s="53"/>
      <c r="X1772" s="61" t="str">
        <f>IFERROR(IF(W1772="","",WORKDAY.INTL(B1772,_xlfn.XLOOKUP(W1772,Regras!$F$2:$F$11,Regras!$G$2:$G$11))),"")</f>
        <v/>
      </c>
      <c r="Y1772" s="150"/>
      <c r="Z1772" s="53"/>
    </row>
    <row r="1773" spans="7:26" x14ac:dyDescent="0.2">
      <c r="G1773" s="85" t="s">
        <v>12</v>
      </c>
      <c r="R1773" s="53"/>
      <c r="S1773" s="53"/>
      <c r="T1773" s="53"/>
      <c r="U1773" s="53"/>
      <c r="V1773" s="53"/>
      <c r="W1773" s="53"/>
      <c r="X1773" s="61" t="str">
        <f>IFERROR(IF(W1773="","",WORKDAY.INTL(B1773,_xlfn.XLOOKUP(W1773,Regras!$F$2:$F$11,Regras!$G$2:$G$11))),"")</f>
        <v/>
      </c>
      <c r="Y1773" s="150"/>
      <c r="Z1773" s="53"/>
    </row>
    <row r="1774" spans="7:26" x14ac:dyDescent="0.2">
      <c r="G1774" s="85" t="s">
        <v>12</v>
      </c>
      <c r="R1774" s="53"/>
      <c r="S1774" s="53"/>
      <c r="T1774" s="53"/>
      <c r="U1774" s="53"/>
      <c r="V1774" s="53"/>
      <c r="W1774" s="53"/>
      <c r="X1774" s="61" t="str">
        <f>IFERROR(IF(W1774="","",WORKDAY.INTL(B1774,_xlfn.XLOOKUP(W1774,Regras!$F$2:$F$11,Regras!$G$2:$G$11))),"")</f>
        <v/>
      </c>
      <c r="Y1774" s="150"/>
      <c r="Z1774" s="53"/>
    </row>
    <row r="1775" spans="7:26" x14ac:dyDescent="0.2">
      <c r="G1775" s="85" t="s">
        <v>12</v>
      </c>
      <c r="R1775" s="53"/>
      <c r="S1775" s="53"/>
      <c r="T1775" s="53"/>
      <c r="U1775" s="53"/>
      <c r="V1775" s="53"/>
      <c r="W1775" s="53"/>
      <c r="X1775" s="61" t="str">
        <f>IFERROR(IF(W1775="","",WORKDAY.INTL(B1775,_xlfn.XLOOKUP(W1775,Regras!$F$2:$F$11,Regras!$G$2:$G$11))),"")</f>
        <v/>
      </c>
      <c r="Y1775" s="150"/>
      <c r="Z1775" s="53"/>
    </row>
    <row r="1776" spans="7:26" x14ac:dyDescent="0.2">
      <c r="G1776" s="85" t="s">
        <v>12</v>
      </c>
      <c r="R1776" s="53"/>
      <c r="S1776" s="53"/>
      <c r="T1776" s="53"/>
      <c r="U1776" s="53"/>
      <c r="V1776" s="53"/>
      <c r="W1776" s="53"/>
      <c r="X1776" s="61" t="str">
        <f>IFERROR(IF(W1776="","",WORKDAY.INTL(B1776,_xlfn.XLOOKUP(W1776,Regras!$F$2:$F$11,Regras!$G$2:$G$11))),"")</f>
        <v/>
      </c>
      <c r="Y1776" s="150"/>
      <c r="Z1776" s="53"/>
    </row>
    <row r="1777" spans="7:26" x14ac:dyDescent="0.2">
      <c r="G1777" s="85" t="s">
        <v>12</v>
      </c>
      <c r="R1777" s="53"/>
      <c r="S1777" s="53"/>
      <c r="T1777" s="53"/>
      <c r="U1777" s="53"/>
      <c r="V1777" s="53"/>
      <c r="W1777" s="53"/>
      <c r="X1777" s="61" t="str">
        <f>IFERROR(IF(W1777="","",WORKDAY.INTL(B1777,_xlfn.XLOOKUP(W1777,Regras!$F$2:$F$11,Regras!$G$2:$G$11))),"")</f>
        <v/>
      </c>
      <c r="Y1777" s="150"/>
      <c r="Z1777" s="53"/>
    </row>
    <row r="1778" spans="7:26" x14ac:dyDescent="0.2">
      <c r="G1778" s="85" t="s">
        <v>12</v>
      </c>
      <c r="R1778" s="53"/>
      <c r="S1778" s="53"/>
      <c r="T1778" s="53"/>
      <c r="U1778" s="53"/>
      <c r="V1778" s="53"/>
      <c r="W1778" s="53"/>
      <c r="X1778" s="61" t="str">
        <f>IFERROR(IF(W1778="","",WORKDAY.INTL(B1778,_xlfn.XLOOKUP(W1778,Regras!$F$2:$F$11,Regras!$G$2:$G$11))),"")</f>
        <v/>
      </c>
      <c r="Y1778" s="150"/>
      <c r="Z1778" s="53"/>
    </row>
    <row r="1779" spans="7:26" x14ac:dyDescent="0.2">
      <c r="G1779" s="85" t="s">
        <v>12</v>
      </c>
      <c r="R1779" s="53"/>
      <c r="S1779" s="53"/>
      <c r="T1779" s="53"/>
      <c r="U1779" s="53"/>
      <c r="V1779" s="53"/>
      <c r="W1779" s="53"/>
      <c r="X1779" s="61" t="str">
        <f>IFERROR(IF(W1779="","",WORKDAY.INTL(B1779,_xlfn.XLOOKUP(W1779,Regras!$F$2:$F$11,Regras!$G$2:$G$11))),"")</f>
        <v/>
      </c>
      <c r="Y1779" s="150"/>
      <c r="Z1779" s="53"/>
    </row>
    <row r="1780" spans="7:26" x14ac:dyDescent="0.2">
      <c r="G1780" s="85" t="s">
        <v>12</v>
      </c>
      <c r="R1780" s="53"/>
      <c r="S1780" s="53"/>
      <c r="T1780" s="53"/>
      <c r="U1780" s="53"/>
      <c r="V1780" s="53"/>
      <c r="W1780" s="53"/>
      <c r="X1780" s="61" t="str">
        <f>IFERROR(IF(W1780="","",WORKDAY.INTL(B1780,_xlfn.XLOOKUP(W1780,Regras!$F$2:$F$11,Regras!$G$2:$G$11))),"")</f>
        <v/>
      </c>
      <c r="Y1780" s="150"/>
      <c r="Z1780" s="53"/>
    </row>
    <row r="1781" spans="7:26" x14ac:dyDescent="0.2">
      <c r="G1781" s="85" t="s">
        <v>12</v>
      </c>
      <c r="R1781" s="53"/>
      <c r="S1781" s="53"/>
      <c r="T1781" s="53"/>
      <c r="U1781" s="53"/>
      <c r="V1781" s="53"/>
      <c r="W1781" s="53"/>
      <c r="X1781" s="61" t="str">
        <f>IFERROR(IF(W1781="","",WORKDAY.INTL(B1781,_xlfn.XLOOKUP(W1781,Regras!$F$2:$F$11,Regras!$G$2:$G$11))),"")</f>
        <v/>
      </c>
      <c r="Y1781" s="150"/>
      <c r="Z1781" s="53"/>
    </row>
    <row r="1782" spans="7:26" x14ac:dyDescent="0.2">
      <c r="G1782" s="85" t="s">
        <v>12</v>
      </c>
      <c r="R1782" s="53"/>
      <c r="S1782" s="53"/>
      <c r="T1782" s="53"/>
      <c r="U1782" s="53"/>
      <c r="V1782" s="53"/>
      <c r="W1782" s="53"/>
      <c r="X1782" s="61" t="str">
        <f>IFERROR(IF(W1782="","",WORKDAY.INTL(B1782,_xlfn.XLOOKUP(W1782,Regras!$F$2:$F$11,Regras!$G$2:$G$11))),"")</f>
        <v/>
      </c>
      <c r="Y1782" s="150"/>
      <c r="Z1782" s="53"/>
    </row>
    <row r="1783" spans="7:26" x14ac:dyDescent="0.2">
      <c r="G1783" s="85" t="s">
        <v>12</v>
      </c>
      <c r="R1783" s="53"/>
      <c r="S1783" s="53"/>
      <c r="T1783" s="53"/>
      <c r="U1783" s="53"/>
      <c r="V1783" s="53"/>
      <c r="W1783" s="53"/>
      <c r="X1783" s="61" t="str">
        <f>IFERROR(IF(W1783="","",WORKDAY.INTL(B1783,_xlfn.XLOOKUP(W1783,Regras!$F$2:$F$11,Regras!$G$2:$G$11))),"")</f>
        <v/>
      </c>
      <c r="Y1783" s="150"/>
      <c r="Z1783" s="53"/>
    </row>
    <row r="1784" spans="7:26" x14ac:dyDescent="0.2">
      <c r="G1784" s="85" t="s">
        <v>12</v>
      </c>
      <c r="R1784" s="53"/>
      <c r="S1784" s="53"/>
      <c r="T1784" s="53"/>
      <c r="U1784" s="53"/>
      <c r="V1784" s="53"/>
      <c r="W1784" s="53"/>
      <c r="X1784" s="61" t="str">
        <f>IFERROR(IF(W1784="","",WORKDAY.INTL(B1784,_xlfn.XLOOKUP(W1784,Regras!$F$2:$F$11,Regras!$G$2:$G$11))),"")</f>
        <v/>
      </c>
      <c r="Y1784" s="150"/>
      <c r="Z1784" s="53"/>
    </row>
    <row r="1785" spans="7:26" x14ac:dyDescent="0.2">
      <c r="G1785" s="85" t="s">
        <v>12</v>
      </c>
      <c r="R1785" s="53"/>
      <c r="S1785" s="53"/>
      <c r="T1785" s="53"/>
      <c r="U1785" s="53"/>
      <c r="V1785" s="53"/>
      <c r="W1785" s="53"/>
      <c r="X1785" s="61" t="str">
        <f>IFERROR(IF(W1785="","",WORKDAY.INTL(B1785,_xlfn.XLOOKUP(W1785,Regras!$F$2:$F$11,Regras!$G$2:$G$11))),"")</f>
        <v/>
      </c>
      <c r="Y1785" s="150"/>
      <c r="Z1785" s="53"/>
    </row>
    <row r="1786" spans="7:26" x14ac:dyDescent="0.2">
      <c r="G1786" s="85" t="s">
        <v>12</v>
      </c>
      <c r="R1786" s="53"/>
      <c r="S1786" s="53"/>
      <c r="T1786" s="53"/>
      <c r="U1786" s="53"/>
      <c r="V1786" s="53"/>
      <c r="W1786" s="53"/>
      <c r="X1786" s="61" t="str">
        <f>IFERROR(IF(W1786="","",WORKDAY.INTL(B1786,_xlfn.XLOOKUP(W1786,Regras!$F$2:$F$11,Regras!$G$2:$G$11))),"")</f>
        <v/>
      </c>
      <c r="Y1786" s="150"/>
      <c r="Z1786" s="53"/>
    </row>
    <row r="1787" spans="7:26" x14ac:dyDescent="0.2">
      <c r="G1787" s="85" t="s">
        <v>12</v>
      </c>
      <c r="R1787" s="53"/>
      <c r="S1787" s="53"/>
      <c r="T1787" s="53"/>
      <c r="U1787" s="53"/>
      <c r="V1787" s="53"/>
      <c r="W1787" s="53"/>
      <c r="X1787" s="61" t="str">
        <f>IFERROR(IF(W1787="","",WORKDAY.INTL(B1787,_xlfn.XLOOKUP(W1787,Regras!$F$2:$F$11,Regras!$G$2:$G$11))),"")</f>
        <v/>
      </c>
      <c r="Y1787" s="150"/>
      <c r="Z1787" s="53"/>
    </row>
    <row r="1788" spans="7:26" x14ac:dyDescent="0.2">
      <c r="G1788" s="85" t="s">
        <v>12</v>
      </c>
      <c r="R1788" s="53"/>
      <c r="S1788" s="53"/>
      <c r="T1788" s="53"/>
      <c r="U1788" s="53"/>
      <c r="V1788" s="53"/>
      <c r="W1788" s="53"/>
      <c r="X1788" s="61" t="str">
        <f>IFERROR(IF(W1788="","",WORKDAY.INTL(B1788,_xlfn.XLOOKUP(W1788,Regras!$F$2:$F$11,Regras!$G$2:$G$11))),"")</f>
        <v/>
      </c>
      <c r="Y1788" s="150"/>
      <c r="Z1788" s="53"/>
    </row>
    <row r="1789" spans="7:26" x14ac:dyDescent="0.2">
      <c r="G1789" s="85" t="s">
        <v>12</v>
      </c>
      <c r="R1789" s="53"/>
      <c r="S1789" s="53"/>
      <c r="T1789" s="53"/>
      <c r="U1789" s="53"/>
      <c r="V1789" s="53"/>
      <c r="W1789" s="53"/>
      <c r="X1789" s="61" t="str">
        <f>IFERROR(IF(W1789="","",WORKDAY.INTL(B1789,_xlfn.XLOOKUP(W1789,Regras!$F$2:$F$11,Regras!$G$2:$G$11))),"")</f>
        <v/>
      </c>
      <c r="Y1789" s="150"/>
      <c r="Z1789" s="53"/>
    </row>
    <row r="1790" spans="7:26" x14ac:dyDescent="0.2">
      <c r="G1790" s="85" t="s">
        <v>12</v>
      </c>
      <c r="R1790" s="53"/>
      <c r="S1790" s="53"/>
      <c r="T1790" s="53"/>
      <c r="U1790" s="53"/>
      <c r="V1790" s="53"/>
      <c r="W1790" s="53"/>
      <c r="X1790" s="61" t="str">
        <f>IFERROR(IF(W1790="","",WORKDAY.INTL(B1790,_xlfn.XLOOKUP(W1790,Regras!$F$2:$F$11,Regras!$G$2:$G$11))),"")</f>
        <v/>
      </c>
      <c r="Y1790" s="150"/>
      <c r="Z1790" s="53"/>
    </row>
    <row r="1791" spans="7:26" x14ac:dyDescent="0.2">
      <c r="G1791" s="85" t="s">
        <v>12</v>
      </c>
      <c r="R1791" s="53"/>
      <c r="S1791" s="53"/>
      <c r="T1791" s="53"/>
      <c r="U1791" s="53"/>
      <c r="V1791" s="53"/>
      <c r="W1791" s="53"/>
      <c r="X1791" s="61" t="str">
        <f>IFERROR(IF(W1791="","",WORKDAY.INTL(B1791,_xlfn.XLOOKUP(W1791,Regras!$F$2:$F$11,Regras!$G$2:$G$11))),"")</f>
        <v/>
      </c>
      <c r="Y1791" s="150"/>
      <c r="Z1791" s="53"/>
    </row>
    <row r="1792" spans="7:26" x14ac:dyDescent="0.2">
      <c r="G1792" s="85" t="s">
        <v>12</v>
      </c>
      <c r="R1792" s="53"/>
      <c r="S1792" s="53"/>
      <c r="T1792" s="53"/>
      <c r="U1792" s="53"/>
      <c r="V1792" s="53"/>
      <c r="W1792" s="53"/>
      <c r="X1792" s="61" t="str">
        <f>IFERROR(IF(W1792="","",WORKDAY.INTL(B1792,_xlfn.XLOOKUP(W1792,Regras!$F$2:$F$11,Regras!$G$2:$G$11))),"")</f>
        <v/>
      </c>
      <c r="Y1792" s="150"/>
      <c r="Z1792" s="53"/>
    </row>
    <row r="1793" spans="7:26" x14ac:dyDescent="0.2">
      <c r="G1793" s="85" t="s">
        <v>12</v>
      </c>
      <c r="R1793" s="53"/>
      <c r="S1793" s="53"/>
      <c r="T1793" s="53"/>
      <c r="U1793" s="53"/>
      <c r="V1793" s="53"/>
      <c r="W1793" s="53"/>
      <c r="X1793" s="61" t="str">
        <f>IFERROR(IF(W1793="","",WORKDAY.INTL(B1793,_xlfn.XLOOKUP(W1793,Regras!$F$2:$F$11,Regras!$G$2:$G$11))),"")</f>
        <v/>
      </c>
      <c r="Y1793" s="150"/>
      <c r="Z1793" s="53"/>
    </row>
    <row r="1794" spans="7:26" x14ac:dyDescent="0.2">
      <c r="G1794" s="85" t="s">
        <v>12</v>
      </c>
      <c r="R1794" s="53"/>
      <c r="S1794" s="53"/>
      <c r="T1794" s="53"/>
      <c r="U1794" s="53"/>
      <c r="V1794" s="53"/>
      <c r="W1794" s="53"/>
      <c r="X1794" s="61" t="str">
        <f>IFERROR(IF(W1794="","",WORKDAY.INTL(B1794,_xlfn.XLOOKUP(W1794,Regras!$F$2:$F$11,Regras!$G$2:$G$11))),"")</f>
        <v/>
      </c>
      <c r="Y1794" s="150"/>
      <c r="Z1794" s="53"/>
    </row>
    <row r="1795" spans="7:26" x14ac:dyDescent="0.2">
      <c r="G1795" s="85" t="s">
        <v>12</v>
      </c>
      <c r="R1795" s="53"/>
      <c r="S1795" s="53"/>
      <c r="T1795" s="53"/>
      <c r="U1795" s="53"/>
      <c r="V1795" s="53"/>
      <c r="W1795" s="53"/>
      <c r="X1795" s="61" t="str">
        <f>IFERROR(IF(W1795="","",WORKDAY.INTL(B1795,_xlfn.XLOOKUP(W1795,Regras!$F$2:$F$11,Regras!$G$2:$G$11))),"")</f>
        <v/>
      </c>
      <c r="Y1795" s="150"/>
      <c r="Z1795" s="53"/>
    </row>
    <row r="1796" spans="7:26" x14ac:dyDescent="0.2">
      <c r="G1796" s="85" t="s">
        <v>12</v>
      </c>
      <c r="R1796" s="53"/>
      <c r="S1796" s="53"/>
      <c r="T1796" s="53"/>
      <c r="U1796" s="53"/>
      <c r="V1796" s="53"/>
      <c r="W1796" s="53"/>
      <c r="X1796" s="61" t="str">
        <f>IFERROR(IF(W1796="","",WORKDAY.INTL(B1796,_xlfn.XLOOKUP(W1796,Regras!$F$2:$F$11,Regras!$G$2:$G$11))),"")</f>
        <v/>
      </c>
      <c r="Y1796" s="150"/>
      <c r="Z1796" s="53"/>
    </row>
    <row r="1797" spans="7:26" x14ac:dyDescent="0.2">
      <c r="G1797" s="85" t="s">
        <v>12</v>
      </c>
      <c r="R1797" s="53"/>
      <c r="S1797" s="53"/>
      <c r="T1797" s="53"/>
      <c r="U1797" s="53"/>
      <c r="V1797" s="53"/>
      <c r="W1797" s="53"/>
      <c r="X1797" s="61" t="str">
        <f>IFERROR(IF(W1797="","",WORKDAY.INTL(B1797,_xlfn.XLOOKUP(W1797,Regras!$F$2:$F$11,Regras!$G$2:$G$11))),"")</f>
        <v/>
      </c>
      <c r="Y1797" s="150"/>
      <c r="Z1797" s="53"/>
    </row>
    <row r="1798" spans="7:26" x14ac:dyDescent="0.2">
      <c r="G1798" s="85" t="s">
        <v>12</v>
      </c>
      <c r="R1798" s="53"/>
      <c r="S1798" s="53"/>
      <c r="T1798" s="53"/>
      <c r="U1798" s="53"/>
      <c r="V1798" s="53"/>
      <c r="W1798" s="53"/>
      <c r="X1798" s="61" t="str">
        <f>IFERROR(IF(W1798="","",WORKDAY.INTL(B1798,_xlfn.XLOOKUP(W1798,Regras!$F$2:$F$11,Regras!$G$2:$G$11))),"")</f>
        <v/>
      </c>
      <c r="Y1798" s="150"/>
      <c r="Z1798" s="53"/>
    </row>
    <row r="1799" spans="7:26" x14ac:dyDescent="0.2">
      <c r="G1799" s="85" t="s">
        <v>12</v>
      </c>
      <c r="R1799" s="53"/>
      <c r="S1799" s="53"/>
      <c r="T1799" s="53"/>
      <c r="U1799" s="53"/>
      <c r="V1799" s="53"/>
      <c r="W1799" s="53"/>
      <c r="X1799" s="61" t="str">
        <f>IFERROR(IF(W1799="","",WORKDAY.INTL(B1799,_xlfn.XLOOKUP(W1799,Regras!$F$2:$F$11,Regras!$G$2:$G$11))),"")</f>
        <v/>
      </c>
      <c r="Y1799" s="150"/>
      <c r="Z1799" s="53"/>
    </row>
    <row r="1800" spans="7:26" x14ac:dyDescent="0.2">
      <c r="G1800" s="85" t="s">
        <v>12</v>
      </c>
      <c r="R1800" s="53"/>
      <c r="S1800" s="53"/>
      <c r="T1800" s="53"/>
      <c r="U1800" s="53"/>
      <c r="V1800" s="53"/>
      <c r="W1800" s="53"/>
      <c r="X1800" s="61" t="str">
        <f>IFERROR(IF(W1800="","",WORKDAY.INTL(B1800,_xlfn.XLOOKUP(W1800,Regras!$F$2:$F$11,Regras!$G$2:$G$11))),"")</f>
        <v/>
      </c>
      <c r="Y1800" s="150"/>
      <c r="Z1800" s="53"/>
    </row>
    <row r="1801" spans="7:26" x14ac:dyDescent="0.2">
      <c r="G1801" s="85" t="s">
        <v>12</v>
      </c>
      <c r="R1801" s="53"/>
      <c r="S1801" s="53"/>
      <c r="T1801" s="53"/>
      <c r="U1801" s="53"/>
      <c r="V1801" s="53"/>
      <c r="W1801" s="53"/>
      <c r="X1801" s="61" t="str">
        <f>IFERROR(IF(W1801="","",WORKDAY.INTL(B1801,_xlfn.XLOOKUP(W1801,Regras!$F$2:$F$11,Regras!$G$2:$G$11))),"")</f>
        <v/>
      </c>
      <c r="Y1801" s="150"/>
      <c r="Z1801" s="53"/>
    </row>
    <row r="1802" spans="7:26" x14ac:dyDescent="0.2">
      <c r="G1802" s="85" t="s">
        <v>12</v>
      </c>
      <c r="R1802" s="53"/>
      <c r="S1802" s="53"/>
      <c r="T1802" s="53"/>
      <c r="U1802" s="53"/>
      <c r="V1802" s="53"/>
      <c r="W1802" s="53"/>
      <c r="X1802" s="61" t="str">
        <f>IFERROR(IF(W1802="","",WORKDAY.INTL(B1802,_xlfn.XLOOKUP(W1802,Regras!$F$2:$F$11,Regras!$G$2:$G$11))),"")</f>
        <v/>
      </c>
      <c r="Y1802" s="150"/>
      <c r="Z1802" s="53"/>
    </row>
    <row r="1803" spans="7:26" x14ac:dyDescent="0.2">
      <c r="G1803" s="85" t="s">
        <v>12</v>
      </c>
      <c r="R1803" s="53"/>
      <c r="S1803" s="53"/>
      <c r="T1803" s="53"/>
      <c r="U1803" s="53"/>
      <c r="V1803" s="53"/>
      <c r="W1803" s="53"/>
      <c r="X1803" s="61" t="str">
        <f>IFERROR(IF(W1803="","",WORKDAY.INTL(B1803,_xlfn.XLOOKUP(W1803,Regras!$F$2:$F$11,Regras!$G$2:$G$11))),"")</f>
        <v/>
      </c>
      <c r="Y1803" s="150"/>
      <c r="Z1803" s="53"/>
    </row>
    <row r="1804" spans="7:26" x14ac:dyDescent="0.2">
      <c r="G1804" s="85" t="s">
        <v>12</v>
      </c>
      <c r="R1804" s="53"/>
      <c r="S1804" s="53"/>
      <c r="T1804" s="53"/>
      <c r="U1804" s="53"/>
      <c r="V1804" s="53"/>
      <c r="W1804" s="53"/>
      <c r="X1804" s="61" t="str">
        <f>IFERROR(IF(W1804="","",WORKDAY.INTL(B1804,_xlfn.XLOOKUP(W1804,Regras!$F$2:$F$11,Regras!$G$2:$G$11))),"")</f>
        <v/>
      </c>
      <c r="Y1804" s="150"/>
      <c r="Z1804" s="53"/>
    </row>
    <row r="1805" spans="7:26" x14ac:dyDescent="0.2">
      <c r="G1805" s="85" t="s">
        <v>12</v>
      </c>
      <c r="R1805" s="53"/>
      <c r="S1805" s="53"/>
      <c r="T1805" s="53"/>
      <c r="U1805" s="53"/>
      <c r="V1805" s="53"/>
      <c r="W1805" s="53"/>
      <c r="X1805" s="61" t="str">
        <f>IFERROR(IF(W1805="","",WORKDAY.INTL(B1805,_xlfn.XLOOKUP(W1805,Regras!$F$2:$F$11,Regras!$G$2:$G$11))),"")</f>
        <v/>
      </c>
      <c r="Y1805" s="150"/>
      <c r="Z1805" s="53"/>
    </row>
    <row r="1806" spans="7:26" x14ac:dyDescent="0.2">
      <c r="G1806" s="85" t="s">
        <v>12</v>
      </c>
      <c r="R1806" s="53"/>
      <c r="S1806" s="53"/>
      <c r="T1806" s="53"/>
      <c r="U1806" s="53"/>
      <c r="V1806" s="53"/>
      <c r="W1806" s="53"/>
      <c r="X1806" s="61" t="str">
        <f>IFERROR(IF(W1806="","",WORKDAY.INTL(B1806,_xlfn.XLOOKUP(W1806,Regras!$F$2:$F$11,Regras!$G$2:$G$11))),"")</f>
        <v/>
      </c>
      <c r="Y1806" s="150"/>
      <c r="Z1806" s="53"/>
    </row>
    <row r="1807" spans="7:26" x14ac:dyDescent="0.2">
      <c r="G1807" s="85" t="s">
        <v>12</v>
      </c>
      <c r="R1807" s="53"/>
      <c r="S1807" s="53"/>
      <c r="T1807" s="53"/>
      <c r="U1807" s="53"/>
      <c r="V1807" s="53"/>
      <c r="W1807" s="53"/>
      <c r="X1807" s="61" t="str">
        <f>IFERROR(IF(W1807="","",WORKDAY.INTL(B1807,_xlfn.XLOOKUP(W1807,Regras!$F$2:$F$11,Regras!$G$2:$G$11))),"")</f>
        <v/>
      </c>
      <c r="Y1807" s="150"/>
      <c r="Z1807" s="53"/>
    </row>
    <row r="1808" spans="7:26" x14ac:dyDescent="0.2">
      <c r="G1808" s="85" t="s">
        <v>12</v>
      </c>
      <c r="R1808" s="53"/>
      <c r="S1808" s="53"/>
      <c r="T1808" s="53"/>
      <c r="U1808" s="53"/>
      <c r="V1808" s="53"/>
      <c r="W1808" s="53"/>
      <c r="X1808" s="61" t="str">
        <f>IFERROR(IF(W1808="","",WORKDAY.INTL(B1808,_xlfn.XLOOKUP(W1808,Regras!$F$2:$F$11,Regras!$G$2:$G$11))),"")</f>
        <v/>
      </c>
      <c r="Y1808" s="150"/>
      <c r="Z1808" s="53"/>
    </row>
    <row r="1809" spans="7:26" x14ac:dyDescent="0.2">
      <c r="G1809" s="85" t="s">
        <v>12</v>
      </c>
      <c r="R1809" s="53"/>
      <c r="S1809" s="53"/>
      <c r="T1809" s="53"/>
      <c r="U1809" s="53"/>
      <c r="V1809" s="53"/>
      <c r="W1809" s="53"/>
      <c r="X1809" s="61" t="str">
        <f>IFERROR(IF(W1809="","",WORKDAY.INTL(B1809,_xlfn.XLOOKUP(W1809,Regras!$F$2:$F$11,Regras!$G$2:$G$11))),"")</f>
        <v/>
      </c>
      <c r="Y1809" s="150"/>
      <c r="Z1809" s="53"/>
    </row>
    <row r="1810" spans="7:26" x14ac:dyDescent="0.2">
      <c r="G1810" s="85" t="s">
        <v>12</v>
      </c>
      <c r="R1810" s="53"/>
      <c r="S1810" s="53"/>
      <c r="T1810" s="53"/>
      <c r="U1810" s="53"/>
      <c r="V1810" s="53"/>
      <c r="W1810" s="53"/>
      <c r="X1810" s="61" t="str">
        <f>IFERROR(IF(W1810="","",WORKDAY.INTL(B1810,_xlfn.XLOOKUP(W1810,Regras!$F$2:$F$11,Regras!$G$2:$G$11))),"")</f>
        <v/>
      </c>
      <c r="Y1810" s="150"/>
      <c r="Z1810" s="53"/>
    </row>
    <row r="1811" spans="7:26" x14ac:dyDescent="0.2">
      <c r="G1811" s="85" t="s">
        <v>12</v>
      </c>
      <c r="R1811" s="53"/>
      <c r="S1811" s="53"/>
      <c r="T1811" s="53"/>
      <c r="U1811" s="53"/>
      <c r="V1811" s="53"/>
      <c r="W1811" s="53"/>
      <c r="X1811" s="61" t="str">
        <f>IFERROR(IF(W1811="","",WORKDAY.INTL(B1811,_xlfn.XLOOKUP(W1811,Regras!$F$2:$F$11,Regras!$G$2:$G$11))),"")</f>
        <v/>
      </c>
      <c r="Y1811" s="150"/>
      <c r="Z1811" s="53"/>
    </row>
    <row r="1812" spans="7:26" x14ac:dyDescent="0.2">
      <c r="G1812" s="85" t="s">
        <v>12</v>
      </c>
      <c r="R1812" s="53"/>
      <c r="S1812" s="53"/>
      <c r="T1812" s="53"/>
      <c r="U1812" s="53"/>
      <c r="V1812" s="53"/>
      <c r="W1812" s="53"/>
      <c r="X1812" s="61" t="str">
        <f>IFERROR(IF(W1812="","",WORKDAY.INTL(B1812,_xlfn.XLOOKUP(W1812,Regras!$F$2:$F$11,Regras!$G$2:$G$11))),"")</f>
        <v/>
      </c>
      <c r="Y1812" s="150"/>
      <c r="Z1812" s="53"/>
    </row>
    <row r="1813" spans="7:26" x14ac:dyDescent="0.2">
      <c r="G1813" s="85" t="s">
        <v>12</v>
      </c>
      <c r="R1813" s="53"/>
      <c r="S1813" s="53"/>
      <c r="T1813" s="53"/>
      <c r="U1813" s="53"/>
      <c r="V1813" s="53"/>
      <c r="W1813" s="53"/>
      <c r="X1813" s="61" t="str">
        <f>IFERROR(IF(W1813="","",WORKDAY.INTL(B1813,_xlfn.XLOOKUP(W1813,Regras!$F$2:$F$11,Regras!$G$2:$G$11))),"")</f>
        <v/>
      </c>
      <c r="Y1813" s="150"/>
      <c r="Z1813" s="53"/>
    </row>
    <row r="1814" spans="7:26" x14ac:dyDescent="0.2">
      <c r="G1814" s="85" t="s">
        <v>12</v>
      </c>
      <c r="R1814" s="53"/>
      <c r="S1814" s="53"/>
      <c r="T1814" s="53"/>
      <c r="U1814" s="53"/>
      <c r="V1814" s="53"/>
      <c r="W1814" s="53"/>
      <c r="X1814" s="61" t="str">
        <f>IFERROR(IF(W1814="","",WORKDAY.INTL(B1814,_xlfn.XLOOKUP(W1814,Regras!$F$2:$F$11,Regras!$G$2:$G$11))),"")</f>
        <v/>
      </c>
      <c r="Y1814" s="150"/>
      <c r="Z1814" s="53"/>
    </row>
    <row r="1815" spans="7:26" x14ac:dyDescent="0.2">
      <c r="G1815" s="85" t="s">
        <v>12</v>
      </c>
      <c r="R1815" s="53"/>
      <c r="S1815" s="53"/>
      <c r="T1815" s="53"/>
      <c r="U1815" s="53"/>
      <c r="V1815" s="53"/>
      <c r="W1815" s="53"/>
      <c r="X1815" s="61" t="str">
        <f>IFERROR(IF(W1815="","",WORKDAY.INTL(B1815,_xlfn.XLOOKUP(W1815,Regras!$F$2:$F$11,Regras!$G$2:$G$11))),"")</f>
        <v/>
      </c>
      <c r="Y1815" s="150"/>
      <c r="Z1815" s="53"/>
    </row>
    <row r="1816" spans="7:26" x14ac:dyDescent="0.2">
      <c r="G1816" s="85" t="s">
        <v>12</v>
      </c>
      <c r="R1816" s="53"/>
      <c r="S1816" s="53"/>
      <c r="T1816" s="53"/>
      <c r="U1816" s="53"/>
      <c r="V1816" s="53"/>
      <c r="W1816" s="53"/>
      <c r="X1816" s="61" t="str">
        <f>IFERROR(IF(W1816="","",WORKDAY.INTL(B1816,_xlfn.XLOOKUP(W1816,Regras!$F$2:$F$11,Regras!$G$2:$G$11))),"")</f>
        <v/>
      </c>
      <c r="Y1816" s="150"/>
      <c r="Z1816" s="53"/>
    </row>
    <row r="1817" spans="7:26" x14ac:dyDescent="0.2">
      <c r="G1817" s="85" t="s">
        <v>12</v>
      </c>
      <c r="R1817" s="53"/>
      <c r="S1817" s="53"/>
      <c r="T1817" s="53"/>
      <c r="U1817" s="53"/>
      <c r="V1817" s="53"/>
      <c r="W1817" s="53"/>
      <c r="X1817" s="61" t="str">
        <f>IFERROR(IF(W1817="","",WORKDAY.INTL(B1817,_xlfn.XLOOKUP(W1817,Regras!$F$2:$F$11,Regras!$G$2:$G$11))),"")</f>
        <v/>
      </c>
      <c r="Y1817" s="150"/>
      <c r="Z1817" s="53"/>
    </row>
    <row r="1818" spans="7:26" x14ac:dyDescent="0.2">
      <c r="G1818" s="85" t="s">
        <v>12</v>
      </c>
      <c r="R1818" s="53"/>
      <c r="S1818" s="53"/>
      <c r="T1818" s="53"/>
      <c r="U1818" s="53"/>
      <c r="V1818" s="53"/>
      <c r="W1818" s="53"/>
      <c r="X1818" s="61" t="str">
        <f>IFERROR(IF(W1818="","",WORKDAY.INTL(B1818,_xlfn.XLOOKUP(W1818,Regras!$F$2:$F$11,Regras!$G$2:$G$11))),"")</f>
        <v/>
      </c>
      <c r="Y1818" s="150"/>
      <c r="Z1818" s="53"/>
    </row>
    <row r="1819" spans="7:26" x14ac:dyDescent="0.2">
      <c r="G1819" s="85" t="s">
        <v>12</v>
      </c>
      <c r="R1819" s="53"/>
      <c r="S1819" s="53"/>
      <c r="T1819" s="53"/>
      <c r="U1819" s="53"/>
      <c r="V1819" s="53"/>
      <c r="W1819" s="53"/>
      <c r="X1819" s="61" t="str">
        <f>IFERROR(IF(W1819="","",WORKDAY.INTL(B1819,_xlfn.XLOOKUP(W1819,Regras!$F$2:$F$11,Regras!$G$2:$G$11))),"")</f>
        <v/>
      </c>
      <c r="Y1819" s="150"/>
      <c r="Z1819" s="53"/>
    </row>
    <row r="1820" spans="7:26" x14ac:dyDescent="0.2">
      <c r="G1820" s="85" t="s">
        <v>12</v>
      </c>
      <c r="R1820" s="53"/>
      <c r="S1820" s="53"/>
      <c r="T1820" s="53"/>
      <c r="U1820" s="53"/>
      <c r="V1820" s="53"/>
      <c r="W1820" s="53"/>
      <c r="X1820" s="61" t="str">
        <f>IFERROR(IF(W1820="","",WORKDAY.INTL(B1820,_xlfn.XLOOKUP(W1820,Regras!$F$2:$F$11,Regras!$G$2:$G$11))),"")</f>
        <v/>
      </c>
      <c r="Y1820" s="150"/>
      <c r="Z1820" s="53"/>
    </row>
    <row r="1821" spans="7:26" x14ac:dyDescent="0.2">
      <c r="G1821" s="85" t="s">
        <v>12</v>
      </c>
      <c r="R1821" s="53"/>
      <c r="S1821" s="53"/>
      <c r="T1821" s="53"/>
      <c r="U1821" s="53"/>
      <c r="V1821" s="53"/>
      <c r="W1821" s="53"/>
      <c r="X1821" s="61" t="str">
        <f>IFERROR(IF(W1821="","",WORKDAY.INTL(B1821,_xlfn.XLOOKUP(W1821,Regras!$F$2:$F$11,Regras!$G$2:$G$11))),"")</f>
        <v/>
      </c>
      <c r="Y1821" s="150"/>
      <c r="Z1821" s="53"/>
    </row>
    <row r="1822" spans="7:26" x14ac:dyDescent="0.2">
      <c r="G1822" s="85" t="s">
        <v>12</v>
      </c>
      <c r="R1822" s="53"/>
      <c r="S1822" s="53"/>
      <c r="T1822" s="53"/>
      <c r="U1822" s="53"/>
      <c r="V1822" s="53"/>
      <c r="W1822" s="53"/>
      <c r="X1822" s="61" t="str">
        <f>IFERROR(IF(W1822="","",WORKDAY.INTL(B1822,_xlfn.XLOOKUP(W1822,Regras!$F$2:$F$11,Regras!$G$2:$G$11))),"")</f>
        <v/>
      </c>
      <c r="Y1822" s="150"/>
      <c r="Z1822" s="53"/>
    </row>
    <row r="1823" spans="7:26" x14ac:dyDescent="0.2">
      <c r="G1823" s="85" t="s">
        <v>12</v>
      </c>
      <c r="R1823" s="53"/>
      <c r="S1823" s="53"/>
      <c r="T1823" s="53"/>
      <c r="U1823" s="53"/>
      <c r="V1823" s="53"/>
      <c r="W1823" s="53"/>
      <c r="X1823" s="61" t="str">
        <f>IFERROR(IF(W1823="","",WORKDAY.INTL(B1823,_xlfn.XLOOKUP(W1823,Regras!$F$2:$F$11,Regras!$G$2:$G$11))),"")</f>
        <v/>
      </c>
      <c r="Y1823" s="150"/>
      <c r="Z1823" s="53"/>
    </row>
    <row r="1824" spans="7:26" x14ac:dyDescent="0.2">
      <c r="G1824" s="85" t="s">
        <v>12</v>
      </c>
      <c r="R1824" s="53"/>
      <c r="S1824" s="53"/>
      <c r="T1824" s="53"/>
      <c r="U1824" s="53"/>
      <c r="V1824" s="53"/>
      <c r="W1824" s="53"/>
      <c r="X1824" s="61" t="str">
        <f>IFERROR(IF(W1824="","",WORKDAY.INTL(B1824,_xlfn.XLOOKUP(W1824,Regras!$F$2:$F$11,Regras!$G$2:$G$11))),"")</f>
        <v/>
      </c>
      <c r="Y1824" s="150"/>
      <c r="Z1824" s="53"/>
    </row>
    <row r="1825" spans="7:26" x14ac:dyDescent="0.2">
      <c r="G1825" s="85" t="s">
        <v>12</v>
      </c>
      <c r="R1825" s="53"/>
      <c r="S1825" s="53"/>
      <c r="T1825" s="53"/>
      <c r="U1825" s="53"/>
      <c r="V1825" s="53"/>
      <c r="W1825" s="53"/>
      <c r="X1825" s="61" t="str">
        <f>IFERROR(IF(W1825="","",WORKDAY.INTL(B1825,_xlfn.XLOOKUP(W1825,Regras!$F$2:$F$11,Regras!$G$2:$G$11))),"")</f>
        <v/>
      </c>
      <c r="Y1825" s="150"/>
      <c r="Z1825" s="53"/>
    </row>
    <row r="1826" spans="7:26" x14ac:dyDescent="0.2">
      <c r="G1826" s="85" t="s">
        <v>12</v>
      </c>
      <c r="R1826" s="53"/>
      <c r="S1826" s="53"/>
      <c r="T1826" s="53"/>
      <c r="U1826" s="53"/>
      <c r="V1826" s="53"/>
      <c r="W1826" s="53"/>
      <c r="X1826" s="61" t="str">
        <f>IFERROR(IF(W1826="","",WORKDAY.INTL(B1826,_xlfn.XLOOKUP(W1826,Regras!$F$2:$F$11,Regras!$G$2:$G$11))),"")</f>
        <v/>
      </c>
      <c r="Y1826" s="150"/>
      <c r="Z1826" s="53"/>
    </row>
    <row r="1827" spans="7:26" x14ac:dyDescent="0.2">
      <c r="G1827" s="85" t="s">
        <v>12</v>
      </c>
      <c r="R1827" s="53"/>
      <c r="S1827" s="53"/>
      <c r="T1827" s="53"/>
      <c r="U1827" s="53"/>
      <c r="V1827" s="53"/>
      <c r="W1827" s="53"/>
      <c r="X1827" s="61" t="str">
        <f>IFERROR(IF(W1827="","",WORKDAY.INTL(B1827,_xlfn.XLOOKUP(W1827,Regras!$F$2:$F$11,Regras!$G$2:$G$11))),"")</f>
        <v/>
      </c>
      <c r="Y1827" s="150"/>
      <c r="Z1827" s="53"/>
    </row>
    <row r="1828" spans="7:26" x14ac:dyDescent="0.2">
      <c r="G1828" s="85" t="s">
        <v>12</v>
      </c>
      <c r="R1828" s="53"/>
      <c r="S1828" s="53"/>
      <c r="T1828" s="53"/>
      <c r="U1828" s="53"/>
      <c r="V1828" s="53"/>
      <c r="W1828" s="53"/>
      <c r="X1828" s="61" t="str">
        <f>IFERROR(IF(W1828="","",WORKDAY.INTL(B1828,_xlfn.XLOOKUP(W1828,Regras!$F$2:$F$11,Regras!$G$2:$G$11))),"")</f>
        <v/>
      </c>
      <c r="Y1828" s="150"/>
      <c r="Z1828" s="53"/>
    </row>
    <row r="1829" spans="7:26" x14ac:dyDescent="0.2">
      <c r="G1829" s="85" t="s">
        <v>12</v>
      </c>
      <c r="R1829" s="53"/>
      <c r="S1829" s="53"/>
      <c r="T1829" s="53"/>
      <c r="U1829" s="53"/>
      <c r="V1829" s="53"/>
      <c r="W1829" s="53"/>
      <c r="X1829" s="61" t="str">
        <f>IFERROR(IF(W1829="","",WORKDAY.INTL(B1829,_xlfn.XLOOKUP(W1829,Regras!$F$2:$F$11,Regras!$G$2:$G$11))),"")</f>
        <v/>
      </c>
      <c r="Y1829" s="150"/>
      <c r="Z1829" s="53"/>
    </row>
    <row r="1830" spans="7:26" x14ac:dyDescent="0.2">
      <c r="G1830" s="85" t="s">
        <v>12</v>
      </c>
      <c r="R1830" s="53"/>
      <c r="S1830" s="53"/>
      <c r="T1830" s="53"/>
      <c r="U1830" s="53"/>
      <c r="V1830" s="53"/>
      <c r="W1830" s="53"/>
      <c r="X1830" s="61" t="str">
        <f>IFERROR(IF(W1830="","",WORKDAY.INTL(B1830,_xlfn.XLOOKUP(W1830,Regras!$F$2:$F$11,Regras!$G$2:$G$11))),"")</f>
        <v/>
      </c>
      <c r="Y1830" s="150"/>
      <c r="Z1830" s="53"/>
    </row>
    <row r="1831" spans="7:26" x14ac:dyDescent="0.2">
      <c r="G1831" s="85" t="s">
        <v>12</v>
      </c>
      <c r="R1831" s="53"/>
      <c r="S1831" s="53"/>
      <c r="T1831" s="53"/>
      <c r="U1831" s="53"/>
      <c r="V1831" s="53"/>
      <c r="W1831" s="53"/>
      <c r="X1831" s="61" t="str">
        <f>IFERROR(IF(W1831="","",WORKDAY.INTL(B1831,_xlfn.XLOOKUP(W1831,Regras!$F$2:$F$11,Regras!$G$2:$G$11))),"")</f>
        <v/>
      </c>
      <c r="Y1831" s="150"/>
      <c r="Z1831" s="53"/>
    </row>
    <row r="1832" spans="7:26" x14ac:dyDescent="0.2">
      <c r="G1832" s="85" t="s">
        <v>12</v>
      </c>
      <c r="R1832" s="53"/>
      <c r="S1832" s="53"/>
      <c r="T1832" s="53"/>
      <c r="U1832" s="53"/>
      <c r="V1832" s="53"/>
      <c r="W1832" s="53"/>
      <c r="X1832" s="61" t="str">
        <f>IFERROR(IF(W1832="","",WORKDAY.INTL(B1832,_xlfn.XLOOKUP(W1832,Regras!$F$2:$F$11,Regras!$G$2:$G$11))),"")</f>
        <v/>
      </c>
      <c r="Y1832" s="150"/>
      <c r="Z1832" s="53"/>
    </row>
    <row r="1833" spans="7:26" x14ac:dyDescent="0.2">
      <c r="G1833" s="85" t="s">
        <v>12</v>
      </c>
      <c r="R1833" s="53"/>
      <c r="S1833" s="53"/>
      <c r="T1833" s="53"/>
      <c r="U1833" s="53"/>
      <c r="V1833" s="53"/>
      <c r="W1833" s="53"/>
      <c r="X1833" s="61" t="str">
        <f>IFERROR(IF(W1833="","",WORKDAY.INTL(B1833,_xlfn.XLOOKUP(W1833,Regras!$F$2:$F$11,Regras!$G$2:$G$11))),"")</f>
        <v/>
      </c>
      <c r="Y1833" s="150"/>
      <c r="Z1833" s="53"/>
    </row>
    <row r="1834" spans="7:26" x14ac:dyDescent="0.2">
      <c r="G1834" s="85" t="s">
        <v>12</v>
      </c>
      <c r="R1834" s="53"/>
      <c r="S1834" s="53"/>
      <c r="T1834" s="53"/>
      <c r="U1834" s="53"/>
      <c r="V1834" s="53"/>
      <c r="W1834" s="53"/>
      <c r="X1834" s="61" t="str">
        <f>IFERROR(IF(W1834="","",WORKDAY.INTL(B1834,_xlfn.XLOOKUP(W1834,Regras!$F$2:$F$11,Regras!$G$2:$G$11))),"")</f>
        <v/>
      </c>
      <c r="Y1834" s="150"/>
      <c r="Z1834" s="53"/>
    </row>
    <row r="1835" spans="7:26" x14ac:dyDescent="0.2">
      <c r="G1835" s="85" t="s">
        <v>12</v>
      </c>
      <c r="R1835" s="53"/>
      <c r="S1835" s="53"/>
      <c r="T1835" s="53"/>
      <c r="U1835" s="53"/>
      <c r="V1835" s="53"/>
      <c r="W1835" s="53"/>
      <c r="X1835" s="61" t="str">
        <f>IFERROR(IF(W1835="","",WORKDAY.INTL(B1835,_xlfn.XLOOKUP(W1835,Regras!$F$2:$F$11,Regras!$G$2:$G$11))),"")</f>
        <v/>
      </c>
      <c r="Y1835" s="150"/>
      <c r="Z1835" s="53"/>
    </row>
    <row r="1836" spans="7:26" x14ac:dyDescent="0.2">
      <c r="G1836" s="85" t="s">
        <v>12</v>
      </c>
      <c r="R1836" s="53"/>
      <c r="S1836" s="53"/>
      <c r="T1836" s="53"/>
      <c r="U1836" s="53"/>
      <c r="V1836" s="53"/>
      <c r="W1836" s="53"/>
      <c r="X1836" s="61" t="str">
        <f>IFERROR(IF(W1836="","",WORKDAY.INTL(B1836,_xlfn.XLOOKUP(W1836,Regras!$F$2:$F$11,Regras!$G$2:$G$11))),"")</f>
        <v/>
      </c>
      <c r="Y1836" s="150"/>
      <c r="Z1836" s="53"/>
    </row>
    <row r="1837" spans="7:26" x14ac:dyDescent="0.2">
      <c r="G1837" s="85" t="s">
        <v>12</v>
      </c>
      <c r="R1837" s="53"/>
      <c r="S1837" s="53"/>
      <c r="T1837" s="53"/>
      <c r="U1837" s="53"/>
      <c r="V1837" s="53"/>
      <c r="W1837" s="53"/>
      <c r="X1837" s="61" t="str">
        <f>IFERROR(IF(W1837="","",WORKDAY.INTL(B1837,_xlfn.XLOOKUP(W1837,Regras!$F$2:$F$11,Regras!$G$2:$G$11))),"")</f>
        <v/>
      </c>
      <c r="Y1837" s="150"/>
      <c r="Z1837" s="53"/>
    </row>
    <row r="1838" spans="7:26" x14ac:dyDescent="0.2">
      <c r="G1838" s="85" t="s">
        <v>12</v>
      </c>
      <c r="R1838" s="53"/>
      <c r="S1838" s="53"/>
      <c r="T1838" s="53"/>
      <c r="U1838" s="53"/>
      <c r="V1838" s="53"/>
      <c r="W1838" s="53"/>
      <c r="X1838" s="61" t="str">
        <f>IFERROR(IF(W1838="","",WORKDAY.INTL(B1838,_xlfn.XLOOKUP(W1838,Regras!$F$2:$F$11,Regras!$G$2:$G$11))),"")</f>
        <v/>
      </c>
      <c r="Y1838" s="150"/>
      <c r="Z1838" s="53"/>
    </row>
    <row r="1839" spans="7:26" x14ac:dyDescent="0.2">
      <c r="G1839" s="85" t="s">
        <v>12</v>
      </c>
      <c r="R1839" s="53"/>
      <c r="S1839" s="53"/>
      <c r="T1839" s="53"/>
      <c r="U1839" s="53"/>
      <c r="V1839" s="53"/>
      <c r="W1839" s="53"/>
      <c r="X1839" s="61" t="str">
        <f>IFERROR(IF(W1839="","",WORKDAY.INTL(B1839,_xlfn.XLOOKUP(W1839,Regras!$F$2:$F$11,Regras!$G$2:$G$11))),"")</f>
        <v/>
      </c>
      <c r="Y1839" s="150"/>
      <c r="Z1839" s="53"/>
    </row>
    <row r="1840" spans="7:26" x14ac:dyDescent="0.2">
      <c r="G1840" s="85" t="s">
        <v>12</v>
      </c>
      <c r="R1840" s="53"/>
      <c r="S1840" s="53"/>
      <c r="T1840" s="53"/>
      <c r="U1840" s="53"/>
      <c r="V1840" s="53"/>
      <c r="W1840" s="53"/>
      <c r="X1840" s="61" t="str">
        <f>IFERROR(IF(W1840="","",WORKDAY.INTL(B1840,_xlfn.XLOOKUP(W1840,Regras!$F$2:$F$11,Regras!$G$2:$G$11))),"")</f>
        <v/>
      </c>
      <c r="Y1840" s="150"/>
      <c r="Z1840" s="53"/>
    </row>
    <row r="1841" spans="7:26" x14ac:dyDescent="0.2">
      <c r="G1841" s="85" t="s">
        <v>12</v>
      </c>
      <c r="R1841" s="53"/>
      <c r="S1841" s="53"/>
      <c r="T1841" s="53"/>
      <c r="U1841" s="53"/>
      <c r="V1841" s="53"/>
      <c r="W1841" s="53"/>
      <c r="X1841" s="61" t="str">
        <f>IFERROR(IF(W1841="","",WORKDAY.INTL(B1841,_xlfn.XLOOKUP(W1841,Regras!$F$2:$F$11,Regras!$G$2:$G$11))),"")</f>
        <v/>
      </c>
      <c r="Y1841" s="150"/>
      <c r="Z1841" s="53"/>
    </row>
    <row r="1842" spans="7:26" x14ac:dyDescent="0.2">
      <c r="G1842" s="85" t="s">
        <v>12</v>
      </c>
      <c r="R1842" s="53"/>
      <c r="S1842" s="53"/>
      <c r="T1842" s="53"/>
      <c r="U1842" s="53"/>
      <c r="V1842" s="53"/>
      <c r="W1842" s="53"/>
      <c r="X1842" s="61" t="str">
        <f>IFERROR(IF(W1842="","",WORKDAY.INTL(B1842,_xlfn.XLOOKUP(W1842,Regras!$F$2:$F$11,Regras!$G$2:$G$11))),"")</f>
        <v/>
      </c>
      <c r="Y1842" s="150"/>
      <c r="Z1842" s="53"/>
    </row>
    <row r="1843" spans="7:26" x14ac:dyDescent="0.2">
      <c r="G1843" s="85" t="s">
        <v>12</v>
      </c>
      <c r="R1843" s="53"/>
      <c r="S1843" s="53"/>
      <c r="T1843" s="53"/>
      <c r="U1843" s="53"/>
      <c r="V1843" s="53"/>
      <c r="W1843" s="53"/>
      <c r="X1843" s="61" t="str">
        <f>IFERROR(IF(W1843="","",WORKDAY.INTL(B1843,_xlfn.XLOOKUP(W1843,Regras!$F$2:$F$11,Regras!$G$2:$G$11))),"")</f>
        <v/>
      </c>
      <c r="Y1843" s="150"/>
      <c r="Z1843" s="53"/>
    </row>
    <row r="1844" spans="7:26" x14ac:dyDescent="0.2">
      <c r="G1844" s="85" t="s">
        <v>12</v>
      </c>
      <c r="R1844" s="53"/>
      <c r="S1844" s="53"/>
      <c r="T1844" s="53"/>
      <c r="U1844" s="53"/>
      <c r="V1844" s="53"/>
      <c r="W1844" s="53"/>
      <c r="X1844" s="61" t="str">
        <f>IFERROR(IF(W1844="","",WORKDAY.INTL(B1844,_xlfn.XLOOKUP(W1844,Regras!$F$2:$F$11,Regras!$G$2:$G$11))),"")</f>
        <v/>
      </c>
      <c r="Y1844" s="150"/>
      <c r="Z1844" s="53"/>
    </row>
    <row r="1845" spans="7:26" x14ac:dyDescent="0.2">
      <c r="G1845" s="85" t="s">
        <v>12</v>
      </c>
      <c r="R1845" s="53"/>
      <c r="S1845" s="53"/>
      <c r="T1845" s="53"/>
      <c r="U1845" s="53"/>
      <c r="V1845" s="53"/>
      <c r="W1845" s="53"/>
      <c r="X1845" s="61" t="str">
        <f>IFERROR(IF(W1845="","",WORKDAY.INTL(B1845,_xlfn.XLOOKUP(W1845,Regras!$F$2:$F$11,Regras!$G$2:$G$11))),"")</f>
        <v/>
      </c>
      <c r="Y1845" s="150"/>
      <c r="Z1845" s="53"/>
    </row>
    <row r="1846" spans="7:26" x14ac:dyDescent="0.2">
      <c r="G1846" s="85" t="s">
        <v>12</v>
      </c>
      <c r="R1846" s="53"/>
      <c r="S1846" s="53"/>
      <c r="T1846" s="53"/>
      <c r="U1846" s="53"/>
      <c r="V1846" s="53"/>
      <c r="W1846" s="53"/>
      <c r="X1846" s="61" t="str">
        <f>IFERROR(IF(W1846="","",WORKDAY.INTL(B1846,_xlfn.XLOOKUP(W1846,Regras!$F$2:$F$11,Regras!$G$2:$G$11))),"")</f>
        <v/>
      </c>
      <c r="Y1846" s="150"/>
      <c r="Z1846" s="53"/>
    </row>
    <row r="1847" spans="7:26" x14ac:dyDescent="0.2">
      <c r="G1847" s="85" t="s">
        <v>12</v>
      </c>
      <c r="R1847" s="53"/>
      <c r="S1847" s="53"/>
      <c r="T1847" s="53"/>
      <c r="U1847" s="53"/>
      <c r="V1847" s="53"/>
      <c r="W1847" s="53"/>
      <c r="X1847" s="61" t="str">
        <f>IFERROR(IF(W1847="","",WORKDAY.INTL(B1847,_xlfn.XLOOKUP(W1847,Regras!$F$2:$F$11,Regras!$G$2:$G$11))),"")</f>
        <v/>
      </c>
      <c r="Y1847" s="150"/>
      <c r="Z1847" s="53"/>
    </row>
    <row r="1848" spans="7:26" x14ac:dyDescent="0.2">
      <c r="G1848" s="85" t="s">
        <v>12</v>
      </c>
      <c r="R1848" s="53"/>
      <c r="S1848" s="53"/>
      <c r="T1848" s="53"/>
      <c r="U1848" s="53"/>
      <c r="V1848" s="53"/>
      <c r="W1848" s="53"/>
      <c r="X1848" s="61" t="str">
        <f>IFERROR(IF(W1848="","",WORKDAY.INTL(B1848,_xlfn.XLOOKUP(W1848,Regras!$F$2:$F$11,Regras!$G$2:$G$11))),"")</f>
        <v/>
      </c>
      <c r="Y1848" s="150"/>
      <c r="Z1848" s="53"/>
    </row>
    <row r="1849" spans="7:26" x14ac:dyDescent="0.2">
      <c r="G1849" s="85" t="s">
        <v>12</v>
      </c>
      <c r="R1849" s="53"/>
      <c r="S1849" s="53"/>
      <c r="T1849" s="53"/>
      <c r="U1849" s="53"/>
      <c r="V1849" s="53"/>
      <c r="W1849" s="53"/>
      <c r="X1849" s="61" t="str">
        <f>IFERROR(IF(W1849="","",WORKDAY.INTL(B1849,_xlfn.XLOOKUP(W1849,Regras!$F$2:$F$11,Regras!$G$2:$G$11))),"")</f>
        <v/>
      </c>
      <c r="Y1849" s="150"/>
      <c r="Z1849" s="53"/>
    </row>
    <row r="1850" spans="7:26" x14ac:dyDescent="0.2">
      <c r="G1850" s="85" t="s">
        <v>12</v>
      </c>
      <c r="R1850" s="53"/>
      <c r="S1850" s="53"/>
      <c r="T1850" s="53"/>
      <c r="U1850" s="53"/>
      <c r="V1850" s="53"/>
      <c r="W1850" s="53"/>
      <c r="X1850" s="61" t="str">
        <f>IFERROR(IF(W1850="","",WORKDAY.INTL(B1850,_xlfn.XLOOKUP(W1850,Regras!$F$2:$F$11,Regras!$G$2:$G$11))),"")</f>
        <v/>
      </c>
      <c r="Y1850" s="150"/>
      <c r="Z1850" s="53"/>
    </row>
    <row r="1851" spans="7:26" x14ac:dyDescent="0.2">
      <c r="G1851" s="85" t="s">
        <v>12</v>
      </c>
      <c r="R1851" s="53"/>
      <c r="S1851" s="53"/>
      <c r="T1851" s="53"/>
      <c r="U1851" s="53"/>
      <c r="V1851" s="53"/>
      <c r="W1851" s="53"/>
      <c r="X1851" s="61" t="str">
        <f>IFERROR(IF(W1851="","",WORKDAY.INTL(B1851,_xlfn.XLOOKUP(W1851,Regras!$F$2:$F$11,Regras!$G$2:$G$11))),"")</f>
        <v/>
      </c>
      <c r="Y1851" s="150"/>
      <c r="Z1851" s="53"/>
    </row>
    <row r="1852" spans="7:26" x14ac:dyDescent="0.2">
      <c r="G1852" s="85" t="s">
        <v>12</v>
      </c>
      <c r="R1852" s="53"/>
      <c r="S1852" s="53"/>
      <c r="T1852" s="53"/>
      <c r="U1852" s="53"/>
      <c r="V1852" s="53"/>
      <c r="W1852" s="53"/>
      <c r="X1852" s="61" t="str">
        <f>IFERROR(IF(W1852="","",WORKDAY.INTL(B1852,_xlfn.XLOOKUP(W1852,Regras!$F$2:$F$11,Regras!$G$2:$G$11))),"")</f>
        <v/>
      </c>
      <c r="Y1852" s="150"/>
      <c r="Z1852" s="53"/>
    </row>
    <row r="1853" spans="7:26" x14ac:dyDescent="0.2">
      <c r="G1853" s="85" t="s">
        <v>12</v>
      </c>
      <c r="R1853" s="53"/>
      <c r="S1853" s="53"/>
      <c r="T1853" s="53"/>
      <c r="U1853" s="53"/>
      <c r="V1853" s="53"/>
      <c r="W1853" s="53"/>
      <c r="X1853" s="61" t="str">
        <f>IFERROR(IF(W1853="","",WORKDAY.INTL(B1853,_xlfn.XLOOKUP(W1853,Regras!$F$2:$F$11,Regras!$G$2:$G$11))),"")</f>
        <v/>
      </c>
      <c r="Y1853" s="150"/>
      <c r="Z1853" s="53"/>
    </row>
    <row r="1854" spans="7:26" x14ac:dyDescent="0.2">
      <c r="G1854" s="85" t="s">
        <v>12</v>
      </c>
      <c r="R1854" s="53"/>
      <c r="S1854" s="53"/>
      <c r="T1854" s="53"/>
      <c r="U1854" s="53"/>
      <c r="V1854" s="53"/>
      <c r="W1854" s="53"/>
      <c r="X1854" s="61" t="str">
        <f>IFERROR(IF(W1854="","",WORKDAY.INTL(B1854,_xlfn.XLOOKUP(W1854,Regras!$F$2:$F$11,Regras!$G$2:$G$11))),"")</f>
        <v/>
      </c>
      <c r="Y1854" s="150"/>
      <c r="Z1854" s="53"/>
    </row>
    <row r="1855" spans="7:26" x14ac:dyDescent="0.2">
      <c r="G1855" s="85" t="s">
        <v>12</v>
      </c>
      <c r="R1855" s="53"/>
      <c r="S1855" s="53"/>
      <c r="T1855" s="53"/>
      <c r="U1855" s="53"/>
      <c r="V1855" s="53"/>
      <c r="W1855" s="53"/>
      <c r="X1855" s="61" t="str">
        <f>IFERROR(IF(W1855="","",WORKDAY.INTL(B1855,_xlfn.XLOOKUP(W1855,Regras!$F$2:$F$11,Regras!$G$2:$G$11))),"")</f>
        <v/>
      </c>
      <c r="Y1855" s="150"/>
      <c r="Z1855" s="53"/>
    </row>
    <row r="1856" spans="7:26" x14ac:dyDescent="0.2">
      <c r="G1856" s="85" t="s">
        <v>12</v>
      </c>
      <c r="R1856" s="53"/>
      <c r="S1856" s="53"/>
      <c r="T1856" s="53"/>
      <c r="U1856" s="53"/>
      <c r="V1856" s="53"/>
      <c r="W1856" s="53"/>
      <c r="X1856" s="61" t="str">
        <f>IFERROR(IF(W1856="","",WORKDAY.INTL(B1856,_xlfn.XLOOKUP(W1856,Regras!$F$2:$F$11,Regras!$G$2:$G$11))),"")</f>
        <v/>
      </c>
      <c r="Y1856" s="150"/>
      <c r="Z1856" s="53"/>
    </row>
    <row r="1857" spans="7:26" x14ac:dyDescent="0.2">
      <c r="G1857" s="85" t="s">
        <v>12</v>
      </c>
      <c r="R1857" s="53"/>
      <c r="S1857" s="53"/>
      <c r="T1857" s="53"/>
      <c r="U1857" s="53"/>
      <c r="V1857" s="53"/>
      <c r="W1857" s="53"/>
      <c r="X1857" s="61" t="str">
        <f>IFERROR(IF(W1857="","",WORKDAY.INTL(B1857,_xlfn.XLOOKUP(W1857,Regras!$F$2:$F$11,Regras!$G$2:$G$11))),"")</f>
        <v/>
      </c>
      <c r="Y1857" s="150"/>
      <c r="Z1857" s="53"/>
    </row>
    <row r="1858" spans="7:26" x14ac:dyDescent="0.2">
      <c r="G1858" s="85" t="s">
        <v>12</v>
      </c>
      <c r="R1858" s="53"/>
      <c r="S1858" s="53"/>
      <c r="T1858" s="53"/>
      <c r="U1858" s="53"/>
      <c r="V1858" s="53"/>
      <c r="W1858" s="53"/>
      <c r="X1858" s="61" t="str">
        <f>IFERROR(IF(W1858="","",WORKDAY.INTL(B1858,_xlfn.XLOOKUP(W1858,Regras!$F$2:$F$11,Regras!$G$2:$G$11))),"")</f>
        <v/>
      </c>
      <c r="Y1858" s="150"/>
      <c r="Z1858" s="53"/>
    </row>
    <row r="1859" spans="7:26" x14ac:dyDescent="0.2">
      <c r="G1859" s="85" t="s">
        <v>12</v>
      </c>
      <c r="R1859" s="53"/>
      <c r="S1859" s="53"/>
      <c r="T1859" s="53"/>
      <c r="U1859" s="53"/>
      <c r="V1859" s="53"/>
      <c r="W1859" s="53"/>
      <c r="X1859" s="61" t="str">
        <f>IFERROR(IF(W1859="","",WORKDAY.INTL(B1859,_xlfn.XLOOKUP(W1859,Regras!$F$2:$F$11,Regras!$G$2:$G$11))),"")</f>
        <v/>
      </c>
      <c r="Y1859" s="150"/>
      <c r="Z1859" s="53"/>
    </row>
    <row r="1860" spans="7:26" x14ac:dyDescent="0.2">
      <c r="G1860" s="85" t="s">
        <v>12</v>
      </c>
      <c r="R1860" s="53"/>
      <c r="S1860" s="53"/>
      <c r="T1860" s="53"/>
      <c r="U1860" s="53"/>
      <c r="V1860" s="53"/>
      <c r="W1860" s="53"/>
      <c r="X1860" s="61" t="str">
        <f>IFERROR(IF(W1860="","",WORKDAY.INTL(B1860,_xlfn.XLOOKUP(W1860,Regras!$F$2:$F$11,Regras!$G$2:$G$11))),"")</f>
        <v/>
      </c>
      <c r="Y1860" s="150"/>
      <c r="Z1860" s="53"/>
    </row>
    <row r="1861" spans="7:26" x14ac:dyDescent="0.2">
      <c r="G1861" s="85" t="s">
        <v>12</v>
      </c>
      <c r="R1861" s="53"/>
      <c r="S1861" s="53"/>
      <c r="T1861" s="53"/>
      <c r="U1861" s="53"/>
      <c r="V1861" s="53"/>
      <c r="W1861" s="53"/>
      <c r="X1861" s="61" t="str">
        <f>IFERROR(IF(W1861="","",WORKDAY.INTL(B1861,_xlfn.XLOOKUP(W1861,Regras!$F$2:$F$11,Regras!$G$2:$G$11))),"")</f>
        <v/>
      </c>
      <c r="Y1861" s="150"/>
      <c r="Z1861" s="53"/>
    </row>
    <row r="1862" spans="7:26" x14ac:dyDescent="0.2">
      <c r="G1862" s="85" t="s">
        <v>12</v>
      </c>
      <c r="R1862" s="53"/>
      <c r="S1862" s="53"/>
      <c r="T1862" s="53"/>
      <c r="U1862" s="53"/>
      <c r="V1862" s="53"/>
      <c r="W1862" s="53"/>
      <c r="X1862" s="61" t="str">
        <f>IFERROR(IF(W1862="","",WORKDAY.INTL(B1862,_xlfn.XLOOKUP(W1862,Regras!$F$2:$F$11,Regras!$G$2:$G$11))),"")</f>
        <v/>
      </c>
      <c r="Y1862" s="150"/>
      <c r="Z1862" s="53"/>
    </row>
    <row r="1863" spans="7:26" x14ac:dyDescent="0.2">
      <c r="G1863" s="85" t="s">
        <v>12</v>
      </c>
      <c r="R1863" s="53"/>
      <c r="S1863" s="53"/>
      <c r="T1863" s="53"/>
      <c r="U1863" s="53"/>
      <c r="V1863" s="53"/>
      <c r="W1863" s="53"/>
      <c r="X1863" s="61" t="str">
        <f>IFERROR(IF(W1863="","",WORKDAY.INTL(B1863,_xlfn.XLOOKUP(W1863,Regras!$F$2:$F$11,Regras!$G$2:$G$11))),"")</f>
        <v/>
      </c>
      <c r="Y1863" s="150"/>
      <c r="Z1863" s="53"/>
    </row>
    <row r="1864" spans="7:26" x14ac:dyDescent="0.2">
      <c r="G1864" s="85" t="s">
        <v>12</v>
      </c>
      <c r="R1864" s="53"/>
      <c r="S1864" s="53"/>
      <c r="T1864" s="53"/>
      <c r="U1864" s="53"/>
      <c r="V1864" s="53"/>
      <c r="W1864" s="53"/>
      <c r="X1864" s="61" t="str">
        <f>IFERROR(IF(W1864="","",WORKDAY.INTL(B1864,_xlfn.XLOOKUP(W1864,Regras!$F$2:$F$11,Regras!$G$2:$G$11))),"")</f>
        <v/>
      </c>
      <c r="Y1864" s="150"/>
      <c r="Z1864" s="53"/>
    </row>
    <row r="1865" spans="7:26" x14ac:dyDescent="0.2">
      <c r="G1865" s="85" t="s">
        <v>12</v>
      </c>
      <c r="R1865" s="53"/>
      <c r="S1865" s="53"/>
      <c r="T1865" s="53"/>
      <c r="U1865" s="53"/>
      <c r="V1865" s="53"/>
      <c r="W1865" s="53"/>
      <c r="X1865" s="61" t="str">
        <f>IFERROR(IF(W1865="","",WORKDAY.INTL(B1865,_xlfn.XLOOKUP(W1865,Regras!$F$2:$F$11,Regras!$G$2:$G$11))),"")</f>
        <v/>
      </c>
      <c r="Y1865" s="150"/>
      <c r="Z1865" s="53"/>
    </row>
    <row r="1866" spans="7:26" x14ac:dyDescent="0.2">
      <c r="G1866" s="85" t="s">
        <v>12</v>
      </c>
      <c r="R1866" s="53"/>
      <c r="S1866" s="53"/>
      <c r="T1866" s="53"/>
      <c r="U1866" s="53"/>
      <c r="V1866" s="53"/>
      <c r="W1866" s="53"/>
      <c r="X1866" s="61" t="str">
        <f>IFERROR(IF(W1866="","",WORKDAY.INTL(B1866,_xlfn.XLOOKUP(W1866,Regras!$F$2:$F$11,Regras!$G$2:$G$11))),"")</f>
        <v/>
      </c>
      <c r="Y1866" s="150"/>
      <c r="Z1866" s="53"/>
    </row>
    <row r="1867" spans="7:26" x14ac:dyDescent="0.2">
      <c r="G1867" s="85" t="s">
        <v>12</v>
      </c>
      <c r="R1867" s="53"/>
      <c r="S1867" s="53"/>
      <c r="T1867" s="53"/>
      <c r="U1867" s="53"/>
      <c r="V1867" s="53"/>
      <c r="W1867" s="53"/>
      <c r="X1867" s="61" t="str">
        <f>IFERROR(IF(W1867="","",WORKDAY.INTL(B1867,_xlfn.XLOOKUP(W1867,Regras!$F$2:$F$11,Regras!$G$2:$G$11))),"")</f>
        <v/>
      </c>
      <c r="Y1867" s="150"/>
      <c r="Z1867" s="53"/>
    </row>
    <row r="1868" spans="7:26" x14ac:dyDescent="0.2">
      <c r="G1868" s="85" t="s">
        <v>12</v>
      </c>
      <c r="R1868" s="53"/>
      <c r="S1868" s="53"/>
      <c r="T1868" s="53"/>
      <c r="U1868" s="53"/>
      <c r="V1868" s="53"/>
      <c r="W1868" s="53"/>
      <c r="X1868" s="61" t="str">
        <f>IFERROR(IF(W1868="","",WORKDAY.INTL(B1868,_xlfn.XLOOKUP(W1868,Regras!$F$2:$F$11,Regras!$G$2:$G$11))),"")</f>
        <v/>
      </c>
      <c r="Y1868" s="150"/>
      <c r="Z1868" s="53"/>
    </row>
    <row r="1869" spans="7:26" x14ac:dyDescent="0.2">
      <c r="G1869" s="85" t="s">
        <v>12</v>
      </c>
      <c r="R1869" s="53"/>
      <c r="S1869" s="53"/>
      <c r="T1869" s="53"/>
      <c r="U1869" s="53"/>
      <c r="V1869" s="53"/>
      <c r="W1869" s="53"/>
      <c r="X1869" s="61" t="str">
        <f>IFERROR(IF(W1869="","",WORKDAY.INTL(B1869,_xlfn.XLOOKUP(W1869,Regras!$F$2:$F$11,Regras!$G$2:$G$11))),"")</f>
        <v/>
      </c>
      <c r="Y1869" s="150"/>
      <c r="Z1869" s="53"/>
    </row>
    <row r="1870" spans="7:26" x14ac:dyDescent="0.2">
      <c r="G1870" s="85" t="s">
        <v>12</v>
      </c>
      <c r="R1870" s="53"/>
      <c r="S1870" s="53"/>
      <c r="T1870" s="53"/>
      <c r="U1870" s="53"/>
      <c r="V1870" s="53"/>
      <c r="W1870" s="53"/>
      <c r="X1870" s="61" t="str">
        <f>IFERROR(IF(W1870="","",WORKDAY.INTL(B1870,_xlfn.XLOOKUP(W1870,Regras!$F$2:$F$11,Regras!$G$2:$G$11))),"")</f>
        <v/>
      </c>
      <c r="Y1870" s="150"/>
      <c r="Z1870" s="53"/>
    </row>
    <row r="1871" spans="7:26" x14ac:dyDescent="0.2">
      <c r="G1871" s="85" t="s">
        <v>12</v>
      </c>
      <c r="R1871" s="53"/>
      <c r="S1871" s="53"/>
      <c r="T1871" s="53"/>
      <c r="U1871" s="53"/>
      <c r="V1871" s="53"/>
      <c r="W1871" s="53"/>
      <c r="X1871" s="61" t="str">
        <f>IFERROR(IF(W1871="","",WORKDAY.INTL(B1871,_xlfn.XLOOKUP(W1871,Regras!$F$2:$F$11,Regras!$G$2:$G$11))),"")</f>
        <v/>
      </c>
      <c r="Y1871" s="150"/>
      <c r="Z1871" s="53"/>
    </row>
    <row r="1872" spans="7:26" x14ac:dyDescent="0.2">
      <c r="G1872" s="85" t="s">
        <v>12</v>
      </c>
      <c r="R1872" s="53"/>
      <c r="S1872" s="53"/>
      <c r="T1872" s="53"/>
      <c r="U1872" s="53"/>
      <c r="V1872" s="53"/>
      <c r="W1872" s="53"/>
      <c r="X1872" s="61" t="str">
        <f>IFERROR(IF(W1872="","",WORKDAY.INTL(B1872,_xlfn.XLOOKUP(W1872,Regras!$F$2:$F$11,Regras!$G$2:$G$11))),"")</f>
        <v/>
      </c>
      <c r="Y1872" s="150"/>
      <c r="Z1872" s="53"/>
    </row>
    <row r="1873" spans="7:26" x14ac:dyDescent="0.2">
      <c r="G1873" s="85" t="s">
        <v>12</v>
      </c>
      <c r="R1873" s="53"/>
      <c r="S1873" s="53"/>
      <c r="T1873" s="53"/>
      <c r="U1873" s="53"/>
      <c r="V1873" s="53"/>
      <c r="W1873" s="53"/>
      <c r="X1873" s="61" t="str">
        <f>IFERROR(IF(W1873="","",WORKDAY.INTL(B1873,_xlfn.XLOOKUP(W1873,Regras!$F$2:$F$11,Regras!$G$2:$G$11))),"")</f>
        <v/>
      </c>
      <c r="Y1873" s="150"/>
      <c r="Z1873" s="53"/>
    </row>
    <row r="1874" spans="7:26" x14ac:dyDescent="0.2">
      <c r="G1874" s="85" t="s">
        <v>12</v>
      </c>
      <c r="R1874" s="53"/>
      <c r="S1874" s="53"/>
      <c r="T1874" s="53"/>
      <c r="U1874" s="53"/>
      <c r="V1874" s="53"/>
      <c r="W1874" s="53"/>
      <c r="X1874" s="61" t="str">
        <f>IFERROR(IF(W1874="","",WORKDAY.INTL(B1874,_xlfn.XLOOKUP(W1874,Regras!$F$2:$F$11,Regras!$G$2:$G$11))),"")</f>
        <v/>
      </c>
      <c r="Y1874" s="150"/>
      <c r="Z1874" s="53"/>
    </row>
    <row r="1875" spans="7:26" x14ac:dyDescent="0.2">
      <c r="G1875" s="85" t="s">
        <v>12</v>
      </c>
      <c r="R1875" s="53"/>
      <c r="S1875" s="53"/>
      <c r="T1875" s="53"/>
      <c r="U1875" s="53"/>
      <c r="V1875" s="53"/>
      <c r="W1875" s="53"/>
      <c r="X1875" s="61" t="str">
        <f>IFERROR(IF(W1875="","",WORKDAY.INTL(B1875,_xlfn.XLOOKUP(W1875,Regras!$F$2:$F$11,Regras!$G$2:$G$11))),"")</f>
        <v/>
      </c>
      <c r="Y1875" s="150"/>
      <c r="Z1875" s="53"/>
    </row>
    <row r="1876" spans="7:26" x14ac:dyDescent="0.2">
      <c r="G1876" s="85" t="s">
        <v>12</v>
      </c>
      <c r="R1876" s="53"/>
      <c r="S1876" s="53"/>
      <c r="T1876" s="53"/>
      <c r="U1876" s="53"/>
      <c r="V1876" s="53"/>
      <c r="W1876" s="53"/>
      <c r="X1876" s="61" t="str">
        <f>IFERROR(IF(W1876="","",WORKDAY.INTL(B1876,_xlfn.XLOOKUP(W1876,Regras!$F$2:$F$11,Regras!$G$2:$G$11))),"")</f>
        <v/>
      </c>
      <c r="Y1876" s="150"/>
      <c r="Z1876" s="53"/>
    </row>
    <row r="1877" spans="7:26" x14ac:dyDescent="0.2">
      <c r="G1877" s="85" t="s">
        <v>12</v>
      </c>
      <c r="R1877" s="53"/>
      <c r="S1877" s="53"/>
      <c r="T1877" s="53"/>
      <c r="U1877" s="53"/>
      <c r="V1877" s="53"/>
      <c r="W1877" s="53"/>
      <c r="X1877" s="61" t="str">
        <f>IFERROR(IF(W1877="","",WORKDAY.INTL(B1877,_xlfn.XLOOKUP(W1877,Regras!$F$2:$F$11,Regras!$G$2:$G$11))),"")</f>
        <v/>
      </c>
      <c r="Y1877" s="150"/>
      <c r="Z1877" s="53"/>
    </row>
    <row r="1878" spans="7:26" x14ac:dyDescent="0.2">
      <c r="G1878" s="85" t="s">
        <v>12</v>
      </c>
      <c r="R1878" s="53"/>
      <c r="S1878" s="53"/>
      <c r="T1878" s="53"/>
      <c r="U1878" s="53"/>
      <c r="V1878" s="53"/>
      <c r="W1878" s="53"/>
      <c r="X1878" s="61" t="str">
        <f>IFERROR(IF(W1878="","",WORKDAY.INTL(B1878,_xlfn.XLOOKUP(W1878,Regras!$F$2:$F$11,Regras!$G$2:$G$11))),"")</f>
        <v/>
      </c>
      <c r="Y1878" s="150"/>
      <c r="Z1878" s="53"/>
    </row>
    <row r="1879" spans="7:26" x14ac:dyDescent="0.2">
      <c r="G1879" s="85" t="s">
        <v>12</v>
      </c>
      <c r="R1879" s="53"/>
      <c r="S1879" s="53"/>
      <c r="T1879" s="53"/>
      <c r="U1879" s="53"/>
      <c r="V1879" s="53"/>
      <c r="W1879" s="53"/>
      <c r="X1879" s="61" t="str">
        <f>IFERROR(IF(W1879="","",WORKDAY.INTL(B1879,_xlfn.XLOOKUP(W1879,Regras!$F$2:$F$11,Regras!$G$2:$G$11))),"")</f>
        <v/>
      </c>
      <c r="Y1879" s="150"/>
      <c r="Z1879" s="53"/>
    </row>
    <row r="1880" spans="7:26" x14ac:dyDescent="0.2">
      <c r="G1880" s="85" t="s">
        <v>12</v>
      </c>
      <c r="R1880" s="53"/>
      <c r="S1880" s="53"/>
      <c r="T1880" s="53"/>
      <c r="U1880" s="53"/>
      <c r="V1880" s="53"/>
      <c r="W1880" s="53"/>
      <c r="X1880" s="61" t="str">
        <f>IFERROR(IF(W1880="","",WORKDAY.INTL(B1880,_xlfn.XLOOKUP(W1880,Regras!$F$2:$F$11,Regras!$G$2:$G$11))),"")</f>
        <v/>
      </c>
      <c r="Y1880" s="150"/>
      <c r="Z1880" s="53"/>
    </row>
    <row r="1881" spans="7:26" x14ac:dyDescent="0.2">
      <c r="G1881" s="85" t="s">
        <v>12</v>
      </c>
      <c r="R1881" s="53"/>
      <c r="S1881" s="53"/>
      <c r="T1881" s="53"/>
      <c r="U1881" s="53"/>
      <c r="V1881" s="53"/>
      <c r="W1881" s="53"/>
      <c r="X1881" s="61" t="str">
        <f>IFERROR(IF(W1881="","",WORKDAY.INTL(B1881,_xlfn.XLOOKUP(W1881,Regras!$F$2:$F$11,Regras!$G$2:$G$11))),"")</f>
        <v/>
      </c>
      <c r="Y1881" s="150"/>
      <c r="Z1881" s="53"/>
    </row>
    <row r="1882" spans="7:26" x14ac:dyDescent="0.2">
      <c r="G1882" s="85" t="s">
        <v>12</v>
      </c>
      <c r="R1882" s="53"/>
      <c r="S1882" s="53"/>
      <c r="T1882" s="53"/>
      <c r="U1882" s="53"/>
      <c r="V1882" s="53"/>
      <c r="W1882" s="53"/>
      <c r="X1882" s="61" t="str">
        <f>IFERROR(IF(W1882="","",WORKDAY.INTL(B1882,_xlfn.XLOOKUP(W1882,Regras!$F$2:$F$11,Regras!$G$2:$G$11))),"")</f>
        <v/>
      </c>
      <c r="Y1882" s="150"/>
      <c r="Z1882" s="53"/>
    </row>
    <row r="1883" spans="7:26" x14ac:dyDescent="0.2">
      <c r="G1883" s="85" t="s">
        <v>12</v>
      </c>
      <c r="R1883" s="53"/>
      <c r="S1883" s="53"/>
      <c r="T1883" s="53"/>
      <c r="U1883" s="53"/>
      <c r="V1883" s="53"/>
      <c r="W1883" s="53"/>
      <c r="X1883" s="61" t="str">
        <f>IFERROR(IF(W1883="","",WORKDAY.INTL(B1883,_xlfn.XLOOKUP(W1883,Regras!$F$2:$F$11,Regras!$G$2:$G$11))),"")</f>
        <v/>
      </c>
      <c r="Y1883" s="150"/>
      <c r="Z1883" s="53"/>
    </row>
    <row r="1884" spans="7:26" x14ac:dyDescent="0.2">
      <c r="G1884" s="85" t="s">
        <v>12</v>
      </c>
      <c r="R1884" s="53"/>
      <c r="S1884" s="53"/>
      <c r="T1884" s="53"/>
      <c r="U1884" s="53"/>
      <c r="V1884" s="53"/>
      <c r="W1884" s="53"/>
      <c r="X1884" s="61" t="str">
        <f>IFERROR(IF(W1884="","",WORKDAY.INTL(B1884,_xlfn.XLOOKUP(W1884,Regras!$F$2:$F$11,Regras!$G$2:$G$11))),"")</f>
        <v/>
      </c>
      <c r="Y1884" s="150"/>
      <c r="Z1884" s="53"/>
    </row>
    <row r="1885" spans="7:26" x14ac:dyDescent="0.2">
      <c r="G1885" s="85" t="s">
        <v>12</v>
      </c>
      <c r="R1885" s="53"/>
      <c r="S1885" s="53"/>
      <c r="T1885" s="53"/>
      <c r="U1885" s="53"/>
      <c r="V1885" s="53"/>
      <c r="W1885" s="53"/>
      <c r="X1885" s="61" t="str">
        <f>IFERROR(IF(W1885="","",WORKDAY.INTL(B1885,_xlfn.XLOOKUP(W1885,Regras!$F$2:$F$11,Regras!$G$2:$G$11))),"")</f>
        <v/>
      </c>
      <c r="Y1885" s="150"/>
      <c r="Z1885" s="53"/>
    </row>
    <row r="1886" spans="7:26" x14ac:dyDescent="0.2">
      <c r="G1886" s="85" t="s">
        <v>12</v>
      </c>
      <c r="R1886" s="53"/>
      <c r="S1886" s="53"/>
      <c r="T1886" s="53"/>
      <c r="U1886" s="53"/>
      <c r="V1886" s="53"/>
      <c r="W1886" s="53"/>
      <c r="X1886" s="61" t="str">
        <f>IFERROR(IF(W1886="","",WORKDAY.INTL(B1886,_xlfn.XLOOKUP(W1886,Regras!$F$2:$F$11,Regras!$G$2:$G$11))),"")</f>
        <v/>
      </c>
      <c r="Y1886" s="150"/>
      <c r="Z1886" s="53"/>
    </row>
    <row r="1887" spans="7:26" x14ac:dyDescent="0.2">
      <c r="G1887" s="85" t="s">
        <v>12</v>
      </c>
      <c r="R1887" s="53"/>
      <c r="S1887" s="53"/>
      <c r="T1887" s="53"/>
      <c r="U1887" s="53"/>
      <c r="V1887" s="53"/>
      <c r="W1887" s="53"/>
      <c r="X1887" s="61" t="str">
        <f>IFERROR(IF(W1887="","",WORKDAY.INTL(B1887,_xlfn.XLOOKUP(W1887,Regras!$F$2:$F$11,Regras!$G$2:$G$11))),"")</f>
        <v/>
      </c>
      <c r="Y1887" s="150"/>
      <c r="Z1887" s="53"/>
    </row>
    <row r="1888" spans="7:26" x14ac:dyDescent="0.2">
      <c r="G1888" s="85" t="s">
        <v>12</v>
      </c>
      <c r="R1888" s="53"/>
      <c r="S1888" s="53"/>
      <c r="T1888" s="53"/>
      <c r="U1888" s="53"/>
      <c r="V1888" s="53"/>
      <c r="W1888" s="53"/>
      <c r="X1888" s="61" t="str">
        <f>IFERROR(IF(W1888="","",WORKDAY.INTL(B1888,_xlfn.XLOOKUP(W1888,Regras!$F$2:$F$11,Regras!$G$2:$G$11))),"")</f>
        <v/>
      </c>
      <c r="Y1888" s="150"/>
      <c r="Z1888" s="53"/>
    </row>
    <row r="1889" spans="7:26" x14ac:dyDescent="0.2">
      <c r="G1889" s="85" t="s">
        <v>12</v>
      </c>
      <c r="R1889" s="53"/>
      <c r="S1889" s="53"/>
      <c r="T1889" s="53"/>
      <c r="U1889" s="53"/>
      <c r="V1889" s="53"/>
      <c r="W1889" s="53"/>
      <c r="X1889" s="61" t="str">
        <f>IFERROR(IF(W1889="","",WORKDAY.INTL(B1889,_xlfn.XLOOKUP(W1889,Regras!$F$2:$F$11,Regras!$G$2:$G$11))),"")</f>
        <v/>
      </c>
      <c r="Y1889" s="150"/>
      <c r="Z1889" s="53"/>
    </row>
    <row r="1890" spans="7:26" x14ac:dyDescent="0.2">
      <c r="G1890" s="85" t="s">
        <v>12</v>
      </c>
      <c r="R1890" s="53"/>
      <c r="S1890" s="53"/>
      <c r="T1890" s="53"/>
      <c r="U1890" s="53"/>
      <c r="V1890" s="53"/>
      <c r="W1890" s="53"/>
      <c r="X1890" s="61" t="str">
        <f>IFERROR(IF(W1890="","",WORKDAY.INTL(B1890,_xlfn.XLOOKUP(W1890,Regras!$F$2:$F$11,Regras!$G$2:$G$11))),"")</f>
        <v/>
      </c>
      <c r="Y1890" s="150"/>
      <c r="Z1890" s="53"/>
    </row>
    <row r="1891" spans="7:26" x14ac:dyDescent="0.2">
      <c r="G1891" s="85" t="s">
        <v>12</v>
      </c>
      <c r="R1891" s="53"/>
      <c r="S1891" s="53"/>
      <c r="T1891" s="53"/>
      <c r="U1891" s="53"/>
      <c r="V1891" s="53"/>
      <c r="W1891" s="53"/>
      <c r="X1891" s="61" t="str">
        <f>IFERROR(IF(W1891="","",WORKDAY.INTL(B1891,_xlfn.XLOOKUP(W1891,Regras!$F$2:$F$11,Regras!$G$2:$G$11))),"")</f>
        <v/>
      </c>
      <c r="Y1891" s="150"/>
      <c r="Z1891" s="53"/>
    </row>
    <row r="1892" spans="7:26" x14ac:dyDescent="0.2">
      <c r="G1892" s="85" t="s">
        <v>12</v>
      </c>
      <c r="R1892" s="53"/>
      <c r="S1892" s="53"/>
      <c r="T1892" s="53"/>
      <c r="U1892" s="53"/>
      <c r="V1892" s="53"/>
      <c r="W1892" s="53"/>
      <c r="X1892" s="61" t="str">
        <f>IFERROR(IF(W1892="","",WORKDAY.INTL(B1892,_xlfn.XLOOKUP(W1892,Regras!$F$2:$F$11,Regras!$G$2:$G$11))),"")</f>
        <v/>
      </c>
      <c r="Y1892" s="150"/>
      <c r="Z1892" s="53"/>
    </row>
    <row r="1893" spans="7:26" x14ac:dyDescent="0.2">
      <c r="G1893" s="85" t="s">
        <v>12</v>
      </c>
      <c r="R1893" s="53"/>
      <c r="S1893" s="53"/>
      <c r="T1893" s="53"/>
      <c r="U1893" s="53"/>
      <c r="V1893" s="53"/>
      <c r="W1893" s="53"/>
      <c r="X1893" s="61" t="str">
        <f>IFERROR(IF(W1893="","",WORKDAY.INTL(B1893,_xlfn.XLOOKUP(W1893,Regras!$F$2:$F$11,Regras!$G$2:$G$11))),"")</f>
        <v/>
      </c>
      <c r="Y1893" s="150"/>
      <c r="Z1893" s="53"/>
    </row>
    <row r="1894" spans="7:26" x14ac:dyDescent="0.2">
      <c r="G1894" s="85" t="s">
        <v>12</v>
      </c>
      <c r="R1894" s="53"/>
      <c r="S1894" s="53"/>
      <c r="T1894" s="53"/>
      <c r="U1894" s="53"/>
      <c r="V1894" s="53"/>
      <c r="W1894" s="53"/>
      <c r="X1894" s="61" t="str">
        <f>IFERROR(IF(W1894="","",WORKDAY.INTL(B1894,_xlfn.XLOOKUP(W1894,Regras!$F$2:$F$11,Regras!$G$2:$G$11))),"")</f>
        <v/>
      </c>
      <c r="Y1894" s="150"/>
      <c r="Z1894" s="53"/>
    </row>
    <row r="1895" spans="7:26" x14ac:dyDescent="0.2">
      <c r="G1895" s="85" t="s">
        <v>12</v>
      </c>
      <c r="R1895" s="53"/>
      <c r="S1895" s="53"/>
      <c r="T1895" s="53"/>
      <c r="U1895" s="53"/>
      <c r="V1895" s="53"/>
      <c r="W1895" s="53"/>
      <c r="X1895" s="61" t="str">
        <f>IFERROR(IF(W1895="","",WORKDAY.INTL(B1895,_xlfn.XLOOKUP(W1895,Regras!$F$2:$F$11,Regras!$G$2:$G$11))),"")</f>
        <v/>
      </c>
      <c r="Y1895" s="150"/>
      <c r="Z1895" s="53"/>
    </row>
    <row r="1896" spans="7:26" x14ac:dyDescent="0.2">
      <c r="G1896" s="85" t="s">
        <v>12</v>
      </c>
      <c r="R1896" s="53"/>
      <c r="S1896" s="53"/>
      <c r="T1896" s="53"/>
      <c r="U1896" s="53"/>
      <c r="V1896" s="53"/>
      <c r="W1896" s="53"/>
      <c r="X1896" s="61" t="str">
        <f>IFERROR(IF(W1896="","",WORKDAY.INTL(B1896,_xlfn.XLOOKUP(W1896,Regras!$F$2:$F$11,Regras!$G$2:$G$11))),"")</f>
        <v/>
      </c>
      <c r="Y1896" s="150"/>
      <c r="Z1896" s="53"/>
    </row>
    <row r="1897" spans="7:26" x14ac:dyDescent="0.2">
      <c r="G1897" s="85" t="s">
        <v>12</v>
      </c>
      <c r="R1897" s="53"/>
      <c r="S1897" s="53"/>
      <c r="T1897" s="53"/>
      <c r="U1897" s="53"/>
      <c r="V1897" s="53"/>
      <c r="W1897" s="53"/>
      <c r="X1897" s="61" t="str">
        <f>IFERROR(IF(W1897="","",WORKDAY.INTL(B1897,_xlfn.XLOOKUP(W1897,Regras!$F$2:$F$11,Regras!$G$2:$G$11))),"")</f>
        <v/>
      </c>
      <c r="Y1897" s="150"/>
      <c r="Z1897" s="53"/>
    </row>
    <row r="1898" spans="7:26" x14ac:dyDescent="0.2">
      <c r="G1898" s="85" t="s">
        <v>12</v>
      </c>
      <c r="R1898" s="53"/>
      <c r="S1898" s="53"/>
      <c r="T1898" s="53"/>
      <c r="U1898" s="53"/>
      <c r="V1898" s="53"/>
      <c r="W1898" s="53"/>
      <c r="X1898" s="61" t="str">
        <f>IFERROR(IF(W1898="","",WORKDAY.INTL(B1898,_xlfn.XLOOKUP(W1898,Regras!$F$2:$F$11,Regras!$G$2:$G$11))),"")</f>
        <v/>
      </c>
      <c r="Y1898" s="150"/>
      <c r="Z1898" s="53"/>
    </row>
    <row r="1899" spans="7:26" x14ac:dyDescent="0.2">
      <c r="G1899" s="85" t="s">
        <v>12</v>
      </c>
      <c r="R1899" s="53"/>
      <c r="S1899" s="53"/>
      <c r="T1899" s="53"/>
      <c r="U1899" s="53"/>
      <c r="V1899" s="53"/>
      <c r="W1899" s="53"/>
      <c r="X1899" s="61" t="str">
        <f>IFERROR(IF(W1899="","",WORKDAY.INTL(B1899,_xlfn.XLOOKUP(W1899,Regras!$F$2:$F$11,Regras!$G$2:$G$11))),"")</f>
        <v/>
      </c>
      <c r="Y1899" s="150"/>
      <c r="Z1899" s="53"/>
    </row>
    <row r="1900" spans="7:26" x14ac:dyDescent="0.2">
      <c r="G1900" s="85" t="s">
        <v>12</v>
      </c>
      <c r="R1900" s="53"/>
      <c r="S1900" s="53"/>
      <c r="T1900" s="53"/>
      <c r="U1900" s="53"/>
      <c r="V1900" s="53"/>
      <c r="W1900" s="53"/>
      <c r="X1900" s="61" t="str">
        <f>IFERROR(IF(W1900="","",WORKDAY.INTL(B1900,_xlfn.XLOOKUP(W1900,Regras!$F$2:$F$11,Regras!$G$2:$G$11))),"")</f>
        <v/>
      </c>
      <c r="Y1900" s="150"/>
      <c r="Z1900" s="53"/>
    </row>
    <row r="1901" spans="7:26" x14ac:dyDescent="0.2">
      <c r="G1901" s="85" t="s">
        <v>12</v>
      </c>
      <c r="R1901" s="53"/>
      <c r="S1901" s="53"/>
      <c r="T1901" s="53"/>
      <c r="U1901" s="53"/>
      <c r="V1901" s="53"/>
      <c r="W1901" s="53"/>
      <c r="X1901" s="61" t="str">
        <f>IFERROR(IF(W1901="","",WORKDAY.INTL(B1901,_xlfn.XLOOKUP(W1901,Regras!$F$2:$F$11,Regras!$G$2:$G$11))),"")</f>
        <v/>
      </c>
      <c r="Y1901" s="150"/>
      <c r="Z1901" s="53"/>
    </row>
    <row r="1902" spans="7:26" x14ac:dyDescent="0.2">
      <c r="G1902" s="85" t="s">
        <v>12</v>
      </c>
      <c r="R1902" s="53"/>
      <c r="S1902" s="53"/>
      <c r="T1902" s="53"/>
      <c r="U1902" s="53"/>
      <c r="V1902" s="53"/>
      <c r="W1902" s="53"/>
      <c r="X1902" s="61" t="str">
        <f>IFERROR(IF(W1902="","",WORKDAY.INTL(B1902,_xlfn.XLOOKUP(W1902,Regras!$F$2:$F$11,Regras!$G$2:$G$11))),"")</f>
        <v/>
      </c>
      <c r="Y1902" s="150"/>
      <c r="Z1902" s="53"/>
    </row>
    <row r="1903" spans="7:26" x14ac:dyDescent="0.2">
      <c r="G1903" s="85" t="s">
        <v>12</v>
      </c>
      <c r="R1903" s="53"/>
      <c r="S1903" s="53"/>
      <c r="T1903" s="53"/>
      <c r="U1903" s="53"/>
      <c r="V1903" s="53"/>
      <c r="W1903" s="53"/>
      <c r="X1903" s="61" t="str">
        <f>IFERROR(IF(W1903="","",WORKDAY.INTL(B1903,_xlfn.XLOOKUP(W1903,Regras!$F$2:$F$11,Regras!$G$2:$G$11))),"")</f>
        <v/>
      </c>
      <c r="Y1903" s="150"/>
      <c r="Z1903" s="53"/>
    </row>
    <row r="1904" spans="7:26" x14ac:dyDescent="0.2">
      <c r="G1904" s="85" t="s">
        <v>12</v>
      </c>
      <c r="R1904" s="53"/>
      <c r="S1904" s="53"/>
      <c r="T1904" s="53"/>
      <c r="U1904" s="53"/>
      <c r="V1904" s="53"/>
      <c r="W1904" s="53"/>
      <c r="X1904" s="61" t="str">
        <f>IFERROR(IF(W1904="","",WORKDAY.INTL(B1904,_xlfn.XLOOKUP(W1904,Regras!$F$2:$F$11,Regras!$G$2:$G$11))),"")</f>
        <v/>
      </c>
      <c r="Y1904" s="150"/>
      <c r="Z1904" s="53"/>
    </row>
    <row r="1905" spans="7:26" x14ac:dyDescent="0.2">
      <c r="G1905" s="85" t="s">
        <v>12</v>
      </c>
      <c r="R1905" s="53"/>
      <c r="S1905" s="53"/>
      <c r="T1905" s="53"/>
      <c r="U1905" s="53"/>
      <c r="V1905" s="53"/>
      <c r="W1905" s="53"/>
      <c r="X1905" s="61" t="str">
        <f>IFERROR(IF(W1905="","",WORKDAY.INTL(B1905,_xlfn.XLOOKUP(W1905,Regras!$F$2:$F$11,Regras!$G$2:$G$11))),"")</f>
        <v/>
      </c>
      <c r="Y1905" s="150"/>
      <c r="Z1905" s="53"/>
    </row>
    <row r="1906" spans="7:26" x14ac:dyDescent="0.2">
      <c r="G1906" s="85" t="s">
        <v>12</v>
      </c>
      <c r="R1906" s="53"/>
      <c r="S1906" s="53"/>
      <c r="T1906" s="53"/>
      <c r="U1906" s="53"/>
      <c r="V1906" s="53"/>
      <c r="W1906" s="53"/>
      <c r="X1906" s="61" t="str">
        <f>IFERROR(IF(W1906="","",WORKDAY.INTL(B1906,_xlfn.XLOOKUP(W1906,Regras!$F$2:$F$11,Regras!$G$2:$G$11))),"")</f>
        <v/>
      </c>
      <c r="Y1906" s="150"/>
      <c r="Z1906" s="53"/>
    </row>
    <row r="1907" spans="7:26" x14ac:dyDescent="0.2">
      <c r="G1907" s="85" t="s">
        <v>12</v>
      </c>
      <c r="R1907" s="53"/>
      <c r="S1907" s="53"/>
      <c r="T1907" s="53"/>
      <c r="U1907" s="53"/>
      <c r="V1907" s="53"/>
      <c r="W1907" s="53"/>
      <c r="X1907" s="61" t="str">
        <f>IFERROR(IF(W1907="","",WORKDAY.INTL(B1907,_xlfn.XLOOKUP(W1907,Regras!$F$2:$F$11,Regras!$G$2:$G$11))),"")</f>
        <v/>
      </c>
      <c r="Y1907" s="150"/>
      <c r="Z1907" s="53"/>
    </row>
    <row r="1908" spans="7:26" x14ac:dyDescent="0.2">
      <c r="G1908" s="85" t="s">
        <v>12</v>
      </c>
      <c r="R1908" s="53"/>
      <c r="S1908" s="53"/>
      <c r="T1908" s="53"/>
      <c r="U1908" s="53"/>
      <c r="V1908" s="53"/>
      <c r="W1908" s="53"/>
      <c r="X1908" s="61" t="str">
        <f>IFERROR(IF(W1908="","",WORKDAY.INTL(B1908,_xlfn.XLOOKUP(W1908,Regras!$F$2:$F$11,Regras!$G$2:$G$11))),"")</f>
        <v/>
      </c>
      <c r="Y1908" s="150"/>
      <c r="Z1908" s="53"/>
    </row>
    <row r="1909" spans="7:26" x14ac:dyDescent="0.2">
      <c r="G1909" s="85" t="s">
        <v>12</v>
      </c>
      <c r="R1909" s="53"/>
      <c r="S1909" s="53"/>
      <c r="T1909" s="53"/>
      <c r="U1909" s="53"/>
      <c r="V1909" s="53"/>
      <c r="W1909" s="53"/>
      <c r="X1909" s="61" t="str">
        <f>IFERROR(IF(W1909="","",WORKDAY.INTL(B1909,_xlfn.XLOOKUP(W1909,Regras!$F$2:$F$11,Regras!$G$2:$G$11))),"")</f>
        <v/>
      </c>
      <c r="Y1909" s="150"/>
      <c r="Z1909" s="53"/>
    </row>
    <row r="1910" spans="7:26" x14ac:dyDescent="0.2">
      <c r="G1910" s="85" t="s">
        <v>12</v>
      </c>
      <c r="R1910" s="53"/>
      <c r="S1910" s="53"/>
      <c r="T1910" s="53"/>
      <c r="U1910" s="53"/>
      <c r="V1910" s="53"/>
      <c r="W1910" s="53"/>
      <c r="X1910" s="61" t="str">
        <f>IFERROR(IF(W1910="","",WORKDAY.INTL(B1910,_xlfn.XLOOKUP(W1910,Regras!$F$2:$F$11,Regras!$G$2:$G$11))),"")</f>
        <v/>
      </c>
      <c r="Y1910" s="150"/>
      <c r="Z1910" s="53"/>
    </row>
  </sheetData>
  <autoFilter ref="B2:AB779" xr:uid="{F83A4AA5-DF7B-4C33-B6DB-A3720B439023}"/>
  <phoneticPr fontId="7" type="noConversion"/>
  <conditionalFormatting sqref="D321:D354 H353:J409 G353:G519 G394:H395 F412:F476 D435:F450 E449:E681 D453:D454 D470:F487 D491:F494 D512:G512 E513:G515 E521:F525 G521:G672 D526:F530 I558:K657 H571:L672 F616:F694 G675:G701 H675:L716 D682:E687 E685:E694 E690:F702 E702:G702 F703:G703 G704:G716 F715:F733 G717:L720 D721:L721 G722:L737 E724:E734 D726:D733 E730:F733 D736:E760 F738:L760 F754:F770 E755:E762 D758:D770 F780:L783 H784:L931 I784:K1258 D761:L779 D812:F931 D780:D1017 E780:E811 F784:F978 G784:G1910">
    <cfRule type="expression" dxfId="85" priority="285">
      <formula>$R321&lt;=TODAY()</formula>
    </cfRule>
  </conditionalFormatting>
  <conditionalFormatting sqref="D357:D415">
    <cfRule type="expression" dxfId="84" priority="206">
      <formula>$R357&lt;=TODAY()</formula>
    </cfRule>
  </conditionalFormatting>
  <conditionalFormatting sqref="D464:D498 D498:F499">
    <cfRule type="expression" dxfId="83" priority="63">
      <formula>$R464&lt;=TODAY()</formula>
    </cfRule>
  </conditionalFormatting>
  <conditionalFormatting sqref="D500:D681 D534:L542 D543:F551 E552:F552 J553:J560 K553:K561 I553:I563 E558:F560 D561:F566 E567:F570 E572:F573 D574:F579 D585:F587 E588:F589 E592:F592 E605:F606 F607:F612 D613:F613 F614 D615:F616 D620:F624 D632:F634 E635:F638 E640:F640 E660:F661 D713:F714 D715:D719 D720:F720 D723:F723 D724 D725:F725 E727:F727 D734:F735 F736:F737">
    <cfRule type="expression" dxfId="82" priority="27">
      <formula>$R500&lt;=TODAY()</formula>
    </cfRule>
  </conditionalFormatting>
  <conditionalFormatting sqref="D672:D681 F674:L674 F674:F681">
    <cfRule type="expression" dxfId="81" priority="419">
      <formula>#REF!&lt;=TODAY()</formula>
    </cfRule>
  </conditionalFormatting>
  <conditionalFormatting sqref="D673 F673:L673 F673:F681">
    <cfRule type="expression" dxfId="80" priority="418">
      <formula>$R674&lt;=TODAY()</formula>
    </cfRule>
  </conditionalFormatting>
  <conditionalFormatting sqref="D684:D712">
    <cfRule type="expression" dxfId="79" priority="7">
      <formula>$R684&lt;=TODAY()</formula>
    </cfRule>
  </conditionalFormatting>
  <conditionalFormatting sqref="D356:E356">
    <cfRule type="expression" dxfId="78" priority="264">
      <formula>$R356&lt;=TODAY()</formula>
    </cfRule>
  </conditionalFormatting>
  <conditionalFormatting sqref="D550:E551 D551:G551">
    <cfRule type="expression" dxfId="77" priority="26">
      <formula>$R550&lt;=TODAY()</formula>
    </cfRule>
  </conditionalFormatting>
  <conditionalFormatting sqref="D722:E722">
    <cfRule type="expression" dxfId="76" priority="4">
      <formula>$R722&lt;=TODAY()</formula>
    </cfRule>
  </conditionalFormatting>
  <conditionalFormatting sqref="D305:F309">
    <cfRule type="expression" dxfId="75" priority="329">
      <formula>$R305&lt;=TODAY()</formula>
    </cfRule>
  </conditionalFormatting>
  <conditionalFormatting sqref="D297:G322 E323:E354">
    <cfRule type="expression" dxfId="74" priority="305">
      <formula>$R297&lt;=TODAY()</formula>
    </cfRule>
  </conditionalFormatting>
  <conditionalFormatting sqref="D355:G355">
    <cfRule type="expression" dxfId="73" priority="270">
      <formula>$R355&lt;=TODAY()</formula>
    </cfRule>
  </conditionalFormatting>
  <conditionalFormatting sqref="D3:K213">
    <cfRule type="expression" dxfId="72" priority="65">
      <formula>$R3&lt;=TODAY()</formula>
    </cfRule>
  </conditionalFormatting>
  <conditionalFormatting sqref="D250:K267 D294:D305 E296:E302">
    <cfRule type="expression" dxfId="71" priority="373">
      <formula>$R250&lt;=TODAY()</formula>
    </cfRule>
  </conditionalFormatting>
  <conditionalFormatting sqref="D278:K278">
    <cfRule type="expression" dxfId="70" priority="112">
      <formula>$R278&lt;=TODAY()</formula>
    </cfRule>
  </conditionalFormatting>
  <conditionalFormatting sqref="D359:K360 E361:F361">
    <cfRule type="expression" dxfId="69" priority="249">
      <formula>$R359&lt;=TODAY()</formula>
    </cfRule>
  </conditionalFormatting>
  <conditionalFormatting sqref="D416:K419 D420:L428">
    <cfRule type="expression" dxfId="68" priority="156">
      <formula>$R416&lt;=TODAY()</formula>
    </cfRule>
  </conditionalFormatting>
  <conditionalFormatting sqref="D429:K434">
    <cfRule type="expression" dxfId="67" priority="115">
      <formula>$R429&lt;=TODAY()</formula>
    </cfRule>
  </conditionalFormatting>
  <conditionalFormatting sqref="D451:K451 D452:L452">
    <cfRule type="expression" dxfId="66" priority="143">
      <formula>$R451&lt;=TODAY()</formula>
    </cfRule>
  </conditionalFormatting>
  <conditionalFormatting sqref="D455:K467 D468:L468">
    <cfRule type="expression" dxfId="65" priority="125">
      <formula>$R455&lt;=TODAY()</formula>
    </cfRule>
  </conditionalFormatting>
  <conditionalFormatting sqref="D268:L269 D270:K271 D272:L273 D274:H276 D277:I277 D279:H282 D283:G283 D284:H284 D285:G287 D288:K288 D289:G293">
    <cfRule type="expression" dxfId="64" priority="231">
      <formula>$R268&lt;=TODAY()</formula>
    </cfRule>
  </conditionalFormatting>
  <conditionalFormatting sqref="E214:E236">
    <cfRule type="expression" dxfId="63" priority="299">
      <formula>$R214&lt;=TODAY()</formula>
    </cfRule>
  </conditionalFormatting>
  <conditionalFormatting sqref="E241:E269">
    <cfRule type="expression" dxfId="62" priority="407">
      <formula>$R241&lt;=TODAY()</formula>
    </cfRule>
  </conditionalFormatting>
  <conditionalFormatting sqref="E306:E319">
    <cfRule type="expression" dxfId="61" priority="314">
      <formula>$R306&lt;=TODAY()</formula>
    </cfRule>
  </conditionalFormatting>
  <conditionalFormatting sqref="E352:E354 E353:F353">
    <cfRule type="expression" dxfId="60" priority="278">
      <formula>$S352&lt;=TODAY()</formula>
    </cfRule>
  </conditionalFormatting>
  <conditionalFormatting sqref="E356:E358 G358:K358">
    <cfRule type="expression" dxfId="59" priority="256">
      <formula>$R356&lt;=TODAY()</formula>
    </cfRule>
  </conditionalFormatting>
  <conditionalFormatting sqref="E362:E415">
    <cfRule type="expression" dxfId="58" priority="232">
      <formula>$R362&lt;=TODAY()</formula>
    </cfRule>
  </conditionalFormatting>
  <conditionalFormatting sqref="E703:E719">
    <cfRule type="expression" dxfId="57" priority="5">
      <formula>$R703&lt;=TODAY()</formula>
    </cfRule>
  </conditionalFormatting>
  <conditionalFormatting sqref="E301:F301 E303:F304">
    <cfRule type="expression" dxfId="56" priority="354">
      <formula>$R301&lt;=TODAY()</formula>
    </cfRule>
  </conditionalFormatting>
  <conditionalFormatting sqref="E380:F383">
    <cfRule type="expression" dxfId="55" priority="243">
      <formula>$R380&lt;=TODAY()</formula>
    </cfRule>
  </conditionalFormatting>
  <conditionalFormatting sqref="E411:F418">
    <cfRule type="expression" dxfId="54" priority="177">
      <formula>$R411&lt;=TODAY()</formula>
    </cfRule>
  </conditionalFormatting>
  <conditionalFormatting sqref="E468:F469">
    <cfRule type="expression" dxfId="53" priority="119">
      <formula>$R468&lt;=TODAY()</formula>
    </cfRule>
  </conditionalFormatting>
  <conditionalFormatting sqref="E294:G299">
    <cfRule type="expression" dxfId="52" priority="345">
      <formula>$R294&lt;=TODAY()</formula>
    </cfRule>
  </conditionalFormatting>
  <conditionalFormatting sqref="E452:G454">
    <cfRule type="expression" dxfId="51" priority="137">
      <formula>$R452&lt;=TODAY()</formula>
    </cfRule>
  </conditionalFormatting>
  <conditionalFormatting sqref="F214:F240 F609:F610">
    <cfRule type="expression" dxfId="50" priority="416">
      <formula>$R213&lt;=TODAY()</formula>
    </cfRule>
  </conditionalFormatting>
  <conditionalFormatting sqref="F300">
    <cfRule type="expression" dxfId="49" priority="342">
      <formula>$R300&lt;=TODAY()</formula>
    </cfRule>
  </conditionalFormatting>
  <conditionalFormatting sqref="F306:F334">
    <cfRule type="expression" dxfId="48" priority="308">
      <formula>$R306&lt;=TODAY()</formula>
    </cfRule>
  </conditionalFormatting>
  <conditionalFormatting sqref="F336">
    <cfRule type="expression" dxfId="47" priority="293">
      <formula>$R336&lt;=TODAY()</formula>
    </cfRule>
  </conditionalFormatting>
  <conditionalFormatting sqref="F343:F409 D382:H383 F384:H393">
    <cfRule type="expression" dxfId="46" priority="226">
      <formula>$R343&lt;=TODAY()</formula>
    </cfRule>
  </conditionalFormatting>
  <conditionalFormatting sqref="F500:F571 F553:G557">
    <cfRule type="expression" dxfId="45" priority="25">
      <formula>$R500&lt;=TODAY()</formula>
    </cfRule>
  </conditionalFormatting>
  <conditionalFormatting sqref="F580:F587">
    <cfRule type="expression" dxfId="44" priority="15">
      <formula>$R580&lt;=TODAY()</formula>
    </cfRule>
  </conditionalFormatting>
  <conditionalFormatting sqref="F590:F604">
    <cfRule type="expression" dxfId="43" priority="14">
      <formula>$R590&lt;=TODAY()</formula>
    </cfRule>
  </conditionalFormatting>
  <conditionalFormatting sqref="F612">
    <cfRule type="expression" dxfId="42" priority="11">
      <formula>$R611&lt;=TODAY()</formula>
    </cfRule>
  </conditionalFormatting>
  <conditionalFormatting sqref="F704:F712">
    <cfRule type="expression" dxfId="41" priority="6">
      <formula>$R704&lt;=TODAY()</formula>
    </cfRule>
  </conditionalFormatting>
  <conditionalFormatting sqref="F316:G352 G343:G347 F353:K353">
    <cfRule type="expression" dxfId="40" priority="279">
      <formula>$R316&lt;=TODAY()</formula>
    </cfRule>
  </conditionalFormatting>
  <conditionalFormatting sqref="F255:L255 E257:L257">
    <cfRule type="expression" dxfId="39" priority="374">
      <formula>$R255&lt;=TODAY()</formula>
    </cfRule>
  </conditionalFormatting>
  <conditionalFormatting sqref="G299:G309">
    <cfRule type="expression" dxfId="38" priority="335">
      <formula>$R299&lt;=TODAY()</formula>
    </cfRule>
  </conditionalFormatting>
  <conditionalFormatting sqref="G318:G334">
    <cfRule type="expression" dxfId="37" priority="304">
      <formula>$R318&lt;=TODAY()</formula>
    </cfRule>
  </conditionalFormatting>
  <conditionalFormatting sqref="G336:G339">
    <cfRule type="expression" dxfId="36" priority="289">
      <formula>$R336&lt;=TODAY()</formula>
    </cfRule>
  </conditionalFormatting>
  <conditionalFormatting sqref="G356:H360">
    <cfRule type="expression" dxfId="35" priority="252">
      <formula>$R356&lt;=TODAY()</formula>
    </cfRule>
  </conditionalFormatting>
  <conditionalFormatting sqref="G380:H381 H406:K415">
    <cfRule type="expression" dxfId="34" priority="244">
      <formula>$R380&lt;=TODAY()</formula>
    </cfRule>
  </conditionalFormatting>
  <conditionalFormatting sqref="G516:L519 I518:I542">
    <cfRule type="expression" dxfId="33" priority="40">
      <formula>$R516&lt;=TODAY()</formula>
    </cfRule>
  </conditionalFormatting>
  <conditionalFormatting sqref="H3:H564">
    <cfRule type="expression" dxfId="32" priority="19">
      <formula>$R3&lt;=TODAY()</formula>
    </cfRule>
  </conditionalFormatting>
  <conditionalFormatting sqref="H289:K352">
    <cfRule type="expression" dxfId="31" priority="114">
      <formula>$R289&lt;=TODAY()</formula>
    </cfRule>
  </conditionalFormatting>
  <conditionalFormatting sqref="H435:K450 H453:L453 H454:K454 H469:K475 H476:L476 H477:K487 H478:L487">
    <cfRule type="expression" dxfId="30" priority="158">
      <formula>$R435&lt;=TODAY()</formula>
    </cfRule>
  </conditionalFormatting>
  <conditionalFormatting sqref="H491:K511">
    <cfRule type="expression" dxfId="29" priority="34">
      <formula>$R491&lt;=TODAY()</formula>
    </cfRule>
  </conditionalFormatting>
  <conditionalFormatting sqref="H521:K530">
    <cfRule type="expression" dxfId="28" priority="30">
      <formula>$R521&lt;=TODAY()</formula>
    </cfRule>
  </conditionalFormatting>
  <conditionalFormatting sqref="H354:L354">
    <cfRule type="expression" dxfId="27" priority="272">
      <formula>$R354&lt;=TODAY()</formula>
    </cfRule>
  </conditionalFormatting>
  <conditionalFormatting sqref="H543:L552">
    <cfRule type="expression" dxfId="26" priority="20">
      <formula>$R543&lt;=TODAY()</formula>
    </cfRule>
  </conditionalFormatting>
  <conditionalFormatting sqref="I3:I495 D192:D236 I193:K273 F204:F238 G207:G245 F214:K214 E215:K215 G216:K217 D218:K219 D218:G236 F220:K220 D220:H231 G221:K223 F224:K224 D225:K245 D237:E246 F246:K246 D247:K247 D248:D249 F248:K249 G258:G269 J353:K405 H475:I490 F484:F497 D488:L490 I515:J519 E520:L520 H531:L533 H565:K570">
    <cfRule type="expression" dxfId="25" priority="414">
      <formula>$R3&lt;=TODAY()</formula>
    </cfRule>
  </conditionalFormatting>
  <conditionalFormatting sqref="I279:K288">
    <cfRule type="expression" dxfId="24" priority="109">
      <formula>$R279&lt;=TODAY()</formula>
    </cfRule>
  </conditionalFormatting>
  <conditionalFormatting sqref="I353:K357 H412:J415">
    <cfRule type="expression" dxfId="23" priority="257">
      <formula>$R353&lt;=TODAY()</formula>
    </cfRule>
  </conditionalFormatting>
  <conditionalFormatting sqref="I361:K415">
    <cfRule type="expression" dxfId="22" priority="234">
      <formula>$R361&lt;=TODAY()</formula>
    </cfRule>
  </conditionalFormatting>
  <conditionalFormatting sqref="I452:K454">
    <cfRule type="expression" dxfId="21" priority="151">
      <formula>$R452&lt;=TODAY()</formula>
    </cfRule>
  </conditionalFormatting>
  <conditionalFormatting sqref="I468:K487">
    <cfRule type="expression" dxfId="20" priority="131">
      <formula>$R468&lt;=TODAY()</formula>
    </cfRule>
  </conditionalFormatting>
  <conditionalFormatting sqref="I496:K515">
    <cfRule type="expression" dxfId="19" priority="33">
      <formula>$R496&lt;=TODAY()</formula>
    </cfRule>
  </conditionalFormatting>
  <conditionalFormatting sqref="I521:L533">
    <cfRule type="expression" dxfId="18" priority="29">
      <formula>$R521&lt;=TODAY()</formula>
    </cfRule>
  </conditionalFormatting>
  <conditionalFormatting sqref="I553:L557">
    <cfRule type="expression" dxfId="17" priority="21">
      <formula>$R553&lt;=TODAY()</formula>
    </cfRule>
  </conditionalFormatting>
  <conditionalFormatting sqref="J353:J432 E410:K411">
    <cfRule type="expression" dxfId="16" priority="193">
      <formula>$R353&lt;=TODAY()</formula>
    </cfRule>
  </conditionalFormatting>
  <conditionalFormatting sqref="J519:J542">
    <cfRule type="expression" dxfId="15" priority="18">
      <formula>$R519&lt;=TODAY()</formula>
    </cfRule>
  </conditionalFormatting>
  <conditionalFormatting sqref="J274:K277">
    <cfRule type="expression" dxfId="14" priority="108">
      <formula>$R274&lt;=TODAY()</formula>
    </cfRule>
  </conditionalFormatting>
  <conditionalFormatting sqref="J451:K490 F467:H467">
    <cfRule type="expression" dxfId="13" priority="133">
      <formula>$R451&lt;=TODAY()</formula>
    </cfRule>
  </conditionalFormatting>
  <conditionalFormatting sqref="K360:K432">
    <cfRule type="expression" dxfId="12" priority="172">
      <formula>$R360&lt;=TODAY()</formula>
    </cfRule>
  </conditionalFormatting>
  <conditionalFormatting sqref="K518:K542">
    <cfRule type="expression" dxfId="11" priority="17">
      <formula>$R518&lt;=TODAY()</formula>
    </cfRule>
  </conditionalFormatting>
  <conditionalFormatting sqref="L3:L254">
    <cfRule type="expression" dxfId="10" priority="64">
      <formula>$R3&lt;=TODAY()</formula>
    </cfRule>
  </conditionalFormatting>
  <conditionalFormatting sqref="L256">
    <cfRule type="expression" dxfId="9" priority="369">
      <formula>$R256&lt;=TODAY()</formula>
    </cfRule>
  </conditionalFormatting>
  <conditionalFormatting sqref="L258:L271 L274:L353 L355:L419">
    <cfRule type="expression" dxfId="8" priority="117">
      <formula>$R258&lt;=TODAY()</formula>
    </cfRule>
  </conditionalFormatting>
  <conditionalFormatting sqref="L429:L452 L477">
    <cfRule type="expression" dxfId="7" priority="118">
      <formula>$R429&lt;=TODAY()</formula>
    </cfRule>
  </conditionalFormatting>
  <conditionalFormatting sqref="L454:L475">
    <cfRule type="expression" dxfId="6" priority="116">
      <formula>$R454&lt;=TODAY()</formula>
    </cfRule>
  </conditionalFormatting>
  <conditionalFormatting sqref="L491:L515">
    <cfRule type="expression" dxfId="5" priority="35">
      <formula>$R491&lt;=TODAY()</formula>
    </cfRule>
  </conditionalFormatting>
  <conditionalFormatting sqref="L558:L570">
    <cfRule type="expression" dxfId="4" priority="16">
      <formula>$R558&lt;=TODAY()</formula>
    </cfRule>
  </conditionalFormatting>
  <conditionalFormatting sqref="L608">
    <cfRule type="expression" dxfId="3" priority="12">
      <formula>$R608&lt;=TODAY()</formula>
    </cfRule>
  </conditionalFormatting>
  <dataValidations count="2">
    <dataValidation type="list" allowBlank="1" showInputMessage="1" showErrorMessage="1" sqref="AA3:AA24 AA26:AA130 AA132:AA676 R3:T1910 Z3:Z1910" xr:uid="{19D89605-7D48-493D-AFAF-AA0D19CDAF40}">
      <formula1>"SIM,NÃO"</formula1>
    </dataValidation>
    <dataValidation type="list" allowBlank="1" showInputMessage="1" showErrorMessage="1" sqref="V175 U3:U1910" xr:uid="{499DF9D9-FB4A-439E-9CF5-A8E14E6F79AF}">
      <formula1>"ATIVO,RECEPTIVO"</formula1>
    </dataValidation>
  </dataValidations>
  <hyperlinks>
    <hyperlink ref="D267" r:id="rId1" display="https://app.mercos.com/399424/clientes/56025650/" xr:uid="{5FAF25FA-E940-4716-9655-A4A2FEE359CA}"/>
    <hyperlink ref="D300" r:id="rId2" display="https://app.mercos.com/399424/clientes/51056182/" xr:uid="{82823F1F-A690-4F8B-B582-2ACCCB4C3B3B}"/>
    <hyperlink ref="D214" r:id="rId3" xr:uid="{CA091B80-472E-4C94-B5B7-24525B597E0E}"/>
    <hyperlink ref="D203" r:id="rId4" xr:uid="{81523170-3544-4F9A-8F57-F367BC79AA49}"/>
    <hyperlink ref="D354" r:id="rId5" display="https://app.mercos.com/399424/clientes/55846044/" xr:uid="{87AF0627-6101-49CA-95E3-0E6934A7E3AB}"/>
    <hyperlink ref="D407" r:id="rId6" display="https://app.mercos.com/399424/clientes/51056250/" xr:uid="{A28D4355-B090-49B0-8E62-697FA325ADA7}"/>
    <hyperlink ref="D409" r:id="rId7" display="https://app.mercos.com/399424/clientes/50752073/" xr:uid="{C41EB4B9-A647-4C07-9DBC-111D500FC6BF}"/>
    <hyperlink ref="D415" r:id="rId8" display="https://app.mercos.com/399424/clientes/50752073/" xr:uid="{9C81F311-5E3D-437F-AAB4-F9C6E12D8ECA}"/>
    <hyperlink ref="D496" r:id="rId9" display="https://app.mercos.com/399424/clientes/47574498/" xr:uid="{0A22DDF1-6513-4AAB-8968-D0D98B455AD0}"/>
    <hyperlink ref="D497" r:id="rId10" display="https://app.mercos.com/399424/clientes/56574906/" xr:uid="{51795D48-7826-4057-A360-5A7F39900F03}"/>
    <hyperlink ref="D498" r:id="rId11" display="https://app.mercos.com/399424/clientes/56574906/" xr:uid="{5813F990-F175-4BF6-8A93-1136ABDA2EA3}"/>
    <hyperlink ref="D580" r:id="rId12" display="https://app.mercos.com/399424/clientes/47574189/" xr:uid="{83A73D0A-6F4A-4E64-AA71-E858083EF38D}"/>
    <hyperlink ref="D581" r:id="rId13" display="https://app.mercos.com/399424/clientes/50475316/" xr:uid="{DC02D2DF-4915-4F60-BE45-990E76DD0581}"/>
    <hyperlink ref="D582" r:id="rId14" display="https://app.mercos.com/399424/clientes/56619830/" xr:uid="{B48D153D-91B7-49B2-9B78-62095B8E8F89}"/>
    <hyperlink ref="D591" r:id="rId15" display="https://app.mercos.com/399424/clientes/53133272/" xr:uid="{5BC199F3-FF3A-46D4-AE1A-DE2119C6BC57}"/>
    <hyperlink ref="D595" r:id="rId16" display="https://app.mercos.com/399424/clientes/54915617/" xr:uid="{6F1B03E6-9520-44B4-BDE8-08CB42C9DEF5}"/>
    <hyperlink ref="D597" r:id="rId17" display="https://app.mercos.com/399424/clientes/47574467/" xr:uid="{32B02A9D-EC9B-4FF2-B287-5D7F2ACFAC04}"/>
    <hyperlink ref="D599" r:id="rId18" display="https://app.mercos.com/399424/clientes/47574158/" xr:uid="{D5A24C48-E011-41B6-88FF-0164FBBA0D65}"/>
    <hyperlink ref="D601" r:id="rId19" display="https://app.mercos.com/399424/clientes/47573428/" xr:uid="{34204D3C-5120-470E-9B8D-614C1BC5659D}"/>
    <hyperlink ref="D604" r:id="rId20" display="https://app.mercos.com/399424/clientes/53497244/" xr:uid="{F66D8381-D6F6-4E7B-8E6F-58C6E7DD1673}"/>
    <hyperlink ref="D605" r:id="rId21" display="https://app.mercos.com/399424/clientes/51991263/" xr:uid="{93B7485F-2679-40A5-8289-0509E2FD5396}"/>
    <hyperlink ref="D609" r:id="rId22" display="https://app.mercos.com/399424/clientes/56239454/" xr:uid="{768757F2-F65C-4F99-A5BE-37B1981E73CD}"/>
    <hyperlink ref="D614" r:id="rId23" display="https://app.mercos.com/399424/clientes/58136695/" xr:uid="{FD65F5E2-8976-412C-9F5D-B5A691EA269E}"/>
    <hyperlink ref="D617" r:id="rId24" display="https://app.mercos.com/399424/clientes/52604766/" xr:uid="{CFC8B47E-9F2D-4E9D-88DF-9C09FC33F694}"/>
    <hyperlink ref="D660" r:id="rId25" display="https://app.mercos.com/399424/clientes/56898763/" xr:uid="{794A9757-AB2B-4F1D-BD9B-0AFC0F5B3CA0}"/>
    <hyperlink ref="D668" r:id="rId26" display="https://app.mercos.com/399424/clientes/56898763/" xr:uid="{E6147BA6-3D7D-41A1-92BA-28D1B12CACAA}"/>
    <hyperlink ref="D705" r:id="rId27" display="https://app.mercos.com/399424/clientes/52345696/" xr:uid="{DBE769C9-43A5-4DEC-B369-27D7045CEB4F}"/>
    <hyperlink ref="D706" r:id="rId28" display="https://app.mercos.com/399424/clientes/52345696/" xr:uid="{41781C50-F220-4417-A407-9CB2080E229D}"/>
    <hyperlink ref="D710" r:id="rId29" display="https://app.mercos.com/399424/clientes/53133272/" xr:uid="{DBA22EEE-8FA7-4BF0-A5CD-EAE7BA71BCCC}"/>
    <hyperlink ref="D728" r:id="rId30" display="https://app.mercos.com/399424/clientes/53133272/" xr:uid="{44D8B062-01B4-4413-AA4E-55A03F9771FC}"/>
  </hyperlinks>
  <pageMargins left="0.511811024" right="0.511811024" top="0.78740157499999996" bottom="0.78740157499999996" header="0.31496062000000002" footer="0.31496062000000002"/>
  <pageSetup paperSize="9" orientation="portrait" horizontalDpi="1200" verticalDpi="1200" r:id="rId31"/>
  <legacyDrawing r:id="rId3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DF9F5E7-4021-4289-B6D6-C3E739A6C8F6}">
          <x14:formula1>
            <xm:f>Regras!$D$3:$D$11</xm:f>
          </x14:formula1>
          <xm:sqref>L677 L3:L452 L477 L454:L475 L488:L496 L499:L510 L512:L513 L515:L519 L531:L542 L557 L568:L570 L608</xm:sqref>
        </x14:dataValidation>
        <x14:dataValidation type="list" allowBlank="1" showInputMessage="1" showErrorMessage="1" xr:uid="{D467533B-5568-4C82-A3BB-DCF71509A87E}">
          <x14:formula1>
            <xm:f>Dash!$C$7:$C$12</xm:f>
          </x14:formula1>
          <xm:sqref>U217 V3:V1048576</xm:sqref>
        </x14:dataValidation>
        <x14:dataValidation type="list" allowBlank="1" showInputMessage="1" showErrorMessage="1" xr:uid="{1B1FB088-D7B1-473D-AC4C-EE8260C5EB58}">
          <x14:formula1>
            <xm:f>Regras!$F$3:$F$11</xm:f>
          </x14:formula1>
          <xm:sqref>W3:W1048576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8355-40E6-4BF2-B050-2A68F7A7C7A1}">
  <dimension ref="A1:A14"/>
  <sheetViews>
    <sheetView workbookViewId="0">
      <selection activeCell="G30" sqref="G30"/>
    </sheetView>
  </sheetViews>
  <sheetFormatPr defaultRowHeight="12.75" x14ac:dyDescent="0.2"/>
  <sheetData>
    <row r="1" spans="1:1" ht="14.25" x14ac:dyDescent="0.2">
      <c r="A1" s="99" t="s">
        <v>216</v>
      </c>
    </row>
    <row r="2" spans="1:1" ht="14.25" x14ac:dyDescent="0.2">
      <c r="A2" s="99" t="s">
        <v>192</v>
      </c>
    </row>
    <row r="3" spans="1:1" ht="14.25" x14ac:dyDescent="0.2">
      <c r="A3" s="99" t="s">
        <v>199</v>
      </c>
    </row>
    <row r="4" spans="1:1" ht="14.25" x14ac:dyDescent="0.2">
      <c r="A4" s="99" t="s">
        <v>188</v>
      </c>
    </row>
    <row r="5" spans="1:1" ht="14.25" x14ac:dyDescent="0.2">
      <c r="A5" s="99" t="s">
        <v>107</v>
      </c>
    </row>
    <row r="6" spans="1:1" ht="14.25" x14ac:dyDescent="0.2">
      <c r="A6" s="99" t="s">
        <v>171</v>
      </c>
    </row>
    <row r="7" spans="1:1" ht="14.25" x14ac:dyDescent="0.2">
      <c r="A7" s="99" t="s">
        <v>168</v>
      </c>
    </row>
    <row r="8" spans="1:1" ht="14.25" x14ac:dyDescent="0.2">
      <c r="A8" s="99" t="s">
        <v>81</v>
      </c>
    </row>
    <row r="9" spans="1:1" ht="14.25" x14ac:dyDescent="0.2">
      <c r="A9" s="99" t="s">
        <v>75</v>
      </c>
    </row>
    <row r="10" spans="1:1" ht="14.25" x14ac:dyDescent="0.2">
      <c r="A10" s="99" t="s">
        <v>27</v>
      </c>
    </row>
    <row r="11" spans="1:1" ht="14.25" x14ac:dyDescent="0.2">
      <c r="A11" s="99" t="s">
        <v>209</v>
      </c>
    </row>
    <row r="12" spans="1:1" ht="14.25" x14ac:dyDescent="0.2">
      <c r="A12" s="99" t="s">
        <v>209</v>
      </c>
    </row>
    <row r="13" spans="1:1" ht="14.25" x14ac:dyDescent="0.2">
      <c r="A13" s="99" t="s">
        <v>212</v>
      </c>
    </row>
    <row r="14" spans="1:1" ht="14.25" x14ac:dyDescent="0.2">
      <c r="A14" s="99" t="s">
        <v>417</v>
      </c>
    </row>
  </sheetData>
  <conditionalFormatting sqref="A1:A14">
    <cfRule type="expression" dxfId="2" priority="1">
      <formula>$R1&lt;=TODAY()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F7552-0EBB-4542-A692-C407DDE32AD7}">
  <dimension ref="A1:I23"/>
  <sheetViews>
    <sheetView workbookViewId="0">
      <selection activeCell="B9" sqref="B9"/>
    </sheetView>
  </sheetViews>
  <sheetFormatPr defaultRowHeight="12.75" x14ac:dyDescent="0.2"/>
  <cols>
    <col min="1" max="1" width="12.42578125" bestFit="1" customWidth="1"/>
    <col min="2" max="2" width="27.140625" bestFit="1" customWidth="1"/>
    <col min="3" max="3" width="17.42578125" bestFit="1" customWidth="1"/>
    <col min="4" max="4" width="28.7109375" bestFit="1" customWidth="1"/>
    <col min="5" max="5" width="25.5703125" bestFit="1" customWidth="1"/>
    <col min="7" max="7" width="19.5703125" bestFit="1" customWidth="1"/>
    <col min="8" max="8" width="22.5703125" bestFit="1" customWidth="1"/>
    <col min="9" max="9" width="7.28515625" bestFit="1" customWidth="1"/>
  </cols>
  <sheetData>
    <row r="1" spans="1:9" x14ac:dyDescent="0.2">
      <c r="A1" t="s">
        <v>895</v>
      </c>
      <c r="B1" t="s">
        <v>896</v>
      </c>
      <c r="C1" t="s">
        <v>897</v>
      </c>
      <c r="D1" t="s">
        <v>898</v>
      </c>
      <c r="E1" t="s">
        <v>899</v>
      </c>
      <c r="G1" t="s">
        <v>900</v>
      </c>
      <c r="H1" t="s">
        <v>901</v>
      </c>
      <c r="I1" t="s">
        <v>902</v>
      </c>
    </row>
    <row r="2" spans="1:9" x14ac:dyDescent="0.2">
      <c r="A2" s="11"/>
      <c r="B2" s="11" t="s">
        <v>903</v>
      </c>
      <c r="C2" s="11"/>
      <c r="D2" s="11"/>
      <c r="E2" s="11"/>
      <c r="F2" s="11"/>
      <c r="G2" s="11"/>
      <c r="H2" s="11"/>
      <c r="I2" s="11"/>
    </row>
    <row r="3" spans="1:9" x14ac:dyDescent="0.2">
      <c r="A3" s="11"/>
      <c r="B3" s="11"/>
      <c r="C3" s="11"/>
      <c r="D3" s="11"/>
      <c r="E3" s="11"/>
      <c r="F3" s="11"/>
      <c r="G3" s="11"/>
      <c r="H3" s="11"/>
      <c r="I3" s="11"/>
    </row>
    <row r="4" spans="1:9" x14ac:dyDescent="0.2">
      <c r="A4" s="11"/>
      <c r="B4" s="11"/>
      <c r="C4" s="11"/>
      <c r="D4" s="11"/>
      <c r="E4" s="11"/>
      <c r="F4" s="11"/>
      <c r="G4" s="11"/>
      <c r="H4" s="11"/>
      <c r="I4" s="11"/>
    </row>
    <row r="5" spans="1:9" x14ac:dyDescent="0.2">
      <c r="A5" s="11"/>
      <c r="B5" s="11"/>
      <c r="C5" s="11"/>
      <c r="D5" s="11"/>
      <c r="E5" s="11"/>
      <c r="F5" s="11"/>
      <c r="G5" s="11"/>
      <c r="H5" s="11"/>
      <c r="I5" s="11"/>
    </row>
    <row r="6" spans="1:9" x14ac:dyDescent="0.2">
      <c r="A6" s="11"/>
      <c r="B6" s="11"/>
      <c r="C6" s="11"/>
      <c r="D6" s="11"/>
      <c r="E6" s="11"/>
      <c r="F6" s="11"/>
      <c r="G6" s="11"/>
      <c r="H6" s="11"/>
      <c r="I6" s="11"/>
    </row>
    <row r="7" spans="1:9" x14ac:dyDescent="0.2">
      <c r="A7" s="11"/>
      <c r="B7" s="11"/>
      <c r="C7" s="11"/>
      <c r="D7" s="11"/>
      <c r="E7" s="11"/>
      <c r="F7" s="11"/>
      <c r="G7" s="11"/>
      <c r="H7" s="11"/>
      <c r="I7" s="11"/>
    </row>
    <row r="8" spans="1:9" x14ac:dyDescent="0.2">
      <c r="A8" s="11"/>
      <c r="B8" s="11"/>
      <c r="C8" s="11"/>
      <c r="D8" s="11"/>
      <c r="E8" s="11"/>
      <c r="F8" s="11"/>
      <c r="G8" s="11"/>
      <c r="H8" s="11"/>
      <c r="I8" s="11"/>
    </row>
    <row r="9" spans="1:9" x14ac:dyDescent="0.2">
      <c r="A9" s="11"/>
      <c r="B9" s="11"/>
      <c r="C9" s="11"/>
      <c r="D9" s="11"/>
      <c r="E9" s="11"/>
      <c r="F9" s="11"/>
      <c r="G9" s="11"/>
      <c r="H9" s="11"/>
      <c r="I9" s="11"/>
    </row>
    <row r="10" spans="1:9" x14ac:dyDescent="0.2">
      <c r="A10" s="11"/>
      <c r="B10" s="11"/>
      <c r="C10" s="11"/>
      <c r="D10" s="11"/>
      <c r="E10" s="11"/>
      <c r="F10" s="11"/>
      <c r="G10" s="11"/>
      <c r="H10" s="11"/>
      <c r="I10" s="11"/>
    </row>
    <row r="11" spans="1:9" x14ac:dyDescent="0.2">
      <c r="A11" s="11"/>
      <c r="B11" s="11"/>
      <c r="C11" s="11"/>
      <c r="D11" s="11"/>
      <c r="E11" s="11"/>
      <c r="F11" s="11"/>
      <c r="G11" s="11"/>
      <c r="H11" s="11"/>
      <c r="I11" s="11"/>
    </row>
    <row r="12" spans="1:9" x14ac:dyDescent="0.2">
      <c r="A12" s="11"/>
      <c r="B12" s="11"/>
      <c r="C12" s="11"/>
      <c r="D12" s="11"/>
      <c r="E12" s="11"/>
      <c r="F12" s="11"/>
      <c r="G12" s="11"/>
      <c r="H12" s="11"/>
      <c r="I12" s="11"/>
    </row>
    <row r="13" spans="1:9" x14ac:dyDescent="0.2">
      <c r="A13" s="11"/>
      <c r="B13" s="11"/>
      <c r="C13" s="11"/>
      <c r="D13" s="11"/>
      <c r="E13" s="11"/>
      <c r="F13" s="11"/>
      <c r="G13" s="11"/>
      <c r="H13" s="11"/>
      <c r="I13" s="11"/>
    </row>
    <row r="14" spans="1:9" x14ac:dyDescent="0.2">
      <c r="A14" s="11"/>
      <c r="B14" s="11"/>
      <c r="C14" s="11"/>
      <c r="D14" s="11"/>
      <c r="E14" s="11"/>
      <c r="F14" s="11"/>
      <c r="G14" s="11"/>
      <c r="H14" s="11"/>
      <c r="I14" s="11"/>
    </row>
    <row r="15" spans="1:9" x14ac:dyDescent="0.2">
      <c r="A15" s="11"/>
      <c r="B15" s="11"/>
      <c r="C15" s="11"/>
      <c r="D15" s="11"/>
      <c r="E15" s="11"/>
      <c r="F15" s="11"/>
      <c r="G15" s="11"/>
      <c r="H15" s="11"/>
      <c r="I15" s="11"/>
    </row>
    <row r="16" spans="1:9" x14ac:dyDescent="0.2">
      <c r="A16" s="11"/>
      <c r="B16" s="11"/>
      <c r="C16" s="11"/>
      <c r="D16" s="11"/>
      <c r="E16" s="11"/>
      <c r="F16" s="11"/>
      <c r="G16" s="11"/>
      <c r="H16" s="11"/>
      <c r="I16" s="11"/>
    </row>
    <row r="17" spans="1:9" x14ac:dyDescent="0.2">
      <c r="A17" s="11"/>
      <c r="B17" s="11"/>
      <c r="C17" s="11"/>
      <c r="D17" s="11"/>
      <c r="E17" s="11"/>
      <c r="F17" s="11"/>
      <c r="G17" s="11"/>
      <c r="H17" s="11"/>
      <c r="I17" s="11"/>
    </row>
    <row r="18" spans="1:9" x14ac:dyDescent="0.2">
      <c r="A18" s="11"/>
      <c r="B18" s="11"/>
      <c r="C18" s="11"/>
      <c r="D18" s="11"/>
      <c r="E18" s="11"/>
      <c r="F18" s="11"/>
      <c r="G18" s="11"/>
      <c r="H18" s="11"/>
      <c r="I18" s="11"/>
    </row>
    <row r="19" spans="1:9" x14ac:dyDescent="0.2">
      <c r="A19" s="11"/>
      <c r="B19" s="11"/>
      <c r="C19" s="11"/>
      <c r="D19" s="11"/>
      <c r="E19" s="11"/>
      <c r="F19" s="11"/>
      <c r="G19" s="11"/>
      <c r="H19" s="11"/>
      <c r="I19" s="11"/>
    </row>
    <row r="20" spans="1:9" x14ac:dyDescent="0.2">
      <c r="A20" s="11"/>
      <c r="B20" s="11"/>
      <c r="C20" s="11"/>
      <c r="D20" s="11"/>
      <c r="E20" s="11"/>
      <c r="F20" s="11"/>
      <c r="G20" s="11"/>
      <c r="H20" s="11"/>
      <c r="I20" s="11"/>
    </row>
    <row r="21" spans="1:9" x14ac:dyDescent="0.2">
      <c r="A21" s="11"/>
      <c r="B21" s="11"/>
      <c r="C21" s="11"/>
      <c r="D21" s="11"/>
      <c r="E21" s="11"/>
      <c r="F21" s="11"/>
      <c r="G21" s="11"/>
      <c r="H21" s="11"/>
      <c r="I21" s="11"/>
    </row>
    <row r="22" spans="1:9" x14ac:dyDescent="0.2">
      <c r="A22" s="11"/>
      <c r="B22" s="11"/>
      <c r="C22" s="11"/>
      <c r="D22" s="11"/>
      <c r="E22" s="11"/>
      <c r="F22" s="11"/>
      <c r="G22" s="11"/>
      <c r="H22" s="11"/>
      <c r="I22" s="11"/>
    </row>
    <row r="23" spans="1:9" x14ac:dyDescent="0.2">
      <c r="A23" s="11"/>
      <c r="B23" s="11"/>
      <c r="C23" s="11"/>
      <c r="D23" s="11"/>
      <c r="E23" s="11"/>
      <c r="F23" s="11"/>
      <c r="G23" s="11"/>
      <c r="H23" s="11"/>
      <c r="I23" s="11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F2BB1-6A4A-4BC1-B0A8-A1A4CA14661D}">
  <dimension ref="B1:T400"/>
  <sheetViews>
    <sheetView showGridLines="0" zoomScale="85" zoomScaleNormal="85" workbookViewId="0">
      <selection activeCell="C14" sqref="C14"/>
    </sheetView>
  </sheetViews>
  <sheetFormatPr defaultColWidth="9.140625" defaultRowHeight="13.5" x14ac:dyDescent="0.25"/>
  <cols>
    <col min="1" max="1" width="0.5703125" style="65" customWidth="1"/>
    <col min="2" max="2" width="2.5703125" style="64" customWidth="1"/>
    <col min="3" max="3" width="42.42578125" style="65" customWidth="1"/>
    <col min="4" max="4" width="17" style="65" customWidth="1"/>
    <col min="5" max="5" width="9.42578125" style="65" customWidth="1"/>
    <col min="6" max="6" width="24.7109375" style="65" customWidth="1"/>
    <col min="7" max="7" width="22.140625" style="66" customWidth="1"/>
    <col min="8" max="8" width="21.28515625" style="67" customWidth="1"/>
    <col min="9" max="9" width="16.85546875" style="67" customWidth="1"/>
    <col min="10" max="10" width="19" style="68" customWidth="1"/>
    <col min="11" max="11" width="15.140625" style="68" bestFit="1" customWidth="1"/>
    <col min="12" max="12" width="20.140625" style="65" customWidth="1"/>
    <col min="13" max="13" width="19.140625" style="69" customWidth="1"/>
    <col min="14" max="15" width="20.85546875" style="68" customWidth="1"/>
    <col min="16" max="16" width="2.7109375" style="83" customWidth="1"/>
    <col min="17" max="17" width="20.85546875" style="69" customWidth="1"/>
    <col min="18" max="18" width="13.140625" style="65" customWidth="1"/>
    <col min="19" max="19" width="18.140625" style="65" customWidth="1"/>
    <col min="20" max="20" width="15.42578125" style="65" customWidth="1"/>
    <col min="21" max="16384" width="9.140625" style="65"/>
  </cols>
  <sheetData>
    <row r="1" spans="2:20" ht="2.25" customHeight="1" x14ac:dyDescent="0.25"/>
    <row r="2" spans="2:20" s="74" customFormat="1" ht="24" customHeight="1" x14ac:dyDescent="0.25">
      <c r="B2" s="70"/>
      <c r="C2" s="71" t="s">
        <v>904</v>
      </c>
      <c r="D2" s="71" t="s">
        <v>905</v>
      </c>
      <c r="E2" s="71" t="s">
        <v>746</v>
      </c>
      <c r="F2" s="71" t="s">
        <v>906</v>
      </c>
      <c r="G2" s="71" t="s">
        <v>907</v>
      </c>
      <c r="H2" s="71" t="s">
        <v>750</v>
      </c>
      <c r="I2" s="71" t="s">
        <v>908</v>
      </c>
      <c r="J2" s="71" t="s">
        <v>909</v>
      </c>
      <c r="K2" s="71" t="s">
        <v>753</v>
      </c>
      <c r="L2" s="71" t="s">
        <v>910</v>
      </c>
      <c r="M2" s="71" t="s">
        <v>736</v>
      </c>
      <c r="N2" s="71" t="s">
        <v>737</v>
      </c>
      <c r="O2" s="71" t="s">
        <v>738</v>
      </c>
      <c r="P2" s="84" t="s">
        <v>734</v>
      </c>
      <c r="Q2" s="72" t="s">
        <v>740</v>
      </c>
      <c r="R2" s="73" t="s">
        <v>911</v>
      </c>
      <c r="S2" s="73" t="s">
        <v>912</v>
      </c>
      <c r="T2" s="73" t="s">
        <v>913</v>
      </c>
    </row>
    <row r="3" spans="2:20" x14ac:dyDescent="0.25">
      <c r="C3" s="75"/>
      <c r="D3" s="75"/>
      <c r="E3" s="75"/>
      <c r="F3" s="75"/>
      <c r="G3" s="76"/>
      <c r="H3" s="77"/>
      <c r="I3" s="78"/>
      <c r="J3" s="79"/>
      <c r="K3" s="79" t="str">
        <f ca="1">IF(J3="","NOVO",_xlfn.XLOOKUP(TODAY()-J3,Regras!$C$3:$C$10,Regras!$D$3:$D$10,,1))</f>
        <v>NOVO</v>
      </c>
      <c r="L3" s="75" t="str">
        <f>IF(OR(I3&lt;=0,I3=""),"","Recompra")</f>
        <v/>
      </c>
      <c r="M3" s="80" t="str">
        <f>IFERROR(IF(Tabela13[[#This Row],[NOME FANTASIA]]="","",_xlfn.XLOOKUP($C3,Log!D:D,Log!B:B,,,-1)),"")</f>
        <v/>
      </c>
      <c r="N3" s="81" t="str">
        <f>IFERROR(_xlfn.XLOOKUP($C3,Log!D:D,Log!W:W,,,-1),"")</f>
        <v/>
      </c>
      <c r="O3" s="81">
        <f>IFERROR(_xlfn.XLOOKUP($C3,Log!D:D,Log!Y:Y,,,-1),"")</f>
        <v>0</v>
      </c>
      <c r="Q3" s="69" t="str">
        <f>IFERROR(IF(Tabela13[[#This Row],[NOME FANTASIA]]="","",_xlfn.XLOOKUP($C3,Log!D:D,Log!X:X,,,-1)),"")</f>
        <v/>
      </c>
      <c r="R3" s="82">
        <f>COUNTIFS(Log!$D:$D,'Base Novos Clientes'!$C3,Log!$W:$W,'Base Novos Clientes'!R$2)</f>
        <v>0</v>
      </c>
      <c r="S3" s="82">
        <f>COUNTIFS(Log!$D:$D,'Base Novos Clientes'!$C3,Log!$W:$W,'Base Novos Clientes'!S$2)</f>
        <v>0</v>
      </c>
      <c r="T3" s="82">
        <f>COUNTIFS(Log!$D:$D,'Base Novos Clientes'!$C3,Log!$W:$W,'Base Novos Clientes'!T$2)</f>
        <v>0</v>
      </c>
    </row>
    <row r="4" spans="2:20" x14ac:dyDescent="0.25">
      <c r="C4" s="75"/>
      <c r="D4" s="75"/>
      <c r="E4" s="75"/>
      <c r="F4" s="75"/>
      <c r="G4" s="76"/>
      <c r="H4" s="77"/>
      <c r="I4" s="78"/>
      <c r="J4" s="79"/>
      <c r="K4" s="79" t="str">
        <f ca="1">IF(J4="","NOVO",_xlfn.XLOOKUP(TODAY()-J4,Regras!$C$3:$C$10,Regras!$D$3:$D$10,,1))</f>
        <v>NOVO</v>
      </c>
      <c r="L4" s="75" t="str">
        <f t="shared" ref="L4:L67" si="0">IF(OR(I4&lt;=0,I4=""),"","Recompra")</f>
        <v/>
      </c>
      <c r="M4" s="80" t="str">
        <f>IFERROR(IF(Tabela13[[#This Row],[NOME FANTASIA]]="","",_xlfn.XLOOKUP($C4,Log!D:D,Log!B:B,,,-1)),"")</f>
        <v/>
      </c>
      <c r="N4" s="81" t="str">
        <f>IFERROR(_xlfn.XLOOKUP($C4,Log!D:D,Log!W:W,,,-1),"")</f>
        <v/>
      </c>
      <c r="O4" s="81">
        <f>IFERROR(_xlfn.XLOOKUP($C4,Log!D:D,Log!Y:Y,,,-1),"")</f>
        <v>0</v>
      </c>
      <c r="Q4" s="69" t="str">
        <f>IFERROR(IF(Tabela13[[#This Row],[NOME FANTASIA]]="","",_xlfn.XLOOKUP($C4,Log!D:D,Log!X:X,,,-1)),"")</f>
        <v/>
      </c>
      <c r="R4" s="82">
        <f>COUNTIFS(Log!$D:$D,'Base Novos Clientes'!$C4,Log!$W:$W,'Base Novos Clientes'!R$2)</f>
        <v>0</v>
      </c>
      <c r="S4" s="82">
        <f>COUNTIFS(Log!$D:$D,'Base Novos Clientes'!$C4,Log!$W:$W,'Base Novos Clientes'!S$2)</f>
        <v>0</v>
      </c>
      <c r="T4" s="82">
        <f>COUNTIFS(Log!$D:$D,'Base Novos Clientes'!$C4,Log!$W:$W,'Base Novos Clientes'!T$2)</f>
        <v>0</v>
      </c>
    </row>
    <row r="5" spans="2:20" x14ac:dyDescent="0.25">
      <c r="C5" s="75"/>
      <c r="D5" s="75"/>
      <c r="E5" s="75"/>
      <c r="F5" s="75"/>
      <c r="G5" s="76"/>
      <c r="H5" s="77"/>
      <c r="I5" s="78"/>
      <c r="J5" s="79"/>
      <c r="K5" s="79" t="str">
        <f ca="1">IF(J5="","NOVO",_xlfn.XLOOKUP(TODAY()-J5,Regras!$C$3:$C$10,Regras!$D$3:$D$10,,1))</f>
        <v>NOVO</v>
      </c>
      <c r="L5" s="75" t="str">
        <f t="shared" si="0"/>
        <v/>
      </c>
      <c r="M5" s="80" t="str">
        <f>IFERROR(IF(Tabela13[[#This Row],[NOME FANTASIA]]="","",_xlfn.XLOOKUP($C5,Log!D:D,Log!B:B,,,-1)),"")</f>
        <v/>
      </c>
      <c r="N5" s="81" t="str">
        <f>IFERROR(_xlfn.XLOOKUP($C5,Log!D:D,Log!W:W,,,-1),"")</f>
        <v/>
      </c>
      <c r="O5" s="81">
        <f>IFERROR(_xlfn.XLOOKUP($C5,Log!D:D,Log!Y:Y,,,-1),"")</f>
        <v>0</v>
      </c>
      <c r="Q5" s="69" t="str">
        <f>IFERROR(IF(Tabela13[[#This Row],[NOME FANTASIA]]="","",_xlfn.XLOOKUP($C5,Log!D:D,Log!X:X,,,-1)),"")</f>
        <v/>
      </c>
      <c r="R5" s="82">
        <f>COUNTIFS(Log!$D:$D,'Base Novos Clientes'!$C5,Log!$W:$W,'Base Novos Clientes'!R$2)</f>
        <v>0</v>
      </c>
      <c r="S5" s="82">
        <f>COUNTIFS(Log!$D:$D,'Base Novos Clientes'!$C5,Log!$W:$W,'Base Novos Clientes'!S$2)</f>
        <v>0</v>
      </c>
      <c r="T5" s="82">
        <f>COUNTIFS(Log!$D:$D,'Base Novos Clientes'!$C5,Log!$W:$W,'Base Novos Clientes'!T$2)</f>
        <v>0</v>
      </c>
    </row>
    <row r="6" spans="2:20" x14ac:dyDescent="0.25">
      <c r="C6" s="75"/>
      <c r="D6" s="75"/>
      <c r="E6" s="75"/>
      <c r="F6" s="75"/>
      <c r="G6" s="76"/>
      <c r="H6" s="77"/>
      <c r="I6" s="78"/>
      <c r="J6" s="79"/>
      <c r="K6" s="79" t="str">
        <f ca="1">IF(J6="","NOVO",_xlfn.XLOOKUP(TODAY()-J6,Regras!$C$3:$C$10,Regras!$D$3:$D$10,,1))</f>
        <v>NOVO</v>
      </c>
      <c r="L6" s="75" t="str">
        <f t="shared" si="0"/>
        <v/>
      </c>
      <c r="M6" s="80" t="str">
        <f>IFERROR(IF(Tabela13[[#This Row],[NOME FANTASIA]]="","",_xlfn.XLOOKUP($C6,Log!D:D,Log!B:B,,,-1)),"")</f>
        <v/>
      </c>
      <c r="N6" s="81" t="str">
        <f>IFERROR(_xlfn.XLOOKUP($C6,Log!D:D,Log!W:W,,,-1),"")</f>
        <v/>
      </c>
      <c r="O6" s="81">
        <f>IFERROR(_xlfn.XLOOKUP($C6,Log!D:D,Log!Y:Y,,,-1),"")</f>
        <v>0</v>
      </c>
      <c r="Q6" s="69" t="str">
        <f>IFERROR(IF(Tabela13[[#This Row],[NOME FANTASIA]]="","",_xlfn.XLOOKUP($C6,Log!D:D,Log!X:X,,,-1)),"")</f>
        <v/>
      </c>
      <c r="R6" s="82">
        <f>COUNTIFS(Log!$D:$D,'Base Novos Clientes'!$C6,Log!$W:$W,'Base Novos Clientes'!R$2)</f>
        <v>0</v>
      </c>
      <c r="S6" s="82">
        <f>COUNTIFS(Log!$D:$D,'Base Novos Clientes'!$C6,Log!$W:$W,'Base Novos Clientes'!S$2)</f>
        <v>0</v>
      </c>
      <c r="T6" s="82">
        <f>COUNTIFS(Log!$D:$D,'Base Novos Clientes'!$C6,Log!$W:$W,'Base Novos Clientes'!T$2)</f>
        <v>0</v>
      </c>
    </row>
    <row r="7" spans="2:20" x14ac:dyDescent="0.25">
      <c r="C7" s="75"/>
      <c r="D7" s="75"/>
      <c r="E7" s="75"/>
      <c r="F7" s="75"/>
      <c r="G7" s="76"/>
      <c r="H7" s="77"/>
      <c r="I7" s="78"/>
      <c r="J7" s="79"/>
      <c r="K7" s="79" t="str">
        <f ca="1">IF(J7="","NOVO",_xlfn.XLOOKUP(TODAY()-J7,Regras!$C$3:$C$10,Regras!$D$3:$D$10,,1))</f>
        <v>NOVO</v>
      </c>
      <c r="L7" s="75" t="str">
        <f t="shared" si="0"/>
        <v/>
      </c>
      <c r="M7" s="80" t="str">
        <f>IFERROR(IF(Tabela13[[#This Row],[NOME FANTASIA]]="","",_xlfn.XLOOKUP($C7,Log!D:D,Log!B:B,,,-1)),"")</f>
        <v/>
      </c>
      <c r="N7" s="81" t="str">
        <f>IFERROR(_xlfn.XLOOKUP($C7,Log!D:D,Log!W:W,,,-1),"")</f>
        <v/>
      </c>
      <c r="O7" s="81">
        <f>IFERROR(_xlfn.XLOOKUP($C7,Log!D:D,Log!Y:Y,,,-1),"")</f>
        <v>0</v>
      </c>
      <c r="Q7" s="69" t="str">
        <f>IFERROR(IF(Tabela13[[#This Row],[NOME FANTASIA]]="","",_xlfn.XLOOKUP($C7,Log!D:D,Log!X:X,,,-1)),"")</f>
        <v/>
      </c>
      <c r="R7" s="82">
        <f>COUNTIFS(Log!$D:$D,'Base Novos Clientes'!$C7,Log!$W:$W,'Base Novos Clientes'!R$2)</f>
        <v>0</v>
      </c>
      <c r="S7" s="82">
        <f>COUNTIFS(Log!$D:$D,'Base Novos Clientes'!$C7,Log!$W:$W,'Base Novos Clientes'!S$2)</f>
        <v>0</v>
      </c>
      <c r="T7" s="82">
        <f>COUNTIFS(Log!$D:$D,'Base Novos Clientes'!$C7,Log!$W:$W,'Base Novos Clientes'!T$2)</f>
        <v>0</v>
      </c>
    </row>
    <row r="8" spans="2:20" x14ac:dyDescent="0.25">
      <c r="C8" s="75"/>
      <c r="D8" s="75"/>
      <c r="E8" s="75"/>
      <c r="F8" s="75"/>
      <c r="G8" s="76"/>
      <c r="H8" s="77"/>
      <c r="I8" s="78"/>
      <c r="J8" s="79"/>
      <c r="K8" s="79" t="str">
        <f ca="1">IF(J8="","NOVO",_xlfn.XLOOKUP(TODAY()-J8,Regras!$C$3:$C$10,Regras!$D$3:$D$10,,1))</f>
        <v>NOVO</v>
      </c>
      <c r="L8" s="75" t="str">
        <f t="shared" si="0"/>
        <v/>
      </c>
      <c r="M8" s="80" t="str">
        <f>IFERROR(IF(Tabela13[[#This Row],[NOME FANTASIA]]="","",_xlfn.XLOOKUP($C8,Log!D:D,Log!B:B,,,-1)),"")</f>
        <v/>
      </c>
      <c r="N8" s="81" t="str">
        <f>IFERROR(_xlfn.XLOOKUP($C8,Log!D:D,Log!W:W,,,-1),"")</f>
        <v/>
      </c>
      <c r="O8" s="81">
        <f>IFERROR(_xlfn.XLOOKUP($C8,Log!D:D,Log!Y:Y,,,-1),"")</f>
        <v>0</v>
      </c>
      <c r="Q8" s="69" t="str">
        <f>IFERROR(IF(Tabela13[[#This Row],[NOME FANTASIA]]="","",_xlfn.XLOOKUP($C8,Log!D:D,Log!X:X,,,-1)),"")</f>
        <v/>
      </c>
      <c r="R8" s="82">
        <f>COUNTIFS(Log!$D:$D,'Base Novos Clientes'!$C8,Log!$W:$W,'Base Novos Clientes'!R$2)</f>
        <v>0</v>
      </c>
      <c r="S8" s="82">
        <f>COUNTIFS(Log!$D:$D,'Base Novos Clientes'!$C8,Log!$W:$W,'Base Novos Clientes'!S$2)</f>
        <v>0</v>
      </c>
      <c r="T8" s="82">
        <f>COUNTIFS(Log!$D:$D,'Base Novos Clientes'!$C8,Log!$W:$W,'Base Novos Clientes'!T$2)</f>
        <v>0</v>
      </c>
    </row>
    <row r="9" spans="2:20" x14ac:dyDescent="0.25">
      <c r="C9" s="75"/>
      <c r="D9" s="75"/>
      <c r="E9" s="75"/>
      <c r="F9" s="75"/>
      <c r="G9" s="76"/>
      <c r="H9" s="77"/>
      <c r="I9" s="78"/>
      <c r="J9" s="79"/>
      <c r="K9" s="79" t="str">
        <f ca="1">IF(J9="","NOVO",_xlfn.XLOOKUP(TODAY()-J9,Regras!$C$3:$C$10,Regras!$D$3:$D$10,,1))</f>
        <v>NOVO</v>
      </c>
      <c r="L9" s="75" t="str">
        <f t="shared" si="0"/>
        <v/>
      </c>
      <c r="M9" s="80" t="str">
        <f>IFERROR(IF(Tabela13[[#This Row],[NOME FANTASIA]]="","",_xlfn.XLOOKUP($C9,Log!D:D,Log!B:B,,,-1)),"")</f>
        <v/>
      </c>
      <c r="N9" s="81" t="str">
        <f>IFERROR(_xlfn.XLOOKUP($C9,Log!D:D,Log!W:W,,,-1),"")</f>
        <v/>
      </c>
      <c r="O9" s="81">
        <f>IFERROR(_xlfn.XLOOKUP($C9,Log!D:D,Log!Y:Y,,,-1),"")</f>
        <v>0</v>
      </c>
      <c r="Q9" s="69" t="str">
        <f>IFERROR(IF(Tabela13[[#This Row],[NOME FANTASIA]]="","",_xlfn.XLOOKUP($C9,Log!D:D,Log!X:X,,,-1)),"")</f>
        <v/>
      </c>
      <c r="R9" s="82">
        <f>COUNTIFS(Log!$D:$D,'Base Novos Clientes'!$C9,Log!$W:$W,'Base Novos Clientes'!R$2)</f>
        <v>0</v>
      </c>
      <c r="S9" s="82">
        <f>COUNTIFS(Log!$D:$D,'Base Novos Clientes'!$C9,Log!$W:$W,'Base Novos Clientes'!S$2)</f>
        <v>0</v>
      </c>
      <c r="T9" s="82">
        <f>COUNTIFS(Log!$D:$D,'Base Novos Clientes'!$C9,Log!$W:$W,'Base Novos Clientes'!T$2)</f>
        <v>0</v>
      </c>
    </row>
    <row r="10" spans="2:20" x14ac:dyDescent="0.25">
      <c r="C10" s="75"/>
      <c r="D10" s="75"/>
      <c r="E10" s="75"/>
      <c r="F10" s="75"/>
      <c r="G10" s="76"/>
      <c r="H10" s="77"/>
      <c r="I10" s="78"/>
      <c r="J10" s="79"/>
      <c r="K10" s="79" t="str">
        <f ca="1">IF(J10="","NOVO",_xlfn.XLOOKUP(TODAY()-J10,Regras!$C$3:$C$10,Regras!$D$3:$D$10,,1))</f>
        <v>NOVO</v>
      </c>
      <c r="L10" s="75" t="str">
        <f t="shared" si="0"/>
        <v/>
      </c>
      <c r="M10" s="80" t="str">
        <f>IFERROR(IF(Tabela13[[#This Row],[NOME FANTASIA]]="","",_xlfn.XLOOKUP($C10,Log!D:D,Log!B:B,,,-1)),"")</f>
        <v/>
      </c>
      <c r="N10" s="81" t="str">
        <f>IFERROR(_xlfn.XLOOKUP($C10,Log!D:D,Log!W:W,,,-1),"")</f>
        <v/>
      </c>
      <c r="O10" s="81">
        <f>IFERROR(_xlfn.XLOOKUP($C10,Log!D:D,Log!Y:Y,,,-1),"")</f>
        <v>0</v>
      </c>
      <c r="Q10" s="69" t="str">
        <f>IFERROR(IF(Tabela13[[#This Row],[NOME FANTASIA]]="","",_xlfn.XLOOKUP($C10,Log!D:D,Log!X:X,,,-1)),"")</f>
        <v/>
      </c>
      <c r="R10" s="82">
        <f>COUNTIFS(Log!$D:$D,'Base Novos Clientes'!$C10,Log!$W:$W,'Base Novos Clientes'!R$2)</f>
        <v>0</v>
      </c>
      <c r="S10" s="82">
        <f>COUNTIFS(Log!$D:$D,'Base Novos Clientes'!$C10,Log!$W:$W,'Base Novos Clientes'!S$2)</f>
        <v>0</v>
      </c>
      <c r="T10" s="82">
        <f>COUNTIFS(Log!$D:$D,'Base Novos Clientes'!$C10,Log!$W:$W,'Base Novos Clientes'!T$2)</f>
        <v>0</v>
      </c>
    </row>
    <row r="11" spans="2:20" x14ac:dyDescent="0.25">
      <c r="C11" s="75"/>
      <c r="D11" s="75"/>
      <c r="E11" s="75"/>
      <c r="F11" s="75"/>
      <c r="G11" s="76"/>
      <c r="H11" s="77"/>
      <c r="I11" s="78"/>
      <c r="J11" s="79"/>
      <c r="K11" s="79" t="str">
        <f ca="1">IF(J11="","NOVO",_xlfn.XLOOKUP(TODAY()-J11,Regras!$C$3:$C$10,Regras!$D$3:$D$10,,1))</f>
        <v>NOVO</v>
      </c>
      <c r="L11" s="75" t="str">
        <f t="shared" si="0"/>
        <v/>
      </c>
      <c r="M11" s="80" t="str">
        <f>IFERROR(IF(Tabela13[[#This Row],[NOME FANTASIA]]="","",_xlfn.XLOOKUP($C11,Log!D:D,Log!B:B,,,-1)),"")</f>
        <v/>
      </c>
      <c r="N11" s="81" t="str">
        <f>IFERROR(_xlfn.XLOOKUP($C11,Log!D:D,Log!W:W,,,-1),"")</f>
        <v/>
      </c>
      <c r="O11" s="81">
        <f>IFERROR(_xlfn.XLOOKUP($C11,Log!D:D,Log!Y:Y,,,-1),"")</f>
        <v>0</v>
      </c>
      <c r="Q11" s="69" t="str">
        <f>IFERROR(IF(Tabela13[[#This Row],[NOME FANTASIA]]="","",_xlfn.XLOOKUP($C11,Log!D:D,Log!X:X,,,-1)),"")</f>
        <v/>
      </c>
      <c r="R11" s="82">
        <f>COUNTIFS(Log!$D:$D,'Base Novos Clientes'!$C11,Log!$W:$W,'Base Novos Clientes'!R$2)</f>
        <v>0</v>
      </c>
      <c r="S11" s="82">
        <f>COUNTIFS(Log!$D:$D,'Base Novos Clientes'!$C11,Log!$W:$W,'Base Novos Clientes'!S$2)</f>
        <v>0</v>
      </c>
      <c r="T11" s="82">
        <f>COUNTIFS(Log!$D:$D,'Base Novos Clientes'!$C11,Log!$W:$W,'Base Novos Clientes'!T$2)</f>
        <v>0</v>
      </c>
    </row>
    <row r="12" spans="2:20" x14ac:dyDescent="0.25">
      <c r="C12" s="75"/>
      <c r="D12" s="75"/>
      <c r="E12" s="75"/>
      <c r="F12" s="75"/>
      <c r="G12" s="76"/>
      <c r="H12" s="77"/>
      <c r="I12" s="78"/>
      <c r="J12" s="79"/>
      <c r="K12" s="79" t="str">
        <f ca="1">IF(J12="","NOVO",_xlfn.XLOOKUP(TODAY()-J12,Regras!$C$3:$C$10,Regras!$D$3:$D$10,,1))</f>
        <v>NOVO</v>
      </c>
      <c r="L12" s="75" t="str">
        <f t="shared" si="0"/>
        <v/>
      </c>
      <c r="M12" s="80" t="str">
        <f>IFERROR(IF(Tabela13[[#This Row],[NOME FANTASIA]]="","",_xlfn.XLOOKUP($C12,Log!D:D,Log!B:B,,,-1)),"")</f>
        <v/>
      </c>
      <c r="N12" s="81" t="str">
        <f>IFERROR(_xlfn.XLOOKUP($C12,Log!D:D,Log!W:W,,,-1),"")</f>
        <v/>
      </c>
      <c r="O12" s="81">
        <f>IFERROR(_xlfn.XLOOKUP($C12,Log!D:D,Log!Y:Y,,,-1),"")</f>
        <v>0</v>
      </c>
      <c r="Q12" s="69" t="str">
        <f>IFERROR(IF(Tabela13[[#This Row],[NOME FANTASIA]]="","",_xlfn.XLOOKUP($C12,Log!D:D,Log!X:X,,,-1)),"")</f>
        <v/>
      </c>
      <c r="R12" s="82">
        <f>COUNTIFS(Log!$D:$D,'Base Novos Clientes'!$C12,Log!$W:$W,'Base Novos Clientes'!R$2)</f>
        <v>0</v>
      </c>
      <c r="S12" s="82">
        <f>COUNTIFS(Log!$D:$D,'Base Novos Clientes'!$C12,Log!$W:$W,'Base Novos Clientes'!S$2)</f>
        <v>0</v>
      </c>
      <c r="T12" s="82">
        <f>COUNTIFS(Log!$D:$D,'Base Novos Clientes'!$C12,Log!$W:$W,'Base Novos Clientes'!T$2)</f>
        <v>0</v>
      </c>
    </row>
    <row r="13" spans="2:20" x14ac:dyDescent="0.25">
      <c r="C13" s="75"/>
      <c r="D13" s="75"/>
      <c r="E13" s="75"/>
      <c r="F13" s="75"/>
      <c r="G13" s="76"/>
      <c r="H13" s="77"/>
      <c r="I13" s="78"/>
      <c r="J13" s="79"/>
      <c r="K13" s="79" t="str">
        <f ca="1">IF(J13="","NOVO",_xlfn.XLOOKUP(TODAY()-J13,Regras!$C$3:$C$10,Regras!$D$3:$D$10,,1))</f>
        <v>NOVO</v>
      </c>
      <c r="L13" s="75" t="str">
        <f t="shared" si="0"/>
        <v/>
      </c>
      <c r="M13" s="80" t="str">
        <f>IFERROR(IF(Tabela13[[#This Row],[NOME FANTASIA]]="","",_xlfn.XLOOKUP($C13,Log!D:D,Log!B:B,,,-1)),"")</f>
        <v/>
      </c>
      <c r="N13" s="81" t="str">
        <f>IFERROR(_xlfn.XLOOKUP($C13,Log!D:D,Log!W:W,,,-1),"")</f>
        <v/>
      </c>
      <c r="O13" s="81">
        <f>IFERROR(_xlfn.XLOOKUP($C13,Log!D:D,Log!Y:Y,,,-1),"")</f>
        <v>0</v>
      </c>
      <c r="Q13" s="69" t="str">
        <f>IFERROR(IF(Tabela13[[#This Row],[NOME FANTASIA]]="","",_xlfn.XLOOKUP($C13,Log!D:D,Log!X:X,,,-1)),"")</f>
        <v/>
      </c>
      <c r="R13" s="82">
        <f>COUNTIFS(Log!$D:$D,'Base Novos Clientes'!$C13,Log!$W:$W,'Base Novos Clientes'!R$2)</f>
        <v>0</v>
      </c>
      <c r="S13" s="82">
        <f>COUNTIFS(Log!$D:$D,'Base Novos Clientes'!$C13,Log!$W:$W,'Base Novos Clientes'!S$2)</f>
        <v>0</v>
      </c>
      <c r="T13" s="82">
        <f>COUNTIFS(Log!$D:$D,'Base Novos Clientes'!$C13,Log!$W:$W,'Base Novos Clientes'!T$2)</f>
        <v>0</v>
      </c>
    </row>
    <row r="14" spans="2:20" x14ac:dyDescent="0.25">
      <c r="C14" s="75"/>
      <c r="D14" s="75"/>
      <c r="E14" s="75"/>
      <c r="F14" s="75"/>
      <c r="G14" s="76"/>
      <c r="H14" s="77"/>
      <c r="I14" s="78"/>
      <c r="J14" s="79"/>
      <c r="K14" s="79" t="str">
        <f ca="1">IF(J14="","NOVO",_xlfn.XLOOKUP(TODAY()-J14,Regras!$C$3:$C$10,Regras!$D$3:$D$10,,1))</f>
        <v>NOVO</v>
      </c>
      <c r="L14" s="75" t="str">
        <f t="shared" si="0"/>
        <v/>
      </c>
      <c r="M14" s="80" t="str">
        <f>IFERROR(IF(Tabela13[[#This Row],[NOME FANTASIA]]="","",_xlfn.XLOOKUP($C14,Log!D:D,Log!B:B,,,-1)),"")</f>
        <v/>
      </c>
      <c r="N14" s="81" t="str">
        <f>IFERROR(_xlfn.XLOOKUP($C14,Log!D:D,Log!W:W,,,-1),"")</f>
        <v/>
      </c>
      <c r="O14" s="81">
        <f>IFERROR(_xlfn.XLOOKUP($C14,Log!D:D,Log!Y:Y,,,-1),"")</f>
        <v>0</v>
      </c>
      <c r="Q14" s="69" t="str">
        <f>IFERROR(IF(Tabela13[[#This Row],[NOME FANTASIA]]="","",_xlfn.XLOOKUP($C14,Log!D:D,Log!X:X,,,-1)),"")</f>
        <v/>
      </c>
      <c r="R14" s="82">
        <f>COUNTIFS(Log!$D:$D,'Base Novos Clientes'!$C14,Log!$W:$W,'Base Novos Clientes'!R$2)</f>
        <v>0</v>
      </c>
      <c r="S14" s="82">
        <f>COUNTIFS(Log!$D:$D,'Base Novos Clientes'!$C14,Log!$W:$W,'Base Novos Clientes'!S$2)</f>
        <v>0</v>
      </c>
      <c r="T14" s="82">
        <f>COUNTIFS(Log!$D:$D,'Base Novos Clientes'!$C14,Log!$W:$W,'Base Novos Clientes'!T$2)</f>
        <v>0</v>
      </c>
    </row>
    <row r="15" spans="2:20" x14ac:dyDescent="0.25">
      <c r="C15" s="75"/>
      <c r="D15" s="75"/>
      <c r="E15" s="75"/>
      <c r="F15" s="75"/>
      <c r="G15" s="76"/>
      <c r="H15" s="77"/>
      <c r="I15" s="78"/>
      <c r="J15" s="79"/>
      <c r="K15" s="79" t="str">
        <f ca="1">IF(J15="","NOVO",_xlfn.XLOOKUP(TODAY()-J15,Regras!$C$3:$C$10,Regras!$D$3:$D$10,,1))</f>
        <v>NOVO</v>
      </c>
      <c r="L15" s="75" t="str">
        <f t="shared" si="0"/>
        <v/>
      </c>
      <c r="M15" s="80" t="str">
        <f>IFERROR(IF(Tabela13[[#This Row],[NOME FANTASIA]]="","",_xlfn.XLOOKUP($C15,Log!D:D,Log!B:B,,,-1)),"")</f>
        <v/>
      </c>
      <c r="N15" s="81" t="str">
        <f>IFERROR(_xlfn.XLOOKUP($C15,Log!D:D,Log!W:W,,,-1),"")</f>
        <v/>
      </c>
      <c r="O15" s="81">
        <f>IFERROR(_xlfn.XLOOKUP($C15,Log!D:D,Log!Y:Y,,,-1),"")</f>
        <v>0</v>
      </c>
      <c r="Q15" s="69" t="str">
        <f>IFERROR(IF(Tabela13[[#This Row],[NOME FANTASIA]]="","",_xlfn.XLOOKUP($C15,Log!D:D,Log!X:X,,,-1)),"")</f>
        <v/>
      </c>
      <c r="R15" s="82">
        <f>COUNTIFS(Log!$D:$D,'Base Novos Clientes'!$C15,Log!$W:$W,'Base Novos Clientes'!R$2)</f>
        <v>0</v>
      </c>
      <c r="S15" s="82">
        <f>COUNTIFS(Log!$D:$D,'Base Novos Clientes'!$C15,Log!$W:$W,'Base Novos Clientes'!S$2)</f>
        <v>0</v>
      </c>
      <c r="T15" s="82">
        <f>COUNTIFS(Log!$D:$D,'Base Novos Clientes'!$C15,Log!$W:$W,'Base Novos Clientes'!T$2)</f>
        <v>0</v>
      </c>
    </row>
    <row r="16" spans="2:20" x14ac:dyDescent="0.25">
      <c r="C16" s="75"/>
      <c r="D16" s="75"/>
      <c r="E16" s="75"/>
      <c r="F16" s="75"/>
      <c r="G16" s="76"/>
      <c r="H16" s="77"/>
      <c r="I16" s="78"/>
      <c r="J16" s="79"/>
      <c r="K16" s="79" t="str">
        <f ca="1">IF(J16="","NOVO",_xlfn.XLOOKUP(TODAY()-J16,Regras!$C$3:$C$10,Regras!$D$3:$D$10,,1))</f>
        <v>NOVO</v>
      </c>
      <c r="L16" s="75" t="str">
        <f t="shared" si="0"/>
        <v/>
      </c>
      <c r="M16" s="80" t="str">
        <f>IFERROR(IF(Tabela13[[#This Row],[NOME FANTASIA]]="","",_xlfn.XLOOKUP($C16,Log!D:D,Log!B:B,,,-1)),"")</f>
        <v/>
      </c>
      <c r="N16" s="81" t="str">
        <f>IFERROR(_xlfn.XLOOKUP($C16,Log!D:D,Log!W:W,,,-1),"")</f>
        <v/>
      </c>
      <c r="O16" s="81">
        <f>IFERROR(_xlfn.XLOOKUP($C16,Log!D:D,Log!Y:Y,,,-1),"")</f>
        <v>0</v>
      </c>
      <c r="Q16" s="69" t="str">
        <f>IFERROR(IF(Tabela13[[#This Row],[NOME FANTASIA]]="","",_xlfn.XLOOKUP($C16,Log!D:D,Log!X:X,,,-1)),"")</f>
        <v/>
      </c>
      <c r="R16" s="82">
        <f>COUNTIFS(Log!$D:$D,'Base Novos Clientes'!$C16,Log!$W:$W,'Base Novos Clientes'!R$2)</f>
        <v>0</v>
      </c>
      <c r="S16" s="82">
        <f>COUNTIFS(Log!$D:$D,'Base Novos Clientes'!$C16,Log!$W:$W,'Base Novos Clientes'!S$2)</f>
        <v>0</v>
      </c>
      <c r="T16" s="82">
        <f>COUNTIFS(Log!$D:$D,'Base Novos Clientes'!$C16,Log!$W:$W,'Base Novos Clientes'!T$2)</f>
        <v>0</v>
      </c>
    </row>
    <row r="17" spans="3:20" x14ac:dyDescent="0.25">
      <c r="C17" s="75"/>
      <c r="D17" s="75"/>
      <c r="E17" s="75"/>
      <c r="F17" s="75"/>
      <c r="G17" s="76"/>
      <c r="H17" s="77"/>
      <c r="I17" s="78"/>
      <c r="J17" s="79"/>
      <c r="K17" s="79" t="str">
        <f ca="1">IF(J17="","NOVO",_xlfn.XLOOKUP(TODAY()-J17,Regras!$C$3:$C$10,Regras!$D$3:$D$10,,1))</f>
        <v>NOVO</v>
      </c>
      <c r="L17" s="75" t="str">
        <f t="shared" si="0"/>
        <v/>
      </c>
      <c r="M17" s="80" t="str">
        <f>IFERROR(IF(Tabela13[[#This Row],[NOME FANTASIA]]="","",_xlfn.XLOOKUP($C17,Log!D:D,Log!B:B,,,-1)),"")</f>
        <v/>
      </c>
      <c r="N17" s="81" t="str">
        <f>IFERROR(_xlfn.XLOOKUP($C17,Log!D:D,Log!W:W,,,-1),"")</f>
        <v/>
      </c>
      <c r="O17" s="81">
        <f>IFERROR(_xlfn.XLOOKUP($C17,Log!D:D,Log!Y:Y,,,-1),"")</f>
        <v>0</v>
      </c>
      <c r="Q17" s="69" t="str">
        <f>IFERROR(IF(Tabela13[[#This Row],[NOME FANTASIA]]="","",_xlfn.XLOOKUP($C17,Log!D:D,Log!X:X,,,-1)),"")</f>
        <v/>
      </c>
      <c r="R17" s="82">
        <f>COUNTIFS(Log!$D:$D,'Base Novos Clientes'!$C17,Log!$W:$W,'Base Novos Clientes'!R$2)</f>
        <v>0</v>
      </c>
      <c r="S17" s="82">
        <f>COUNTIFS(Log!$D:$D,'Base Novos Clientes'!$C17,Log!$W:$W,'Base Novos Clientes'!S$2)</f>
        <v>0</v>
      </c>
      <c r="T17" s="82">
        <f>COUNTIFS(Log!$D:$D,'Base Novos Clientes'!$C17,Log!$W:$W,'Base Novos Clientes'!T$2)</f>
        <v>0</v>
      </c>
    </row>
    <row r="18" spans="3:20" x14ac:dyDescent="0.25">
      <c r="C18" s="75"/>
      <c r="D18" s="75"/>
      <c r="E18" s="75"/>
      <c r="F18" s="75"/>
      <c r="G18" s="76"/>
      <c r="H18" s="77"/>
      <c r="I18" s="78"/>
      <c r="J18" s="79"/>
      <c r="K18" s="79" t="str">
        <f ca="1">IF(J18="","NOVO",_xlfn.XLOOKUP(TODAY()-J18,Regras!$C$3:$C$10,Regras!$D$3:$D$10,,1))</f>
        <v>NOVO</v>
      </c>
      <c r="L18" s="75" t="str">
        <f t="shared" si="0"/>
        <v/>
      </c>
      <c r="M18" s="80" t="str">
        <f>IFERROR(IF(Tabela13[[#This Row],[NOME FANTASIA]]="","",_xlfn.XLOOKUP($C18,Log!D:D,Log!B:B,,,-1)),"")</f>
        <v/>
      </c>
      <c r="N18" s="81" t="str">
        <f>IFERROR(_xlfn.XLOOKUP($C18,Log!D:D,Log!W:W,,,-1),"")</f>
        <v/>
      </c>
      <c r="O18" s="81">
        <f>IFERROR(_xlfn.XLOOKUP($C18,Log!D:D,Log!Y:Y,,,-1),"")</f>
        <v>0</v>
      </c>
      <c r="Q18" s="69" t="str">
        <f>IFERROR(IF(Tabela13[[#This Row],[NOME FANTASIA]]="","",_xlfn.XLOOKUP($C18,Log!D:D,Log!X:X,,,-1)),"")</f>
        <v/>
      </c>
      <c r="R18" s="82">
        <f>COUNTIFS(Log!$D:$D,'Base Novos Clientes'!$C18,Log!$W:$W,'Base Novos Clientes'!R$2)</f>
        <v>0</v>
      </c>
      <c r="S18" s="82">
        <f>COUNTIFS(Log!$D:$D,'Base Novos Clientes'!$C18,Log!$W:$W,'Base Novos Clientes'!S$2)</f>
        <v>0</v>
      </c>
      <c r="T18" s="82">
        <f>COUNTIFS(Log!$D:$D,'Base Novos Clientes'!$C18,Log!$W:$W,'Base Novos Clientes'!T$2)</f>
        <v>0</v>
      </c>
    </row>
    <row r="19" spans="3:20" x14ac:dyDescent="0.25">
      <c r="C19" s="75"/>
      <c r="D19" s="75"/>
      <c r="E19" s="75"/>
      <c r="F19" s="75"/>
      <c r="G19" s="76"/>
      <c r="H19" s="77"/>
      <c r="I19" s="78"/>
      <c r="J19" s="79"/>
      <c r="K19" s="79" t="str">
        <f ca="1">IF(J19="","NOVO",_xlfn.XLOOKUP(TODAY()-J19,Regras!$C$3:$C$10,Regras!$D$3:$D$10,,1))</f>
        <v>NOVO</v>
      </c>
      <c r="L19" s="75" t="str">
        <f t="shared" si="0"/>
        <v/>
      </c>
      <c r="M19" s="80" t="str">
        <f>IFERROR(IF(Tabela13[[#This Row],[NOME FANTASIA]]="","",_xlfn.XLOOKUP($C19,Log!D:D,Log!B:B,,,-1)),"")</f>
        <v/>
      </c>
      <c r="N19" s="81" t="str">
        <f>IFERROR(_xlfn.XLOOKUP($C19,Log!D:D,Log!W:W,,,-1),"")</f>
        <v/>
      </c>
      <c r="O19" s="81">
        <f>IFERROR(_xlfn.XLOOKUP($C19,Log!D:D,Log!Y:Y,,,-1),"")</f>
        <v>0</v>
      </c>
      <c r="Q19" s="69" t="str">
        <f>IFERROR(IF(Tabela13[[#This Row],[NOME FANTASIA]]="","",_xlfn.XLOOKUP($C19,Log!D:D,Log!X:X,,,-1)),"")</f>
        <v/>
      </c>
      <c r="R19" s="82">
        <f>COUNTIFS(Log!$D:$D,'Base Novos Clientes'!$C19,Log!$W:$W,'Base Novos Clientes'!R$2)</f>
        <v>0</v>
      </c>
      <c r="S19" s="82">
        <f>COUNTIFS(Log!$D:$D,'Base Novos Clientes'!$C19,Log!$W:$W,'Base Novos Clientes'!S$2)</f>
        <v>0</v>
      </c>
      <c r="T19" s="82">
        <f>COUNTIFS(Log!$D:$D,'Base Novos Clientes'!$C19,Log!$W:$W,'Base Novos Clientes'!T$2)</f>
        <v>0</v>
      </c>
    </row>
    <row r="20" spans="3:20" x14ac:dyDescent="0.25">
      <c r="C20" s="75"/>
      <c r="D20" s="75"/>
      <c r="E20" s="75"/>
      <c r="F20" s="75"/>
      <c r="G20" s="76"/>
      <c r="H20" s="77"/>
      <c r="I20" s="78"/>
      <c r="J20" s="79"/>
      <c r="K20" s="79" t="str">
        <f ca="1">IF(J20="","NOVO",_xlfn.XLOOKUP(TODAY()-J20,Regras!$C$3:$C$10,Regras!$D$3:$D$10,,1))</f>
        <v>NOVO</v>
      </c>
      <c r="L20" s="75" t="str">
        <f t="shared" si="0"/>
        <v/>
      </c>
      <c r="M20" s="80" t="str">
        <f>IFERROR(IF(Tabela13[[#This Row],[NOME FANTASIA]]="","",_xlfn.XLOOKUP($C20,Log!D:D,Log!B:B,,,-1)),"")</f>
        <v/>
      </c>
      <c r="N20" s="81" t="str">
        <f>IFERROR(_xlfn.XLOOKUP($C20,Log!D:D,Log!W:W,,,-1),"")</f>
        <v/>
      </c>
      <c r="O20" s="81">
        <f>IFERROR(_xlfn.XLOOKUP($C20,Log!D:D,Log!Y:Y,,,-1),"")</f>
        <v>0</v>
      </c>
      <c r="Q20" s="69" t="str">
        <f>IFERROR(IF(Tabela13[[#This Row],[NOME FANTASIA]]="","",_xlfn.XLOOKUP($C20,Log!D:D,Log!X:X,,,-1)),"")</f>
        <v/>
      </c>
      <c r="R20" s="82">
        <f>COUNTIFS(Log!$D:$D,'Base Novos Clientes'!$C20,Log!$W:$W,'Base Novos Clientes'!R$2)</f>
        <v>0</v>
      </c>
      <c r="S20" s="82">
        <f>COUNTIFS(Log!$D:$D,'Base Novos Clientes'!$C20,Log!$W:$W,'Base Novos Clientes'!S$2)</f>
        <v>0</v>
      </c>
      <c r="T20" s="82">
        <f>COUNTIFS(Log!$D:$D,'Base Novos Clientes'!$C20,Log!$W:$W,'Base Novos Clientes'!T$2)</f>
        <v>0</v>
      </c>
    </row>
    <row r="21" spans="3:20" x14ac:dyDescent="0.25">
      <c r="C21" s="75"/>
      <c r="D21" s="75"/>
      <c r="E21" s="75"/>
      <c r="F21" s="75"/>
      <c r="G21" s="76"/>
      <c r="H21" s="77"/>
      <c r="I21" s="78"/>
      <c r="J21" s="79"/>
      <c r="K21" s="79" t="str">
        <f ca="1">IF(J21="","NOVO",_xlfn.XLOOKUP(TODAY()-J21,Regras!$C$3:$C$10,Regras!$D$3:$D$10,,1))</f>
        <v>NOVO</v>
      </c>
      <c r="L21" s="75" t="str">
        <f t="shared" si="0"/>
        <v/>
      </c>
      <c r="M21" s="80" t="str">
        <f>IFERROR(IF(Tabela13[[#This Row],[NOME FANTASIA]]="","",_xlfn.XLOOKUP($C21,Log!D:D,Log!B:B,,,-1)),"")</f>
        <v/>
      </c>
      <c r="N21" s="81" t="str">
        <f>IFERROR(_xlfn.XLOOKUP($C21,Log!D:D,Log!W:W,,,-1),"")</f>
        <v/>
      </c>
      <c r="O21" s="81">
        <f>IFERROR(_xlfn.XLOOKUP($C21,Log!D:D,Log!Y:Y,,,-1),"")</f>
        <v>0</v>
      </c>
      <c r="Q21" s="69" t="str">
        <f>IFERROR(IF(Tabela13[[#This Row],[NOME FANTASIA]]="","",_xlfn.XLOOKUP($C21,Log!D:D,Log!X:X,,,-1)),"")</f>
        <v/>
      </c>
      <c r="R21" s="82">
        <f>COUNTIFS(Log!$D:$D,'Base Novos Clientes'!$C21,Log!$W:$W,'Base Novos Clientes'!R$2)</f>
        <v>0</v>
      </c>
      <c r="S21" s="82">
        <f>COUNTIFS(Log!$D:$D,'Base Novos Clientes'!$C21,Log!$W:$W,'Base Novos Clientes'!S$2)</f>
        <v>0</v>
      </c>
      <c r="T21" s="82">
        <f>COUNTIFS(Log!$D:$D,'Base Novos Clientes'!$C21,Log!$W:$W,'Base Novos Clientes'!T$2)</f>
        <v>0</v>
      </c>
    </row>
    <row r="22" spans="3:20" x14ac:dyDescent="0.25">
      <c r="C22" s="75"/>
      <c r="D22" s="75"/>
      <c r="E22" s="75"/>
      <c r="F22" s="75"/>
      <c r="G22" s="76"/>
      <c r="H22" s="77"/>
      <c r="I22" s="78"/>
      <c r="J22" s="79"/>
      <c r="K22" s="79" t="str">
        <f ca="1">IF(J22="","NOVO",_xlfn.XLOOKUP(TODAY()-J22,Regras!$C$3:$C$10,Regras!$D$3:$D$10,,1))</f>
        <v>NOVO</v>
      </c>
      <c r="L22" s="75" t="str">
        <f t="shared" si="0"/>
        <v/>
      </c>
      <c r="M22" s="80" t="str">
        <f>IFERROR(IF(Tabela13[[#This Row],[NOME FANTASIA]]="","",_xlfn.XLOOKUP($C22,Log!D:D,Log!B:B,,,-1)),"")</f>
        <v/>
      </c>
      <c r="N22" s="81" t="str">
        <f>IFERROR(_xlfn.XLOOKUP($C22,Log!D:D,Log!W:W,,,-1),"")</f>
        <v/>
      </c>
      <c r="O22" s="81">
        <f>IFERROR(_xlfn.XLOOKUP($C22,Log!D:D,Log!Y:Y,,,-1),"")</f>
        <v>0</v>
      </c>
      <c r="Q22" s="69" t="str">
        <f>IFERROR(IF(Tabela13[[#This Row],[NOME FANTASIA]]="","",_xlfn.XLOOKUP($C22,Log!D:D,Log!X:X,,,-1)),"")</f>
        <v/>
      </c>
      <c r="R22" s="82">
        <f>COUNTIFS(Log!$D:$D,'Base Novos Clientes'!$C22,Log!$W:$W,'Base Novos Clientes'!R$2)</f>
        <v>0</v>
      </c>
      <c r="S22" s="82">
        <f>COUNTIFS(Log!$D:$D,'Base Novos Clientes'!$C22,Log!$W:$W,'Base Novos Clientes'!S$2)</f>
        <v>0</v>
      </c>
      <c r="T22" s="82">
        <f>COUNTIFS(Log!$D:$D,'Base Novos Clientes'!$C22,Log!$W:$W,'Base Novos Clientes'!T$2)</f>
        <v>0</v>
      </c>
    </row>
    <row r="23" spans="3:20" x14ac:dyDescent="0.25">
      <c r="C23" s="75"/>
      <c r="D23" s="75"/>
      <c r="E23" s="75"/>
      <c r="F23" s="75"/>
      <c r="G23" s="76"/>
      <c r="H23" s="77"/>
      <c r="I23" s="78"/>
      <c r="J23" s="79"/>
      <c r="K23" s="79" t="str">
        <f ca="1">IF(J23="","NOVO",_xlfn.XLOOKUP(TODAY()-J23,Regras!$C$3:$C$10,Regras!$D$3:$D$10,,1))</f>
        <v>NOVO</v>
      </c>
      <c r="L23" s="75" t="str">
        <f t="shared" si="0"/>
        <v/>
      </c>
      <c r="M23" s="80" t="str">
        <f>IFERROR(IF(Tabela13[[#This Row],[NOME FANTASIA]]="","",_xlfn.XLOOKUP($C23,Log!D:D,Log!B:B,,,-1)),"")</f>
        <v/>
      </c>
      <c r="N23" s="81" t="str">
        <f>IFERROR(_xlfn.XLOOKUP($C23,Log!D:D,Log!W:W,,,-1),"")</f>
        <v/>
      </c>
      <c r="O23" s="81">
        <f>IFERROR(_xlfn.XLOOKUP($C23,Log!D:D,Log!Y:Y,,,-1),"")</f>
        <v>0</v>
      </c>
      <c r="Q23" s="69" t="str">
        <f>IFERROR(IF(Tabela13[[#This Row],[NOME FANTASIA]]="","",_xlfn.XLOOKUP($C23,Log!D:D,Log!X:X,,,-1)),"")</f>
        <v/>
      </c>
      <c r="R23" s="82">
        <f>COUNTIFS(Log!$D:$D,'Base Novos Clientes'!$C23,Log!$W:$W,'Base Novos Clientes'!R$2)</f>
        <v>0</v>
      </c>
      <c r="S23" s="82">
        <f>COUNTIFS(Log!$D:$D,'Base Novos Clientes'!$C23,Log!$W:$W,'Base Novos Clientes'!S$2)</f>
        <v>0</v>
      </c>
      <c r="T23" s="82">
        <f>COUNTIFS(Log!$D:$D,'Base Novos Clientes'!$C23,Log!$W:$W,'Base Novos Clientes'!T$2)</f>
        <v>0</v>
      </c>
    </row>
    <row r="24" spans="3:20" x14ac:dyDescent="0.25">
      <c r="C24" s="75"/>
      <c r="D24" s="75"/>
      <c r="E24" s="75"/>
      <c r="F24" s="75"/>
      <c r="G24" s="76"/>
      <c r="H24" s="77"/>
      <c r="I24" s="78"/>
      <c r="J24" s="79"/>
      <c r="K24" s="79" t="str">
        <f ca="1">IF(J24="","NOVO",_xlfn.XLOOKUP(TODAY()-J24,Regras!$C$3:$C$10,Regras!$D$3:$D$10,,1))</f>
        <v>NOVO</v>
      </c>
      <c r="L24" s="75" t="str">
        <f t="shared" si="0"/>
        <v/>
      </c>
      <c r="M24" s="80" t="str">
        <f>IFERROR(IF(Tabela13[[#This Row],[NOME FANTASIA]]="","",_xlfn.XLOOKUP($C24,Log!D:D,Log!B:B,,,-1)),"")</f>
        <v/>
      </c>
      <c r="N24" s="81" t="str">
        <f>IFERROR(_xlfn.XLOOKUP($C24,Log!D:D,Log!W:W,,,-1),"")</f>
        <v/>
      </c>
      <c r="O24" s="81">
        <f>IFERROR(_xlfn.XLOOKUP($C24,Log!D:D,Log!Y:Y,,,-1),"")</f>
        <v>0</v>
      </c>
      <c r="Q24" s="69" t="str">
        <f>IFERROR(IF(Tabela13[[#This Row],[NOME FANTASIA]]="","",_xlfn.XLOOKUP($C24,Log!D:D,Log!X:X,,,-1)),"")</f>
        <v/>
      </c>
      <c r="R24" s="82">
        <f>COUNTIFS(Log!$D:$D,'Base Novos Clientes'!$C24,Log!$W:$W,'Base Novos Clientes'!R$2)</f>
        <v>0</v>
      </c>
      <c r="S24" s="82">
        <f>COUNTIFS(Log!$D:$D,'Base Novos Clientes'!$C24,Log!$W:$W,'Base Novos Clientes'!S$2)</f>
        <v>0</v>
      </c>
      <c r="T24" s="82">
        <f>COUNTIFS(Log!$D:$D,'Base Novos Clientes'!$C24,Log!$W:$W,'Base Novos Clientes'!T$2)</f>
        <v>0</v>
      </c>
    </row>
    <row r="25" spans="3:20" x14ac:dyDescent="0.25">
      <c r="C25" s="75"/>
      <c r="D25" s="75"/>
      <c r="E25" s="75"/>
      <c r="F25" s="75"/>
      <c r="G25" s="76"/>
      <c r="H25" s="77"/>
      <c r="I25" s="78"/>
      <c r="J25" s="79"/>
      <c r="K25" s="79" t="str">
        <f ca="1">IF(J25="","NOVO",_xlfn.XLOOKUP(TODAY()-J25,Regras!$C$3:$C$10,Regras!$D$3:$D$10,,1))</f>
        <v>NOVO</v>
      </c>
      <c r="L25" s="75" t="str">
        <f t="shared" si="0"/>
        <v/>
      </c>
      <c r="M25" s="80" t="str">
        <f>IFERROR(IF(Tabela13[[#This Row],[NOME FANTASIA]]="","",_xlfn.XLOOKUP($C25,Log!D:D,Log!B:B,,,-1)),"")</f>
        <v/>
      </c>
      <c r="N25" s="81" t="str">
        <f>IFERROR(_xlfn.XLOOKUP($C25,Log!D:D,Log!W:W,,,-1),"")</f>
        <v/>
      </c>
      <c r="O25" s="81">
        <f>IFERROR(_xlfn.XLOOKUP($C25,Log!D:D,Log!Y:Y,,,-1),"")</f>
        <v>0</v>
      </c>
      <c r="Q25" s="69" t="str">
        <f>IFERROR(IF(Tabela13[[#This Row],[NOME FANTASIA]]="","",_xlfn.XLOOKUP($C25,Log!D:D,Log!X:X,,,-1)),"")</f>
        <v/>
      </c>
      <c r="R25" s="82">
        <f>COUNTIFS(Log!$D:$D,'Base Novos Clientes'!$C25,Log!$W:$W,'Base Novos Clientes'!R$2)</f>
        <v>0</v>
      </c>
      <c r="S25" s="82">
        <f>COUNTIFS(Log!$D:$D,'Base Novos Clientes'!$C25,Log!$W:$W,'Base Novos Clientes'!S$2)</f>
        <v>0</v>
      </c>
      <c r="T25" s="82">
        <f>COUNTIFS(Log!$D:$D,'Base Novos Clientes'!$C25,Log!$W:$W,'Base Novos Clientes'!T$2)</f>
        <v>0</v>
      </c>
    </row>
    <row r="26" spans="3:20" x14ac:dyDescent="0.25">
      <c r="C26" s="75"/>
      <c r="D26" s="75"/>
      <c r="E26" s="75"/>
      <c r="F26" s="75"/>
      <c r="G26" s="76"/>
      <c r="H26" s="77"/>
      <c r="I26" s="78"/>
      <c r="J26" s="79"/>
      <c r="K26" s="79" t="str">
        <f ca="1">IF(J26="","NOVO",_xlfn.XLOOKUP(TODAY()-J26,Regras!$C$3:$C$10,Regras!$D$3:$D$10,,1))</f>
        <v>NOVO</v>
      </c>
      <c r="L26" s="75" t="str">
        <f t="shared" si="0"/>
        <v/>
      </c>
      <c r="M26" s="80" t="str">
        <f>IFERROR(IF(Tabela13[[#This Row],[NOME FANTASIA]]="","",_xlfn.XLOOKUP($C26,Log!D:D,Log!B:B,,,-1)),"")</f>
        <v/>
      </c>
      <c r="N26" s="81" t="str">
        <f>IFERROR(_xlfn.XLOOKUP($C26,Log!D:D,Log!W:W,,,-1),"")</f>
        <v/>
      </c>
      <c r="O26" s="81">
        <f>IFERROR(_xlfn.XLOOKUP($C26,Log!D:D,Log!Y:Y,,,-1),"")</f>
        <v>0</v>
      </c>
      <c r="Q26" s="69" t="str">
        <f>IFERROR(IF(Tabela13[[#This Row],[NOME FANTASIA]]="","",_xlfn.XLOOKUP($C26,Log!D:D,Log!X:X,,,-1)),"")</f>
        <v/>
      </c>
      <c r="R26" s="82">
        <f>COUNTIFS(Log!$D:$D,'Base Novos Clientes'!$C26,Log!$W:$W,'Base Novos Clientes'!R$2)</f>
        <v>0</v>
      </c>
      <c r="S26" s="82">
        <f>COUNTIFS(Log!$D:$D,'Base Novos Clientes'!$C26,Log!$W:$W,'Base Novos Clientes'!S$2)</f>
        <v>0</v>
      </c>
      <c r="T26" s="82">
        <f>COUNTIFS(Log!$D:$D,'Base Novos Clientes'!$C26,Log!$W:$W,'Base Novos Clientes'!T$2)</f>
        <v>0</v>
      </c>
    </row>
    <row r="27" spans="3:20" x14ac:dyDescent="0.25">
      <c r="C27" s="75"/>
      <c r="D27" s="75"/>
      <c r="E27" s="75"/>
      <c r="F27" s="75"/>
      <c r="G27" s="76"/>
      <c r="H27" s="77"/>
      <c r="I27" s="78"/>
      <c r="J27" s="79"/>
      <c r="K27" s="79" t="str">
        <f ca="1">IF(J27="","NOVO",_xlfn.XLOOKUP(TODAY()-J27,Regras!$C$3:$C$10,Regras!$D$3:$D$10,,1))</f>
        <v>NOVO</v>
      </c>
      <c r="L27" s="75" t="str">
        <f t="shared" si="0"/>
        <v/>
      </c>
      <c r="M27" s="80" t="str">
        <f>IFERROR(IF(Tabela13[[#This Row],[NOME FANTASIA]]="","",_xlfn.XLOOKUP($C27,Log!D:D,Log!B:B,,,-1)),"")</f>
        <v/>
      </c>
      <c r="N27" s="81" t="str">
        <f>IFERROR(_xlfn.XLOOKUP($C27,Log!D:D,Log!W:W,,,-1),"")</f>
        <v/>
      </c>
      <c r="O27" s="81">
        <f>IFERROR(_xlfn.XLOOKUP($C27,Log!D:D,Log!Y:Y,,,-1),"")</f>
        <v>0</v>
      </c>
      <c r="Q27" s="69" t="str">
        <f>IFERROR(IF(Tabela13[[#This Row],[NOME FANTASIA]]="","",_xlfn.XLOOKUP($C27,Log!D:D,Log!X:X,,,-1)),"")</f>
        <v/>
      </c>
      <c r="R27" s="82">
        <f>COUNTIFS(Log!$D:$D,'Base Novos Clientes'!$C27,Log!$W:$W,'Base Novos Clientes'!R$2)</f>
        <v>0</v>
      </c>
      <c r="S27" s="82">
        <f>COUNTIFS(Log!$D:$D,'Base Novos Clientes'!$C27,Log!$W:$W,'Base Novos Clientes'!S$2)</f>
        <v>0</v>
      </c>
      <c r="T27" s="82">
        <f>COUNTIFS(Log!$D:$D,'Base Novos Clientes'!$C27,Log!$W:$W,'Base Novos Clientes'!T$2)</f>
        <v>0</v>
      </c>
    </row>
    <row r="28" spans="3:20" x14ac:dyDescent="0.25">
      <c r="C28" s="75"/>
      <c r="D28" s="75"/>
      <c r="E28" s="75"/>
      <c r="F28" s="75"/>
      <c r="G28" s="76"/>
      <c r="H28" s="77"/>
      <c r="I28" s="78"/>
      <c r="J28" s="79"/>
      <c r="K28" s="79" t="str">
        <f ca="1">IF(J28="","NOVO",_xlfn.XLOOKUP(TODAY()-J28,Regras!$C$3:$C$10,Regras!$D$3:$D$10,,1))</f>
        <v>NOVO</v>
      </c>
      <c r="L28" s="75" t="str">
        <f t="shared" si="0"/>
        <v/>
      </c>
      <c r="M28" s="80" t="str">
        <f>IFERROR(IF(Tabela13[[#This Row],[NOME FANTASIA]]="","",_xlfn.XLOOKUP($C28,Log!D:D,Log!B:B,,,-1)),"")</f>
        <v/>
      </c>
      <c r="N28" s="81" t="str">
        <f>IFERROR(_xlfn.XLOOKUP($C28,Log!D:D,Log!W:W,,,-1),"")</f>
        <v/>
      </c>
      <c r="O28" s="81">
        <f>IFERROR(_xlfn.XLOOKUP($C28,Log!D:D,Log!Y:Y,,,-1),"")</f>
        <v>0</v>
      </c>
      <c r="Q28" s="69" t="str">
        <f>IFERROR(IF(Tabela13[[#This Row],[NOME FANTASIA]]="","",_xlfn.XLOOKUP($C28,Log!D:D,Log!X:X,,,-1)),"")</f>
        <v/>
      </c>
      <c r="R28" s="82">
        <f>COUNTIFS(Log!$D:$D,'Base Novos Clientes'!$C28,Log!$W:$W,'Base Novos Clientes'!R$2)</f>
        <v>0</v>
      </c>
      <c r="S28" s="82">
        <f>COUNTIFS(Log!$D:$D,'Base Novos Clientes'!$C28,Log!$W:$W,'Base Novos Clientes'!S$2)</f>
        <v>0</v>
      </c>
      <c r="T28" s="82">
        <f>COUNTIFS(Log!$D:$D,'Base Novos Clientes'!$C28,Log!$W:$W,'Base Novos Clientes'!T$2)</f>
        <v>0</v>
      </c>
    </row>
    <row r="29" spans="3:20" x14ac:dyDescent="0.25">
      <c r="C29" s="75"/>
      <c r="D29" s="75"/>
      <c r="E29" s="75"/>
      <c r="F29" s="75"/>
      <c r="G29" s="76"/>
      <c r="H29" s="77"/>
      <c r="I29" s="78"/>
      <c r="J29" s="79"/>
      <c r="K29" s="79" t="str">
        <f ca="1">IF(J29="","NOVO",_xlfn.XLOOKUP(TODAY()-J29,Regras!$C$3:$C$10,Regras!$D$3:$D$10,,1))</f>
        <v>NOVO</v>
      </c>
      <c r="L29" s="75" t="str">
        <f t="shared" si="0"/>
        <v/>
      </c>
      <c r="M29" s="80" t="str">
        <f>IFERROR(IF(Tabela13[[#This Row],[NOME FANTASIA]]="","",_xlfn.XLOOKUP($C29,Log!D:D,Log!B:B,,,-1)),"")</f>
        <v/>
      </c>
      <c r="N29" s="81" t="str">
        <f>IFERROR(_xlfn.XLOOKUP($C29,Log!D:D,Log!W:W,,,-1),"")</f>
        <v/>
      </c>
      <c r="O29" s="81">
        <f>IFERROR(_xlfn.XLOOKUP($C29,Log!D:D,Log!Y:Y,,,-1),"")</f>
        <v>0</v>
      </c>
      <c r="Q29" s="69" t="str">
        <f>IFERROR(IF(Tabela13[[#This Row],[NOME FANTASIA]]="","",_xlfn.XLOOKUP($C29,Log!D:D,Log!X:X,,,-1)),"")</f>
        <v/>
      </c>
      <c r="R29" s="82">
        <f>COUNTIFS(Log!$D:$D,'Base Novos Clientes'!$C29,Log!$W:$W,'Base Novos Clientes'!R$2)</f>
        <v>0</v>
      </c>
      <c r="S29" s="82">
        <f>COUNTIFS(Log!$D:$D,'Base Novos Clientes'!$C29,Log!$W:$W,'Base Novos Clientes'!S$2)</f>
        <v>0</v>
      </c>
      <c r="T29" s="82">
        <f>COUNTIFS(Log!$D:$D,'Base Novos Clientes'!$C29,Log!$W:$W,'Base Novos Clientes'!T$2)</f>
        <v>0</v>
      </c>
    </row>
    <row r="30" spans="3:20" x14ac:dyDescent="0.25">
      <c r="C30" s="75"/>
      <c r="D30" s="75"/>
      <c r="E30" s="75"/>
      <c r="F30" s="75"/>
      <c r="G30" s="76"/>
      <c r="H30" s="77"/>
      <c r="I30" s="78"/>
      <c r="J30" s="79"/>
      <c r="K30" s="79" t="str">
        <f ca="1">IF(J30="","NOVO",_xlfn.XLOOKUP(TODAY()-J30,Regras!$C$3:$C$10,Regras!$D$3:$D$10,,1))</f>
        <v>NOVO</v>
      </c>
      <c r="L30" s="75" t="str">
        <f t="shared" si="0"/>
        <v/>
      </c>
      <c r="M30" s="80" t="str">
        <f>IFERROR(IF(Tabela13[[#This Row],[NOME FANTASIA]]="","",_xlfn.XLOOKUP($C30,Log!D:D,Log!B:B,,,-1)),"")</f>
        <v/>
      </c>
      <c r="N30" s="81" t="str">
        <f>IFERROR(_xlfn.XLOOKUP($C30,Log!D:D,Log!W:W,,,-1),"")</f>
        <v/>
      </c>
      <c r="O30" s="81">
        <f>IFERROR(_xlfn.XLOOKUP($C30,Log!D:D,Log!Y:Y,,,-1),"")</f>
        <v>0</v>
      </c>
      <c r="Q30" s="69" t="str">
        <f>IFERROR(IF(Tabela13[[#This Row],[NOME FANTASIA]]="","",_xlfn.XLOOKUP($C30,Log!D:D,Log!X:X,,,-1)),"")</f>
        <v/>
      </c>
      <c r="R30" s="82">
        <f>COUNTIFS(Log!$D:$D,'Base Novos Clientes'!$C30,Log!$W:$W,'Base Novos Clientes'!R$2)</f>
        <v>0</v>
      </c>
      <c r="S30" s="82">
        <f>COUNTIFS(Log!$D:$D,'Base Novos Clientes'!$C30,Log!$W:$W,'Base Novos Clientes'!S$2)</f>
        <v>0</v>
      </c>
      <c r="T30" s="82">
        <f>COUNTIFS(Log!$D:$D,'Base Novos Clientes'!$C30,Log!$W:$W,'Base Novos Clientes'!T$2)</f>
        <v>0</v>
      </c>
    </row>
    <row r="31" spans="3:20" x14ac:dyDescent="0.25">
      <c r="C31" s="75"/>
      <c r="D31" s="75"/>
      <c r="E31" s="75"/>
      <c r="F31" s="75"/>
      <c r="G31" s="76"/>
      <c r="H31" s="77"/>
      <c r="I31" s="78"/>
      <c r="J31" s="79"/>
      <c r="K31" s="79" t="str">
        <f ca="1">IF(J31="","NOVO",_xlfn.XLOOKUP(TODAY()-J31,Regras!$C$3:$C$10,Regras!$D$3:$D$10,,1))</f>
        <v>NOVO</v>
      </c>
      <c r="L31" s="75" t="str">
        <f t="shared" si="0"/>
        <v/>
      </c>
      <c r="M31" s="80" t="str">
        <f>IFERROR(IF(Tabela13[[#This Row],[NOME FANTASIA]]="","",_xlfn.XLOOKUP($C31,Log!D:D,Log!B:B,,,-1)),"")</f>
        <v/>
      </c>
      <c r="N31" s="81" t="str">
        <f>IFERROR(_xlfn.XLOOKUP($C31,Log!D:D,Log!W:W,,,-1),"")</f>
        <v/>
      </c>
      <c r="O31" s="81">
        <f>IFERROR(_xlfn.XLOOKUP($C31,Log!D:D,Log!Y:Y,,,-1),"")</f>
        <v>0</v>
      </c>
      <c r="Q31" s="69" t="str">
        <f>IFERROR(IF(Tabela13[[#This Row],[NOME FANTASIA]]="","",_xlfn.XLOOKUP($C31,Log!D:D,Log!X:X,,,-1)),"")</f>
        <v/>
      </c>
      <c r="R31" s="82">
        <f>COUNTIFS(Log!$D:$D,'Base Novos Clientes'!$C31,Log!$W:$W,'Base Novos Clientes'!R$2)</f>
        <v>0</v>
      </c>
      <c r="S31" s="82">
        <f>COUNTIFS(Log!$D:$D,'Base Novos Clientes'!$C31,Log!$W:$W,'Base Novos Clientes'!S$2)</f>
        <v>0</v>
      </c>
      <c r="T31" s="82">
        <f>COUNTIFS(Log!$D:$D,'Base Novos Clientes'!$C31,Log!$W:$W,'Base Novos Clientes'!T$2)</f>
        <v>0</v>
      </c>
    </row>
    <row r="32" spans="3:20" x14ac:dyDescent="0.25">
      <c r="C32" s="75"/>
      <c r="D32" s="75"/>
      <c r="E32" s="75"/>
      <c r="F32" s="75"/>
      <c r="G32" s="76"/>
      <c r="H32" s="77"/>
      <c r="I32" s="78"/>
      <c r="J32" s="79"/>
      <c r="K32" s="79" t="str">
        <f ca="1">IF(J32="","NOVO",_xlfn.XLOOKUP(TODAY()-J32,Regras!$C$3:$C$10,Regras!$D$3:$D$10,,1))</f>
        <v>NOVO</v>
      </c>
      <c r="L32" s="75" t="str">
        <f t="shared" si="0"/>
        <v/>
      </c>
      <c r="M32" s="80" t="str">
        <f>IFERROR(IF(Tabela13[[#This Row],[NOME FANTASIA]]="","",_xlfn.XLOOKUP($C32,Log!D:D,Log!B:B,,,-1)),"")</f>
        <v/>
      </c>
      <c r="N32" s="81" t="str">
        <f>IFERROR(_xlfn.XLOOKUP($C32,Log!D:D,Log!W:W,,,-1),"")</f>
        <v/>
      </c>
      <c r="O32" s="81">
        <f>IFERROR(_xlfn.XLOOKUP($C32,Log!D:D,Log!Y:Y,,,-1),"")</f>
        <v>0</v>
      </c>
      <c r="Q32" s="69" t="str">
        <f>IFERROR(IF(Tabela13[[#This Row],[NOME FANTASIA]]="","",_xlfn.XLOOKUP($C32,Log!D:D,Log!X:X,,,-1)),"")</f>
        <v/>
      </c>
      <c r="R32" s="82">
        <f>COUNTIFS(Log!$D:$D,'Base Novos Clientes'!$C32,Log!$W:$W,'Base Novos Clientes'!R$2)</f>
        <v>0</v>
      </c>
      <c r="S32" s="82">
        <f>COUNTIFS(Log!$D:$D,'Base Novos Clientes'!$C32,Log!$W:$W,'Base Novos Clientes'!S$2)</f>
        <v>0</v>
      </c>
      <c r="T32" s="82">
        <f>COUNTIFS(Log!$D:$D,'Base Novos Clientes'!$C32,Log!$W:$W,'Base Novos Clientes'!T$2)</f>
        <v>0</v>
      </c>
    </row>
    <row r="33" spans="3:20" x14ac:dyDescent="0.25">
      <c r="C33" s="75"/>
      <c r="D33" s="75"/>
      <c r="E33" s="75"/>
      <c r="F33" s="75"/>
      <c r="G33" s="76"/>
      <c r="H33" s="77"/>
      <c r="I33" s="78"/>
      <c r="J33" s="79"/>
      <c r="K33" s="79" t="str">
        <f ca="1">IF(J33="","NOVO",_xlfn.XLOOKUP(TODAY()-J33,Regras!$C$3:$C$10,Regras!$D$3:$D$10,,1))</f>
        <v>NOVO</v>
      </c>
      <c r="L33" s="75" t="str">
        <f t="shared" si="0"/>
        <v/>
      </c>
      <c r="M33" s="80" t="str">
        <f>IFERROR(IF(Tabela13[[#This Row],[NOME FANTASIA]]="","",_xlfn.XLOOKUP($C33,Log!D:D,Log!B:B,,,-1)),"")</f>
        <v/>
      </c>
      <c r="N33" s="81" t="str">
        <f>IFERROR(_xlfn.XLOOKUP($C33,Log!D:D,Log!W:W,,,-1),"")</f>
        <v/>
      </c>
      <c r="O33" s="81">
        <f>IFERROR(_xlfn.XLOOKUP($C33,Log!D:D,Log!Y:Y,,,-1),"")</f>
        <v>0</v>
      </c>
      <c r="Q33" s="69" t="str">
        <f>IFERROR(IF(Tabela13[[#This Row],[NOME FANTASIA]]="","",_xlfn.XLOOKUP($C33,Log!D:D,Log!X:X,,,-1)),"")</f>
        <v/>
      </c>
      <c r="R33" s="82">
        <f>COUNTIFS(Log!$D:$D,'Base Novos Clientes'!$C33,Log!$W:$W,'Base Novos Clientes'!R$2)</f>
        <v>0</v>
      </c>
      <c r="S33" s="82">
        <f>COUNTIFS(Log!$D:$D,'Base Novos Clientes'!$C33,Log!$W:$W,'Base Novos Clientes'!S$2)</f>
        <v>0</v>
      </c>
      <c r="T33" s="82">
        <f>COUNTIFS(Log!$D:$D,'Base Novos Clientes'!$C33,Log!$W:$W,'Base Novos Clientes'!T$2)</f>
        <v>0</v>
      </c>
    </row>
    <row r="34" spans="3:20" x14ac:dyDescent="0.25">
      <c r="C34" s="75"/>
      <c r="D34" s="75"/>
      <c r="E34" s="75"/>
      <c r="F34" s="75"/>
      <c r="G34" s="76"/>
      <c r="H34" s="77"/>
      <c r="I34" s="78"/>
      <c r="J34" s="79"/>
      <c r="K34" s="79" t="str">
        <f ca="1">IF(J34="","NOVO",_xlfn.XLOOKUP(TODAY()-J34,Regras!$C$3:$C$10,Regras!$D$3:$D$10,,1))</f>
        <v>NOVO</v>
      </c>
      <c r="L34" s="75" t="str">
        <f t="shared" si="0"/>
        <v/>
      </c>
      <c r="M34" s="80" t="str">
        <f>IFERROR(IF(Tabela13[[#This Row],[NOME FANTASIA]]="","",_xlfn.XLOOKUP($C34,Log!D:D,Log!B:B,,,-1)),"")</f>
        <v/>
      </c>
      <c r="N34" s="81" t="str">
        <f>IFERROR(_xlfn.XLOOKUP($C34,Log!D:D,Log!W:W,,,-1),"")</f>
        <v/>
      </c>
      <c r="O34" s="81">
        <f>IFERROR(_xlfn.XLOOKUP($C34,Log!D:D,Log!Y:Y,,,-1),"")</f>
        <v>0</v>
      </c>
      <c r="Q34" s="69" t="str">
        <f>IFERROR(IF(Tabela13[[#This Row],[NOME FANTASIA]]="","",_xlfn.XLOOKUP($C34,Log!D:D,Log!X:X,,,-1)),"")</f>
        <v/>
      </c>
      <c r="R34" s="82">
        <f>COUNTIFS(Log!$D:$D,'Base Novos Clientes'!$C34,Log!$W:$W,'Base Novos Clientes'!R$2)</f>
        <v>0</v>
      </c>
      <c r="S34" s="82">
        <f>COUNTIFS(Log!$D:$D,'Base Novos Clientes'!$C34,Log!$W:$W,'Base Novos Clientes'!S$2)</f>
        <v>0</v>
      </c>
      <c r="T34" s="82">
        <f>COUNTIFS(Log!$D:$D,'Base Novos Clientes'!$C34,Log!$W:$W,'Base Novos Clientes'!T$2)</f>
        <v>0</v>
      </c>
    </row>
    <row r="35" spans="3:20" x14ac:dyDescent="0.25">
      <c r="C35" s="75"/>
      <c r="D35" s="75"/>
      <c r="E35" s="75"/>
      <c r="F35" s="75"/>
      <c r="G35" s="76"/>
      <c r="H35" s="77"/>
      <c r="I35" s="78"/>
      <c r="J35" s="79"/>
      <c r="K35" s="79" t="str">
        <f ca="1">IF(J35="","NOVO",_xlfn.XLOOKUP(TODAY()-J35,Regras!$C$3:$C$10,Regras!$D$3:$D$10,,1))</f>
        <v>NOVO</v>
      </c>
      <c r="L35" s="75" t="str">
        <f t="shared" si="0"/>
        <v/>
      </c>
      <c r="M35" s="80" t="str">
        <f>IFERROR(IF(Tabela13[[#This Row],[NOME FANTASIA]]="","",_xlfn.XLOOKUP($C35,Log!D:D,Log!B:B,,,-1)),"")</f>
        <v/>
      </c>
      <c r="N35" s="81" t="str">
        <f>IFERROR(_xlfn.XLOOKUP($C35,Log!D:D,Log!W:W,,,-1),"")</f>
        <v/>
      </c>
      <c r="O35" s="81">
        <f>IFERROR(_xlfn.XLOOKUP($C35,Log!D:D,Log!Y:Y,,,-1),"")</f>
        <v>0</v>
      </c>
      <c r="Q35" s="69" t="str">
        <f>IFERROR(IF(Tabela13[[#This Row],[NOME FANTASIA]]="","",_xlfn.XLOOKUP($C35,Log!D:D,Log!X:X,,,-1)),"")</f>
        <v/>
      </c>
      <c r="R35" s="82">
        <f>COUNTIFS(Log!$D:$D,'Base Novos Clientes'!$C35,Log!$W:$W,'Base Novos Clientes'!R$2)</f>
        <v>0</v>
      </c>
      <c r="S35" s="82">
        <f>COUNTIFS(Log!$D:$D,'Base Novos Clientes'!$C35,Log!$W:$W,'Base Novos Clientes'!S$2)</f>
        <v>0</v>
      </c>
      <c r="T35" s="82">
        <f>COUNTIFS(Log!$D:$D,'Base Novos Clientes'!$C35,Log!$W:$W,'Base Novos Clientes'!T$2)</f>
        <v>0</v>
      </c>
    </row>
    <row r="36" spans="3:20" x14ac:dyDescent="0.25">
      <c r="C36" s="75"/>
      <c r="D36" s="75"/>
      <c r="E36" s="75"/>
      <c r="F36" s="75"/>
      <c r="G36" s="76"/>
      <c r="H36" s="77"/>
      <c r="I36" s="78"/>
      <c r="J36" s="79"/>
      <c r="K36" s="79" t="str">
        <f ca="1">IF(J36="","NOVO",_xlfn.XLOOKUP(TODAY()-J36,Regras!$C$3:$C$10,Regras!$D$3:$D$10,,1))</f>
        <v>NOVO</v>
      </c>
      <c r="L36" s="75" t="str">
        <f t="shared" si="0"/>
        <v/>
      </c>
      <c r="M36" s="80" t="str">
        <f>IFERROR(IF(Tabela13[[#This Row],[NOME FANTASIA]]="","",_xlfn.XLOOKUP($C36,Log!D:D,Log!B:B,,,-1)),"")</f>
        <v/>
      </c>
      <c r="N36" s="81" t="str">
        <f>IFERROR(_xlfn.XLOOKUP($C36,Log!D:D,Log!W:W,,,-1),"")</f>
        <v/>
      </c>
      <c r="O36" s="81">
        <f>IFERROR(_xlfn.XLOOKUP($C36,Log!D:D,Log!Y:Y,,,-1),"")</f>
        <v>0</v>
      </c>
      <c r="Q36" s="69" t="str">
        <f>IFERROR(IF(Tabela13[[#This Row],[NOME FANTASIA]]="","",_xlfn.XLOOKUP($C36,Log!D:D,Log!X:X,,,-1)),"")</f>
        <v/>
      </c>
      <c r="R36" s="82">
        <f>COUNTIFS(Log!$D:$D,'Base Novos Clientes'!$C36,Log!$W:$W,'Base Novos Clientes'!R$2)</f>
        <v>0</v>
      </c>
      <c r="S36" s="82">
        <f>COUNTIFS(Log!$D:$D,'Base Novos Clientes'!$C36,Log!$W:$W,'Base Novos Clientes'!S$2)</f>
        <v>0</v>
      </c>
      <c r="T36" s="82">
        <f>COUNTIFS(Log!$D:$D,'Base Novos Clientes'!$C36,Log!$W:$W,'Base Novos Clientes'!T$2)</f>
        <v>0</v>
      </c>
    </row>
    <row r="37" spans="3:20" x14ac:dyDescent="0.25">
      <c r="C37" s="75"/>
      <c r="D37" s="75"/>
      <c r="E37" s="75"/>
      <c r="F37" s="75"/>
      <c r="G37" s="76"/>
      <c r="H37" s="77"/>
      <c r="I37" s="78"/>
      <c r="J37" s="79"/>
      <c r="K37" s="79" t="str">
        <f ca="1">IF(J37="","NOVO",_xlfn.XLOOKUP(TODAY()-J37,Regras!$C$3:$C$10,Regras!$D$3:$D$10,,1))</f>
        <v>NOVO</v>
      </c>
      <c r="L37" s="75" t="str">
        <f t="shared" si="0"/>
        <v/>
      </c>
      <c r="M37" s="80" t="str">
        <f>IFERROR(IF(Tabela13[[#This Row],[NOME FANTASIA]]="","",_xlfn.XLOOKUP($C37,Log!D:D,Log!B:B,,,-1)),"")</f>
        <v/>
      </c>
      <c r="N37" s="81" t="str">
        <f>IFERROR(_xlfn.XLOOKUP($C37,Log!D:D,Log!W:W,,,-1),"")</f>
        <v/>
      </c>
      <c r="O37" s="81">
        <f>IFERROR(_xlfn.XLOOKUP($C37,Log!D:D,Log!Y:Y,,,-1),"")</f>
        <v>0</v>
      </c>
      <c r="Q37" s="69" t="str">
        <f>IFERROR(IF(Tabela13[[#This Row],[NOME FANTASIA]]="","",_xlfn.XLOOKUP($C37,Log!D:D,Log!X:X,,,-1)),"")</f>
        <v/>
      </c>
      <c r="R37" s="82">
        <f>COUNTIFS(Log!$D:$D,'Base Novos Clientes'!$C37,Log!$W:$W,'Base Novos Clientes'!R$2)</f>
        <v>0</v>
      </c>
      <c r="S37" s="82">
        <f>COUNTIFS(Log!$D:$D,'Base Novos Clientes'!$C37,Log!$W:$W,'Base Novos Clientes'!S$2)</f>
        <v>0</v>
      </c>
      <c r="T37" s="82">
        <f>COUNTIFS(Log!$D:$D,'Base Novos Clientes'!$C37,Log!$W:$W,'Base Novos Clientes'!T$2)</f>
        <v>0</v>
      </c>
    </row>
    <row r="38" spans="3:20" x14ac:dyDescent="0.25">
      <c r="C38" s="75"/>
      <c r="D38" s="75"/>
      <c r="E38" s="75"/>
      <c r="F38" s="75"/>
      <c r="G38" s="76"/>
      <c r="H38" s="77"/>
      <c r="I38" s="78"/>
      <c r="J38" s="79"/>
      <c r="K38" s="79" t="str">
        <f ca="1">IF(J38="","NOVO",_xlfn.XLOOKUP(TODAY()-J38,Regras!$C$3:$C$10,Regras!$D$3:$D$10,,1))</f>
        <v>NOVO</v>
      </c>
      <c r="L38" s="75" t="str">
        <f t="shared" si="0"/>
        <v/>
      </c>
      <c r="M38" s="80" t="str">
        <f>IFERROR(IF(Tabela13[[#This Row],[NOME FANTASIA]]="","",_xlfn.XLOOKUP($C38,Log!D:D,Log!B:B,,,-1)),"")</f>
        <v/>
      </c>
      <c r="N38" s="81" t="str">
        <f>IFERROR(_xlfn.XLOOKUP($C38,Log!D:D,Log!W:W,,,-1),"")</f>
        <v/>
      </c>
      <c r="O38" s="81">
        <f>IFERROR(_xlfn.XLOOKUP($C38,Log!D:D,Log!Y:Y,,,-1),"")</f>
        <v>0</v>
      </c>
      <c r="Q38" s="69" t="str">
        <f>IFERROR(IF(Tabela13[[#This Row],[NOME FANTASIA]]="","",_xlfn.XLOOKUP($C38,Log!D:D,Log!X:X,,,-1)),"")</f>
        <v/>
      </c>
      <c r="R38" s="82">
        <f>COUNTIFS(Log!$D:$D,'Base Novos Clientes'!$C38,Log!$W:$W,'Base Novos Clientes'!R$2)</f>
        <v>0</v>
      </c>
      <c r="S38" s="82">
        <f>COUNTIFS(Log!$D:$D,'Base Novos Clientes'!$C38,Log!$W:$W,'Base Novos Clientes'!S$2)</f>
        <v>0</v>
      </c>
      <c r="T38" s="82">
        <f>COUNTIFS(Log!$D:$D,'Base Novos Clientes'!$C38,Log!$W:$W,'Base Novos Clientes'!T$2)</f>
        <v>0</v>
      </c>
    </row>
    <row r="39" spans="3:20" x14ac:dyDescent="0.25">
      <c r="C39" s="75"/>
      <c r="D39" s="75"/>
      <c r="E39" s="75"/>
      <c r="F39" s="75"/>
      <c r="G39" s="76"/>
      <c r="H39" s="77"/>
      <c r="I39" s="78"/>
      <c r="J39" s="79"/>
      <c r="K39" s="79" t="str">
        <f ca="1">IF(J39="","NOVO",_xlfn.XLOOKUP(TODAY()-J39,Regras!$C$3:$C$10,Regras!$D$3:$D$10,,1))</f>
        <v>NOVO</v>
      </c>
      <c r="L39" s="75" t="str">
        <f t="shared" si="0"/>
        <v/>
      </c>
      <c r="M39" s="80" t="str">
        <f>IFERROR(IF(Tabela13[[#This Row],[NOME FANTASIA]]="","",_xlfn.XLOOKUP($C39,Log!D:D,Log!B:B,,,-1)),"")</f>
        <v/>
      </c>
      <c r="N39" s="81" t="str">
        <f>IFERROR(_xlfn.XLOOKUP($C39,Log!D:D,Log!W:W,,,-1),"")</f>
        <v/>
      </c>
      <c r="O39" s="81">
        <f>IFERROR(_xlfn.XLOOKUP($C39,Log!D:D,Log!Y:Y,,,-1),"")</f>
        <v>0</v>
      </c>
      <c r="Q39" s="69" t="str">
        <f>IFERROR(IF(Tabela13[[#This Row],[NOME FANTASIA]]="","",_xlfn.XLOOKUP($C39,Log!D:D,Log!X:X,,,-1)),"")</f>
        <v/>
      </c>
      <c r="R39" s="82">
        <f>COUNTIFS(Log!$D:$D,'Base Novos Clientes'!$C39,Log!$W:$W,'Base Novos Clientes'!R$2)</f>
        <v>0</v>
      </c>
      <c r="S39" s="82">
        <f>COUNTIFS(Log!$D:$D,'Base Novos Clientes'!$C39,Log!$W:$W,'Base Novos Clientes'!S$2)</f>
        <v>0</v>
      </c>
      <c r="T39" s="82">
        <f>COUNTIFS(Log!$D:$D,'Base Novos Clientes'!$C39,Log!$W:$W,'Base Novos Clientes'!T$2)</f>
        <v>0</v>
      </c>
    </row>
    <row r="40" spans="3:20" x14ac:dyDescent="0.25">
      <c r="C40" s="75"/>
      <c r="D40" s="75"/>
      <c r="E40" s="75"/>
      <c r="F40" s="75"/>
      <c r="G40" s="76"/>
      <c r="H40" s="77"/>
      <c r="I40" s="78"/>
      <c r="J40" s="79"/>
      <c r="K40" s="79" t="str">
        <f ca="1">IF(J40="","NOVO",_xlfn.XLOOKUP(TODAY()-J40,Regras!$C$3:$C$10,Regras!$D$3:$D$10,,1))</f>
        <v>NOVO</v>
      </c>
      <c r="L40" s="75" t="str">
        <f t="shared" si="0"/>
        <v/>
      </c>
      <c r="M40" s="80" t="str">
        <f>IFERROR(IF(Tabela13[[#This Row],[NOME FANTASIA]]="","",_xlfn.XLOOKUP($C40,Log!D:D,Log!B:B,,,-1)),"")</f>
        <v/>
      </c>
      <c r="N40" s="81" t="str">
        <f>IFERROR(_xlfn.XLOOKUP($C40,Log!D:D,Log!W:W,,,-1),"")</f>
        <v/>
      </c>
      <c r="O40" s="81">
        <f>IFERROR(_xlfn.XLOOKUP($C40,Log!D:D,Log!Y:Y,,,-1),"")</f>
        <v>0</v>
      </c>
      <c r="Q40" s="69" t="str">
        <f>IFERROR(IF(Tabela13[[#This Row],[NOME FANTASIA]]="","",_xlfn.XLOOKUP($C40,Log!D:D,Log!X:X,,,-1)),"")</f>
        <v/>
      </c>
      <c r="R40" s="82">
        <f>COUNTIFS(Log!$D:$D,'Base Novos Clientes'!$C40,Log!$W:$W,'Base Novos Clientes'!R$2)</f>
        <v>0</v>
      </c>
      <c r="S40" s="82">
        <f>COUNTIFS(Log!$D:$D,'Base Novos Clientes'!$C40,Log!$W:$W,'Base Novos Clientes'!S$2)</f>
        <v>0</v>
      </c>
      <c r="T40" s="82">
        <f>COUNTIFS(Log!$D:$D,'Base Novos Clientes'!$C40,Log!$W:$W,'Base Novos Clientes'!T$2)</f>
        <v>0</v>
      </c>
    </row>
    <row r="41" spans="3:20" x14ac:dyDescent="0.25">
      <c r="C41" s="75"/>
      <c r="D41" s="75"/>
      <c r="E41" s="75"/>
      <c r="F41" s="75"/>
      <c r="G41" s="76"/>
      <c r="H41" s="77"/>
      <c r="I41" s="78"/>
      <c r="J41" s="79"/>
      <c r="K41" s="79" t="str">
        <f ca="1">IF(J41="","NOVO",_xlfn.XLOOKUP(TODAY()-J41,Regras!$C$3:$C$10,Regras!$D$3:$D$10,,1))</f>
        <v>NOVO</v>
      </c>
      <c r="L41" s="75" t="str">
        <f t="shared" si="0"/>
        <v/>
      </c>
      <c r="M41" s="80" t="str">
        <f>IFERROR(IF(Tabela13[[#This Row],[NOME FANTASIA]]="","",_xlfn.XLOOKUP($C41,Log!D:D,Log!B:B,,,-1)),"")</f>
        <v/>
      </c>
      <c r="N41" s="81" t="str">
        <f>IFERROR(_xlfn.XLOOKUP($C41,Log!D:D,Log!W:W,,,-1),"")</f>
        <v/>
      </c>
      <c r="O41" s="81">
        <f>IFERROR(_xlfn.XLOOKUP($C41,Log!D:D,Log!Y:Y,,,-1),"")</f>
        <v>0</v>
      </c>
      <c r="Q41" s="69" t="str">
        <f>IFERROR(IF(Tabela13[[#This Row],[NOME FANTASIA]]="","",_xlfn.XLOOKUP($C41,Log!D:D,Log!X:X,,,-1)),"")</f>
        <v/>
      </c>
      <c r="R41" s="82">
        <f>COUNTIFS(Log!$D:$D,'Base Novos Clientes'!$C41,Log!$W:$W,'Base Novos Clientes'!R$2)</f>
        <v>0</v>
      </c>
      <c r="S41" s="82">
        <f>COUNTIFS(Log!$D:$D,'Base Novos Clientes'!$C41,Log!$W:$W,'Base Novos Clientes'!S$2)</f>
        <v>0</v>
      </c>
      <c r="T41" s="82">
        <f>COUNTIFS(Log!$D:$D,'Base Novos Clientes'!$C41,Log!$W:$W,'Base Novos Clientes'!T$2)</f>
        <v>0</v>
      </c>
    </row>
    <row r="42" spans="3:20" x14ac:dyDescent="0.25">
      <c r="C42" s="75"/>
      <c r="D42" s="75"/>
      <c r="E42" s="75"/>
      <c r="F42" s="75"/>
      <c r="G42" s="76"/>
      <c r="H42" s="77"/>
      <c r="I42" s="78"/>
      <c r="J42" s="79"/>
      <c r="K42" s="79" t="str">
        <f ca="1">IF(J42="","NOVO",_xlfn.XLOOKUP(TODAY()-J42,Regras!$C$3:$C$10,Regras!$D$3:$D$10,,1))</f>
        <v>NOVO</v>
      </c>
      <c r="L42" s="75" t="str">
        <f t="shared" si="0"/>
        <v/>
      </c>
      <c r="M42" s="80" t="str">
        <f>IFERROR(IF(Tabela13[[#This Row],[NOME FANTASIA]]="","",_xlfn.XLOOKUP($C42,Log!D:D,Log!B:B,,,-1)),"")</f>
        <v/>
      </c>
      <c r="N42" s="81" t="str">
        <f>IFERROR(_xlfn.XLOOKUP($C42,Log!D:D,Log!W:W,,,-1),"")</f>
        <v/>
      </c>
      <c r="O42" s="81">
        <f>IFERROR(_xlfn.XLOOKUP($C42,Log!D:D,Log!Y:Y,,,-1),"")</f>
        <v>0</v>
      </c>
      <c r="Q42" s="69" t="str">
        <f>IFERROR(IF(Tabela13[[#This Row],[NOME FANTASIA]]="","",_xlfn.XLOOKUP($C42,Log!D:D,Log!X:X,,,-1)),"")</f>
        <v/>
      </c>
      <c r="R42" s="82">
        <f>COUNTIFS(Log!$D:$D,'Base Novos Clientes'!$C42,Log!$W:$W,'Base Novos Clientes'!R$2)</f>
        <v>0</v>
      </c>
      <c r="S42" s="82">
        <f>COUNTIFS(Log!$D:$D,'Base Novos Clientes'!$C42,Log!$W:$W,'Base Novos Clientes'!S$2)</f>
        <v>0</v>
      </c>
      <c r="T42" s="82">
        <f>COUNTIFS(Log!$D:$D,'Base Novos Clientes'!$C42,Log!$W:$W,'Base Novos Clientes'!T$2)</f>
        <v>0</v>
      </c>
    </row>
    <row r="43" spans="3:20" x14ac:dyDescent="0.25">
      <c r="C43" s="75"/>
      <c r="D43" s="75"/>
      <c r="E43" s="75"/>
      <c r="F43" s="75"/>
      <c r="G43" s="76"/>
      <c r="H43" s="77"/>
      <c r="I43" s="78"/>
      <c r="J43" s="79"/>
      <c r="K43" s="79" t="str">
        <f ca="1">IF(J43="","NOVO",_xlfn.XLOOKUP(TODAY()-J43,Regras!$C$3:$C$10,Regras!$D$3:$D$10,,1))</f>
        <v>NOVO</v>
      </c>
      <c r="L43" s="75" t="str">
        <f t="shared" si="0"/>
        <v/>
      </c>
      <c r="M43" s="80" t="str">
        <f>IFERROR(IF(Tabela13[[#This Row],[NOME FANTASIA]]="","",_xlfn.XLOOKUP($C43,Log!D:D,Log!B:B,,,-1)),"")</f>
        <v/>
      </c>
      <c r="N43" s="81" t="str">
        <f>IFERROR(_xlfn.XLOOKUP($C43,Log!D:D,Log!W:W,,,-1),"")</f>
        <v/>
      </c>
      <c r="O43" s="81">
        <f>IFERROR(_xlfn.XLOOKUP($C43,Log!D:D,Log!Y:Y,,,-1),"")</f>
        <v>0</v>
      </c>
      <c r="Q43" s="69" t="str">
        <f>IFERROR(IF(Tabela13[[#This Row],[NOME FANTASIA]]="","",_xlfn.XLOOKUP($C43,Log!D:D,Log!X:X,,,-1)),"")</f>
        <v/>
      </c>
      <c r="R43" s="82">
        <f>COUNTIFS(Log!$D:$D,'Base Novos Clientes'!$C43,Log!$W:$W,'Base Novos Clientes'!R$2)</f>
        <v>0</v>
      </c>
      <c r="S43" s="82">
        <f>COUNTIFS(Log!$D:$D,'Base Novos Clientes'!$C43,Log!$W:$W,'Base Novos Clientes'!S$2)</f>
        <v>0</v>
      </c>
      <c r="T43" s="82">
        <f>COUNTIFS(Log!$D:$D,'Base Novos Clientes'!$C43,Log!$W:$W,'Base Novos Clientes'!T$2)</f>
        <v>0</v>
      </c>
    </row>
    <row r="44" spans="3:20" x14ac:dyDescent="0.25">
      <c r="C44" s="75"/>
      <c r="D44" s="75"/>
      <c r="E44" s="75"/>
      <c r="F44" s="75"/>
      <c r="G44" s="76"/>
      <c r="H44" s="77"/>
      <c r="I44" s="78"/>
      <c r="J44" s="79"/>
      <c r="K44" s="79" t="str">
        <f ca="1">IF(J44="","NOVO",_xlfn.XLOOKUP(TODAY()-J44,Regras!$C$3:$C$10,Regras!$D$3:$D$10,,1))</f>
        <v>NOVO</v>
      </c>
      <c r="L44" s="75" t="str">
        <f t="shared" si="0"/>
        <v/>
      </c>
      <c r="M44" s="80" t="str">
        <f>IFERROR(IF(Tabela13[[#This Row],[NOME FANTASIA]]="","",_xlfn.XLOOKUP($C44,Log!D:D,Log!B:B,,,-1)),"")</f>
        <v/>
      </c>
      <c r="N44" s="81" t="str">
        <f>IFERROR(_xlfn.XLOOKUP($C44,Log!D:D,Log!W:W,,,-1),"")</f>
        <v/>
      </c>
      <c r="O44" s="81">
        <f>IFERROR(_xlfn.XLOOKUP($C44,Log!D:D,Log!Y:Y,,,-1),"")</f>
        <v>0</v>
      </c>
      <c r="Q44" s="69" t="str">
        <f>IFERROR(IF(Tabela13[[#This Row],[NOME FANTASIA]]="","",_xlfn.XLOOKUP($C44,Log!D:D,Log!X:X,,,-1)),"")</f>
        <v/>
      </c>
      <c r="R44" s="82">
        <f>COUNTIFS(Log!$D:$D,'Base Novos Clientes'!$C44,Log!$W:$W,'Base Novos Clientes'!R$2)</f>
        <v>0</v>
      </c>
      <c r="S44" s="82">
        <f>COUNTIFS(Log!$D:$D,'Base Novos Clientes'!$C44,Log!$W:$W,'Base Novos Clientes'!S$2)</f>
        <v>0</v>
      </c>
      <c r="T44" s="82">
        <f>COUNTIFS(Log!$D:$D,'Base Novos Clientes'!$C44,Log!$W:$W,'Base Novos Clientes'!T$2)</f>
        <v>0</v>
      </c>
    </row>
    <row r="45" spans="3:20" x14ac:dyDescent="0.25">
      <c r="C45" s="75"/>
      <c r="D45" s="75"/>
      <c r="E45" s="75"/>
      <c r="F45" s="75"/>
      <c r="G45" s="76"/>
      <c r="H45" s="77"/>
      <c r="I45" s="78"/>
      <c r="J45" s="79"/>
      <c r="K45" s="79" t="str">
        <f ca="1">IF(J45="","NOVO",_xlfn.XLOOKUP(TODAY()-J45,Regras!$C$3:$C$10,Regras!$D$3:$D$10,,1))</f>
        <v>NOVO</v>
      </c>
      <c r="L45" s="75" t="str">
        <f t="shared" si="0"/>
        <v/>
      </c>
      <c r="M45" s="80" t="str">
        <f>IFERROR(IF(Tabela13[[#This Row],[NOME FANTASIA]]="","",_xlfn.XLOOKUP($C45,Log!D:D,Log!B:B,,,-1)),"")</f>
        <v/>
      </c>
      <c r="N45" s="81" t="str">
        <f>IFERROR(_xlfn.XLOOKUP($C45,Log!D:D,Log!W:W,,,-1),"")</f>
        <v/>
      </c>
      <c r="O45" s="81">
        <f>IFERROR(_xlfn.XLOOKUP($C45,Log!D:D,Log!Y:Y,,,-1),"")</f>
        <v>0</v>
      </c>
      <c r="Q45" s="69" t="str">
        <f>IFERROR(IF(Tabela13[[#This Row],[NOME FANTASIA]]="","",_xlfn.XLOOKUP($C45,Log!D:D,Log!X:X,,,-1)),"")</f>
        <v/>
      </c>
      <c r="R45" s="82">
        <f>COUNTIFS(Log!$D:$D,'Base Novos Clientes'!$C45,Log!$W:$W,'Base Novos Clientes'!R$2)</f>
        <v>0</v>
      </c>
      <c r="S45" s="82">
        <f>COUNTIFS(Log!$D:$D,'Base Novos Clientes'!$C45,Log!$W:$W,'Base Novos Clientes'!S$2)</f>
        <v>0</v>
      </c>
      <c r="T45" s="82">
        <f>COUNTIFS(Log!$D:$D,'Base Novos Clientes'!$C45,Log!$W:$W,'Base Novos Clientes'!T$2)</f>
        <v>0</v>
      </c>
    </row>
    <row r="46" spans="3:20" x14ac:dyDescent="0.25">
      <c r="C46" s="75"/>
      <c r="D46" s="75"/>
      <c r="E46" s="75"/>
      <c r="F46" s="75"/>
      <c r="G46" s="76"/>
      <c r="H46" s="77"/>
      <c r="I46" s="78"/>
      <c r="J46" s="79"/>
      <c r="K46" s="79" t="str">
        <f ca="1">IF(J46="","NOVO",_xlfn.XLOOKUP(TODAY()-J46,Regras!$C$3:$C$10,Regras!$D$3:$D$10,,1))</f>
        <v>NOVO</v>
      </c>
      <c r="L46" s="75" t="str">
        <f t="shared" si="0"/>
        <v/>
      </c>
      <c r="M46" s="80" t="str">
        <f>IFERROR(IF(Tabela13[[#This Row],[NOME FANTASIA]]="","",_xlfn.XLOOKUP($C46,Log!D:D,Log!B:B,,,-1)),"")</f>
        <v/>
      </c>
      <c r="N46" s="81" t="str">
        <f>IFERROR(_xlfn.XLOOKUP($C46,Log!D:D,Log!W:W,,,-1),"")</f>
        <v/>
      </c>
      <c r="O46" s="81">
        <f>IFERROR(_xlfn.XLOOKUP($C46,Log!D:D,Log!Y:Y,,,-1),"")</f>
        <v>0</v>
      </c>
      <c r="Q46" s="69" t="str">
        <f>IFERROR(IF(Tabela13[[#This Row],[NOME FANTASIA]]="","",_xlfn.XLOOKUP($C46,Log!D:D,Log!X:X,,,-1)),"")</f>
        <v/>
      </c>
      <c r="R46" s="82">
        <f>COUNTIFS(Log!$D:$D,'Base Novos Clientes'!$C46,Log!$W:$W,'Base Novos Clientes'!R$2)</f>
        <v>0</v>
      </c>
      <c r="S46" s="82">
        <f>COUNTIFS(Log!$D:$D,'Base Novos Clientes'!$C46,Log!$W:$W,'Base Novos Clientes'!S$2)</f>
        <v>0</v>
      </c>
      <c r="T46" s="82">
        <f>COUNTIFS(Log!$D:$D,'Base Novos Clientes'!$C46,Log!$W:$W,'Base Novos Clientes'!T$2)</f>
        <v>0</v>
      </c>
    </row>
    <row r="47" spans="3:20" x14ac:dyDescent="0.25">
      <c r="C47" s="75"/>
      <c r="D47" s="75"/>
      <c r="E47" s="75"/>
      <c r="F47" s="75"/>
      <c r="G47" s="76"/>
      <c r="H47" s="77"/>
      <c r="I47" s="78"/>
      <c r="J47" s="79"/>
      <c r="K47" s="79" t="str">
        <f ca="1">IF(J47="","NOVO",_xlfn.XLOOKUP(TODAY()-J47,Regras!$C$3:$C$10,Regras!$D$3:$D$10,,1))</f>
        <v>NOVO</v>
      </c>
      <c r="L47" s="75" t="str">
        <f t="shared" si="0"/>
        <v/>
      </c>
      <c r="M47" s="80" t="str">
        <f>IFERROR(IF(Tabela13[[#This Row],[NOME FANTASIA]]="","",_xlfn.XLOOKUP($C47,Log!D:D,Log!B:B,,,-1)),"")</f>
        <v/>
      </c>
      <c r="N47" s="81" t="str">
        <f>IFERROR(_xlfn.XLOOKUP($C47,Log!D:D,Log!W:W,,,-1),"")</f>
        <v/>
      </c>
      <c r="O47" s="81">
        <f>IFERROR(_xlfn.XLOOKUP($C47,Log!D:D,Log!Y:Y,,,-1),"")</f>
        <v>0</v>
      </c>
      <c r="Q47" s="69" t="str">
        <f>IFERROR(IF(Tabela13[[#This Row],[NOME FANTASIA]]="","",_xlfn.XLOOKUP($C47,Log!D:D,Log!X:X,,,-1)),"")</f>
        <v/>
      </c>
      <c r="R47" s="82">
        <f>COUNTIFS(Log!$D:$D,'Base Novos Clientes'!$C47,Log!$W:$W,'Base Novos Clientes'!R$2)</f>
        <v>0</v>
      </c>
      <c r="S47" s="82">
        <f>COUNTIFS(Log!$D:$D,'Base Novos Clientes'!$C47,Log!$W:$W,'Base Novos Clientes'!S$2)</f>
        <v>0</v>
      </c>
      <c r="T47" s="82">
        <f>COUNTIFS(Log!$D:$D,'Base Novos Clientes'!$C47,Log!$W:$W,'Base Novos Clientes'!T$2)</f>
        <v>0</v>
      </c>
    </row>
    <row r="48" spans="3:20" x14ac:dyDescent="0.25">
      <c r="C48" s="75"/>
      <c r="D48" s="75"/>
      <c r="E48" s="75"/>
      <c r="F48" s="75"/>
      <c r="G48" s="76"/>
      <c r="H48" s="77"/>
      <c r="I48" s="78"/>
      <c r="J48" s="79"/>
      <c r="K48" s="79" t="str">
        <f ca="1">IF(J48="","NOVO",_xlfn.XLOOKUP(TODAY()-J48,Regras!$C$3:$C$10,Regras!$D$3:$D$10,,1))</f>
        <v>NOVO</v>
      </c>
      <c r="L48" s="75" t="str">
        <f t="shared" si="0"/>
        <v/>
      </c>
      <c r="M48" s="80" t="str">
        <f>IFERROR(IF(Tabela13[[#This Row],[NOME FANTASIA]]="","",_xlfn.XLOOKUP($C48,Log!D:D,Log!B:B,,,-1)),"")</f>
        <v/>
      </c>
      <c r="N48" s="81" t="str">
        <f>IFERROR(_xlfn.XLOOKUP($C48,Log!D:D,Log!W:W,,,-1),"")</f>
        <v/>
      </c>
      <c r="O48" s="81">
        <f>IFERROR(_xlfn.XLOOKUP($C48,Log!D:D,Log!Y:Y,,,-1),"")</f>
        <v>0</v>
      </c>
      <c r="Q48" s="69" t="str">
        <f>IFERROR(IF(Tabela13[[#This Row],[NOME FANTASIA]]="","",_xlfn.XLOOKUP($C48,Log!D:D,Log!X:X,,,-1)),"")</f>
        <v/>
      </c>
      <c r="R48" s="82">
        <f>COUNTIFS(Log!$D:$D,'Base Novos Clientes'!$C48,Log!$W:$W,'Base Novos Clientes'!R$2)</f>
        <v>0</v>
      </c>
      <c r="S48" s="82">
        <f>COUNTIFS(Log!$D:$D,'Base Novos Clientes'!$C48,Log!$W:$W,'Base Novos Clientes'!S$2)</f>
        <v>0</v>
      </c>
      <c r="T48" s="82">
        <f>COUNTIFS(Log!$D:$D,'Base Novos Clientes'!$C48,Log!$W:$W,'Base Novos Clientes'!T$2)</f>
        <v>0</v>
      </c>
    </row>
    <row r="49" spans="3:20" x14ac:dyDescent="0.25">
      <c r="C49" s="75"/>
      <c r="D49" s="75"/>
      <c r="E49" s="75"/>
      <c r="F49" s="75"/>
      <c r="G49" s="76"/>
      <c r="H49" s="77"/>
      <c r="I49" s="78"/>
      <c r="J49" s="79"/>
      <c r="K49" s="79" t="str">
        <f ca="1">IF(J49="","NOVO",_xlfn.XLOOKUP(TODAY()-J49,Regras!$C$3:$C$10,Regras!$D$3:$D$10,,1))</f>
        <v>NOVO</v>
      </c>
      <c r="L49" s="75" t="str">
        <f t="shared" si="0"/>
        <v/>
      </c>
      <c r="M49" s="80" t="str">
        <f>IFERROR(IF(Tabela13[[#This Row],[NOME FANTASIA]]="","",_xlfn.XLOOKUP($C49,Log!D:D,Log!B:B,,,-1)),"")</f>
        <v/>
      </c>
      <c r="N49" s="81" t="str">
        <f>IFERROR(_xlfn.XLOOKUP($C49,Log!D:D,Log!W:W,,,-1),"")</f>
        <v/>
      </c>
      <c r="O49" s="81">
        <f>IFERROR(_xlfn.XLOOKUP($C49,Log!D:D,Log!Y:Y,,,-1),"")</f>
        <v>0</v>
      </c>
      <c r="Q49" s="69" t="str">
        <f>IFERROR(IF(Tabela13[[#This Row],[NOME FANTASIA]]="","",_xlfn.XLOOKUP($C49,Log!D:D,Log!X:X,,,-1)),"")</f>
        <v/>
      </c>
      <c r="R49" s="82">
        <f>COUNTIFS(Log!$D:$D,'Base Novos Clientes'!$C49,Log!$W:$W,'Base Novos Clientes'!R$2)</f>
        <v>0</v>
      </c>
      <c r="S49" s="82">
        <f>COUNTIFS(Log!$D:$D,'Base Novos Clientes'!$C49,Log!$W:$W,'Base Novos Clientes'!S$2)</f>
        <v>0</v>
      </c>
      <c r="T49" s="82">
        <f>COUNTIFS(Log!$D:$D,'Base Novos Clientes'!$C49,Log!$W:$W,'Base Novos Clientes'!T$2)</f>
        <v>0</v>
      </c>
    </row>
    <row r="50" spans="3:20" x14ac:dyDescent="0.25">
      <c r="C50" s="75"/>
      <c r="D50" s="75"/>
      <c r="E50" s="75"/>
      <c r="F50" s="75"/>
      <c r="G50" s="76"/>
      <c r="H50" s="77"/>
      <c r="I50" s="78"/>
      <c r="J50" s="79"/>
      <c r="K50" s="79" t="str">
        <f ca="1">IF(J50="","NOVO",_xlfn.XLOOKUP(TODAY()-J50,Regras!$C$3:$C$10,Regras!$D$3:$D$10,,1))</f>
        <v>NOVO</v>
      </c>
      <c r="L50" s="75" t="str">
        <f t="shared" si="0"/>
        <v/>
      </c>
      <c r="M50" s="80" t="str">
        <f>IFERROR(IF(Tabela13[[#This Row],[NOME FANTASIA]]="","",_xlfn.XLOOKUP($C50,Log!D:D,Log!B:B,,,-1)),"")</f>
        <v/>
      </c>
      <c r="N50" s="81" t="str">
        <f>IFERROR(_xlfn.XLOOKUP($C50,Log!D:D,Log!W:W,,,-1),"")</f>
        <v/>
      </c>
      <c r="O50" s="81">
        <f>IFERROR(_xlfn.XLOOKUP($C50,Log!D:D,Log!Y:Y,,,-1),"")</f>
        <v>0</v>
      </c>
      <c r="Q50" s="69" t="str">
        <f>IFERROR(IF(Tabela13[[#This Row],[NOME FANTASIA]]="","",_xlfn.XLOOKUP($C50,Log!D:D,Log!X:X,,,-1)),"")</f>
        <v/>
      </c>
      <c r="R50" s="82">
        <f>COUNTIFS(Log!$D:$D,'Base Novos Clientes'!$C50,Log!$W:$W,'Base Novos Clientes'!R$2)</f>
        <v>0</v>
      </c>
      <c r="S50" s="82">
        <f>COUNTIFS(Log!$D:$D,'Base Novos Clientes'!$C50,Log!$W:$W,'Base Novos Clientes'!S$2)</f>
        <v>0</v>
      </c>
      <c r="T50" s="82">
        <f>COUNTIFS(Log!$D:$D,'Base Novos Clientes'!$C50,Log!$W:$W,'Base Novos Clientes'!T$2)</f>
        <v>0</v>
      </c>
    </row>
    <row r="51" spans="3:20" x14ac:dyDescent="0.25">
      <c r="C51" s="75"/>
      <c r="D51" s="75"/>
      <c r="E51" s="75"/>
      <c r="F51" s="75"/>
      <c r="G51" s="76"/>
      <c r="H51" s="77"/>
      <c r="I51" s="78"/>
      <c r="J51" s="79"/>
      <c r="K51" s="79" t="str">
        <f ca="1">IF(J51="","NOVO",_xlfn.XLOOKUP(TODAY()-J51,Regras!$C$3:$C$10,Regras!$D$3:$D$10,,1))</f>
        <v>NOVO</v>
      </c>
      <c r="L51" s="75" t="str">
        <f t="shared" si="0"/>
        <v/>
      </c>
      <c r="M51" s="80" t="str">
        <f>IFERROR(IF(Tabela13[[#This Row],[NOME FANTASIA]]="","",_xlfn.XLOOKUP($C51,Log!D:D,Log!B:B,,,-1)),"")</f>
        <v/>
      </c>
      <c r="N51" s="81" t="str">
        <f>IFERROR(_xlfn.XLOOKUP($C51,Log!D:D,Log!W:W,,,-1),"")</f>
        <v/>
      </c>
      <c r="O51" s="81">
        <f>IFERROR(_xlfn.XLOOKUP($C51,Log!D:D,Log!Y:Y,,,-1),"")</f>
        <v>0</v>
      </c>
      <c r="Q51" s="69" t="str">
        <f>IFERROR(IF(Tabela13[[#This Row],[NOME FANTASIA]]="","",_xlfn.XLOOKUP($C51,Log!D:D,Log!X:X,,,-1)),"")</f>
        <v/>
      </c>
      <c r="R51" s="82">
        <f>COUNTIFS(Log!$D:$D,'Base Novos Clientes'!$C51,Log!$W:$W,'Base Novos Clientes'!R$2)</f>
        <v>0</v>
      </c>
      <c r="S51" s="82">
        <f>COUNTIFS(Log!$D:$D,'Base Novos Clientes'!$C51,Log!$W:$W,'Base Novos Clientes'!S$2)</f>
        <v>0</v>
      </c>
      <c r="T51" s="82">
        <f>COUNTIFS(Log!$D:$D,'Base Novos Clientes'!$C51,Log!$W:$W,'Base Novos Clientes'!T$2)</f>
        <v>0</v>
      </c>
    </row>
    <row r="52" spans="3:20" x14ac:dyDescent="0.25">
      <c r="C52" s="75"/>
      <c r="D52" s="75"/>
      <c r="E52" s="75"/>
      <c r="F52" s="75"/>
      <c r="G52" s="76"/>
      <c r="H52" s="77"/>
      <c r="I52" s="78"/>
      <c r="J52" s="79"/>
      <c r="K52" s="79" t="str">
        <f ca="1">IF(J52="","NOVO",_xlfn.XLOOKUP(TODAY()-J52,Regras!$C$3:$C$10,Regras!$D$3:$D$10,,1))</f>
        <v>NOVO</v>
      </c>
      <c r="L52" s="75" t="str">
        <f t="shared" si="0"/>
        <v/>
      </c>
      <c r="M52" s="80" t="str">
        <f>IFERROR(IF(Tabela13[[#This Row],[NOME FANTASIA]]="","",_xlfn.XLOOKUP($C52,Log!D:D,Log!B:B,,,-1)),"")</f>
        <v/>
      </c>
      <c r="N52" s="81" t="str">
        <f>IFERROR(_xlfn.XLOOKUP($C52,Log!D:D,Log!W:W,,,-1),"")</f>
        <v/>
      </c>
      <c r="O52" s="81">
        <f>IFERROR(_xlfn.XLOOKUP($C52,Log!D:D,Log!Y:Y,,,-1),"")</f>
        <v>0</v>
      </c>
      <c r="Q52" s="69" t="str">
        <f>IFERROR(IF(Tabela13[[#This Row],[NOME FANTASIA]]="","",_xlfn.XLOOKUP($C52,Log!D:D,Log!X:X,,,-1)),"")</f>
        <v/>
      </c>
      <c r="R52" s="82">
        <f>COUNTIFS(Log!$D:$D,'Base Novos Clientes'!$C52,Log!$W:$W,'Base Novos Clientes'!R$2)</f>
        <v>0</v>
      </c>
      <c r="S52" s="82">
        <f>COUNTIFS(Log!$D:$D,'Base Novos Clientes'!$C52,Log!$W:$W,'Base Novos Clientes'!S$2)</f>
        <v>0</v>
      </c>
      <c r="T52" s="82">
        <f>COUNTIFS(Log!$D:$D,'Base Novos Clientes'!$C52,Log!$W:$W,'Base Novos Clientes'!T$2)</f>
        <v>0</v>
      </c>
    </row>
    <row r="53" spans="3:20" x14ac:dyDescent="0.25">
      <c r="C53" s="75"/>
      <c r="D53" s="75"/>
      <c r="E53" s="75"/>
      <c r="F53" s="75"/>
      <c r="G53" s="76"/>
      <c r="H53" s="77"/>
      <c r="I53" s="78"/>
      <c r="J53" s="79"/>
      <c r="K53" s="79" t="str">
        <f ca="1">IF(J53="","NOVO",_xlfn.XLOOKUP(TODAY()-J53,Regras!$C$3:$C$10,Regras!$D$3:$D$10,,1))</f>
        <v>NOVO</v>
      </c>
      <c r="L53" s="75" t="str">
        <f t="shared" si="0"/>
        <v/>
      </c>
      <c r="M53" s="80" t="str">
        <f>IFERROR(IF(Tabela13[[#This Row],[NOME FANTASIA]]="","",_xlfn.XLOOKUP($C53,Log!D:D,Log!B:B,,,-1)),"")</f>
        <v/>
      </c>
      <c r="N53" s="81" t="str">
        <f>IFERROR(_xlfn.XLOOKUP($C53,Log!D:D,Log!W:W,,,-1),"")</f>
        <v/>
      </c>
      <c r="O53" s="81">
        <f>IFERROR(_xlfn.XLOOKUP($C53,Log!D:D,Log!Y:Y,,,-1),"")</f>
        <v>0</v>
      </c>
      <c r="Q53" s="69" t="str">
        <f>IFERROR(IF(Tabela13[[#This Row],[NOME FANTASIA]]="","",_xlfn.XLOOKUP($C53,Log!D:D,Log!X:X,,,-1)),"")</f>
        <v/>
      </c>
      <c r="R53" s="82">
        <f>COUNTIFS(Log!$D:$D,'Base Novos Clientes'!$C53,Log!$W:$W,'Base Novos Clientes'!R$2)</f>
        <v>0</v>
      </c>
      <c r="S53" s="82">
        <f>COUNTIFS(Log!$D:$D,'Base Novos Clientes'!$C53,Log!$W:$W,'Base Novos Clientes'!S$2)</f>
        <v>0</v>
      </c>
      <c r="T53" s="82">
        <f>COUNTIFS(Log!$D:$D,'Base Novos Clientes'!$C53,Log!$W:$W,'Base Novos Clientes'!T$2)</f>
        <v>0</v>
      </c>
    </row>
    <row r="54" spans="3:20" x14ac:dyDescent="0.25">
      <c r="C54" s="75"/>
      <c r="D54" s="75"/>
      <c r="E54" s="75"/>
      <c r="F54" s="75"/>
      <c r="G54" s="76"/>
      <c r="H54" s="77"/>
      <c r="I54" s="78"/>
      <c r="J54" s="79"/>
      <c r="K54" s="79" t="str">
        <f ca="1">IF(J54="","NOVO",_xlfn.XLOOKUP(TODAY()-J54,Regras!$C$3:$C$10,Regras!$D$3:$D$10,,1))</f>
        <v>NOVO</v>
      </c>
      <c r="L54" s="75" t="str">
        <f t="shared" si="0"/>
        <v/>
      </c>
      <c r="M54" s="80" t="str">
        <f>IFERROR(IF(Tabela13[[#This Row],[NOME FANTASIA]]="","",_xlfn.XLOOKUP($C54,Log!D:D,Log!B:B,,,-1)),"")</f>
        <v/>
      </c>
      <c r="N54" s="81" t="str">
        <f>IFERROR(_xlfn.XLOOKUP($C54,Log!D:D,Log!W:W,,,-1),"")</f>
        <v/>
      </c>
      <c r="O54" s="81">
        <f>IFERROR(_xlfn.XLOOKUP($C54,Log!D:D,Log!Y:Y,,,-1),"")</f>
        <v>0</v>
      </c>
      <c r="Q54" s="69" t="str">
        <f>IFERROR(IF(Tabela13[[#This Row],[NOME FANTASIA]]="","",_xlfn.XLOOKUP($C54,Log!D:D,Log!X:X,,,-1)),"")</f>
        <v/>
      </c>
      <c r="R54" s="82">
        <f>COUNTIFS(Log!$D:$D,'Base Novos Clientes'!$C54,Log!$W:$W,'Base Novos Clientes'!R$2)</f>
        <v>0</v>
      </c>
      <c r="S54" s="82">
        <f>COUNTIFS(Log!$D:$D,'Base Novos Clientes'!$C54,Log!$W:$W,'Base Novos Clientes'!S$2)</f>
        <v>0</v>
      </c>
      <c r="T54" s="82">
        <f>COUNTIFS(Log!$D:$D,'Base Novos Clientes'!$C54,Log!$W:$W,'Base Novos Clientes'!T$2)</f>
        <v>0</v>
      </c>
    </row>
    <row r="55" spans="3:20" x14ac:dyDescent="0.25">
      <c r="C55" s="75"/>
      <c r="D55" s="75"/>
      <c r="E55" s="75"/>
      <c r="F55" s="75"/>
      <c r="G55" s="76"/>
      <c r="H55" s="77"/>
      <c r="I55" s="78"/>
      <c r="J55" s="79"/>
      <c r="K55" s="79" t="str">
        <f ca="1">IF(J55="","NOVO",_xlfn.XLOOKUP(TODAY()-J55,Regras!$C$3:$C$10,Regras!$D$3:$D$10,,1))</f>
        <v>NOVO</v>
      </c>
      <c r="L55" s="75" t="str">
        <f t="shared" si="0"/>
        <v/>
      </c>
      <c r="M55" s="80" t="str">
        <f>IFERROR(IF(Tabela13[[#This Row],[NOME FANTASIA]]="","",_xlfn.XLOOKUP($C55,Log!D:D,Log!B:B,,,-1)),"")</f>
        <v/>
      </c>
      <c r="N55" s="81" t="str">
        <f>IFERROR(_xlfn.XLOOKUP($C55,Log!D:D,Log!W:W,,,-1),"")</f>
        <v/>
      </c>
      <c r="O55" s="81">
        <f>IFERROR(_xlfn.XLOOKUP($C55,Log!D:D,Log!Y:Y,,,-1),"")</f>
        <v>0</v>
      </c>
      <c r="Q55" s="69" t="str">
        <f>IFERROR(IF(Tabela13[[#This Row],[NOME FANTASIA]]="","",_xlfn.XLOOKUP($C55,Log!D:D,Log!X:X,,,-1)),"")</f>
        <v/>
      </c>
      <c r="R55" s="82">
        <f>COUNTIFS(Log!$D:$D,'Base Novos Clientes'!$C55,Log!$W:$W,'Base Novos Clientes'!R$2)</f>
        <v>0</v>
      </c>
      <c r="S55" s="82">
        <f>COUNTIFS(Log!$D:$D,'Base Novos Clientes'!$C55,Log!$W:$W,'Base Novos Clientes'!S$2)</f>
        <v>0</v>
      </c>
      <c r="T55" s="82">
        <f>COUNTIFS(Log!$D:$D,'Base Novos Clientes'!$C55,Log!$W:$W,'Base Novos Clientes'!T$2)</f>
        <v>0</v>
      </c>
    </row>
    <row r="56" spans="3:20" x14ac:dyDescent="0.25">
      <c r="C56" s="75"/>
      <c r="D56" s="75"/>
      <c r="E56" s="75"/>
      <c r="F56" s="75"/>
      <c r="G56" s="76"/>
      <c r="H56" s="77"/>
      <c r="I56" s="78"/>
      <c r="J56" s="79"/>
      <c r="K56" s="79" t="str">
        <f ca="1">IF(J56="","NOVO",_xlfn.XLOOKUP(TODAY()-J56,Regras!$C$3:$C$10,Regras!$D$3:$D$10,,1))</f>
        <v>NOVO</v>
      </c>
      <c r="L56" s="75" t="str">
        <f t="shared" si="0"/>
        <v/>
      </c>
      <c r="M56" s="80" t="str">
        <f>IFERROR(IF(Tabela13[[#This Row],[NOME FANTASIA]]="","",_xlfn.XLOOKUP($C56,Log!D:D,Log!B:B,,,-1)),"")</f>
        <v/>
      </c>
      <c r="N56" s="81" t="str">
        <f>IFERROR(_xlfn.XLOOKUP($C56,Log!D:D,Log!W:W,,,-1),"")</f>
        <v/>
      </c>
      <c r="O56" s="81">
        <f>IFERROR(_xlfn.XLOOKUP($C56,Log!D:D,Log!Y:Y,,,-1),"")</f>
        <v>0</v>
      </c>
      <c r="Q56" s="69" t="str">
        <f>IFERROR(IF(Tabela13[[#This Row],[NOME FANTASIA]]="","",_xlfn.XLOOKUP($C56,Log!D:D,Log!X:X,,,-1)),"")</f>
        <v/>
      </c>
      <c r="R56" s="82">
        <f>COUNTIFS(Log!$D:$D,'Base Novos Clientes'!$C56,Log!$W:$W,'Base Novos Clientes'!R$2)</f>
        <v>0</v>
      </c>
      <c r="S56" s="82">
        <f>COUNTIFS(Log!$D:$D,'Base Novos Clientes'!$C56,Log!$W:$W,'Base Novos Clientes'!S$2)</f>
        <v>0</v>
      </c>
      <c r="T56" s="82">
        <f>COUNTIFS(Log!$D:$D,'Base Novos Clientes'!$C56,Log!$W:$W,'Base Novos Clientes'!T$2)</f>
        <v>0</v>
      </c>
    </row>
    <row r="57" spans="3:20" x14ac:dyDescent="0.25">
      <c r="C57" s="75"/>
      <c r="D57" s="75"/>
      <c r="E57" s="75"/>
      <c r="F57" s="75"/>
      <c r="G57" s="76"/>
      <c r="H57" s="77"/>
      <c r="I57" s="78"/>
      <c r="J57" s="79"/>
      <c r="K57" s="79" t="str">
        <f ca="1">IF(J57="","NOVO",_xlfn.XLOOKUP(TODAY()-J57,Regras!$C$3:$C$10,Regras!$D$3:$D$10,,1))</f>
        <v>NOVO</v>
      </c>
      <c r="L57" s="75" t="str">
        <f t="shared" si="0"/>
        <v/>
      </c>
      <c r="M57" s="80" t="str">
        <f>IFERROR(IF(Tabela13[[#This Row],[NOME FANTASIA]]="","",_xlfn.XLOOKUP($C57,Log!D:D,Log!B:B,,,-1)),"")</f>
        <v/>
      </c>
      <c r="N57" s="81" t="str">
        <f>IFERROR(_xlfn.XLOOKUP($C57,Log!D:D,Log!W:W,,,-1),"")</f>
        <v/>
      </c>
      <c r="O57" s="81">
        <f>IFERROR(_xlfn.XLOOKUP($C57,Log!D:D,Log!Y:Y,,,-1),"")</f>
        <v>0</v>
      </c>
      <c r="Q57" s="69" t="str">
        <f>IFERROR(IF(Tabela13[[#This Row],[NOME FANTASIA]]="","",_xlfn.XLOOKUP($C57,Log!D:D,Log!X:X,,,-1)),"")</f>
        <v/>
      </c>
      <c r="R57" s="82">
        <f>COUNTIFS(Log!$D:$D,'Base Novos Clientes'!$C57,Log!$W:$W,'Base Novos Clientes'!R$2)</f>
        <v>0</v>
      </c>
      <c r="S57" s="82">
        <f>COUNTIFS(Log!$D:$D,'Base Novos Clientes'!$C57,Log!$W:$W,'Base Novos Clientes'!S$2)</f>
        <v>0</v>
      </c>
      <c r="T57" s="82">
        <f>COUNTIFS(Log!$D:$D,'Base Novos Clientes'!$C57,Log!$W:$W,'Base Novos Clientes'!T$2)</f>
        <v>0</v>
      </c>
    </row>
    <row r="58" spans="3:20" x14ac:dyDescent="0.25">
      <c r="C58" s="75"/>
      <c r="D58" s="75"/>
      <c r="E58" s="75"/>
      <c r="F58" s="75"/>
      <c r="G58" s="76"/>
      <c r="H58" s="77"/>
      <c r="I58" s="78"/>
      <c r="J58" s="79"/>
      <c r="K58" s="79" t="str">
        <f ca="1">IF(J58="","NOVO",_xlfn.XLOOKUP(TODAY()-J58,Regras!$C$3:$C$10,Regras!$D$3:$D$10,,1))</f>
        <v>NOVO</v>
      </c>
      <c r="L58" s="75" t="str">
        <f t="shared" si="0"/>
        <v/>
      </c>
      <c r="M58" s="80" t="str">
        <f>IFERROR(IF(Tabela13[[#This Row],[NOME FANTASIA]]="","",_xlfn.XLOOKUP($C58,Log!D:D,Log!B:B,,,-1)),"")</f>
        <v/>
      </c>
      <c r="N58" s="81" t="str">
        <f>IFERROR(_xlfn.XLOOKUP($C58,Log!D:D,Log!W:W,,,-1),"")</f>
        <v/>
      </c>
      <c r="O58" s="81">
        <f>IFERROR(_xlfn.XLOOKUP($C58,Log!D:D,Log!Y:Y,,,-1),"")</f>
        <v>0</v>
      </c>
      <c r="Q58" s="69" t="str">
        <f>IFERROR(IF(Tabela13[[#This Row],[NOME FANTASIA]]="","",_xlfn.XLOOKUP($C58,Log!D:D,Log!X:X,,,-1)),"")</f>
        <v/>
      </c>
      <c r="R58" s="82">
        <f>COUNTIFS(Log!$D:$D,'Base Novos Clientes'!$C58,Log!$W:$W,'Base Novos Clientes'!R$2)</f>
        <v>0</v>
      </c>
      <c r="S58" s="82">
        <f>COUNTIFS(Log!$D:$D,'Base Novos Clientes'!$C58,Log!$W:$W,'Base Novos Clientes'!S$2)</f>
        <v>0</v>
      </c>
      <c r="T58" s="82">
        <f>COUNTIFS(Log!$D:$D,'Base Novos Clientes'!$C58,Log!$W:$W,'Base Novos Clientes'!T$2)</f>
        <v>0</v>
      </c>
    </row>
    <row r="59" spans="3:20" x14ac:dyDescent="0.25">
      <c r="C59" s="75"/>
      <c r="D59" s="75"/>
      <c r="E59" s="75"/>
      <c r="F59" s="75"/>
      <c r="G59" s="76"/>
      <c r="H59" s="77"/>
      <c r="I59" s="78"/>
      <c r="J59" s="79"/>
      <c r="K59" s="79" t="str">
        <f ca="1">IF(J59="","NOVO",_xlfn.XLOOKUP(TODAY()-J59,Regras!$C$3:$C$10,Regras!$D$3:$D$10,,1))</f>
        <v>NOVO</v>
      </c>
      <c r="L59" s="75" t="str">
        <f t="shared" si="0"/>
        <v/>
      </c>
      <c r="M59" s="80" t="str">
        <f>IFERROR(IF(Tabela13[[#This Row],[NOME FANTASIA]]="","",_xlfn.XLOOKUP($C59,Log!D:D,Log!B:B,,,-1)),"")</f>
        <v/>
      </c>
      <c r="N59" s="81" t="str">
        <f>IFERROR(_xlfn.XLOOKUP($C59,Log!D:D,Log!W:W,,,-1),"")</f>
        <v/>
      </c>
      <c r="O59" s="81">
        <f>IFERROR(_xlfn.XLOOKUP($C59,Log!D:D,Log!Y:Y,,,-1),"")</f>
        <v>0</v>
      </c>
      <c r="Q59" s="69" t="str">
        <f>IFERROR(IF(Tabela13[[#This Row],[NOME FANTASIA]]="","",_xlfn.XLOOKUP($C59,Log!D:D,Log!X:X,,,-1)),"")</f>
        <v/>
      </c>
      <c r="R59" s="82">
        <f>COUNTIFS(Log!$D:$D,'Base Novos Clientes'!$C59,Log!$W:$W,'Base Novos Clientes'!R$2)</f>
        <v>0</v>
      </c>
      <c r="S59" s="82">
        <f>COUNTIFS(Log!$D:$D,'Base Novos Clientes'!$C59,Log!$W:$W,'Base Novos Clientes'!S$2)</f>
        <v>0</v>
      </c>
      <c r="T59" s="82">
        <f>COUNTIFS(Log!$D:$D,'Base Novos Clientes'!$C59,Log!$W:$W,'Base Novos Clientes'!T$2)</f>
        <v>0</v>
      </c>
    </row>
    <row r="60" spans="3:20" x14ac:dyDescent="0.25">
      <c r="C60" s="75"/>
      <c r="D60" s="75"/>
      <c r="E60" s="75"/>
      <c r="F60" s="75"/>
      <c r="G60" s="76"/>
      <c r="H60" s="77"/>
      <c r="I60" s="78"/>
      <c r="J60" s="79"/>
      <c r="K60" s="79" t="str">
        <f ca="1">IF(J60="","NOVO",_xlfn.XLOOKUP(TODAY()-J60,Regras!$C$3:$C$10,Regras!$D$3:$D$10,,1))</f>
        <v>NOVO</v>
      </c>
      <c r="L60" s="75" t="str">
        <f t="shared" si="0"/>
        <v/>
      </c>
      <c r="M60" s="80" t="str">
        <f>IFERROR(IF(Tabela13[[#This Row],[NOME FANTASIA]]="","",_xlfn.XLOOKUP($C60,Log!D:D,Log!B:B,,,-1)),"")</f>
        <v/>
      </c>
      <c r="N60" s="81" t="str">
        <f>IFERROR(_xlfn.XLOOKUP($C60,Log!D:D,Log!W:W,,,-1),"")</f>
        <v/>
      </c>
      <c r="O60" s="81">
        <f>IFERROR(_xlfn.XLOOKUP($C60,Log!D:D,Log!Y:Y,,,-1),"")</f>
        <v>0</v>
      </c>
      <c r="Q60" s="69" t="str">
        <f>IFERROR(IF(Tabela13[[#This Row],[NOME FANTASIA]]="","",_xlfn.XLOOKUP($C60,Log!D:D,Log!X:X,,,-1)),"")</f>
        <v/>
      </c>
      <c r="R60" s="82">
        <f>COUNTIFS(Log!$D:$D,'Base Novos Clientes'!$C60,Log!$W:$W,'Base Novos Clientes'!R$2)</f>
        <v>0</v>
      </c>
      <c r="S60" s="82">
        <f>COUNTIFS(Log!$D:$D,'Base Novos Clientes'!$C60,Log!$W:$W,'Base Novos Clientes'!S$2)</f>
        <v>0</v>
      </c>
      <c r="T60" s="82">
        <f>COUNTIFS(Log!$D:$D,'Base Novos Clientes'!$C60,Log!$W:$W,'Base Novos Clientes'!T$2)</f>
        <v>0</v>
      </c>
    </row>
    <row r="61" spans="3:20" x14ac:dyDescent="0.25">
      <c r="C61" s="75"/>
      <c r="D61" s="75"/>
      <c r="E61" s="75"/>
      <c r="F61" s="75"/>
      <c r="G61" s="76"/>
      <c r="H61" s="77"/>
      <c r="I61" s="78"/>
      <c r="J61" s="79"/>
      <c r="K61" s="79" t="str">
        <f ca="1">IF(J61="","NOVO",_xlfn.XLOOKUP(TODAY()-J61,Regras!$C$3:$C$10,Regras!$D$3:$D$10,,1))</f>
        <v>NOVO</v>
      </c>
      <c r="L61" s="75" t="str">
        <f t="shared" si="0"/>
        <v/>
      </c>
      <c r="M61" s="80" t="str">
        <f>IFERROR(IF(Tabela13[[#This Row],[NOME FANTASIA]]="","",_xlfn.XLOOKUP($C61,Log!D:D,Log!B:B,,,-1)),"")</f>
        <v/>
      </c>
      <c r="N61" s="81" t="str">
        <f>IFERROR(_xlfn.XLOOKUP($C61,Log!D:D,Log!W:W,,,-1),"")</f>
        <v/>
      </c>
      <c r="O61" s="81">
        <f>IFERROR(_xlfn.XLOOKUP($C61,Log!D:D,Log!Y:Y,,,-1),"")</f>
        <v>0</v>
      </c>
      <c r="Q61" s="69" t="str">
        <f>IFERROR(IF(Tabela13[[#This Row],[NOME FANTASIA]]="","",_xlfn.XLOOKUP($C61,Log!D:D,Log!X:X,,,-1)),"")</f>
        <v/>
      </c>
      <c r="R61" s="82">
        <f>COUNTIFS(Log!$D:$D,'Base Novos Clientes'!$C61,Log!$W:$W,'Base Novos Clientes'!R$2)</f>
        <v>0</v>
      </c>
      <c r="S61" s="82">
        <f>COUNTIFS(Log!$D:$D,'Base Novos Clientes'!$C61,Log!$W:$W,'Base Novos Clientes'!S$2)</f>
        <v>0</v>
      </c>
      <c r="T61" s="82">
        <f>COUNTIFS(Log!$D:$D,'Base Novos Clientes'!$C61,Log!$W:$W,'Base Novos Clientes'!T$2)</f>
        <v>0</v>
      </c>
    </row>
    <row r="62" spans="3:20" x14ac:dyDescent="0.25">
      <c r="C62" s="75"/>
      <c r="D62" s="75"/>
      <c r="E62" s="75"/>
      <c r="F62" s="75"/>
      <c r="G62" s="76"/>
      <c r="H62" s="77"/>
      <c r="I62" s="78"/>
      <c r="J62" s="79"/>
      <c r="K62" s="79" t="str">
        <f ca="1">IF(J62="","NOVO",_xlfn.XLOOKUP(TODAY()-J62,Regras!$C$3:$C$10,Regras!$D$3:$D$10,,1))</f>
        <v>NOVO</v>
      </c>
      <c r="L62" s="75" t="str">
        <f t="shared" si="0"/>
        <v/>
      </c>
      <c r="M62" s="80" t="str">
        <f>IFERROR(IF(Tabela13[[#This Row],[NOME FANTASIA]]="","",_xlfn.XLOOKUP($C62,Log!D:D,Log!B:B,,,-1)),"")</f>
        <v/>
      </c>
      <c r="N62" s="81" t="str">
        <f>IFERROR(_xlfn.XLOOKUP($C62,Log!D:D,Log!W:W,,,-1),"")</f>
        <v/>
      </c>
      <c r="O62" s="81">
        <f>IFERROR(_xlfn.XLOOKUP($C62,Log!D:D,Log!Y:Y,,,-1),"")</f>
        <v>0</v>
      </c>
      <c r="Q62" s="69" t="str">
        <f>IFERROR(IF(Tabela13[[#This Row],[NOME FANTASIA]]="","",_xlfn.XLOOKUP($C62,Log!D:D,Log!X:X,,,-1)),"")</f>
        <v/>
      </c>
      <c r="R62" s="82">
        <f>COUNTIFS(Log!$D:$D,'Base Novos Clientes'!$C62,Log!$W:$W,'Base Novos Clientes'!R$2)</f>
        <v>0</v>
      </c>
      <c r="S62" s="82">
        <f>COUNTIFS(Log!$D:$D,'Base Novos Clientes'!$C62,Log!$W:$W,'Base Novos Clientes'!S$2)</f>
        <v>0</v>
      </c>
      <c r="T62" s="82">
        <f>COUNTIFS(Log!$D:$D,'Base Novos Clientes'!$C62,Log!$W:$W,'Base Novos Clientes'!T$2)</f>
        <v>0</v>
      </c>
    </row>
    <row r="63" spans="3:20" x14ac:dyDescent="0.25">
      <c r="C63" s="75"/>
      <c r="D63" s="75"/>
      <c r="E63" s="75"/>
      <c r="F63" s="75"/>
      <c r="G63" s="76"/>
      <c r="H63" s="77"/>
      <c r="I63" s="78"/>
      <c r="J63" s="79"/>
      <c r="K63" s="79" t="str">
        <f ca="1">IF(J63="","NOVO",_xlfn.XLOOKUP(TODAY()-J63,Regras!$C$3:$C$10,Regras!$D$3:$D$10,,1))</f>
        <v>NOVO</v>
      </c>
      <c r="L63" s="75" t="str">
        <f t="shared" si="0"/>
        <v/>
      </c>
      <c r="M63" s="80" t="str">
        <f>IFERROR(IF(Tabela13[[#This Row],[NOME FANTASIA]]="","",_xlfn.XLOOKUP($C63,Log!D:D,Log!B:B,,,-1)),"")</f>
        <v/>
      </c>
      <c r="N63" s="81" t="str">
        <f>IFERROR(_xlfn.XLOOKUP($C63,Log!D:D,Log!W:W,,,-1),"")</f>
        <v/>
      </c>
      <c r="O63" s="81">
        <f>IFERROR(_xlfn.XLOOKUP($C63,Log!D:D,Log!Y:Y,,,-1),"")</f>
        <v>0</v>
      </c>
      <c r="Q63" s="69" t="str">
        <f>IFERROR(IF(Tabela13[[#This Row],[NOME FANTASIA]]="","",_xlfn.XLOOKUP($C63,Log!D:D,Log!X:X,,,-1)),"")</f>
        <v/>
      </c>
      <c r="R63" s="82">
        <f>COUNTIFS(Log!$D:$D,'Base Novos Clientes'!$C63,Log!$W:$W,'Base Novos Clientes'!R$2)</f>
        <v>0</v>
      </c>
      <c r="S63" s="82">
        <f>COUNTIFS(Log!$D:$D,'Base Novos Clientes'!$C63,Log!$W:$W,'Base Novos Clientes'!S$2)</f>
        <v>0</v>
      </c>
      <c r="T63" s="82">
        <f>COUNTIFS(Log!$D:$D,'Base Novos Clientes'!$C63,Log!$W:$W,'Base Novos Clientes'!T$2)</f>
        <v>0</v>
      </c>
    </row>
    <row r="64" spans="3:20" x14ac:dyDescent="0.25">
      <c r="C64" s="75"/>
      <c r="D64" s="75"/>
      <c r="E64" s="75"/>
      <c r="F64" s="75"/>
      <c r="G64" s="76"/>
      <c r="H64" s="77"/>
      <c r="I64" s="78"/>
      <c r="J64" s="79"/>
      <c r="K64" s="79" t="str">
        <f ca="1">IF(J64="","NOVO",_xlfn.XLOOKUP(TODAY()-J64,Regras!$C$3:$C$10,Regras!$D$3:$D$10,,1))</f>
        <v>NOVO</v>
      </c>
      <c r="L64" s="75" t="str">
        <f t="shared" si="0"/>
        <v/>
      </c>
      <c r="M64" s="80" t="str">
        <f>IFERROR(IF(Tabela13[[#This Row],[NOME FANTASIA]]="","",_xlfn.XLOOKUP($C64,Log!D:D,Log!B:B,,,-1)),"")</f>
        <v/>
      </c>
      <c r="N64" s="81" t="str">
        <f>IFERROR(_xlfn.XLOOKUP($C64,Log!D:D,Log!W:W,,,-1),"")</f>
        <v/>
      </c>
      <c r="O64" s="81">
        <f>IFERROR(_xlfn.XLOOKUP($C64,Log!D:D,Log!Y:Y,,,-1),"")</f>
        <v>0</v>
      </c>
      <c r="Q64" s="69" t="str">
        <f>IFERROR(IF(Tabela13[[#This Row],[NOME FANTASIA]]="","",_xlfn.XLOOKUP($C64,Log!D:D,Log!X:X,,,-1)),"")</f>
        <v/>
      </c>
      <c r="R64" s="82">
        <f>COUNTIFS(Log!$D:$D,'Base Novos Clientes'!$C64,Log!$W:$W,'Base Novos Clientes'!R$2)</f>
        <v>0</v>
      </c>
      <c r="S64" s="82">
        <f>COUNTIFS(Log!$D:$D,'Base Novos Clientes'!$C64,Log!$W:$W,'Base Novos Clientes'!S$2)</f>
        <v>0</v>
      </c>
      <c r="T64" s="82">
        <f>COUNTIFS(Log!$D:$D,'Base Novos Clientes'!$C64,Log!$W:$W,'Base Novos Clientes'!T$2)</f>
        <v>0</v>
      </c>
    </row>
    <row r="65" spans="3:20" x14ac:dyDescent="0.25">
      <c r="C65" s="75"/>
      <c r="D65" s="75"/>
      <c r="E65" s="75"/>
      <c r="F65" s="75"/>
      <c r="G65" s="76"/>
      <c r="H65" s="77"/>
      <c r="I65" s="78"/>
      <c r="J65" s="79"/>
      <c r="K65" s="79" t="str">
        <f ca="1">IF(J65="","NOVO",_xlfn.XLOOKUP(TODAY()-J65,Regras!$C$3:$C$10,Regras!$D$3:$D$10,,1))</f>
        <v>NOVO</v>
      </c>
      <c r="L65" s="75" t="str">
        <f t="shared" si="0"/>
        <v/>
      </c>
      <c r="M65" s="80" t="str">
        <f>IFERROR(IF(Tabela13[[#This Row],[NOME FANTASIA]]="","",_xlfn.XLOOKUP($C65,Log!D:D,Log!B:B,,,-1)),"")</f>
        <v/>
      </c>
      <c r="N65" s="81" t="str">
        <f>IFERROR(_xlfn.XLOOKUP($C65,Log!D:D,Log!W:W,,,-1),"")</f>
        <v/>
      </c>
      <c r="O65" s="81">
        <f>IFERROR(_xlfn.XLOOKUP($C65,Log!D:D,Log!Y:Y,,,-1),"")</f>
        <v>0</v>
      </c>
      <c r="Q65" s="69" t="str">
        <f>IFERROR(IF(Tabela13[[#This Row],[NOME FANTASIA]]="","",_xlfn.XLOOKUP($C65,Log!D:D,Log!X:X,,,-1)),"")</f>
        <v/>
      </c>
      <c r="R65" s="82">
        <f>COUNTIFS(Log!$D:$D,'Base Novos Clientes'!$C65,Log!$W:$W,'Base Novos Clientes'!R$2)</f>
        <v>0</v>
      </c>
      <c r="S65" s="82">
        <f>COUNTIFS(Log!$D:$D,'Base Novos Clientes'!$C65,Log!$W:$W,'Base Novos Clientes'!S$2)</f>
        <v>0</v>
      </c>
      <c r="T65" s="82">
        <f>COUNTIFS(Log!$D:$D,'Base Novos Clientes'!$C65,Log!$W:$W,'Base Novos Clientes'!T$2)</f>
        <v>0</v>
      </c>
    </row>
    <row r="66" spans="3:20" x14ac:dyDescent="0.25">
      <c r="C66" s="75"/>
      <c r="D66" s="75"/>
      <c r="E66" s="75"/>
      <c r="F66" s="75"/>
      <c r="G66" s="76"/>
      <c r="H66" s="77"/>
      <c r="I66" s="78"/>
      <c r="J66" s="79"/>
      <c r="K66" s="79" t="str">
        <f ca="1">IF(J66="","NOVO",_xlfn.XLOOKUP(TODAY()-J66,Regras!$C$3:$C$10,Regras!$D$3:$D$10,,1))</f>
        <v>NOVO</v>
      </c>
      <c r="L66" s="75" t="str">
        <f t="shared" si="0"/>
        <v/>
      </c>
      <c r="M66" s="80" t="str">
        <f>IFERROR(IF(Tabela13[[#This Row],[NOME FANTASIA]]="","",_xlfn.XLOOKUP($C66,Log!D:D,Log!B:B,,,-1)),"")</f>
        <v/>
      </c>
      <c r="N66" s="81" t="str">
        <f>IFERROR(_xlfn.XLOOKUP($C66,Log!D:D,Log!W:W,,,-1),"")</f>
        <v/>
      </c>
      <c r="O66" s="81">
        <f>IFERROR(_xlfn.XLOOKUP($C66,Log!D:D,Log!Y:Y,,,-1),"")</f>
        <v>0</v>
      </c>
      <c r="Q66" s="69" t="str">
        <f>IFERROR(IF(Tabela13[[#This Row],[NOME FANTASIA]]="","",_xlfn.XLOOKUP($C66,Log!D:D,Log!X:X,,,-1)),"")</f>
        <v/>
      </c>
      <c r="R66" s="82">
        <f>COUNTIFS(Log!$D:$D,'Base Novos Clientes'!$C66,Log!$W:$W,'Base Novos Clientes'!R$2)</f>
        <v>0</v>
      </c>
      <c r="S66" s="82">
        <f>COUNTIFS(Log!$D:$D,'Base Novos Clientes'!$C66,Log!$W:$W,'Base Novos Clientes'!S$2)</f>
        <v>0</v>
      </c>
      <c r="T66" s="82">
        <f>COUNTIFS(Log!$D:$D,'Base Novos Clientes'!$C66,Log!$W:$W,'Base Novos Clientes'!T$2)</f>
        <v>0</v>
      </c>
    </row>
    <row r="67" spans="3:20" x14ac:dyDescent="0.25">
      <c r="C67" s="75"/>
      <c r="D67" s="75"/>
      <c r="E67" s="75"/>
      <c r="F67" s="75"/>
      <c r="G67" s="76"/>
      <c r="H67" s="77"/>
      <c r="I67" s="78"/>
      <c r="J67" s="79"/>
      <c r="K67" s="79" t="str">
        <f ca="1">IF(J67="","NOVO",_xlfn.XLOOKUP(TODAY()-J67,Regras!$C$3:$C$10,Regras!$D$3:$D$10,,1))</f>
        <v>NOVO</v>
      </c>
      <c r="L67" s="75" t="str">
        <f t="shared" si="0"/>
        <v/>
      </c>
      <c r="M67" s="80" t="str">
        <f>IFERROR(IF(Tabela13[[#This Row],[NOME FANTASIA]]="","",_xlfn.XLOOKUP($C67,Log!D:D,Log!B:B,,,-1)),"")</f>
        <v/>
      </c>
      <c r="N67" s="81" t="str">
        <f>IFERROR(_xlfn.XLOOKUP($C67,Log!D:D,Log!W:W,,,-1),"")</f>
        <v/>
      </c>
      <c r="O67" s="81">
        <f>IFERROR(_xlfn.XLOOKUP($C67,Log!D:D,Log!Y:Y,,,-1),"")</f>
        <v>0</v>
      </c>
      <c r="Q67" s="69" t="str">
        <f>IFERROR(IF(Tabela13[[#This Row],[NOME FANTASIA]]="","",_xlfn.XLOOKUP($C67,Log!D:D,Log!X:X,,,-1)),"")</f>
        <v/>
      </c>
      <c r="R67" s="82">
        <f>COUNTIFS(Log!$D:$D,'Base Novos Clientes'!$C67,Log!$W:$W,'Base Novos Clientes'!R$2)</f>
        <v>0</v>
      </c>
      <c r="S67" s="82">
        <f>COUNTIFS(Log!$D:$D,'Base Novos Clientes'!$C67,Log!$W:$W,'Base Novos Clientes'!S$2)</f>
        <v>0</v>
      </c>
      <c r="T67" s="82">
        <f>COUNTIFS(Log!$D:$D,'Base Novos Clientes'!$C67,Log!$W:$W,'Base Novos Clientes'!T$2)</f>
        <v>0</v>
      </c>
    </row>
    <row r="68" spans="3:20" x14ac:dyDescent="0.25">
      <c r="C68" s="75"/>
      <c r="D68" s="75"/>
      <c r="E68" s="75"/>
      <c r="F68" s="75"/>
      <c r="G68" s="76"/>
      <c r="H68" s="77"/>
      <c r="I68" s="78"/>
      <c r="J68" s="79"/>
      <c r="K68" s="79" t="str">
        <f ca="1">IF(J68="","NOVO",_xlfn.XLOOKUP(TODAY()-J68,Regras!$C$3:$C$10,Regras!$D$3:$D$10,,1))</f>
        <v>NOVO</v>
      </c>
      <c r="L68" s="75" t="str">
        <f t="shared" ref="L68:L131" si="1">IF(OR(I68&lt;=0,I68=""),"","Recompra")</f>
        <v/>
      </c>
      <c r="M68" s="80" t="str">
        <f>IFERROR(IF(Tabela13[[#This Row],[NOME FANTASIA]]="","",_xlfn.XLOOKUP($C68,Log!D:D,Log!B:B,,,-1)),"")</f>
        <v/>
      </c>
      <c r="N68" s="81" t="str">
        <f>IFERROR(_xlfn.XLOOKUP($C68,Log!D:D,Log!W:W,,,-1),"")</f>
        <v/>
      </c>
      <c r="O68" s="81">
        <f>IFERROR(_xlfn.XLOOKUP($C68,Log!D:D,Log!Y:Y,,,-1),"")</f>
        <v>0</v>
      </c>
      <c r="Q68" s="69" t="str">
        <f>IFERROR(IF(Tabela13[[#This Row],[NOME FANTASIA]]="","",_xlfn.XLOOKUP($C68,Log!D:D,Log!X:X,,,-1)),"")</f>
        <v/>
      </c>
      <c r="R68" s="82">
        <f>COUNTIFS(Log!$D:$D,'Base Novos Clientes'!$C68,Log!$W:$W,'Base Novos Clientes'!R$2)</f>
        <v>0</v>
      </c>
      <c r="S68" s="82">
        <f>COUNTIFS(Log!$D:$D,'Base Novos Clientes'!$C68,Log!$W:$W,'Base Novos Clientes'!S$2)</f>
        <v>0</v>
      </c>
      <c r="T68" s="82">
        <f>COUNTIFS(Log!$D:$D,'Base Novos Clientes'!$C68,Log!$W:$W,'Base Novos Clientes'!T$2)</f>
        <v>0</v>
      </c>
    </row>
    <row r="69" spans="3:20" x14ac:dyDescent="0.25">
      <c r="C69" s="75"/>
      <c r="D69" s="75"/>
      <c r="E69" s="75"/>
      <c r="F69" s="75"/>
      <c r="G69" s="76"/>
      <c r="H69" s="77"/>
      <c r="I69" s="78"/>
      <c r="J69" s="79"/>
      <c r="K69" s="79" t="str">
        <f ca="1">IF(J69="","NOVO",_xlfn.XLOOKUP(TODAY()-J69,Regras!$C$3:$C$10,Regras!$D$3:$D$10,,1))</f>
        <v>NOVO</v>
      </c>
      <c r="L69" s="75" t="str">
        <f t="shared" si="1"/>
        <v/>
      </c>
      <c r="M69" s="80" t="str">
        <f>IFERROR(IF(Tabela13[[#This Row],[NOME FANTASIA]]="","",_xlfn.XLOOKUP($C69,Log!D:D,Log!B:B,,,-1)),"")</f>
        <v/>
      </c>
      <c r="N69" s="81" t="str">
        <f>IFERROR(_xlfn.XLOOKUP($C69,Log!D:D,Log!W:W,,,-1),"")</f>
        <v/>
      </c>
      <c r="O69" s="81">
        <f>IFERROR(_xlfn.XLOOKUP($C69,Log!D:D,Log!Y:Y,,,-1),"")</f>
        <v>0</v>
      </c>
      <c r="Q69" s="69" t="str">
        <f>IFERROR(IF(Tabela13[[#This Row],[NOME FANTASIA]]="","",_xlfn.XLOOKUP($C69,Log!D:D,Log!X:X,,,-1)),"")</f>
        <v/>
      </c>
      <c r="R69" s="82">
        <f>COUNTIFS(Log!$D:$D,'Base Novos Clientes'!$C69,Log!$W:$W,'Base Novos Clientes'!R$2)</f>
        <v>0</v>
      </c>
      <c r="S69" s="82">
        <f>COUNTIFS(Log!$D:$D,'Base Novos Clientes'!$C69,Log!$W:$W,'Base Novos Clientes'!S$2)</f>
        <v>0</v>
      </c>
      <c r="T69" s="82">
        <f>COUNTIFS(Log!$D:$D,'Base Novos Clientes'!$C69,Log!$W:$W,'Base Novos Clientes'!T$2)</f>
        <v>0</v>
      </c>
    </row>
    <row r="70" spans="3:20" x14ac:dyDescent="0.25">
      <c r="C70" s="75"/>
      <c r="D70" s="75"/>
      <c r="E70" s="75"/>
      <c r="F70" s="75"/>
      <c r="G70" s="76"/>
      <c r="H70" s="77"/>
      <c r="I70" s="78"/>
      <c r="J70" s="79"/>
      <c r="K70" s="79" t="str">
        <f ca="1">IF(J70="","NOVO",_xlfn.XLOOKUP(TODAY()-J70,Regras!$C$3:$C$10,Regras!$D$3:$D$10,,1))</f>
        <v>NOVO</v>
      </c>
      <c r="L70" s="75" t="str">
        <f t="shared" si="1"/>
        <v/>
      </c>
      <c r="M70" s="80" t="str">
        <f>IFERROR(IF(Tabela13[[#This Row],[NOME FANTASIA]]="","",_xlfn.XLOOKUP($C70,Log!D:D,Log!B:B,,,-1)),"")</f>
        <v/>
      </c>
      <c r="N70" s="81" t="str">
        <f>IFERROR(_xlfn.XLOOKUP($C70,Log!D:D,Log!W:W,,,-1),"")</f>
        <v/>
      </c>
      <c r="O70" s="81">
        <f>IFERROR(_xlfn.XLOOKUP($C70,Log!D:D,Log!Y:Y,,,-1),"")</f>
        <v>0</v>
      </c>
      <c r="Q70" s="69" t="str">
        <f>IFERROR(IF(Tabela13[[#This Row],[NOME FANTASIA]]="","",_xlfn.XLOOKUP($C70,Log!D:D,Log!X:X,,,-1)),"")</f>
        <v/>
      </c>
      <c r="R70" s="82">
        <f>COUNTIFS(Log!$D:$D,'Base Novos Clientes'!$C70,Log!$W:$W,'Base Novos Clientes'!R$2)</f>
        <v>0</v>
      </c>
      <c r="S70" s="82">
        <f>COUNTIFS(Log!$D:$D,'Base Novos Clientes'!$C70,Log!$W:$W,'Base Novos Clientes'!S$2)</f>
        <v>0</v>
      </c>
      <c r="T70" s="82">
        <f>COUNTIFS(Log!$D:$D,'Base Novos Clientes'!$C70,Log!$W:$W,'Base Novos Clientes'!T$2)</f>
        <v>0</v>
      </c>
    </row>
    <row r="71" spans="3:20" x14ac:dyDescent="0.25">
      <c r="C71" s="75"/>
      <c r="D71" s="75"/>
      <c r="E71" s="75"/>
      <c r="F71" s="75"/>
      <c r="G71" s="76"/>
      <c r="H71" s="77"/>
      <c r="I71" s="78"/>
      <c r="J71" s="79"/>
      <c r="K71" s="79" t="str">
        <f ca="1">IF(J71="","NOVO",_xlfn.XLOOKUP(TODAY()-J71,Regras!$C$3:$C$10,Regras!$D$3:$D$10,,1))</f>
        <v>NOVO</v>
      </c>
      <c r="L71" s="75" t="str">
        <f t="shared" si="1"/>
        <v/>
      </c>
      <c r="M71" s="80" t="str">
        <f>IFERROR(IF(Tabela13[[#This Row],[NOME FANTASIA]]="","",_xlfn.XLOOKUP($C71,Log!D:D,Log!B:B,,,-1)),"")</f>
        <v/>
      </c>
      <c r="N71" s="81" t="str">
        <f>IFERROR(_xlfn.XLOOKUP($C71,Log!D:D,Log!W:W,,,-1),"")</f>
        <v/>
      </c>
      <c r="O71" s="81">
        <f>IFERROR(_xlfn.XLOOKUP($C71,Log!D:D,Log!Y:Y,,,-1),"")</f>
        <v>0</v>
      </c>
      <c r="Q71" s="69" t="str">
        <f>IFERROR(IF(Tabela13[[#This Row],[NOME FANTASIA]]="","",_xlfn.XLOOKUP($C71,Log!D:D,Log!X:X,,,-1)),"")</f>
        <v/>
      </c>
      <c r="R71" s="82">
        <f>COUNTIFS(Log!$D:$D,'Base Novos Clientes'!$C71,Log!$W:$W,'Base Novos Clientes'!R$2)</f>
        <v>0</v>
      </c>
      <c r="S71" s="82">
        <f>COUNTIFS(Log!$D:$D,'Base Novos Clientes'!$C71,Log!$W:$W,'Base Novos Clientes'!S$2)</f>
        <v>0</v>
      </c>
      <c r="T71" s="82">
        <f>COUNTIFS(Log!$D:$D,'Base Novos Clientes'!$C71,Log!$W:$W,'Base Novos Clientes'!T$2)</f>
        <v>0</v>
      </c>
    </row>
    <row r="72" spans="3:20" x14ac:dyDescent="0.25">
      <c r="C72" s="75"/>
      <c r="D72" s="75"/>
      <c r="E72" s="75"/>
      <c r="F72" s="75"/>
      <c r="G72" s="76"/>
      <c r="H72" s="77"/>
      <c r="I72" s="78"/>
      <c r="J72" s="79"/>
      <c r="K72" s="79" t="str">
        <f ca="1">IF(J72="","NOVO",_xlfn.XLOOKUP(TODAY()-J72,Regras!$C$3:$C$10,Regras!$D$3:$D$10,,1))</f>
        <v>NOVO</v>
      </c>
      <c r="L72" s="75" t="str">
        <f t="shared" si="1"/>
        <v/>
      </c>
      <c r="M72" s="80" t="str">
        <f>IFERROR(IF(Tabela13[[#This Row],[NOME FANTASIA]]="","",_xlfn.XLOOKUP($C72,Log!D:D,Log!B:B,,,-1)),"")</f>
        <v/>
      </c>
      <c r="N72" s="81" t="str">
        <f>IFERROR(_xlfn.XLOOKUP($C72,Log!D:D,Log!W:W,,,-1),"")</f>
        <v/>
      </c>
      <c r="O72" s="81">
        <f>IFERROR(_xlfn.XLOOKUP($C72,Log!D:D,Log!Y:Y,,,-1),"")</f>
        <v>0</v>
      </c>
      <c r="Q72" s="69" t="str">
        <f>IFERROR(IF(Tabela13[[#This Row],[NOME FANTASIA]]="","",_xlfn.XLOOKUP($C72,Log!D:D,Log!X:X,,,-1)),"")</f>
        <v/>
      </c>
      <c r="R72" s="82">
        <f>COUNTIFS(Log!$D:$D,'Base Novos Clientes'!$C72,Log!$W:$W,'Base Novos Clientes'!R$2)</f>
        <v>0</v>
      </c>
      <c r="S72" s="82">
        <f>COUNTIFS(Log!$D:$D,'Base Novos Clientes'!$C72,Log!$W:$W,'Base Novos Clientes'!S$2)</f>
        <v>0</v>
      </c>
      <c r="T72" s="82">
        <f>COUNTIFS(Log!$D:$D,'Base Novos Clientes'!$C72,Log!$W:$W,'Base Novos Clientes'!T$2)</f>
        <v>0</v>
      </c>
    </row>
    <row r="73" spans="3:20" x14ac:dyDescent="0.25">
      <c r="C73" s="75"/>
      <c r="D73" s="75"/>
      <c r="E73" s="75"/>
      <c r="F73" s="75"/>
      <c r="G73" s="76"/>
      <c r="H73" s="77"/>
      <c r="I73" s="78"/>
      <c r="J73" s="79"/>
      <c r="K73" s="79" t="str">
        <f ca="1">IF(J73="","NOVO",_xlfn.XLOOKUP(TODAY()-J73,Regras!$C$3:$C$10,Regras!$D$3:$D$10,,1))</f>
        <v>NOVO</v>
      </c>
      <c r="L73" s="75" t="str">
        <f t="shared" si="1"/>
        <v/>
      </c>
      <c r="M73" s="80" t="str">
        <f>IFERROR(IF(Tabela13[[#This Row],[NOME FANTASIA]]="","",_xlfn.XLOOKUP($C73,Log!D:D,Log!B:B,,,-1)),"")</f>
        <v/>
      </c>
      <c r="N73" s="81" t="str">
        <f>IFERROR(_xlfn.XLOOKUP($C73,Log!D:D,Log!W:W,,,-1),"")</f>
        <v/>
      </c>
      <c r="O73" s="81">
        <f>IFERROR(_xlfn.XLOOKUP($C73,Log!D:D,Log!Y:Y,,,-1),"")</f>
        <v>0</v>
      </c>
      <c r="Q73" s="69" t="str">
        <f>IFERROR(IF(Tabela13[[#This Row],[NOME FANTASIA]]="","",_xlfn.XLOOKUP($C73,Log!D:D,Log!X:X,,,-1)),"")</f>
        <v/>
      </c>
      <c r="R73" s="82">
        <f>COUNTIFS(Log!$D:$D,'Base Novos Clientes'!$C73,Log!$W:$W,'Base Novos Clientes'!R$2)</f>
        <v>0</v>
      </c>
      <c r="S73" s="82">
        <f>COUNTIFS(Log!$D:$D,'Base Novos Clientes'!$C73,Log!$W:$W,'Base Novos Clientes'!S$2)</f>
        <v>0</v>
      </c>
      <c r="T73" s="82">
        <f>COUNTIFS(Log!$D:$D,'Base Novos Clientes'!$C73,Log!$W:$W,'Base Novos Clientes'!T$2)</f>
        <v>0</v>
      </c>
    </row>
    <row r="74" spans="3:20" x14ac:dyDescent="0.25">
      <c r="C74" s="75"/>
      <c r="D74" s="75"/>
      <c r="E74" s="75"/>
      <c r="F74" s="75"/>
      <c r="G74" s="76"/>
      <c r="H74" s="77"/>
      <c r="I74" s="78"/>
      <c r="J74" s="79"/>
      <c r="K74" s="79" t="str">
        <f ca="1">IF(J74="","NOVO",_xlfn.XLOOKUP(TODAY()-J74,Regras!$C$3:$C$10,Regras!$D$3:$D$10,,1))</f>
        <v>NOVO</v>
      </c>
      <c r="L74" s="75" t="str">
        <f t="shared" si="1"/>
        <v/>
      </c>
      <c r="M74" s="80" t="str">
        <f>IFERROR(IF(Tabela13[[#This Row],[NOME FANTASIA]]="","",_xlfn.XLOOKUP($C74,Log!D:D,Log!B:B,,,-1)),"")</f>
        <v/>
      </c>
      <c r="N74" s="81" t="str">
        <f>IFERROR(_xlfn.XLOOKUP($C74,Log!D:D,Log!W:W,,,-1),"")</f>
        <v/>
      </c>
      <c r="O74" s="81">
        <f>IFERROR(_xlfn.XLOOKUP($C74,Log!D:D,Log!Y:Y,,,-1),"")</f>
        <v>0</v>
      </c>
      <c r="Q74" s="69" t="str">
        <f>IFERROR(IF(Tabela13[[#This Row],[NOME FANTASIA]]="","",_xlfn.XLOOKUP($C74,Log!D:D,Log!X:X,,,-1)),"")</f>
        <v/>
      </c>
      <c r="R74" s="82">
        <f>COUNTIFS(Log!$D:$D,'Base Novos Clientes'!$C74,Log!$W:$W,'Base Novos Clientes'!R$2)</f>
        <v>0</v>
      </c>
      <c r="S74" s="82">
        <f>COUNTIFS(Log!$D:$D,'Base Novos Clientes'!$C74,Log!$W:$W,'Base Novos Clientes'!S$2)</f>
        <v>0</v>
      </c>
      <c r="T74" s="82">
        <f>COUNTIFS(Log!$D:$D,'Base Novos Clientes'!$C74,Log!$W:$W,'Base Novos Clientes'!T$2)</f>
        <v>0</v>
      </c>
    </row>
    <row r="75" spans="3:20" x14ac:dyDescent="0.25">
      <c r="C75" s="75"/>
      <c r="D75" s="75"/>
      <c r="E75" s="75"/>
      <c r="F75" s="75"/>
      <c r="G75" s="76"/>
      <c r="H75" s="77"/>
      <c r="I75" s="78"/>
      <c r="J75" s="79"/>
      <c r="K75" s="79" t="str">
        <f ca="1">IF(J75="","NOVO",_xlfn.XLOOKUP(TODAY()-J75,Regras!$C$3:$C$10,Regras!$D$3:$D$10,,1))</f>
        <v>NOVO</v>
      </c>
      <c r="L75" s="75" t="str">
        <f t="shared" si="1"/>
        <v/>
      </c>
      <c r="M75" s="80" t="str">
        <f>IFERROR(IF(Tabela13[[#This Row],[NOME FANTASIA]]="","",_xlfn.XLOOKUP($C75,Log!D:D,Log!B:B,,,-1)),"")</f>
        <v/>
      </c>
      <c r="N75" s="81" t="str">
        <f>IFERROR(_xlfn.XLOOKUP($C75,Log!D:D,Log!W:W,,,-1),"")</f>
        <v/>
      </c>
      <c r="O75" s="81">
        <f>IFERROR(_xlfn.XLOOKUP($C75,Log!D:D,Log!Y:Y,,,-1),"")</f>
        <v>0</v>
      </c>
      <c r="Q75" s="69" t="str">
        <f>IFERROR(IF(Tabela13[[#This Row],[NOME FANTASIA]]="","",_xlfn.XLOOKUP($C75,Log!D:D,Log!X:X,,,-1)),"")</f>
        <v/>
      </c>
      <c r="R75" s="82">
        <f>COUNTIFS(Log!$D:$D,'Base Novos Clientes'!$C75,Log!$W:$W,'Base Novos Clientes'!R$2)</f>
        <v>0</v>
      </c>
      <c r="S75" s="82">
        <f>COUNTIFS(Log!$D:$D,'Base Novos Clientes'!$C75,Log!$W:$W,'Base Novos Clientes'!S$2)</f>
        <v>0</v>
      </c>
      <c r="T75" s="82">
        <f>COUNTIFS(Log!$D:$D,'Base Novos Clientes'!$C75,Log!$W:$W,'Base Novos Clientes'!T$2)</f>
        <v>0</v>
      </c>
    </row>
    <row r="76" spans="3:20" x14ac:dyDescent="0.25">
      <c r="C76" s="75"/>
      <c r="D76" s="75"/>
      <c r="E76" s="75"/>
      <c r="F76" s="75"/>
      <c r="G76" s="76"/>
      <c r="H76" s="77"/>
      <c r="I76" s="78"/>
      <c r="J76" s="79"/>
      <c r="K76" s="79" t="str">
        <f ca="1">IF(J76="","NOVO",_xlfn.XLOOKUP(TODAY()-J76,Regras!$C$3:$C$10,Regras!$D$3:$D$10,,1))</f>
        <v>NOVO</v>
      </c>
      <c r="L76" s="75" t="str">
        <f t="shared" si="1"/>
        <v/>
      </c>
      <c r="M76" s="80" t="str">
        <f>IFERROR(IF(Tabela13[[#This Row],[NOME FANTASIA]]="","",_xlfn.XLOOKUP($C76,Log!D:D,Log!B:B,,,-1)),"")</f>
        <v/>
      </c>
      <c r="N76" s="81" t="str">
        <f>IFERROR(_xlfn.XLOOKUP($C76,Log!D:D,Log!W:W,,,-1),"")</f>
        <v/>
      </c>
      <c r="O76" s="81">
        <f>IFERROR(_xlfn.XLOOKUP($C76,Log!D:D,Log!Y:Y,,,-1),"")</f>
        <v>0</v>
      </c>
      <c r="Q76" s="69" t="str">
        <f>IFERROR(IF(Tabela13[[#This Row],[NOME FANTASIA]]="","",_xlfn.XLOOKUP($C76,Log!D:D,Log!X:X,,,-1)),"")</f>
        <v/>
      </c>
      <c r="R76" s="82">
        <f>COUNTIFS(Log!$D:$D,'Base Novos Clientes'!$C76,Log!$W:$W,'Base Novos Clientes'!R$2)</f>
        <v>0</v>
      </c>
      <c r="S76" s="82">
        <f>COUNTIFS(Log!$D:$D,'Base Novos Clientes'!$C76,Log!$W:$W,'Base Novos Clientes'!S$2)</f>
        <v>0</v>
      </c>
      <c r="T76" s="82">
        <f>COUNTIFS(Log!$D:$D,'Base Novos Clientes'!$C76,Log!$W:$W,'Base Novos Clientes'!T$2)</f>
        <v>0</v>
      </c>
    </row>
    <row r="77" spans="3:20" x14ac:dyDescent="0.25">
      <c r="C77" s="75"/>
      <c r="D77" s="75"/>
      <c r="E77" s="75"/>
      <c r="F77" s="75"/>
      <c r="G77" s="76"/>
      <c r="H77" s="77"/>
      <c r="I77" s="78"/>
      <c r="J77" s="79"/>
      <c r="K77" s="79" t="str">
        <f ca="1">IF(J77="","NOVO",_xlfn.XLOOKUP(TODAY()-J77,Regras!$C$3:$C$10,Regras!$D$3:$D$10,,1))</f>
        <v>NOVO</v>
      </c>
      <c r="L77" s="75" t="str">
        <f t="shared" si="1"/>
        <v/>
      </c>
      <c r="M77" s="80" t="str">
        <f>IFERROR(IF(Tabela13[[#This Row],[NOME FANTASIA]]="","",_xlfn.XLOOKUP($C77,Log!D:D,Log!B:B,,,-1)),"")</f>
        <v/>
      </c>
      <c r="N77" s="81" t="str">
        <f>IFERROR(_xlfn.XLOOKUP($C77,Log!D:D,Log!W:W,,,-1),"")</f>
        <v/>
      </c>
      <c r="O77" s="81">
        <f>IFERROR(_xlfn.XLOOKUP($C77,Log!D:D,Log!Y:Y,,,-1),"")</f>
        <v>0</v>
      </c>
      <c r="Q77" s="69" t="str">
        <f>IFERROR(IF(Tabela13[[#This Row],[NOME FANTASIA]]="","",_xlfn.XLOOKUP($C77,Log!D:D,Log!X:X,,,-1)),"")</f>
        <v/>
      </c>
      <c r="R77" s="82">
        <f>COUNTIFS(Log!$D:$D,'Base Novos Clientes'!$C77,Log!$W:$W,'Base Novos Clientes'!R$2)</f>
        <v>0</v>
      </c>
      <c r="S77" s="82">
        <f>COUNTIFS(Log!$D:$D,'Base Novos Clientes'!$C77,Log!$W:$W,'Base Novos Clientes'!S$2)</f>
        <v>0</v>
      </c>
      <c r="T77" s="82">
        <f>COUNTIFS(Log!$D:$D,'Base Novos Clientes'!$C77,Log!$W:$W,'Base Novos Clientes'!T$2)</f>
        <v>0</v>
      </c>
    </row>
    <row r="78" spans="3:20" x14ac:dyDescent="0.25">
      <c r="C78" s="75"/>
      <c r="D78" s="75"/>
      <c r="E78" s="75"/>
      <c r="F78" s="75"/>
      <c r="G78" s="76"/>
      <c r="H78" s="77"/>
      <c r="I78" s="78"/>
      <c r="J78" s="79"/>
      <c r="K78" s="79" t="str">
        <f ca="1">IF(J78="","NOVO",_xlfn.XLOOKUP(TODAY()-J78,Regras!$C$3:$C$10,Regras!$D$3:$D$10,,1))</f>
        <v>NOVO</v>
      </c>
      <c r="L78" s="75" t="str">
        <f t="shared" si="1"/>
        <v/>
      </c>
      <c r="M78" s="80" t="str">
        <f>IFERROR(IF(Tabela13[[#This Row],[NOME FANTASIA]]="","",_xlfn.XLOOKUP($C78,Log!D:D,Log!B:B,,,-1)),"")</f>
        <v/>
      </c>
      <c r="N78" s="81" t="str">
        <f>IFERROR(_xlfn.XLOOKUP($C78,Log!D:D,Log!W:W,,,-1),"")</f>
        <v/>
      </c>
      <c r="O78" s="81">
        <f>IFERROR(_xlfn.XLOOKUP($C78,Log!D:D,Log!Y:Y,,,-1),"")</f>
        <v>0</v>
      </c>
      <c r="Q78" s="69" t="str">
        <f>IFERROR(IF(Tabela13[[#This Row],[NOME FANTASIA]]="","",_xlfn.XLOOKUP($C78,Log!D:D,Log!X:X,,,-1)),"")</f>
        <v/>
      </c>
      <c r="R78" s="82">
        <f>COUNTIFS(Log!$D:$D,'Base Novos Clientes'!$C78,Log!$W:$W,'Base Novos Clientes'!R$2)</f>
        <v>0</v>
      </c>
      <c r="S78" s="82">
        <f>COUNTIFS(Log!$D:$D,'Base Novos Clientes'!$C78,Log!$W:$W,'Base Novos Clientes'!S$2)</f>
        <v>0</v>
      </c>
      <c r="T78" s="82">
        <f>COUNTIFS(Log!$D:$D,'Base Novos Clientes'!$C78,Log!$W:$W,'Base Novos Clientes'!T$2)</f>
        <v>0</v>
      </c>
    </row>
    <row r="79" spans="3:20" x14ac:dyDescent="0.25">
      <c r="C79" s="75"/>
      <c r="D79" s="75"/>
      <c r="E79" s="75"/>
      <c r="F79" s="75"/>
      <c r="G79" s="76"/>
      <c r="H79" s="77"/>
      <c r="I79" s="78"/>
      <c r="J79" s="79"/>
      <c r="K79" s="79" t="str">
        <f ca="1">IF(J79="","NOVO",_xlfn.XLOOKUP(TODAY()-J79,Regras!$C$3:$C$10,Regras!$D$3:$D$10,,1))</f>
        <v>NOVO</v>
      </c>
      <c r="L79" s="75" t="str">
        <f t="shared" si="1"/>
        <v/>
      </c>
      <c r="M79" s="80" t="str">
        <f>IFERROR(IF(Tabela13[[#This Row],[NOME FANTASIA]]="","",_xlfn.XLOOKUP($C79,Log!D:D,Log!B:B,,,-1)),"")</f>
        <v/>
      </c>
      <c r="N79" s="81" t="str">
        <f>IFERROR(_xlfn.XLOOKUP($C79,Log!D:D,Log!W:W,,,-1),"")</f>
        <v/>
      </c>
      <c r="O79" s="81">
        <f>IFERROR(_xlfn.XLOOKUP($C79,Log!D:D,Log!Y:Y,,,-1),"")</f>
        <v>0</v>
      </c>
      <c r="Q79" s="69" t="str">
        <f>IFERROR(IF(Tabela13[[#This Row],[NOME FANTASIA]]="","",_xlfn.XLOOKUP($C79,Log!D:D,Log!X:X,,,-1)),"")</f>
        <v/>
      </c>
      <c r="R79" s="82">
        <f>COUNTIFS(Log!$D:$D,'Base Novos Clientes'!$C79,Log!$W:$W,'Base Novos Clientes'!R$2)</f>
        <v>0</v>
      </c>
      <c r="S79" s="82">
        <f>COUNTIFS(Log!$D:$D,'Base Novos Clientes'!$C79,Log!$W:$W,'Base Novos Clientes'!S$2)</f>
        <v>0</v>
      </c>
      <c r="T79" s="82">
        <f>COUNTIFS(Log!$D:$D,'Base Novos Clientes'!$C79,Log!$W:$W,'Base Novos Clientes'!T$2)</f>
        <v>0</v>
      </c>
    </row>
    <row r="80" spans="3:20" x14ac:dyDescent="0.25">
      <c r="C80" s="75"/>
      <c r="D80" s="75"/>
      <c r="E80" s="75"/>
      <c r="F80" s="75"/>
      <c r="G80" s="76"/>
      <c r="H80" s="77"/>
      <c r="I80" s="78"/>
      <c r="J80" s="79"/>
      <c r="K80" s="79" t="str">
        <f ca="1">IF(J80="","NOVO",_xlfn.XLOOKUP(TODAY()-J80,Regras!$C$3:$C$10,Regras!$D$3:$D$10,,1))</f>
        <v>NOVO</v>
      </c>
      <c r="L80" s="75" t="str">
        <f t="shared" si="1"/>
        <v/>
      </c>
      <c r="M80" s="80" t="str">
        <f>IFERROR(IF(Tabela13[[#This Row],[NOME FANTASIA]]="","",_xlfn.XLOOKUP($C80,Log!D:D,Log!B:B,,,-1)),"")</f>
        <v/>
      </c>
      <c r="N80" s="81" t="str">
        <f>IFERROR(_xlfn.XLOOKUP($C80,Log!D:D,Log!W:W,,,-1),"")</f>
        <v/>
      </c>
      <c r="O80" s="81">
        <f>IFERROR(_xlfn.XLOOKUP($C80,Log!D:D,Log!Y:Y,,,-1),"")</f>
        <v>0</v>
      </c>
      <c r="Q80" s="69" t="str">
        <f>IFERROR(IF(Tabela13[[#This Row],[NOME FANTASIA]]="","",_xlfn.XLOOKUP($C80,Log!D:D,Log!X:X,,,-1)),"")</f>
        <v/>
      </c>
      <c r="R80" s="82">
        <f>COUNTIFS(Log!$D:$D,'Base Novos Clientes'!$C80,Log!$W:$W,'Base Novos Clientes'!R$2)</f>
        <v>0</v>
      </c>
      <c r="S80" s="82">
        <f>COUNTIFS(Log!$D:$D,'Base Novos Clientes'!$C80,Log!$W:$W,'Base Novos Clientes'!S$2)</f>
        <v>0</v>
      </c>
      <c r="T80" s="82">
        <f>COUNTIFS(Log!$D:$D,'Base Novos Clientes'!$C80,Log!$W:$W,'Base Novos Clientes'!T$2)</f>
        <v>0</v>
      </c>
    </row>
    <row r="81" spans="3:20" x14ac:dyDescent="0.25">
      <c r="C81" s="75"/>
      <c r="D81" s="75"/>
      <c r="E81" s="75"/>
      <c r="F81" s="75"/>
      <c r="G81" s="76"/>
      <c r="H81" s="77"/>
      <c r="I81" s="78"/>
      <c r="J81" s="79"/>
      <c r="K81" s="79" t="str">
        <f ca="1">IF(J81="","NOVO",_xlfn.XLOOKUP(TODAY()-J81,Regras!$C$3:$C$10,Regras!$D$3:$D$10,,1))</f>
        <v>NOVO</v>
      </c>
      <c r="L81" s="75" t="str">
        <f t="shared" si="1"/>
        <v/>
      </c>
      <c r="M81" s="80" t="str">
        <f>IFERROR(IF(Tabela13[[#This Row],[NOME FANTASIA]]="","",_xlfn.XLOOKUP($C81,Log!D:D,Log!B:B,,,-1)),"")</f>
        <v/>
      </c>
      <c r="N81" s="81" t="str">
        <f>IFERROR(_xlfn.XLOOKUP($C81,Log!D:D,Log!W:W,,,-1),"")</f>
        <v/>
      </c>
      <c r="O81" s="81">
        <f>IFERROR(_xlfn.XLOOKUP($C81,Log!D:D,Log!Y:Y,,,-1),"")</f>
        <v>0</v>
      </c>
      <c r="Q81" s="69" t="str">
        <f>IFERROR(IF(Tabela13[[#This Row],[NOME FANTASIA]]="","",_xlfn.XLOOKUP($C81,Log!D:D,Log!X:X,,,-1)),"")</f>
        <v/>
      </c>
      <c r="R81" s="82">
        <f>COUNTIFS(Log!$D:$D,'Base Novos Clientes'!$C81,Log!$W:$W,'Base Novos Clientes'!R$2)</f>
        <v>0</v>
      </c>
      <c r="S81" s="82">
        <f>COUNTIFS(Log!$D:$D,'Base Novos Clientes'!$C81,Log!$W:$W,'Base Novos Clientes'!S$2)</f>
        <v>0</v>
      </c>
      <c r="T81" s="82">
        <f>COUNTIFS(Log!$D:$D,'Base Novos Clientes'!$C81,Log!$W:$W,'Base Novos Clientes'!T$2)</f>
        <v>0</v>
      </c>
    </row>
    <row r="82" spans="3:20" x14ac:dyDescent="0.25">
      <c r="C82" s="75"/>
      <c r="D82" s="75"/>
      <c r="E82" s="75"/>
      <c r="F82" s="75"/>
      <c r="G82" s="76"/>
      <c r="H82" s="77"/>
      <c r="I82" s="78"/>
      <c r="J82" s="79"/>
      <c r="K82" s="79" t="str">
        <f ca="1">IF(J82="","NOVO",_xlfn.XLOOKUP(TODAY()-J82,Regras!$C$3:$C$10,Regras!$D$3:$D$10,,1))</f>
        <v>NOVO</v>
      </c>
      <c r="L82" s="75" t="str">
        <f t="shared" si="1"/>
        <v/>
      </c>
      <c r="M82" s="80" t="str">
        <f>IFERROR(IF(Tabela13[[#This Row],[NOME FANTASIA]]="","",_xlfn.XLOOKUP($C82,Log!D:D,Log!B:B,,,-1)),"")</f>
        <v/>
      </c>
      <c r="N82" s="81" t="str">
        <f>IFERROR(_xlfn.XLOOKUP($C82,Log!D:D,Log!W:W,,,-1),"")</f>
        <v/>
      </c>
      <c r="O82" s="81">
        <f>IFERROR(_xlfn.XLOOKUP($C82,Log!D:D,Log!Y:Y,,,-1),"")</f>
        <v>0</v>
      </c>
      <c r="Q82" s="69" t="str">
        <f>IFERROR(IF(Tabela13[[#This Row],[NOME FANTASIA]]="","",_xlfn.XLOOKUP($C82,Log!D:D,Log!X:X,,,-1)),"")</f>
        <v/>
      </c>
      <c r="R82" s="82">
        <f>COUNTIFS(Log!$D:$D,'Base Novos Clientes'!$C82,Log!$W:$W,'Base Novos Clientes'!R$2)</f>
        <v>0</v>
      </c>
      <c r="S82" s="82">
        <f>COUNTIFS(Log!$D:$D,'Base Novos Clientes'!$C82,Log!$W:$W,'Base Novos Clientes'!S$2)</f>
        <v>0</v>
      </c>
      <c r="T82" s="82">
        <f>COUNTIFS(Log!$D:$D,'Base Novos Clientes'!$C82,Log!$W:$W,'Base Novos Clientes'!T$2)</f>
        <v>0</v>
      </c>
    </row>
    <row r="83" spans="3:20" x14ac:dyDescent="0.25">
      <c r="C83" s="75"/>
      <c r="D83" s="75"/>
      <c r="E83" s="75"/>
      <c r="F83" s="75"/>
      <c r="G83" s="76"/>
      <c r="H83" s="77"/>
      <c r="I83" s="78"/>
      <c r="J83" s="79"/>
      <c r="K83" s="79" t="str">
        <f ca="1">IF(J83="","NOVO",_xlfn.XLOOKUP(TODAY()-J83,Regras!$C$3:$C$10,Regras!$D$3:$D$10,,1))</f>
        <v>NOVO</v>
      </c>
      <c r="L83" s="75" t="str">
        <f t="shared" si="1"/>
        <v/>
      </c>
      <c r="M83" s="80" t="str">
        <f>IFERROR(IF(Tabela13[[#This Row],[NOME FANTASIA]]="","",_xlfn.XLOOKUP($C83,Log!D:D,Log!B:B,,,-1)),"")</f>
        <v/>
      </c>
      <c r="N83" s="81" t="str">
        <f>IFERROR(_xlfn.XLOOKUP($C83,Log!D:D,Log!W:W,,,-1),"")</f>
        <v/>
      </c>
      <c r="O83" s="81">
        <f>IFERROR(_xlfn.XLOOKUP($C83,Log!D:D,Log!Y:Y,,,-1),"")</f>
        <v>0</v>
      </c>
      <c r="Q83" s="69" t="str">
        <f>IFERROR(IF(Tabela13[[#This Row],[NOME FANTASIA]]="","",_xlfn.XLOOKUP($C83,Log!D:D,Log!X:X,,,-1)),"")</f>
        <v/>
      </c>
      <c r="R83" s="82">
        <f>COUNTIFS(Log!$D:$D,'Base Novos Clientes'!$C83,Log!$W:$W,'Base Novos Clientes'!R$2)</f>
        <v>0</v>
      </c>
      <c r="S83" s="82">
        <f>COUNTIFS(Log!$D:$D,'Base Novos Clientes'!$C83,Log!$W:$W,'Base Novos Clientes'!S$2)</f>
        <v>0</v>
      </c>
      <c r="T83" s="82">
        <f>COUNTIFS(Log!$D:$D,'Base Novos Clientes'!$C83,Log!$W:$W,'Base Novos Clientes'!T$2)</f>
        <v>0</v>
      </c>
    </row>
    <row r="84" spans="3:20" x14ac:dyDescent="0.25">
      <c r="C84" s="75"/>
      <c r="D84" s="75"/>
      <c r="E84" s="75"/>
      <c r="F84" s="75"/>
      <c r="G84" s="76"/>
      <c r="H84" s="77"/>
      <c r="I84" s="78"/>
      <c r="J84" s="79"/>
      <c r="K84" s="79" t="str">
        <f ca="1">IF(J84="","NOVO",_xlfn.XLOOKUP(TODAY()-J84,Regras!$C$3:$C$10,Regras!$D$3:$D$10,,1))</f>
        <v>NOVO</v>
      </c>
      <c r="L84" s="75" t="str">
        <f t="shared" si="1"/>
        <v/>
      </c>
      <c r="M84" s="80" t="str">
        <f>IFERROR(IF(Tabela13[[#This Row],[NOME FANTASIA]]="","",_xlfn.XLOOKUP($C84,Log!D:D,Log!B:B,,,-1)),"")</f>
        <v/>
      </c>
      <c r="N84" s="81" t="str">
        <f>IFERROR(_xlfn.XLOOKUP($C84,Log!D:D,Log!W:W,,,-1),"")</f>
        <v/>
      </c>
      <c r="O84" s="81">
        <f>IFERROR(_xlfn.XLOOKUP($C84,Log!D:D,Log!Y:Y,,,-1),"")</f>
        <v>0</v>
      </c>
      <c r="Q84" s="69" t="str">
        <f>IFERROR(IF(Tabela13[[#This Row],[NOME FANTASIA]]="","",_xlfn.XLOOKUP($C84,Log!D:D,Log!X:X,,,-1)),"")</f>
        <v/>
      </c>
      <c r="R84" s="82">
        <f>COUNTIFS(Log!$D:$D,'Base Novos Clientes'!$C84,Log!$W:$W,'Base Novos Clientes'!R$2)</f>
        <v>0</v>
      </c>
      <c r="S84" s="82">
        <f>COUNTIFS(Log!$D:$D,'Base Novos Clientes'!$C84,Log!$W:$W,'Base Novos Clientes'!S$2)</f>
        <v>0</v>
      </c>
      <c r="T84" s="82">
        <f>COUNTIFS(Log!$D:$D,'Base Novos Clientes'!$C84,Log!$W:$W,'Base Novos Clientes'!T$2)</f>
        <v>0</v>
      </c>
    </row>
    <row r="85" spans="3:20" x14ac:dyDescent="0.25">
      <c r="C85" s="75"/>
      <c r="D85" s="75"/>
      <c r="E85" s="75"/>
      <c r="F85" s="75"/>
      <c r="G85" s="76"/>
      <c r="H85" s="77"/>
      <c r="I85" s="78"/>
      <c r="J85" s="79"/>
      <c r="K85" s="79" t="str">
        <f ca="1">IF(J85="","NOVO",_xlfn.XLOOKUP(TODAY()-J85,Regras!$C$3:$C$10,Regras!$D$3:$D$10,,1))</f>
        <v>NOVO</v>
      </c>
      <c r="L85" s="75" t="str">
        <f t="shared" si="1"/>
        <v/>
      </c>
      <c r="M85" s="80" t="str">
        <f>IFERROR(IF(Tabela13[[#This Row],[NOME FANTASIA]]="","",_xlfn.XLOOKUP($C85,Log!D:D,Log!B:B,,,-1)),"")</f>
        <v/>
      </c>
      <c r="N85" s="81" t="str">
        <f>IFERROR(_xlfn.XLOOKUP($C85,Log!D:D,Log!W:W,,,-1),"")</f>
        <v/>
      </c>
      <c r="O85" s="81">
        <f>IFERROR(_xlfn.XLOOKUP($C85,Log!D:D,Log!Y:Y,,,-1),"")</f>
        <v>0</v>
      </c>
      <c r="Q85" s="69" t="str">
        <f>IFERROR(IF(Tabela13[[#This Row],[NOME FANTASIA]]="","",_xlfn.XLOOKUP($C85,Log!D:D,Log!X:X,,,-1)),"")</f>
        <v/>
      </c>
      <c r="R85" s="82">
        <f>COUNTIFS(Log!$D:$D,'Base Novos Clientes'!$C85,Log!$W:$W,'Base Novos Clientes'!R$2)</f>
        <v>0</v>
      </c>
      <c r="S85" s="82">
        <f>COUNTIFS(Log!$D:$D,'Base Novos Clientes'!$C85,Log!$W:$W,'Base Novos Clientes'!S$2)</f>
        <v>0</v>
      </c>
      <c r="T85" s="82">
        <f>COUNTIFS(Log!$D:$D,'Base Novos Clientes'!$C85,Log!$W:$W,'Base Novos Clientes'!T$2)</f>
        <v>0</v>
      </c>
    </row>
    <row r="86" spans="3:20" x14ac:dyDescent="0.25">
      <c r="C86" s="75"/>
      <c r="D86" s="75"/>
      <c r="E86" s="75"/>
      <c r="F86" s="75"/>
      <c r="G86" s="76"/>
      <c r="H86" s="77"/>
      <c r="I86" s="78"/>
      <c r="J86" s="79"/>
      <c r="K86" s="79" t="str">
        <f ca="1">IF(J86="","NOVO",_xlfn.XLOOKUP(TODAY()-J86,Regras!$C$3:$C$10,Regras!$D$3:$D$10,,1))</f>
        <v>NOVO</v>
      </c>
      <c r="L86" s="75" t="str">
        <f t="shared" si="1"/>
        <v/>
      </c>
      <c r="M86" s="80" t="str">
        <f>IFERROR(IF(Tabela13[[#This Row],[NOME FANTASIA]]="","",_xlfn.XLOOKUP($C86,Log!D:D,Log!B:B,,,-1)),"")</f>
        <v/>
      </c>
      <c r="N86" s="81" t="str">
        <f>IFERROR(_xlfn.XLOOKUP($C86,Log!D:D,Log!W:W,,,-1),"")</f>
        <v/>
      </c>
      <c r="O86" s="81">
        <f>IFERROR(_xlfn.XLOOKUP($C86,Log!D:D,Log!Y:Y,,,-1),"")</f>
        <v>0</v>
      </c>
      <c r="Q86" s="69" t="str">
        <f>IFERROR(IF(Tabela13[[#This Row],[NOME FANTASIA]]="","",_xlfn.XLOOKUP($C86,Log!D:D,Log!X:X,,,-1)),"")</f>
        <v/>
      </c>
      <c r="R86" s="82">
        <f>COUNTIFS(Log!$D:$D,'Base Novos Clientes'!$C86,Log!$W:$W,'Base Novos Clientes'!R$2)</f>
        <v>0</v>
      </c>
      <c r="S86" s="82">
        <f>COUNTIFS(Log!$D:$D,'Base Novos Clientes'!$C86,Log!$W:$W,'Base Novos Clientes'!S$2)</f>
        <v>0</v>
      </c>
      <c r="T86" s="82">
        <f>COUNTIFS(Log!$D:$D,'Base Novos Clientes'!$C86,Log!$W:$W,'Base Novos Clientes'!T$2)</f>
        <v>0</v>
      </c>
    </row>
    <row r="87" spans="3:20" x14ac:dyDescent="0.25">
      <c r="C87" s="75"/>
      <c r="D87" s="75"/>
      <c r="E87" s="75"/>
      <c r="F87" s="75"/>
      <c r="G87" s="76"/>
      <c r="H87" s="77"/>
      <c r="I87" s="78"/>
      <c r="J87" s="79"/>
      <c r="K87" s="79" t="str">
        <f ca="1">IF(J87="","NOVO",_xlfn.XLOOKUP(TODAY()-J87,Regras!$C$3:$C$10,Regras!$D$3:$D$10,,1))</f>
        <v>NOVO</v>
      </c>
      <c r="L87" s="75" t="str">
        <f t="shared" si="1"/>
        <v/>
      </c>
      <c r="M87" s="80" t="str">
        <f>IFERROR(IF(Tabela13[[#This Row],[NOME FANTASIA]]="","",_xlfn.XLOOKUP($C87,Log!D:D,Log!B:B,,,-1)),"")</f>
        <v/>
      </c>
      <c r="N87" s="81" t="str">
        <f>IFERROR(_xlfn.XLOOKUP($C87,Log!D:D,Log!W:W,,,-1),"")</f>
        <v/>
      </c>
      <c r="O87" s="81">
        <f>IFERROR(_xlfn.XLOOKUP($C87,Log!D:D,Log!Y:Y,,,-1),"")</f>
        <v>0</v>
      </c>
      <c r="Q87" s="69" t="str">
        <f>IFERROR(IF(Tabela13[[#This Row],[NOME FANTASIA]]="","",_xlfn.XLOOKUP($C87,Log!D:D,Log!X:X,,,-1)),"")</f>
        <v/>
      </c>
      <c r="R87" s="82">
        <f>COUNTIFS(Log!$D:$D,'Base Novos Clientes'!$C87,Log!$W:$W,'Base Novos Clientes'!R$2)</f>
        <v>0</v>
      </c>
      <c r="S87" s="82">
        <f>COUNTIFS(Log!$D:$D,'Base Novos Clientes'!$C87,Log!$W:$W,'Base Novos Clientes'!S$2)</f>
        <v>0</v>
      </c>
      <c r="T87" s="82">
        <f>COUNTIFS(Log!$D:$D,'Base Novos Clientes'!$C87,Log!$W:$W,'Base Novos Clientes'!T$2)</f>
        <v>0</v>
      </c>
    </row>
    <row r="88" spans="3:20" x14ac:dyDescent="0.25">
      <c r="C88" s="75"/>
      <c r="D88" s="75"/>
      <c r="E88" s="75"/>
      <c r="F88" s="75"/>
      <c r="G88" s="76"/>
      <c r="H88" s="77"/>
      <c r="I88" s="78"/>
      <c r="J88" s="79"/>
      <c r="K88" s="79" t="str">
        <f ca="1">IF(J88="","NOVO",_xlfn.XLOOKUP(TODAY()-J88,Regras!$C$3:$C$10,Regras!$D$3:$D$10,,1))</f>
        <v>NOVO</v>
      </c>
      <c r="L88" s="75" t="str">
        <f t="shared" si="1"/>
        <v/>
      </c>
      <c r="M88" s="80" t="str">
        <f>IFERROR(IF(Tabela13[[#This Row],[NOME FANTASIA]]="","",_xlfn.XLOOKUP($C88,Log!D:D,Log!B:B,,,-1)),"")</f>
        <v/>
      </c>
      <c r="N88" s="81" t="str">
        <f>IFERROR(_xlfn.XLOOKUP($C88,Log!D:D,Log!W:W,,,-1),"")</f>
        <v/>
      </c>
      <c r="O88" s="81">
        <f>IFERROR(_xlfn.XLOOKUP($C88,Log!D:D,Log!Y:Y,,,-1),"")</f>
        <v>0</v>
      </c>
      <c r="Q88" s="69" t="str">
        <f>IFERROR(IF(Tabela13[[#This Row],[NOME FANTASIA]]="","",_xlfn.XLOOKUP($C88,Log!D:D,Log!X:X,,,-1)),"")</f>
        <v/>
      </c>
      <c r="R88" s="82">
        <f>COUNTIFS(Log!$D:$D,'Base Novos Clientes'!$C88,Log!$W:$W,'Base Novos Clientes'!R$2)</f>
        <v>0</v>
      </c>
      <c r="S88" s="82">
        <f>COUNTIFS(Log!$D:$D,'Base Novos Clientes'!$C88,Log!$W:$W,'Base Novos Clientes'!S$2)</f>
        <v>0</v>
      </c>
      <c r="T88" s="82">
        <f>COUNTIFS(Log!$D:$D,'Base Novos Clientes'!$C88,Log!$W:$W,'Base Novos Clientes'!T$2)</f>
        <v>0</v>
      </c>
    </row>
    <row r="89" spans="3:20" x14ac:dyDescent="0.25">
      <c r="C89" s="75"/>
      <c r="D89" s="75"/>
      <c r="E89" s="75"/>
      <c r="F89" s="75"/>
      <c r="G89" s="76"/>
      <c r="H89" s="77"/>
      <c r="I89" s="78"/>
      <c r="J89" s="79"/>
      <c r="K89" s="79" t="str">
        <f ca="1">IF(J89="","NOVO",_xlfn.XLOOKUP(TODAY()-J89,Regras!$C$3:$C$10,Regras!$D$3:$D$10,,1))</f>
        <v>NOVO</v>
      </c>
      <c r="L89" s="75" t="str">
        <f t="shared" si="1"/>
        <v/>
      </c>
      <c r="M89" s="80" t="str">
        <f>IFERROR(IF(Tabela13[[#This Row],[NOME FANTASIA]]="","",_xlfn.XLOOKUP($C89,Log!D:D,Log!B:B,,,-1)),"")</f>
        <v/>
      </c>
      <c r="N89" s="81" t="str">
        <f>IFERROR(_xlfn.XLOOKUP($C89,Log!D:D,Log!W:W,,,-1),"")</f>
        <v/>
      </c>
      <c r="O89" s="81">
        <f>IFERROR(_xlfn.XLOOKUP($C89,Log!D:D,Log!Y:Y,,,-1),"")</f>
        <v>0</v>
      </c>
      <c r="Q89" s="69" t="str">
        <f>IFERROR(IF(Tabela13[[#This Row],[NOME FANTASIA]]="","",_xlfn.XLOOKUP($C89,Log!D:D,Log!X:X,,,-1)),"")</f>
        <v/>
      </c>
      <c r="R89" s="82">
        <f>COUNTIFS(Log!$D:$D,'Base Novos Clientes'!$C89,Log!$W:$W,'Base Novos Clientes'!R$2)</f>
        <v>0</v>
      </c>
      <c r="S89" s="82">
        <f>COUNTIFS(Log!$D:$D,'Base Novos Clientes'!$C89,Log!$W:$W,'Base Novos Clientes'!S$2)</f>
        <v>0</v>
      </c>
      <c r="T89" s="82">
        <f>COUNTIFS(Log!$D:$D,'Base Novos Clientes'!$C89,Log!$W:$W,'Base Novos Clientes'!T$2)</f>
        <v>0</v>
      </c>
    </row>
    <row r="90" spans="3:20" x14ac:dyDescent="0.25">
      <c r="C90" s="75"/>
      <c r="D90" s="75"/>
      <c r="E90" s="75"/>
      <c r="F90" s="75"/>
      <c r="G90" s="76"/>
      <c r="H90" s="77"/>
      <c r="I90" s="78"/>
      <c r="J90" s="79"/>
      <c r="K90" s="79" t="str">
        <f ca="1">IF(J90="","NOVO",_xlfn.XLOOKUP(TODAY()-J90,Regras!$C$3:$C$10,Regras!$D$3:$D$10,,1))</f>
        <v>NOVO</v>
      </c>
      <c r="L90" s="75" t="str">
        <f t="shared" si="1"/>
        <v/>
      </c>
      <c r="M90" s="80" t="str">
        <f>IFERROR(IF(Tabela13[[#This Row],[NOME FANTASIA]]="","",_xlfn.XLOOKUP($C90,Log!D:D,Log!B:B,,,-1)),"")</f>
        <v/>
      </c>
      <c r="N90" s="81" t="str">
        <f>IFERROR(_xlfn.XLOOKUP($C90,Log!D:D,Log!W:W,,,-1),"")</f>
        <v/>
      </c>
      <c r="O90" s="81">
        <f>IFERROR(_xlfn.XLOOKUP($C90,Log!D:D,Log!Y:Y,,,-1),"")</f>
        <v>0</v>
      </c>
      <c r="Q90" s="69" t="str">
        <f>IFERROR(IF(Tabela13[[#This Row],[NOME FANTASIA]]="","",_xlfn.XLOOKUP($C90,Log!D:D,Log!X:X,,,-1)),"")</f>
        <v/>
      </c>
      <c r="R90" s="82">
        <f>COUNTIFS(Log!$D:$D,'Base Novos Clientes'!$C90,Log!$W:$W,'Base Novos Clientes'!R$2)</f>
        <v>0</v>
      </c>
      <c r="S90" s="82">
        <f>COUNTIFS(Log!$D:$D,'Base Novos Clientes'!$C90,Log!$W:$W,'Base Novos Clientes'!S$2)</f>
        <v>0</v>
      </c>
      <c r="T90" s="82">
        <f>COUNTIFS(Log!$D:$D,'Base Novos Clientes'!$C90,Log!$W:$W,'Base Novos Clientes'!T$2)</f>
        <v>0</v>
      </c>
    </row>
    <row r="91" spans="3:20" x14ac:dyDescent="0.25">
      <c r="C91" s="75"/>
      <c r="D91" s="75"/>
      <c r="E91" s="75"/>
      <c r="F91" s="75"/>
      <c r="G91" s="76"/>
      <c r="H91" s="77"/>
      <c r="I91" s="78"/>
      <c r="J91" s="79"/>
      <c r="K91" s="79" t="str">
        <f ca="1">IF(J91="","NOVO",_xlfn.XLOOKUP(TODAY()-J91,Regras!$C$3:$C$10,Regras!$D$3:$D$10,,1))</f>
        <v>NOVO</v>
      </c>
      <c r="L91" s="75" t="str">
        <f t="shared" si="1"/>
        <v/>
      </c>
      <c r="M91" s="80" t="str">
        <f>IFERROR(IF(Tabela13[[#This Row],[NOME FANTASIA]]="","",_xlfn.XLOOKUP($C91,Log!D:D,Log!B:B,,,-1)),"")</f>
        <v/>
      </c>
      <c r="N91" s="81" t="str">
        <f>IFERROR(_xlfn.XLOOKUP($C91,Log!D:D,Log!W:W,,,-1),"")</f>
        <v/>
      </c>
      <c r="O91" s="81">
        <f>IFERROR(_xlfn.XLOOKUP($C91,Log!D:D,Log!Y:Y,,,-1),"")</f>
        <v>0</v>
      </c>
      <c r="Q91" s="69" t="str">
        <f>IFERROR(IF(Tabela13[[#This Row],[NOME FANTASIA]]="","",_xlfn.XLOOKUP($C91,Log!D:D,Log!X:X,,,-1)),"")</f>
        <v/>
      </c>
      <c r="R91" s="82">
        <f>COUNTIFS(Log!$D:$D,'Base Novos Clientes'!$C91,Log!$W:$W,'Base Novos Clientes'!R$2)</f>
        <v>0</v>
      </c>
      <c r="S91" s="82">
        <f>COUNTIFS(Log!$D:$D,'Base Novos Clientes'!$C91,Log!$W:$W,'Base Novos Clientes'!S$2)</f>
        <v>0</v>
      </c>
      <c r="T91" s="82">
        <f>COUNTIFS(Log!$D:$D,'Base Novos Clientes'!$C91,Log!$W:$W,'Base Novos Clientes'!T$2)</f>
        <v>0</v>
      </c>
    </row>
    <row r="92" spans="3:20" x14ac:dyDescent="0.25">
      <c r="C92" s="75"/>
      <c r="D92" s="75"/>
      <c r="E92" s="75"/>
      <c r="F92" s="75"/>
      <c r="G92" s="76"/>
      <c r="H92" s="77"/>
      <c r="I92" s="78"/>
      <c r="J92" s="79"/>
      <c r="K92" s="79" t="str">
        <f ca="1">IF(J92="","NOVO",_xlfn.XLOOKUP(TODAY()-J92,Regras!$C$3:$C$10,Regras!$D$3:$D$10,,1))</f>
        <v>NOVO</v>
      </c>
      <c r="L92" s="75" t="str">
        <f t="shared" si="1"/>
        <v/>
      </c>
      <c r="M92" s="80" t="str">
        <f>IFERROR(IF(Tabela13[[#This Row],[NOME FANTASIA]]="","",_xlfn.XLOOKUP($C92,Log!D:D,Log!B:B,,,-1)),"")</f>
        <v/>
      </c>
      <c r="N92" s="81" t="str">
        <f>IFERROR(_xlfn.XLOOKUP($C92,Log!D:D,Log!W:W,,,-1),"")</f>
        <v/>
      </c>
      <c r="O92" s="81">
        <f>IFERROR(_xlfn.XLOOKUP($C92,Log!D:D,Log!Y:Y,,,-1),"")</f>
        <v>0</v>
      </c>
      <c r="Q92" s="69" t="str">
        <f>IFERROR(IF(Tabela13[[#This Row],[NOME FANTASIA]]="","",_xlfn.XLOOKUP($C92,Log!D:D,Log!X:X,,,-1)),"")</f>
        <v/>
      </c>
      <c r="R92" s="82">
        <f>COUNTIFS(Log!$D:$D,'Base Novos Clientes'!$C92,Log!$W:$W,'Base Novos Clientes'!R$2)</f>
        <v>0</v>
      </c>
      <c r="S92" s="82">
        <f>COUNTIFS(Log!$D:$D,'Base Novos Clientes'!$C92,Log!$W:$W,'Base Novos Clientes'!S$2)</f>
        <v>0</v>
      </c>
      <c r="T92" s="82">
        <f>COUNTIFS(Log!$D:$D,'Base Novos Clientes'!$C92,Log!$W:$W,'Base Novos Clientes'!T$2)</f>
        <v>0</v>
      </c>
    </row>
    <row r="93" spans="3:20" x14ac:dyDescent="0.25">
      <c r="C93" s="75"/>
      <c r="D93" s="75"/>
      <c r="E93" s="75"/>
      <c r="F93" s="75"/>
      <c r="G93" s="76"/>
      <c r="H93" s="77"/>
      <c r="I93" s="78"/>
      <c r="J93" s="79"/>
      <c r="K93" s="79" t="str">
        <f ca="1">IF(J93="","NOVO",_xlfn.XLOOKUP(TODAY()-J93,Regras!$C$3:$C$10,Regras!$D$3:$D$10,,1))</f>
        <v>NOVO</v>
      </c>
      <c r="L93" s="75" t="str">
        <f t="shared" si="1"/>
        <v/>
      </c>
      <c r="M93" s="80" t="str">
        <f>IFERROR(IF(Tabela13[[#This Row],[NOME FANTASIA]]="","",_xlfn.XLOOKUP($C93,Log!D:D,Log!B:B,,,-1)),"")</f>
        <v/>
      </c>
      <c r="N93" s="81" t="str">
        <f>IFERROR(_xlfn.XLOOKUP($C93,Log!D:D,Log!W:W,,,-1),"")</f>
        <v/>
      </c>
      <c r="O93" s="81">
        <f>IFERROR(_xlfn.XLOOKUP($C93,Log!D:D,Log!Y:Y,,,-1),"")</f>
        <v>0</v>
      </c>
      <c r="Q93" s="69" t="str">
        <f>IFERROR(IF(Tabela13[[#This Row],[NOME FANTASIA]]="","",_xlfn.XLOOKUP($C93,Log!D:D,Log!X:X,,,-1)),"")</f>
        <v/>
      </c>
      <c r="R93" s="82">
        <f>COUNTIFS(Log!$D:$D,'Base Novos Clientes'!$C93,Log!$W:$W,'Base Novos Clientes'!R$2)</f>
        <v>0</v>
      </c>
      <c r="S93" s="82">
        <f>COUNTIFS(Log!$D:$D,'Base Novos Clientes'!$C93,Log!$W:$W,'Base Novos Clientes'!S$2)</f>
        <v>0</v>
      </c>
      <c r="T93" s="82">
        <f>COUNTIFS(Log!$D:$D,'Base Novos Clientes'!$C93,Log!$W:$W,'Base Novos Clientes'!T$2)</f>
        <v>0</v>
      </c>
    </row>
    <row r="94" spans="3:20" x14ac:dyDescent="0.25">
      <c r="C94" s="75"/>
      <c r="D94" s="75"/>
      <c r="E94" s="75"/>
      <c r="F94" s="75"/>
      <c r="G94" s="76"/>
      <c r="H94" s="77"/>
      <c r="I94" s="78"/>
      <c r="J94" s="79"/>
      <c r="K94" s="79" t="str">
        <f ca="1">IF(J94="","NOVO",_xlfn.XLOOKUP(TODAY()-J94,Regras!$C$3:$C$10,Regras!$D$3:$D$10,,1))</f>
        <v>NOVO</v>
      </c>
      <c r="L94" s="75" t="str">
        <f t="shared" si="1"/>
        <v/>
      </c>
      <c r="M94" s="80" t="str">
        <f>IFERROR(IF(Tabela13[[#This Row],[NOME FANTASIA]]="","",_xlfn.XLOOKUP($C94,Log!D:D,Log!B:B,,,-1)),"")</f>
        <v/>
      </c>
      <c r="N94" s="81" t="str">
        <f>IFERROR(_xlfn.XLOOKUP($C94,Log!D:D,Log!W:W,,,-1),"")</f>
        <v/>
      </c>
      <c r="O94" s="81">
        <f>IFERROR(_xlfn.XLOOKUP($C94,Log!D:D,Log!Y:Y,,,-1),"")</f>
        <v>0</v>
      </c>
      <c r="Q94" s="69" t="str">
        <f>IFERROR(IF(Tabela13[[#This Row],[NOME FANTASIA]]="","",_xlfn.XLOOKUP($C94,Log!D:D,Log!X:X,,,-1)),"")</f>
        <v/>
      </c>
      <c r="R94" s="82">
        <f>COUNTIFS(Log!$D:$D,'Base Novos Clientes'!$C94,Log!$W:$W,'Base Novos Clientes'!R$2)</f>
        <v>0</v>
      </c>
      <c r="S94" s="82">
        <f>COUNTIFS(Log!$D:$D,'Base Novos Clientes'!$C94,Log!$W:$W,'Base Novos Clientes'!S$2)</f>
        <v>0</v>
      </c>
      <c r="T94" s="82">
        <f>COUNTIFS(Log!$D:$D,'Base Novos Clientes'!$C94,Log!$W:$W,'Base Novos Clientes'!T$2)</f>
        <v>0</v>
      </c>
    </row>
    <row r="95" spans="3:20" x14ac:dyDescent="0.25">
      <c r="C95" s="75"/>
      <c r="D95" s="75"/>
      <c r="E95" s="75"/>
      <c r="F95" s="75"/>
      <c r="G95" s="76"/>
      <c r="H95" s="77"/>
      <c r="I95" s="78"/>
      <c r="J95" s="79"/>
      <c r="K95" s="79" t="str">
        <f ca="1">IF(J95="","NOVO",_xlfn.XLOOKUP(TODAY()-J95,Regras!$C$3:$C$10,Regras!$D$3:$D$10,,1))</f>
        <v>NOVO</v>
      </c>
      <c r="L95" s="75" t="str">
        <f t="shared" si="1"/>
        <v/>
      </c>
      <c r="M95" s="80" t="str">
        <f>IFERROR(IF(Tabela13[[#This Row],[NOME FANTASIA]]="","",_xlfn.XLOOKUP($C95,Log!D:D,Log!B:B,,,-1)),"")</f>
        <v/>
      </c>
      <c r="N95" s="81" t="str">
        <f>IFERROR(_xlfn.XLOOKUP($C95,Log!D:D,Log!W:W,,,-1),"")</f>
        <v/>
      </c>
      <c r="O95" s="81">
        <f>IFERROR(_xlfn.XLOOKUP($C95,Log!D:D,Log!Y:Y,,,-1),"")</f>
        <v>0</v>
      </c>
      <c r="Q95" s="69" t="str">
        <f>IFERROR(IF(Tabela13[[#This Row],[NOME FANTASIA]]="","",_xlfn.XLOOKUP($C95,Log!D:D,Log!X:X,,,-1)),"")</f>
        <v/>
      </c>
      <c r="R95" s="82">
        <f>COUNTIFS(Log!$D:$D,'Base Novos Clientes'!$C95,Log!$W:$W,'Base Novos Clientes'!R$2)</f>
        <v>0</v>
      </c>
      <c r="S95" s="82">
        <f>COUNTIFS(Log!$D:$D,'Base Novos Clientes'!$C95,Log!$W:$W,'Base Novos Clientes'!S$2)</f>
        <v>0</v>
      </c>
      <c r="T95" s="82">
        <f>COUNTIFS(Log!$D:$D,'Base Novos Clientes'!$C95,Log!$W:$W,'Base Novos Clientes'!T$2)</f>
        <v>0</v>
      </c>
    </row>
    <row r="96" spans="3:20" x14ac:dyDescent="0.25">
      <c r="C96" s="75"/>
      <c r="D96" s="75"/>
      <c r="E96" s="75"/>
      <c r="F96" s="75"/>
      <c r="G96" s="76"/>
      <c r="H96" s="77"/>
      <c r="I96" s="78"/>
      <c r="J96" s="79"/>
      <c r="K96" s="79" t="str">
        <f ca="1">IF(J96="","NOVO",_xlfn.XLOOKUP(TODAY()-J96,Regras!$C$3:$C$10,Regras!$D$3:$D$10,,1))</f>
        <v>NOVO</v>
      </c>
      <c r="L96" s="75" t="str">
        <f t="shared" si="1"/>
        <v/>
      </c>
      <c r="M96" s="80" t="str">
        <f>IFERROR(IF(Tabela13[[#This Row],[NOME FANTASIA]]="","",_xlfn.XLOOKUP($C96,Log!D:D,Log!B:B,,,-1)),"")</f>
        <v/>
      </c>
      <c r="N96" s="81" t="str">
        <f>IFERROR(_xlfn.XLOOKUP($C96,Log!D:D,Log!W:W,,,-1),"")</f>
        <v/>
      </c>
      <c r="O96" s="81">
        <f>IFERROR(_xlfn.XLOOKUP($C96,Log!D:D,Log!Y:Y,,,-1),"")</f>
        <v>0</v>
      </c>
      <c r="Q96" s="69" t="str">
        <f>IFERROR(IF(Tabela13[[#This Row],[NOME FANTASIA]]="","",_xlfn.XLOOKUP($C96,Log!D:D,Log!X:X,,,-1)),"")</f>
        <v/>
      </c>
      <c r="R96" s="82">
        <f>COUNTIFS(Log!$D:$D,'Base Novos Clientes'!$C96,Log!$W:$W,'Base Novos Clientes'!R$2)</f>
        <v>0</v>
      </c>
      <c r="S96" s="82">
        <f>COUNTIFS(Log!$D:$D,'Base Novos Clientes'!$C96,Log!$W:$W,'Base Novos Clientes'!S$2)</f>
        <v>0</v>
      </c>
      <c r="T96" s="82">
        <f>COUNTIFS(Log!$D:$D,'Base Novos Clientes'!$C96,Log!$W:$W,'Base Novos Clientes'!T$2)</f>
        <v>0</v>
      </c>
    </row>
    <row r="97" spans="3:20" x14ac:dyDescent="0.25">
      <c r="C97" s="75"/>
      <c r="D97" s="75"/>
      <c r="E97" s="75"/>
      <c r="F97" s="75"/>
      <c r="G97" s="76"/>
      <c r="H97" s="77"/>
      <c r="I97" s="78"/>
      <c r="J97" s="79"/>
      <c r="K97" s="79" t="str">
        <f ca="1">IF(J97="","NOVO",_xlfn.XLOOKUP(TODAY()-J97,Regras!$C$3:$C$10,Regras!$D$3:$D$10,,1))</f>
        <v>NOVO</v>
      </c>
      <c r="L97" s="75" t="str">
        <f t="shared" si="1"/>
        <v/>
      </c>
      <c r="M97" s="80" t="str">
        <f>IFERROR(IF(Tabela13[[#This Row],[NOME FANTASIA]]="","",_xlfn.XLOOKUP($C97,Log!D:D,Log!B:B,,,-1)),"")</f>
        <v/>
      </c>
      <c r="N97" s="81" t="str">
        <f>IFERROR(_xlfn.XLOOKUP($C97,Log!D:D,Log!W:W,,,-1),"")</f>
        <v/>
      </c>
      <c r="O97" s="81">
        <f>IFERROR(_xlfn.XLOOKUP($C97,Log!D:D,Log!Y:Y,,,-1),"")</f>
        <v>0</v>
      </c>
      <c r="Q97" s="69" t="str">
        <f>IFERROR(IF(Tabela13[[#This Row],[NOME FANTASIA]]="","",_xlfn.XLOOKUP($C97,Log!D:D,Log!X:X,,,-1)),"")</f>
        <v/>
      </c>
      <c r="R97" s="82">
        <f>COUNTIFS(Log!$D:$D,'Base Novos Clientes'!$C97,Log!$W:$W,'Base Novos Clientes'!R$2)</f>
        <v>0</v>
      </c>
      <c r="S97" s="82">
        <f>COUNTIFS(Log!$D:$D,'Base Novos Clientes'!$C97,Log!$W:$W,'Base Novos Clientes'!S$2)</f>
        <v>0</v>
      </c>
      <c r="T97" s="82">
        <f>COUNTIFS(Log!$D:$D,'Base Novos Clientes'!$C97,Log!$W:$W,'Base Novos Clientes'!T$2)</f>
        <v>0</v>
      </c>
    </row>
    <row r="98" spans="3:20" x14ac:dyDescent="0.25">
      <c r="C98" s="75"/>
      <c r="D98" s="75"/>
      <c r="E98" s="75"/>
      <c r="F98" s="75"/>
      <c r="G98" s="76"/>
      <c r="H98" s="77"/>
      <c r="I98" s="78"/>
      <c r="J98" s="79"/>
      <c r="K98" s="79" t="str">
        <f ca="1">IF(J98="","NOVO",_xlfn.XLOOKUP(TODAY()-J98,Regras!$C$3:$C$10,Regras!$D$3:$D$10,,1))</f>
        <v>NOVO</v>
      </c>
      <c r="L98" s="75" t="str">
        <f t="shared" si="1"/>
        <v/>
      </c>
      <c r="M98" s="80" t="str">
        <f>IFERROR(IF(Tabela13[[#This Row],[NOME FANTASIA]]="","",_xlfn.XLOOKUP($C98,Log!D:D,Log!B:B,,,-1)),"")</f>
        <v/>
      </c>
      <c r="N98" s="81" t="str">
        <f>IFERROR(_xlfn.XLOOKUP($C98,Log!D:D,Log!W:W,,,-1),"")</f>
        <v/>
      </c>
      <c r="O98" s="81">
        <f>IFERROR(_xlfn.XLOOKUP($C98,Log!D:D,Log!Y:Y,,,-1),"")</f>
        <v>0</v>
      </c>
      <c r="Q98" s="69" t="str">
        <f>IFERROR(IF(Tabela13[[#This Row],[NOME FANTASIA]]="","",_xlfn.XLOOKUP($C98,Log!D:D,Log!X:X,,,-1)),"")</f>
        <v/>
      </c>
      <c r="R98" s="82">
        <f>COUNTIFS(Log!$D:$D,'Base Novos Clientes'!$C98,Log!$W:$W,'Base Novos Clientes'!R$2)</f>
        <v>0</v>
      </c>
      <c r="S98" s="82">
        <f>COUNTIFS(Log!$D:$D,'Base Novos Clientes'!$C98,Log!$W:$W,'Base Novos Clientes'!S$2)</f>
        <v>0</v>
      </c>
      <c r="T98" s="82">
        <f>COUNTIFS(Log!$D:$D,'Base Novos Clientes'!$C98,Log!$W:$W,'Base Novos Clientes'!T$2)</f>
        <v>0</v>
      </c>
    </row>
    <row r="99" spans="3:20" x14ac:dyDescent="0.25">
      <c r="C99" s="75"/>
      <c r="D99" s="75"/>
      <c r="E99" s="75"/>
      <c r="F99" s="75"/>
      <c r="G99" s="76"/>
      <c r="H99" s="77"/>
      <c r="I99" s="78"/>
      <c r="J99" s="79"/>
      <c r="K99" s="79" t="str">
        <f ca="1">IF(J99="","NOVO",_xlfn.XLOOKUP(TODAY()-J99,Regras!$C$3:$C$10,Regras!$D$3:$D$10,,1))</f>
        <v>NOVO</v>
      </c>
      <c r="L99" s="75" t="str">
        <f t="shared" si="1"/>
        <v/>
      </c>
      <c r="M99" s="80" t="str">
        <f>IFERROR(IF(Tabela13[[#This Row],[NOME FANTASIA]]="","",_xlfn.XLOOKUP($C99,Log!D:D,Log!B:B,,,-1)),"")</f>
        <v/>
      </c>
      <c r="N99" s="81" t="str">
        <f>IFERROR(_xlfn.XLOOKUP($C99,Log!D:D,Log!W:W,,,-1),"")</f>
        <v/>
      </c>
      <c r="O99" s="81">
        <f>IFERROR(_xlfn.XLOOKUP($C99,Log!D:D,Log!Y:Y,,,-1),"")</f>
        <v>0</v>
      </c>
      <c r="Q99" s="69" t="str">
        <f>IFERROR(IF(Tabela13[[#This Row],[NOME FANTASIA]]="","",_xlfn.XLOOKUP($C99,Log!D:D,Log!X:X,,,-1)),"")</f>
        <v/>
      </c>
      <c r="R99" s="82">
        <f>COUNTIFS(Log!$D:$D,'Base Novos Clientes'!$C99,Log!$W:$W,'Base Novos Clientes'!R$2)</f>
        <v>0</v>
      </c>
      <c r="S99" s="82">
        <f>COUNTIFS(Log!$D:$D,'Base Novos Clientes'!$C99,Log!$W:$W,'Base Novos Clientes'!S$2)</f>
        <v>0</v>
      </c>
      <c r="T99" s="82">
        <f>COUNTIFS(Log!$D:$D,'Base Novos Clientes'!$C99,Log!$W:$W,'Base Novos Clientes'!T$2)</f>
        <v>0</v>
      </c>
    </row>
    <row r="100" spans="3:20" x14ac:dyDescent="0.25">
      <c r="C100" s="75"/>
      <c r="D100" s="75"/>
      <c r="E100" s="75"/>
      <c r="F100" s="75"/>
      <c r="G100" s="76"/>
      <c r="H100" s="77"/>
      <c r="I100" s="78"/>
      <c r="J100" s="79"/>
      <c r="K100" s="79" t="str">
        <f ca="1">IF(J100="","NOVO",_xlfn.XLOOKUP(TODAY()-J100,Regras!$C$3:$C$10,Regras!$D$3:$D$10,,1))</f>
        <v>NOVO</v>
      </c>
      <c r="L100" s="75" t="str">
        <f t="shared" si="1"/>
        <v/>
      </c>
      <c r="M100" s="80" t="str">
        <f>IFERROR(IF(Tabela13[[#This Row],[NOME FANTASIA]]="","",_xlfn.XLOOKUP($C100,Log!D:D,Log!B:B,,,-1)),"")</f>
        <v/>
      </c>
      <c r="N100" s="81" t="str">
        <f>IFERROR(_xlfn.XLOOKUP($C100,Log!D:D,Log!W:W,,,-1),"")</f>
        <v/>
      </c>
      <c r="O100" s="81">
        <f>IFERROR(_xlfn.XLOOKUP($C100,Log!D:D,Log!Y:Y,,,-1),"")</f>
        <v>0</v>
      </c>
      <c r="Q100" s="69" t="str">
        <f>IFERROR(IF(Tabela13[[#This Row],[NOME FANTASIA]]="","",_xlfn.XLOOKUP($C100,Log!D:D,Log!X:X,,,-1)),"")</f>
        <v/>
      </c>
      <c r="R100" s="82">
        <f>COUNTIFS(Log!$D:$D,'Base Novos Clientes'!$C100,Log!$W:$W,'Base Novos Clientes'!R$2)</f>
        <v>0</v>
      </c>
      <c r="S100" s="82">
        <f>COUNTIFS(Log!$D:$D,'Base Novos Clientes'!$C100,Log!$W:$W,'Base Novos Clientes'!S$2)</f>
        <v>0</v>
      </c>
      <c r="T100" s="82">
        <f>COUNTIFS(Log!$D:$D,'Base Novos Clientes'!$C100,Log!$W:$W,'Base Novos Clientes'!T$2)</f>
        <v>0</v>
      </c>
    </row>
    <row r="101" spans="3:20" x14ac:dyDescent="0.25">
      <c r="C101" s="75"/>
      <c r="D101" s="75"/>
      <c r="E101" s="75"/>
      <c r="F101" s="75"/>
      <c r="G101" s="76"/>
      <c r="H101" s="77"/>
      <c r="I101" s="78"/>
      <c r="J101" s="79"/>
      <c r="K101" s="79" t="str">
        <f ca="1">IF(J101="","NOVO",_xlfn.XLOOKUP(TODAY()-J101,Regras!$C$3:$C$10,Regras!$D$3:$D$10,,1))</f>
        <v>NOVO</v>
      </c>
      <c r="L101" s="75" t="str">
        <f t="shared" si="1"/>
        <v/>
      </c>
      <c r="M101" s="80" t="str">
        <f>IFERROR(IF(Tabela13[[#This Row],[NOME FANTASIA]]="","",_xlfn.XLOOKUP($C101,Log!D:D,Log!B:B,,,-1)),"")</f>
        <v/>
      </c>
      <c r="N101" s="81" t="str">
        <f>IFERROR(_xlfn.XLOOKUP($C101,Log!D:D,Log!W:W,,,-1),"")</f>
        <v/>
      </c>
      <c r="O101" s="81">
        <f>IFERROR(_xlfn.XLOOKUP($C101,Log!D:D,Log!Y:Y,,,-1),"")</f>
        <v>0</v>
      </c>
      <c r="Q101" s="69" t="str">
        <f>IFERROR(IF(Tabela13[[#This Row],[NOME FANTASIA]]="","",_xlfn.XLOOKUP($C101,Log!D:D,Log!X:X,,,-1)),"")</f>
        <v/>
      </c>
      <c r="R101" s="82">
        <f>COUNTIFS(Log!$D:$D,'Base Novos Clientes'!$C101,Log!$W:$W,'Base Novos Clientes'!R$2)</f>
        <v>0</v>
      </c>
      <c r="S101" s="82">
        <f>COUNTIFS(Log!$D:$D,'Base Novos Clientes'!$C101,Log!$W:$W,'Base Novos Clientes'!S$2)</f>
        <v>0</v>
      </c>
      <c r="T101" s="82">
        <f>COUNTIFS(Log!$D:$D,'Base Novos Clientes'!$C101,Log!$W:$W,'Base Novos Clientes'!T$2)</f>
        <v>0</v>
      </c>
    </row>
    <row r="102" spans="3:20" x14ac:dyDescent="0.25">
      <c r="C102" s="75"/>
      <c r="D102" s="75"/>
      <c r="E102" s="75"/>
      <c r="F102" s="75"/>
      <c r="G102" s="76"/>
      <c r="H102" s="77"/>
      <c r="I102" s="78"/>
      <c r="J102" s="79"/>
      <c r="K102" s="79" t="str">
        <f ca="1">IF(J102="","NOVO",_xlfn.XLOOKUP(TODAY()-J102,Regras!$C$3:$C$10,Regras!$D$3:$D$10,,1))</f>
        <v>NOVO</v>
      </c>
      <c r="L102" s="75" t="str">
        <f t="shared" si="1"/>
        <v/>
      </c>
      <c r="M102" s="80" t="str">
        <f>IFERROR(IF(Tabela13[[#This Row],[NOME FANTASIA]]="","",_xlfn.XLOOKUP($C102,Log!D:D,Log!B:B,,,-1)),"")</f>
        <v/>
      </c>
      <c r="N102" s="81" t="str">
        <f>IFERROR(_xlfn.XLOOKUP($C102,Log!D:D,Log!W:W,,,-1),"")</f>
        <v/>
      </c>
      <c r="O102" s="81">
        <f>IFERROR(_xlfn.XLOOKUP($C102,Log!D:D,Log!Y:Y,,,-1),"")</f>
        <v>0</v>
      </c>
      <c r="Q102" s="69" t="str">
        <f>IFERROR(IF(Tabela13[[#This Row],[NOME FANTASIA]]="","",_xlfn.XLOOKUP($C102,Log!D:D,Log!X:X,,,-1)),"")</f>
        <v/>
      </c>
      <c r="R102" s="82">
        <f>COUNTIFS(Log!$D:$D,'Base Novos Clientes'!$C102,Log!$W:$W,'Base Novos Clientes'!R$2)</f>
        <v>0</v>
      </c>
      <c r="S102" s="82">
        <f>COUNTIFS(Log!$D:$D,'Base Novos Clientes'!$C102,Log!$W:$W,'Base Novos Clientes'!S$2)</f>
        <v>0</v>
      </c>
      <c r="T102" s="82">
        <f>COUNTIFS(Log!$D:$D,'Base Novos Clientes'!$C102,Log!$W:$W,'Base Novos Clientes'!T$2)</f>
        <v>0</v>
      </c>
    </row>
    <row r="103" spans="3:20" x14ac:dyDescent="0.25">
      <c r="C103" s="75"/>
      <c r="D103" s="75"/>
      <c r="E103" s="75"/>
      <c r="F103" s="75"/>
      <c r="G103" s="76"/>
      <c r="H103" s="77"/>
      <c r="I103" s="78"/>
      <c r="J103" s="79"/>
      <c r="K103" s="79" t="str">
        <f ca="1">IF(J103="","NOVO",_xlfn.XLOOKUP(TODAY()-J103,Regras!$C$3:$C$10,Regras!$D$3:$D$10,,1))</f>
        <v>NOVO</v>
      </c>
      <c r="L103" s="75" t="str">
        <f t="shared" si="1"/>
        <v/>
      </c>
      <c r="M103" s="80" t="str">
        <f>IFERROR(IF(Tabela13[[#This Row],[NOME FANTASIA]]="","",_xlfn.XLOOKUP($C103,Log!D:D,Log!B:B,,,-1)),"")</f>
        <v/>
      </c>
      <c r="N103" s="81" t="str">
        <f>IFERROR(_xlfn.XLOOKUP($C103,Log!D:D,Log!W:W,,,-1),"")</f>
        <v/>
      </c>
      <c r="O103" s="81">
        <f>IFERROR(_xlfn.XLOOKUP($C103,Log!D:D,Log!Y:Y,,,-1),"")</f>
        <v>0</v>
      </c>
      <c r="Q103" s="69" t="str">
        <f>IFERROR(IF(Tabela13[[#This Row],[NOME FANTASIA]]="","",_xlfn.XLOOKUP($C103,Log!D:D,Log!X:X,,,-1)),"")</f>
        <v/>
      </c>
      <c r="R103" s="82">
        <f>COUNTIFS(Log!$D:$D,'Base Novos Clientes'!$C103,Log!$W:$W,'Base Novos Clientes'!R$2)</f>
        <v>0</v>
      </c>
      <c r="S103" s="82">
        <f>COUNTIFS(Log!$D:$D,'Base Novos Clientes'!$C103,Log!$W:$W,'Base Novos Clientes'!S$2)</f>
        <v>0</v>
      </c>
      <c r="T103" s="82">
        <f>COUNTIFS(Log!$D:$D,'Base Novos Clientes'!$C103,Log!$W:$W,'Base Novos Clientes'!T$2)</f>
        <v>0</v>
      </c>
    </row>
    <row r="104" spans="3:20" x14ac:dyDescent="0.25">
      <c r="C104" s="75"/>
      <c r="D104" s="75"/>
      <c r="E104" s="75"/>
      <c r="F104" s="75"/>
      <c r="G104" s="76"/>
      <c r="H104" s="77"/>
      <c r="I104" s="78"/>
      <c r="J104" s="79"/>
      <c r="K104" s="79" t="str">
        <f ca="1">IF(J104="","NOVO",_xlfn.XLOOKUP(TODAY()-J104,Regras!$C$3:$C$10,Regras!$D$3:$D$10,,1))</f>
        <v>NOVO</v>
      </c>
      <c r="L104" s="75" t="str">
        <f t="shared" si="1"/>
        <v/>
      </c>
      <c r="M104" s="80" t="str">
        <f>IFERROR(IF(Tabela13[[#This Row],[NOME FANTASIA]]="","",_xlfn.XLOOKUP($C104,Log!D:D,Log!B:B,,,-1)),"")</f>
        <v/>
      </c>
      <c r="N104" s="81" t="str">
        <f>IFERROR(_xlfn.XLOOKUP($C104,Log!D:D,Log!W:W,,,-1),"")</f>
        <v/>
      </c>
      <c r="O104" s="81">
        <f>IFERROR(_xlfn.XLOOKUP($C104,Log!D:D,Log!Y:Y,,,-1),"")</f>
        <v>0</v>
      </c>
      <c r="Q104" s="69" t="str">
        <f>IFERROR(IF(Tabela13[[#This Row],[NOME FANTASIA]]="","",_xlfn.XLOOKUP($C104,Log!D:D,Log!X:X,,,-1)),"")</f>
        <v/>
      </c>
      <c r="R104" s="82">
        <f>COUNTIFS(Log!$D:$D,'Base Novos Clientes'!$C104,Log!$W:$W,'Base Novos Clientes'!R$2)</f>
        <v>0</v>
      </c>
      <c r="S104" s="82">
        <f>COUNTIFS(Log!$D:$D,'Base Novos Clientes'!$C104,Log!$W:$W,'Base Novos Clientes'!S$2)</f>
        <v>0</v>
      </c>
      <c r="T104" s="82">
        <f>COUNTIFS(Log!$D:$D,'Base Novos Clientes'!$C104,Log!$W:$W,'Base Novos Clientes'!T$2)</f>
        <v>0</v>
      </c>
    </row>
    <row r="105" spans="3:20" x14ac:dyDescent="0.25">
      <c r="C105" s="75"/>
      <c r="D105" s="75"/>
      <c r="E105" s="75"/>
      <c r="F105" s="75"/>
      <c r="G105" s="76"/>
      <c r="H105" s="77"/>
      <c r="I105" s="78"/>
      <c r="J105" s="79"/>
      <c r="K105" s="79" t="str">
        <f ca="1">IF(J105="","NOVO",_xlfn.XLOOKUP(TODAY()-J105,Regras!$C$3:$C$10,Regras!$D$3:$D$10,,1))</f>
        <v>NOVO</v>
      </c>
      <c r="L105" s="75" t="str">
        <f t="shared" si="1"/>
        <v/>
      </c>
      <c r="M105" s="80" t="str">
        <f>IFERROR(IF(Tabela13[[#This Row],[NOME FANTASIA]]="","",_xlfn.XLOOKUP($C105,Log!D:D,Log!B:B,,,-1)),"")</f>
        <v/>
      </c>
      <c r="N105" s="81" t="str">
        <f>IFERROR(_xlfn.XLOOKUP($C105,Log!D:D,Log!W:W,,,-1),"")</f>
        <v/>
      </c>
      <c r="O105" s="81">
        <f>IFERROR(_xlfn.XLOOKUP($C105,Log!D:D,Log!Y:Y,,,-1),"")</f>
        <v>0</v>
      </c>
      <c r="Q105" s="69" t="str">
        <f>IFERROR(IF(Tabela13[[#This Row],[NOME FANTASIA]]="","",_xlfn.XLOOKUP($C105,Log!D:D,Log!X:X,,,-1)),"")</f>
        <v/>
      </c>
      <c r="R105" s="82">
        <f>COUNTIFS(Log!$D:$D,'Base Novos Clientes'!$C105,Log!$W:$W,'Base Novos Clientes'!R$2)</f>
        <v>0</v>
      </c>
      <c r="S105" s="82">
        <f>COUNTIFS(Log!$D:$D,'Base Novos Clientes'!$C105,Log!$W:$W,'Base Novos Clientes'!S$2)</f>
        <v>0</v>
      </c>
      <c r="T105" s="82">
        <f>COUNTIFS(Log!$D:$D,'Base Novos Clientes'!$C105,Log!$W:$W,'Base Novos Clientes'!T$2)</f>
        <v>0</v>
      </c>
    </row>
    <row r="106" spans="3:20" x14ac:dyDescent="0.25">
      <c r="C106" s="75"/>
      <c r="D106" s="75"/>
      <c r="E106" s="75"/>
      <c r="F106" s="75"/>
      <c r="G106" s="76"/>
      <c r="H106" s="77"/>
      <c r="I106" s="78"/>
      <c r="J106" s="79"/>
      <c r="K106" s="79" t="str">
        <f ca="1">IF(J106="","NOVO",_xlfn.XLOOKUP(TODAY()-J106,Regras!$C$3:$C$10,Regras!$D$3:$D$10,,1))</f>
        <v>NOVO</v>
      </c>
      <c r="L106" s="75" t="str">
        <f t="shared" si="1"/>
        <v/>
      </c>
      <c r="M106" s="80" t="str">
        <f>IFERROR(IF(Tabela13[[#This Row],[NOME FANTASIA]]="","",_xlfn.XLOOKUP($C106,Log!D:D,Log!B:B,,,-1)),"")</f>
        <v/>
      </c>
      <c r="N106" s="81" t="str">
        <f>IFERROR(_xlfn.XLOOKUP($C106,Log!D:D,Log!W:W,,,-1),"")</f>
        <v/>
      </c>
      <c r="O106" s="81">
        <f>IFERROR(_xlfn.XLOOKUP($C106,Log!D:D,Log!Y:Y,,,-1),"")</f>
        <v>0</v>
      </c>
      <c r="Q106" s="69" t="str">
        <f>IFERROR(IF(Tabela13[[#This Row],[NOME FANTASIA]]="","",_xlfn.XLOOKUP($C106,Log!D:D,Log!X:X,,,-1)),"")</f>
        <v/>
      </c>
      <c r="R106" s="82">
        <f>COUNTIFS(Log!$D:$D,'Base Novos Clientes'!$C106,Log!$W:$W,'Base Novos Clientes'!R$2)</f>
        <v>0</v>
      </c>
      <c r="S106" s="82">
        <f>COUNTIFS(Log!$D:$D,'Base Novos Clientes'!$C106,Log!$W:$W,'Base Novos Clientes'!S$2)</f>
        <v>0</v>
      </c>
      <c r="T106" s="82">
        <f>COUNTIFS(Log!$D:$D,'Base Novos Clientes'!$C106,Log!$W:$W,'Base Novos Clientes'!T$2)</f>
        <v>0</v>
      </c>
    </row>
    <row r="107" spans="3:20" x14ac:dyDescent="0.25">
      <c r="C107" s="75"/>
      <c r="D107" s="75"/>
      <c r="E107" s="75"/>
      <c r="F107" s="75"/>
      <c r="G107" s="76"/>
      <c r="H107" s="77"/>
      <c r="I107" s="78"/>
      <c r="J107" s="79"/>
      <c r="K107" s="79" t="str">
        <f ca="1">IF(J107="","NOVO",_xlfn.XLOOKUP(TODAY()-J107,Regras!$C$3:$C$10,Regras!$D$3:$D$10,,1))</f>
        <v>NOVO</v>
      </c>
      <c r="L107" s="75" t="str">
        <f t="shared" si="1"/>
        <v/>
      </c>
      <c r="M107" s="80" t="str">
        <f>IFERROR(IF(Tabela13[[#This Row],[NOME FANTASIA]]="","",_xlfn.XLOOKUP($C107,Log!D:D,Log!B:B,,,-1)),"")</f>
        <v/>
      </c>
      <c r="N107" s="81" t="str">
        <f>IFERROR(_xlfn.XLOOKUP($C107,Log!D:D,Log!W:W,,,-1),"")</f>
        <v/>
      </c>
      <c r="O107" s="81">
        <f>IFERROR(_xlfn.XLOOKUP($C107,Log!D:D,Log!Y:Y,,,-1),"")</f>
        <v>0</v>
      </c>
      <c r="Q107" s="69" t="str">
        <f>IFERROR(IF(Tabela13[[#This Row],[NOME FANTASIA]]="","",_xlfn.XLOOKUP($C107,Log!D:D,Log!X:X,,,-1)),"")</f>
        <v/>
      </c>
      <c r="R107" s="82">
        <f>COUNTIFS(Log!$D:$D,'Base Novos Clientes'!$C107,Log!$W:$W,'Base Novos Clientes'!R$2)</f>
        <v>0</v>
      </c>
      <c r="S107" s="82">
        <f>COUNTIFS(Log!$D:$D,'Base Novos Clientes'!$C107,Log!$W:$W,'Base Novos Clientes'!S$2)</f>
        <v>0</v>
      </c>
      <c r="T107" s="82">
        <f>COUNTIFS(Log!$D:$D,'Base Novos Clientes'!$C107,Log!$W:$W,'Base Novos Clientes'!T$2)</f>
        <v>0</v>
      </c>
    </row>
    <row r="108" spans="3:20" x14ac:dyDescent="0.25">
      <c r="C108" s="75"/>
      <c r="D108" s="75"/>
      <c r="E108" s="75"/>
      <c r="F108" s="75"/>
      <c r="G108" s="76"/>
      <c r="H108" s="77"/>
      <c r="I108" s="78"/>
      <c r="J108" s="79"/>
      <c r="K108" s="79" t="str">
        <f ca="1">IF(J108="","NOVO",_xlfn.XLOOKUP(TODAY()-J108,Regras!$C$3:$C$10,Regras!$D$3:$D$10,,1))</f>
        <v>NOVO</v>
      </c>
      <c r="L108" s="75" t="str">
        <f t="shared" si="1"/>
        <v/>
      </c>
      <c r="M108" s="80" t="str">
        <f>IFERROR(IF(Tabela13[[#This Row],[NOME FANTASIA]]="","",_xlfn.XLOOKUP($C108,Log!D:D,Log!B:B,,,-1)),"")</f>
        <v/>
      </c>
      <c r="N108" s="81" t="str">
        <f>IFERROR(_xlfn.XLOOKUP($C108,Log!D:D,Log!W:W,,,-1),"")</f>
        <v/>
      </c>
      <c r="O108" s="81">
        <f>IFERROR(_xlfn.XLOOKUP($C108,Log!D:D,Log!Y:Y,,,-1),"")</f>
        <v>0</v>
      </c>
      <c r="Q108" s="69" t="str">
        <f>IFERROR(IF(Tabela13[[#This Row],[NOME FANTASIA]]="","",_xlfn.XLOOKUP($C108,Log!D:D,Log!X:X,,,-1)),"")</f>
        <v/>
      </c>
      <c r="R108" s="82">
        <f>COUNTIFS(Log!$D:$D,'Base Novos Clientes'!$C108,Log!$W:$W,'Base Novos Clientes'!R$2)</f>
        <v>0</v>
      </c>
      <c r="S108" s="82">
        <f>COUNTIFS(Log!$D:$D,'Base Novos Clientes'!$C108,Log!$W:$W,'Base Novos Clientes'!S$2)</f>
        <v>0</v>
      </c>
      <c r="T108" s="82">
        <f>COUNTIFS(Log!$D:$D,'Base Novos Clientes'!$C108,Log!$W:$W,'Base Novos Clientes'!T$2)</f>
        <v>0</v>
      </c>
    </row>
    <row r="109" spans="3:20" x14ac:dyDescent="0.25">
      <c r="C109" s="75"/>
      <c r="D109" s="75"/>
      <c r="E109" s="75"/>
      <c r="F109" s="75"/>
      <c r="G109" s="76"/>
      <c r="H109" s="77"/>
      <c r="I109" s="78"/>
      <c r="J109" s="79"/>
      <c r="K109" s="79" t="str">
        <f ca="1">IF(J109="","NOVO",_xlfn.XLOOKUP(TODAY()-J109,Regras!$C$3:$C$10,Regras!$D$3:$D$10,,1))</f>
        <v>NOVO</v>
      </c>
      <c r="L109" s="75" t="str">
        <f t="shared" si="1"/>
        <v/>
      </c>
      <c r="M109" s="80" t="str">
        <f>IFERROR(IF(Tabela13[[#This Row],[NOME FANTASIA]]="","",_xlfn.XLOOKUP($C109,Log!D:D,Log!B:B,,,-1)),"")</f>
        <v/>
      </c>
      <c r="N109" s="81" t="str">
        <f>IFERROR(_xlfn.XLOOKUP($C109,Log!D:D,Log!W:W,,,-1),"")</f>
        <v/>
      </c>
      <c r="O109" s="81">
        <f>IFERROR(_xlfn.XLOOKUP($C109,Log!D:D,Log!Y:Y,,,-1),"")</f>
        <v>0</v>
      </c>
      <c r="Q109" s="69" t="str">
        <f>IFERROR(IF(Tabela13[[#This Row],[NOME FANTASIA]]="","",_xlfn.XLOOKUP($C109,Log!D:D,Log!X:X,,,-1)),"")</f>
        <v/>
      </c>
      <c r="R109" s="82">
        <f>COUNTIFS(Log!$D:$D,'Base Novos Clientes'!$C109,Log!$W:$W,'Base Novos Clientes'!R$2)</f>
        <v>0</v>
      </c>
      <c r="S109" s="82">
        <f>COUNTIFS(Log!$D:$D,'Base Novos Clientes'!$C109,Log!$W:$W,'Base Novos Clientes'!S$2)</f>
        <v>0</v>
      </c>
      <c r="T109" s="82">
        <f>COUNTIFS(Log!$D:$D,'Base Novos Clientes'!$C109,Log!$W:$W,'Base Novos Clientes'!T$2)</f>
        <v>0</v>
      </c>
    </row>
    <row r="110" spans="3:20" x14ac:dyDescent="0.25">
      <c r="C110" s="75"/>
      <c r="D110" s="75"/>
      <c r="E110" s="75"/>
      <c r="F110" s="75"/>
      <c r="G110" s="76"/>
      <c r="H110" s="77"/>
      <c r="I110" s="78"/>
      <c r="J110" s="79"/>
      <c r="K110" s="79" t="str">
        <f ca="1">IF(J110="","NOVO",_xlfn.XLOOKUP(TODAY()-J110,Regras!$C$3:$C$10,Regras!$D$3:$D$10,,1))</f>
        <v>NOVO</v>
      </c>
      <c r="L110" s="75" t="str">
        <f t="shared" si="1"/>
        <v/>
      </c>
      <c r="M110" s="80" t="str">
        <f>IFERROR(IF(Tabela13[[#This Row],[NOME FANTASIA]]="","",_xlfn.XLOOKUP($C110,Log!D:D,Log!B:B,,,-1)),"")</f>
        <v/>
      </c>
      <c r="N110" s="81" t="str">
        <f>IFERROR(_xlfn.XLOOKUP($C110,Log!D:D,Log!W:W,,,-1),"")</f>
        <v/>
      </c>
      <c r="O110" s="81">
        <f>IFERROR(_xlfn.XLOOKUP($C110,Log!D:D,Log!Y:Y,,,-1),"")</f>
        <v>0</v>
      </c>
      <c r="Q110" s="69" t="str">
        <f>IFERROR(IF(Tabela13[[#This Row],[NOME FANTASIA]]="","",_xlfn.XLOOKUP($C110,Log!D:D,Log!X:X,,,-1)),"")</f>
        <v/>
      </c>
      <c r="R110" s="82">
        <f>COUNTIFS(Log!$D:$D,'Base Novos Clientes'!$C110,Log!$W:$W,'Base Novos Clientes'!R$2)</f>
        <v>0</v>
      </c>
      <c r="S110" s="82">
        <f>COUNTIFS(Log!$D:$D,'Base Novos Clientes'!$C110,Log!$W:$W,'Base Novos Clientes'!S$2)</f>
        <v>0</v>
      </c>
      <c r="T110" s="82">
        <f>COUNTIFS(Log!$D:$D,'Base Novos Clientes'!$C110,Log!$W:$W,'Base Novos Clientes'!T$2)</f>
        <v>0</v>
      </c>
    </row>
    <row r="111" spans="3:20" x14ac:dyDescent="0.25">
      <c r="C111" s="75"/>
      <c r="D111" s="75"/>
      <c r="E111" s="75"/>
      <c r="F111" s="75"/>
      <c r="G111" s="76"/>
      <c r="H111" s="77"/>
      <c r="I111" s="78"/>
      <c r="J111" s="79"/>
      <c r="K111" s="79" t="str">
        <f ca="1">IF(J111="","NOVO",_xlfn.XLOOKUP(TODAY()-J111,Regras!$C$3:$C$10,Regras!$D$3:$D$10,,1))</f>
        <v>NOVO</v>
      </c>
      <c r="L111" s="75" t="str">
        <f t="shared" si="1"/>
        <v/>
      </c>
      <c r="M111" s="80" t="str">
        <f>IFERROR(IF(Tabela13[[#This Row],[NOME FANTASIA]]="","",_xlfn.XLOOKUP($C111,Log!D:D,Log!B:B,,,-1)),"")</f>
        <v/>
      </c>
      <c r="N111" s="81" t="str">
        <f>IFERROR(_xlfn.XLOOKUP($C111,Log!D:D,Log!W:W,,,-1),"")</f>
        <v/>
      </c>
      <c r="O111" s="81">
        <f>IFERROR(_xlfn.XLOOKUP($C111,Log!D:D,Log!Y:Y,,,-1),"")</f>
        <v>0</v>
      </c>
      <c r="Q111" s="69" t="str">
        <f>IFERROR(IF(Tabela13[[#This Row],[NOME FANTASIA]]="","",_xlfn.XLOOKUP($C111,Log!D:D,Log!X:X,,,-1)),"")</f>
        <v/>
      </c>
      <c r="R111" s="82">
        <f>COUNTIFS(Log!$D:$D,'Base Novos Clientes'!$C111,Log!$W:$W,'Base Novos Clientes'!R$2)</f>
        <v>0</v>
      </c>
      <c r="S111" s="82">
        <f>COUNTIFS(Log!$D:$D,'Base Novos Clientes'!$C111,Log!$W:$W,'Base Novos Clientes'!S$2)</f>
        <v>0</v>
      </c>
      <c r="T111" s="82">
        <f>COUNTIFS(Log!$D:$D,'Base Novos Clientes'!$C111,Log!$W:$W,'Base Novos Clientes'!T$2)</f>
        <v>0</v>
      </c>
    </row>
    <row r="112" spans="3:20" x14ac:dyDescent="0.25">
      <c r="C112" s="75"/>
      <c r="D112" s="75"/>
      <c r="E112" s="75"/>
      <c r="F112" s="75"/>
      <c r="G112" s="76"/>
      <c r="H112" s="77"/>
      <c r="I112" s="78"/>
      <c r="J112" s="79"/>
      <c r="K112" s="79" t="str">
        <f ca="1">IF(J112="","NOVO",_xlfn.XLOOKUP(TODAY()-J112,Regras!$C$3:$C$10,Regras!$D$3:$D$10,,1))</f>
        <v>NOVO</v>
      </c>
      <c r="L112" s="75" t="str">
        <f t="shared" si="1"/>
        <v/>
      </c>
      <c r="M112" s="80" t="str">
        <f>IFERROR(IF(Tabela13[[#This Row],[NOME FANTASIA]]="","",_xlfn.XLOOKUP($C112,Log!D:D,Log!B:B,,,-1)),"")</f>
        <v/>
      </c>
      <c r="N112" s="81" t="str">
        <f>IFERROR(_xlfn.XLOOKUP($C112,Log!D:D,Log!W:W,,,-1),"")</f>
        <v/>
      </c>
      <c r="O112" s="81">
        <f>IFERROR(_xlfn.XLOOKUP($C112,Log!D:D,Log!Y:Y,,,-1),"")</f>
        <v>0</v>
      </c>
      <c r="Q112" s="69" t="str">
        <f>IFERROR(IF(Tabela13[[#This Row],[NOME FANTASIA]]="","",_xlfn.XLOOKUP($C112,Log!D:D,Log!X:X,,,-1)),"")</f>
        <v/>
      </c>
      <c r="R112" s="82">
        <f>COUNTIFS(Log!$D:$D,'Base Novos Clientes'!$C112,Log!$W:$W,'Base Novos Clientes'!R$2)</f>
        <v>0</v>
      </c>
      <c r="S112" s="82">
        <f>COUNTIFS(Log!$D:$D,'Base Novos Clientes'!$C112,Log!$W:$W,'Base Novos Clientes'!S$2)</f>
        <v>0</v>
      </c>
      <c r="T112" s="82">
        <f>COUNTIFS(Log!$D:$D,'Base Novos Clientes'!$C112,Log!$W:$W,'Base Novos Clientes'!T$2)</f>
        <v>0</v>
      </c>
    </row>
    <row r="113" spans="3:20" x14ac:dyDescent="0.25">
      <c r="C113" s="75"/>
      <c r="D113" s="75"/>
      <c r="E113" s="75"/>
      <c r="F113" s="75"/>
      <c r="G113" s="76"/>
      <c r="H113" s="77"/>
      <c r="I113" s="78"/>
      <c r="J113" s="79"/>
      <c r="K113" s="79" t="str">
        <f ca="1">IF(J113="","NOVO",_xlfn.XLOOKUP(TODAY()-J113,Regras!$C$3:$C$10,Regras!$D$3:$D$10,,1))</f>
        <v>NOVO</v>
      </c>
      <c r="L113" s="75" t="str">
        <f t="shared" si="1"/>
        <v/>
      </c>
      <c r="M113" s="80" t="str">
        <f>IFERROR(IF(Tabela13[[#This Row],[NOME FANTASIA]]="","",_xlfn.XLOOKUP($C113,Log!D:D,Log!B:B,,,-1)),"")</f>
        <v/>
      </c>
      <c r="N113" s="81" t="str">
        <f>IFERROR(_xlfn.XLOOKUP($C113,Log!D:D,Log!W:W,,,-1),"")</f>
        <v/>
      </c>
      <c r="O113" s="81">
        <f>IFERROR(_xlfn.XLOOKUP($C113,Log!D:D,Log!Y:Y,,,-1),"")</f>
        <v>0</v>
      </c>
      <c r="Q113" s="69" t="str">
        <f>IFERROR(IF(Tabela13[[#This Row],[NOME FANTASIA]]="","",_xlfn.XLOOKUP($C113,Log!D:D,Log!X:X,,,-1)),"")</f>
        <v/>
      </c>
      <c r="R113" s="82">
        <f>COUNTIFS(Log!$D:$D,'Base Novos Clientes'!$C113,Log!$W:$W,'Base Novos Clientes'!R$2)</f>
        <v>0</v>
      </c>
      <c r="S113" s="82">
        <f>COUNTIFS(Log!$D:$D,'Base Novos Clientes'!$C113,Log!$W:$W,'Base Novos Clientes'!S$2)</f>
        <v>0</v>
      </c>
      <c r="T113" s="82">
        <f>COUNTIFS(Log!$D:$D,'Base Novos Clientes'!$C113,Log!$W:$W,'Base Novos Clientes'!T$2)</f>
        <v>0</v>
      </c>
    </row>
    <row r="114" spans="3:20" x14ac:dyDescent="0.25">
      <c r="C114" s="75"/>
      <c r="D114" s="75"/>
      <c r="E114" s="75"/>
      <c r="F114" s="75"/>
      <c r="G114" s="76"/>
      <c r="H114" s="77"/>
      <c r="I114" s="78"/>
      <c r="J114" s="79"/>
      <c r="K114" s="79" t="str">
        <f ca="1">IF(J114="","NOVO",_xlfn.XLOOKUP(TODAY()-J114,Regras!$C$3:$C$10,Regras!$D$3:$D$10,,1))</f>
        <v>NOVO</v>
      </c>
      <c r="L114" s="75" t="str">
        <f t="shared" si="1"/>
        <v/>
      </c>
      <c r="M114" s="80" t="str">
        <f>IFERROR(IF(Tabela13[[#This Row],[NOME FANTASIA]]="","",_xlfn.XLOOKUP($C114,Log!D:D,Log!B:B,,,-1)),"")</f>
        <v/>
      </c>
      <c r="N114" s="81" t="str">
        <f>IFERROR(_xlfn.XLOOKUP($C114,Log!D:D,Log!W:W,,,-1),"")</f>
        <v/>
      </c>
      <c r="O114" s="81">
        <f>IFERROR(_xlfn.XLOOKUP($C114,Log!D:D,Log!Y:Y,,,-1),"")</f>
        <v>0</v>
      </c>
      <c r="Q114" s="69" t="str">
        <f>IFERROR(IF(Tabela13[[#This Row],[NOME FANTASIA]]="","",_xlfn.XLOOKUP($C114,Log!D:D,Log!X:X,,,-1)),"")</f>
        <v/>
      </c>
      <c r="R114" s="82">
        <f>COUNTIFS(Log!$D:$D,'Base Novos Clientes'!$C114,Log!$W:$W,'Base Novos Clientes'!R$2)</f>
        <v>0</v>
      </c>
      <c r="S114" s="82">
        <f>COUNTIFS(Log!$D:$D,'Base Novos Clientes'!$C114,Log!$W:$W,'Base Novos Clientes'!S$2)</f>
        <v>0</v>
      </c>
      <c r="T114" s="82">
        <f>COUNTIFS(Log!$D:$D,'Base Novos Clientes'!$C114,Log!$W:$W,'Base Novos Clientes'!T$2)</f>
        <v>0</v>
      </c>
    </row>
    <row r="115" spans="3:20" x14ac:dyDescent="0.25">
      <c r="C115" s="75"/>
      <c r="D115" s="75"/>
      <c r="E115" s="75"/>
      <c r="F115" s="75"/>
      <c r="G115" s="76"/>
      <c r="H115" s="77"/>
      <c r="I115" s="78"/>
      <c r="J115" s="79"/>
      <c r="K115" s="79" t="str">
        <f ca="1">IF(J115="","NOVO",_xlfn.XLOOKUP(TODAY()-J115,Regras!$C$3:$C$10,Regras!$D$3:$D$10,,1))</f>
        <v>NOVO</v>
      </c>
      <c r="L115" s="75" t="str">
        <f t="shared" si="1"/>
        <v/>
      </c>
      <c r="M115" s="80" t="str">
        <f>IFERROR(IF(Tabela13[[#This Row],[NOME FANTASIA]]="","",_xlfn.XLOOKUP($C115,Log!D:D,Log!B:B,,,-1)),"")</f>
        <v/>
      </c>
      <c r="N115" s="81" t="str">
        <f>IFERROR(_xlfn.XLOOKUP($C115,Log!D:D,Log!W:W,,,-1),"")</f>
        <v/>
      </c>
      <c r="O115" s="81">
        <f>IFERROR(_xlfn.XLOOKUP($C115,Log!D:D,Log!Y:Y,,,-1),"")</f>
        <v>0</v>
      </c>
      <c r="Q115" s="69" t="str">
        <f>IFERROR(IF(Tabela13[[#This Row],[NOME FANTASIA]]="","",_xlfn.XLOOKUP($C115,Log!D:D,Log!X:X,,,-1)),"")</f>
        <v/>
      </c>
      <c r="R115" s="82">
        <f>COUNTIFS(Log!$D:$D,'Base Novos Clientes'!$C115,Log!$W:$W,'Base Novos Clientes'!R$2)</f>
        <v>0</v>
      </c>
      <c r="S115" s="82">
        <f>COUNTIFS(Log!$D:$D,'Base Novos Clientes'!$C115,Log!$W:$W,'Base Novos Clientes'!S$2)</f>
        <v>0</v>
      </c>
      <c r="T115" s="82">
        <f>COUNTIFS(Log!$D:$D,'Base Novos Clientes'!$C115,Log!$W:$W,'Base Novos Clientes'!T$2)</f>
        <v>0</v>
      </c>
    </row>
    <row r="116" spans="3:20" x14ac:dyDescent="0.25">
      <c r="C116" s="75"/>
      <c r="D116" s="75"/>
      <c r="E116" s="75"/>
      <c r="F116" s="75"/>
      <c r="G116" s="76"/>
      <c r="H116" s="77"/>
      <c r="I116" s="78"/>
      <c r="J116" s="79"/>
      <c r="K116" s="79" t="str">
        <f ca="1">IF(J116="","NOVO",_xlfn.XLOOKUP(TODAY()-J116,Regras!$C$3:$C$10,Regras!$D$3:$D$10,,1))</f>
        <v>NOVO</v>
      </c>
      <c r="L116" s="75" t="str">
        <f t="shared" si="1"/>
        <v/>
      </c>
      <c r="M116" s="80" t="str">
        <f>IFERROR(IF(Tabela13[[#This Row],[NOME FANTASIA]]="","",_xlfn.XLOOKUP($C116,Log!D:D,Log!B:B,,,-1)),"")</f>
        <v/>
      </c>
      <c r="N116" s="81" t="str">
        <f>IFERROR(_xlfn.XLOOKUP($C116,Log!D:D,Log!W:W,,,-1),"")</f>
        <v/>
      </c>
      <c r="O116" s="81">
        <f>IFERROR(_xlfn.XLOOKUP($C116,Log!D:D,Log!Y:Y,,,-1),"")</f>
        <v>0</v>
      </c>
      <c r="Q116" s="69" t="str">
        <f>IFERROR(IF(Tabela13[[#This Row],[NOME FANTASIA]]="","",_xlfn.XLOOKUP($C116,Log!D:D,Log!X:X,,,-1)),"")</f>
        <v/>
      </c>
      <c r="R116" s="82">
        <f>COUNTIFS(Log!$D:$D,'Base Novos Clientes'!$C116,Log!$W:$W,'Base Novos Clientes'!R$2)</f>
        <v>0</v>
      </c>
      <c r="S116" s="82">
        <f>COUNTIFS(Log!$D:$D,'Base Novos Clientes'!$C116,Log!$W:$W,'Base Novos Clientes'!S$2)</f>
        <v>0</v>
      </c>
      <c r="T116" s="82">
        <f>COUNTIFS(Log!$D:$D,'Base Novos Clientes'!$C116,Log!$W:$W,'Base Novos Clientes'!T$2)</f>
        <v>0</v>
      </c>
    </row>
    <row r="117" spans="3:20" x14ac:dyDescent="0.25">
      <c r="C117" s="75"/>
      <c r="D117" s="75"/>
      <c r="E117" s="75"/>
      <c r="F117" s="75"/>
      <c r="G117" s="76"/>
      <c r="H117" s="77"/>
      <c r="I117" s="78"/>
      <c r="J117" s="79"/>
      <c r="K117" s="79" t="str">
        <f ca="1">IF(J117="","NOVO",_xlfn.XLOOKUP(TODAY()-J117,Regras!$C$3:$C$10,Regras!$D$3:$D$10,,1))</f>
        <v>NOVO</v>
      </c>
      <c r="L117" s="75" t="str">
        <f t="shared" si="1"/>
        <v/>
      </c>
      <c r="M117" s="80" t="str">
        <f>IFERROR(IF(Tabela13[[#This Row],[NOME FANTASIA]]="","",_xlfn.XLOOKUP($C117,Log!D:D,Log!B:B,,,-1)),"")</f>
        <v/>
      </c>
      <c r="N117" s="81" t="str">
        <f>IFERROR(_xlfn.XLOOKUP($C117,Log!D:D,Log!W:W,,,-1),"")</f>
        <v/>
      </c>
      <c r="O117" s="81">
        <f>IFERROR(_xlfn.XLOOKUP($C117,Log!D:D,Log!Y:Y,,,-1),"")</f>
        <v>0</v>
      </c>
      <c r="Q117" s="69" t="str">
        <f>IFERROR(IF(Tabela13[[#This Row],[NOME FANTASIA]]="","",_xlfn.XLOOKUP($C117,Log!D:D,Log!X:X,,,-1)),"")</f>
        <v/>
      </c>
      <c r="R117" s="82">
        <f>COUNTIFS(Log!$D:$D,'Base Novos Clientes'!$C117,Log!$W:$W,'Base Novos Clientes'!R$2)</f>
        <v>0</v>
      </c>
      <c r="S117" s="82">
        <f>COUNTIFS(Log!$D:$D,'Base Novos Clientes'!$C117,Log!$W:$W,'Base Novos Clientes'!S$2)</f>
        <v>0</v>
      </c>
      <c r="T117" s="82">
        <f>COUNTIFS(Log!$D:$D,'Base Novos Clientes'!$C117,Log!$W:$W,'Base Novos Clientes'!T$2)</f>
        <v>0</v>
      </c>
    </row>
    <row r="118" spans="3:20" x14ac:dyDescent="0.25">
      <c r="C118" s="75"/>
      <c r="D118" s="75"/>
      <c r="E118" s="75"/>
      <c r="F118" s="75"/>
      <c r="G118" s="76"/>
      <c r="H118" s="77"/>
      <c r="I118" s="78"/>
      <c r="J118" s="79"/>
      <c r="K118" s="79" t="str">
        <f ca="1">IF(J118="","NOVO",_xlfn.XLOOKUP(TODAY()-J118,Regras!$C$3:$C$10,Regras!$D$3:$D$10,,1))</f>
        <v>NOVO</v>
      </c>
      <c r="L118" s="75" t="str">
        <f t="shared" si="1"/>
        <v/>
      </c>
      <c r="M118" s="80" t="str">
        <f>IFERROR(IF(Tabela13[[#This Row],[NOME FANTASIA]]="","",_xlfn.XLOOKUP($C118,Log!D:D,Log!B:B,,,-1)),"")</f>
        <v/>
      </c>
      <c r="N118" s="81" t="str">
        <f>IFERROR(_xlfn.XLOOKUP($C118,Log!D:D,Log!W:W,,,-1),"")</f>
        <v/>
      </c>
      <c r="O118" s="81">
        <f>IFERROR(_xlfn.XLOOKUP($C118,Log!D:D,Log!Y:Y,,,-1),"")</f>
        <v>0</v>
      </c>
      <c r="Q118" s="69" t="str">
        <f>IFERROR(IF(Tabela13[[#This Row],[NOME FANTASIA]]="","",_xlfn.XLOOKUP($C118,Log!D:D,Log!X:X,,,-1)),"")</f>
        <v/>
      </c>
      <c r="R118" s="82">
        <f>COUNTIFS(Log!$D:$D,'Base Novos Clientes'!$C118,Log!$W:$W,'Base Novos Clientes'!R$2)</f>
        <v>0</v>
      </c>
      <c r="S118" s="82">
        <f>COUNTIFS(Log!$D:$D,'Base Novos Clientes'!$C118,Log!$W:$W,'Base Novos Clientes'!S$2)</f>
        <v>0</v>
      </c>
      <c r="T118" s="82">
        <f>COUNTIFS(Log!$D:$D,'Base Novos Clientes'!$C118,Log!$W:$W,'Base Novos Clientes'!T$2)</f>
        <v>0</v>
      </c>
    </row>
    <row r="119" spans="3:20" x14ac:dyDescent="0.25">
      <c r="C119" s="75"/>
      <c r="D119" s="75"/>
      <c r="E119" s="75"/>
      <c r="F119" s="75"/>
      <c r="G119" s="76"/>
      <c r="H119" s="77"/>
      <c r="I119" s="78"/>
      <c r="J119" s="79"/>
      <c r="K119" s="79" t="str">
        <f ca="1">IF(J119="","NOVO",_xlfn.XLOOKUP(TODAY()-J119,Regras!$C$3:$C$10,Regras!$D$3:$D$10,,1))</f>
        <v>NOVO</v>
      </c>
      <c r="L119" s="75" t="str">
        <f t="shared" si="1"/>
        <v/>
      </c>
      <c r="M119" s="80" t="str">
        <f>IFERROR(IF(Tabela13[[#This Row],[NOME FANTASIA]]="","",_xlfn.XLOOKUP($C119,Log!D:D,Log!B:B,,,-1)),"")</f>
        <v/>
      </c>
      <c r="N119" s="81" t="str">
        <f>IFERROR(_xlfn.XLOOKUP($C119,Log!D:D,Log!W:W,,,-1),"")</f>
        <v/>
      </c>
      <c r="O119" s="81">
        <f>IFERROR(_xlfn.XLOOKUP($C119,Log!D:D,Log!Y:Y,,,-1),"")</f>
        <v>0</v>
      </c>
      <c r="Q119" s="69" t="str">
        <f>IFERROR(IF(Tabela13[[#This Row],[NOME FANTASIA]]="","",_xlfn.XLOOKUP($C119,Log!D:D,Log!X:X,,,-1)),"")</f>
        <v/>
      </c>
      <c r="R119" s="82">
        <f>COUNTIFS(Log!$D:$D,'Base Novos Clientes'!$C119,Log!$W:$W,'Base Novos Clientes'!R$2)</f>
        <v>0</v>
      </c>
      <c r="S119" s="82">
        <f>COUNTIFS(Log!$D:$D,'Base Novos Clientes'!$C119,Log!$W:$W,'Base Novos Clientes'!S$2)</f>
        <v>0</v>
      </c>
      <c r="T119" s="82">
        <f>COUNTIFS(Log!$D:$D,'Base Novos Clientes'!$C119,Log!$W:$W,'Base Novos Clientes'!T$2)</f>
        <v>0</v>
      </c>
    </row>
    <row r="120" spans="3:20" x14ac:dyDescent="0.25">
      <c r="C120" s="75"/>
      <c r="D120" s="75"/>
      <c r="E120" s="75"/>
      <c r="F120" s="75"/>
      <c r="G120" s="76"/>
      <c r="H120" s="77"/>
      <c r="I120" s="78"/>
      <c r="J120" s="79"/>
      <c r="K120" s="79" t="str">
        <f ca="1">IF(J120="","NOVO",_xlfn.XLOOKUP(TODAY()-J120,Regras!$C$3:$C$10,Regras!$D$3:$D$10,,1))</f>
        <v>NOVO</v>
      </c>
      <c r="L120" s="75" t="str">
        <f t="shared" si="1"/>
        <v/>
      </c>
      <c r="M120" s="80" t="str">
        <f>IFERROR(IF(Tabela13[[#This Row],[NOME FANTASIA]]="","",_xlfn.XLOOKUP($C120,Log!D:D,Log!B:B,,,-1)),"")</f>
        <v/>
      </c>
      <c r="N120" s="81" t="str">
        <f>IFERROR(_xlfn.XLOOKUP($C120,Log!D:D,Log!W:W,,,-1),"")</f>
        <v/>
      </c>
      <c r="O120" s="81">
        <f>IFERROR(_xlfn.XLOOKUP($C120,Log!D:D,Log!Y:Y,,,-1),"")</f>
        <v>0</v>
      </c>
      <c r="Q120" s="69" t="str">
        <f>IFERROR(IF(Tabela13[[#This Row],[NOME FANTASIA]]="","",_xlfn.XLOOKUP($C120,Log!D:D,Log!X:X,,,-1)),"")</f>
        <v/>
      </c>
      <c r="R120" s="82">
        <f>COUNTIFS(Log!$D:$D,'Base Novos Clientes'!$C120,Log!$W:$W,'Base Novos Clientes'!R$2)</f>
        <v>0</v>
      </c>
      <c r="S120" s="82">
        <f>COUNTIFS(Log!$D:$D,'Base Novos Clientes'!$C120,Log!$W:$W,'Base Novos Clientes'!S$2)</f>
        <v>0</v>
      </c>
      <c r="T120" s="82">
        <f>COUNTIFS(Log!$D:$D,'Base Novos Clientes'!$C120,Log!$W:$W,'Base Novos Clientes'!T$2)</f>
        <v>0</v>
      </c>
    </row>
    <row r="121" spans="3:20" x14ac:dyDescent="0.25">
      <c r="C121" s="75"/>
      <c r="D121" s="75"/>
      <c r="E121" s="75"/>
      <c r="F121" s="75"/>
      <c r="G121" s="76"/>
      <c r="H121" s="77"/>
      <c r="I121" s="78"/>
      <c r="J121" s="79"/>
      <c r="K121" s="79" t="str">
        <f ca="1">IF(J121="","NOVO",_xlfn.XLOOKUP(TODAY()-J121,Regras!$C$3:$C$10,Regras!$D$3:$D$10,,1))</f>
        <v>NOVO</v>
      </c>
      <c r="L121" s="75" t="str">
        <f t="shared" si="1"/>
        <v/>
      </c>
      <c r="M121" s="80" t="str">
        <f>IFERROR(IF(Tabela13[[#This Row],[NOME FANTASIA]]="","",_xlfn.XLOOKUP($C121,Log!D:D,Log!B:B,,,-1)),"")</f>
        <v/>
      </c>
      <c r="N121" s="81" t="str">
        <f>IFERROR(_xlfn.XLOOKUP($C121,Log!D:D,Log!W:W,,,-1),"")</f>
        <v/>
      </c>
      <c r="O121" s="81">
        <f>IFERROR(_xlfn.XLOOKUP($C121,Log!D:D,Log!Y:Y,,,-1),"")</f>
        <v>0</v>
      </c>
      <c r="Q121" s="69" t="str">
        <f>IFERROR(IF(Tabela13[[#This Row],[NOME FANTASIA]]="","",_xlfn.XLOOKUP($C121,Log!D:D,Log!X:X,,,-1)),"")</f>
        <v/>
      </c>
      <c r="R121" s="82">
        <f>COUNTIFS(Log!$D:$D,'Base Novos Clientes'!$C121,Log!$W:$W,'Base Novos Clientes'!R$2)</f>
        <v>0</v>
      </c>
      <c r="S121" s="82">
        <f>COUNTIFS(Log!$D:$D,'Base Novos Clientes'!$C121,Log!$W:$W,'Base Novos Clientes'!S$2)</f>
        <v>0</v>
      </c>
      <c r="T121" s="82">
        <f>COUNTIFS(Log!$D:$D,'Base Novos Clientes'!$C121,Log!$W:$W,'Base Novos Clientes'!T$2)</f>
        <v>0</v>
      </c>
    </row>
    <row r="122" spans="3:20" x14ac:dyDescent="0.25">
      <c r="C122" s="75"/>
      <c r="D122" s="75"/>
      <c r="E122" s="75"/>
      <c r="F122" s="75"/>
      <c r="G122" s="76"/>
      <c r="H122" s="77"/>
      <c r="I122" s="78"/>
      <c r="J122" s="79"/>
      <c r="K122" s="79" t="str">
        <f ca="1">IF(J122="","NOVO",_xlfn.XLOOKUP(TODAY()-J122,Regras!$C$3:$C$10,Regras!$D$3:$D$10,,1))</f>
        <v>NOVO</v>
      </c>
      <c r="L122" s="75" t="str">
        <f t="shared" si="1"/>
        <v/>
      </c>
      <c r="M122" s="80" t="str">
        <f>IFERROR(IF(Tabela13[[#This Row],[NOME FANTASIA]]="","",_xlfn.XLOOKUP($C122,Log!D:D,Log!B:B,,,-1)),"")</f>
        <v/>
      </c>
      <c r="N122" s="81" t="str">
        <f>IFERROR(_xlfn.XLOOKUP($C122,Log!D:D,Log!W:W,,,-1),"")</f>
        <v/>
      </c>
      <c r="O122" s="81">
        <f>IFERROR(_xlfn.XLOOKUP($C122,Log!D:D,Log!Y:Y,,,-1),"")</f>
        <v>0</v>
      </c>
      <c r="Q122" s="69" t="str">
        <f>IFERROR(IF(Tabela13[[#This Row],[NOME FANTASIA]]="","",_xlfn.XLOOKUP($C122,Log!D:D,Log!X:X,,,-1)),"")</f>
        <v/>
      </c>
      <c r="R122" s="82">
        <f>COUNTIFS(Log!$D:$D,'Base Novos Clientes'!$C122,Log!$W:$W,'Base Novos Clientes'!R$2)</f>
        <v>0</v>
      </c>
      <c r="S122" s="82">
        <f>COUNTIFS(Log!$D:$D,'Base Novos Clientes'!$C122,Log!$W:$W,'Base Novos Clientes'!S$2)</f>
        <v>0</v>
      </c>
      <c r="T122" s="82">
        <f>COUNTIFS(Log!$D:$D,'Base Novos Clientes'!$C122,Log!$W:$W,'Base Novos Clientes'!T$2)</f>
        <v>0</v>
      </c>
    </row>
    <row r="123" spans="3:20" x14ac:dyDescent="0.25">
      <c r="C123" s="75"/>
      <c r="D123" s="75"/>
      <c r="E123" s="75"/>
      <c r="F123" s="75"/>
      <c r="G123" s="76"/>
      <c r="H123" s="77"/>
      <c r="I123" s="78"/>
      <c r="J123" s="79"/>
      <c r="K123" s="79" t="str">
        <f ca="1">IF(J123="","NOVO",_xlfn.XLOOKUP(TODAY()-J123,Regras!$C$3:$C$10,Regras!$D$3:$D$10,,1))</f>
        <v>NOVO</v>
      </c>
      <c r="L123" s="75" t="str">
        <f t="shared" si="1"/>
        <v/>
      </c>
      <c r="M123" s="80" t="str">
        <f>IFERROR(IF(Tabela13[[#This Row],[NOME FANTASIA]]="","",_xlfn.XLOOKUP($C123,Log!D:D,Log!B:B,,,-1)),"")</f>
        <v/>
      </c>
      <c r="N123" s="81" t="str">
        <f>IFERROR(_xlfn.XLOOKUP($C123,Log!D:D,Log!W:W,,,-1),"")</f>
        <v/>
      </c>
      <c r="O123" s="81">
        <f>IFERROR(_xlfn.XLOOKUP($C123,Log!D:D,Log!Y:Y,,,-1),"")</f>
        <v>0</v>
      </c>
      <c r="Q123" s="69" t="str">
        <f>IFERROR(IF(Tabela13[[#This Row],[NOME FANTASIA]]="","",_xlfn.XLOOKUP($C123,Log!D:D,Log!X:X,,,-1)),"")</f>
        <v/>
      </c>
      <c r="R123" s="82">
        <f>COUNTIFS(Log!$D:$D,'Base Novos Clientes'!$C123,Log!$W:$W,'Base Novos Clientes'!R$2)</f>
        <v>0</v>
      </c>
      <c r="S123" s="82">
        <f>COUNTIFS(Log!$D:$D,'Base Novos Clientes'!$C123,Log!$W:$W,'Base Novos Clientes'!S$2)</f>
        <v>0</v>
      </c>
      <c r="T123" s="82">
        <f>COUNTIFS(Log!$D:$D,'Base Novos Clientes'!$C123,Log!$W:$W,'Base Novos Clientes'!T$2)</f>
        <v>0</v>
      </c>
    </row>
    <row r="124" spans="3:20" x14ac:dyDescent="0.25">
      <c r="C124" s="75"/>
      <c r="D124" s="75"/>
      <c r="E124" s="75"/>
      <c r="F124" s="75"/>
      <c r="G124" s="76"/>
      <c r="H124" s="77"/>
      <c r="I124" s="78"/>
      <c r="J124" s="79"/>
      <c r="K124" s="79" t="str">
        <f ca="1">IF(J124="","NOVO",_xlfn.XLOOKUP(TODAY()-J124,Regras!$C$3:$C$10,Regras!$D$3:$D$10,,1))</f>
        <v>NOVO</v>
      </c>
      <c r="L124" s="75" t="str">
        <f t="shared" si="1"/>
        <v/>
      </c>
      <c r="M124" s="80" t="str">
        <f>IFERROR(IF(Tabela13[[#This Row],[NOME FANTASIA]]="","",_xlfn.XLOOKUP($C124,Log!D:D,Log!B:B,,,-1)),"")</f>
        <v/>
      </c>
      <c r="N124" s="81" t="str">
        <f>IFERROR(_xlfn.XLOOKUP($C124,Log!D:D,Log!W:W,,,-1),"")</f>
        <v/>
      </c>
      <c r="O124" s="81">
        <f>IFERROR(_xlfn.XLOOKUP($C124,Log!D:D,Log!Y:Y,,,-1),"")</f>
        <v>0</v>
      </c>
      <c r="Q124" s="69" t="str">
        <f>IFERROR(IF(Tabela13[[#This Row],[NOME FANTASIA]]="","",_xlfn.XLOOKUP($C124,Log!D:D,Log!X:X,,,-1)),"")</f>
        <v/>
      </c>
      <c r="R124" s="82">
        <f>COUNTIFS(Log!$D:$D,'Base Novos Clientes'!$C124,Log!$W:$W,'Base Novos Clientes'!R$2)</f>
        <v>0</v>
      </c>
      <c r="S124" s="82">
        <f>COUNTIFS(Log!$D:$D,'Base Novos Clientes'!$C124,Log!$W:$W,'Base Novos Clientes'!S$2)</f>
        <v>0</v>
      </c>
      <c r="T124" s="82">
        <f>COUNTIFS(Log!$D:$D,'Base Novos Clientes'!$C124,Log!$W:$W,'Base Novos Clientes'!T$2)</f>
        <v>0</v>
      </c>
    </row>
    <row r="125" spans="3:20" x14ac:dyDescent="0.25">
      <c r="C125" s="75"/>
      <c r="D125" s="75"/>
      <c r="E125" s="75"/>
      <c r="F125" s="75"/>
      <c r="G125" s="76"/>
      <c r="H125" s="77"/>
      <c r="I125" s="78"/>
      <c r="J125" s="79"/>
      <c r="K125" s="79" t="str">
        <f ca="1">IF(J125="","NOVO",_xlfn.XLOOKUP(TODAY()-J125,Regras!$C$3:$C$10,Regras!$D$3:$D$10,,1))</f>
        <v>NOVO</v>
      </c>
      <c r="L125" s="75" t="str">
        <f t="shared" si="1"/>
        <v/>
      </c>
      <c r="M125" s="80" t="str">
        <f>IFERROR(IF(Tabela13[[#This Row],[NOME FANTASIA]]="","",_xlfn.XLOOKUP($C125,Log!D:D,Log!B:B,,,-1)),"")</f>
        <v/>
      </c>
      <c r="N125" s="81" t="str">
        <f>IFERROR(_xlfn.XLOOKUP($C125,Log!D:D,Log!W:W,,,-1),"")</f>
        <v/>
      </c>
      <c r="O125" s="81">
        <f>IFERROR(_xlfn.XLOOKUP($C125,Log!D:D,Log!Y:Y,,,-1),"")</f>
        <v>0</v>
      </c>
      <c r="Q125" s="69" t="str">
        <f>IFERROR(IF(Tabela13[[#This Row],[NOME FANTASIA]]="","",_xlfn.XLOOKUP($C125,Log!D:D,Log!X:X,,,-1)),"")</f>
        <v/>
      </c>
      <c r="R125" s="82">
        <f>COUNTIFS(Log!$D:$D,'Base Novos Clientes'!$C125,Log!$W:$W,'Base Novos Clientes'!R$2)</f>
        <v>0</v>
      </c>
      <c r="S125" s="82">
        <f>COUNTIFS(Log!$D:$D,'Base Novos Clientes'!$C125,Log!$W:$W,'Base Novos Clientes'!S$2)</f>
        <v>0</v>
      </c>
      <c r="T125" s="82">
        <f>COUNTIFS(Log!$D:$D,'Base Novos Clientes'!$C125,Log!$W:$W,'Base Novos Clientes'!T$2)</f>
        <v>0</v>
      </c>
    </row>
    <row r="126" spans="3:20" x14ac:dyDescent="0.25">
      <c r="C126" s="75"/>
      <c r="D126" s="75"/>
      <c r="E126" s="75"/>
      <c r="F126" s="75"/>
      <c r="G126" s="76"/>
      <c r="H126" s="77"/>
      <c r="I126" s="78"/>
      <c r="J126" s="79"/>
      <c r="K126" s="79" t="str">
        <f ca="1">IF(J126="","NOVO",_xlfn.XLOOKUP(TODAY()-J126,Regras!$C$3:$C$10,Regras!$D$3:$D$10,,1))</f>
        <v>NOVO</v>
      </c>
      <c r="L126" s="75" t="str">
        <f t="shared" si="1"/>
        <v/>
      </c>
      <c r="M126" s="80" t="str">
        <f>IFERROR(IF(Tabela13[[#This Row],[NOME FANTASIA]]="","",_xlfn.XLOOKUP($C126,Log!D:D,Log!B:B,,,-1)),"")</f>
        <v/>
      </c>
      <c r="N126" s="81" t="str">
        <f>IFERROR(_xlfn.XLOOKUP($C126,Log!D:D,Log!W:W,,,-1),"")</f>
        <v/>
      </c>
      <c r="O126" s="81">
        <f>IFERROR(_xlfn.XLOOKUP($C126,Log!D:D,Log!Y:Y,,,-1),"")</f>
        <v>0</v>
      </c>
      <c r="Q126" s="69" t="str">
        <f>IFERROR(IF(Tabela13[[#This Row],[NOME FANTASIA]]="","",_xlfn.XLOOKUP($C126,Log!D:D,Log!X:X,,,-1)),"")</f>
        <v/>
      </c>
      <c r="R126" s="82">
        <f>COUNTIFS(Log!$D:$D,'Base Novos Clientes'!$C126,Log!$W:$W,'Base Novos Clientes'!R$2)</f>
        <v>0</v>
      </c>
      <c r="S126" s="82">
        <f>COUNTIFS(Log!$D:$D,'Base Novos Clientes'!$C126,Log!$W:$W,'Base Novos Clientes'!S$2)</f>
        <v>0</v>
      </c>
      <c r="T126" s="82">
        <f>COUNTIFS(Log!$D:$D,'Base Novos Clientes'!$C126,Log!$W:$W,'Base Novos Clientes'!T$2)</f>
        <v>0</v>
      </c>
    </row>
    <row r="127" spans="3:20" x14ac:dyDescent="0.25">
      <c r="C127" s="75"/>
      <c r="D127" s="75"/>
      <c r="E127" s="75"/>
      <c r="F127" s="75"/>
      <c r="G127" s="76"/>
      <c r="H127" s="77"/>
      <c r="I127" s="78"/>
      <c r="J127" s="79"/>
      <c r="K127" s="79" t="str">
        <f ca="1">IF(J127="","NOVO",_xlfn.XLOOKUP(TODAY()-J127,Regras!$C$3:$C$10,Regras!$D$3:$D$10,,1))</f>
        <v>NOVO</v>
      </c>
      <c r="L127" s="75" t="str">
        <f t="shared" si="1"/>
        <v/>
      </c>
      <c r="M127" s="80" t="str">
        <f>IFERROR(IF(Tabela13[[#This Row],[NOME FANTASIA]]="","",_xlfn.XLOOKUP($C127,Log!D:D,Log!B:B,,,-1)),"")</f>
        <v/>
      </c>
      <c r="N127" s="81" t="str">
        <f>IFERROR(_xlfn.XLOOKUP($C127,Log!D:D,Log!W:W,,,-1),"")</f>
        <v/>
      </c>
      <c r="O127" s="81">
        <f>IFERROR(_xlfn.XLOOKUP($C127,Log!D:D,Log!Y:Y,,,-1),"")</f>
        <v>0</v>
      </c>
      <c r="Q127" s="69" t="str">
        <f>IFERROR(IF(Tabela13[[#This Row],[NOME FANTASIA]]="","",_xlfn.XLOOKUP($C127,Log!D:D,Log!X:X,,,-1)),"")</f>
        <v/>
      </c>
      <c r="R127" s="82">
        <f>COUNTIFS(Log!$D:$D,'Base Novos Clientes'!$C127,Log!$W:$W,'Base Novos Clientes'!R$2)</f>
        <v>0</v>
      </c>
      <c r="S127" s="82">
        <f>COUNTIFS(Log!$D:$D,'Base Novos Clientes'!$C127,Log!$W:$W,'Base Novos Clientes'!S$2)</f>
        <v>0</v>
      </c>
      <c r="T127" s="82">
        <f>COUNTIFS(Log!$D:$D,'Base Novos Clientes'!$C127,Log!$W:$W,'Base Novos Clientes'!T$2)</f>
        <v>0</v>
      </c>
    </row>
    <row r="128" spans="3:20" x14ac:dyDescent="0.25">
      <c r="C128" s="75"/>
      <c r="D128" s="75"/>
      <c r="E128" s="75"/>
      <c r="F128" s="75"/>
      <c r="G128" s="76"/>
      <c r="H128" s="77"/>
      <c r="I128" s="78"/>
      <c r="J128" s="79"/>
      <c r="K128" s="79" t="str">
        <f ca="1">IF(J128="","NOVO",_xlfn.XLOOKUP(TODAY()-J128,Regras!$C$3:$C$10,Regras!$D$3:$D$10,,1))</f>
        <v>NOVO</v>
      </c>
      <c r="L128" s="75" t="str">
        <f t="shared" si="1"/>
        <v/>
      </c>
      <c r="M128" s="80" t="str">
        <f>IFERROR(IF(Tabela13[[#This Row],[NOME FANTASIA]]="","",_xlfn.XLOOKUP($C128,Log!D:D,Log!B:B,,,-1)),"")</f>
        <v/>
      </c>
      <c r="N128" s="81" t="str">
        <f>IFERROR(_xlfn.XLOOKUP($C128,Log!D:D,Log!W:W,,,-1),"")</f>
        <v/>
      </c>
      <c r="O128" s="81">
        <f>IFERROR(_xlfn.XLOOKUP($C128,Log!D:D,Log!Y:Y,,,-1),"")</f>
        <v>0</v>
      </c>
      <c r="Q128" s="69" t="str">
        <f>IFERROR(IF(Tabela13[[#This Row],[NOME FANTASIA]]="","",_xlfn.XLOOKUP($C128,Log!D:D,Log!X:X,,,-1)),"")</f>
        <v/>
      </c>
      <c r="R128" s="82">
        <f>COUNTIFS(Log!$D:$D,'Base Novos Clientes'!$C128,Log!$W:$W,'Base Novos Clientes'!R$2)</f>
        <v>0</v>
      </c>
      <c r="S128" s="82">
        <f>COUNTIFS(Log!$D:$D,'Base Novos Clientes'!$C128,Log!$W:$W,'Base Novos Clientes'!S$2)</f>
        <v>0</v>
      </c>
      <c r="T128" s="82">
        <f>COUNTIFS(Log!$D:$D,'Base Novos Clientes'!$C128,Log!$W:$W,'Base Novos Clientes'!T$2)</f>
        <v>0</v>
      </c>
    </row>
    <row r="129" spans="3:20" x14ac:dyDescent="0.25">
      <c r="C129" s="75"/>
      <c r="D129" s="75"/>
      <c r="E129" s="75"/>
      <c r="F129" s="75"/>
      <c r="G129" s="76"/>
      <c r="H129" s="77"/>
      <c r="I129" s="78"/>
      <c r="J129" s="79"/>
      <c r="K129" s="79" t="str">
        <f ca="1">IF(J129="","NOVO",_xlfn.XLOOKUP(TODAY()-J129,Regras!$C$3:$C$10,Regras!$D$3:$D$10,,1))</f>
        <v>NOVO</v>
      </c>
      <c r="L129" s="75" t="str">
        <f t="shared" si="1"/>
        <v/>
      </c>
      <c r="M129" s="80" t="str">
        <f>IFERROR(IF(Tabela13[[#This Row],[NOME FANTASIA]]="","",_xlfn.XLOOKUP($C129,Log!D:D,Log!B:B,,,-1)),"")</f>
        <v/>
      </c>
      <c r="N129" s="81" t="str">
        <f>IFERROR(_xlfn.XLOOKUP($C129,Log!D:D,Log!W:W,,,-1),"")</f>
        <v/>
      </c>
      <c r="O129" s="81">
        <f>IFERROR(_xlfn.XLOOKUP($C129,Log!D:D,Log!Y:Y,,,-1),"")</f>
        <v>0</v>
      </c>
      <c r="Q129" s="69" t="str">
        <f>IFERROR(IF(Tabela13[[#This Row],[NOME FANTASIA]]="","",_xlfn.XLOOKUP($C129,Log!D:D,Log!X:X,,,-1)),"")</f>
        <v/>
      </c>
      <c r="R129" s="82">
        <f>COUNTIFS(Log!$D:$D,'Base Novos Clientes'!$C129,Log!$W:$W,'Base Novos Clientes'!R$2)</f>
        <v>0</v>
      </c>
      <c r="S129" s="82">
        <f>COUNTIFS(Log!$D:$D,'Base Novos Clientes'!$C129,Log!$W:$W,'Base Novos Clientes'!S$2)</f>
        <v>0</v>
      </c>
      <c r="T129" s="82">
        <f>COUNTIFS(Log!$D:$D,'Base Novos Clientes'!$C129,Log!$W:$W,'Base Novos Clientes'!T$2)</f>
        <v>0</v>
      </c>
    </row>
    <row r="130" spans="3:20" x14ac:dyDescent="0.25">
      <c r="C130" s="75"/>
      <c r="D130" s="75"/>
      <c r="E130" s="75"/>
      <c r="F130" s="75"/>
      <c r="G130" s="76"/>
      <c r="H130" s="77"/>
      <c r="I130" s="78"/>
      <c r="J130" s="79"/>
      <c r="K130" s="79" t="str">
        <f ca="1">IF(J130="","NOVO",_xlfn.XLOOKUP(TODAY()-J130,Regras!$C$3:$C$10,Regras!$D$3:$D$10,,1))</f>
        <v>NOVO</v>
      </c>
      <c r="L130" s="75" t="str">
        <f t="shared" si="1"/>
        <v/>
      </c>
      <c r="M130" s="80" t="str">
        <f>IFERROR(IF(Tabela13[[#This Row],[NOME FANTASIA]]="","",_xlfn.XLOOKUP($C130,Log!D:D,Log!B:B,,,-1)),"")</f>
        <v/>
      </c>
      <c r="N130" s="81" t="str">
        <f>IFERROR(_xlfn.XLOOKUP($C130,Log!D:D,Log!W:W,,,-1),"")</f>
        <v/>
      </c>
      <c r="O130" s="81">
        <f>IFERROR(_xlfn.XLOOKUP($C130,Log!D:D,Log!Y:Y,,,-1),"")</f>
        <v>0</v>
      </c>
      <c r="Q130" s="69" t="str">
        <f>IFERROR(IF(Tabela13[[#This Row],[NOME FANTASIA]]="","",_xlfn.XLOOKUP($C130,Log!D:D,Log!X:X,,,-1)),"")</f>
        <v/>
      </c>
      <c r="R130" s="82">
        <f>COUNTIFS(Log!$D:$D,'Base Novos Clientes'!$C130,Log!$W:$W,'Base Novos Clientes'!R$2)</f>
        <v>0</v>
      </c>
      <c r="S130" s="82">
        <f>COUNTIFS(Log!$D:$D,'Base Novos Clientes'!$C130,Log!$W:$W,'Base Novos Clientes'!S$2)</f>
        <v>0</v>
      </c>
      <c r="T130" s="82">
        <f>COUNTIFS(Log!$D:$D,'Base Novos Clientes'!$C130,Log!$W:$W,'Base Novos Clientes'!T$2)</f>
        <v>0</v>
      </c>
    </row>
    <row r="131" spans="3:20" x14ac:dyDescent="0.25">
      <c r="C131" s="75"/>
      <c r="D131" s="75"/>
      <c r="E131" s="75"/>
      <c r="F131" s="75"/>
      <c r="G131" s="76"/>
      <c r="H131" s="77"/>
      <c r="I131" s="78"/>
      <c r="J131" s="79"/>
      <c r="K131" s="79" t="str">
        <f ca="1">IF(J131="","NOVO",_xlfn.XLOOKUP(TODAY()-J131,Regras!$C$3:$C$10,Regras!$D$3:$D$10,,1))</f>
        <v>NOVO</v>
      </c>
      <c r="L131" s="75" t="str">
        <f t="shared" si="1"/>
        <v/>
      </c>
      <c r="M131" s="80" t="str">
        <f>IFERROR(IF(Tabela13[[#This Row],[NOME FANTASIA]]="","",_xlfn.XLOOKUP($C131,Log!D:D,Log!B:B,,,-1)),"")</f>
        <v/>
      </c>
      <c r="N131" s="81" t="str">
        <f>IFERROR(_xlfn.XLOOKUP($C131,Log!D:D,Log!W:W,,,-1),"")</f>
        <v/>
      </c>
      <c r="O131" s="81">
        <f>IFERROR(_xlfn.XLOOKUP($C131,Log!D:D,Log!Y:Y,,,-1),"")</f>
        <v>0</v>
      </c>
      <c r="Q131" s="69" t="str">
        <f>IFERROR(IF(Tabela13[[#This Row],[NOME FANTASIA]]="","",_xlfn.XLOOKUP($C131,Log!D:D,Log!X:X,,,-1)),"")</f>
        <v/>
      </c>
      <c r="R131" s="82">
        <f>COUNTIFS(Log!$D:$D,'Base Novos Clientes'!$C131,Log!$W:$W,'Base Novos Clientes'!R$2)</f>
        <v>0</v>
      </c>
      <c r="S131" s="82">
        <f>COUNTIFS(Log!$D:$D,'Base Novos Clientes'!$C131,Log!$W:$W,'Base Novos Clientes'!S$2)</f>
        <v>0</v>
      </c>
      <c r="T131" s="82">
        <f>COUNTIFS(Log!$D:$D,'Base Novos Clientes'!$C131,Log!$W:$W,'Base Novos Clientes'!T$2)</f>
        <v>0</v>
      </c>
    </row>
    <row r="132" spans="3:20" x14ac:dyDescent="0.25">
      <c r="C132" s="75"/>
      <c r="D132" s="75"/>
      <c r="E132" s="75"/>
      <c r="F132" s="75"/>
      <c r="G132" s="76"/>
      <c r="H132" s="77"/>
      <c r="I132" s="78"/>
      <c r="J132" s="79"/>
      <c r="K132" s="79" t="str">
        <f ca="1">IF(J132="","NOVO",_xlfn.XLOOKUP(TODAY()-J132,Regras!$C$3:$C$10,Regras!$D$3:$D$10,,1))</f>
        <v>NOVO</v>
      </c>
      <c r="L132" s="75" t="str">
        <f t="shared" ref="L132:L195" si="2">IF(OR(I132&lt;=0,I132=""),"","Recompra")</f>
        <v/>
      </c>
      <c r="M132" s="80" t="str">
        <f>IFERROR(IF(Tabela13[[#This Row],[NOME FANTASIA]]="","",_xlfn.XLOOKUP($C132,Log!D:D,Log!B:B,,,-1)),"")</f>
        <v/>
      </c>
      <c r="N132" s="81" t="str">
        <f>IFERROR(_xlfn.XLOOKUP($C132,Log!D:D,Log!W:W,,,-1),"")</f>
        <v/>
      </c>
      <c r="O132" s="81">
        <f>IFERROR(_xlfn.XLOOKUP($C132,Log!D:D,Log!Y:Y,,,-1),"")</f>
        <v>0</v>
      </c>
      <c r="Q132" s="69" t="str">
        <f>IFERROR(IF(Tabela13[[#This Row],[NOME FANTASIA]]="","",_xlfn.XLOOKUP($C132,Log!D:D,Log!X:X,,,-1)),"")</f>
        <v/>
      </c>
      <c r="R132" s="82">
        <f>COUNTIFS(Log!$D:$D,'Base Novos Clientes'!$C132,Log!$W:$W,'Base Novos Clientes'!R$2)</f>
        <v>0</v>
      </c>
      <c r="S132" s="82">
        <f>COUNTIFS(Log!$D:$D,'Base Novos Clientes'!$C132,Log!$W:$W,'Base Novos Clientes'!S$2)</f>
        <v>0</v>
      </c>
      <c r="T132" s="82">
        <f>COUNTIFS(Log!$D:$D,'Base Novos Clientes'!$C132,Log!$W:$W,'Base Novos Clientes'!T$2)</f>
        <v>0</v>
      </c>
    </row>
    <row r="133" spans="3:20" x14ac:dyDescent="0.25">
      <c r="C133" s="75"/>
      <c r="D133" s="75"/>
      <c r="E133" s="75"/>
      <c r="F133" s="75"/>
      <c r="G133" s="76"/>
      <c r="H133" s="77"/>
      <c r="I133" s="78"/>
      <c r="J133" s="79"/>
      <c r="K133" s="79" t="str">
        <f ca="1">IF(J133="","NOVO",_xlfn.XLOOKUP(TODAY()-J133,Regras!$C$3:$C$10,Regras!$D$3:$D$10,,1))</f>
        <v>NOVO</v>
      </c>
      <c r="L133" s="75" t="str">
        <f t="shared" si="2"/>
        <v/>
      </c>
      <c r="M133" s="80" t="str">
        <f>IFERROR(IF(Tabela13[[#This Row],[NOME FANTASIA]]="","",_xlfn.XLOOKUP($C133,Log!D:D,Log!B:B,,,-1)),"")</f>
        <v/>
      </c>
      <c r="N133" s="81" t="str">
        <f>IFERROR(_xlfn.XLOOKUP($C133,Log!D:D,Log!W:W,,,-1),"")</f>
        <v/>
      </c>
      <c r="O133" s="81">
        <f>IFERROR(_xlfn.XLOOKUP($C133,Log!D:D,Log!Y:Y,,,-1),"")</f>
        <v>0</v>
      </c>
      <c r="Q133" s="69" t="str">
        <f>IFERROR(IF(Tabela13[[#This Row],[NOME FANTASIA]]="","",_xlfn.XLOOKUP($C133,Log!D:D,Log!X:X,,,-1)),"")</f>
        <v/>
      </c>
      <c r="R133" s="82">
        <f>COUNTIFS(Log!$D:$D,'Base Novos Clientes'!$C133,Log!$W:$W,'Base Novos Clientes'!R$2)</f>
        <v>0</v>
      </c>
      <c r="S133" s="82">
        <f>COUNTIFS(Log!$D:$D,'Base Novos Clientes'!$C133,Log!$W:$W,'Base Novos Clientes'!S$2)</f>
        <v>0</v>
      </c>
      <c r="T133" s="82">
        <f>COUNTIFS(Log!$D:$D,'Base Novos Clientes'!$C133,Log!$W:$W,'Base Novos Clientes'!T$2)</f>
        <v>0</v>
      </c>
    </row>
    <row r="134" spans="3:20" x14ac:dyDescent="0.25">
      <c r="C134" s="75"/>
      <c r="D134" s="75"/>
      <c r="E134" s="75"/>
      <c r="F134" s="75"/>
      <c r="G134" s="76"/>
      <c r="H134" s="77"/>
      <c r="I134" s="78"/>
      <c r="J134" s="79"/>
      <c r="K134" s="79" t="str">
        <f ca="1">IF(J134="","NOVO",_xlfn.XLOOKUP(TODAY()-J134,Regras!$C$3:$C$10,Regras!$D$3:$D$10,,1))</f>
        <v>NOVO</v>
      </c>
      <c r="L134" s="75" t="str">
        <f t="shared" si="2"/>
        <v/>
      </c>
      <c r="M134" s="80" t="str">
        <f>IFERROR(IF(Tabela13[[#This Row],[NOME FANTASIA]]="","",_xlfn.XLOOKUP($C134,Log!D:D,Log!B:B,,,-1)),"")</f>
        <v/>
      </c>
      <c r="N134" s="81" t="str">
        <f>IFERROR(_xlfn.XLOOKUP($C134,Log!D:D,Log!W:W,,,-1),"")</f>
        <v/>
      </c>
      <c r="O134" s="81">
        <f>IFERROR(_xlfn.XLOOKUP($C134,Log!D:D,Log!Y:Y,,,-1),"")</f>
        <v>0</v>
      </c>
      <c r="Q134" s="69" t="str">
        <f>IFERROR(IF(Tabela13[[#This Row],[NOME FANTASIA]]="","",_xlfn.XLOOKUP($C134,Log!D:D,Log!X:X,,,-1)),"")</f>
        <v/>
      </c>
      <c r="R134" s="82">
        <f>COUNTIFS(Log!$D:$D,'Base Novos Clientes'!$C134,Log!$W:$W,'Base Novos Clientes'!R$2)</f>
        <v>0</v>
      </c>
      <c r="S134" s="82">
        <f>COUNTIFS(Log!$D:$D,'Base Novos Clientes'!$C134,Log!$W:$W,'Base Novos Clientes'!S$2)</f>
        <v>0</v>
      </c>
      <c r="T134" s="82">
        <f>COUNTIFS(Log!$D:$D,'Base Novos Clientes'!$C134,Log!$W:$W,'Base Novos Clientes'!T$2)</f>
        <v>0</v>
      </c>
    </row>
    <row r="135" spans="3:20" x14ac:dyDescent="0.25">
      <c r="C135" s="75"/>
      <c r="D135" s="75"/>
      <c r="E135" s="75"/>
      <c r="F135" s="75"/>
      <c r="G135" s="76"/>
      <c r="H135" s="77"/>
      <c r="I135" s="78"/>
      <c r="J135" s="79"/>
      <c r="K135" s="79" t="str">
        <f ca="1">IF(J135="","NOVO",_xlfn.XLOOKUP(TODAY()-J135,Regras!$C$3:$C$10,Regras!$D$3:$D$10,,1))</f>
        <v>NOVO</v>
      </c>
      <c r="L135" s="75" t="str">
        <f t="shared" si="2"/>
        <v/>
      </c>
      <c r="M135" s="80" t="str">
        <f>IFERROR(IF(Tabela13[[#This Row],[NOME FANTASIA]]="","",_xlfn.XLOOKUP($C135,Log!D:D,Log!B:B,,,-1)),"")</f>
        <v/>
      </c>
      <c r="N135" s="81" t="str">
        <f>IFERROR(_xlfn.XLOOKUP($C135,Log!D:D,Log!W:W,,,-1),"")</f>
        <v/>
      </c>
      <c r="O135" s="81">
        <f>IFERROR(_xlfn.XLOOKUP($C135,Log!D:D,Log!Y:Y,,,-1),"")</f>
        <v>0</v>
      </c>
      <c r="Q135" s="69" t="str">
        <f>IFERROR(IF(Tabela13[[#This Row],[NOME FANTASIA]]="","",_xlfn.XLOOKUP($C135,Log!D:D,Log!X:X,,,-1)),"")</f>
        <v/>
      </c>
      <c r="R135" s="82">
        <f>COUNTIFS(Log!$D:$D,'Base Novos Clientes'!$C135,Log!$W:$W,'Base Novos Clientes'!R$2)</f>
        <v>0</v>
      </c>
      <c r="S135" s="82">
        <f>COUNTIFS(Log!$D:$D,'Base Novos Clientes'!$C135,Log!$W:$W,'Base Novos Clientes'!S$2)</f>
        <v>0</v>
      </c>
      <c r="T135" s="82">
        <f>COUNTIFS(Log!$D:$D,'Base Novos Clientes'!$C135,Log!$W:$W,'Base Novos Clientes'!T$2)</f>
        <v>0</v>
      </c>
    </row>
    <row r="136" spans="3:20" x14ac:dyDescent="0.25">
      <c r="C136" s="75"/>
      <c r="D136" s="75"/>
      <c r="E136" s="75"/>
      <c r="F136" s="75"/>
      <c r="G136" s="76"/>
      <c r="H136" s="77"/>
      <c r="I136" s="78"/>
      <c r="J136" s="79"/>
      <c r="K136" s="79" t="str">
        <f ca="1">IF(J136="","NOVO",_xlfn.XLOOKUP(TODAY()-J136,Regras!$C$3:$C$10,Regras!$D$3:$D$10,,1))</f>
        <v>NOVO</v>
      </c>
      <c r="L136" s="75" t="str">
        <f t="shared" si="2"/>
        <v/>
      </c>
      <c r="M136" s="80" t="str">
        <f>IFERROR(IF(Tabela13[[#This Row],[NOME FANTASIA]]="","",_xlfn.XLOOKUP($C136,Log!D:D,Log!B:B,,,-1)),"")</f>
        <v/>
      </c>
      <c r="N136" s="81" t="str">
        <f>IFERROR(_xlfn.XLOOKUP($C136,Log!D:D,Log!W:W,,,-1),"")</f>
        <v/>
      </c>
      <c r="O136" s="81">
        <f>IFERROR(_xlfn.XLOOKUP($C136,Log!D:D,Log!Y:Y,,,-1),"")</f>
        <v>0</v>
      </c>
      <c r="Q136" s="69" t="str">
        <f>IFERROR(IF(Tabela13[[#This Row],[NOME FANTASIA]]="","",_xlfn.XLOOKUP($C136,Log!D:D,Log!X:X,,,-1)),"")</f>
        <v/>
      </c>
      <c r="R136" s="82">
        <f>COUNTIFS(Log!$D:$D,'Base Novos Clientes'!$C136,Log!$W:$W,'Base Novos Clientes'!R$2)</f>
        <v>0</v>
      </c>
      <c r="S136" s="82">
        <f>COUNTIFS(Log!$D:$D,'Base Novos Clientes'!$C136,Log!$W:$W,'Base Novos Clientes'!S$2)</f>
        <v>0</v>
      </c>
      <c r="T136" s="82">
        <f>COUNTIFS(Log!$D:$D,'Base Novos Clientes'!$C136,Log!$W:$W,'Base Novos Clientes'!T$2)</f>
        <v>0</v>
      </c>
    </row>
    <row r="137" spans="3:20" x14ac:dyDescent="0.25">
      <c r="C137" s="75"/>
      <c r="D137" s="75"/>
      <c r="E137" s="75"/>
      <c r="F137" s="75"/>
      <c r="G137" s="76"/>
      <c r="H137" s="77"/>
      <c r="I137" s="78"/>
      <c r="J137" s="79"/>
      <c r="K137" s="79" t="str">
        <f ca="1">IF(J137="","NOVO",_xlfn.XLOOKUP(TODAY()-J137,Regras!$C$3:$C$10,Regras!$D$3:$D$10,,1))</f>
        <v>NOVO</v>
      </c>
      <c r="L137" s="75" t="str">
        <f t="shared" si="2"/>
        <v/>
      </c>
      <c r="M137" s="80" t="str">
        <f>IFERROR(IF(Tabela13[[#This Row],[NOME FANTASIA]]="","",_xlfn.XLOOKUP($C137,Log!D:D,Log!B:B,,,-1)),"")</f>
        <v/>
      </c>
      <c r="N137" s="81" t="str">
        <f>IFERROR(_xlfn.XLOOKUP($C137,Log!D:D,Log!W:W,,,-1),"")</f>
        <v/>
      </c>
      <c r="O137" s="81">
        <f>IFERROR(_xlfn.XLOOKUP($C137,Log!D:D,Log!Y:Y,,,-1),"")</f>
        <v>0</v>
      </c>
      <c r="Q137" s="69" t="str">
        <f>IFERROR(IF(Tabela13[[#This Row],[NOME FANTASIA]]="","",_xlfn.XLOOKUP($C137,Log!D:D,Log!X:X,,,-1)),"")</f>
        <v/>
      </c>
      <c r="R137" s="82">
        <f>COUNTIFS(Log!$D:$D,'Base Novos Clientes'!$C137,Log!$W:$W,'Base Novos Clientes'!R$2)</f>
        <v>0</v>
      </c>
      <c r="S137" s="82">
        <f>COUNTIFS(Log!$D:$D,'Base Novos Clientes'!$C137,Log!$W:$W,'Base Novos Clientes'!S$2)</f>
        <v>0</v>
      </c>
      <c r="T137" s="82">
        <f>COUNTIFS(Log!$D:$D,'Base Novos Clientes'!$C137,Log!$W:$W,'Base Novos Clientes'!T$2)</f>
        <v>0</v>
      </c>
    </row>
    <row r="138" spans="3:20" x14ac:dyDescent="0.25">
      <c r="C138" s="75"/>
      <c r="D138" s="75"/>
      <c r="E138" s="75"/>
      <c r="F138" s="75"/>
      <c r="G138" s="76"/>
      <c r="H138" s="77"/>
      <c r="I138" s="78"/>
      <c r="J138" s="79"/>
      <c r="K138" s="79" t="str">
        <f ca="1">IF(J138="","NOVO",_xlfn.XLOOKUP(TODAY()-J138,Regras!$C$3:$C$10,Regras!$D$3:$D$10,,1))</f>
        <v>NOVO</v>
      </c>
      <c r="L138" s="75" t="str">
        <f t="shared" si="2"/>
        <v/>
      </c>
      <c r="M138" s="80" t="str">
        <f>IFERROR(IF(Tabela13[[#This Row],[NOME FANTASIA]]="","",_xlfn.XLOOKUP($C138,Log!D:D,Log!B:B,,,-1)),"")</f>
        <v/>
      </c>
      <c r="N138" s="81" t="str">
        <f>IFERROR(_xlfn.XLOOKUP($C138,Log!D:D,Log!W:W,,,-1),"")</f>
        <v/>
      </c>
      <c r="O138" s="81">
        <f>IFERROR(_xlfn.XLOOKUP($C138,Log!D:D,Log!Y:Y,,,-1),"")</f>
        <v>0</v>
      </c>
      <c r="Q138" s="69" t="str">
        <f>IFERROR(IF(Tabela13[[#This Row],[NOME FANTASIA]]="","",_xlfn.XLOOKUP($C138,Log!D:D,Log!X:X,,,-1)),"")</f>
        <v/>
      </c>
      <c r="R138" s="82">
        <f>COUNTIFS(Log!$D:$D,'Base Novos Clientes'!$C138,Log!$W:$W,'Base Novos Clientes'!R$2)</f>
        <v>0</v>
      </c>
      <c r="S138" s="82">
        <f>COUNTIFS(Log!$D:$D,'Base Novos Clientes'!$C138,Log!$W:$W,'Base Novos Clientes'!S$2)</f>
        <v>0</v>
      </c>
      <c r="T138" s="82">
        <f>COUNTIFS(Log!$D:$D,'Base Novos Clientes'!$C138,Log!$W:$W,'Base Novos Clientes'!T$2)</f>
        <v>0</v>
      </c>
    </row>
    <row r="139" spans="3:20" x14ac:dyDescent="0.25">
      <c r="C139" s="75"/>
      <c r="D139" s="75"/>
      <c r="E139" s="75"/>
      <c r="F139" s="75"/>
      <c r="G139" s="76"/>
      <c r="H139" s="77"/>
      <c r="I139" s="78"/>
      <c r="J139" s="79"/>
      <c r="K139" s="79" t="str">
        <f ca="1">IF(J139="","NOVO",_xlfn.XLOOKUP(TODAY()-J139,Regras!$C$3:$C$10,Regras!$D$3:$D$10,,1))</f>
        <v>NOVO</v>
      </c>
      <c r="L139" s="75" t="str">
        <f t="shared" si="2"/>
        <v/>
      </c>
      <c r="M139" s="80" t="str">
        <f>IFERROR(IF(Tabela13[[#This Row],[NOME FANTASIA]]="","",_xlfn.XLOOKUP($C139,Log!D:D,Log!B:B,,,-1)),"")</f>
        <v/>
      </c>
      <c r="N139" s="81" t="str">
        <f>IFERROR(_xlfn.XLOOKUP($C139,Log!D:D,Log!W:W,,,-1),"")</f>
        <v/>
      </c>
      <c r="O139" s="81">
        <f>IFERROR(_xlfn.XLOOKUP($C139,Log!D:D,Log!Y:Y,,,-1),"")</f>
        <v>0</v>
      </c>
      <c r="Q139" s="69" t="str">
        <f>IFERROR(IF(Tabela13[[#This Row],[NOME FANTASIA]]="","",_xlfn.XLOOKUP($C139,Log!D:D,Log!X:X,,,-1)),"")</f>
        <v/>
      </c>
      <c r="R139" s="82">
        <f>COUNTIFS(Log!$D:$D,'Base Novos Clientes'!$C139,Log!$W:$W,'Base Novos Clientes'!R$2)</f>
        <v>0</v>
      </c>
      <c r="S139" s="82">
        <f>COUNTIFS(Log!$D:$D,'Base Novos Clientes'!$C139,Log!$W:$W,'Base Novos Clientes'!S$2)</f>
        <v>0</v>
      </c>
      <c r="T139" s="82">
        <f>COUNTIFS(Log!$D:$D,'Base Novos Clientes'!$C139,Log!$W:$W,'Base Novos Clientes'!T$2)</f>
        <v>0</v>
      </c>
    </row>
    <row r="140" spans="3:20" x14ac:dyDescent="0.25">
      <c r="C140" s="75"/>
      <c r="D140" s="75"/>
      <c r="E140" s="75"/>
      <c r="F140" s="75"/>
      <c r="G140" s="76"/>
      <c r="H140" s="77"/>
      <c r="I140" s="78"/>
      <c r="J140" s="79"/>
      <c r="K140" s="79" t="str">
        <f ca="1">IF(J140="","NOVO",_xlfn.XLOOKUP(TODAY()-J140,Regras!$C$3:$C$10,Regras!$D$3:$D$10,,1))</f>
        <v>NOVO</v>
      </c>
      <c r="L140" s="75" t="str">
        <f t="shared" si="2"/>
        <v/>
      </c>
      <c r="M140" s="80" t="str">
        <f>IFERROR(IF(Tabela13[[#This Row],[NOME FANTASIA]]="","",_xlfn.XLOOKUP($C140,Log!D:D,Log!B:B,,,-1)),"")</f>
        <v/>
      </c>
      <c r="N140" s="81" t="str">
        <f>IFERROR(_xlfn.XLOOKUP($C140,Log!D:D,Log!W:W,,,-1),"")</f>
        <v/>
      </c>
      <c r="O140" s="81">
        <f>IFERROR(_xlfn.XLOOKUP($C140,Log!D:D,Log!Y:Y,,,-1),"")</f>
        <v>0</v>
      </c>
      <c r="Q140" s="69" t="str">
        <f>IFERROR(IF(Tabela13[[#This Row],[NOME FANTASIA]]="","",_xlfn.XLOOKUP($C140,Log!D:D,Log!X:X,,,-1)),"")</f>
        <v/>
      </c>
      <c r="R140" s="82">
        <f>COUNTIFS(Log!$D:$D,'Base Novos Clientes'!$C140,Log!$W:$W,'Base Novos Clientes'!R$2)</f>
        <v>0</v>
      </c>
      <c r="S140" s="82">
        <f>COUNTIFS(Log!$D:$D,'Base Novos Clientes'!$C140,Log!$W:$W,'Base Novos Clientes'!S$2)</f>
        <v>0</v>
      </c>
      <c r="T140" s="82">
        <f>COUNTIFS(Log!$D:$D,'Base Novos Clientes'!$C140,Log!$W:$W,'Base Novos Clientes'!T$2)</f>
        <v>0</v>
      </c>
    </row>
    <row r="141" spans="3:20" x14ac:dyDescent="0.25">
      <c r="C141" s="75"/>
      <c r="D141" s="75"/>
      <c r="E141" s="75"/>
      <c r="F141" s="75"/>
      <c r="G141" s="76"/>
      <c r="H141" s="77"/>
      <c r="I141" s="78"/>
      <c r="J141" s="79"/>
      <c r="K141" s="79" t="str">
        <f ca="1">IF(J141="","NOVO",_xlfn.XLOOKUP(TODAY()-J141,Regras!$C$3:$C$10,Regras!$D$3:$D$10,,1))</f>
        <v>NOVO</v>
      </c>
      <c r="L141" s="75" t="str">
        <f t="shared" si="2"/>
        <v/>
      </c>
      <c r="M141" s="80" t="str">
        <f>IFERROR(IF(Tabela13[[#This Row],[NOME FANTASIA]]="","",_xlfn.XLOOKUP($C141,Log!D:D,Log!B:B,,,-1)),"")</f>
        <v/>
      </c>
      <c r="N141" s="81" t="str">
        <f>IFERROR(_xlfn.XLOOKUP($C141,Log!D:D,Log!W:W,,,-1),"")</f>
        <v/>
      </c>
      <c r="O141" s="81">
        <f>IFERROR(_xlfn.XLOOKUP($C141,Log!D:D,Log!Y:Y,,,-1),"")</f>
        <v>0</v>
      </c>
      <c r="Q141" s="69" t="str">
        <f>IFERROR(IF(Tabela13[[#This Row],[NOME FANTASIA]]="","",_xlfn.XLOOKUP($C141,Log!D:D,Log!X:X,,,-1)),"")</f>
        <v/>
      </c>
      <c r="R141" s="82">
        <f>COUNTIFS(Log!$D:$D,'Base Novos Clientes'!$C141,Log!$W:$W,'Base Novos Clientes'!R$2)</f>
        <v>0</v>
      </c>
      <c r="S141" s="82">
        <f>COUNTIFS(Log!$D:$D,'Base Novos Clientes'!$C141,Log!$W:$W,'Base Novos Clientes'!S$2)</f>
        <v>0</v>
      </c>
      <c r="T141" s="82">
        <f>COUNTIFS(Log!$D:$D,'Base Novos Clientes'!$C141,Log!$W:$W,'Base Novos Clientes'!T$2)</f>
        <v>0</v>
      </c>
    </row>
    <row r="142" spans="3:20" x14ac:dyDescent="0.25">
      <c r="C142" s="75"/>
      <c r="D142" s="75"/>
      <c r="E142" s="75"/>
      <c r="F142" s="75"/>
      <c r="G142" s="76"/>
      <c r="H142" s="77"/>
      <c r="I142" s="78"/>
      <c r="J142" s="79"/>
      <c r="K142" s="79" t="str">
        <f ca="1">IF(J142="","NOVO",_xlfn.XLOOKUP(TODAY()-J142,Regras!$C$3:$C$10,Regras!$D$3:$D$10,,1))</f>
        <v>NOVO</v>
      </c>
      <c r="L142" s="75" t="str">
        <f t="shared" si="2"/>
        <v/>
      </c>
      <c r="M142" s="80" t="str">
        <f>IFERROR(IF(Tabela13[[#This Row],[NOME FANTASIA]]="","",_xlfn.XLOOKUP($C142,Log!D:D,Log!B:B,,,-1)),"")</f>
        <v/>
      </c>
      <c r="N142" s="81" t="str">
        <f>IFERROR(_xlfn.XLOOKUP($C142,Log!D:D,Log!W:W,,,-1),"")</f>
        <v/>
      </c>
      <c r="O142" s="81">
        <f>IFERROR(_xlfn.XLOOKUP($C142,Log!D:D,Log!Y:Y,,,-1),"")</f>
        <v>0</v>
      </c>
      <c r="Q142" s="69" t="str">
        <f>IFERROR(IF(Tabela13[[#This Row],[NOME FANTASIA]]="","",_xlfn.XLOOKUP($C142,Log!D:D,Log!X:X,,,-1)),"")</f>
        <v/>
      </c>
      <c r="R142" s="82">
        <f>COUNTIFS(Log!$D:$D,'Base Novos Clientes'!$C142,Log!$W:$W,'Base Novos Clientes'!R$2)</f>
        <v>0</v>
      </c>
      <c r="S142" s="82">
        <f>COUNTIFS(Log!$D:$D,'Base Novos Clientes'!$C142,Log!$W:$W,'Base Novos Clientes'!S$2)</f>
        <v>0</v>
      </c>
      <c r="T142" s="82">
        <f>COUNTIFS(Log!$D:$D,'Base Novos Clientes'!$C142,Log!$W:$W,'Base Novos Clientes'!T$2)</f>
        <v>0</v>
      </c>
    </row>
    <row r="143" spans="3:20" x14ac:dyDescent="0.25">
      <c r="C143" s="75"/>
      <c r="D143" s="75"/>
      <c r="E143" s="75"/>
      <c r="F143" s="75"/>
      <c r="G143" s="76"/>
      <c r="H143" s="77"/>
      <c r="I143" s="78"/>
      <c r="J143" s="79"/>
      <c r="K143" s="79" t="str">
        <f ca="1">IF(J143="","NOVO",_xlfn.XLOOKUP(TODAY()-J143,Regras!$C$3:$C$10,Regras!$D$3:$D$10,,1))</f>
        <v>NOVO</v>
      </c>
      <c r="L143" s="75" t="str">
        <f t="shared" si="2"/>
        <v/>
      </c>
      <c r="M143" s="80" t="str">
        <f>IFERROR(IF(Tabela13[[#This Row],[NOME FANTASIA]]="","",_xlfn.XLOOKUP($C143,Log!D:D,Log!B:B,,,-1)),"")</f>
        <v/>
      </c>
      <c r="N143" s="81" t="str">
        <f>IFERROR(_xlfn.XLOOKUP($C143,Log!D:D,Log!W:W,,,-1),"")</f>
        <v/>
      </c>
      <c r="O143" s="81">
        <f>IFERROR(_xlfn.XLOOKUP($C143,Log!D:D,Log!Y:Y,,,-1),"")</f>
        <v>0</v>
      </c>
      <c r="Q143" s="69" t="str">
        <f>IFERROR(IF(Tabela13[[#This Row],[NOME FANTASIA]]="","",_xlfn.XLOOKUP($C143,Log!D:D,Log!X:X,,,-1)),"")</f>
        <v/>
      </c>
      <c r="R143" s="82">
        <f>COUNTIFS(Log!$D:$D,'Base Novos Clientes'!$C143,Log!$W:$W,'Base Novos Clientes'!R$2)</f>
        <v>0</v>
      </c>
      <c r="S143" s="82">
        <f>COUNTIFS(Log!$D:$D,'Base Novos Clientes'!$C143,Log!$W:$W,'Base Novos Clientes'!S$2)</f>
        <v>0</v>
      </c>
      <c r="T143" s="82">
        <f>COUNTIFS(Log!$D:$D,'Base Novos Clientes'!$C143,Log!$W:$W,'Base Novos Clientes'!T$2)</f>
        <v>0</v>
      </c>
    </row>
    <row r="144" spans="3:20" x14ac:dyDescent="0.25">
      <c r="C144" s="75"/>
      <c r="D144" s="75"/>
      <c r="E144" s="75"/>
      <c r="F144" s="75"/>
      <c r="G144" s="76"/>
      <c r="H144" s="77"/>
      <c r="I144" s="78"/>
      <c r="J144" s="79"/>
      <c r="K144" s="79" t="str">
        <f ca="1">IF(J144="","NOVO",_xlfn.XLOOKUP(TODAY()-J144,Regras!$C$3:$C$10,Regras!$D$3:$D$10,,1))</f>
        <v>NOVO</v>
      </c>
      <c r="L144" s="75" t="str">
        <f t="shared" si="2"/>
        <v/>
      </c>
      <c r="M144" s="80" t="str">
        <f>IFERROR(IF(Tabela13[[#This Row],[NOME FANTASIA]]="","",_xlfn.XLOOKUP($C144,Log!D:D,Log!B:B,,,-1)),"")</f>
        <v/>
      </c>
      <c r="N144" s="81" t="str">
        <f>IFERROR(_xlfn.XLOOKUP($C144,Log!D:D,Log!W:W,,,-1),"")</f>
        <v/>
      </c>
      <c r="O144" s="81">
        <f>IFERROR(_xlfn.XLOOKUP($C144,Log!D:D,Log!Y:Y,,,-1),"")</f>
        <v>0</v>
      </c>
      <c r="Q144" s="69" t="str">
        <f>IFERROR(IF(Tabela13[[#This Row],[NOME FANTASIA]]="","",_xlfn.XLOOKUP($C144,Log!D:D,Log!X:X,,,-1)),"")</f>
        <v/>
      </c>
      <c r="R144" s="82">
        <f>COUNTIFS(Log!$D:$D,'Base Novos Clientes'!$C144,Log!$W:$W,'Base Novos Clientes'!R$2)</f>
        <v>0</v>
      </c>
      <c r="S144" s="82">
        <f>COUNTIFS(Log!$D:$D,'Base Novos Clientes'!$C144,Log!$W:$W,'Base Novos Clientes'!S$2)</f>
        <v>0</v>
      </c>
      <c r="T144" s="82">
        <f>COUNTIFS(Log!$D:$D,'Base Novos Clientes'!$C144,Log!$W:$W,'Base Novos Clientes'!T$2)</f>
        <v>0</v>
      </c>
    </row>
    <row r="145" spans="3:20" x14ac:dyDescent="0.25">
      <c r="C145" s="75"/>
      <c r="D145" s="75"/>
      <c r="E145" s="75"/>
      <c r="F145" s="75"/>
      <c r="G145" s="76"/>
      <c r="H145" s="77"/>
      <c r="I145" s="78"/>
      <c r="J145" s="79"/>
      <c r="K145" s="79" t="str">
        <f ca="1">IF(J145="","NOVO",_xlfn.XLOOKUP(TODAY()-J145,Regras!$C$3:$C$10,Regras!$D$3:$D$10,,1))</f>
        <v>NOVO</v>
      </c>
      <c r="L145" s="75" t="str">
        <f t="shared" si="2"/>
        <v/>
      </c>
      <c r="M145" s="80" t="str">
        <f>IFERROR(IF(Tabela13[[#This Row],[NOME FANTASIA]]="","",_xlfn.XLOOKUP($C145,Log!D:D,Log!B:B,,,-1)),"")</f>
        <v/>
      </c>
      <c r="N145" s="81" t="str">
        <f>IFERROR(_xlfn.XLOOKUP($C145,Log!D:D,Log!W:W,,,-1),"")</f>
        <v/>
      </c>
      <c r="O145" s="81">
        <f>IFERROR(_xlfn.XLOOKUP($C145,Log!D:D,Log!Y:Y,,,-1),"")</f>
        <v>0</v>
      </c>
      <c r="Q145" s="69" t="str">
        <f>IFERROR(IF(Tabela13[[#This Row],[NOME FANTASIA]]="","",_xlfn.XLOOKUP($C145,Log!D:D,Log!X:X,,,-1)),"")</f>
        <v/>
      </c>
      <c r="R145" s="82">
        <f>COUNTIFS(Log!$D:$D,'Base Novos Clientes'!$C145,Log!$W:$W,'Base Novos Clientes'!R$2)</f>
        <v>0</v>
      </c>
      <c r="S145" s="82">
        <f>COUNTIFS(Log!$D:$D,'Base Novos Clientes'!$C145,Log!$W:$W,'Base Novos Clientes'!S$2)</f>
        <v>0</v>
      </c>
      <c r="T145" s="82">
        <f>COUNTIFS(Log!$D:$D,'Base Novos Clientes'!$C145,Log!$W:$W,'Base Novos Clientes'!T$2)</f>
        <v>0</v>
      </c>
    </row>
    <row r="146" spans="3:20" x14ac:dyDescent="0.25">
      <c r="C146" s="75"/>
      <c r="D146" s="75"/>
      <c r="E146" s="75"/>
      <c r="F146" s="75"/>
      <c r="G146" s="76"/>
      <c r="H146" s="77"/>
      <c r="I146" s="78"/>
      <c r="J146" s="79"/>
      <c r="K146" s="79" t="str">
        <f ca="1">IF(J146="","NOVO",_xlfn.XLOOKUP(TODAY()-J146,Regras!$C$3:$C$10,Regras!$D$3:$D$10,,1))</f>
        <v>NOVO</v>
      </c>
      <c r="L146" s="75" t="str">
        <f t="shared" si="2"/>
        <v/>
      </c>
      <c r="M146" s="80" t="str">
        <f>IFERROR(IF(Tabela13[[#This Row],[NOME FANTASIA]]="","",_xlfn.XLOOKUP($C146,Log!D:D,Log!B:B,,,-1)),"")</f>
        <v/>
      </c>
      <c r="N146" s="81" t="str">
        <f>IFERROR(_xlfn.XLOOKUP($C146,Log!D:D,Log!W:W,,,-1),"")</f>
        <v/>
      </c>
      <c r="O146" s="81">
        <f>IFERROR(_xlfn.XLOOKUP($C146,Log!D:D,Log!Y:Y,,,-1),"")</f>
        <v>0</v>
      </c>
      <c r="Q146" s="69" t="str">
        <f>IFERROR(IF(Tabela13[[#This Row],[NOME FANTASIA]]="","",_xlfn.XLOOKUP($C146,Log!D:D,Log!X:X,,,-1)),"")</f>
        <v/>
      </c>
      <c r="R146" s="82">
        <f>COUNTIFS(Log!$D:$D,'Base Novos Clientes'!$C146,Log!$W:$W,'Base Novos Clientes'!R$2)</f>
        <v>0</v>
      </c>
      <c r="S146" s="82">
        <f>COUNTIFS(Log!$D:$D,'Base Novos Clientes'!$C146,Log!$W:$W,'Base Novos Clientes'!S$2)</f>
        <v>0</v>
      </c>
      <c r="T146" s="82">
        <f>COUNTIFS(Log!$D:$D,'Base Novos Clientes'!$C146,Log!$W:$W,'Base Novos Clientes'!T$2)</f>
        <v>0</v>
      </c>
    </row>
    <row r="147" spans="3:20" x14ac:dyDescent="0.25">
      <c r="C147" s="75"/>
      <c r="D147" s="75"/>
      <c r="E147" s="75"/>
      <c r="F147" s="75"/>
      <c r="G147" s="76"/>
      <c r="H147" s="77"/>
      <c r="I147" s="78"/>
      <c r="J147" s="79"/>
      <c r="K147" s="79" t="str">
        <f ca="1">IF(J147="","NOVO",_xlfn.XLOOKUP(TODAY()-J147,Regras!$C$3:$C$10,Regras!$D$3:$D$10,,1))</f>
        <v>NOVO</v>
      </c>
      <c r="L147" s="75" t="str">
        <f t="shared" si="2"/>
        <v/>
      </c>
      <c r="M147" s="80" t="str">
        <f>IFERROR(IF(Tabela13[[#This Row],[NOME FANTASIA]]="","",_xlfn.XLOOKUP($C147,Log!D:D,Log!B:B,,,-1)),"")</f>
        <v/>
      </c>
      <c r="N147" s="81" t="str">
        <f>IFERROR(_xlfn.XLOOKUP($C147,Log!D:D,Log!W:W,,,-1),"")</f>
        <v/>
      </c>
      <c r="O147" s="81">
        <f>IFERROR(_xlfn.XLOOKUP($C147,Log!D:D,Log!Y:Y,,,-1),"")</f>
        <v>0</v>
      </c>
      <c r="Q147" s="69" t="str">
        <f>IFERROR(IF(Tabela13[[#This Row],[NOME FANTASIA]]="","",_xlfn.XLOOKUP($C147,Log!D:D,Log!X:X,,,-1)),"")</f>
        <v/>
      </c>
      <c r="R147" s="82">
        <f>COUNTIFS(Log!$D:$D,'Base Novos Clientes'!$C147,Log!$W:$W,'Base Novos Clientes'!R$2)</f>
        <v>0</v>
      </c>
      <c r="S147" s="82">
        <f>COUNTIFS(Log!$D:$D,'Base Novos Clientes'!$C147,Log!$W:$W,'Base Novos Clientes'!S$2)</f>
        <v>0</v>
      </c>
      <c r="T147" s="82">
        <f>COUNTIFS(Log!$D:$D,'Base Novos Clientes'!$C147,Log!$W:$W,'Base Novos Clientes'!T$2)</f>
        <v>0</v>
      </c>
    </row>
    <row r="148" spans="3:20" x14ac:dyDescent="0.25">
      <c r="C148" s="75"/>
      <c r="D148" s="75"/>
      <c r="E148" s="75"/>
      <c r="F148" s="75"/>
      <c r="G148" s="76"/>
      <c r="H148" s="77"/>
      <c r="I148" s="78"/>
      <c r="J148" s="79"/>
      <c r="K148" s="79" t="str">
        <f ca="1">IF(J148="","NOVO",_xlfn.XLOOKUP(TODAY()-J148,Regras!$C$3:$C$10,Regras!$D$3:$D$10,,1))</f>
        <v>NOVO</v>
      </c>
      <c r="L148" s="75" t="str">
        <f t="shared" si="2"/>
        <v/>
      </c>
      <c r="M148" s="80" t="str">
        <f>IFERROR(IF(Tabela13[[#This Row],[NOME FANTASIA]]="","",_xlfn.XLOOKUP($C148,Log!D:D,Log!B:B,,,-1)),"")</f>
        <v/>
      </c>
      <c r="N148" s="81" t="str">
        <f>IFERROR(_xlfn.XLOOKUP($C148,Log!D:D,Log!W:W,,,-1),"")</f>
        <v/>
      </c>
      <c r="O148" s="81">
        <f>IFERROR(_xlfn.XLOOKUP($C148,Log!D:D,Log!Y:Y,,,-1),"")</f>
        <v>0</v>
      </c>
      <c r="Q148" s="69" t="str">
        <f>IFERROR(IF(Tabela13[[#This Row],[NOME FANTASIA]]="","",_xlfn.XLOOKUP($C148,Log!D:D,Log!X:X,,,-1)),"")</f>
        <v/>
      </c>
      <c r="R148" s="82">
        <f>COUNTIFS(Log!$D:$D,'Base Novos Clientes'!$C148,Log!$W:$W,'Base Novos Clientes'!R$2)</f>
        <v>0</v>
      </c>
      <c r="S148" s="82">
        <f>COUNTIFS(Log!$D:$D,'Base Novos Clientes'!$C148,Log!$W:$W,'Base Novos Clientes'!S$2)</f>
        <v>0</v>
      </c>
      <c r="T148" s="82">
        <f>COUNTIFS(Log!$D:$D,'Base Novos Clientes'!$C148,Log!$W:$W,'Base Novos Clientes'!T$2)</f>
        <v>0</v>
      </c>
    </row>
    <row r="149" spans="3:20" x14ac:dyDescent="0.25">
      <c r="C149" s="75"/>
      <c r="D149" s="75"/>
      <c r="E149" s="75"/>
      <c r="F149" s="75"/>
      <c r="G149" s="76"/>
      <c r="H149" s="77"/>
      <c r="I149" s="78"/>
      <c r="J149" s="79"/>
      <c r="K149" s="79" t="str">
        <f ca="1">IF(J149="","NOVO",_xlfn.XLOOKUP(TODAY()-J149,Regras!$C$3:$C$10,Regras!$D$3:$D$10,,1))</f>
        <v>NOVO</v>
      </c>
      <c r="L149" s="75" t="str">
        <f t="shared" si="2"/>
        <v/>
      </c>
      <c r="M149" s="80" t="str">
        <f>IFERROR(IF(Tabela13[[#This Row],[NOME FANTASIA]]="","",_xlfn.XLOOKUP($C149,Log!D:D,Log!B:B,,,-1)),"")</f>
        <v/>
      </c>
      <c r="N149" s="81" t="str">
        <f>IFERROR(_xlfn.XLOOKUP($C149,Log!D:D,Log!W:W,,,-1),"")</f>
        <v/>
      </c>
      <c r="O149" s="81">
        <f>IFERROR(_xlfn.XLOOKUP($C149,Log!D:D,Log!Y:Y,,,-1),"")</f>
        <v>0</v>
      </c>
      <c r="Q149" s="69" t="str">
        <f>IFERROR(IF(Tabela13[[#This Row],[NOME FANTASIA]]="","",_xlfn.XLOOKUP($C149,Log!D:D,Log!X:X,,,-1)),"")</f>
        <v/>
      </c>
      <c r="R149" s="82">
        <f>COUNTIFS(Log!$D:$D,'Base Novos Clientes'!$C149,Log!$W:$W,'Base Novos Clientes'!R$2)</f>
        <v>0</v>
      </c>
      <c r="S149" s="82">
        <f>COUNTIFS(Log!$D:$D,'Base Novos Clientes'!$C149,Log!$W:$W,'Base Novos Clientes'!S$2)</f>
        <v>0</v>
      </c>
      <c r="T149" s="82">
        <f>COUNTIFS(Log!$D:$D,'Base Novos Clientes'!$C149,Log!$W:$W,'Base Novos Clientes'!T$2)</f>
        <v>0</v>
      </c>
    </row>
    <row r="150" spans="3:20" x14ac:dyDescent="0.25">
      <c r="C150" s="75"/>
      <c r="D150" s="75"/>
      <c r="E150" s="75"/>
      <c r="F150" s="75"/>
      <c r="G150" s="76"/>
      <c r="H150" s="77"/>
      <c r="I150" s="78"/>
      <c r="J150" s="79"/>
      <c r="K150" s="79" t="str">
        <f ca="1">IF(J150="","NOVO",_xlfn.XLOOKUP(TODAY()-J150,Regras!$C$3:$C$10,Regras!$D$3:$D$10,,1))</f>
        <v>NOVO</v>
      </c>
      <c r="L150" s="75" t="str">
        <f t="shared" si="2"/>
        <v/>
      </c>
      <c r="M150" s="80" t="str">
        <f>IFERROR(IF(Tabela13[[#This Row],[NOME FANTASIA]]="","",_xlfn.XLOOKUP($C150,Log!D:D,Log!B:B,,,-1)),"")</f>
        <v/>
      </c>
      <c r="N150" s="81" t="str">
        <f>IFERROR(_xlfn.XLOOKUP($C150,Log!D:D,Log!W:W,,,-1),"")</f>
        <v/>
      </c>
      <c r="O150" s="81">
        <f>IFERROR(_xlfn.XLOOKUP($C150,Log!D:D,Log!Y:Y,,,-1),"")</f>
        <v>0</v>
      </c>
      <c r="Q150" s="69" t="str">
        <f>IFERROR(IF(Tabela13[[#This Row],[NOME FANTASIA]]="","",_xlfn.XLOOKUP($C150,Log!D:D,Log!X:X,,,-1)),"")</f>
        <v/>
      </c>
      <c r="R150" s="82">
        <f>COUNTIFS(Log!$D:$D,'Base Novos Clientes'!$C150,Log!$W:$W,'Base Novos Clientes'!R$2)</f>
        <v>0</v>
      </c>
      <c r="S150" s="82">
        <f>COUNTIFS(Log!$D:$D,'Base Novos Clientes'!$C150,Log!$W:$W,'Base Novos Clientes'!S$2)</f>
        <v>0</v>
      </c>
      <c r="T150" s="82">
        <f>COUNTIFS(Log!$D:$D,'Base Novos Clientes'!$C150,Log!$W:$W,'Base Novos Clientes'!T$2)</f>
        <v>0</v>
      </c>
    </row>
    <row r="151" spans="3:20" x14ac:dyDescent="0.25">
      <c r="C151" s="75"/>
      <c r="D151" s="75"/>
      <c r="E151" s="75"/>
      <c r="F151" s="75"/>
      <c r="G151" s="76"/>
      <c r="H151" s="77"/>
      <c r="I151" s="78"/>
      <c r="J151" s="79"/>
      <c r="K151" s="79" t="str">
        <f ca="1">IF(J151="","NOVO",_xlfn.XLOOKUP(TODAY()-J151,Regras!$C$3:$C$10,Regras!$D$3:$D$10,,1))</f>
        <v>NOVO</v>
      </c>
      <c r="L151" s="75" t="str">
        <f t="shared" si="2"/>
        <v/>
      </c>
      <c r="M151" s="80" t="str">
        <f>IFERROR(IF(Tabela13[[#This Row],[NOME FANTASIA]]="","",_xlfn.XLOOKUP($C151,Log!D:D,Log!B:B,,,-1)),"")</f>
        <v/>
      </c>
      <c r="N151" s="81" t="str">
        <f>IFERROR(_xlfn.XLOOKUP($C151,Log!D:D,Log!W:W,,,-1),"")</f>
        <v/>
      </c>
      <c r="O151" s="81">
        <f>IFERROR(_xlfn.XLOOKUP($C151,Log!D:D,Log!Y:Y,,,-1),"")</f>
        <v>0</v>
      </c>
      <c r="Q151" s="69" t="str">
        <f>IFERROR(IF(Tabela13[[#This Row],[NOME FANTASIA]]="","",_xlfn.XLOOKUP($C151,Log!D:D,Log!X:X,,,-1)),"")</f>
        <v/>
      </c>
      <c r="R151" s="82">
        <f>COUNTIFS(Log!$D:$D,'Base Novos Clientes'!$C151,Log!$W:$W,'Base Novos Clientes'!R$2)</f>
        <v>0</v>
      </c>
      <c r="S151" s="82">
        <f>COUNTIFS(Log!$D:$D,'Base Novos Clientes'!$C151,Log!$W:$W,'Base Novos Clientes'!S$2)</f>
        <v>0</v>
      </c>
      <c r="T151" s="82">
        <f>COUNTIFS(Log!$D:$D,'Base Novos Clientes'!$C151,Log!$W:$W,'Base Novos Clientes'!T$2)</f>
        <v>0</v>
      </c>
    </row>
    <row r="152" spans="3:20" x14ac:dyDescent="0.25">
      <c r="C152" s="75"/>
      <c r="D152" s="75"/>
      <c r="E152" s="75"/>
      <c r="F152" s="75"/>
      <c r="G152" s="76"/>
      <c r="H152" s="77"/>
      <c r="I152" s="78"/>
      <c r="J152" s="79"/>
      <c r="K152" s="79" t="str">
        <f ca="1">IF(J152="","NOVO",_xlfn.XLOOKUP(TODAY()-J152,Regras!$C$3:$C$10,Regras!$D$3:$D$10,,1))</f>
        <v>NOVO</v>
      </c>
      <c r="L152" s="75" t="str">
        <f t="shared" si="2"/>
        <v/>
      </c>
      <c r="M152" s="80" t="str">
        <f>IFERROR(IF(Tabela13[[#This Row],[NOME FANTASIA]]="","",_xlfn.XLOOKUP($C152,Log!D:D,Log!B:B,,,-1)),"")</f>
        <v/>
      </c>
      <c r="N152" s="81" t="str">
        <f>IFERROR(_xlfn.XLOOKUP($C152,Log!D:D,Log!W:W,,,-1),"")</f>
        <v/>
      </c>
      <c r="O152" s="81">
        <f>IFERROR(_xlfn.XLOOKUP($C152,Log!D:D,Log!Y:Y,,,-1),"")</f>
        <v>0</v>
      </c>
      <c r="Q152" s="69" t="str">
        <f>IFERROR(IF(Tabela13[[#This Row],[NOME FANTASIA]]="","",_xlfn.XLOOKUP($C152,Log!D:D,Log!X:X,,,-1)),"")</f>
        <v/>
      </c>
      <c r="R152" s="82">
        <f>COUNTIFS(Log!$D:$D,'Base Novos Clientes'!$C152,Log!$W:$W,'Base Novos Clientes'!R$2)</f>
        <v>0</v>
      </c>
      <c r="S152" s="82">
        <f>COUNTIFS(Log!$D:$D,'Base Novos Clientes'!$C152,Log!$W:$W,'Base Novos Clientes'!S$2)</f>
        <v>0</v>
      </c>
      <c r="T152" s="82">
        <f>COUNTIFS(Log!$D:$D,'Base Novos Clientes'!$C152,Log!$W:$W,'Base Novos Clientes'!T$2)</f>
        <v>0</v>
      </c>
    </row>
    <row r="153" spans="3:20" x14ac:dyDescent="0.25">
      <c r="C153" s="75"/>
      <c r="D153" s="75"/>
      <c r="E153" s="75"/>
      <c r="F153" s="75"/>
      <c r="G153" s="76"/>
      <c r="H153" s="77"/>
      <c r="I153" s="78"/>
      <c r="J153" s="79"/>
      <c r="K153" s="79" t="str">
        <f ca="1">IF(J153="","NOVO",_xlfn.XLOOKUP(TODAY()-J153,Regras!$C$3:$C$10,Regras!$D$3:$D$10,,1))</f>
        <v>NOVO</v>
      </c>
      <c r="L153" s="75" t="str">
        <f t="shared" si="2"/>
        <v/>
      </c>
      <c r="M153" s="80" t="str">
        <f>IFERROR(IF(Tabela13[[#This Row],[NOME FANTASIA]]="","",_xlfn.XLOOKUP($C153,Log!D:D,Log!B:B,,,-1)),"")</f>
        <v/>
      </c>
      <c r="N153" s="81" t="str">
        <f>IFERROR(_xlfn.XLOOKUP($C153,Log!D:D,Log!W:W,,,-1),"")</f>
        <v/>
      </c>
      <c r="O153" s="81">
        <f>IFERROR(_xlfn.XLOOKUP($C153,Log!D:D,Log!Y:Y,,,-1),"")</f>
        <v>0</v>
      </c>
      <c r="Q153" s="69" t="str">
        <f>IFERROR(IF(Tabela13[[#This Row],[NOME FANTASIA]]="","",_xlfn.XLOOKUP($C153,Log!D:D,Log!X:X,,,-1)),"")</f>
        <v/>
      </c>
      <c r="R153" s="82">
        <f>COUNTIFS(Log!$D:$D,'Base Novos Clientes'!$C153,Log!$W:$W,'Base Novos Clientes'!R$2)</f>
        <v>0</v>
      </c>
      <c r="S153" s="82">
        <f>COUNTIFS(Log!$D:$D,'Base Novos Clientes'!$C153,Log!$W:$W,'Base Novos Clientes'!S$2)</f>
        <v>0</v>
      </c>
      <c r="T153" s="82">
        <f>COUNTIFS(Log!$D:$D,'Base Novos Clientes'!$C153,Log!$W:$W,'Base Novos Clientes'!T$2)</f>
        <v>0</v>
      </c>
    </row>
    <row r="154" spans="3:20" x14ac:dyDescent="0.25">
      <c r="C154" s="75"/>
      <c r="D154" s="75"/>
      <c r="E154" s="75"/>
      <c r="F154" s="75"/>
      <c r="G154" s="76"/>
      <c r="H154" s="77"/>
      <c r="I154" s="78"/>
      <c r="J154" s="79"/>
      <c r="K154" s="79" t="str">
        <f ca="1">IF(J154="","NOVO",_xlfn.XLOOKUP(TODAY()-J154,Regras!$C$3:$C$10,Regras!$D$3:$D$10,,1))</f>
        <v>NOVO</v>
      </c>
      <c r="L154" s="75" t="str">
        <f t="shared" si="2"/>
        <v/>
      </c>
      <c r="M154" s="80" t="str">
        <f>IFERROR(IF(Tabela13[[#This Row],[NOME FANTASIA]]="","",_xlfn.XLOOKUP($C154,Log!D:D,Log!B:B,,,-1)),"")</f>
        <v/>
      </c>
      <c r="N154" s="81" t="str">
        <f>IFERROR(_xlfn.XLOOKUP($C154,Log!D:D,Log!W:W,,,-1),"")</f>
        <v/>
      </c>
      <c r="O154" s="81">
        <f>IFERROR(_xlfn.XLOOKUP($C154,Log!D:D,Log!Y:Y,,,-1),"")</f>
        <v>0</v>
      </c>
      <c r="Q154" s="69" t="str">
        <f>IFERROR(IF(Tabela13[[#This Row],[NOME FANTASIA]]="","",_xlfn.XLOOKUP($C154,Log!D:D,Log!X:X,,,-1)),"")</f>
        <v/>
      </c>
      <c r="R154" s="82">
        <f>COUNTIFS(Log!$D:$D,'Base Novos Clientes'!$C154,Log!$W:$W,'Base Novos Clientes'!R$2)</f>
        <v>0</v>
      </c>
      <c r="S154" s="82">
        <f>COUNTIFS(Log!$D:$D,'Base Novos Clientes'!$C154,Log!$W:$W,'Base Novos Clientes'!S$2)</f>
        <v>0</v>
      </c>
      <c r="T154" s="82">
        <f>COUNTIFS(Log!$D:$D,'Base Novos Clientes'!$C154,Log!$W:$W,'Base Novos Clientes'!T$2)</f>
        <v>0</v>
      </c>
    </row>
    <row r="155" spans="3:20" x14ac:dyDescent="0.25">
      <c r="C155" s="75"/>
      <c r="D155" s="75"/>
      <c r="E155" s="75"/>
      <c r="F155" s="75"/>
      <c r="G155" s="76"/>
      <c r="H155" s="77"/>
      <c r="I155" s="78"/>
      <c r="J155" s="79"/>
      <c r="K155" s="79" t="str">
        <f ca="1">IF(J155="","NOVO",_xlfn.XLOOKUP(TODAY()-J155,Regras!$C$3:$C$10,Regras!$D$3:$D$10,,1))</f>
        <v>NOVO</v>
      </c>
      <c r="L155" s="75" t="str">
        <f t="shared" si="2"/>
        <v/>
      </c>
      <c r="M155" s="80" t="str">
        <f>IFERROR(IF(Tabela13[[#This Row],[NOME FANTASIA]]="","",_xlfn.XLOOKUP($C155,Log!D:D,Log!B:B,,,-1)),"")</f>
        <v/>
      </c>
      <c r="N155" s="81" t="str">
        <f>IFERROR(_xlfn.XLOOKUP($C155,Log!D:D,Log!W:W,,,-1),"")</f>
        <v/>
      </c>
      <c r="O155" s="81">
        <f>IFERROR(_xlfn.XLOOKUP($C155,Log!D:D,Log!Y:Y,,,-1),"")</f>
        <v>0</v>
      </c>
      <c r="Q155" s="69" t="str">
        <f>IFERROR(IF(Tabela13[[#This Row],[NOME FANTASIA]]="","",_xlfn.XLOOKUP($C155,Log!D:D,Log!X:X,,,-1)),"")</f>
        <v/>
      </c>
      <c r="R155" s="82">
        <f>COUNTIFS(Log!$D:$D,'Base Novos Clientes'!$C155,Log!$W:$W,'Base Novos Clientes'!R$2)</f>
        <v>0</v>
      </c>
      <c r="S155" s="82">
        <f>COUNTIFS(Log!$D:$D,'Base Novos Clientes'!$C155,Log!$W:$W,'Base Novos Clientes'!S$2)</f>
        <v>0</v>
      </c>
      <c r="T155" s="82">
        <f>COUNTIFS(Log!$D:$D,'Base Novos Clientes'!$C155,Log!$W:$W,'Base Novos Clientes'!T$2)</f>
        <v>0</v>
      </c>
    </row>
    <row r="156" spans="3:20" x14ac:dyDescent="0.25">
      <c r="C156" s="75"/>
      <c r="D156" s="75"/>
      <c r="E156" s="75"/>
      <c r="F156" s="75"/>
      <c r="G156" s="76"/>
      <c r="H156" s="77"/>
      <c r="I156" s="78"/>
      <c r="J156" s="79"/>
      <c r="K156" s="79" t="str">
        <f ca="1">IF(J156="","NOVO",_xlfn.XLOOKUP(TODAY()-J156,Regras!$C$3:$C$10,Regras!$D$3:$D$10,,1))</f>
        <v>NOVO</v>
      </c>
      <c r="L156" s="75" t="str">
        <f t="shared" si="2"/>
        <v/>
      </c>
      <c r="M156" s="80" t="str">
        <f>IFERROR(IF(Tabela13[[#This Row],[NOME FANTASIA]]="","",_xlfn.XLOOKUP($C156,Log!D:D,Log!B:B,,,-1)),"")</f>
        <v/>
      </c>
      <c r="N156" s="81" t="str">
        <f>IFERROR(_xlfn.XLOOKUP($C156,Log!D:D,Log!W:W,,,-1),"")</f>
        <v/>
      </c>
      <c r="O156" s="81">
        <f>IFERROR(_xlfn.XLOOKUP($C156,Log!D:D,Log!Y:Y,,,-1),"")</f>
        <v>0</v>
      </c>
      <c r="Q156" s="69" t="str">
        <f>IFERROR(IF(Tabela13[[#This Row],[NOME FANTASIA]]="","",_xlfn.XLOOKUP($C156,Log!D:D,Log!X:X,,,-1)),"")</f>
        <v/>
      </c>
      <c r="R156" s="82">
        <f>COUNTIFS(Log!$D:$D,'Base Novos Clientes'!$C156,Log!$W:$W,'Base Novos Clientes'!R$2)</f>
        <v>0</v>
      </c>
      <c r="S156" s="82">
        <f>COUNTIFS(Log!$D:$D,'Base Novos Clientes'!$C156,Log!$W:$W,'Base Novos Clientes'!S$2)</f>
        <v>0</v>
      </c>
      <c r="T156" s="82">
        <f>COUNTIFS(Log!$D:$D,'Base Novos Clientes'!$C156,Log!$W:$W,'Base Novos Clientes'!T$2)</f>
        <v>0</v>
      </c>
    </row>
    <row r="157" spans="3:20" x14ac:dyDescent="0.25">
      <c r="C157" s="75"/>
      <c r="D157" s="75"/>
      <c r="E157" s="75"/>
      <c r="F157" s="75"/>
      <c r="G157" s="76"/>
      <c r="H157" s="77"/>
      <c r="I157" s="78"/>
      <c r="J157" s="79"/>
      <c r="K157" s="79" t="str">
        <f ca="1">IF(J157="","NOVO",_xlfn.XLOOKUP(TODAY()-J157,Regras!$C$3:$C$10,Regras!$D$3:$D$10,,1))</f>
        <v>NOVO</v>
      </c>
      <c r="L157" s="75" t="str">
        <f t="shared" si="2"/>
        <v/>
      </c>
      <c r="M157" s="80" t="str">
        <f>IFERROR(IF(Tabela13[[#This Row],[NOME FANTASIA]]="","",_xlfn.XLOOKUP($C157,Log!D:D,Log!B:B,,,-1)),"")</f>
        <v/>
      </c>
      <c r="N157" s="81" t="str">
        <f>IFERROR(_xlfn.XLOOKUP($C157,Log!D:D,Log!W:W,,,-1),"")</f>
        <v/>
      </c>
      <c r="O157" s="81">
        <f>IFERROR(_xlfn.XLOOKUP($C157,Log!D:D,Log!Y:Y,,,-1),"")</f>
        <v>0</v>
      </c>
      <c r="Q157" s="69" t="str">
        <f>IFERROR(IF(Tabela13[[#This Row],[NOME FANTASIA]]="","",_xlfn.XLOOKUP($C157,Log!D:D,Log!X:X,,,-1)),"")</f>
        <v/>
      </c>
      <c r="R157" s="82">
        <f>COUNTIFS(Log!$D:$D,'Base Novos Clientes'!$C157,Log!$W:$W,'Base Novos Clientes'!R$2)</f>
        <v>0</v>
      </c>
      <c r="S157" s="82">
        <f>COUNTIFS(Log!$D:$D,'Base Novos Clientes'!$C157,Log!$W:$W,'Base Novos Clientes'!S$2)</f>
        <v>0</v>
      </c>
      <c r="T157" s="82">
        <f>COUNTIFS(Log!$D:$D,'Base Novos Clientes'!$C157,Log!$W:$W,'Base Novos Clientes'!T$2)</f>
        <v>0</v>
      </c>
    </row>
    <row r="158" spans="3:20" x14ac:dyDescent="0.25">
      <c r="C158" s="75"/>
      <c r="D158" s="75"/>
      <c r="E158" s="75"/>
      <c r="F158" s="75"/>
      <c r="G158" s="76"/>
      <c r="H158" s="77"/>
      <c r="I158" s="78"/>
      <c r="J158" s="79"/>
      <c r="K158" s="79" t="str">
        <f ca="1">IF(J158="","NOVO",_xlfn.XLOOKUP(TODAY()-J158,Regras!$C$3:$C$10,Regras!$D$3:$D$10,,1))</f>
        <v>NOVO</v>
      </c>
      <c r="L158" s="75" t="str">
        <f t="shared" si="2"/>
        <v/>
      </c>
      <c r="M158" s="80" t="str">
        <f>IFERROR(IF(Tabela13[[#This Row],[NOME FANTASIA]]="","",_xlfn.XLOOKUP($C158,Log!D:D,Log!B:B,,,-1)),"")</f>
        <v/>
      </c>
      <c r="N158" s="81" t="str">
        <f>IFERROR(_xlfn.XLOOKUP($C158,Log!D:D,Log!W:W,,,-1),"")</f>
        <v/>
      </c>
      <c r="O158" s="81">
        <f>IFERROR(_xlfn.XLOOKUP($C158,Log!D:D,Log!Y:Y,,,-1),"")</f>
        <v>0</v>
      </c>
      <c r="Q158" s="69" t="str">
        <f>IFERROR(IF(Tabela13[[#This Row],[NOME FANTASIA]]="","",_xlfn.XLOOKUP($C158,Log!D:D,Log!X:X,,,-1)),"")</f>
        <v/>
      </c>
      <c r="R158" s="82">
        <f>COUNTIFS(Log!$D:$D,'Base Novos Clientes'!$C158,Log!$W:$W,'Base Novos Clientes'!R$2)</f>
        <v>0</v>
      </c>
      <c r="S158" s="82">
        <f>COUNTIFS(Log!$D:$D,'Base Novos Clientes'!$C158,Log!$W:$W,'Base Novos Clientes'!S$2)</f>
        <v>0</v>
      </c>
      <c r="T158" s="82">
        <f>COUNTIFS(Log!$D:$D,'Base Novos Clientes'!$C158,Log!$W:$W,'Base Novos Clientes'!T$2)</f>
        <v>0</v>
      </c>
    </row>
    <row r="159" spans="3:20" x14ac:dyDescent="0.25">
      <c r="C159" s="75"/>
      <c r="D159" s="75"/>
      <c r="E159" s="75"/>
      <c r="F159" s="75"/>
      <c r="G159" s="76"/>
      <c r="H159" s="77"/>
      <c r="I159" s="78"/>
      <c r="J159" s="79"/>
      <c r="K159" s="79" t="str">
        <f ca="1">IF(J159="","NOVO",_xlfn.XLOOKUP(TODAY()-J159,Regras!$C$3:$C$10,Regras!$D$3:$D$10,,1))</f>
        <v>NOVO</v>
      </c>
      <c r="L159" s="75" t="str">
        <f t="shared" si="2"/>
        <v/>
      </c>
      <c r="M159" s="80" t="str">
        <f>IFERROR(IF(Tabela13[[#This Row],[NOME FANTASIA]]="","",_xlfn.XLOOKUP($C159,Log!D:D,Log!B:B,,,-1)),"")</f>
        <v/>
      </c>
      <c r="N159" s="81" t="str">
        <f>IFERROR(_xlfn.XLOOKUP($C159,Log!D:D,Log!W:W,,,-1),"")</f>
        <v/>
      </c>
      <c r="O159" s="81">
        <f>IFERROR(_xlfn.XLOOKUP($C159,Log!D:D,Log!Y:Y,,,-1),"")</f>
        <v>0</v>
      </c>
      <c r="Q159" s="69" t="str">
        <f>IFERROR(IF(Tabela13[[#This Row],[NOME FANTASIA]]="","",_xlfn.XLOOKUP($C159,Log!D:D,Log!X:X,,,-1)),"")</f>
        <v/>
      </c>
      <c r="R159" s="82">
        <f>COUNTIFS(Log!$D:$D,'Base Novos Clientes'!$C159,Log!$W:$W,'Base Novos Clientes'!R$2)</f>
        <v>0</v>
      </c>
      <c r="S159" s="82">
        <f>COUNTIFS(Log!$D:$D,'Base Novos Clientes'!$C159,Log!$W:$W,'Base Novos Clientes'!S$2)</f>
        <v>0</v>
      </c>
      <c r="T159" s="82">
        <f>COUNTIFS(Log!$D:$D,'Base Novos Clientes'!$C159,Log!$W:$W,'Base Novos Clientes'!T$2)</f>
        <v>0</v>
      </c>
    </row>
    <row r="160" spans="3:20" x14ac:dyDescent="0.25">
      <c r="C160" s="75"/>
      <c r="D160" s="75"/>
      <c r="E160" s="75"/>
      <c r="F160" s="75"/>
      <c r="G160" s="76"/>
      <c r="H160" s="77"/>
      <c r="I160" s="78"/>
      <c r="J160" s="79"/>
      <c r="K160" s="79" t="str">
        <f ca="1">IF(J160="","NOVO",_xlfn.XLOOKUP(TODAY()-J160,Regras!$C$3:$C$10,Regras!$D$3:$D$10,,1))</f>
        <v>NOVO</v>
      </c>
      <c r="L160" s="75" t="str">
        <f t="shared" si="2"/>
        <v/>
      </c>
      <c r="M160" s="80" t="str">
        <f>IFERROR(IF(Tabela13[[#This Row],[NOME FANTASIA]]="","",_xlfn.XLOOKUP($C160,Log!D:D,Log!B:B,,,-1)),"")</f>
        <v/>
      </c>
      <c r="N160" s="81" t="str">
        <f>IFERROR(_xlfn.XLOOKUP($C160,Log!D:D,Log!W:W,,,-1),"")</f>
        <v/>
      </c>
      <c r="O160" s="81">
        <f>IFERROR(_xlfn.XLOOKUP($C160,Log!D:D,Log!Y:Y,,,-1),"")</f>
        <v>0</v>
      </c>
      <c r="Q160" s="69" t="str">
        <f>IFERROR(IF(Tabela13[[#This Row],[NOME FANTASIA]]="","",_xlfn.XLOOKUP($C160,Log!D:D,Log!X:X,,,-1)),"")</f>
        <v/>
      </c>
      <c r="R160" s="82">
        <f>COUNTIFS(Log!$D:$D,'Base Novos Clientes'!$C160,Log!$W:$W,'Base Novos Clientes'!R$2)</f>
        <v>0</v>
      </c>
      <c r="S160" s="82">
        <f>COUNTIFS(Log!$D:$D,'Base Novos Clientes'!$C160,Log!$W:$W,'Base Novos Clientes'!S$2)</f>
        <v>0</v>
      </c>
      <c r="T160" s="82">
        <f>COUNTIFS(Log!$D:$D,'Base Novos Clientes'!$C160,Log!$W:$W,'Base Novos Clientes'!T$2)</f>
        <v>0</v>
      </c>
    </row>
    <row r="161" spans="3:20" x14ac:dyDescent="0.25">
      <c r="C161" s="75"/>
      <c r="D161" s="75"/>
      <c r="E161" s="75"/>
      <c r="F161" s="75"/>
      <c r="G161" s="76"/>
      <c r="H161" s="77"/>
      <c r="I161" s="78"/>
      <c r="J161" s="79"/>
      <c r="K161" s="79" t="str">
        <f ca="1">IF(J161="","NOVO",_xlfn.XLOOKUP(TODAY()-J161,Regras!$C$3:$C$10,Regras!$D$3:$D$10,,1))</f>
        <v>NOVO</v>
      </c>
      <c r="L161" s="75" t="str">
        <f t="shared" si="2"/>
        <v/>
      </c>
      <c r="M161" s="80" t="str">
        <f>IFERROR(IF(Tabela13[[#This Row],[NOME FANTASIA]]="","",_xlfn.XLOOKUP($C161,Log!D:D,Log!B:B,,,-1)),"")</f>
        <v/>
      </c>
      <c r="N161" s="81" t="str">
        <f>IFERROR(_xlfn.XLOOKUP($C161,Log!D:D,Log!W:W,,,-1),"")</f>
        <v/>
      </c>
      <c r="O161" s="81">
        <f>IFERROR(_xlfn.XLOOKUP($C161,Log!D:D,Log!Y:Y,,,-1),"")</f>
        <v>0</v>
      </c>
      <c r="Q161" s="69" t="str">
        <f>IFERROR(IF(Tabela13[[#This Row],[NOME FANTASIA]]="","",_xlfn.XLOOKUP($C161,Log!D:D,Log!X:X,,,-1)),"")</f>
        <v/>
      </c>
      <c r="R161" s="82">
        <f>COUNTIFS(Log!$D:$D,'Base Novos Clientes'!$C161,Log!$W:$W,'Base Novos Clientes'!R$2)</f>
        <v>0</v>
      </c>
      <c r="S161" s="82">
        <f>COUNTIFS(Log!$D:$D,'Base Novos Clientes'!$C161,Log!$W:$W,'Base Novos Clientes'!S$2)</f>
        <v>0</v>
      </c>
      <c r="T161" s="82">
        <f>COUNTIFS(Log!$D:$D,'Base Novos Clientes'!$C161,Log!$W:$W,'Base Novos Clientes'!T$2)</f>
        <v>0</v>
      </c>
    </row>
    <row r="162" spans="3:20" x14ac:dyDescent="0.25">
      <c r="C162" s="75"/>
      <c r="D162" s="75"/>
      <c r="E162" s="75"/>
      <c r="F162" s="75"/>
      <c r="G162" s="76"/>
      <c r="H162" s="77"/>
      <c r="I162" s="78"/>
      <c r="J162" s="79"/>
      <c r="K162" s="79" t="str">
        <f ca="1">IF(J162="","NOVO",_xlfn.XLOOKUP(TODAY()-J162,Regras!$C$3:$C$10,Regras!$D$3:$D$10,,1))</f>
        <v>NOVO</v>
      </c>
      <c r="L162" s="75" t="str">
        <f t="shared" si="2"/>
        <v/>
      </c>
      <c r="M162" s="80" t="str">
        <f>IFERROR(IF(Tabela13[[#This Row],[NOME FANTASIA]]="","",_xlfn.XLOOKUP($C162,Log!D:D,Log!B:B,,,-1)),"")</f>
        <v/>
      </c>
      <c r="N162" s="81" t="str">
        <f>IFERROR(_xlfn.XLOOKUP($C162,Log!D:D,Log!W:W,,,-1),"")</f>
        <v/>
      </c>
      <c r="O162" s="81">
        <f>IFERROR(_xlfn.XLOOKUP($C162,Log!D:D,Log!Y:Y,,,-1),"")</f>
        <v>0</v>
      </c>
      <c r="Q162" s="69" t="str">
        <f>IFERROR(IF(Tabela13[[#This Row],[NOME FANTASIA]]="","",_xlfn.XLOOKUP($C162,Log!D:D,Log!X:X,,,-1)),"")</f>
        <v/>
      </c>
      <c r="R162" s="82">
        <f>COUNTIFS(Log!$D:$D,'Base Novos Clientes'!$C162,Log!$W:$W,'Base Novos Clientes'!R$2)</f>
        <v>0</v>
      </c>
      <c r="S162" s="82">
        <f>COUNTIFS(Log!$D:$D,'Base Novos Clientes'!$C162,Log!$W:$W,'Base Novos Clientes'!S$2)</f>
        <v>0</v>
      </c>
      <c r="T162" s="82">
        <f>COUNTIFS(Log!$D:$D,'Base Novos Clientes'!$C162,Log!$W:$W,'Base Novos Clientes'!T$2)</f>
        <v>0</v>
      </c>
    </row>
    <row r="163" spans="3:20" x14ac:dyDescent="0.25">
      <c r="C163" s="75"/>
      <c r="D163" s="75"/>
      <c r="E163" s="75"/>
      <c r="F163" s="75"/>
      <c r="G163" s="76"/>
      <c r="H163" s="77"/>
      <c r="I163" s="78"/>
      <c r="J163" s="79"/>
      <c r="K163" s="79" t="str">
        <f ca="1">IF(J163="","NOVO",_xlfn.XLOOKUP(TODAY()-J163,Regras!$C$3:$C$10,Regras!$D$3:$D$10,,1))</f>
        <v>NOVO</v>
      </c>
      <c r="L163" s="75" t="str">
        <f t="shared" si="2"/>
        <v/>
      </c>
      <c r="M163" s="80" t="str">
        <f>IFERROR(IF(Tabela13[[#This Row],[NOME FANTASIA]]="","",_xlfn.XLOOKUP($C163,Log!D:D,Log!B:B,,,-1)),"")</f>
        <v/>
      </c>
      <c r="N163" s="81" t="str">
        <f>IFERROR(_xlfn.XLOOKUP($C163,Log!D:D,Log!W:W,,,-1),"")</f>
        <v/>
      </c>
      <c r="O163" s="81">
        <f>IFERROR(_xlfn.XLOOKUP($C163,Log!D:D,Log!Y:Y,,,-1),"")</f>
        <v>0</v>
      </c>
      <c r="Q163" s="69" t="str">
        <f>IFERROR(IF(Tabela13[[#This Row],[NOME FANTASIA]]="","",_xlfn.XLOOKUP($C163,Log!D:D,Log!X:X,,,-1)),"")</f>
        <v/>
      </c>
      <c r="R163" s="82">
        <f>COUNTIFS(Log!$D:$D,'Base Novos Clientes'!$C163,Log!$W:$W,'Base Novos Clientes'!R$2)</f>
        <v>0</v>
      </c>
      <c r="S163" s="82">
        <f>COUNTIFS(Log!$D:$D,'Base Novos Clientes'!$C163,Log!$W:$W,'Base Novos Clientes'!S$2)</f>
        <v>0</v>
      </c>
      <c r="T163" s="82">
        <f>COUNTIFS(Log!$D:$D,'Base Novos Clientes'!$C163,Log!$W:$W,'Base Novos Clientes'!T$2)</f>
        <v>0</v>
      </c>
    </row>
    <row r="164" spans="3:20" x14ac:dyDescent="0.25">
      <c r="C164" s="75"/>
      <c r="D164" s="75"/>
      <c r="E164" s="75"/>
      <c r="F164" s="75"/>
      <c r="G164" s="76"/>
      <c r="H164" s="77"/>
      <c r="I164" s="78"/>
      <c r="J164" s="79"/>
      <c r="K164" s="79" t="str">
        <f ca="1">IF(J164="","NOVO",_xlfn.XLOOKUP(TODAY()-J164,Regras!$C$3:$C$10,Regras!$D$3:$D$10,,1))</f>
        <v>NOVO</v>
      </c>
      <c r="L164" s="75" t="str">
        <f t="shared" si="2"/>
        <v/>
      </c>
      <c r="M164" s="80" t="str">
        <f>IFERROR(IF(Tabela13[[#This Row],[NOME FANTASIA]]="","",_xlfn.XLOOKUP($C164,Log!D:D,Log!B:B,,,-1)),"")</f>
        <v/>
      </c>
      <c r="N164" s="81" t="str">
        <f>IFERROR(_xlfn.XLOOKUP($C164,Log!D:D,Log!W:W,,,-1),"")</f>
        <v/>
      </c>
      <c r="O164" s="81">
        <f>IFERROR(_xlfn.XLOOKUP($C164,Log!D:D,Log!Y:Y,,,-1),"")</f>
        <v>0</v>
      </c>
      <c r="Q164" s="69" t="str">
        <f>IFERROR(IF(Tabela13[[#This Row],[NOME FANTASIA]]="","",_xlfn.XLOOKUP($C164,Log!D:D,Log!X:X,,,-1)),"")</f>
        <v/>
      </c>
      <c r="R164" s="82">
        <f>COUNTIFS(Log!$D:$D,'Base Novos Clientes'!$C164,Log!$W:$W,'Base Novos Clientes'!R$2)</f>
        <v>0</v>
      </c>
      <c r="S164" s="82">
        <f>COUNTIFS(Log!$D:$D,'Base Novos Clientes'!$C164,Log!$W:$W,'Base Novos Clientes'!S$2)</f>
        <v>0</v>
      </c>
      <c r="T164" s="82">
        <f>COUNTIFS(Log!$D:$D,'Base Novos Clientes'!$C164,Log!$W:$W,'Base Novos Clientes'!T$2)</f>
        <v>0</v>
      </c>
    </row>
    <row r="165" spans="3:20" x14ac:dyDescent="0.25">
      <c r="C165" s="75"/>
      <c r="D165" s="75"/>
      <c r="E165" s="75"/>
      <c r="F165" s="75"/>
      <c r="G165" s="76"/>
      <c r="H165" s="77"/>
      <c r="I165" s="78"/>
      <c r="J165" s="79"/>
      <c r="K165" s="79" t="str">
        <f ca="1">IF(J165="","NOVO",_xlfn.XLOOKUP(TODAY()-J165,Regras!$C$3:$C$10,Regras!$D$3:$D$10,,1))</f>
        <v>NOVO</v>
      </c>
      <c r="L165" s="75" t="str">
        <f t="shared" si="2"/>
        <v/>
      </c>
      <c r="M165" s="80" t="str">
        <f>IFERROR(IF(Tabela13[[#This Row],[NOME FANTASIA]]="","",_xlfn.XLOOKUP($C165,Log!D:D,Log!B:B,,,-1)),"")</f>
        <v/>
      </c>
      <c r="N165" s="81" t="str">
        <f>IFERROR(_xlfn.XLOOKUP($C165,Log!D:D,Log!W:W,,,-1),"")</f>
        <v/>
      </c>
      <c r="O165" s="81">
        <f>IFERROR(_xlfn.XLOOKUP($C165,Log!D:D,Log!Y:Y,,,-1),"")</f>
        <v>0</v>
      </c>
      <c r="Q165" s="69" t="str">
        <f>IFERROR(IF(Tabela13[[#This Row],[NOME FANTASIA]]="","",_xlfn.XLOOKUP($C165,Log!D:D,Log!X:X,,,-1)),"")</f>
        <v/>
      </c>
      <c r="R165" s="82">
        <f>COUNTIFS(Log!$D:$D,'Base Novos Clientes'!$C165,Log!$W:$W,'Base Novos Clientes'!R$2)</f>
        <v>0</v>
      </c>
      <c r="S165" s="82">
        <f>COUNTIFS(Log!$D:$D,'Base Novos Clientes'!$C165,Log!$W:$W,'Base Novos Clientes'!S$2)</f>
        <v>0</v>
      </c>
      <c r="T165" s="82">
        <f>COUNTIFS(Log!$D:$D,'Base Novos Clientes'!$C165,Log!$W:$W,'Base Novos Clientes'!T$2)</f>
        <v>0</v>
      </c>
    </row>
    <row r="166" spans="3:20" x14ac:dyDescent="0.25">
      <c r="C166" s="75"/>
      <c r="D166" s="75"/>
      <c r="E166" s="75"/>
      <c r="F166" s="75"/>
      <c r="G166" s="76"/>
      <c r="H166" s="77"/>
      <c r="I166" s="78"/>
      <c r="J166" s="79"/>
      <c r="K166" s="79" t="str">
        <f ca="1">IF(J166="","NOVO",_xlfn.XLOOKUP(TODAY()-J166,Regras!$C$3:$C$10,Regras!$D$3:$D$10,,1))</f>
        <v>NOVO</v>
      </c>
      <c r="L166" s="75" t="str">
        <f t="shared" si="2"/>
        <v/>
      </c>
      <c r="M166" s="80" t="str">
        <f>IFERROR(IF(Tabela13[[#This Row],[NOME FANTASIA]]="","",_xlfn.XLOOKUP($C166,Log!D:D,Log!B:B,,,-1)),"")</f>
        <v/>
      </c>
      <c r="N166" s="81" t="str">
        <f>IFERROR(_xlfn.XLOOKUP($C166,Log!D:D,Log!W:W,,,-1),"")</f>
        <v/>
      </c>
      <c r="O166" s="81">
        <f>IFERROR(_xlfn.XLOOKUP($C166,Log!D:D,Log!Y:Y,,,-1),"")</f>
        <v>0</v>
      </c>
      <c r="Q166" s="69" t="str">
        <f>IFERROR(IF(Tabela13[[#This Row],[NOME FANTASIA]]="","",_xlfn.XLOOKUP($C166,Log!D:D,Log!X:X,,,-1)),"")</f>
        <v/>
      </c>
      <c r="R166" s="82">
        <f>COUNTIFS(Log!$D:$D,'Base Novos Clientes'!$C166,Log!$W:$W,'Base Novos Clientes'!R$2)</f>
        <v>0</v>
      </c>
      <c r="S166" s="82">
        <f>COUNTIFS(Log!$D:$D,'Base Novos Clientes'!$C166,Log!$W:$W,'Base Novos Clientes'!S$2)</f>
        <v>0</v>
      </c>
      <c r="T166" s="82">
        <f>COUNTIFS(Log!$D:$D,'Base Novos Clientes'!$C166,Log!$W:$W,'Base Novos Clientes'!T$2)</f>
        <v>0</v>
      </c>
    </row>
    <row r="167" spans="3:20" x14ac:dyDescent="0.25">
      <c r="C167" s="75"/>
      <c r="D167" s="75"/>
      <c r="E167" s="75"/>
      <c r="F167" s="75"/>
      <c r="G167" s="76"/>
      <c r="H167" s="77"/>
      <c r="I167" s="78"/>
      <c r="J167" s="79"/>
      <c r="K167" s="79" t="str">
        <f ca="1">IF(J167="","NOVO",_xlfn.XLOOKUP(TODAY()-J167,Regras!$C$3:$C$10,Regras!$D$3:$D$10,,1))</f>
        <v>NOVO</v>
      </c>
      <c r="L167" s="75" t="str">
        <f t="shared" si="2"/>
        <v/>
      </c>
      <c r="M167" s="80" t="str">
        <f>IFERROR(IF(Tabela13[[#This Row],[NOME FANTASIA]]="","",_xlfn.XLOOKUP($C167,Log!D:D,Log!B:B,,,-1)),"")</f>
        <v/>
      </c>
      <c r="N167" s="81" t="str">
        <f>IFERROR(_xlfn.XLOOKUP($C167,Log!D:D,Log!W:W,,,-1),"")</f>
        <v/>
      </c>
      <c r="O167" s="81">
        <f>IFERROR(_xlfn.XLOOKUP($C167,Log!D:D,Log!Y:Y,,,-1),"")</f>
        <v>0</v>
      </c>
      <c r="Q167" s="69" t="str">
        <f>IFERROR(IF(Tabela13[[#This Row],[NOME FANTASIA]]="","",_xlfn.XLOOKUP($C167,Log!D:D,Log!X:X,,,-1)),"")</f>
        <v/>
      </c>
      <c r="R167" s="82">
        <f>COUNTIFS(Log!$D:$D,'Base Novos Clientes'!$C167,Log!$W:$W,'Base Novos Clientes'!R$2)</f>
        <v>0</v>
      </c>
      <c r="S167" s="82">
        <f>COUNTIFS(Log!$D:$D,'Base Novos Clientes'!$C167,Log!$W:$W,'Base Novos Clientes'!S$2)</f>
        <v>0</v>
      </c>
      <c r="T167" s="82">
        <f>COUNTIFS(Log!$D:$D,'Base Novos Clientes'!$C167,Log!$W:$W,'Base Novos Clientes'!T$2)</f>
        <v>0</v>
      </c>
    </row>
    <row r="168" spans="3:20" x14ac:dyDescent="0.25">
      <c r="C168" s="75"/>
      <c r="D168" s="75"/>
      <c r="E168" s="75"/>
      <c r="F168" s="75"/>
      <c r="G168" s="76"/>
      <c r="H168" s="77"/>
      <c r="I168" s="78"/>
      <c r="J168" s="79"/>
      <c r="K168" s="79" t="str">
        <f ca="1">IF(J168="","NOVO",_xlfn.XLOOKUP(TODAY()-J168,Regras!$C$3:$C$10,Regras!$D$3:$D$10,,1))</f>
        <v>NOVO</v>
      </c>
      <c r="L168" s="75" t="str">
        <f t="shared" si="2"/>
        <v/>
      </c>
      <c r="M168" s="80" t="str">
        <f>IFERROR(IF(Tabela13[[#This Row],[NOME FANTASIA]]="","",_xlfn.XLOOKUP($C168,Log!D:D,Log!B:B,,,-1)),"")</f>
        <v/>
      </c>
      <c r="N168" s="81" t="str">
        <f>IFERROR(_xlfn.XLOOKUP($C168,Log!D:D,Log!W:W,,,-1),"")</f>
        <v/>
      </c>
      <c r="O168" s="81">
        <f>IFERROR(_xlfn.XLOOKUP($C168,Log!D:D,Log!Y:Y,,,-1),"")</f>
        <v>0</v>
      </c>
      <c r="Q168" s="69" t="str">
        <f>IFERROR(IF(Tabela13[[#This Row],[NOME FANTASIA]]="","",_xlfn.XLOOKUP($C168,Log!D:D,Log!X:X,,,-1)),"")</f>
        <v/>
      </c>
      <c r="R168" s="82">
        <f>COUNTIFS(Log!$D:$D,'Base Novos Clientes'!$C168,Log!$W:$W,'Base Novos Clientes'!R$2)</f>
        <v>0</v>
      </c>
      <c r="S168" s="82">
        <f>COUNTIFS(Log!$D:$D,'Base Novos Clientes'!$C168,Log!$W:$W,'Base Novos Clientes'!S$2)</f>
        <v>0</v>
      </c>
      <c r="T168" s="82">
        <f>COUNTIFS(Log!$D:$D,'Base Novos Clientes'!$C168,Log!$W:$W,'Base Novos Clientes'!T$2)</f>
        <v>0</v>
      </c>
    </row>
    <row r="169" spans="3:20" x14ac:dyDescent="0.25">
      <c r="C169" s="75"/>
      <c r="D169" s="75"/>
      <c r="E169" s="75"/>
      <c r="F169" s="75"/>
      <c r="G169" s="76"/>
      <c r="H169" s="77"/>
      <c r="I169" s="78"/>
      <c r="J169" s="79"/>
      <c r="K169" s="79" t="str">
        <f ca="1">IF(J169="","NOVO",_xlfn.XLOOKUP(TODAY()-J169,Regras!$C$3:$C$10,Regras!$D$3:$D$10,,1))</f>
        <v>NOVO</v>
      </c>
      <c r="L169" s="75" t="str">
        <f t="shared" si="2"/>
        <v/>
      </c>
      <c r="M169" s="80" t="str">
        <f>IFERROR(IF(Tabela13[[#This Row],[NOME FANTASIA]]="","",_xlfn.XLOOKUP($C169,Log!D:D,Log!B:B,,,-1)),"")</f>
        <v/>
      </c>
      <c r="N169" s="81" t="str">
        <f>IFERROR(_xlfn.XLOOKUP($C169,Log!D:D,Log!W:W,,,-1),"")</f>
        <v/>
      </c>
      <c r="O169" s="81">
        <f>IFERROR(_xlfn.XLOOKUP($C169,Log!D:D,Log!Y:Y,,,-1),"")</f>
        <v>0</v>
      </c>
      <c r="Q169" s="69" t="str">
        <f>IFERROR(IF(Tabela13[[#This Row],[NOME FANTASIA]]="","",_xlfn.XLOOKUP($C169,Log!D:D,Log!X:X,,,-1)),"")</f>
        <v/>
      </c>
      <c r="R169" s="82">
        <f>COUNTIFS(Log!$D:$D,'Base Novos Clientes'!$C169,Log!$W:$W,'Base Novos Clientes'!R$2)</f>
        <v>0</v>
      </c>
      <c r="S169" s="82">
        <f>COUNTIFS(Log!$D:$D,'Base Novos Clientes'!$C169,Log!$W:$W,'Base Novos Clientes'!S$2)</f>
        <v>0</v>
      </c>
      <c r="T169" s="82">
        <f>COUNTIFS(Log!$D:$D,'Base Novos Clientes'!$C169,Log!$W:$W,'Base Novos Clientes'!T$2)</f>
        <v>0</v>
      </c>
    </row>
    <row r="170" spans="3:20" x14ac:dyDescent="0.25">
      <c r="C170" s="75"/>
      <c r="D170" s="75"/>
      <c r="E170" s="75"/>
      <c r="F170" s="75"/>
      <c r="G170" s="76"/>
      <c r="H170" s="77"/>
      <c r="I170" s="78"/>
      <c r="J170" s="79"/>
      <c r="K170" s="79" t="str">
        <f ca="1">IF(J170="","NOVO",_xlfn.XLOOKUP(TODAY()-J170,Regras!$C$3:$C$10,Regras!$D$3:$D$10,,1))</f>
        <v>NOVO</v>
      </c>
      <c r="L170" s="75" t="str">
        <f t="shared" si="2"/>
        <v/>
      </c>
      <c r="M170" s="80" t="str">
        <f>IFERROR(IF(Tabela13[[#This Row],[NOME FANTASIA]]="","",_xlfn.XLOOKUP($C170,Log!D:D,Log!B:B,,,-1)),"")</f>
        <v/>
      </c>
      <c r="N170" s="81" t="str">
        <f>IFERROR(_xlfn.XLOOKUP($C170,Log!D:D,Log!W:W,,,-1),"")</f>
        <v/>
      </c>
      <c r="O170" s="81">
        <f>IFERROR(_xlfn.XLOOKUP($C170,Log!D:D,Log!Y:Y,,,-1),"")</f>
        <v>0</v>
      </c>
      <c r="Q170" s="69" t="str">
        <f>IFERROR(IF(Tabela13[[#This Row],[NOME FANTASIA]]="","",_xlfn.XLOOKUP($C170,Log!D:D,Log!X:X,,,-1)),"")</f>
        <v/>
      </c>
      <c r="R170" s="82">
        <f>COUNTIFS(Log!$D:$D,'Base Novos Clientes'!$C170,Log!$W:$W,'Base Novos Clientes'!R$2)</f>
        <v>0</v>
      </c>
      <c r="S170" s="82">
        <f>COUNTIFS(Log!$D:$D,'Base Novos Clientes'!$C170,Log!$W:$W,'Base Novos Clientes'!S$2)</f>
        <v>0</v>
      </c>
      <c r="T170" s="82">
        <f>COUNTIFS(Log!$D:$D,'Base Novos Clientes'!$C170,Log!$W:$W,'Base Novos Clientes'!T$2)</f>
        <v>0</v>
      </c>
    </row>
    <row r="171" spans="3:20" x14ac:dyDescent="0.25">
      <c r="C171" s="75"/>
      <c r="D171" s="75"/>
      <c r="E171" s="75"/>
      <c r="F171" s="75"/>
      <c r="G171" s="76"/>
      <c r="H171" s="77"/>
      <c r="I171" s="78"/>
      <c r="J171" s="79"/>
      <c r="K171" s="79" t="str">
        <f ca="1">IF(J171="","NOVO",_xlfn.XLOOKUP(TODAY()-J171,Regras!$C$3:$C$10,Regras!$D$3:$D$10,,1))</f>
        <v>NOVO</v>
      </c>
      <c r="L171" s="75" t="str">
        <f t="shared" si="2"/>
        <v/>
      </c>
      <c r="M171" s="80" t="str">
        <f>IFERROR(IF(Tabela13[[#This Row],[NOME FANTASIA]]="","",_xlfn.XLOOKUP($C171,Log!D:D,Log!B:B,,,-1)),"")</f>
        <v/>
      </c>
      <c r="N171" s="81" t="str">
        <f>IFERROR(_xlfn.XLOOKUP($C171,Log!D:D,Log!W:W,,,-1),"")</f>
        <v/>
      </c>
      <c r="O171" s="81">
        <f>IFERROR(_xlfn.XLOOKUP($C171,Log!D:D,Log!Y:Y,,,-1),"")</f>
        <v>0</v>
      </c>
      <c r="Q171" s="69" t="str">
        <f>IFERROR(IF(Tabela13[[#This Row],[NOME FANTASIA]]="","",_xlfn.XLOOKUP($C171,Log!D:D,Log!X:X,,,-1)),"")</f>
        <v/>
      </c>
      <c r="R171" s="82">
        <f>COUNTIFS(Log!$D:$D,'Base Novos Clientes'!$C171,Log!$W:$W,'Base Novos Clientes'!R$2)</f>
        <v>0</v>
      </c>
      <c r="S171" s="82">
        <f>COUNTIFS(Log!$D:$D,'Base Novos Clientes'!$C171,Log!$W:$W,'Base Novos Clientes'!S$2)</f>
        <v>0</v>
      </c>
      <c r="T171" s="82">
        <f>COUNTIFS(Log!$D:$D,'Base Novos Clientes'!$C171,Log!$W:$W,'Base Novos Clientes'!T$2)</f>
        <v>0</v>
      </c>
    </row>
    <row r="172" spans="3:20" x14ac:dyDescent="0.25">
      <c r="C172" s="75"/>
      <c r="D172" s="75"/>
      <c r="E172" s="75"/>
      <c r="F172" s="75"/>
      <c r="G172" s="76"/>
      <c r="H172" s="77"/>
      <c r="I172" s="78"/>
      <c r="J172" s="79"/>
      <c r="K172" s="79" t="str">
        <f ca="1">IF(J172="","NOVO",_xlfn.XLOOKUP(TODAY()-J172,Regras!$C$3:$C$10,Regras!$D$3:$D$10,,1))</f>
        <v>NOVO</v>
      </c>
      <c r="L172" s="75" t="str">
        <f t="shared" si="2"/>
        <v/>
      </c>
      <c r="M172" s="80" t="str">
        <f>IFERROR(IF(Tabela13[[#This Row],[NOME FANTASIA]]="","",_xlfn.XLOOKUP($C172,Log!D:D,Log!B:B,,,-1)),"")</f>
        <v/>
      </c>
      <c r="N172" s="81" t="str">
        <f>IFERROR(_xlfn.XLOOKUP($C172,Log!D:D,Log!W:W,,,-1),"")</f>
        <v/>
      </c>
      <c r="O172" s="81">
        <f>IFERROR(_xlfn.XLOOKUP($C172,Log!D:D,Log!Y:Y,,,-1),"")</f>
        <v>0</v>
      </c>
      <c r="Q172" s="69" t="str">
        <f>IFERROR(IF(Tabela13[[#This Row],[NOME FANTASIA]]="","",_xlfn.XLOOKUP($C172,Log!D:D,Log!X:X,,,-1)),"")</f>
        <v/>
      </c>
      <c r="R172" s="82">
        <f>COUNTIFS(Log!$D:$D,'Base Novos Clientes'!$C172,Log!$W:$W,'Base Novos Clientes'!R$2)</f>
        <v>0</v>
      </c>
      <c r="S172" s="82">
        <f>COUNTIFS(Log!$D:$D,'Base Novos Clientes'!$C172,Log!$W:$W,'Base Novos Clientes'!S$2)</f>
        <v>0</v>
      </c>
      <c r="T172" s="82">
        <f>COUNTIFS(Log!$D:$D,'Base Novos Clientes'!$C172,Log!$W:$W,'Base Novos Clientes'!T$2)</f>
        <v>0</v>
      </c>
    </row>
    <row r="173" spans="3:20" x14ac:dyDescent="0.25">
      <c r="C173" s="75"/>
      <c r="D173" s="75"/>
      <c r="E173" s="75"/>
      <c r="F173" s="75"/>
      <c r="G173" s="76"/>
      <c r="H173" s="77"/>
      <c r="I173" s="78"/>
      <c r="J173" s="79"/>
      <c r="K173" s="79" t="str">
        <f ca="1">IF(J173="","NOVO",_xlfn.XLOOKUP(TODAY()-J173,Regras!$C$3:$C$10,Regras!$D$3:$D$10,,1))</f>
        <v>NOVO</v>
      </c>
      <c r="L173" s="75" t="str">
        <f t="shared" si="2"/>
        <v/>
      </c>
      <c r="M173" s="80" t="str">
        <f>IFERROR(IF(Tabela13[[#This Row],[NOME FANTASIA]]="","",_xlfn.XLOOKUP($C173,Log!D:D,Log!B:B,,,-1)),"")</f>
        <v/>
      </c>
      <c r="N173" s="81" t="str">
        <f>IFERROR(_xlfn.XLOOKUP($C173,Log!D:D,Log!W:W,,,-1),"")</f>
        <v/>
      </c>
      <c r="O173" s="81">
        <f>IFERROR(_xlfn.XLOOKUP($C173,Log!D:D,Log!Y:Y,,,-1),"")</f>
        <v>0</v>
      </c>
      <c r="Q173" s="69" t="str">
        <f>IFERROR(IF(Tabela13[[#This Row],[NOME FANTASIA]]="","",_xlfn.XLOOKUP($C173,Log!D:D,Log!X:X,,,-1)),"")</f>
        <v/>
      </c>
      <c r="R173" s="82">
        <f>COUNTIFS(Log!$D:$D,'Base Novos Clientes'!$C173,Log!$W:$W,'Base Novos Clientes'!R$2)</f>
        <v>0</v>
      </c>
      <c r="S173" s="82">
        <f>COUNTIFS(Log!$D:$D,'Base Novos Clientes'!$C173,Log!$W:$W,'Base Novos Clientes'!S$2)</f>
        <v>0</v>
      </c>
      <c r="T173" s="82">
        <f>COUNTIFS(Log!$D:$D,'Base Novos Clientes'!$C173,Log!$W:$W,'Base Novos Clientes'!T$2)</f>
        <v>0</v>
      </c>
    </row>
    <row r="174" spans="3:20" x14ac:dyDescent="0.25">
      <c r="C174" s="75"/>
      <c r="D174" s="75"/>
      <c r="E174" s="75"/>
      <c r="F174" s="75"/>
      <c r="G174" s="76"/>
      <c r="H174" s="77"/>
      <c r="I174" s="78"/>
      <c r="J174" s="79"/>
      <c r="K174" s="79" t="str">
        <f ca="1">IF(J174="","NOVO",_xlfn.XLOOKUP(TODAY()-J174,Regras!$C$3:$C$10,Regras!$D$3:$D$10,,1))</f>
        <v>NOVO</v>
      </c>
      <c r="L174" s="75" t="str">
        <f t="shared" si="2"/>
        <v/>
      </c>
      <c r="M174" s="80" t="str">
        <f>IFERROR(IF(Tabela13[[#This Row],[NOME FANTASIA]]="","",_xlfn.XLOOKUP($C174,Log!D:D,Log!B:B,,,-1)),"")</f>
        <v/>
      </c>
      <c r="N174" s="81" t="str">
        <f>IFERROR(_xlfn.XLOOKUP($C174,Log!D:D,Log!W:W,,,-1),"")</f>
        <v/>
      </c>
      <c r="O174" s="81">
        <f>IFERROR(_xlfn.XLOOKUP($C174,Log!D:D,Log!Y:Y,,,-1),"")</f>
        <v>0</v>
      </c>
      <c r="Q174" s="69" t="str">
        <f>IFERROR(IF(Tabela13[[#This Row],[NOME FANTASIA]]="","",_xlfn.XLOOKUP($C174,Log!D:D,Log!X:X,,,-1)),"")</f>
        <v/>
      </c>
      <c r="R174" s="82">
        <f>COUNTIFS(Log!$D:$D,'Base Novos Clientes'!$C174,Log!$W:$W,'Base Novos Clientes'!R$2)</f>
        <v>0</v>
      </c>
      <c r="S174" s="82">
        <f>COUNTIFS(Log!$D:$D,'Base Novos Clientes'!$C174,Log!$W:$W,'Base Novos Clientes'!S$2)</f>
        <v>0</v>
      </c>
      <c r="T174" s="82">
        <f>COUNTIFS(Log!$D:$D,'Base Novos Clientes'!$C174,Log!$W:$W,'Base Novos Clientes'!T$2)</f>
        <v>0</v>
      </c>
    </row>
    <row r="175" spans="3:20" x14ac:dyDescent="0.25">
      <c r="C175" s="75"/>
      <c r="D175" s="75"/>
      <c r="E175" s="75"/>
      <c r="F175" s="75"/>
      <c r="G175" s="76"/>
      <c r="H175" s="77"/>
      <c r="I175" s="78"/>
      <c r="J175" s="79"/>
      <c r="K175" s="79" t="str">
        <f ca="1">IF(J175="","NOVO",_xlfn.XLOOKUP(TODAY()-J175,Regras!$C$3:$C$10,Regras!$D$3:$D$10,,1))</f>
        <v>NOVO</v>
      </c>
      <c r="L175" s="75" t="str">
        <f t="shared" si="2"/>
        <v/>
      </c>
      <c r="M175" s="80" t="str">
        <f>IFERROR(IF(Tabela13[[#This Row],[NOME FANTASIA]]="","",_xlfn.XLOOKUP($C175,Log!D:D,Log!B:B,,,-1)),"")</f>
        <v/>
      </c>
      <c r="N175" s="81" t="str">
        <f>IFERROR(_xlfn.XLOOKUP($C175,Log!D:D,Log!W:W,,,-1),"")</f>
        <v/>
      </c>
      <c r="O175" s="81">
        <f>IFERROR(_xlfn.XLOOKUP($C175,Log!D:D,Log!Y:Y,,,-1),"")</f>
        <v>0</v>
      </c>
      <c r="Q175" s="69" t="str">
        <f>IFERROR(IF(Tabela13[[#This Row],[NOME FANTASIA]]="","",_xlfn.XLOOKUP($C175,Log!D:D,Log!X:X,,,-1)),"")</f>
        <v/>
      </c>
      <c r="R175" s="82">
        <f>COUNTIFS(Log!$D:$D,'Base Novos Clientes'!$C175,Log!$W:$W,'Base Novos Clientes'!R$2)</f>
        <v>0</v>
      </c>
      <c r="S175" s="82">
        <f>COUNTIFS(Log!$D:$D,'Base Novos Clientes'!$C175,Log!$W:$W,'Base Novos Clientes'!S$2)</f>
        <v>0</v>
      </c>
      <c r="T175" s="82">
        <f>COUNTIFS(Log!$D:$D,'Base Novos Clientes'!$C175,Log!$W:$W,'Base Novos Clientes'!T$2)</f>
        <v>0</v>
      </c>
    </row>
    <row r="176" spans="3:20" x14ac:dyDescent="0.25">
      <c r="C176" s="75"/>
      <c r="D176" s="75"/>
      <c r="E176" s="75"/>
      <c r="F176" s="75"/>
      <c r="G176" s="76"/>
      <c r="H176" s="77"/>
      <c r="I176" s="78"/>
      <c r="J176" s="79"/>
      <c r="K176" s="79" t="str">
        <f ca="1">IF(J176="","NOVO",_xlfn.XLOOKUP(TODAY()-J176,Regras!$C$3:$C$10,Regras!$D$3:$D$10,,1))</f>
        <v>NOVO</v>
      </c>
      <c r="L176" s="75" t="str">
        <f t="shared" si="2"/>
        <v/>
      </c>
      <c r="M176" s="80" t="str">
        <f>IFERROR(IF(Tabela13[[#This Row],[NOME FANTASIA]]="","",_xlfn.XLOOKUP($C176,Log!D:D,Log!B:B,,,-1)),"")</f>
        <v/>
      </c>
      <c r="N176" s="81" t="str">
        <f>IFERROR(_xlfn.XLOOKUP($C176,Log!D:D,Log!W:W,,,-1),"")</f>
        <v/>
      </c>
      <c r="O176" s="81">
        <f>IFERROR(_xlfn.XLOOKUP($C176,Log!D:D,Log!Y:Y,,,-1),"")</f>
        <v>0</v>
      </c>
      <c r="Q176" s="69" t="str">
        <f>IFERROR(IF(Tabela13[[#This Row],[NOME FANTASIA]]="","",_xlfn.XLOOKUP($C176,Log!D:D,Log!X:X,,,-1)),"")</f>
        <v/>
      </c>
      <c r="R176" s="82">
        <f>COUNTIFS(Log!$D:$D,'Base Novos Clientes'!$C176,Log!$W:$W,'Base Novos Clientes'!R$2)</f>
        <v>0</v>
      </c>
      <c r="S176" s="82">
        <f>COUNTIFS(Log!$D:$D,'Base Novos Clientes'!$C176,Log!$W:$W,'Base Novos Clientes'!S$2)</f>
        <v>0</v>
      </c>
      <c r="T176" s="82">
        <f>COUNTIFS(Log!$D:$D,'Base Novos Clientes'!$C176,Log!$W:$W,'Base Novos Clientes'!T$2)</f>
        <v>0</v>
      </c>
    </row>
    <row r="177" spans="3:20" x14ac:dyDescent="0.25">
      <c r="C177" s="75"/>
      <c r="D177" s="75"/>
      <c r="E177" s="75"/>
      <c r="F177" s="75"/>
      <c r="G177" s="76"/>
      <c r="H177" s="77"/>
      <c r="I177" s="78"/>
      <c r="J177" s="79"/>
      <c r="K177" s="79" t="str">
        <f ca="1">IF(J177="","NOVO",_xlfn.XLOOKUP(TODAY()-J177,Regras!$C$3:$C$10,Regras!$D$3:$D$10,,1))</f>
        <v>NOVO</v>
      </c>
      <c r="L177" s="75" t="str">
        <f t="shared" si="2"/>
        <v/>
      </c>
      <c r="M177" s="80" t="str">
        <f>IFERROR(IF(Tabela13[[#This Row],[NOME FANTASIA]]="","",_xlfn.XLOOKUP($C177,Log!D:D,Log!B:B,,,-1)),"")</f>
        <v/>
      </c>
      <c r="N177" s="81" t="str">
        <f>IFERROR(_xlfn.XLOOKUP($C177,Log!D:D,Log!W:W,,,-1),"")</f>
        <v/>
      </c>
      <c r="O177" s="81">
        <f>IFERROR(_xlfn.XLOOKUP($C177,Log!D:D,Log!Y:Y,,,-1),"")</f>
        <v>0</v>
      </c>
      <c r="Q177" s="69" t="str">
        <f>IFERROR(IF(Tabela13[[#This Row],[NOME FANTASIA]]="","",_xlfn.XLOOKUP($C177,Log!D:D,Log!X:X,,,-1)),"")</f>
        <v/>
      </c>
      <c r="R177" s="82">
        <f>COUNTIFS(Log!$D:$D,'Base Novos Clientes'!$C177,Log!$W:$W,'Base Novos Clientes'!R$2)</f>
        <v>0</v>
      </c>
      <c r="S177" s="82">
        <f>COUNTIFS(Log!$D:$D,'Base Novos Clientes'!$C177,Log!$W:$W,'Base Novos Clientes'!S$2)</f>
        <v>0</v>
      </c>
      <c r="T177" s="82">
        <f>COUNTIFS(Log!$D:$D,'Base Novos Clientes'!$C177,Log!$W:$W,'Base Novos Clientes'!T$2)</f>
        <v>0</v>
      </c>
    </row>
    <row r="178" spans="3:20" x14ac:dyDescent="0.25">
      <c r="C178" s="75"/>
      <c r="D178" s="75"/>
      <c r="E178" s="75"/>
      <c r="F178" s="75"/>
      <c r="G178" s="76"/>
      <c r="H178" s="77"/>
      <c r="I178" s="78"/>
      <c r="J178" s="79"/>
      <c r="K178" s="79" t="str">
        <f ca="1">IF(J178="","NOVO",_xlfn.XLOOKUP(TODAY()-J178,Regras!$C$3:$C$10,Regras!$D$3:$D$10,,1))</f>
        <v>NOVO</v>
      </c>
      <c r="L178" s="75" t="str">
        <f t="shared" si="2"/>
        <v/>
      </c>
      <c r="M178" s="80" t="str">
        <f>IFERROR(IF(Tabela13[[#This Row],[NOME FANTASIA]]="","",_xlfn.XLOOKUP($C178,Log!D:D,Log!B:B,,,-1)),"")</f>
        <v/>
      </c>
      <c r="N178" s="81" t="str">
        <f>IFERROR(_xlfn.XLOOKUP($C178,Log!D:D,Log!W:W,,,-1),"")</f>
        <v/>
      </c>
      <c r="O178" s="81">
        <f>IFERROR(_xlfn.XLOOKUP($C178,Log!D:D,Log!Y:Y,,,-1),"")</f>
        <v>0</v>
      </c>
      <c r="Q178" s="69" t="str">
        <f>IFERROR(IF(Tabela13[[#This Row],[NOME FANTASIA]]="","",_xlfn.XLOOKUP($C178,Log!D:D,Log!X:X,,,-1)),"")</f>
        <v/>
      </c>
      <c r="R178" s="82">
        <f>COUNTIFS(Log!$D:$D,'Base Novos Clientes'!$C178,Log!$W:$W,'Base Novos Clientes'!R$2)</f>
        <v>0</v>
      </c>
      <c r="S178" s="82">
        <f>COUNTIFS(Log!$D:$D,'Base Novos Clientes'!$C178,Log!$W:$W,'Base Novos Clientes'!S$2)</f>
        <v>0</v>
      </c>
      <c r="T178" s="82">
        <f>COUNTIFS(Log!$D:$D,'Base Novos Clientes'!$C178,Log!$W:$W,'Base Novos Clientes'!T$2)</f>
        <v>0</v>
      </c>
    </row>
    <row r="179" spans="3:20" x14ac:dyDescent="0.25">
      <c r="C179" s="75"/>
      <c r="D179" s="75"/>
      <c r="E179" s="75"/>
      <c r="F179" s="75"/>
      <c r="G179" s="76"/>
      <c r="H179" s="77"/>
      <c r="I179" s="78"/>
      <c r="J179" s="79"/>
      <c r="K179" s="79" t="str">
        <f ca="1">IF(J179="","NOVO",_xlfn.XLOOKUP(TODAY()-J179,Regras!$C$3:$C$10,Regras!$D$3:$D$10,,1))</f>
        <v>NOVO</v>
      </c>
      <c r="L179" s="75" t="str">
        <f t="shared" si="2"/>
        <v/>
      </c>
      <c r="M179" s="80" t="str">
        <f>IFERROR(IF(Tabela13[[#This Row],[NOME FANTASIA]]="","",_xlfn.XLOOKUP($C179,Log!D:D,Log!B:B,,,-1)),"")</f>
        <v/>
      </c>
      <c r="N179" s="81" t="str">
        <f>IFERROR(_xlfn.XLOOKUP($C179,Log!D:D,Log!W:W,,,-1),"")</f>
        <v/>
      </c>
      <c r="O179" s="81">
        <f>IFERROR(_xlfn.XLOOKUP($C179,Log!D:D,Log!Y:Y,,,-1),"")</f>
        <v>0</v>
      </c>
      <c r="Q179" s="69" t="str">
        <f>IFERROR(IF(Tabela13[[#This Row],[NOME FANTASIA]]="","",_xlfn.XLOOKUP($C179,Log!D:D,Log!X:X,,,-1)),"")</f>
        <v/>
      </c>
      <c r="R179" s="82">
        <f>COUNTIFS(Log!$D:$D,'Base Novos Clientes'!$C179,Log!$W:$W,'Base Novos Clientes'!R$2)</f>
        <v>0</v>
      </c>
      <c r="S179" s="82">
        <f>COUNTIFS(Log!$D:$D,'Base Novos Clientes'!$C179,Log!$W:$W,'Base Novos Clientes'!S$2)</f>
        <v>0</v>
      </c>
      <c r="T179" s="82">
        <f>COUNTIFS(Log!$D:$D,'Base Novos Clientes'!$C179,Log!$W:$W,'Base Novos Clientes'!T$2)</f>
        <v>0</v>
      </c>
    </row>
    <row r="180" spans="3:20" x14ac:dyDescent="0.25">
      <c r="C180" s="75"/>
      <c r="D180" s="75"/>
      <c r="E180" s="75"/>
      <c r="F180" s="75"/>
      <c r="G180" s="76"/>
      <c r="H180" s="77"/>
      <c r="I180" s="78"/>
      <c r="J180" s="79"/>
      <c r="K180" s="79" t="str">
        <f ca="1">IF(J180="","NOVO",_xlfn.XLOOKUP(TODAY()-J180,Regras!$C$3:$C$10,Regras!$D$3:$D$10,,1))</f>
        <v>NOVO</v>
      </c>
      <c r="L180" s="75" t="str">
        <f t="shared" si="2"/>
        <v/>
      </c>
      <c r="M180" s="80" t="str">
        <f>IFERROR(IF(Tabela13[[#This Row],[NOME FANTASIA]]="","",_xlfn.XLOOKUP($C180,Log!D:D,Log!B:B,,,-1)),"")</f>
        <v/>
      </c>
      <c r="N180" s="81" t="str">
        <f>IFERROR(_xlfn.XLOOKUP($C180,Log!D:D,Log!W:W,,,-1),"")</f>
        <v/>
      </c>
      <c r="O180" s="81">
        <f>IFERROR(_xlfn.XLOOKUP($C180,Log!D:D,Log!Y:Y,,,-1),"")</f>
        <v>0</v>
      </c>
      <c r="Q180" s="69" t="str">
        <f>IFERROR(IF(Tabela13[[#This Row],[NOME FANTASIA]]="","",_xlfn.XLOOKUP($C180,Log!D:D,Log!X:X,,,-1)),"")</f>
        <v/>
      </c>
      <c r="R180" s="82">
        <f>COUNTIFS(Log!$D:$D,'Base Novos Clientes'!$C180,Log!$W:$W,'Base Novos Clientes'!R$2)</f>
        <v>0</v>
      </c>
      <c r="S180" s="82">
        <f>COUNTIFS(Log!$D:$D,'Base Novos Clientes'!$C180,Log!$W:$W,'Base Novos Clientes'!S$2)</f>
        <v>0</v>
      </c>
      <c r="T180" s="82">
        <f>COUNTIFS(Log!$D:$D,'Base Novos Clientes'!$C180,Log!$W:$W,'Base Novos Clientes'!T$2)</f>
        <v>0</v>
      </c>
    </row>
    <row r="181" spans="3:20" x14ac:dyDescent="0.25">
      <c r="C181" s="75"/>
      <c r="D181" s="75"/>
      <c r="E181" s="75"/>
      <c r="F181" s="75"/>
      <c r="G181" s="76"/>
      <c r="H181" s="77"/>
      <c r="I181" s="78"/>
      <c r="J181" s="79"/>
      <c r="K181" s="79" t="str">
        <f ca="1">IF(J181="","NOVO",_xlfn.XLOOKUP(TODAY()-J181,Regras!$C$3:$C$10,Regras!$D$3:$D$10,,1))</f>
        <v>NOVO</v>
      </c>
      <c r="L181" s="75" t="str">
        <f t="shared" si="2"/>
        <v/>
      </c>
      <c r="M181" s="80" t="str">
        <f>IFERROR(IF(Tabela13[[#This Row],[NOME FANTASIA]]="","",_xlfn.XLOOKUP($C181,Log!D:D,Log!B:B,,,-1)),"")</f>
        <v/>
      </c>
      <c r="N181" s="81" t="str">
        <f>IFERROR(_xlfn.XLOOKUP($C181,Log!D:D,Log!W:W,,,-1),"")</f>
        <v/>
      </c>
      <c r="O181" s="81">
        <f>IFERROR(_xlfn.XLOOKUP($C181,Log!D:D,Log!Y:Y,,,-1),"")</f>
        <v>0</v>
      </c>
      <c r="Q181" s="69" t="str">
        <f>IFERROR(IF(Tabela13[[#This Row],[NOME FANTASIA]]="","",_xlfn.XLOOKUP($C181,Log!D:D,Log!X:X,,,-1)),"")</f>
        <v/>
      </c>
      <c r="R181" s="82">
        <f>COUNTIFS(Log!$D:$D,'Base Novos Clientes'!$C181,Log!$W:$W,'Base Novos Clientes'!R$2)</f>
        <v>0</v>
      </c>
      <c r="S181" s="82">
        <f>COUNTIFS(Log!$D:$D,'Base Novos Clientes'!$C181,Log!$W:$W,'Base Novos Clientes'!S$2)</f>
        <v>0</v>
      </c>
      <c r="T181" s="82">
        <f>COUNTIFS(Log!$D:$D,'Base Novos Clientes'!$C181,Log!$W:$W,'Base Novos Clientes'!T$2)</f>
        <v>0</v>
      </c>
    </row>
    <row r="182" spans="3:20" x14ac:dyDescent="0.25">
      <c r="C182" s="75"/>
      <c r="D182" s="75"/>
      <c r="E182" s="75"/>
      <c r="F182" s="75"/>
      <c r="G182" s="76"/>
      <c r="H182" s="77"/>
      <c r="I182" s="78"/>
      <c r="J182" s="79"/>
      <c r="K182" s="79" t="str">
        <f ca="1">IF(J182="","NOVO",_xlfn.XLOOKUP(TODAY()-J182,Regras!$C$3:$C$10,Regras!$D$3:$D$10,,1))</f>
        <v>NOVO</v>
      </c>
      <c r="L182" s="75" t="str">
        <f t="shared" si="2"/>
        <v/>
      </c>
      <c r="M182" s="80" t="str">
        <f>IFERROR(IF(Tabela13[[#This Row],[NOME FANTASIA]]="","",_xlfn.XLOOKUP($C182,Log!D:D,Log!B:B,,,-1)),"")</f>
        <v/>
      </c>
      <c r="N182" s="81" t="str">
        <f>IFERROR(_xlfn.XLOOKUP($C182,Log!D:D,Log!W:W,,,-1),"")</f>
        <v/>
      </c>
      <c r="O182" s="81">
        <f>IFERROR(_xlfn.XLOOKUP($C182,Log!D:D,Log!Y:Y,,,-1),"")</f>
        <v>0</v>
      </c>
      <c r="Q182" s="69" t="str">
        <f>IFERROR(IF(Tabela13[[#This Row],[NOME FANTASIA]]="","",_xlfn.XLOOKUP($C182,Log!D:D,Log!X:X,,,-1)),"")</f>
        <v/>
      </c>
      <c r="R182" s="82">
        <f>COUNTIFS(Log!$D:$D,'Base Novos Clientes'!$C182,Log!$W:$W,'Base Novos Clientes'!R$2)</f>
        <v>0</v>
      </c>
      <c r="S182" s="82">
        <f>COUNTIFS(Log!$D:$D,'Base Novos Clientes'!$C182,Log!$W:$W,'Base Novos Clientes'!S$2)</f>
        <v>0</v>
      </c>
      <c r="T182" s="82">
        <f>COUNTIFS(Log!$D:$D,'Base Novos Clientes'!$C182,Log!$W:$W,'Base Novos Clientes'!T$2)</f>
        <v>0</v>
      </c>
    </row>
    <row r="183" spans="3:20" x14ac:dyDescent="0.25">
      <c r="C183" s="75"/>
      <c r="D183" s="75"/>
      <c r="E183" s="75"/>
      <c r="F183" s="75"/>
      <c r="G183" s="76"/>
      <c r="H183" s="77"/>
      <c r="I183" s="78"/>
      <c r="J183" s="79"/>
      <c r="K183" s="79" t="str">
        <f ca="1">IF(J183="","NOVO",_xlfn.XLOOKUP(TODAY()-J183,Regras!$C$3:$C$10,Regras!$D$3:$D$10,,1))</f>
        <v>NOVO</v>
      </c>
      <c r="L183" s="75" t="str">
        <f t="shared" si="2"/>
        <v/>
      </c>
      <c r="M183" s="80" t="str">
        <f>IFERROR(IF(Tabela13[[#This Row],[NOME FANTASIA]]="","",_xlfn.XLOOKUP($C183,Log!D:D,Log!B:B,,,-1)),"")</f>
        <v/>
      </c>
      <c r="N183" s="81" t="str">
        <f>IFERROR(_xlfn.XLOOKUP($C183,Log!D:D,Log!W:W,,,-1),"")</f>
        <v/>
      </c>
      <c r="O183" s="81">
        <f>IFERROR(_xlfn.XLOOKUP($C183,Log!D:D,Log!Y:Y,,,-1),"")</f>
        <v>0</v>
      </c>
      <c r="Q183" s="69" t="str">
        <f>IFERROR(IF(Tabela13[[#This Row],[NOME FANTASIA]]="","",_xlfn.XLOOKUP($C183,Log!D:D,Log!X:X,,,-1)),"")</f>
        <v/>
      </c>
      <c r="R183" s="82">
        <f>COUNTIFS(Log!$D:$D,'Base Novos Clientes'!$C183,Log!$W:$W,'Base Novos Clientes'!R$2)</f>
        <v>0</v>
      </c>
      <c r="S183" s="82">
        <f>COUNTIFS(Log!$D:$D,'Base Novos Clientes'!$C183,Log!$W:$W,'Base Novos Clientes'!S$2)</f>
        <v>0</v>
      </c>
      <c r="T183" s="82">
        <f>COUNTIFS(Log!$D:$D,'Base Novos Clientes'!$C183,Log!$W:$W,'Base Novos Clientes'!T$2)</f>
        <v>0</v>
      </c>
    </row>
    <row r="184" spans="3:20" x14ac:dyDescent="0.25">
      <c r="C184" s="75"/>
      <c r="D184" s="75"/>
      <c r="E184" s="75"/>
      <c r="F184" s="75"/>
      <c r="G184" s="76"/>
      <c r="H184" s="77"/>
      <c r="I184" s="78"/>
      <c r="J184" s="79"/>
      <c r="K184" s="79" t="str">
        <f ca="1">IF(J184="","NOVO",_xlfn.XLOOKUP(TODAY()-J184,Regras!$C$3:$C$10,Regras!$D$3:$D$10,,1))</f>
        <v>NOVO</v>
      </c>
      <c r="L184" s="75" t="str">
        <f t="shared" si="2"/>
        <v/>
      </c>
      <c r="M184" s="80" t="str">
        <f>IFERROR(IF(Tabela13[[#This Row],[NOME FANTASIA]]="","",_xlfn.XLOOKUP($C184,Log!D:D,Log!B:B,,,-1)),"")</f>
        <v/>
      </c>
      <c r="N184" s="81" t="str">
        <f>IFERROR(_xlfn.XLOOKUP($C184,Log!D:D,Log!W:W,,,-1),"")</f>
        <v/>
      </c>
      <c r="O184" s="81">
        <f>IFERROR(_xlfn.XLOOKUP($C184,Log!D:D,Log!Y:Y,,,-1),"")</f>
        <v>0</v>
      </c>
      <c r="Q184" s="69" t="str">
        <f>IFERROR(IF(Tabela13[[#This Row],[NOME FANTASIA]]="","",_xlfn.XLOOKUP($C184,Log!D:D,Log!X:X,,,-1)),"")</f>
        <v/>
      </c>
      <c r="R184" s="82">
        <f>COUNTIFS(Log!$D:$D,'Base Novos Clientes'!$C184,Log!$W:$W,'Base Novos Clientes'!R$2)</f>
        <v>0</v>
      </c>
      <c r="S184" s="82">
        <f>COUNTIFS(Log!$D:$D,'Base Novos Clientes'!$C184,Log!$W:$W,'Base Novos Clientes'!S$2)</f>
        <v>0</v>
      </c>
      <c r="T184" s="82">
        <f>COUNTIFS(Log!$D:$D,'Base Novos Clientes'!$C184,Log!$W:$W,'Base Novos Clientes'!T$2)</f>
        <v>0</v>
      </c>
    </row>
    <row r="185" spans="3:20" x14ac:dyDescent="0.25">
      <c r="C185" s="75"/>
      <c r="D185" s="75"/>
      <c r="E185" s="75"/>
      <c r="F185" s="75"/>
      <c r="G185" s="76"/>
      <c r="H185" s="77"/>
      <c r="I185" s="78"/>
      <c r="J185" s="79"/>
      <c r="K185" s="79" t="str">
        <f ca="1">IF(J185="","NOVO",_xlfn.XLOOKUP(TODAY()-J185,Regras!$C$3:$C$10,Regras!$D$3:$D$10,,1))</f>
        <v>NOVO</v>
      </c>
      <c r="L185" s="75" t="str">
        <f t="shared" si="2"/>
        <v/>
      </c>
      <c r="M185" s="80" t="str">
        <f>IFERROR(IF(Tabela13[[#This Row],[NOME FANTASIA]]="","",_xlfn.XLOOKUP($C185,Log!D:D,Log!B:B,,,-1)),"")</f>
        <v/>
      </c>
      <c r="N185" s="81" t="str">
        <f>IFERROR(_xlfn.XLOOKUP($C185,Log!D:D,Log!W:W,,,-1),"")</f>
        <v/>
      </c>
      <c r="O185" s="81">
        <f>IFERROR(_xlfn.XLOOKUP($C185,Log!D:D,Log!Y:Y,,,-1),"")</f>
        <v>0</v>
      </c>
      <c r="Q185" s="69" t="str">
        <f>IFERROR(IF(Tabela13[[#This Row],[NOME FANTASIA]]="","",_xlfn.XLOOKUP($C185,Log!D:D,Log!X:X,,,-1)),"")</f>
        <v/>
      </c>
      <c r="R185" s="82">
        <f>COUNTIFS(Log!$D:$D,'Base Novos Clientes'!$C185,Log!$W:$W,'Base Novos Clientes'!R$2)</f>
        <v>0</v>
      </c>
      <c r="S185" s="82">
        <f>COUNTIFS(Log!$D:$D,'Base Novos Clientes'!$C185,Log!$W:$W,'Base Novos Clientes'!S$2)</f>
        <v>0</v>
      </c>
      <c r="T185" s="82">
        <f>COUNTIFS(Log!$D:$D,'Base Novos Clientes'!$C185,Log!$W:$W,'Base Novos Clientes'!T$2)</f>
        <v>0</v>
      </c>
    </row>
    <row r="186" spans="3:20" x14ac:dyDescent="0.25">
      <c r="C186" s="75"/>
      <c r="D186" s="75"/>
      <c r="E186" s="75"/>
      <c r="F186" s="75"/>
      <c r="G186" s="76"/>
      <c r="H186" s="77"/>
      <c r="I186" s="78"/>
      <c r="J186" s="79"/>
      <c r="K186" s="79" t="str">
        <f ca="1">IF(J186="","NOVO",_xlfn.XLOOKUP(TODAY()-J186,Regras!$C$3:$C$10,Regras!$D$3:$D$10,,1))</f>
        <v>NOVO</v>
      </c>
      <c r="L186" s="75" t="str">
        <f t="shared" si="2"/>
        <v/>
      </c>
      <c r="M186" s="80" t="str">
        <f>IFERROR(IF(Tabela13[[#This Row],[NOME FANTASIA]]="","",_xlfn.XLOOKUP($C186,Log!D:D,Log!B:B,,,-1)),"")</f>
        <v/>
      </c>
      <c r="N186" s="81" t="str">
        <f>IFERROR(_xlfn.XLOOKUP($C186,Log!D:D,Log!W:W,,,-1),"")</f>
        <v/>
      </c>
      <c r="O186" s="81">
        <f>IFERROR(_xlfn.XLOOKUP($C186,Log!D:D,Log!Y:Y,,,-1),"")</f>
        <v>0</v>
      </c>
      <c r="Q186" s="69" t="str">
        <f>IFERROR(IF(Tabela13[[#This Row],[NOME FANTASIA]]="","",_xlfn.XLOOKUP($C186,Log!D:D,Log!X:X,,,-1)),"")</f>
        <v/>
      </c>
      <c r="R186" s="82">
        <f>COUNTIFS(Log!$D:$D,'Base Novos Clientes'!$C186,Log!$W:$W,'Base Novos Clientes'!R$2)</f>
        <v>0</v>
      </c>
      <c r="S186" s="82">
        <f>COUNTIFS(Log!$D:$D,'Base Novos Clientes'!$C186,Log!$W:$W,'Base Novos Clientes'!S$2)</f>
        <v>0</v>
      </c>
      <c r="T186" s="82">
        <f>COUNTIFS(Log!$D:$D,'Base Novos Clientes'!$C186,Log!$W:$W,'Base Novos Clientes'!T$2)</f>
        <v>0</v>
      </c>
    </row>
    <row r="187" spans="3:20" x14ac:dyDescent="0.25">
      <c r="C187" s="75"/>
      <c r="D187" s="75"/>
      <c r="E187" s="75"/>
      <c r="F187" s="75"/>
      <c r="G187" s="76"/>
      <c r="H187" s="77"/>
      <c r="I187" s="78"/>
      <c r="J187" s="79"/>
      <c r="K187" s="79" t="str">
        <f ca="1">IF(J187="","NOVO",_xlfn.XLOOKUP(TODAY()-J187,Regras!$C$3:$C$10,Regras!$D$3:$D$10,,1))</f>
        <v>NOVO</v>
      </c>
      <c r="L187" s="75" t="str">
        <f t="shared" si="2"/>
        <v/>
      </c>
      <c r="M187" s="80" t="str">
        <f>IFERROR(IF(Tabela13[[#This Row],[NOME FANTASIA]]="","",_xlfn.XLOOKUP($C187,Log!D:D,Log!B:B,,,-1)),"")</f>
        <v/>
      </c>
      <c r="N187" s="81" t="str">
        <f>IFERROR(_xlfn.XLOOKUP($C187,Log!D:D,Log!W:W,,,-1),"")</f>
        <v/>
      </c>
      <c r="O187" s="81">
        <f>IFERROR(_xlfn.XLOOKUP($C187,Log!D:D,Log!Y:Y,,,-1),"")</f>
        <v>0</v>
      </c>
      <c r="Q187" s="69" t="str">
        <f>IFERROR(IF(Tabela13[[#This Row],[NOME FANTASIA]]="","",_xlfn.XLOOKUP($C187,Log!D:D,Log!X:X,,,-1)),"")</f>
        <v/>
      </c>
      <c r="R187" s="82">
        <f>COUNTIFS(Log!$D:$D,'Base Novos Clientes'!$C187,Log!$W:$W,'Base Novos Clientes'!R$2)</f>
        <v>0</v>
      </c>
      <c r="S187" s="82">
        <f>COUNTIFS(Log!$D:$D,'Base Novos Clientes'!$C187,Log!$W:$W,'Base Novos Clientes'!S$2)</f>
        <v>0</v>
      </c>
      <c r="T187" s="82">
        <f>COUNTIFS(Log!$D:$D,'Base Novos Clientes'!$C187,Log!$W:$W,'Base Novos Clientes'!T$2)</f>
        <v>0</v>
      </c>
    </row>
    <row r="188" spans="3:20" x14ac:dyDescent="0.25">
      <c r="C188" s="75"/>
      <c r="D188" s="75"/>
      <c r="E188" s="75"/>
      <c r="F188" s="75"/>
      <c r="G188" s="76"/>
      <c r="H188" s="77"/>
      <c r="I188" s="78"/>
      <c r="J188" s="79"/>
      <c r="K188" s="79" t="str">
        <f ca="1">IF(J188="","NOVO",_xlfn.XLOOKUP(TODAY()-J188,Regras!$C$3:$C$10,Regras!$D$3:$D$10,,1))</f>
        <v>NOVO</v>
      </c>
      <c r="L188" s="75" t="str">
        <f t="shared" si="2"/>
        <v/>
      </c>
      <c r="M188" s="80" t="str">
        <f>IFERROR(IF(Tabela13[[#This Row],[NOME FANTASIA]]="","",_xlfn.XLOOKUP($C188,Log!D:D,Log!B:B,,,-1)),"")</f>
        <v/>
      </c>
      <c r="N188" s="81" t="str">
        <f>IFERROR(_xlfn.XLOOKUP($C188,Log!D:D,Log!W:W,,,-1),"")</f>
        <v/>
      </c>
      <c r="O188" s="81">
        <f>IFERROR(_xlfn.XLOOKUP($C188,Log!D:D,Log!Y:Y,,,-1),"")</f>
        <v>0</v>
      </c>
      <c r="Q188" s="69" t="str">
        <f>IFERROR(IF(Tabela13[[#This Row],[NOME FANTASIA]]="","",_xlfn.XLOOKUP($C188,Log!D:D,Log!X:X,,,-1)),"")</f>
        <v/>
      </c>
      <c r="R188" s="82">
        <f>COUNTIFS(Log!$D:$D,'Base Novos Clientes'!$C188,Log!$W:$W,'Base Novos Clientes'!R$2)</f>
        <v>0</v>
      </c>
      <c r="S188" s="82">
        <f>COUNTIFS(Log!$D:$D,'Base Novos Clientes'!$C188,Log!$W:$W,'Base Novos Clientes'!S$2)</f>
        <v>0</v>
      </c>
      <c r="T188" s="82">
        <f>COUNTIFS(Log!$D:$D,'Base Novos Clientes'!$C188,Log!$W:$W,'Base Novos Clientes'!T$2)</f>
        <v>0</v>
      </c>
    </row>
    <row r="189" spans="3:20" x14ac:dyDescent="0.25">
      <c r="C189" s="75"/>
      <c r="D189" s="75"/>
      <c r="E189" s="75"/>
      <c r="F189" s="75"/>
      <c r="G189" s="76"/>
      <c r="H189" s="77"/>
      <c r="I189" s="78"/>
      <c r="J189" s="79"/>
      <c r="K189" s="79" t="str">
        <f ca="1">IF(J189="","NOVO",_xlfn.XLOOKUP(TODAY()-J189,Regras!$C$3:$C$10,Regras!$D$3:$D$10,,1))</f>
        <v>NOVO</v>
      </c>
      <c r="L189" s="75" t="str">
        <f t="shared" si="2"/>
        <v/>
      </c>
      <c r="M189" s="80" t="str">
        <f>IFERROR(IF(Tabela13[[#This Row],[NOME FANTASIA]]="","",_xlfn.XLOOKUP($C189,Log!D:D,Log!B:B,,,-1)),"")</f>
        <v/>
      </c>
      <c r="N189" s="81" t="str">
        <f>IFERROR(_xlfn.XLOOKUP($C189,Log!D:D,Log!W:W,,,-1),"")</f>
        <v/>
      </c>
      <c r="O189" s="81">
        <f>IFERROR(_xlfn.XLOOKUP($C189,Log!D:D,Log!Y:Y,,,-1),"")</f>
        <v>0</v>
      </c>
      <c r="Q189" s="69" t="str">
        <f>IFERROR(IF(Tabela13[[#This Row],[NOME FANTASIA]]="","",_xlfn.XLOOKUP($C189,Log!D:D,Log!X:X,,,-1)),"")</f>
        <v/>
      </c>
      <c r="R189" s="82">
        <f>COUNTIFS(Log!$D:$D,'Base Novos Clientes'!$C189,Log!$W:$W,'Base Novos Clientes'!R$2)</f>
        <v>0</v>
      </c>
      <c r="S189" s="82">
        <f>COUNTIFS(Log!$D:$D,'Base Novos Clientes'!$C189,Log!$W:$W,'Base Novos Clientes'!S$2)</f>
        <v>0</v>
      </c>
      <c r="T189" s="82">
        <f>COUNTIFS(Log!$D:$D,'Base Novos Clientes'!$C189,Log!$W:$W,'Base Novos Clientes'!T$2)</f>
        <v>0</v>
      </c>
    </row>
    <row r="190" spans="3:20" x14ac:dyDescent="0.25">
      <c r="C190" s="75"/>
      <c r="D190" s="75"/>
      <c r="E190" s="75"/>
      <c r="F190" s="75"/>
      <c r="G190" s="76"/>
      <c r="H190" s="77"/>
      <c r="I190" s="78"/>
      <c r="J190" s="79"/>
      <c r="K190" s="79" t="str">
        <f ca="1">IF(J190="","NOVO",_xlfn.XLOOKUP(TODAY()-J190,Regras!$C$3:$C$10,Regras!$D$3:$D$10,,1))</f>
        <v>NOVO</v>
      </c>
      <c r="L190" s="75" t="str">
        <f t="shared" si="2"/>
        <v/>
      </c>
      <c r="M190" s="80" t="str">
        <f>IFERROR(IF(Tabela13[[#This Row],[NOME FANTASIA]]="","",_xlfn.XLOOKUP($C190,Log!D:D,Log!B:B,,,-1)),"")</f>
        <v/>
      </c>
      <c r="N190" s="81" t="str">
        <f>IFERROR(_xlfn.XLOOKUP($C190,Log!D:D,Log!W:W,,,-1),"")</f>
        <v/>
      </c>
      <c r="O190" s="81">
        <f>IFERROR(_xlfn.XLOOKUP($C190,Log!D:D,Log!Y:Y,,,-1),"")</f>
        <v>0</v>
      </c>
      <c r="Q190" s="69" t="str">
        <f>IFERROR(IF(Tabela13[[#This Row],[NOME FANTASIA]]="","",_xlfn.XLOOKUP($C190,Log!D:D,Log!X:X,,,-1)),"")</f>
        <v/>
      </c>
      <c r="R190" s="82">
        <f>COUNTIFS(Log!$D:$D,'Base Novos Clientes'!$C190,Log!$W:$W,'Base Novos Clientes'!R$2)</f>
        <v>0</v>
      </c>
      <c r="S190" s="82">
        <f>COUNTIFS(Log!$D:$D,'Base Novos Clientes'!$C190,Log!$W:$W,'Base Novos Clientes'!S$2)</f>
        <v>0</v>
      </c>
      <c r="T190" s="82">
        <f>COUNTIFS(Log!$D:$D,'Base Novos Clientes'!$C190,Log!$W:$W,'Base Novos Clientes'!T$2)</f>
        <v>0</v>
      </c>
    </row>
    <row r="191" spans="3:20" x14ac:dyDescent="0.25">
      <c r="C191" s="75"/>
      <c r="D191" s="75"/>
      <c r="E191" s="75"/>
      <c r="F191" s="75"/>
      <c r="G191" s="76"/>
      <c r="H191" s="77"/>
      <c r="I191" s="78"/>
      <c r="J191" s="79"/>
      <c r="K191" s="79" t="str">
        <f ca="1">IF(J191="","NOVO",_xlfn.XLOOKUP(TODAY()-J191,Regras!$C$3:$C$10,Regras!$D$3:$D$10,,1))</f>
        <v>NOVO</v>
      </c>
      <c r="L191" s="75" t="str">
        <f t="shared" si="2"/>
        <v/>
      </c>
      <c r="M191" s="80" t="str">
        <f>IFERROR(IF(Tabela13[[#This Row],[NOME FANTASIA]]="","",_xlfn.XLOOKUP($C191,Log!D:D,Log!B:B,,,-1)),"")</f>
        <v/>
      </c>
      <c r="N191" s="81" t="str">
        <f>IFERROR(_xlfn.XLOOKUP($C191,Log!D:D,Log!W:W,,,-1),"")</f>
        <v/>
      </c>
      <c r="O191" s="81">
        <f>IFERROR(_xlfn.XLOOKUP($C191,Log!D:D,Log!Y:Y,,,-1),"")</f>
        <v>0</v>
      </c>
      <c r="Q191" s="69" t="str">
        <f>IFERROR(IF(Tabela13[[#This Row],[NOME FANTASIA]]="","",_xlfn.XLOOKUP($C191,Log!D:D,Log!X:X,,,-1)),"")</f>
        <v/>
      </c>
      <c r="R191" s="82">
        <f>COUNTIFS(Log!$D:$D,'Base Novos Clientes'!$C191,Log!$W:$W,'Base Novos Clientes'!R$2)</f>
        <v>0</v>
      </c>
      <c r="S191" s="82">
        <f>COUNTIFS(Log!$D:$D,'Base Novos Clientes'!$C191,Log!$W:$W,'Base Novos Clientes'!S$2)</f>
        <v>0</v>
      </c>
      <c r="T191" s="82">
        <f>COUNTIFS(Log!$D:$D,'Base Novos Clientes'!$C191,Log!$W:$W,'Base Novos Clientes'!T$2)</f>
        <v>0</v>
      </c>
    </row>
    <row r="192" spans="3:20" x14ac:dyDescent="0.25">
      <c r="C192" s="75"/>
      <c r="D192" s="75"/>
      <c r="E192" s="75"/>
      <c r="F192" s="75"/>
      <c r="G192" s="76"/>
      <c r="H192" s="77"/>
      <c r="I192" s="78"/>
      <c r="J192" s="79"/>
      <c r="K192" s="79" t="str">
        <f ca="1">IF(J192="","NOVO",_xlfn.XLOOKUP(TODAY()-J192,Regras!$C$3:$C$10,Regras!$D$3:$D$10,,1))</f>
        <v>NOVO</v>
      </c>
      <c r="L192" s="75" t="str">
        <f t="shared" si="2"/>
        <v/>
      </c>
      <c r="M192" s="80" t="str">
        <f>IFERROR(IF(Tabela13[[#This Row],[NOME FANTASIA]]="","",_xlfn.XLOOKUP($C192,Log!D:D,Log!B:B,,,-1)),"")</f>
        <v/>
      </c>
      <c r="N192" s="81" t="str">
        <f>IFERROR(_xlfn.XLOOKUP($C192,Log!D:D,Log!W:W,,,-1),"")</f>
        <v/>
      </c>
      <c r="O192" s="81">
        <f>IFERROR(_xlfn.XLOOKUP($C192,Log!D:D,Log!Y:Y,,,-1),"")</f>
        <v>0</v>
      </c>
      <c r="Q192" s="69" t="str">
        <f>IFERROR(IF(Tabela13[[#This Row],[NOME FANTASIA]]="","",_xlfn.XLOOKUP($C192,Log!D:D,Log!X:X,,,-1)),"")</f>
        <v/>
      </c>
      <c r="R192" s="82">
        <f>COUNTIFS(Log!$D:$D,'Base Novos Clientes'!$C192,Log!$W:$W,'Base Novos Clientes'!R$2)</f>
        <v>0</v>
      </c>
      <c r="S192" s="82">
        <f>COUNTIFS(Log!$D:$D,'Base Novos Clientes'!$C192,Log!$W:$W,'Base Novos Clientes'!S$2)</f>
        <v>0</v>
      </c>
      <c r="T192" s="82">
        <f>COUNTIFS(Log!$D:$D,'Base Novos Clientes'!$C192,Log!$W:$W,'Base Novos Clientes'!T$2)</f>
        <v>0</v>
      </c>
    </row>
    <row r="193" spans="3:20" x14ac:dyDescent="0.25">
      <c r="C193" s="75"/>
      <c r="D193" s="75"/>
      <c r="E193" s="75"/>
      <c r="F193" s="75"/>
      <c r="G193" s="76"/>
      <c r="H193" s="77"/>
      <c r="I193" s="78"/>
      <c r="J193" s="79"/>
      <c r="K193" s="79" t="str">
        <f ca="1">IF(J193="","NOVO",_xlfn.XLOOKUP(TODAY()-J193,Regras!$C$3:$C$10,Regras!$D$3:$D$10,,1))</f>
        <v>NOVO</v>
      </c>
      <c r="L193" s="75" t="str">
        <f t="shared" si="2"/>
        <v/>
      </c>
      <c r="M193" s="80" t="str">
        <f>IFERROR(IF(Tabela13[[#This Row],[NOME FANTASIA]]="","",_xlfn.XLOOKUP($C193,Log!D:D,Log!B:B,,,-1)),"")</f>
        <v/>
      </c>
      <c r="N193" s="81" t="str">
        <f>IFERROR(_xlfn.XLOOKUP($C193,Log!D:D,Log!W:W,,,-1),"")</f>
        <v/>
      </c>
      <c r="O193" s="81">
        <f>IFERROR(_xlfn.XLOOKUP($C193,Log!D:D,Log!Y:Y,,,-1),"")</f>
        <v>0</v>
      </c>
      <c r="Q193" s="69" t="str">
        <f>IFERROR(IF(Tabela13[[#This Row],[NOME FANTASIA]]="","",_xlfn.XLOOKUP($C193,Log!D:D,Log!X:X,,,-1)),"")</f>
        <v/>
      </c>
      <c r="R193" s="82">
        <f>COUNTIFS(Log!$D:$D,'Base Novos Clientes'!$C193,Log!$W:$W,'Base Novos Clientes'!R$2)</f>
        <v>0</v>
      </c>
      <c r="S193" s="82">
        <f>COUNTIFS(Log!$D:$D,'Base Novos Clientes'!$C193,Log!$W:$W,'Base Novos Clientes'!S$2)</f>
        <v>0</v>
      </c>
      <c r="T193" s="82">
        <f>COUNTIFS(Log!$D:$D,'Base Novos Clientes'!$C193,Log!$W:$W,'Base Novos Clientes'!T$2)</f>
        <v>0</v>
      </c>
    </row>
    <row r="194" spans="3:20" x14ac:dyDescent="0.25">
      <c r="C194" s="75"/>
      <c r="D194" s="75"/>
      <c r="E194" s="75"/>
      <c r="F194" s="75"/>
      <c r="G194" s="76"/>
      <c r="H194" s="77"/>
      <c r="I194" s="78"/>
      <c r="J194" s="79"/>
      <c r="K194" s="79" t="str">
        <f ca="1">IF(J194="","NOVO",_xlfn.XLOOKUP(TODAY()-J194,Regras!$C$3:$C$10,Regras!$D$3:$D$10,,1))</f>
        <v>NOVO</v>
      </c>
      <c r="L194" s="75" t="str">
        <f t="shared" si="2"/>
        <v/>
      </c>
      <c r="M194" s="80" t="str">
        <f>IFERROR(IF(Tabela13[[#This Row],[NOME FANTASIA]]="","",_xlfn.XLOOKUP($C194,Log!D:D,Log!B:B,,,-1)),"")</f>
        <v/>
      </c>
      <c r="N194" s="81" t="str">
        <f>IFERROR(_xlfn.XLOOKUP($C194,Log!D:D,Log!W:W,,,-1),"")</f>
        <v/>
      </c>
      <c r="O194" s="81">
        <f>IFERROR(_xlfn.XLOOKUP($C194,Log!D:D,Log!Y:Y,,,-1),"")</f>
        <v>0</v>
      </c>
      <c r="Q194" s="69" t="str">
        <f>IFERROR(IF(Tabela13[[#This Row],[NOME FANTASIA]]="","",_xlfn.XLOOKUP($C194,Log!D:D,Log!X:X,,,-1)),"")</f>
        <v/>
      </c>
      <c r="R194" s="82">
        <f>COUNTIFS(Log!$D:$D,'Base Novos Clientes'!$C194,Log!$W:$W,'Base Novos Clientes'!R$2)</f>
        <v>0</v>
      </c>
      <c r="S194" s="82">
        <f>COUNTIFS(Log!$D:$D,'Base Novos Clientes'!$C194,Log!$W:$W,'Base Novos Clientes'!S$2)</f>
        <v>0</v>
      </c>
      <c r="T194" s="82">
        <f>COUNTIFS(Log!$D:$D,'Base Novos Clientes'!$C194,Log!$W:$W,'Base Novos Clientes'!T$2)</f>
        <v>0</v>
      </c>
    </row>
    <row r="195" spans="3:20" x14ac:dyDescent="0.25">
      <c r="C195" s="75"/>
      <c r="D195" s="75"/>
      <c r="E195" s="75"/>
      <c r="F195" s="75"/>
      <c r="G195" s="76"/>
      <c r="H195" s="77"/>
      <c r="I195" s="78"/>
      <c r="J195" s="79"/>
      <c r="K195" s="79" t="str">
        <f ca="1">IF(J195="","NOVO",_xlfn.XLOOKUP(TODAY()-J195,Regras!$C$3:$C$10,Regras!$D$3:$D$10,,1))</f>
        <v>NOVO</v>
      </c>
      <c r="L195" s="75" t="str">
        <f t="shared" si="2"/>
        <v/>
      </c>
      <c r="M195" s="80" t="str">
        <f>IFERROR(IF(Tabela13[[#This Row],[NOME FANTASIA]]="","",_xlfn.XLOOKUP($C195,Log!D:D,Log!B:B,,,-1)),"")</f>
        <v/>
      </c>
      <c r="N195" s="81" t="str">
        <f>IFERROR(_xlfn.XLOOKUP($C195,Log!D:D,Log!W:W,,,-1),"")</f>
        <v/>
      </c>
      <c r="O195" s="81">
        <f>IFERROR(_xlfn.XLOOKUP($C195,Log!D:D,Log!Y:Y,,,-1),"")</f>
        <v>0</v>
      </c>
      <c r="Q195" s="69" t="str">
        <f>IFERROR(IF(Tabela13[[#This Row],[NOME FANTASIA]]="","",_xlfn.XLOOKUP($C195,Log!D:D,Log!X:X,,,-1)),"")</f>
        <v/>
      </c>
      <c r="R195" s="82">
        <f>COUNTIFS(Log!$D:$D,'Base Novos Clientes'!$C195,Log!$W:$W,'Base Novos Clientes'!R$2)</f>
        <v>0</v>
      </c>
      <c r="S195" s="82">
        <f>COUNTIFS(Log!$D:$D,'Base Novos Clientes'!$C195,Log!$W:$W,'Base Novos Clientes'!S$2)</f>
        <v>0</v>
      </c>
      <c r="T195" s="82">
        <f>COUNTIFS(Log!$D:$D,'Base Novos Clientes'!$C195,Log!$W:$W,'Base Novos Clientes'!T$2)</f>
        <v>0</v>
      </c>
    </row>
    <row r="196" spans="3:20" x14ac:dyDescent="0.25">
      <c r="C196" s="75"/>
      <c r="D196" s="75"/>
      <c r="E196" s="75"/>
      <c r="F196" s="75"/>
      <c r="G196" s="76"/>
      <c r="H196" s="77"/>
      <c r="I196" s="78"/>
      <c r="J196" s="79"/>
      <c r="K196" s="79" t="str">
        <f ca="1">IF(J196="","NOVO",_xlfn.XLOOKUP(TODAY()-J196,Regras!$C$3:$C$10,Regras!$D$3:$D$10,,1))</f>
        <v>NOVO</v>
      </c>
      <c r="L196" s="75" t="str">
        <f t="shared" ref="L196:L259" si="3">IF(OR(I196&lt;=0,I196=""),"","Recompra")</f>
        <v/>
      </c>
      <c r="M196" s="80" t="str">
        <f>IFERROR(IF(Tabela13[[#This Row],[NOME FANTASIA]]="","",_xlfn.XLOOKUP($C196,Log!D:D,Log!B:B,,,-1)),"")</f>
        <v/>
      </c>
      <c r="N196" s="81" t="str">
        <f>IFERROR(_xlfn.XLOOKUP($C196,Log!D:D,Log!W:W,,,-1),"")</f>
        <v/>
      </c>
      <c r="O196" s="81">
        <f>IFERROR(_xlfn.XLOOKUP($C196,Log!D:D,Log!Y:Y,,,-1),"")</f>
        <v>0</v>
      </c>
      <c r="Q196" s="69" t="str">
        <f>IFERROR(IF(Tabela13[[#This Row],[NOME FANTASIA]]="","",_xlfn.XLOOKUP($C196,Log!D:D,Log!X:X,,,-1)),"")</f>
        <v/>
      </c>
      <c r="R196" s="82">
        <f>COUNTIFS(Log!$D:$D,'Base Novos Clientes'!$C196,Log!$W:$W,'Base Novos Clientes'!R$2)</f>
        <v>0</v>
      </c>
      <c r="S196" s="82">
        <f>COUNTIFS(Log!$D:$D,'Base Novos Clientes'!$C196,Log!$W:$W,'Base Novos Clientes'!S$2)</f>
        <v>0</v>
      </c>
      <c r="T196" s="82">
        <f>COUNTIFS(Log!$D:$D,'Base Novos Clientes'!$C196,Log!$W:$W,'Base Novos Clientes'!T$2)</f>
        <v>0</v>
      </c>
    </row>
    <row r="197" spans="3:20" x14ac:dyDescent="0.25">
      <c r="C197" s="75"/>
      <c r="D197" s="75"/>
      <c r="E197" s="75"/>
      <c r="F197" s="75"/>
      <c r="G197" s="76"/>
      <c r="H197" s="77"/>
      <c r="I197" s="78"/>
      <c r="J197" s="79"/>
      <c r="K197" s="79" t="str">
        <f ca="1">IF(J197="","NOVO",_xlfn.XLOOKUP(TODAY()-J197,Regras!$C$3:$C$10,Regras!$D$3:$D$10,,1))</f>
        <v>NOVO</v>
      </c>
      <c r="L197" s="75" t="str">
        <f t="shared" si="3"/>
        <v/>
      </c>
      <c r="M197" s="80" t="str">
        <f>IFERROR(IF(Tabela13[[#This Row],[NOME FANTASIA]]="","",_xlfn.XLOOKUP($C197,Log!D:D,Log!B:B,,,-1)),"")</f>
        <v/>
      </c>
      <c r="N197" s="81" t="str">
        <f>IFERROR(_xlfn.XLOOKUP($C197,Log!D:D,Log!W:W,,,-1),"")</f>
        <v/>
      </c>
      <c r="O197" s="81">
        <f>IFERROR(_xlfn.XLOOKUP($C197,Log!D:D,Log!Y:Y,,,-1),"")</f>
        <v>0</v>
      </c>
      <c r="Q197" s="69" t="str">
        <f>IFERROR(IF(Tabela13[[#This Row],[NOME FANTASIA]]="","",_xlfn.XLOOKUP($C197,Log!D:D,Log!X:X,,,-1)),"")</f>
        <v/>
      </c>
      <c r="R197" s="82">
        <f>COUNTIFS(Log!$D:$D,'Base Novos Clientes'!$C197,Log!$W:$W,'Base Novos Clientes'!R$2)</f>
        <v>0</v>
      </c>
      <c r="S197" s="82">
        <f>COUNTIFS(Log!$D:$D,'Base Novos Clientes'!$C197,Log!$W:$W,'Base Novos Clientes'!S$2)</f>
        <v>0</v>
      </c>
      <c r="T197" s="82">
        <f>COUNTIFS(Log!$D:$D,'Base Novos Clientes'!$C197,Log!$W:$W,'Base Novos Clientes'!T$2)</f>
        <v>0</v>
      </c>
    </row>
    <row r="198" spans="3:20" x14ac:dyDescent="0.25">
      <c r="C198" s="75"/>
      <c r="D198" s="75"/>
      <c r="E198" s="75"/>
      <c r="F198" s="75"/>
      <c r="G198" s="76"/>
      <c r="H198" s="77"/>
      <c r="I198" s="78"/>
      <c r="J198" s="79"/>
      <c r="K198" s="79" t="str">
        <f ca="1">IF(J198="","NOVO",_xlfn.XLOOKUP(TODAY()-J198,Regras!$C$3:$C$10,Regras!$D$3:$D$10,,1))</f>
        <v>NOVO</v>
      </c>
      <c r="L198" s="75" t="str">
        <f t="shared" si="3"/>
        <v/>
      </c>
      <c r="M198" s="80" t="str">
        <f>IFERROR(IF(Tabela13[[#This Row],[NOME FANTASIA]]="","",_xlfn.XLOOKUP($C198,Log!D:D,Log!B:B,,,-1)),"")</f>
        <v/>
      </c>
      <c r="N198" s="81" t="str">
        <f>IFERROR(_xlfn.XLOOKUP($C198,Log!D:D,Log!W:W,,,-1),"")</f>
        <v/>
      </c>
      <c r="O198" s="81">
        <f>IFERROR(_xlfn.XLOOKUP($C198,Log!D:D,Log!Y:Y,,,-1),"")</f>
        <v>0</v>
      </c>
      <c r="Q198" s="69" t="str">
        <f>IFERROR(IF(Tabela13[[#This Row],[NOME FANTASIA]]="","",_xlfn.XLOOKUP($C198,Log!D:D,Log!X:X,,,-1)),"")</f>
        <v/>
      </c>
      <c r="R198" s="82">
        <f>COUNTIFS(Log!$D:$D,'Base Novos Clientes'!$C198,Log!$W:$W,'Base Novos Clientes'!R$2)</f>
        <v>0</v>
      </c>
      <c r="S198" s="82">
        <f>COUNTIFS(Log!$D:$D,'Base Novos Clientes'!$C198,Log!$W:$W,'Base Novos Clientes'!S$2)</f>
        <v>0</v>
      </c>
      <c r="T198" s="82">
        <f>COUNTIFS(Log!$D:$D,'Base Novos Clientes'!$C198,Log!$W:$W,'Base Novos Clientes'!T$2)</f>
        <v>0</v>
      </c>
    </row>
    <row r="199" spans="3:20" x14ac:dyDescent="0.25">
      <c r="C199" s="75"/>
      <c r="D199" s="75"/>
      <c r="E199" s="75"/>
      <c r="F199" s="75"/>
      <c r="G199" s="76"/>
      <c r="H199" s="77"/>
      <c r="I199" s="78"/>
      <c r="J199" s="79"/>
      <c r="K199" s="79" t="str">
        <f ca="1">IF(J199="","NOVO",_xlfn.XLOOKUP(TODAY()-J199,Regras!$C$3:$C$10,Regras!$D$3:$D$10,,1))</f>
        <v>NOVO</v>
      </c>
      <c r="L199" s="75" t="str">
        <f t="shared" si="3"/>
        <v/>
      </c>
      <c r="M199" s="80" t="str">
        <f>IFERROR(IF(Tabela13[[#This Row],[NOME FANTASIA]]="","",_xlfn.XLOOKUP($C199,Log!D:D,Log!B:B,,,-1)),"")</f>
        <v/>
      </c>
      <c r="N199" s="81" t="str">
        <f>IFERROR(_xlfn.XLOOKUP($C199,Log!D:D,Log!W:W,,,-1),"")</f>
        <v/>
      </c>
      <c r="O199" s="81">
        <f>IFERROR(_xlfn.XLOOKUP($C199,Log!D:D,Log!Y:Y,,,-1),"")</f>
        <v>0</v>
      </c>
      <c r="Q199" s="69" t="str">
        <f>IFERROR(IF(Tabela13[[#This Row],[NOME FANTASIA]]="","",_xlfn.XLOOKUP($C199,Log!D:D,Log!X:X,,,-1)),"")</f>
        <v/>
      </c>
      <c r="R199" s="82">
        <f>COUNTIFS(Log!$D:$D,'Base Novos Clientes'!$C199,Log!$W:$W,'Base Novos Clientes'!R$2)</f>
        <v>0</v>
      </c>
      <c r="S199" s="82">
        <f>COUNTIFS(Log!$D:$D,'Base Novos Clientes'!$C199,Log!$W:$W,'Base Novos Clientes'!S$2)</f>
        <v>0</v>
      </c>
      <c r="T199" s="82">
        <f>COUNTIFS(Log!$D:$D,'Base Novos Clientes'!$C199,Log!$W:$W,'Base Novos Clientes'!T$2)</f>
        <v>0</v>
      </c>
    </row>
    <row r="200" spans="3:20" x14ac:dyDescent="0.25">
      <c r="C200" s="75"/>
      <c r="D200" s="75"/>
      <c r="E200" s="75"/>
      <c r="F200" s="75"/>
      <c r="G200" s="76"/>
      <c r="H200" s="77"/>
      <c r="I200" s="78"/>
      <c r="J200" s="79"/>
      <c r="K200" s="79" t="str">
        <f ca="1">IF(J200="","NOVO",_xlfn.XLOOKUP(TODAY()-J200,Regras!$C$3:$C$10,Regras!$D$3:$D$10,,1))</f>
        <v>NOVO</v>
      </c>
      <c r="L200" s="75" t="str">
        <f t="shared" si="3"/>
        <v/>
      </c>
      <c r="M200" s="80" t="str">
        <f>IFERROR(IF(Tabela13[[#This Row],[NOME FANTASIA]]="","",_xlfn.XLOOKUP($C200,Log!D:D,Log!B:B,,,-1)),"")</f>
        <v/>
      </c>
      <c r="N200" s="81" t="str">
        <f>IFERROR(_xlfn.XLOOKUP($C200,Log!D:D,Log!W:W,,,-1),"")</f>
        <v/>
      </c>
      <c r="O200" s="81">
        <f>IFERROR(_xlfn.XLOOKUP($C200,Log!D:D,Log!Y:Y,,,-1),"")</f>
        <v>0</v>
      </c>
      <c r="Q200" s="69" t="str">
        <f>IFERROR(IF(Tabela13[[#This Row],[NOME FANTASIA]]="","",_xlfn.XLOOKUP($C200,Log!D:D,Log!X:X,,,-1)),"")</f>
        <v/>
      </c>
      <c r="R200" s="82">
        <f>COUNTIFS(Log!$D:$D,'Base Novos Clientes'!$C200,Log!$W:$W,'Base Novos Clientes'!R$2)</f>
        <v>0</v>
      </c>
      <c r="S200" s="82">
        <f>COUNTIFS(Log!$D:$D,'Base Novos Clientes'!$C200,Log!$W:$W,'Base Novos Clientes'!S$2)</f>
        <v>0</v>
      </c>
      <c r="T200" s="82">
        <f>COUNTIFS(Log!$D:$D,'Base Novos Clientes'!$C200,Log!$W:$W,'Base Novos Clientes'!T$2)</f>
        <v>0</v>
      </c>
    </row>
    <row r="201" spans="3:20" x14ac:dyDescent="0.25">
      <c r="C201" s="75"/>
      <c r="D201" s="75"/>
      <c r="E201" s="75"/>
      <c r="F201" s="75"/>
      <c r="G201" s="76"/>
      <c r="H201" s="77"/>
      <c r="I201" s="78"/>
      <c r="J201" s="79"/>
      <c r="K201" s="79" t="str">
        <f ca="1">IF(J201="","NOVO",_xlfn.XLOOKUP(TODAY()-J201,Regras!$C$3:$C$10,Regras!$D$3:$D$10,,1))</f>
        <v>NOVO</v>
      </c>
      <c r="L201" s="75" t="str">
        <f t="shared" si="3"/>
        <v/>
      </c>
      <c r="M201" s="80" t="str">
        <f>IFERROR(IF(Tabela13[[#This Row],[NOME FANTASIA]]="","",_xlfn.XLOOKUP($C201,Log!D:D,Log!B:B,,,-1)),"")</f>
        <v/>
      </c>
      <c r="N201" s="81" t="str">
        <f>IFERROR(_xlfn.XLOOKUP($C201,Log!D:D,Log!W:W,,,-1),"")</f>
        <v/>
      </c>
      <c r="O201" s="81">
        <f>IFERROR(_xlfn.XLOOKUP($C201,Log!D:D,Log!Y:Y,,,-1),"")</f>
        <v>0</v>
      </c>
      <c r="Q201" s="69" t="str">
        <f>IFERROR(IF(Tabela13[[#This Row],[NOME FANTASIA]]="","",_xlfn.XLOOKUP($C201,Log!D:D,Log!X:X,,,-1)),"")</f>
        <v/>
      </c>
      <c r="R201" s="82">
        <f>COUNTIFS(Log!$D:$D,'Base Novos Clientes'!$C201,Log!$W:$W,'Base Novos Clientes'!R$2)</f>
        <v>0</v>
      </c>
      <c r="S201" s="82">
        <f>COUNTIFS(Log!$D:$D,'Base Novos Clientes'!$C201,Log!$W:$W,'Base Novos Clientes'!S$2)</f>
        <v>0</v>
      </c>
      <c r="T201" s="82">
        <f>COUNTIFS(Log!$D:$D,'Base Novos Clientes'!$C201,Log!$W:$W,'Base Novos Clientes'!T$2)</f>
        <v>0</v>
      </c>
    </row>
    <row r="202" spans="3:20" x14ac:dyDescent="0.25">
      <c r="C202" s="75"/>
      <c r="D202" s="75"/>
      <c r="E202" s="75"/>
      <c r="F202" s="75"/>
      <c r="G202" s="76"/>
      <c r="H202" s="77"/>
      <c r="I202" s="78"/>
      <c r="J202" s="79"/>
      <c r="K202" s="79" t="str">
        <f ca="1">IF(J202="","NOVO",_xlfn.XLOOKUP(TODAY()-J202,Regras!$C$3:$C$10,Regras!$D$3:$D$10,,1))</f>
        <v>NOVO</v>
      </c>
      <c r="L202" s="75" t="str">
        <f t="shared" si="3"/>
        <v/>
      </c>
      <c r="M202" s="80" t="str">
        <f>IFERROR(IF(Tabela13[[#This Row],[NOME FANTASIA]]="","",_xlfn.XLOOKUP($C202,Log!D:D,Log!B:B,,,-1)),"")</f>
        <v/>
      </c>
      <c r="N202" s="81" t="str">
        <f>IFERROR(_xlfn.XLOOKUP($C202,Log!D:D,Log!W:W,,,-1),"")</f>
        <v/>
      </c>
      <c r="O202" s="81">
        <f>IFERROR(_xlfn.XLOOKUP($C202,Log!D:D,Log!Y:Y,,,-1),"")</f>
        <v>0</v>
      </c>
      <c r="Q202" s="69" t="str">
        <f>IFERROR(IF(Tabela13[[#This Row],[NOME FANTASIA]]="","",_xlfn.XLOOKUP($C202,Log!D:D,Log!X:X,,,-1)),"")</f>
        <v/>
      </c>
      <c r="R202" s="82">
        <f>COUNTIFS(Log!$D:$D,'Base Novos Clientes'!$C202,Log!$W:$W,'Base Novos Clientes'!R$2)</f>
        <v>0</v>
      </c>
      <c r="S202" s="82">
        <f>COUNTIFS(Log!$D:$D,'Base Novos Clientes'!$C202,Log!$W:$W,'Base Novos Clientes'!S$2)</f>
        <v>0</v>
      </c>
      <c r="T202" s="82">
        <f>COUNTIFS(Log!$D:$D,'Base Novos Clientes'!$C202,Log!$W:$W,'Base Novos Clientes'!T$2)</f>
        <v>0</v>
      </c>
    </row>
    <row r="203" spans="3:20" x14ac:dyDescent="0.25">
      <c r="C203" s="75"/>
      <c r="D203" s="75"/>
      <c r="E203" s="75"/>
      <c r="F203" s="75"/>
      <c r="G203" s="76"/>
      <c r="H203" s="77"/>
      <c r="I203" s="78"/>
      <c r="J203" s="79"/>
      <c r="K203" s="79" t="str">
        <f ca="1">IF(J203="","NOVO",_xlfn.XLOOKUP(TODAY()-J203,Regras!$C$3:$C$10,Regras!$D$3:$D$10,,1))</f>
        <v>NOVO</v>
      </c>
      <c r="L203" s="75" t="str">
        <f t="shared" si="3"/>
        <v/>
      </c>
      <c r="M203" s="80" t="str">
        <f>IFERROR(IF(Tabela13[[#This Row],[NOME FANTASIA]]="","",_xlfn.XLOOKUP($C203,Log!D:D,Log!B:B,,,-1)),"")</f>
        <v/>
      </c>
      <c r="N203" s="81" t="str">
        <f>IFERROR(_xlfn.XLOOKUP($C203,Log!D:D,Log!W:W,,,-1),"")</f>
        <v/>
      </c>
      <c r="O203" s="81">
        <f>IFERROR(_xlfn.XLOOKUP($C203,Log!D:D,Log!Y:Y,,,-1),"")</f>
        <v>0</v>
      </c>
      <c r="Q203" s="69" t="str">
        <f>IFERROR(IF(Tabela13[[#This Row],[NOME FANTASIA]]="","",_xlfn.XLOOKUP($C203,Log!D:D,Log!X:X,,,-1)),"")</f>
        <v/>
      </c>
      <c r="R203" s="82">
        <f>COUNTIFS(Log!$D:$D,'Base Novos Clientes'!$C203,Log!$W:$W,'Base Novos Clientes'!R$2)</f>
        <v>0</v>
      </c>
      <c r="S203" s="82">
        <f>COUNTIFS(Log!$D:$D,'Base Novos Clientes'!$C203,Log!$W:$W,'Base Novos Clientes'!S$2)</f>
        <v>0</v>
      </c>
      <c r="T203" s="82">
        <f>COUNTIFS(Log!$D:$D,'Base Novos Clientes'!$C203,Log!$W:$W,'Base Novos Clientes'!T$2)</f>
        <v>0</v>
      </c>
    </row>
    <row r="204" spans="3:20" x14ac:dyDescent="0.25">
      <c r="C204" s="75"/>
      <c r="D204" s="75"/>
      <c r="E204" s="75"/>
      <c r="F204" s="75"/>
      <c r="G204" s="76"/>
      <c r="H204" s="77"/>
      <c r="I204" s="78"/>
      <c r="J204" s="79"/>
      <c r="K204" s="79" t="str">
        <f ca="1">IF(J204="","NOVO",_xlfn.XLOOKUP(TODAY()-J204,Regras!$C$3:$C$10,Regras!$D$3:$D$10,,1))</f>
        <v>NOVO</v>
      </c>
      <c r="L204" s="75" t="str">
        <f t="shared" si="3"/>
        <v/>
      </c>
      <c r="M204" s="80" t="str">
        <f>IFERROR(IF(Tabela13[[#This Row],[NOME FANTASIA]]="","",_xlfn.XLOOKUP($C204,Log!D:D,Log!B:B,,,-1)),"")</f>
        <v/>
      </c>
      <c r="N204" s="81" t="str">
        <f>IFERROR(_xlfn.XLOOKUP($C204,Log!D:D,Log!W:W,,,-1),"")</f>
        <v/>
      </c>
      <c r="O204" s="81">
        <f>IFERROR(_xlfn.XLOOKUP($C204,Log!D:D,Log!Y:Y,,,-1),"")</f>
        <v>0</v>
      </c>
      <c r="Q204" s="69" t="str">
        <f>IFERROR(IF(Tabela13[[#This Row],[NOME FANTASIA]]="","",_xlfn.XLOOKUP($C204,Log!D:D,Log!X:X,,,-1)),"")</f>
        <v/>
      </c>
      <c r="R204" s="82">
        <f>COUNTIFS(Log!$D:$D,'Base Novos Clientes'!$C204,Log!$W:$W,'Base Novos Clientes'!R$2)</f>
        <v>0</v>
      </c>
      <c r="S204" s="82">
        <f>COUNTIFS(Log!$D:$D,'Base Novos Clientes'!$C204,Log!$W:$W,'Base Novos Clientes'!S$2)</f>
        <v>0</v>
      </c>
      <c r="T204" s="82">
        <f>COUNTIFS(Log!$D:$D,'Base Novos Clientes'!$C204,Log!$W:$W,'Base Novos Clientes'!T$2)</f>
        <v>0</v>
      </c>
    </row>
    <row r="205" spans="3:20" x14ac:dyDescent="0.25">
      <c r="C205" s="75"/>
      <c r="D205" s="75"/>
      <c r="E205" s="75"/>
      <c r="F205" s="75"/>
      <c r="G205" s="76"/>
      <c r="H205" s="77"/>
      <c r="I205" s="78"/>
      <c r="J205" s="79"/>
      <c r="K205" s="79" t="str">
        <f ca="1">IF(J205="","NOVO",_xlfn.XLOOKUP(TODAY()-J205,Regras!$C$3:$C$10,Regras!$D$3:$D$10,,1))</f>
        <v>NOVO</v>
      </c>
      <c r="L205" s="75" t="str">
        <f t="shared" si="3"/>
        <v/>
      </c>
      <c r="M205" s="80" t="str">
        <f>IFERROR(IF(Tabela13[[#This Row],[NOME FANTASIA]]="","",_xlfn.XLOOKUP($C205,Log!D:D,Log!B:B,,,-1)),"")</f>
        <v/>
      </c>
      <c r="N205" s="81" t="str">
        <f>IFERROR(_xlfn.XLOOKUP($C205,Log!D:D,Log!W:W,,,-1),"")</f>
        <v/>
      </c>
      <c r="O205" s="81">
        <f>IFERROR(_xlfn.XLOOKUP($C205,Log!D:D,Log!Y:Y,,,-1),"")</f>
        <v>0</v>
      </c>
      <c r="Q205" s="69" t="str">
        <f>IFERROR(IF(Tabela13[[#This Row],[NOME FANTASIA]]="","",_xlfn.XLOOKUP($C205,Log!D:D,Log!X:X,,,-1)),"")</f>
        <v/>
      </c>
      <c r="R205" s="82">
        <f>COUNTIFS(Log!$D:$D,'Base Novos Clientes'!$C205,Log!$W:$W,'Base Novos Clientes'!R$2)</f>
        <v>0</v>
      </c>
      <c r="S205" s="82">
        <f>COUNTIFS(Log!$D:$D,'Base Novos Clientes'!$C205,Log!$W:$W,'Base Novos Clientes'!S$2)</f>
        <v>0</v>
      </c>
      <c r="T205" s="82">
        <f>COUNTIFS(Log!$D:$D,'Base Novos Clientes'!$C205,Log!$W:$W,'Base Novos Clientes'!T$2)</f>
        <v>0</v>
      </c>
    </row>
    <row r="206" spans="3:20" x14ac:dyDescent="0.25">
      <c r="C206" s="75"/>
      <c r="D206" s="75"/>
      <c r="E206" s="75"/>
      <c r="F206" s="75"/>
      <c r="G206" s="76"/>
      <c r="H206" s="77"/>
      <c r="I206" s="78"/>
      <c r="J206" s="79"/>
      <c r="K206" s="79" t="str">
        <f ca="1">IF(J206="","NOVO",_xlfn.XLOOKUP(TODAY()-J206,Regras!$C$3:$C$10,Regras!$D$3:$D$10,,1))</f>
        <v>NOVO</v>
      </c>
      <c r="L206" s="75" t="str">
        <f t="shared" si="3"/>
        <v/>
      </c>
      <c r="M206" s="80" t="str">
        <f>IFERROR(IF(Tabela13[[#This Row],[NOME FANTASIA]]="","",_xlfn.XLOOKUP($C206,Log!D:D,Log!B:B,,,-1)),"")</f>
        <v/>
      </c>
      <c r="N206" s="81" t="str">
        <f>IFERROR(_xlfn.XLOOKUP($C206,Log!D:D,Log!W:W,,,-1),"")</f>
        <v/>
      </c>
      <c r="O206" s="81">
        <f>IFERROR(_xlfn.XLOOKUP($C206,Log!D:D,Log!Y:Y,,,-1),"")</f>
        <v>0</v>
      </c>
      <c r="Q206" s="69" t="str">
        <f>IFERROR(IF(Tabela13[[#This Row],[NOME FANTASIA]]="","",_xlfn.XLOOKUP($C206,Log!D:D,Log!X:X,,,-1)),"")</f>
        <v/>
      </c>
      <c r="R206" s="82">
        <f>COUNTIFS(Log!$D:$D,'Base Novos Clientes'!$C206,Log!$W:$W,'Base Novos Clientes'!R$2)</f>
        <v>0</v>
      </c>
      <c r="S206" s="82">
        <f>COUNTIFS(Log!$D:$D,'Base Novos Clientes'!$C206,Log!$W:$W,'Base Novos Clientes'!S$2)</f>
        <v>0</v>
      </c>
      <c r="T206" s="82">
        <f>COUNTIFS(Log!$D:$D,'Base Novos Clientes'!$C206,Log!$W:$W,'Base Novos Clientes'!T$2)</f>
        <v>0</v>
      </c>
    </row>
    <row r="207" spans="3:20" x14ac:dyDescent="0.25">
      <c r="C207" s="75"/>
      <c r="D207" s="75"/>
      <c r="E207" s="75"/>
      <c r="F207" s="75"/>
      <c r="G207" s="76"/>
      <c r="H207" s="77"/>
      <c r="I207" s="78"/>
      <c r="J207" s="79"/>
      <c r="K207" s="79" t="str">
        <f ca="1">IF(J207="","NOVO",_xlfn.XLOOKUP(TODAY()-J207,Regras!$C$3:$C$10,Regras!$D$3:$D$10,,1))</f>
        <v>NOVO</v>
      </c>
      <c r="L207" s="75" t="str">
        <f t="shared" si="3"/>
        <v/>
      </c>
      <c r="M207" s="80" t="str">
        <f>IFERROR(IF(Tabela13[[#This Row],[NOME FANTASIA]]="","",_xlfn.XLOOKUP($C207,Log!D:D,Log!B:B,,,-1)),"")</f>
        <v/>
      </c>
      <c r="N207" s="81" t="str">
        <f>IFERROR(_xlfn.XLOOKUP($C207,Log!D:D,Log!W:W,,,-1),"")</f>
        <v/>
      </c>
      <c r="O207" s="81">
        <f>IFERROR(_xlfn.XLOOKUP($C207,Log!D:D,Log!Y:Y,,,-1),"")</f>
        <v>0</v>
      </c>
      <c r="Q207" s="69" t="str">
        <f>IFERROR(IF(Tabela13[[#This Row],[NOME FANTASIA]]="","",_xlfn.XLOOKUP($C207,Log!D:D,Log!X:X,,,-1)),"")</f>
        <v/>
      </c>
      <c r="R207" s="82">
        <f>COUNTIFS(Log!$D:$D,'Base Novos Clientes'!$C207,Log!$W:$W,'Base Novos Clientes'!R$2)</f>
        <v>0</v>
      </c>
      <c r="S207" s="82">
        <f>COUNTIFS(Log!$D:$D,'Base Novos Clientes'!$C207,Log!$W:$W,'Base Novos Clientes'!S$2)</f>
        <v>0</v>
      </c>
      <c r="T207" s="82">
        <f>COUNTIFS(Log!$D:$D,'Base Novos Clientes'!$C207,Log!$W:$W,'Base Novos Clientes'!T$2)</f>
        <v>0</v>
      </c>
    </row>
    <row r="208" spans="3:20" x14ac:dyDescent="0.25">
      <c r="C208" s="75"/>
      <c r="D208" s="75"/>
      <c r="E208" s="75"/>
      <c r="F208" s="75"/>
      <c r="G208" s="76"/>
      <c r="H208" s="77"/>
      <c r="I208" s="78"/>
      <c r="J208" s="79"/>
      <c r="K208" s="79" t="str">
        <f ca="1">IF(J208="","NOVO",_xlfn.XLOOKUP(TODAY()-J208,Regras!$C$3:$C$10,Regras!$D$3:$D$10,,1))</f>
        <v>NOVO</v>
      </c>
      <c r="L208" s="75" t="str">
        <f t="shared" si="3"/>
        <v/>
      </c>
      <c r="M208" s="80" t="str">
        <f>IFERROR(IF(Tabela13[[#This Row],[NOME FANTASIA]]="","",_xlfn.XLOOKUP($C208,Log!D:D,Log!B:B,,,-1)),"")</f>
        <v/>
      </c>
      <c r="N208" s="81" t="str">
        <f>IFERROR(_xlfn.XLOOKUP($C208,Log!D:D,Log!W:W,,,-1),"")</f>
        <v/>
      </c>
      <c r="O208" s="81">
        <f>IFERROR(_xlfn.XLOOKUP($C208,Log!D:D,Log!Y:Y,,,-1),"")</f>
        <v>0</v>
      </c>
      <c r="Q208" s="69" t="str">
        <f>IFERROR(IF(Tabela13[[#This Row],[NOME FANTASIA]]="","",_xlfn.XLOOKUP($C208,Log!D:D,Log!X:X,,,-1)),"")</f>
        <v/>
      </c>
      <c r="R208" s="82">
        <f>COUNTIFS(Log!$D:$D,'Base Novos Clientes'!$C208,Log!$W:$W,'Base Novos Clientes'!R$2)</f>
        <v>0</v>
      </c>
      <c r="S208" s="82">
        <f>COUNTIFS(Log!$D:$D,'Base Novos Clientes'!$C208,Log!$W:$W,'Base Novos Clientes'!S$2)</f>
        <v>0</v>
      </c>
      <c r="T208" s="82">
        <f>COUNTIFS(Log!$D:$D,'Base Novos Clientes'!$C208,Log!$W:$W,'Base Novos Clientes'!T$2)</f>
        <v>0</v>
      </c>
    </row>
    <row r="209" spans="3:20" x14ac:dyDescent="0.25">
      <c r="C209" s="75"/>
      <c r="D209" s="75"/>
      <c r="E209" s="75"/>
      <c r="F209" s="75"/>
      <c r="G209" s="76"/>
      <c r="H209" s="77"/>
      <c r="I209" s="78"/>
      <c r="J209" s="79"/>
      <c r="K209" s="79" t="str">
        <f ca="1">IF(J209="","NOVO",_xlfn.XLOOKUP(TODAY()-J209,Regras!$C$3:$C$10,Regras!$D$3:$D$10,,1))</f>
        <v>NOVO</v>
      </c>
      <c r="L209" s="75" t="str">
        <f t="shared" si="3"/>
        <v/>
      </c>
      <c r="M209" s="80" t="str">
        <f>IFERROR(IF(Tabela13[[#This Row],[NOME FANTASIA]]="","",_xlfn.XLOOKUP($C209,Log!D:D,Log!B:B,,,-1)),"")</f>
        <v/>
      </c>
      <c r="N209" s="81" t="str">
        <f>IFERROR(_xlfn.XLOOKUP($C209,Log!D:D,Log!W:W,,,-1),"")</f>
        <v/>
      </c>
      <c r="O209" s="81">
        <f>IFERROR(_xlfn.XLOOKUP($C209,Log!D:D,Log!Y:Y,,,-1),"")</f>
        <v>0</v>
      </c>
      <c r="Q209" s="69" t="str">
        <f>IFERROR(IF(Tabela13[[#This Row],[NOME FANTASIA]]="","",_xlfn.XLOOKUP($C209,Log!D:D,Log!X:X,,,-1)),"")</f>
        <v/>
      </c>
      <c r="R209" s="82">
        <f>COUNTIFS(Log!$D:$D,'Base Novos Clientes'!$C209,Log!$W:$W,'Base Novos Clientes'!R$2)</f>
        <v>0</v>
      </c>
      <c r="S209" s="82">
        <f>COUNTIFS(Log!$D:$D,'Base Novos Clientes'!$C209,Log!$W:$W,'Base Novos Clientes'!S$2)</f>
        <v>0</v>
      </c>
      <c r="T209" s="82">
        <f>COUNTIFS(Log!$D:$D,'Base Novos Clientes'!$C209,Log!$W:$W,'Base Novos Clientes'!T$2)</f>
        <v>0</v>
      </c>
    </row>
    <row r="210" spans="3:20" x14ac:dyDescent="0.25">
      <c r="C210" s="75"/>
      <c r="D210" s="75"/>
      <c r="E210" s="75"/>
      <c r="F210" s="75"/>
      <c r="G210" s="76"/>
      <c r="H210" s="77"/>
      <c r="I210" s="78"/>
      <c r="J210" s="79"/>
      <c r="K210" s="79" t="str">
        <f ca="1">IF(J210="","NOVO",_xlfn.XLOOKUP(TODAY()-J210,Regras!$C$3:$C$10,Regras!$D$3:$D$10,,1))</f>
        <v>NOVO</v>
      </c>
      <c r="L210" s="75" t="str">
        <f t="shared" si="3"/>
        <v/>
      </c>
      <c r="M210" s="80" t="str">
        <f>IFERROR(IF(Tabela13[[#This Row],[NOME FANTASIA]]="","",_xlfn.XLOOKUP($C210,Log!D:D,Log!B:B,,,-1)),"")</f>
        <v/>
      </c>
      <c r="N210" s="81" t="str">
        <f>IFERROR(_xlfn.XLOOKUP($C210,Log!D:D,Log!W:W,,,-1),"")</f>
        <v/>
      </c>
      <c r="O210" s="81">
        <f>IFERROR(_xlfn.XLOOKUP($C210,Log!D:D,Log!Y:Y,,,-1),"")</f>
        <v>0</v>
      </c>
      <c r="Q210" s="69" t="str">
        <f>IFERROR(IF(Tabela13[[#This Row],[NOME FANTASIA]]="","",_xlfn.XLOOKUP($C210,Log!D:D,Log!X:X,,,-1)),"")</f>
        <v/>
      </c>
      <c r="R210" s="82">
        <f>COUNTIFS(Log!$D:$D,'Base Novos Clientes'!$C210,Log!$W:$W,'Base Novos Clientes'!R$2)</f>
        <v>0</v>
      </c>
      <c r="S210" s="82">
        <f>COUNTIFS(Log!$D:$D,'Base Novos Clientes'!$C210,Log!$W:$W,'Base Novos Clientes'!S$2)</f>
        <v>0</v>
      </c>
      <c r="T210" s="82">
        <f>COUNTIFS(Log!$D:$D,'Base Novos Clientes'!$C210,Log!$W:$W,'Base Novos Clientes'!T$2)</f>
        <v>0</v>
      </c>
    </row>
    <row r="211" spans="3:20" x14ac:dyDescent="0.25">
      <c r="C211" s="75"/>
      <c r="D211" s="75"/>
      <c r="E211" s="75"/>
      <c r="F211" s="75"/>
      <c r="G211" s="76"/>
      <c r="H211" s="77"/>
      <c r="I211" s="78"/>
      <c r="J211" s="79"/>
      <c r="K211" s="79" t="str">
        <f ca="1">IF(J211="","NOVO",_xlfn.XLOOKUP(TODAY()-J211,Regras!$C$3:$C$10,Regras!$D$3:$D$10,,1))</f>
        <v>NOVO</v>
      </c>
      <c r="L211" s="75" t="str">
        <f t="shared" si="3"/>
        <v/>
      </c>
      <c r="M211" s="80" t="str">
        <f>IFERROR(IF(Tabela13[[#This Row],[NOME FANTASIA]]="","",_xlfn.XLOOKUP($C211,Log!D:D,Log!B:B,,,-1)),"")</f>
        <v/>
      </c>
      <c r="N211" s="81" t="str">
        <f>IFERROR(_xlfn.XLOOKUP($C211,Log!D:D,Log!W:W,,,-1),"")</f>
        <v/>
      </c>
      <c r="O211" s="81">
        <f>IFERROR(_xlfn.XLOOKUP($C211,Log!D:D,Log!Y:Y,,,-1),"")</f>
        <v>0</v>
      </c>
      <c r="Q211" s="69" t="str">
        <f>IFERROR(IF(Tabela13[[#This Row],[NOME FANTASIA]]="","",_xlfn.XLOOKUP($C211,Log!D:D,Log!X:X,,,-1)),"")</f>
        <v/>
      </c>
      <c r="R211" s="82">
        <f>COUNTIFS(Log!$D:$D,'Base Novos Clientes'!$C211,Log!$W:$W,'Base Novos Clientes'!R$2)</f>
        <v>0</v>
      </c>
      <c r="S211" s="82">
        <f>COUNTIFS(Log!$D:$D,'Base Novos Clientes'!$C211,Log!$W:$W,'Base Novos Clientes'!S$2)</f>
        <v>0</v>
      </c>
      <c r="T211" s="82">
        <f>COUNTIFS(Log!$D:$D,'Base Novos Clientes'!$C211,Log!$W:$W,'Base Novos Clientes'!T$2)</f>
        <v>0</v>
      </c>
    </row>
    <row r="212" spans="3:20" x14ac:dyDescent="0.25">
      <c r="C212" s="75"/>
      <c r="D212" s="75"/>
      <c r="E212" s="75"/>
      <c r="F212" s="75"/>
      <c r="G212" s="76"/>
      <c r="H212" s="77"/>
      <c r="I212" s="78"/>
      <c r="J212" s="79"/>
      <c r="K212" s="79" t="str">
        <f ca="1">IF(J212="","NOVO",_xlfn.XLOOKUP(TODAY()-J212,Regras!$C$3:$C$10,Regras!$D$3:$D$10,,1))</f>
        <v>NOVO</v>
      </c>
      <c r="L212" s="75" t="str">
        <f t="shared" si="3"/>
        <v/>
      </c>
      <c r="M212" s="80" t="str">
        <f>IFERROR(IF(Tabela13[[#This Row],[NOME FANTASIA]]="","",_xlfn.XLOOKUP($C212,Log!D:D,Log!B:B,,,-1)),"")</f>
        <v/>
      </c>
      <c r="N212" s="81" t="str">
        <f>IFERROR(_xlfn.XLOOKUP($C212,Log!D:D,Log!W:W,,,-1),"")</f>
        <v/>
      </c>
      <c r="O212" s="81">
        <f>IFERROR(_xlfn.XLOOKUP($C212,Log!D:D,Log!Y:Y,,,-1),"")</f>
        <v>0</v>
      </c>
      <c r="Q212" s="69" t="str">
        <f>IFERROR(IF(Tabela13[[#This Row],[NOME FANTASIA]]="","",_xlfn.XLOOKUP($C212,Log!D:D,Log!X:X,,,-1)),"")</f>
        <v/>
      </c>
      <c r="R212" s="82">
        <f>COUNTIFS(Log!$D:$D,'Base Novos Clientes'!$C212,Log!$W:$W,'Base Novos Clientes'!R$2)</f>
        <v>0</v>
      </c>
      <c r="S212" s="82">
        <f>COUNTIFS(Log!$D:$D,'Base Novos Clientes'!$C212,Log!$W:$W,'Base Novos Clientes'!S$2)</f>
        <v>0</v>
      </c>
      <c r="T212" s="82">
        <f>COUNTIFS(Log!$D:$D,'Base Novos Clientes'!$C212,Log!$W:$W,'Base Novos Clientes'!T$2)</f>
        <v>0</v>
      </c>
    </row>
    <row r="213" spans="3:20" x14ac:dyDescent="0.25">
      <c r="C213" s="75"/>
      <c r="D213" s="75"/>
      <c r="E213" s="75"/>
      <c r="F213" s="75"/>
      <c r="G213" s="76"/>
      <c r="H213" s="77"/>
      <c r="I213" s="78"/>
      <c r="J213" s="79"/>
      <c r="K213" s="79" t="str">
        <f ca="1">IF(J213="","NOVO",_xlfn.XLOOKUP(TODAY()-J213,Regras!$C$3:$C$10,Regras!$D$3:$D$10,,1))</f>
        <v>NOVO</v>
      </c>
      <c r="L213" s="75" t="str">
        <f t="shared" si="3"/>
        <v/>
      </c>
      <c r="M213" s="80" t="str">
        <f>IFERROR(IF(Tabela13[[#This Row],[NOME FANTASIA]]="","",_xlfn.XLOOKUP($C213,Log!D:D,Log!B:B,,,-1)),"")</f>
        <v/>
      </c>
      <c r="N213" s="81" t="str">
        <f>IFERROR(_xlfn.XLOOKUP($C213,Log!D:D,Log!W:W,,,-1),"")</f>
        <v/>
      </c>
      <c r="O213" s="81">
        <f>IFERROR(_xlfn.XLOOKUP($C213,Log!D:D,Log!Y:Y,,,-1),"")</f>
        <v>0</v>
      </c>
      <c r="Q213" s="69" t="str">
        <f>IFERROR(IF(Tabela13[[#This Row],[NOME FANTASIA]]="","",_xlfn.XLOOKUP($C213,Log!D:D,Log!X:X,,,-1)),"")</f>
        <v/>
      </c>
      <c r="R213" s="82">
        <f>COUNTIFS(Log!$D:$D,'Base Novos Clientes'!$C213,Log!$W:$W,'Base Novos Clientes'!R$2)</f>
        <v>0</v>
      </c>
      <c r="S213" s="82">
        <f>COUNTIFS(Log!$D:$D,'Base Novos Clientes'!$C213,Log!$W:$W,'Base Novos Clientes'!S$2)</f>
        <v>0</v>
      </c>
      <c r="T213" s="82">
        <f>COUNTIFS(Log!$D:$D,'Base Novos Clientes'!$C213,Log!$W:$W,'Base Novos Clientes'!T$2)</f>
        <v>0</v>
      </c>
    </row>
    <row r="214" spans="3:20" x14ac:dyDescent="0.25">
      <c r="C214" s="75"/>
      <c r="D214" s="75"/>
      <c r="E214" s="75"/>
      <c r="F214" s="75"/>
      <c r="G214" s="76"/>
      <c r="H214" s="77"/>
      <c r="I214" s="78"/>
      <c r="J214" s="79"/>
      <c r="K214" s="79" t="str">
        <f ca="1">IF(J214="","NOVO",_xlfn.XLOOKUP(TODAY()-J214,Regras!$C$3:$C$10,Regras!$D$3:$D$10,,1))</f>
        <v>NOVO</v>
      </c>
      <c r="L214" s="75" t="str">
        <f t="shared" si="3"/>
        <v/>
      </c>
      <c r="M214" s="80" t="str">
        <f>IFERROR(IF(Tabela13[[#This Row],[NOME FANTASIA]]="","",_xlfn.XLOOKUP($C214,Log!D:D,Log!B:B,,,-1)),"")</f>
        <v/>
      </c>
      <c r="N214" s="81" t="str">
        <f>IFERROR(_xlfn.XLOOKUP($C214,Log!D:D,Log!W:W,,,-1),"")</f>
        <v/>
      </c>
      <c r="O214" s="81">
        <f>IFERROR(_xlfn.XLOOKUP($C214,Log!D:D,Log!Y:Y,,,-1),"")</f>
        <v>0</v>
      </c>
      <c r="Q214" s="69" t="str">
        <f>IFERROR(IF(Tabela13[[#This Row],[NOME FANTASIA]]="","",_xlfn.XLOOKUP($C214,Log!D:D,Log!X:X,,,-1)),"")</f>
        <v/>
      </c>
      <c r="R214" s="82">
        <f>COUNTIFS(Log!$D:$D,'Base Novos Clientes'!$C214,Log!$W:$W,'Base Novos Clientes'!R$2)</f>
        <v>0</v>
      </c>
      <c r="S214" s="82">
        <f>COUNTIFS(Log!$D:$D,'Base Novos Clientes'!$C214,Log!$W:$W,'Base Novos Clientes'!S$2)</f>
        <v>0</v>
      </c>
      <c r="T214" s="82">
        <f>COUNTIFS(Log!$D:$D,'Base Novos Clientes'!$C214,Log!$W:$W,'Base Novos Clientes'!T$2)</f>
        <v>0</v>
      </c>
    </row>
    <row r="215" spans="3:20" x14ac:dyDescent="0.25">
      <c r="C215" s="75"/>
      <c r="D215" s="75"/>
      <c r="E215" s="75"/>
      <c r="F215" s="75"/>
      <c r="G215" s="76"/>
      <c r="H215" s="77"/>
      <c r="I215" s="78"/>
      <c r="J215" s="79"/>
      <c r="K215" s="79" t="str">
        <f ca="1">IF(J215="","NOVO",_xlfn.XLOOKUP(TODAY()-J215,Regras!$C$3:$C$10,Regras!$D$3:$D$10,,1))</f>
        <v>NOVO</v>
      </c>
      <c r="L215" s="75" t="str">
        <f t="shared" si="3"/>
        <v/>
      </c>
      <c r="M215" s="80" t="str">
        <f>IFERROR(IF(Tabela13[[#This Row],[NOME FANTASIA]]="","",_xlfn.XLOOKUP($C215,Log!D:D,Log!B:B,,,-1)),"")</f>
        <v/>
      </c>
      <c r="N215" s="81" t="str">
        <f>IFERROR(_xlfn.XLOOKUP($C215,Log!D:D,Log!W:W,,,-1),"")</f>
        <v/>
      </c>
      <c r="O215" s="81">
        <f>IFERROR(_xlfn.XLOOKUP($C215,Log!D:D,Log!Y:Y,,,-1),"")</f>
        <v>0</v>
      </c>
      <c r="Q215" s="69" t="str">
        <f>IFERROR(IF(Tabela13[[#This Row],[NOME FANTASIA]]="","",_xlfn.XLOOKUP($C215,Log!D:D,Log!X:X,,,-1)),"")</f>
        <v/>
      </c>
      <c r="R215" s="82">
        <f>COUNTIFS(Log!$D:$D,'Base Novos Clientes'!$C215,Log!$W:$W,'Base Novos Clientes'!R$2)</f>
        <v>0</v>
      </c>
      <c r="S215" s="82">
        <f>COUNTIFS(Log!$D:$D,'Base Novos Clientes'!$C215,Log!$W:$W,'Base Novos Clientes'!S$2)</f>
        <v>0</v>
      </c>
      <c r="T215" s="82">
        <f>COUNTIFS(Log!$D:$D,'Base Novos Clientes'!$C215,Log!$W:$W,'Base Novos Clientes'!T$2)</f>
        <v>0</v>
      </c>
    </row>
    <row r="216" spans="3:20" x14ac:dyDescent="0.25">
      <c r="C216" s="75"/>
      <c r="D216" s="75"/>
      <c r="E216" s="75"/>
      <c r="F216" s="75"/>
      <c r="G216" s="76"/>
      <c r="H216" s="77"/>
      <c r="I216" s="78"/>
      <c r="J216" s="79"/>
      <c r="K216" s="79" t="str">
        <f ca="1">IF(J216="","NOVO",_xlfn.XLOOKUP(TODAY()-J216,Regras!$C$3:$C$10,Regras!$D$3:$D$10,,1))</f>
        <v>NOVO</v>
      </c>
      <c r="L216" s="75" t="str">
        <f t="shared" si="3"/>
        <v/>
      </c>
      <c r="M216" s="80" t="str">
        <f>IFERROR(IF(Tabela13[[#This Row],[NOME FANTASIA]]="","",_xlfn.XLOOKUP($C216,Log!D:D,Log!B:B,,,-1)),"")</f>
        <v/>
      </c>
      <c r="N216" s="81" t="str">
        <f>IFERROR(_xlfn.XLOOKUP($C216,Log!D:D,Log!W:W,,,-1),"")</f>
        <v/>
      </c>
      <c r="O216" s="81">
        <f>IFERROR(_xlfn.XLOOKUP($C216,Log!D:D,Log!Y:Y,,,-1),"")</f>
        <v>0</v>
      </c>
      <c r="Q216" s="69" t="str">
        <f>IFERROR(IF(Tabela13[[#This Row],[NOME FANTASIA]]="","",_xlfn.XLOOKUP($C216,Log!D:D,Log!X:X,,,-1)),"")</f>
        <v/>
      </c>
      <c r="R216" s="82">
        <f>COUNTIFS(Log!$D:$D,'Base Novos Clientes'!$C216,Log!$W:$W,'Base Novos Clientes'!R$2)</f>
        <v>0</v>
      </c>
      <c r="S216" s="82">
        <f>COUNTIFS(Log!$D:$D,'Base Novos Clientes'!$C216,Log!$W:$W,'Base Novos Clientes'!S$2)</f>
        <v>0</v>
      </c>
      <c r="T216" s="82">
        <f>COUNTIFS(Log!$D:$D,'Base Novos Clientes'!$C216,Log!$W:$W,'Base Novos Clientes'!T$2)</f>
        <v>0</v>
      </c>
    </row>
    <row r="217" spans="3:20" x14ac:dyDescent="0.25">
      <c r="C217" s="75"/>
      <c r="D217" s="75"/>
      <c r="E217" s="75"/>
      <c r="F217" s="75"/>
      <c r="G217" s="76"/>
      <c r="H217" s="77"/>
      <c r="I217" s="78"/>
      <c r="J217" s="79"/>
      <c r="K217" s="79" t="str">
        <f ca="1">IF(J217="","NOVO",_xlfn.XLOOKUP(TODAY()-J217,Regras!$C$3:$C$10,Regras!$D$3:$D$10,,1))</f>
        <v>NOVO</v>
      </c>
      <c r="L217" s="75" t="str">
        <f t="shared" si="3"/>
        <v/>
      </c>
      <c r="M217" s="80" t="str">
        <f>IFERROR(IF(Tabela13[[#This Row],[NOME FANTASIA]]="","",_xlfn.XLOOKUP($C217,Log!D:D,Log!B:B,,,-1)),"")</f>
        <v/>
      </c>
      <c r="N217" s="81" t="str">
        <f>IFERROR(_xlfn.XLOOKUP($C217,Log!D:D,Log!W:W,,,-1),"")</f>
        <v/>
      </c>
      <c r="O217" s="81">
        <f>IFERROR(_xlfn.XLOOKUP($C217,Log!D:D,Log!Y:Y,,,-1),"")</f>
        <v>0</v>
      </c>
      <c r="Q217" s="69" t="str">
        <f>IFERROR(IF(Tabela13[[#This Row],[NOME FANTASIA]]="","",_xlfn.XLOOKUP($C217,Log!D:D,Log!X:X,,,-1)),"")</f>
        <v/>
      </c>
      <c r="R217" s="82">
        <f>COUNTIFS(Log!$D:$D,'Base Novos Clientes'!$C217,Log!$W:$W,'Base Novos Clientes'!R$2)</f>
        <v>0</v>
      </c>
      <c r="S217" s="82">
        <f>COUNTIFS(Log!$D:$D,'Base Novos Clientes'!$C217,Log!$W:$W,'Base Novos Clientes'!S$2)</f>
        <v>0</v>
      </c>
      <c r="T217" s="82">
        <f>COUNTIFS(Log!$D:$D,'Base Novos Clientes'!$C217,Log!$W:$W,'Base Novos Clientes'!T$2)</f>
        <v>0</v>
      </c>
    </row>
    <row r="218" spans="3:20" x14ac:dyDescent="0.25">
      <c r="C218" s="75"/>
      <c r="D218" s="75"/>
      <c r="E218" s="75"/>
      <c r="F218" s="75"/>
      <c r="G218" s="76"/>
      <c r="H218" s="77"/>
      <c r="I218" s="78"/>
      <c r="J218" s="79"/>
      <c r="K218" s="79" t="str">
        <f ca="1">IF(J218="","NOVO",_xlfn.XLOOKUP(TODAY()-J218,Regras!$C$3:$C$10,Regras!$D$3:$D$10,,1))</f>
        <v>NOVO</v>
      </c>
      <c r="L218" s="75" t="str">
        <f t="shared" si="3"/>
        <v/>
      </c>
      <c r="M218" s="80" t="str">
        <f>IFERROR(IF(Tabela13[[#This Row],[NOME FANTASIA]]="","",_xlfn.XLOOKUP($C218,Log!D:D,Log!B:B,,,-1)),"")</f>
        <v/>
      </c>
      <c r="N218" s="81" t="str">
        <f>IFERROR(_xlfn.XLOOKUP($C218,Log!D:D,Log!W:W,,,-1),"")</f>
        <v/>
      </c>
      <c r="O218" s="81">
        <f>IFERROR(_xlfn.XLOOKUP($C218,Log!D:D,Log!Y:Y,,,-1),"")</f>
        <v>0</v>
      </c>
      <c r="Q218" s="69" t="str">
        <f>IFERROR(IF(Tabela13[[#This Row],[NOME FANTASIA]]="","",_xlfn.XLOOKUP($C218,Log!D:D,Log!X:X,,,-1)),"")</f>
        <v/>
      </c>
      <c r="R218" s="82">
        <f>COUNTIFS(Log!$D:$D,'Base Novos Clientes'!$C218,Log!$W:$W,'Base Novos Clientes'!R$2)</f>
        <v>0</v>
      </c>
      <c r="S218" s="82">
        <f>COUNTIFS(Log!$D:$D,'Base Novos Clientes'!$C218,Log!$W:$W,'Base Novos Clientes'!S$2)</f>
        <v>0</v>
      </c>
      <c r="T218" s="82">
        <f>COUNTIFS(Log!$D:$D,'Base Novos Clientes'!$C218,Log!$W:$W,'Base Novos Clientes'!T$2)</f>
        <v>0</v>
      </c>
    </row>
    <row r="219" spans="3:20" x14ac:dyDescent="0.25">
      <c r="C219" s="75"/>
      <c r="D219" s="75"/>
      <c r="E219" s="75"/>
      <c r="F219" s="75"/>
      <c r="G219" s="76"/>
      <c r="H219" s="77"/>
      <c r="I219" s="78"/>
      <c r="J219" s="79"/>
      <c r="K219" s="79" t="str">
        <f ca="1">IF(J219="","NOVO",_xlfn.XLOOKUP(TODAY()-J219,Regras!$C$3:$C$10,Regras!$D$3:$D$10,,1))</f>
        <v>NOVO</v>
      </c>
      <c r="L219" s="75" t="str">
        <f t="shared" si="3"/>
        <v/>
      </c>
      <c r="M219" s="80" t="str">
        <f>IFERROR(IF(Tabela13[[#This Row],[NOME FANTASIA]]="","",_xlfn.XLOOKUP($C219,Log!D:D,Log!B:B,,,-1)),"")</f>
        <v/>
      </c>
      <c r="N219" s="81" t="str">
        <f>IFERROR(_xlfn.XLOOKUP($C219,Log!D:D,Log!W:W,,,-1),"")</f>
        <v/>
      </c>
      <c r="O219" s="81">
        <f>IFERROR(_xlfn.XLOOKUP($C219,Log!D:D,Log!Y:Y,,,-1),"")</f>
        <v>0</v>
      </c>
      <c r="Q219" s="69" t="str">
        <f>IFERROR(IF(Tabela13[[#This Row],[NOME FANTASIA]]="","",_xlfn.XLOOKUP($C219,Log!D:D,Log!X:X,,,-1)),"")</f>
        <v/>
      </c>
      <c r="R219" s="82">
        <f>COUNTIFS(Log!$D:$D,'Base Novos Clientes'!$C219,Log!$W:$W,'Base Novos Clientes'!R$2)</f>
        <v>0</v>
      </c>
      <c r="S219" s="82">
        <f>COUNTIFS(Log!$D:$D,'Base Novos Clientes'!$C219,Log!$W:$W,'Base Novos Clientes'!S$2)</f>
        <v>0</v>
      </c>
      <c r="T219" s="82">
        <f>COUNTIFS(Log!$D:$D,'Base Novos Clientes'!$C219,Log!$W:$W,'Base Novos Clientes'!T$2)</f>
        <v>0</v>
      </c>
    </row>
    <row r="220" spans="3:20" x14ac:dyDescent="0.25">
      <c r="C220" s="75"/>
      <c r="D220" s="75"/>
      <c r="E220" s="75"/>
      <c r="F220" s="75"/>
      <c r="G220" s="76"/>
      <c r="H220" s="77"/>
      <c r="I220" s="78"/>
      <c r="J220" s="79"/>
      <c r="K220" s="79" t="str">
        <f ca="1">IF(J220="","NOVO",_xlfn.XLOOKUP(TODAY()-J220,Regras!$C$3:$C$10,Regras!$D$3:$D$10,,1))</f>
        <v>NOVO</v>
      </c>
      <c r="L220" s="75" t="str">
        <f t="shared" si="3"/>
        <v/>
      </c>
      <c r="M220" s="80" t="str">
        <f>IFERROR(IF(Tabela13[[#This Row],[NOME FANTASIA]]="","",_xlfn.XLOOKUP($C220,Log!D:D,Log!B:B,,,-1)),"")</f>
        <v/>
      </c>
      <c r="N220" s="81" t="str">
        <f>IFERROR(_xlfn.XLOOKUP($C220,Log!D:D,Log!W:W,,,-1),"")</f>
        <v/>
      </c>
      <c r="O220" s="81">
        <f>IFERROR(_xlfn.XLOOKUP($C220,Log!D:D,Log!Y:Y,,,-1),"")</f>
        <v>0</v>
      </c>
      <c r="Q220" s="69" t="str">
        <f>IFERROR(IF(Tabela13[[#This Row],[NOME FANTASIA]]="","",_xlfn.XLOOKUP($C220,Log!D:D,Log!X:X,,,-1)),"")</f>
        <v/>
      </c>
      <c r="R220" s="82">
        <f>COUNTIFS(Log!$D:$D,'Base Novos Clientes'!$C220,Log!$W:$W,'Base Novos Clientes'!R$2)</f>
        <v>0</v>
      </c>
      <c r="S220" s="82">
        <f>COUNTIFS(Log!$D:$D,'Base Novos Clientes'!$C220,Log!$W:$W,'Base Novos Clientes'!S$2)</f>
        <v>0</v>
      </c>
      <c r="T220" s="82">
        <f>COUNTIFS(Log!$D:$D,'Base Novos Clientes'!$C220,Log!$W:$W,'Base Novos Clientes'!T$2)</f>
        <v>0</v>
      </c>
    </row>
    <row r="221" spans="3:20" x14ac:dyDescent="0.25">
      <c r="C221" s="75"/>
      <c r="D221" s="75"/>
      <c r="E221" s="75"/>
      <c r="F221" s="75"/>
      <c r="G221" s="76"/>
      <c r="H221" s="77"/>
      <c r="I221" s="78"/>
      <c r="J221" s="79"/>
      <c r="K221" s="79" t="str">
        <f ca="1">IF(J221="","NOVO",_xlfn.XLOOKUP(TODAY()-J221,Regras!$C$3:$C$10,Regras!$D$3:$D$10,,1))</f>
        <v>NOVO</v>
      </c>
      <c r="L221" s="75" t="str">
        <f t="shared" si="3"/>
        <v/>
      </c>
      <c r="M221" s="80" t="str">
        <f>IFERROR(IF(Tabela13[[#This Row],[NOME FANTASIA]]="","",_xlfn.XLOOKUP($C221,Log!D:D,Log!B:B,,,-1)),"")</f>
        <v/>
      </c>
      <c r="N221" s="81" t="str">
        <f>IFERROR(_xlfn.XLOOKUP($C221,Log!D:D,Log!W:W,,,-1),"")</f>
        <v/>
      </c>
      <c r="O221" s="81">
        <f>IFERROR(_xlfn.XLOOKUP($C221,Log!D:D,Log!Y:Y,,,-1),"")</f>
        <v>0</v>
      </c>
      <c r="Q221" s="69" t="str">
        <f>IFERROR(IF(Tabela13[[#This Row],[NOME FANTASIA]]="","",_xlfn.XLOOKUP($C221,Log!D:D,Log!X:X,,,-1)),"")</f>
        <v/>
      </c>
      <c r="R221" s="82">
        <f>COUNTIFS(Log!$D:$D,'Base Novos Clientes'!$C221,Log!$W:$W,'Base Novos Clientes'!R$2)</f>
        <v>0</v>
      </c>
      <c r="S221" s="82">
        <f>COUNTIFS(Log!$D:$D,'Base Novos Clientes'!$C221,Log!$W:$W,'Base Novos Clientes'!S$2)</f>
        <v>0</v>
      </c>
      <c r="T221" s="82">
        <f>COUNTIFS(Log!$D:$D,'Base Novos Clientes'!$C221,Log!$W:$W,'Base Novos Clientes'!T$2)</f>
        <v>0</v>
      </c>
    </row>
    <row r="222" spans="3:20" x14ac:dyDescent="0.25">
      <c r="C222" s="75"/>
      <c r="D222" s="75"/>
      <c r="E222" s="75"/>
      <c r="F222" s="75"/>
      <c r="G222" s="76"/>
      <c r="H222" s="77"/>
      <c r="I222" s="78"/>
      <c r="J222" s="79"/>
      <c r="K222" s="79" t="str">
        <f ca="1">IF(J222="","NOVO",_xlfn.XLOOKUP(TODAY()-J222,Regras!$C$3:$C$10,Regras!$D$3:$D$10,,1))</f>
        <v>NOVO</v>
      </c>
      <c r="L222" s="75" t="str">
        <f t="shared" si="3"/>
        <v/>
      </c>
      <c r="M222" s="80" t="str">
        <f>IFERROR(IF(Tabela13[[#This Row],[NOME FANTASIA]]="","",_xlfn.XLOOKUP($C222,Log!D:D,Log!B:B,,,-1)),"")</f>
        <v/>
      </c>
      <c r="N222" s="81" t="str">
        <f>IFERROR(_xlfn.XLOOKUP($C222,Log!D:D,Log!W:W,,,-1),"")</f>
        <v/>
      </c>
      <c r="O222" s="81">
        <f>IFERROR(_xlfn.XLOOKUP($C222,Log!D:D,Log!Y:Y,,,-1),"")</f>
        <v>0</v>
      </c>
      <c r="Q222" s="69" t="str">
        <f>IFERROR(IF(Tabela13[[#This Row],[NOME FANTASIA]]="","",_xlfn.XLOOKUP($C222,Log!D:D,Log!X:X,,,-1)),"")</f>
        <v/>
      </c>
      <c r="R222" s="82">
        <f>COUNTIFS(Log!$D:$D,'Base Novos Clientes'!$C222,Log!$W:$W,'Base Novos Clientes'!R$2)</f>
        <v>0</v>
      </c>
      <c r="S222" s="82">
        <f>COUNTIFS(Log!$D:$D,'Base Novos Clientes'!$C222,Log!$W:$W,'Base Novos Clientes'!S$2)</f>
        <v>0</v>
      </c>
      <c r="T222" s="82">
        <f>COUNTIFS(Log!$D:$D,'Base Novos Clientes'!$C222,Log!$W:$W,'Base Novos Clientes'!T$2)</f>
        <v>0</v>
      </c>
    </row>
    <row r="223" spans="3:20" x14ac:dyDescent="0.25">
      <c r="C223" s="75"/>
      <c r="D223" s="75"/>
      <c r="E223" s="75"/>
      <c r="F223" s="75"/>
      <c r="G223" s="76"/>
      <c r="H223" s="77"/>
      <c r="I223" s="78"/>
      <c r="J223" s="79"/>
      <c r="K223" s="79" t="str">
        <f ca="1">IF(J223="","NOVO",_xlfn.XLOOKUP(TODAY()-J223,Regras!$C$3:$C$10,Regras!$D$3:$D$10,,1))</f>
        <v>NOVO</v>
      </c>
      <c r="L223" s="75" t="str">
        <f t="shared" si="3"/>
        <v/>
      </c>
      <c r="M223" s="80" t="str">
        <f>IFERROR(IF(Tabela13[[#This Row],[NOME FANTASIA]]="","",_xlfn.XLOOKUP($C223,Log!D:D,Log!B:B,,,-1)),"")</f>
        <v/>
      </c>
      <c r="N223" s="81" t="str">
        <f>IFERROR(_xlfn.XLOOKUP($C223,Log!D:D,Log!W:W,,,-1),"")</f>
        <v/>
      </c>
      <c r="O223" s="81">
        <f>IFERROR(_xlfn.XLOOKUP($C223,Log!D:D,Log!Y:Y,,,-1),"")</f>
        <v>0</v>
      </c>
      <c r="Q223" s="69" t="str">
        <f>IFERROR(IF(Tabela13[[#This Row],[NOME FANTASIA]]="","",_xlfn.XLOOKUP($C223,Log!D:D,Log!X:X,,,-1)),"")</f>
        <v/>
      </c>
      <c r="R223" s="82">
        <f>COUNTIFS(Log!$D:$D,'Base Novos Clientes'!$C223,Log!$W:$W,'Base Novos Clientes'!R$2)</f>
        <v>0</v>
      </c>
      <c r="S223" s="82">
        <f>COUNTIFS(Log!$D:$D,'Base Novos Clientes'!$C223,Log!$W:$W,'Base Novos Clientes'!S$2)</f>
        <v>0</v>
      </c>
      <c r="T223" s="82">
        <f>COUNTIFS(Log!$D:$D,'Base Novos Clientes'!$C223,Log!$W:$W,'Base Novos Clientes'!T$2)</f>
        <v>0</v>
      </c>
    </row>
    <row r="224" spans="3:20" x14ac:dyDescent="0.25">
      <c r="C224" s="75"/>
      <c r="D224" s="75"/>
      <c r="E224" s="75"/>
      <c r="F224" s="75"/>
      <c r="G224" s="76"/>
      <c r="H224" s="77"/>
      <c r="I224" s="78"/>
      <c r="J224" s="79"/>
      <c r="K224" s="79" t="str">
        <f ca="1">IF(J224="","NOVO",_xlfn.XLOOKUP(TODAY()-J224,Regras!$C$3:$C$10,Regras!$D$3:$D$10,,1))</f>
        <v>NOVO</v>
      </c>
      <c r="L224" s="75" t="str">
        <f t="shared" si="3"/>
        <v/>
      </c>
      <c r="M224" s="80" t="str">
        <f>IFERROR(IF(Tabela13[[#This Row],[NOME FANTASIA]]="","",_xlfn.XLOOKUP($C224,Log!D:D,Log!B:B,,,-1)),"")</f>
        <v/>
      </c>
      <c r="N224" s="81" t="str">
        <f>IFERROR(_xlfn.XLOOKUP($C224,Log!D:D,Log!W:W,,,-1),"")</f>
        <v/>
      </c>
      <c r="O224" s="81">
        <f>IFERROR(_xlfn.XLOOKUP($C224,Log!D:D,Log!Y:Y,,,-1),"")</f>
        <v>0</v>
      </c>
      <c r="Q224" s="69" t="str">
        <f>IFERROR(IF(Tabela13[[#This Row],[NOME FANTASIA]]="","",_xlfn.XLOOKUP($C224,Log!D:D,Log!X:X,,,-1)),"")</f>
        <v/>
      </c>
      <c r="R224" s="82">
        <f>COUNTIFS(Log!$D:$D,'Base Novos Clientes'!$C224,Log!$W:$W,'Base Novos Clientes'!R$2)</f>
        <v>0</v>
      </c>
      <c r="S224" s="82">
        <f>COUNTIFS(Log!$D:$D,'Base Novos Clientes'!$C224,Log!$W:$W,'Base Novos Clientes'!S$2)</f>
        <v>0</v>
      </c>
      <c r="T224" s="82">
        <f>COUNTIFS(Log!$D:$D,'Base Novos Clientes'!$C224,Log!$W:$W,'Base Novos Clientes'!T$2)</f>
        <v>0</v>
      </c>
    </row>
    <row r="225" spans="3:20" x14ac:dyDescent="0.25">
      <c r="C225" s="75"/>
      <c r="D225" s="75"/>
      <c r="E225" s="75"/>
      <c r="F225" s="75"/>
      <c r="G225" s="76"/>
      <c r="H225" s="77"/>
      <c r="I225" s="78"/>
      <c r="J225" s="79"/>
      <c r="K225" s="79" t="str">
        <f ca="1">IF(J225="","NOVO",_xlfn.XLOOKUP(TODAY()-J225,Regras!$C$3:$C$10,Regras!$D$3:$D$10,,1))</f>
        <v>NOVO</v>
      </c>
      <c r="L225" s="75" t="str">
        <f t="shared" si="3"/>
        <v/>
      </c>
      <c r="M225" s="80" t="str">
        <f>IFERROR(IF(Tabela13[[#This Row],[NOME FANTASIA]]="","",_xlfn.XLOOKUP($C225,Log!D:D,Log!B:B,,,-1)),"")</f>
        <v/>
      </c>
      <c r="N225" s="81" t="str">
        <f>IFERROR(_xlfn.XLOOKUP($C225,Log!D:D,Log!W:W,,,-1),"")</f>
        <v/>
      </c>
      <c r="O225" s="81">
        <f>IFERROR(_xlfn.XLOOKUP($C225,Log!D:D,Log!Y:Y,,,-1),"")</f>
        <v>0</v>
      </c>
      <c r="Q225" s="69" t="str">
        <f>IFERROR(IF(Tabela13[[#This Row],[NOME FANTASIA]]="","",_xlfn.XLOOKUP($C225,Log!D:D,Log!X:X,,,-1)),"")</f>
        <v/>
      </c>
      <c r="R225" s="82">
        <f>COUNTIFS(Log!$D:$D,'Base Novos Clientes'!$C225,Log!$W:$W,'Base Novos Clientes'!R$2)</f>
        <v>0</v>
      </c>
      <c r="S225" s="82">
        <f>COUNTIFS(Log!$D:$D,'Base Novos Clientes'!$C225,Log!$W:$W,'Base Novos Clientes'!S$2)</f>
        <v>0</v>
      </c>
      <c r="T225" s="82">
        <f>COUNTIFS(Log!$D:$D,'Base Novos Clientes'!$C225,Log!$W:$W,'Base Novos Clientes'!T$2)</f>
        <v>0</v>
      </c>
    </row>
    <row r="226" spans="3:20" x14ac:dyDescent="0.25">
      <c r="C226" s="75"/>
      <c r="D226" s="75"/>
      <c r="E226" s="75"/>
      <c r="F226" s="75"/>
      <c r="G226" s="76"/>
      <c r="H226" s="77"/>
      <c r="I226" s="78"/>
      <c r="J226" s="79"/>
      <c r="K226" s="79" t="str">
        <f ca="1">IF(J226="","NOVO",_xlfn.XLOOKUP(TODAY()-J226,Regras!$C$3:$C$10,Regras!$D$3:$D$10,,1))</f>
        <v>NOVO</v>
      </c>
      <c r="L226" s="75" t="str">
        <f t="shared" si="3"/>
        <v/>
      </c>
      <c r="M226" s="80" t="str">
        <f>IFERROR(IF(Tabela13[[#This Row],[NOME FANTASIA]]="","",_xlfn.XLOOKUP($C226,Log!D:D,Log!B:B,,,-1)),"")</f>
        <v/>
      </c>
      <c r="N226" s="81" t="str">
        <f>IFERROR(_xlfn.XLOOKUP($C226,Log!D:D,Log!W:W,,,-1),"")</f>
        <v/>
      </c>
      <c r="O226" s="81">
        <f>IFERROR(_xlfn.XLOOKUP($C226,Log!D:D,Log!Y:Y,,,-1),"")</f>
        <v>0</v>
      </c>
      <c r="Q226" s="69" t="str">
        <f>IFERROR(IF(Tabela13[[#This Row],[NOME FANTASIA]]="","",_xlfn.XLOOKUP($C226,Log!D:D,Log!X:X,,,-1)),"")</f>
        <v/>
      </c>
      <c r="R226" s="82">
        <f>COUNTIFS(Log!$D:$D,'Base Novos Clientes'!$C226,Log!$W:$W,'Base Novos Clientes'!R$2)</f>
        <v>0</v>
      </c>
      <c r="S226" s="82">
        <f>COUNTIFS(Log!$D:$D,'Base Novos Clientes'!$C226,Log!$W:$W,'Base Novos Clientes'!S$2)</f>
        <v>0</v>
      </c>
      <c r="T226" s="82">
        <f>COUNTIFS(Log!$D:$D,'Base Novos Clientes'!$C226,Log!$W:$W,'Base Novos Clientes'!T$2)</f>
        <v>0</v>
      </c>
    </row>
    <row r="227" spans="3:20" x14ac:dyDescent="0.25">
      <c r="C227" s="75"/>
      <c r="D227" s="75"/>
      <c r="E227" s="75"/>
      <c r="F227" s="75"/>
      <c r="G227" s="76"/>
      <c r="H227" s="77"/>
      <c r="I227" s="78"/>
      <c r="J227" s="79"/>
      <c r="K227" s="79" t="str">
        <f ca="1">IF(J227="","NOVO",_xlfn.XLOOKUP(TODAY()-J227,Regras!$C$3:$C$10,Regras!$D$3:$D$10,,1))</f>
        <v>NOVO</v>
      </c>
      <c r="L227" s="75" t="str">
        <f t="shared" si="3"/>
        <v/>
      </c>
      <c r="M227" s="80" t="str">
        <f>IFERROR(IF(Tabela13[[#This Row],[NOME FANTASIA]]="","",_xlfn.XLOOKUP($C227,Log!D:D,Log!B:B,,,-1)),"")</f>
        <v/>
      </c>
      <c r="N227" s="81" t="str">
        <f>IFERROR(_xlfn.XLOOKUP($C227,Log!D:D,Log!W:W,,,-1),"")</f>
        <v/>
      </c>
      <c r="O227" s="81">
        <f>IFERROR(_xlfn.XLOOKUP($C227,Log!D:D,Log!Y:Y,,,-1),"")</f>
        <v>0</v>
      </c>
      <c r="Q227" s="69" t="str">
        <f>IFERROR(IF(Tabela13[[#This Row],[NOME FANTASIA]]="","",_xlfn.XLOOKUP($C227,Log!D:D,Log!X:X,,,-1)),"")</f>
        <v/>
      </c>
      <c r="R227" s="82">
        <f>COUNTIFS(Log!$D:$D,'Base Novos Clientes'!$C227,Log!$W:$W,'Base Novos Clientes'!R$2)</f>
        <v>0</v>
      </c>
      <c r="S227" s="82">
        <f>COUNTIFS(Log!$D:$D,'Base Novos Clientes'!$C227,Log!$W:$W,'Base Novos Clientes'!S$2)</f>
        <v>0</v>
      </c>
      <c r="T227" s="82">
        <f>COUNTIFS(Log!$D:$D,'Base Novos Clientes'!$C227,Log!$W:$W,'Base Novos Clientes'!T$2)</f>
        <v>0</v>
      </c>
    </row>
    <row r="228" spans="3:20" x14ac:dyDescent="0.25">
      <c r="C228" s="75"/>
      <c r="D228" s="75"/>
      <c r="E228" s="75"/>
      <c r="F228" s="75"/>
      <c r="G228" s="76"/>
      <c r="H228" s="77"/>
      <c r="I228" s="78"/>
      <c r="J228" s="79"/>
      <c r="K228" s="79" t="str">
        <f ca="1">IF(J228="","NOVO",_xlfn.XLOOKUP(TODAY()-J228,Regras!$C$3:$C$10,Regras!$D$3:$D$10,,1))</f>
        <v>NOVO</v>
      </c>
      <c r="L228" s="75" t="str">
        <f t="shared" si="3"/>
        <v/>
      </c>
      <c r="M228" s="80" t="str">
        <f>IFERROR(IF(Tabela13[[#This Row],[NOME FANTASIA]]="","",_xlfn.XLOOKUP($C228,Log!D:D,Log!B:B,,,-1)),"")</f>
        <v/>
      </c>
      <c r="N228" s="81" t="str">
        <f>IFERROR(_xlfn.XLOOKUP($C228,Log!D:D,Log!W:W,,,-1),"")</f>
        <v/>
      </c>
      <c r="O228" s="81">
        <f>IFERROR(_xlfn.XLOOKUP($C228,Log!D:D,Log!Y:Y,,,-1),"")</f>
        <v>0</v>
      </c>
      <c r="Q228" s="69" t="str">
        <f>IFERROR(IF(Tabela13[[#This Row],[NOME FANTASIA]]="","",_xlfn.XLOOKUP($C228,Log!D:D,Log!X:X,,,-1)),"")</f>
        <v/>
      </c>
      <c r="R228" s="82">
        <f>COUNTIFS(Log!$D:$D,'Base Novos Clientes'!$C228,Log!$W:$W,'Base Novos Clientes'!R$2)</f>
        <v>0</v>
      </c>
      <c r="S228" s="82">
        <f>COUNTIFS(Log!$D:$D,'Base Novos Clientes'!$C228,Log!$W:$W,'Base Novos Clientes'!S$2)</f>
        <v>0</v>
      </c>
      <c r="T228" s="82">
        <f>COUNTIFS(Log!$D:$D,'Base Novos Clientes'!$C228,Log!$W:$W,'Base Novos Clientes'!T$2)</f>
        <v>0</v>
      </c>
    </row>
    <row r="229" spans="3:20" x14ac:dyDescent="0.25">
      <c r="C229" s="75"/>
      <c r="D229" s="75"/>
      <c r="E229" s="75"/>
      <c r="F229" s="75"/>
      <c r="G229" s="76"/>
      <c r="H229" s="77"/>
      <c r="I229" s="78"/>
      <c r="J229" s="79"/>
      <c r="K229" s="79" t="str">
        <f ca="1">IF(J229="","NOVO",_xlfn.XLOOKUP(TODAY()-J229,Regras!$C$3:$C$10,Regras!$D$3:$D$10,,1))</f>
        <v>NOVO</v>
      </c>
      <c r="L229" s="75" t="str">
        <f t="shared" si="3"/>
        <v/>
      </c>
      <c r="M229" s="80" t="str">
        <f>IFERROR(IF(Tabela13[[#This Row],[NOME FANTASIA]]="","",_xlfn.XLOOKUP($C229,Log!D:D,Log!B:B,,,-1)),"")</f>
        <v/>
      </c>
      <c r="N229" s="81" t="str">
        <f>IFERROR(_xlfn.XLOOKUP($C229,Log!D:D,Log!W:W,,,-1),"")</f>
        <v/>
      </c>
      <c r="O229" s="81">
        <f>IFERROR(_xlfn.XLOOKUP($C229,Log!D:D,Log!Y:Y,,,-1),"")</f>
        <v>0</v>
      </c>
      <c r="Q229" s="69" t="str">
        <f>IFERROR(IF(Tabela13[[#This Row],[NOME FANTASIA]]="","",_xlfn.XLOOKUP($C229,Log!D:D,Log!X:X,,,-1)),"")</f>
        <v/>
      </c>
      <c r="R229" s="82">
        <f>COUNTIFS(Log!$D:$D,'Base Novos Clientes'!$C229,Log!$W:$W,'Base Novos Clientes'!R$2)</f>
        <v>0</v>
      </c>
      <c r="S229" s="82">
        <f>COUNTIFS(Log!$D:$D,'Base Novos Clientes'!$C229,Log!$W:$W,'Base Novos Clientes'!S$2)</f>
        <v>0</v>
      </c>
      <c r="T229" s="82">
        <f>COUNTIFS(Log!$D:$D,'Base Novos Clientes'!$C229,Log!$W:$W,'Base Novos Clientes'!T$2)</f>
        <v>0</v>
      </c>
    </row>
    <row r="230" spans="3:20" x14ac:dyDescent="0.25">
      <c r="C230" s="75"/>
      <c r="D230" s="75"/>
      <c r="E230" s="75"/>
      <c r="F230" s="75"/>
      <c r="G230" s="76"/>
      <c r="H230" s="77"/>
      <c r="I230" s="78"/>
      <c r="J230" s="79"/>
      <c r="K230" s="79" t="str">
        <f ca="1">IF(J230="","NOVO",_xlfn.XLOOKUP(TODAY()-J230,Regras!$C$3:$C$10,Regras!$D$3:$D$10,,1))</f>
        <v>NOVO</v>
      </c>
      <c r="L230" s="75" t="str">
        <f t="shared" si="3"/>
        <v/>
      </c>
      <c r="M230" s="80" t="str">
        <f>IFERROR(IF(Tabela13[[#This Row],[NOME FANTASIA]]="","",_xlfn.XLOOKUP($C230,Log!D:D,Log!B:B,,,-1)),"")</f>
        <v/>
      </c>
      <c r="N230" s="81" t="str">
        <f>IFERROR(_xlfn.XLOOKUP($C230,Log!D:D,Log!W:W,,,-1),"")</f>
        <v/>
      </c>
      <c r="O230" s="81">
        <f>IFERROR(_xlfn.XLOOKUP($C230,Log!D:D,Log!Y:Y,,,-1),"")</f>
        <v>0</v>
      </c>
      <c r="Q230" s="69" t="str">
        <f>IFERROR(IF(Tabela13[[#This Row],[NOME FANTASIA]]="","",_xlfn.XLOOKUP($C230,Log!D:D,Log!X:X,,,-1)),"")</f>
        <v/>
      </c>
      <c r="R230" s="82">
        <f>COUNTIFS(Log!$D:$D,'Base Novos Clientes'!$C230,Log!$W:$W,'Base Novos Clientes'!R$2)</f>
        <v>0</v>
      </c>
      <c r="S230" s="82">
        <f>COUNTIFS(Log!$D:$D,'Base Novos Clientes'!$C230,Log!$W:$W,'Base Novos Clientes'!S$2)</f>
        <v>0</v>
      </c>
      <c r="T230" s="82">
        <f>COUNTIFS(Log!$D:$D,'Base Novos Clientes'!$C230,Log!$W:$W,'Base Novos Clientes'!T$2)</f>
        <v>0</v>
      </c>
    </row>
    <row r="231" spans="3:20" x14ac:dyDescent="0.25">
      <c r="C231" s="75"/>
      <c r="D231" s="75"/>
      <c r="E231" s="75"/>
      <c r="F231" s="75"/>
      <c r="G231" s="76"/>
      <c r="H231" s="77"/>
      <c r="I231" s="78"/>
      <c r="J231" s="79"/>
      <c r="K231" s="79" t="str">
        <f ca="1">IF(J231="","NOVO",_xlfn.XLOOKUP(TODAY()-J231,Regras!$C$3:$C$10,Regras!$D$3:$D$10,,1))</f>
        <v>NOVO</v>
      </c>
      <c r="L231" s="75" t="str">
        <f t="shared" si="3"/>
        <v/>
      </c>
      <c r="M231" s="80" t="str">
        <f>IFERROR(IF(Tabela13[[#This Row],[NOME FANTASIA]]="","",_xlfn.XLOOKUP($C231,Log!D:D,Log!B:B,,,-1)),"")</f>
        <v/>
      </c>
      <c r="N231" s="81" t="str">
        <f>IFERROR(_xlfn.XLOOKUP($C231,Log!D:D,Log!W:W,,,-1),"")</f>
        <v/>
      </c>
      <c r="O231" s="81">
        <f>IFERROR(_xlfn.XLOOKUP($C231,Log!D:D,Log!Y:Y,,,-1),"")</f>
        <v>0</v>
      </c>
      <c r="Q231" s="69" t="str">
        <f>IFERROR(IF(Tabela13[[#This Row],[NOME FANTASIA]]="","",_xlfn.XLOOKUP($C231,Log!D:D,Log!X:X,,,-1)),"")</f>
        <v/>
      </c>
      <c r="R231" s="82">
        <f>COUNTIFS(Log!$D:$D,'Base Novos Clientes'!$C231,Log!$W:$W,'Base Novos Clientes'!R$2)</f>
        <v>0</v>
      </c>
      <c r="S231" s="82">
        <f>COUNTIFS(Log!$D:$D,'Base Novos Clientes'!$C231,Log!$W:$W,'Base Novos Clientes'!S$2)</f>
        <v>0</v>
      </c>
      <c r="T231" s="82">
        <f>COUNTIFS(Log!$D:$D,'Base Novos Clientes'!$C231,Log!$W:$W,'Base Novos Clientes'!T$2)</f>
        <v>0</v>
      </c>
    </row>
    <row r="232" spans="3:20" x14ac:dyDescent="0.25">
      <c r="C232" s="75"/>
      <c r="D232" s="75"/>
      <c r="E232" s="75"/>
      <c r="F232" s="75"/>
      <c r="G232" s="76"/>
      <c r="H232" s="77"/>
      <c r="I232" s="78"/>
      <c r="J232" s="79"/>
      <c r="K232" s="79" t="str">
        <f ca="1">IF(J232="","NOVO",_xlfn.XLOOKUP(TODAY()-J232,Regras!$C$3:$C$10,Regras!$D$3:$D$10,,1))</f>
        <v>NOVO</v>
      </c>
      <c r="L232" s="75" t="str">
        <f t="shared" si="3"/>
        <v/>
      </c>
      <c r="M232" s="80" t="str">
        <f>IFERROR(IF(Tabela13[[#This Row],[NOME FANTASIA]]="","",_xlfn.XLOOKUP($C232,Log!D:D,Log!B:B,,,-1)),"")</f>
        <v/>
      </c>
      <c r="N232" s="81" t="str">
        <f>IFERROR(_xlfn.XLOOKUP($C232,Log!D:D,Log!W:W,,,-1),"")</f>
        <v/>
      </c>
      <c r="O232" s="81">
        <f>IFERROR(_xlfn.XLOOKUP($C232,Log!D:D,Log!Y:Y,,,-1),"")</f>
        <v>0</v>
      </c>
      <c r="Q232" s="69" t="str">
        <f>IFERROR(IF(Tabela13[[#This Row],[NOME FANTASIA]]="","",_xlfn.XLOOKUP($C232,Log!D:D,Log!X:X,,,-1)),"")</f>
        <v/>
      </c>
      <c r="R232" s="82">
        <f>COUNTIFS(Log!$D:$D,'Base Novos Clientes'!$C232,Log!$W:$W,'Base Novos Clientes'!R$2)</f>
        <v>0</v>
      </c>
      <c r="S232" s="82">
        <f>COUNTIFS(Log!$D:$D,'Base Novos Clientes'!$C232,Log!$W:$W,'Base Novos Clientes'!S$2)</f>
        <v>0</v>
      </c>
      <c r="T232" s="82">
        <f>COUNTIFS(Log!$D:$D,'Base Novos Clientes'!$C232,Log!$W:$W,'Base Novos Clientes'!T$2)</f>
        <v>0</v>
      </c>
    </row>
    <row r="233" spans="3:20" x14ac:dyDescent="0.25">
      <c r="C233" s="75"/>
      <c r="D233" s="75"/>
      <c r="E233" s="75"/>
      <c r="F233" s="75"/>
      <c r="G233" s="76"/>
      <c r="H233" s="77"/>
      <c r="I233" s="78"/>
      <c r="J233" s="79"/>
      <c r="K233" s="79" t="str">
        <f ca="1">IF(J233="","NOVO",_xlfn.XLOOKUP(TODAY()-J233,Regras!$C$3:$C$10,Regras!$D$3:$D$10,,1))</f>
        <v>NOVO</v>
      </c>
      <c r="L233" s="75" t="str">
        <f t="shared" si="3"/>
        <v/>
      </c>
      <c r="M233" s="80" t="str">
        <f>IFERROR(IF(Tabela13[[#This Row],[NOME FANTASIA]]="","",_xlfn.XLOOKUP($C233,Log!D:D,Log!B:B,,,-1)),"")</f>
        <v/>
      </c>
      <c r="N233" s="81" t="str">
        <f>IFERROR(_xlfn.XLOOKUP($C233,Log!D:D,Log!W:W,,,-1),"")</f>
        <v/>
      </c>
      <c r="O233" s="81">
        <f>IFERROR(_xlfn.XLOOKUP($C233,Log!D:D,Log!Y:Y,,,-1),"")</f>
        <v>0</v>
      </c>
      <c r="Q233" s="69" t="str">
        <f>IFERROR(IF(Tabela13[[#This Row],[NOME FANTASIA]]="","",_xlfn.XLOOKUP($C233,Log!D:D,Log!X:X,,,-1)),"")</f>
        <v/>
      </c>
      <c r="R233" s="82">
        <f>COUNTIFS(Log!$D:$D,'Base Novos Clientes'!$C233,Log!$W:$W,'Base Novos Clientes'!R$2)</f>
        <v>0</v>
      </c>
      <c r="S233" s="82">
        <f>COUNTIFS(Log!$D:$D,'Base Novos Clientes'!$C233,Log!$W:$W,'Base Novos Clientes'!S$2)</f>
        <v>0</v>
      </c>
      <c r="T233" s="82">
        <f>COUNTIFS(Log!$D:$D,'Base Novos Clientes'!$C233,Log!$W:$W,'Base Novos Clientes'!T$2)</f>
        <v>0</v>
      </c>
    </row>
    <row r="234" spans="3:20" x14ac:dyDescent="0.25">
      <c r="C234" s="75"/>
      <c r="D234" s="75"/>
      <c r="E234" s="75"/>
      <c r="F234" s="75"/>
      <c r="G234" s="76"/>
      <c r="H234" s="77"/>
      <c r="I234" s="78"/>
      <c r="J234" s="79"/>
      <c r="K234" s="79" t="str">
        <f ca="1">IF(J234="","NOVO",_xlfn.XLOOKUP(TODAY()-J234,Regras!$C$3:$C$10,Regras!$D$3:$D$10,,1))</f>
        <v>NOVO</v>
      </c>
      <c r="L234" s="75" t="str">
        <f t="shared" si="3"/>
        <v/>
      </c>
      <c r="M234" s="80" t="str">
        <f>IFERROR(IF(Tabela13[[#This Row],[NOME FANTASIA]]="","",_xlfn.XLOOKUP($C234,Log!D:D,Log!B:B,,,-1)),"")</f>
        <v/>
      </c>
      <c r="N234" s="81" t="str">
        <f>IFERROR(_xlfn.XLOOKUP($C234,Log!D:D,Log!W:W,,,-1),"")</f>
        <v/>
      </c>
      <c r="O234" s="81">
        <f>IFERROR(_xlfn.XLOOKUP($C234,Log!D:D,Log!Y:Y,,,-1),"")</f>
        <v>0</v>
      </c>
      <c r="Q234" s="69" t="str">
        <f>IFERROR(IF(Tabela13[[#This Row],[NOME FANTASIA]]="","",_xlfn.XLOOKUP($C234,Log!D:D,Log!X:X,,,-1)),"")</f>
        <v/>
      </c>
      <c r="R234" s="82">
        <f>COUNTIFS(Log!$D:$D,'Base Novos Clientes'!$C234,Log!$W:$W,'Base Novos Clientes'!R$2)</f>
        <v>0</v>
      </c>
      <c r="S234" s="82">
        <f>COUNTIFS(Log!$D:$D,'Base Novos Clientes'!$C234,Log!$W:$W,'Base Novos Clientes'!S$2)</f>
        <v>0</v>
      </c>
      <c r="T234" s="82">
        <f>COUNTIFS(Log!$D:$D,'Base Novos Clientes'!$C234,Log!$W:$W,'Base Novos Clientes'!T$2)</f>
        <v>0</v>
      </c>
    </row>
    <row r="235" spans="3:20" x14ac:dyDescent="0.25">
      <c r="C235" s="75"/>
      <c r="D235" s="75"/>
      <c r="E235" s="75"/>
      <c r="F235" s="75"/>
      <c r="G235" s="76"/>
      <c r="H235" s="77"/>
      <c r="I235" s="78"/>
      <c r="J235" s="79"/>
      <c r="K235" s="79" t="str">
        <f ca="1">IF(J235="","NOVO",_xlfn.XLOOKUP(TODAY()-J235,Regras!$C$3:$C$10,Regras!$D$3:$D$10,,1))</f>
        <v>NOVO</v>
      </c>
      <c r="L235" s="75" t="str">
        <f t="shared" si="3"/>
        <v/>
      </c>
      <c r="M235" s="80" t="str">
        <f>IFERROR(IF(Tabela13[[#This Row],[NOME FANTASIA]]="","",_xlfn.XLOOKUP($C235,Log!D:D,Log!B:B,,,-1)),"")</f>
        <v/>
      </c>
      <c r="N235" s="81" t="str">
        <f>IFERROR(_xlfn.XLOOKUP($C235,Log!D:D,Log!W:W,,,-1),"")</f>
        <v/>
      </c>
      <c r="O235" s="81">
        <f>IFERROR(_xlfn.XLOOKUP($C235,Log!D:D,Log!Y:Y,,,-1),"")</f>
        <v>0</v>
      </c>
      <c r="Q235" s="69" t="str">
        <f>IFERROR(IF(Tabela13[[#This Row],[NOME FANTASIA]]="","",_xlfn.XLOOKUP($C235,Log!D:D,Log!X:X,,,-1)),"")</f>
        <v/>
      </c>
      <c r="R235" s="82">
        <f>COUNTIFS(Log!$D:$D,'Base Novos Clientes'!$C235,Log!$W:$W,'Base Novos Clientes'!R$2)</f>
        <v>0</v>
      </c>
      <c r="S235" s="82">
        <f>COUNTIFS(Log!$D:$D,'Base Novos Clientes'!$C235,Log!$W:$W,'Base Novos Clientes'!S$2)</f>
        <v>0</v>
      </c>
      <c r="T235" s="82">
        <f>COUNTIFS(Log!$D:$D,'Base Novos Clientes'!$C235,Log!$W:$W,'Base Novos Clientes'!T$2)</f>
        <v>0</v>
      </c>
    </row>
    <row r="236" spans="3:20" x14ac:dyDescent="0.25">
      <c r="C236" s="75"/>
      <c r="D236" s="75"/>
      <c r="E236" s="75"/>
      <c r="F236" s="75"/>
      <c r="G236" s="76"/>
      <c r="H236" s="77"/>
      <c r="I236" s="78"/>
      <c r="J236" s="79"/>
      <c r="K236" s="79" t="str">
        <f ca="1">IF(J236="","NOVO",_xlfn.XLOOKUP(TODAY()-J236,Regras!$C$3:$C$10,Regras!$D$3:$D$10,,1))</f>
        <v>NOVO</v>
      </c>
      <c r="L236" s="75" t="str">
        <f t="shared" si="3"/>
        <v/>
      </c>
      <c r="M236" s="80" t="str">
        <f>IFERROR(IF(Tabela13[[#This Row],[NOME FANTASIA]]="","",_xlfn.XLOOKUP($C236,Log!D:D,Log!B:B,,,-1)),"")</f>
        <v/>
      </c>
      <c r="N236" s="81" t="str">
        <f>IFERROR(_xlfn.XLOOKUP($C236,Log!D:D,Log!W:W,,,-1),"")</f>
        <v/>
      </c>
      <c r="O236" s="81">
        <f>IFERROR(_xlfn.XLOOKUP($C236,Log!D:D,Log!Y:Y,,,-1),"")</f>
        <v>0</v>
      </c>
      <c r="Q236" s="69" t="str">
        <f>IFERROR(IF(Tabela13[[#This Row],[NOME FANTASIA]]="","",_xlfn.XLOOKUP($C236,Log!D:D,Log!X:X,,,-1)),"")</f>
        <v/>
      </c>
      <c r="R236" s="82">
        <f>COUNTIFS(Log!$D:$D,'Base Novos Clientes'!$C236,Log!$W:$W,'Base Novos Clientes'!R$2)</f>
        <v>0</v>
      </c>
      <c r="S236" s="82">
        <f>COUNTIFS(Log!$D:$D,'Base Novos Clientes'!$C236,Log!$W:$W,'Base Novos Clientes'!S$2)</f>
        <v>0</v>
      </c>
      <c r="T236" s="82">
        <f>COUNTIFS(Log!$D:$D,'Base Novos Clientes'!$C236,Log!$W:$W,'Base Novos Clientes'!T$2)</f>
        <v>0</v>
      </c>
    </row>
    <row r="237" spans="3:20" x14ac:dyDescent="0.25">
      <c r="C237" s="75"/>
      <c r="D237" s="75"/>
      <c r="E237" s="75"/>
      <c r="F237" s="75"/>
      <c r="G237" s="76"/>
      <c r="H237" s="77"/>
      <c r="I237" s="78"/>
      <c r="J237" s="79"/>
      <c r="K237" s="79" t="str">
        <f ca="1">IF(J237="","NOVO",_xlfn.XLOOKUP(TODAY()-J237,Regras!$C$3:$C$10,Regras!$D$3:$D$10,,1))</f>
        <v>NOVO</v>
      </c>
      <c r="L237" s="75" t="str">
        <f t="shared" si="3"/>
        <v/>
      </c>
      <c r="M237" s="80" t="str">
        <f>IFERROR(IF(Tabela13[[#This Row],[NOME FANTASIA]]="","",_xlfn.XLOOKUP($C237,Log!D:D,Log!B:B,,,-1)),"")</f>
        <v/>
      </c>
      <c r="N237" s="81" t="str">
        <f>IFERROR(_xlfn.XLOOKUP($C237,Log!D:D,Log!W:W,,,-1),"")</f>
        <v/>
      </c>
      <c r="O237" s="81">
        <f>IFERROR(_xlfn.XLOOKUP($C237,Log!D:D,Log!Y:Y,,,-1),"")</f>
        <v>0</v>
      </c>
      <c r="Q237" s="69" t="str">
        <f>IFERROR(IF(Tabela13[[#This Row],[NOME FANTASIA]]="","",_xlfn.XLOOKUP($C237,Log!D:D,Log!X:X,,,-1)),"")</f>
        <v/>
      </c>
      <c r="R237" s="82">
        <f>COUNTIFS(Log!$D:$D,'Base Novos Clientes'!$C237,Log!$W:$W,'Base Novos Clientes'!R$2)</f>
        <v>0</v>
      </c>
      <c r="S237" s="82">
        <f>COUNTIFS(Log!$D:$D,'Base Novos Clientes'!$C237,Log!$W:$W,'Base Novos Clientes'!S$2)</f>
        <v>0</v>
      </c>
      <c r="T237" s="82">
        <f>COUNTIFS(Log!$D:$D,'Base Novos Clientes'!$C237,Log!$W:$W,'Base Novos Clientes'!T$2)</f>
        <v>0</v>
      </c>
    </row>
    <row r="238" spans="3:20" x14ac:dyDescent="0.25">
      <c r="C238" s="75"/>
      <c r="D238" s="75"/>
      <c r="E238" s="75"/>
      <c r="F238" s="75"/>
      <c r="G238" s="76"/>
      <c r="H238" s="77"/>
      <c r="I238" s="78"/>
      <c r="J238" s="79"/>
      <c r="K238" s="79" t="str">
        <f ca="1">IF(J238="","NOVO",_xlfn.XLOOKUP(TODAY()-J238,Regras!$C$3:$C$10,Regras!$D$3:$D$10,,1))</f>
        <v>NOVO</v>
      </c>
      <c r="L238" s="75" t="str">
        <f t="shared" si="3"/>
        <v/>
      </c>
      <c r="M238" s="80" t="str">
        <f>IFERROR(IF(Tabela13[[#This Row],[NOME FANTASIA]]="","",_xlfn.XLOOKUP($C238,Log!D:D,Log!B:B,,,-1)),"")</f>
        <v/>
      </c>
      <c r="N238" s="81" t="str">
        <f>IFERROR(_xlfn.XLOOKUP($C238,Log!D:D,Log!W:W,,,-1),"")</f>
        <v/>
      </c>
      <c r="O238" s="81">
        <f>IFERROR(_xlfn.XLOOKUP($C238,Log!D:D,Log!Y:Y,,,-1),"")</f>
        <v>0</v>
      </c>
      <c r="Q238" s="69" t="str">
        <f>IFERROR(IF(Tabela13[[#This Row],[NOME FANTASIA]]="","",_xlfn.XLOOKUP($C238,Log!D:D,Log!X:X,,,-1)),"")</f>
        <v/>
      </c>
      <c r="R238" s="82">
        <f>COUNTIFS(Log!$D:$D,'Base Novos Clientes'!$C238,Log!$W:$W,'Base Novos Clientes'!R$2)</f>
        <v>0</v>
      </c>
      <c r="S238" s="82">
        <f>COUNTIFS(Log!$D:$D,'Base Novos Clientes'!$C238,Log!$W:$W,'Base Novos Clientes'!S$2)</f>
        <v>0</v>
      </c>
      <c r="T238" s="82">
        <f>COUNTIFS(Log!$D:$D,'Base Novos Clientes'!$C238,Log!$W:$W,'Base Novos Clientes'!T$2)</f>
        <v>0</v>
      </c>
    </row>
    <row r="239" spans="3:20" x14ac:dyDescent="0.25">
      <c r="C239" s="75"/>
      <c r="D239" s="75"/>
      <c r="E239" s="75"/>
      <c r="F239" s="75"/>
      <c r="G239" s="76"/>
      <c r="H239" s="77"/>
      <c r="I239" s="78"/>
      <c r="J239" s="79"/>
      <c r="K239" s="79" t="str">
        <f ca="1">IF(J239="","NOVO",_xlfn.XLOOKUP(TODAY()-J239,Regras!$C$3:$C$10,Regras!$D$3:$D$10,,1))</f>
        <v>NOVO</v>
      </c>
      <c r="L239" s="75" t="str">
        <f t="shared" si="3"/>
        <v/>
      </c>
      <c r="M239" s="80" t="str">
        <f>IFERROR(IF(Tabela13[[#This Row],[NOME FANTASIA]]="","",_xlfn.XLOOKUP($C239,Log!D:D,Log!B:B,,,-1)),"")</f>
        <v/>
      </c>
      <c r="N239" s="81" t="str">
        <f>IFERROR(_xlfn.XLOOKUP($C239,Log!D:D,Log!W:W,,,-1),"")</f>
        <v/>
      </c>
      <c r="O239" s="81">
        <f>IFERROR(_xlfn.XLOOKUP($C239,Log!D:D,Log!Y:Y,,,-1),"")</f>
        <v>0</v>
      </c>
      <c r="Q239" s="69" t="str">
        <f>IFERROR(IF(Tabela13[[#This Row],[NOME FANTASIA]]="","",_xlfn.XLOOKUP($C239,Log!D:D,Log!X:X,,,-1)),"")</f>
        <v/>
      </c>
      <c r="R239" s="82">
        <f>COUNTIFS(Log!$D:$D,'Base Novos Clientes'!$C239,Log!$W:$W,'Base Novos Clientes'!R$2)</f>
        <v>0</v>
      </c>
      <c r="S239" s="82">
        <f>COUNTIFS(Log!$D:$D,'Base Novos Clientes'!$C239,Log!$W:$W,'Base Novos Clientes'!S$2)</f>
        <v>0</v>
      </c>
      <c r="T239" s="82">
        <f>COUNTIFS(Log!$D:$D,'Base Novos Clientes'!$C239,Log!$W:$W,'Base Novos Clientes'!T$2)</f>
        <v>0</v>
      </c>
    </row>
    <row r="240" spans="3:20" x14ac:dyDescent="0.25">
      <c r="C240" s="75"/>
      <c r="D240" s="75"/>
      <c r="E240" s="75"/>
      <c r="F240" s="75"/>
      <c r="G240" s="76"/>
      <c r="H240" s="77"/>
      <c r="I240" s="78"/>
      <c r="J240" s="79"/>
      <c r="K240" s="79" t="str">
        <f ca="1">IF(J240="","NOVO",_xlfn.XLOOKUP(TODAY()-J240,Regras!$C$3:$C$10,Regras!$D$3:$D$10,,1))</f>
        <v>NOVO</v>
      </c>
      <c r="L240" s="75" t="str">
        <f t="shared" si="3"/>
        <v/>
      </c>
      <c r="M240" s="80" t="str">
        <f>IFERROR(IF(Tabela13[[#This Row],[NOME FANTASIA]]="","",_xlfn.XLOOKUP($C240,Log!D:D,Log!B:B,,,-1)),"")</f>
        <v/>
      </c>
      <c r="N240" s="81" t="str">
        <f>IFERROR(_xlfn.XLOOKUP($C240,Log!D:D,Log!W:W,,,-1),"")</f>
        <v/>
      </c>
      <c r="O240" s="81">
        <f>IFERROR(_xlfn.XLOOKUP($C240,Log!D:D,Log!Y:Y,,,-1),"")</f>
        <v>0</v>
      </c>
      <c r="Q240" s="69" t="str">
        <f>IFERROR(IF(Tabela13[[#This Row],[NOME FANTASIA]]="","",_xlfn.XLOOKUP($C240,Log!D:D,Log!X:X,,,-1)),"")</f>
        <v/>
      </c>
      <c r="R240" s="82">
        <f>COUNTIFS(Log!$D:$D,'Base Novos Clientes'!$C240,Log!$W:$W,'Base Novos Clientes'!R$2)</f>
        <v>0</v>
      </c>
      <c r="S240" s="82">
        <f>COUNTIFS(Log!$D:$D,'Base Novos Clientes'!$C240,Log!$W:$W,'Base Novos Clientes'!S$2)</f>
        <v>0</v>
      </c>
      <c r="T240" s="82">
        <f>COUNTIFS(Log!$D:$D,'Base Novos Clientes'!$C240,Log!$W:$W,'Base Novos Clientes'!T$2)</f>
        <v>0</v>
      </c>
    </row>
    <row r="241" spans="3:20" x14ac:dyDescent="0.25">
      <c r="C241" s="75"/>
      <c r="D241" s="75"/>
      <c r="E241" s="75"/>
      <c r="F241" s="75"/>
      <c r="G241" s="76"/>
      <c r="H241" s="77"/>
      <c r="I241" s="78"/>
      <c r="J241" s="79"/>
      <c r="K241" s="79" t="str">
        <f ca="1">IF(J241="","NOVO",_xlfn.XLOOKUP(TODAY()-J241,Regras!$C$3:$C$10,Regras!$D$3:$D$10,,1))</f>
        <v>NOVO</v>
      </c>
      <c r="L241" s="75" t="str">
        <f t="shared" si="3"/>
        <v/>
      </c>
      <c r="M241" s="80" t="str">
        <f>IFERROR(IF(Tabela13[[#This Row],[NOME FANTASIA]]="","",_xlfn.XLOOKUP($C241,Log!D:D,Log!B:B,,,-1)),"")</f>
        <v/>
      </c>
      <c r="N241" s="81" t="str">
        <f>IFERROR(_xlfn.XLOOKUP($C241,Log!D:D,Log!W:W,,,-1),"")</f>
        <v/>
      </c>
      <c r="O241" s="81">
        <f>IFERROR(_xlfn.XLOOKUP($C241,Log!D:D,Log!Y:Y,,,-1),"")</f>
        <v>0</v>
      </c>
      <c r="Q241" s="69" t="str">
        <f>IFERROR(IF(Tabela13[[#This Row],[NOME FANTASIA]]="","",_xlfn.XLOOKUP($C241,Log!D:D,Log!X:X,,,-1)),"")</f>
        <v/>
      </c>
      <c r="R241" s="82">
        <f>COUNTIFS(Log!$D:$D,'Base Novos Clientes'!$C241,Log!$W:$W,'Base Novos Clientes'!R$2)</f>
        <v>0</v>
      </c>
      <c r="S241" s="82">
        <f>COUNTIFS(Log!$D:$D,'Base Novos Clientes'!$C241,Log!$W:$W,'Base Novos Clientes'!S$2)</f>
        <v>0</v>
      </c>
      <c r="T241" s="82">
        <f>COUNTIFS(Log!$D:$D,'Base Novos Clientes'!$C241,Log!$W:$W,'Base Novos Clientes'!T$2)</f>
        <v>0</v>
      </c>
    </row>
    <row r="242" spans="3:20" x14ac:dyDescent="0.25">
      <c r="C242" s="75"/>
      <c r="D242" s="75"/>
      <c r="E242" s="75"/>
      <c r="F242" s="75"/>
      <c r="G242" s="76"/>
      <c r="H242" s="77"/>
      <c r="I242" s="78"/>
      <c r="J242" s="79"/>
      <c r="K242" s="79" t="str">
        <f ca="1">IF(J242="","NOVO",_xlfn.XLOOKUP(TODAY()-J242,Regras!$C$3:$C$10,Regras!$D$3:$D$10,,1))</f>
        <v>NOVO</v>
      </c>
      <c r="L242" s="75" t="str">
        <f t="shared" si="3"/>
        <v/>
      </c>
      <c r="M242" s="80" t="str">
        <f>IFERROR(IF(Tabela13[[#This Row],[NOME FANTASIA]]="","",_xlfn.XLOOKUP($C242,Log!D:D,Log!B:B,,,-1)),"")</f>
        <v/>
      </c>
      <c r="N242" s="81" t="str">
        <f>IFERROR(_xlfn.XLOOKUP($C242,Log!D:D,Log!W:W,,,-1),"")</f>
        <v/>
      </c>
      <c r="O242" s="81">
        <f>IFERROR(_xlfn.XLOOKUP($C242,Log!D:D,Log!Y:Y,,,-1),"")</f>
        <v>0</v>
      </c>
      <c r="Q242" s="69" t="str">
        <f>IFERROR(IF(Tabela13[[#This Row],[NOME FANTASIA]]="","",_xlfn.XLOOKUP($C242,Log!D:D,Log!X:X,,,-1)),"")</f>
        <v/>
      </c>
      <c r="R242" s="82">
        <f>COUNTIFS(Log!$D:$D,'Base Novos Clientes'!$C242,Log!$W:$W,'Base Novos Clientes'!R$2)</f>
        <v>0</v>
      </c>
      <c r="S242" s="82">
        <f>COUNTIFS(Log!$D:$D,'Base Novos Clientes'!$C242,Log!$W:$W,'Base Novos Clientes'!S$2)</f>
        <v>0</v>
      </c>
      <c r="T242" s="82">
        <f>COUNTIFS(Log!$D:$D,'Base Novos Clientes'!$C242,Log!$W:$W,'Base Novos Clientes'!T$2)</f>
        <v>0</v>
      </c>
    </row>
    <row r="243" spans="3:20" x14ac:dyDescent="0.25">
      <c r="C243" s="75"/>
      <c r="D243" s="75"/>
      <c r="E243" s="75"/>
      <c r="F243" s="75"/>
      <c r="G243" s="76"/>
      <c r="H243" s="77"/>
      <c r="I243" s="78"/>
      <c r="J243" s="79"/>
      <c r="K243" s="79" t="str">
        <f ca="1">IF(J243="","NOVO",_xlfn.XLOOKUP(TODAY()-J243,Regras!$C$3:$C$10,Regras!$D$3:$D$10,,1))</f>
        <v>NOVO</v>
      </c>
      <c r="L243" s="75" t="str">
        <f t="shared" si="3"/>
        <v/>
      </c>
      <c r="M243" s="80" t="str">
        <f>IFERROR(IF(Tabela13[[#This Row],[NOME FANTASIA]]="","",_xlfn.XLOOKUP($C243,Log!D:D,Log!B:B,,,-1)),"")</f>
        <v/>
      </c>
      <c r="N243" s="81" t="str">
        <f>IFERROR(_xlfn.XLOOKUP($C243,Log!D:D,Log!W:W,,,-1),"")</f>
        <v/>
      </c>
      <c r="O243" s="81">
        <f>IFERROR(_xlfn.XLOOKUP($C243,Log!D:D,Log!Y:Y,,,-1),"")</f>
        <v>0</v>
      </c>
      <c r="Q243" s="69" t="str">
        <f>IFERROR(IF(Tabela13[[#This Row],[NOME FANTASIA]]="","",_xlfn.XLOOKUP($C243,Log!D:D,Log!X:X,,,-1)),"")</f>
        <v/>
      </c>
      <c r="R243" s="82">
        <f>COUNTIFS(Log!$D:$D,'Base Novos Clientes'!$C243,Log!$W:$W,'Base Novos Clientes'!R$2)</f>
        <v>0</v>
      </c>
      <c r="S243" s="82">
        <f>COUNTIFS(Log!$D:$D,'Base Novos Clientes'!$C243,Log!$W:$W,'Base Novos Clientes'!S$2)</f>
        <v>0</v>
      </c>
      <c r="T243" s="82">
        <f>COUNTIFS(Log!$D:$D,'Base Novos Clientes'!$C243,Log!$W:$W,'Base Novos Clientes'!T$2)</f>
        <v>0</v>
      </c>
    </row>
    <row r="244" spans="3:20" x14ac:dyDescent="0.25">
      <c r="C244" s="75"/>
      <c r="D244" s="75"/>
      <c r="E244" s="75"/>
      <c r="F244" s="75"/>
      <c r="G244" s="76"/>
      <c r="H244" s="77"/>
      <c r="I244" s="78"/>
      <c r="J244" s="79"/>
      <c r="K244" s="79" t="str">
        <f ca="1">IF(J244="","NOVO",_xlfn.XLOOKUP(TODAY()-J244,Regras!$C$3:$C$10,Regras!$D$3:$D$10,,1))</f>
        <v>NOVO</v>
      </c>
      <c r="L244" s="75" t="str">
        <f t="shared" si="3"/>
        <v/>
      </c>
      <c r="M244" s="80" t="str">
        <f>IFERROR(IF(Tabela13[[#This Row],[NOME FANTASIA]]="","",_xlfn.XLOOKUP($C244,Log!D:D,Log!B:B,,,-1)),"")</f>
        <v/>
      </c>
      <c r="N244" s="81" t="str">
        <f>IFERROR(_xlfn.XLOOKUP($C244,Log!D:D,Log!W:W,,,-1),"")</f>
        <v/>
      </c>
      <c r="O244" s="81">
        <f>IFERROR(_xlfn.XLOOKUP($C244,Log!D:D,Log!Y:Y,,,-1),"")</f>
        <v>0</v>
      </c>
      <c r="Q244" s="69" t="str">
        <f>IFERROR(IF(Tabela13[[#This Row],[NOME FANTASIA]]="","",_xlfn.XLOOKUP($C244,Log!D:D,Log!X:X,,,-1)),"")</f>
        <v/>
      </c>
      <c r="R244" s="82">
        <f>COUNTIFS(Log!$D:$D,'Base Novos Clientes'!$C244,Log!$W:$W,'Base Novos Clientes'!R$2)</f>
        <v>0</v>
      </c>
      <c r="S244" s="82">
        <f>COUNTIFS(Log!$D:$D,'Base Novos Clientes'!$C244,Log!$W:$W,'Base Novos Clientes'!S$2)</f>
        <v>0</v>
      </c>
      <c r="T244" s="82">
        <f>COUNTIFS(Log!$D:$D,'Base Novos Clientes'!$C244,Log!$W:$W,'Base Novos Clientes'!T$2)</f>
        <v>0</v>
      </c>
    </row>
    <row r="245" spans="3:20" x14ac:dyDescent="0.25">
      <c r="C245" s="75"/>
      <c r="D245" s="75"/>
      <c r="E245" s="75"/>
      <c r="F245" s="75"/>
      <c r="G245" s="76"/>
      <c r="H245" s="77"/>
      <c r="I245" s="78"/>
      <c r="J245" s="79"/>
      <c r="K245" s="79" t="str">
        <f ca="1">IF(J245="","NOVO",_xlfn.XLOOKUP(TODAY()-J245,Regras!$C$3:$C$10,Regras!$D$3:$D$10,,1))</f>
        <v>NOVO</v>
      </c>
      <c r="L245" s="75" t="str">
        <f t="shared" si="3"/>
        <v/>
      </c>
      <c r="M245" s="80" t="str">
        <f>IFERROR(IF(Tabela13[[#This Row],[NOME FANTASIA]]="","",_xlfn.XLOOKUP($C245,Log!D:D,Log!B:B,,,-1)),"")</f>
        <v/>
      </c>
      <c r="N245" s="81" t="str">
        <f>IFERROR(_xlfn.XLOOKUP($C245,Log!D:D,Log!W:W,,,-1),"")</f>
        <v/>
      </c>
      <c r="O245" s="81">
        <f>IFERROR(_xlfn.XLOOKUP($C245,Log!D:D,Log!Y:Y,,,-1),"")</f>
        <v>0</v>
      </c>
      <c r="Q245" s="69" t="str">
        <f>IFERROR(IF(Tabela13[[#This Row],[NOME FANTASIA]]="","",_xlfn.XLOOKUP($C245,Log!D:D,Log!X:X,,,-1)),"")</f>
        <v/>
      </c>
      <c r="R245" s="82">
        <f>COUNTIFS(Log!$D:$D,'Base Novos Clientes'!$C245,Log!$W:$W,'Base Novos Clientes'!R$2)</f>
        <v>0</v>
      </c>
      <c r="S245" s="82">
        <f>COUNTIFS(Log!$D:$D,'Base Novos Clientes'!$C245,Log!$W:$W,'Base Novos Clientes'!S$2)</f>
        <v>0</v>
      </c>
      <c r="T245" s="82">
        <f>COUNTIFS(Log!$D:$D,'Base Novos Clientes'!$C245,Log!$W:$W,'Base Novos Clientes'!T$2)</f>
        <v>0</v>
      </c>
    </row>
    <row r="246" spans="3:20" x14ac:dyDescent="0.25">
      <c r="C246" s="75"/>
      <c r="D246" s="75"/>
      <c r="E246" s="75"/>
      <c r="F246" s="75"/>
      <c r="G246" s="76"/>
      <c r="H246" s="77"/>
      <c r="I246" s="78"/>
      <c r="J246" s="79"/>
      <c r="K246" s="79" t="str">
        <f ca="1">IF(J246="","NOVO",_xlfn.XLOOKUP(TODAY()-J246,Regras!$C$3:$C$10,Regras!$D$3:$D$10,,1))</f>
        <v>NOVO</v>
      </c>
      <c r="L246" s="75" t="str">
        <f t="shared" si="3"/>
        <v/>
      </c>
      <c r="M246" s="80" t="str">
        <f>IFERROR(IF(Tabela13[[#This Row],[NOME FANTASIA]]="","",_xlfn.XLOOKUP($C246,Log!D:D,Log!B:B,,,-1)),"")</f>
        <v/>
      </c>
      <c r="N246" s="81" t="str">
        <f>IFERROR(_xlfn.XLOOKUP($C246,Log!D:D,Log!W:W,,,-1),"")</f>
        <v/>
      </c>
      <c r="O246" s="81">
        <f>IFERROR(_xlfn.XLOOKUP($C246,Log!D:D,Log!Y:Y,,,-1),"")</f>
        <v>0</v>
      </c>
      <c r="Q246" s="69" t="str">
        <f>IFERROR(IF(Tabela13[[#This Row],[NOME FANTASIA]]="","",_xlfn.XLOOKUP($C246,Log!D:D,Log!X:X,,,-1)),"")</f>
        <v/>
      </c>
      <c r="R246" s="82">
        <f>COUNTIFS(Log!$D:$D,'Base Novos Clientes'!$C246,Log!$W:$W,'Base Novos Clientes'!R$2)</f>
        <v>0</v>
      </c>
      <c r="S246" s="82">
        <f>COUNTIFS(Log!$D:$D,'Base Novos Clientes'!$C246,Log!$W:$W,'Base Novos Clientes'!S$2)</f>
        <v>0</v>
      </c>
      <c r="T246" s="82">
        <f>COUNTIFS(Log!$D:$D,'Base Novos Clientes'!$C246,Log!$W:$W,'Base Novos Clientes'!T$2)</f>
        <v>0</v>
      </c>
    </row>
    <row r="247" spans="3:20" x14ac:dyDescent="0.25">
      <c r="C247" s="75"/>
      <c r="D247" s="75"/>
      <c r="E247" s="75"/>
      <c r="F247" s="75"/>
      <c r="G247" s="76"/>
      <c r="H247" s="77"/>
      <c r="I247" s="78"/>
      <c r="J247" s="79"/>
      <c r="K247" s="79" t="str">
        <f ca="1">IF(J247="","NOVO",_xlfn.XLOOKUP(TODAY()-J247,Regras!$C$3:$C$10,Regras!$D$3:$D$10,,1))</f>
        <v>NOVO</v>
      </c>
      <c r="L247" s="75" t="str">
        <f t="shared" si="3"/>
        <v/>
      </c>
      <c r="M247" s="80" t="str">
        <f>IFERROR(IF(Tabela13[[#This Row],[NOME FANTASIA]]="","",_xlfn.XLOOKUP($C247,Log!D:D,Log!B:B,,,-1)),"")</f>
        <v/>
      </c>
      <c r="N247" s="81" t="str">
        <f>IFERROR(_xlfn.XLOOKUP($C247,Log!D:D,Log!W:W,,,-1),"")</f>
        <v/>
      </c>
      <c r="O247" s="81">
        <f>IFERROR(_xlfn.XLOOKUP($C247,Log!D:D,Log!Y:Y,,,-1),"")</f>
        <v>0</v>
      </c>
      <c r="Q247" s="69" t="str">
        <f>IFERROR(IF(Tabela13[[#This Row],[NOME FANTASIA]]="","",_xlfn.XLOOKUP($C247,Log!D:D,Log!X:X,,,-1)),"")</f>
        <v/>
      </c>
      <c r="R247" s="82">
        <f>COUNTIFS(Log!$D:$D,'Base Novos Clientes'!$C247,Log!$W:$W,'Base Novos Clientes'!R$2)</f>
        <v>0</v>
      </c>
      <c r="S247" s="82">
        <f>COUNTIFS(Log!$D:$D,'Base Novos Clientes'!$C247,Log!$W:$W,'Base Novos Clientes'!S$2)</f>
        <v>0</v>
      </c>
      <c r="T247" s="82">
        <f>COUNTIFS(Log!$D:$D,'Base Novos Clientes'!$C247,Log!$W:$W,'Base Novos Clientes'!T$2)</f>
        <v>0</v>
      </c>
    </row>
    <row r="248" spans="3:20" x14ac:dyDescent="0.25">
      <c r="C248" s="75"/>
      <c r="D248" s="75"/>
      <c r="E248" s="75"/>
      <c r="F248" s="75"/>
      <c r="G248" s="76"/>
      <c r="H248" s="77"/>
      <c r="I248" s="78"/>
      <c r="J248" s="79"/>
      <c r="K248" s="79" t="str">
        <f ca="1">IF(J248="","NOVO",_xlfn.XLOOKUP(TODAY()-J248,Regras!$C$3:$C$10,Regras!$D$3:$D$10,,1))</f>
        <v>NOVO</v>
      </c>
      <c r="L248" s="75" t="str">
        <f t="shared" si="3"/>
        <v/>
      </c>
      <c r="M248" s="80" t="str">
        <f>IFERROR(IF(Tabela13[[#This Row],[NOME FANTASIA]]="","",_xlfn.XLOOKUP($C248,Log!D:D,Log!B:B,,,-1)),"")</f>
        <v/>
      </c>
      <c r="N248" s="81" t="str">
        <f>IFERROR(_xlfn.XLOOKUP($C248,Log!D:D,Log!W:W,,,-1),"")</f>
        <v/>
      </c>
      <c r="O248" s="81">
        <f>IFERROR(_xlfn.XLOOKUP($C248,Log!D:D,Log!Y:Y,,,-1),"")</f>
        <v>0</v>
      </c>
      <c r="Q248" s="69" t="str">
        <f>IFERROR(IF(Tabela13[[#This Row],[NOME FANTASIA]]="","",_xlfn.XLOOKUP($C248,Log!D:D,Log!X:X,,,-1)),"")</f>
        <v/>
      </c>
      <c r="R248" s="82">
        <f>COUNTIFS(Log!$D:$D,'Base Novos Clientes'!$C248,Log!$W:$W,'Base Novos Clientes'!R$2)</f>
        <v>0</v>
      </c>
      <c r="S248" s="82">
        <f>COUNTIFS(Log!$D:$D,'Base Novos Clientes'!$C248,Log!$W:$W,'Base Novos Clientes'!S$2)</f>
        <v>0</v>
      </c>
      <c r="T248" s="82">
        <f>COUNTIFS(Log!$D:$D,'Base Novos Clientes'!$C248,Log!$W:$W,'Base Novos Clientes'!T$2)</f>
        <v>0</v>
      </c>
    </row>
    <row r="249" spans="3:20" x14ac:dyDescent="0.25">
      <c r="C249" s="75"/>
      <c r="D249" s="75"/>
      <c r="E249" s="75"/>
      <c r="F249" s="75"/>
      <c r="G249" s="76"/>
      <c r="H249" s="77"/>
      <c r="I249" s="78"/>
      <c r="J249" s="79"/>
      <c r="K249" s="79" t="str">
        <f ca="1">IF(J249="","NOVO",_xlfn.XLOOKUP(TODAY()-J249,Regras!$C$3:$C$10,Regras!$D$3:$D$10,,1))</f>
        <v>NOVO</v>
      </c>
      <c r="L249" s="75" t="str">
        <f t="shared" si="3"/>
        <v/>
      </c>
      <c r="M249" s="80" t="str">
        <f>IFERROR(IF(Tabela13[[#This Row],[NOME FANTASIA]]="","",_xlfn.XLOOKUP($C249,Log!D:D,Log!B:B,,,-1)),"")</f>
        <v/>
      </c>
      <c r="N249" s="81" t="str">
        <f>IFERROR(_xlfn.XLOOKUP($C249,Log!D:D,Log!W:W,,,-1),"")</f>
        <v/>
      </c>
      <c r="O249" s="81">
        <f>IFERROR(_xlfn.XLOOKUP($C249,Log!D:D,Log!Y:Y,,,-1),"")</f>
        <v>0</v>
      </c>
      <c r="Q249" s="69" t="str">
        <f>IFERROR(IF(Tabela13[[#This Row],[NOME FANTASIA]]="","",_xlfn.XLOOKUP($C249,Log!D:D,Log!X:X,,,-1)),"")</f>
        <v/>
      </c>
      <c r="R249" s="82">
        <f>COUNTIFS(Log!$D:$D,'Base Novos Clientes'!$C249,Log!$W:$W,'Base Novos Clientes'!R$2)</f>
        <v>0</v>
      </c>
      <c r="S249" s="82">
        <f>COUNTIFS(Log!$D:$D,'Base Novos Clientes'!$C249,Log!$W:$W,'Base Novos Clientes'!S$2)</f>
        <v>0</v>
      </c>
      <c r="T249" s="82">
        <f>COUNTIFS(Log!$D:$D,'Base Novos Clientes'!$C249,Log!$W:$W,'Base Novos Clientes'!T$2)</f>
        <v>0</v>
      </c>
    </row>
    <row r="250" spans="3:20" x14ac:dyDescent="0.25">
      <c r="C250" s="75"/>
      <c r="D250" s="75"/>
      <c r="E250" s="75"/>
      <c r="F250" s="75"/>
      <c r="G250" s="76"/>
      <c r="H250" s="77"/>
      <c r="I250" s="78"/>
      <c r="J250" s="79"/>
      <c r="K250" s="79" t="str">
        <f ca="1">IF(J250="","NOVO",_xlfn.XLOOKUP(TODAY()-J250,Regras!$C$3:$C$10,Regras!$D$3:$D$10,,1))</f>
        <v>NOVO</v>
      </c>
      <c r="L250" s="75" t="str">
        <f t="shared" si="3"/>
        <v/>
      </c>
      <c r="M250" s="80" t="str">
        <f>IFERROR(IF(Tabela13[[#This Row],[NOME FANTASIA]]="","",_xlfn.XLOOKUP($C250,Log!D:D,Log!B:B,,,-1)),"")</f>
        <v/>
      </c>
      <c r="N250" s="81" t="str">
        <f>IFERROR(_xlfn.XLOOKUP($C250,Log!D:D,Log!W:W,,,-1),"")</f>
        <v/>
      </c>
      <c r="O250" s="81">
        <f>IFERROR(_xlfn.XLOOKUP($C250,Log!D:D,Log!Y:Y,,,-1),"")</f>
        <v>0</v>
      </c>
      <c r="Q250" s="69" t="str">
        <f>IFERROR(IF(Tabela13[[#This Row],[NOME FANTASIA]]="","",_xlfn.XLOOKUP($C250,Log!D:D,Log!X:X,,,-1)),"")</f>
        <v/>
      </c>
      <c r="R250" s="82">
        <f>COUNTIFS(Log!$D:$D,'Base Novos Clientes'!$C250,Log!$W:$W,'Base Novos Clientes'!R$2)</f>
        <v>0</v>
      </c>
      <c r="S250" s="82">
        <f>COUNTIFS(Log!$D:$D,'Base Novos Clientes'!$C250,Log!$W:$W,'Base Novos Clientes'!S$2)</f>
        <v>0</v>
      </c>
      <c r="T250" s="82">
        <f>COUNTIFS(Log!$D:$D,'Base Novos Clientes'!$C250,Log!$W:$W,'Base Novos Clientes'!T$2)</f>
        <v>0</v>
      </c>
    </row>
    <row r="251" spans="3:20" x14ac:dyDescent="0.25">
      <c r="C251" s="75"/>
      <c r="D251" s="75"/>
      <c r="E251" s="75"/>
      <c r="F251" s="75"/>
      <c r="G251" s="76"/>
      <c r="H251" s="77"/>
      <c r="I251" s="78"/>
      <c r="J251" s="79"/>
      <c r="K251" s="79" t="str">
        <f ca="1">IF(J251="","NOVO",_xlfn.XLOOKUP(TODAY()-J251,Regras!$C$3:$C$10,Regras!$D$3:$D$10,,1))</f>
        <v>NOVO</v>
      </c>
      <c r="L251" s="75" t="str">
        <f t="shared" si="3"/>
        <v/>
      </c>
      <c r="M251" s="80" t="str">
        <f>IFERROR(IF(Tabela13[[#This Row],[NOME FANTASIA]]="","",_xlfn.XLOOKUP($C251,Log!D:D,Log!B:B,,,-1)),"")</f>
        <v/>
      </c>
      <c r="N251" s="81" t="str">
        <f>IFERROR(_xlfn.XLOOKUP($C251,Log!D:D,Log!W:W,,,-1),"")</f>
        <v/>
      </c>
      <c r="O251" s="81">
        <f>IFERROR(_xlfn.XLOOKUP($C251,Log!D:D,Log!Y:Y,,,-1),"")</f>
        <v>0</v>
      </c>
      <c r="Q251" s="69" t="str">
        <f>IFERROR(IF(Tabela13[[#This Row],[NOME FANTASIA]]="","",_xlfn.XLOOKUP($C251,Log!D:D,Log!X:X,,,-1)),"")</f>
        <v/>
      </c>
      <c r="R251" s="82">
        <f>COUNTIFS(Log!$D:$D,'Base Novos Clientes'!$C251,Log!$W:$W,'Base Novos Clientes'!R$2)</f>
        <v>0</v>
      </c>
      <c r="S251" s="82">
        <f>COUNTIFS(Log!$D:$D,'Base Novos Clientes'!$C251,Log!$W:$W,'Base Novos Clientes'!S$2)</f>
        <v>0</v>
      </c>
      <c r="T251" s="82">
        <f>COUNTIFS(Log!$D:$D,'Base Novos Clientes'!$C251,Log!$W:$W,'Base Novos Clientes'!T$2)</f>
        <v>0</v>
      </c>
    </row>
    <row r="252" spans="3:20" x14ac:dyDescent="0.25">
      <c r="C252" s="75"/>
      <c r="D252" s="75"/>
      <c r="E252" s="75"/>
      <c r="F252" s="75"/>
      <c r="G252" s="76"/>
      <c r="H252" s="77"/>
      <c r="I252" s="78"/>
      <c r="J252" s="79"/>
      <c r="K252" s="79" t="str">
        <f ca="1">IF(J252="","NOVO",_xlfn.XLOOKUP(TODAY()-J252,Regras!$C$3:$C$10,Regras!$D$3:$D$10,,1))</f>
        <v>NOVO</v>
      </c>
      <c r="L252" s="75" t="str">
        <f t="shared" si="3"/>
        <v/>
      </c>
      <c r="M252" s="80" t="str">
        <f>IFERROR(IF(Tabela13[[#This Row],[NOME FANTASIA]]="","",_xlfn.XLOOKUP($C252,Log!D:D,Log!B:B,,,-1)),"")</f>
        <v/>
      </c>
      <c r="N252" s="81" t="str">
        <f>IFERROR(_xlfn.XLOOKUP($C252,Log!D:D,Log!W:W,,,-1),"")</f>
        <v/>
      </c>
      <c r="O252" s="81">
        <f>IFERROR(_xlfn.XLOOKUP($C252,Log!D:D,Log!Y:Y,,,-1),"")</f>
        <v>0</v>
      </c>
      <c r="Q252" s="69" t="str">
        <f>IFERROR(IF(Tabela13[[#This Row],[NOME FANTASIA]]="","",_xlfn.XLOOKUP($C252,Log!D:D,Log!X:X,,,-1)),"")</f>
        <v/>
      </c>
      <c r="R252" s="82">
        <f>COUNTIFS(Log!$D:$D,'Base Novos Clientes'!$C252,Log!$W:$W,'Base Novos Clientes'!R$2)</f>
        <v>0</v>
      </c>
      <c r="S252" s="82">
        <f>COUNTIFS(Log!$D:$D,'Base Novos Clientes'!$C252,Log!$W:$W,'Base Novos Clientes'!S$2)</f>
        <v>0</v>
      </c>
      <c r="T252" s="82">
        <f>COUNTIFS(Log!$D:$D,'Base Novos Clientes'!$C252,Log!$W:$W,'Base Novos Clientes'!T$2)</f>
        <v>0</v>
      </c>
    </row>
    <row r="253" spans="3:20" x14ac:dyDescent="0.25">
      <c r="C253" s="75"/>
      <c r="D253" s="75"/>
      <c r="E253" s="75"/>
      <c r="F253" s="75"/>
      <c r="G253" s="76"/>
      <c r="H253" s="77"/>
      <c r="I253" s="78"/>
      <c r="J253" s="79"/>
      <c r="K253" s="79" t="str">
        <f ca="1">IF(J253="","NOVO",_xlfn.XLOOKUP(TODAY()-J253,Regras!$C$3:$C$10,Regras!$D$3:$D$10,,1))</f>
        <v>NOVO</v>
      </c>
      <c r="L253" s="75" t="str">
        <f t="shared" si="3"/>
        <v/>
      </c>
      <c r="M253" s="80" t="str">
        <f>IFERROR(IF(Tabela13[[#This Row],[NOME FANTASIA]]="","",_xlfn.XLOOKUP($C253,Log!D:D,Log!B:B,,,-1)),"")</f>
        <v/>
      </c>
      <c r="N253" s="81" t="str">
        <f>IFERROR(_xlfn.XLOOKUP($C253,Log!D:D,Log!W:W,,,-1),"")</f>
        <v/>
      </c>
      <c r="O253" s="81">
        <f>IFERROR(_xlfn.XLOOKUP($C253,Log!D:D,Log!Y:Y,,,-1),"")</f>
        <v>0</v>
      </c>
      <c r="Q253" s="69" t="str">
        <f>IFERROR(IF(Tabela13[[#This Row],[NOME FANTASIA]]="","",_xlfn.XLOOKUP($C253,Log!D:D,Log!X:X,,,-1)),"")</f>
        <v/>
      </c>
      <c r="R253" s="82">
        <f>COUNTIFS(Log!$D:$D,'Base Novos Clientes'!$C253,Log!$W:$W,'Base Novos Clientes'!R$2)</f>
        <v>0</v>
      </c>
      <c r="S253" s="82">
        <f>COUNTIFS(Log!$D:$D,'Base Novos Clientes'!$C253,Log!$W:$W,'Base Novos Clientes'!S$2)</f>
        <v>0</v>
      </c>
      <c r="T253" s="82">
        <f>COUNTIFS(Log!$D:$D,'Base Novos Clientes'!$C253,Log!$W:$W,'Base Novos Clientes'!T$2)</f>
        <v>0</v>
      </c>
    </row>
    <row r="254" spans="3:20" x14ac:dyDescent="0.25">
      <c r="C254" s="75"/>
      <c r="D254" s="75"/>
      <c r="E254" s="75"/>
      <c r="F254" s="75"/>
      <c r="G254" s="76"/>
      <c r="H254" s="77"/>
      <c r="I254" s="78"/>
      <c r="J254" s="79"/>
      <c r="K254" s="79" t="str">
        <f ca="1">IF(J254="","NOVO",_xlfn.XLOOKUP(TODAY()-J254,Regras!$C$3:$C$10,Regras!$D$3:$D$10,,1))</f>
        <v>NOVO</v>
      </c>
      <c r="L254" s="75" t="str">
        <f t="shared" si="3"/>
        <v/>
      </c>
      <c r="M254" s="80" t="str">
        <f>IFERROR(IF(Tabela13[[#This Row],[NOME FANTASIA]]="","",_xlfn.XLOOKUP($C254,Log!D:D,Log!B:B,,,-1)),"")</f>
        <v/>
      </c>
      <c r="N254" s="81" t="str">
        <f>IFERROR(_xlfn.XLOOKUP($C254,Log!D:D,Log!W:W,,,-1),"")</f>
        <v/>
      </c>
      <c r="O254" s="81">
        <f>IFERROR(_xlfn.XLOOKUP($C254,Log!D:D,Log!Y:Y,,,-1),"")</f>
        <v>0</v>
      </c>
      <c r="Q254" s="69" t="str">
        <f>IFERROR(IF(Tabela13[[#This Row],[NOME FANTASIA]]="","",_xlfn.XLOOKUP($C254,Log!D:D,Log!X:X,,,-1)),"")</f>
        <v/>
      </c>
      <c r="R254" s="82">
        <f>COUNTIFS(Log!$D:$D,'Base Novos Clientes'!$C254,Log!$W:$W,'Base Novos Clientes'!R$2)</f>
        <v>0</v>
      </c>
      <c r="S254" s="82">
        <f>COUNTIFS(Log!$D:$D,'Base Novos Clientes'!$C254,Log!$W:$W,'Base Novos Clientes'!S$2)</f>
        <v>0</v>
      </c>
      <c r="T254" s="82">
        <f>COUNTIFS(Log!$D:$D,'Base Novos Clientes'!$C254,Log!$W:$W,'Base Novos Clientes'!T$2)</f>
        <v>0</v>
      </c>
    </row>
    <row r="255" spans="3:20" x14ac:dyDescent="0.25">
      <c r="C255" s="75"/>
      <c r="D255" s="75"/>
      <c r="E255" s="75"/>
      <c r="F255" s="75"/>
      <c r="G255" s="76"/>
      <c r="H255" s="77"/>
      <c r="I255" s="78"/>
      <c r="J255" s="79"/>
      <c r="K255" s="79" t="str">
        <f ca="1">IF(J255="","NOVO",_xlfn.XLOOKUP(TODAY()-J255,Regras!$C$3:$C$10,Regras!$D$3:$D$10,,1))</f>
        <v>NOVO</v>
      </c>
      <c r="L255" s="75" t="str">
        <f t="shared" si="3"/>
        <v/>
      </c>
      <c r="M255" s="80" t="str">
        <f>IFERROR(IF(Tabela13[[#This Row],[NOME FANTASIA]]="","",_xlfn.XLOOKUP($C255,Log!D:D,Log!B:B,,,-1)),"")</f>
        <v/>
      </c>
      <c r="N255" s="81" t="str">
        <f>IFERROR(_xlfn.XLOOKUP($C255,Log!D:D,Log!W:W,,,-1),"")</f>
        <v/>
      </c>
      <c r="O255" s="81">
        <f>IFERROR(_xlfn.XLOOKUP($C255,Log!D:D,Log!Y:Y,,,-1),"")</f>
        <v>0</v>
      </c>
      <c r="Q255" s="69" t="str">
        <f>IFERROR(IF(Tabela13[[#This Row],[NOME FANTASIA]]="","",_xlfn.XLOOKUP($C255,Log!D:D,Log!X:X,,,-1)),"")</f>
        <v/>
      </c>
      <c r="R255" s="82">
        <f>COUNTIFS(Log!$D:$D,'Base Novos Clientes'!$C255,Log!$W:$W,'Base Novos Clientes'!R$2)</f>
        <v>0</v>
      </c>
      <c r="S255" s="82">
        <f>COUNTIFS(Log!$D:$D,'Base Novos Clientes'!$C255,Log!$W:$W,'Base Novos Clientes'!S$2)</f>
        <v>0</v>
      </c>
      <c r="T255" s="82">
        <f>COUNTIFS(Log!$D:$D,'Base Novos Clientes'!$C255,Log!$W:$W,'Base Novos Clientes'!T$2)</f>
        <v>0</v>
      </c>
    </row>
    <row r="256" spans="3:20" x14ac:dyDescent="0.25">
      <c r="C256" s="75"/>
      <c r="D256" s="75"/>
      <c r="E256" s="75"/>
      <c r="F256" s="75"/>
      <c r="G256" s="76"/>
      <c r="H256" s="77"/>
      <c r="I256" s="78"/>
      <c r="J256" s="79"/>
      <c r="K256" s="79" t="str">
        <f ca="1">IF(J256="","NOVO",_xlfn.XLOOKUP(TODAY()-J256,Regras!$C$3:$C$10,Regras!$D$3:$D$10,,1))</f>
        <v>NOVO</v>
      </c>
      <c r="L256" s="75" t="str">
        <f t="shared" si="3"/>
        <v/>
      </c>
      <c r="M256" s="80" t="str">
        <f>IFERROR(IF(Tabela13[[#This Row],[NOME FANTASIA]]="","",_xlfn.XLOOKUP($C256,Log!D:D,Log!B:B,,,-1)),"")</f>
        <v/>
      </c>
      <c r="N256" s="81" t="str">
        <f>IFERROR(_xlfn.XLOOKUP($C256,Log!D:D,Log!W:W,,,-1),"")</f>
        <v/>
      </c>
      <c r="O256" s="81">
        <f>IFERROR(_xlfn.XLOOKUP($C256,Log!D:D,Log!Y:Y,,,-1),"")</f>
        <v>0</v>
      </c>
      <c r="Q256" s="69" t="str">
        <f>IFERROR(IF(Tabela13[[#This Row],[NOME FANTASIA]]="","",_xlfn.XLOOKUP($C256,Log!D:D,Log!X:X,,,-1)),"")</f>
        <v/>
      </c>
      <c r="R256" s="82">
        <f>COUNTIFS(Log!$D:$D,'Base Novos Clientes'!$C256,Log!$W:$W,'Base Novos Clientes'!R$2)</f>
        <v>0</v>
      </c>
      <c r="S256" s="82">
        <f>COUNTIFS(Log!$D:$D,'Base Novos Clientes'!$C256,Log!$W:$W,'Base Novos Clientes'!S$2)</f>
        <v>0</v>
      </c>
      <c r="T256" s="82">
        <f>COUNTIFS(Log!$D:$D,'Base Novos Clientes'!$C256,Log!$W:$W,'Base Novos Clientes'!T$2)</f>
        <v>0</v>
      </c>
    </row>
    <row r="257" spans="3:20" x14ac:dyDescent="0.25">
      <c r="C257" s="75"/>
      <c r="D257" s="75"/>
      <c r="E257" s="75"/>
      <c r="F257" s="75"/>
      <c r="G257" s="76"/>
      <c r="H257" s="77"/>
      <c r="I257" s="78"/>
      <c r="J257" s="79"/>
      <c r="K257" s="79" t="str">
        <f ca="1">IF(J257="","NOVO",_xlfn.XLOOKUP(TODAY()-J257,Regras!$C$3:$C$10,Regras!$D$3:$D$10,,1))</f>
        <v>NOVO</v>
      </c>
      <c r="L257" s="75" t="str">
        <f t="shared" si="3"/>
        <v/>
      </c>
      <c r="M257" s="80" t="str">
        <f>IFERROR(IF(Tabela13[[#This Row],[NOME FANTASIA]]="","",_xlfn.XLOOKUP($C257,Log!D:D,Log!B:B,,,-1)),"")</f>
        <v/>
      </c>
      <c r="N257" s="81" t="str">
        <f>IFERROR(_xlfn.XLOOKUP($C257,Log!D:D,Log!W:W,,,-1),"")</f>
        <v/>
      </c>
      <c r="O257" s="81">
        <f>IFERROR(_xlfn.XLOOKUP($C257,Log!D:D,Log!Y:Y,,,-1),"")</f>
        <v>0</v>
      </c>
      <c r="Q257" s="69" t="str">
        <f>IFERROR(IF(Tabela13[[#This Row],[NOME FANTASIA]]="","",_xlfn.XLOOKUP($C257,Log!D:D,Log!X:X,,,-1)),"")</f>
        <v/>
      </c>
      <c r="R257" s="82">
        <f>COUNTIFS(Log!$D:$D,'Base Novos Clientes'!$C257,Log!$W:$W,'Base Novos Clientes'!R$2)</f>
        <v>0</v>
      </c>
      <c r="S257" s="82">
        <f>COUNTIFS(Log!$D:$D,'Base Novos Clientes'!$C257,Log!$W:$W,'Base Novos Clientes'!S$2)</f>
        <v>0</v>
      </c>
      <c r="T257" s="82">
        <f>COUNTIFS(Log!$D:$D,'Base Novos Clientes'!$C257,Log!$W:$W,'Base Novos Clientes'!T$2)</f>
        <v>0</v>
      </c>
    </row>
    <row r="258" spans="3:20" x14ac:dyDescent="0.25">
      <c r="C258" s="75"/>
      <c r="D258" s="75"/>
      <c r="E258" s="75"/>
      <c r="F258" s="75"/>
      <c r="G258" s="76"/>
      <c r="H258" s="77"/>
      <c r="I258" s="78"/>
      <c r="J258" s="79"/>
      <c r="K258" s="79" t="str">
        <f ca="1">IF(J258="","NOVO",_xlfn.XLOOKUP(TODAY()-J258,Regras!$C$3:$C$10,Regras!$D$3:$D$10,,1))</f>
        <v>NOVO</v>
      </c>
      <c r="L258" s="75" t="str">
        <f t="shared" si="3"/>
        <v/>
      </c>
      <c r="M258" s="80" t="str">
        <f>IFERROR(IF(Tabela13[[#This Row],[NOME FANTASIA]]="","",_xlfn.XLOOKUP($C258,Log!D:D,Log!B:B,,,-1)),"")</f>
        <v/>
      </c>
      <c r="N258" s="81" t="str">
        <f>IFERROR(_xlfn.XLOOKUP($C258,Log!D:D,Log!W:W,,,-1),"")</f>
        <v/>
      </c>
      <c r="O258" s="81">
        <f>IFERROR(_xlfn.XLOOKUP($C258,Log!D:D,Log!Y:Y,,,-1),"")</f>
        <v>0</v>
      </c>
      <c r="Q258" s="69" t="str">
        <f>IFERROR(IF(Tabela13[[#This Row],[NOME FANTASIA]]="","",_xlfn.XLOOKUP($C258,Log!D:D,Log!X:X,,,-1)),"")</f>
        <v/>
      </c>
      <c r="R258" s="82">
        <f>COUNTIFS(Log!$D:$D,'Base Novos Clientes'!$C258,Log!$W:$W,'Base Novos Clientes'!R$2)</f>
        <v>0</v>
      </c>
      <c r="S258" s="82">
        <f>COUNTIFS(Log!$D:$D,'Base Novos Clientes'!$C258,Log!$W:$W,'Base Novos Clientes'!S$2)</f>
        <v>0</v>
      </c>
      <c r="T258" s="82">
        <f>COUNTIFS(Log!$D:$D,'Base Novos Clientes'!$C258,Log!$W:$W,'Base Novos Clientes'!T$2)</f>
        <v>0</v>
      </c>
    </row>
    <row r="259" spans="3:20" x14ac:dyDescent="0.25">
      <c r="C259" s="75"/>
      <c r="D259" s="75"/>
      <c r="E259" s="75"/>
      <c r="F259" s="75"/>
      <c r="G259" s="76"/>
      <c r="H259" s="77"/>
      <c r="I259" s="78"/>
      <c r="J259" s="79"/>
      <c r="K259" s="79" t="str">
        <f ca="1">IF(J259="","NOVO",_xlfn.XLOOKUP(TODAY()-J259,Regras!$C$3:$C$10,Regras!$D$3:$D$10,,1))</f>
        <v>NOVO</v>
      </c>
      <c r="L259" s="75" t="str">
        <f t="shared" si="3"/>
        <v/>
      </c>
      <c r="M259" s="80" t="str">
        <f>IFERROR(IF(Tabela13[[#This Row],[NOME FANTASIA]]="","",_xlfn.XLOOKUP($C259,Log!D:D,Log!B:B,,,-1)),"")</f>
        <v/>
      </c>
      <c r="N259" s="81" t="str">
        <f>IFERROR(_xlfn.XLOOKUP($C259,Log!D:D,Log!W:W,,,-1),"")</f>
        <v/>
      </c>
      <c r="O259" s="81">
        <f>IFERROR(_xlfn.XLOOKUP($C259,Log!D:D,Log!Y:Y,,,-1),"")</f>
        <v>0</v>
      </c>
      <c r="Q259" s="69" t="str">
        <f>IFERROR(IF(Tabela13[[#This Row],[NOME FANTASIA]]="","",_xlfn.XLOOKUP($C259,Log!D:D,Log!X:X,,,-1)),"")</f>
        <v/>
      </c>
      <c r="R259" s="82">
        <f>COUNTIFS(Log!$D:$D,'Base Novos Clientes'!$C259,Log!$W:$W,'Base Novos Clientes'!R$2)</f>
        <v>0</v>
      </c>
      <c r="S259" s="82">
        <f>COUNTIFS(Log!$D:$D,'Base Novos Clientes'!$C259,Log!$W:$W,'Base Novos Clientes'!S$2)</f>
        <v>0</v>
      </c>
      <c r="T259" s="82">
        <f>COUNTIFS(Log!$D:$D,'Base Novos Clientes'!$C259,Log!$W:$W,'Base Novos Clientes'!T$2)</f>
        <v>0</v>
      </c>
    </row>
    <row r="260" spans="3:20" x14ac:dyDescent="0.25">
      <c r="C260" s="75"/>
      <c r="D260" s="75"/>
      <c r="E260" s="75"/>
      <c r="F260" s="75"/>
      <c r="G260" s="76"/>
      <c r="H260" s="77"/>
      <c r="I260" s="78"/>
      <c r="J260" s="79"/>
      <c r="K260" s="79" t="str">
        <f ca="1">IF(J260="","NOVO",_xlfn.XLOOKUP(TODAY()-J260,Regras!$C$3:$C$10,Regras!$D$3:$D$10,,1))</f>
        <v>NOVO</v>
      </c>
      <c r="L260" s="75" t="str">
        <f t="shared" ref="L260:L323" si="4">IF(OR(I260&lt;=0,I260=""),"","Recompra")</f>
        <v/>
      </c>
      <c r="M260" s="80" t="str">
        <f>IFERROR(IF(Tabela13[[#This Row],[NOME FANTASIA]]="","",_xlfn.XLOOKUP($C260,Log!D:D,Log!B:B,,,-1)),"")</f>
        <v/>
      </c>
      <c r="N260" s="81" t="str">
        <f>IFERROR(_xlfn.XLOOKUP($C260,Log!D:D,Log!W:W,,,-1),"")</f>
        <v/>
      </c>
      <c r="O260" s="81">
        <f>IFERROR(_xlfn.XLOOKUP($C260,Log!D:D,Log!Y:Y,,,-1),"")</f>
        <v>0</v>
      </c>
      <c r="Q260" s="69" t="str">
        <f>IFERROR(IF(Tabela13[[#This Row],[NOME FANTASIA]]="","",_xlfn.XLOOKUP($C260,Log!D:D,Log!X:X,,,-1)),"")</f>
        <v/>
      </c>
      <c r="R260" s="82">
        <f>COUNTIFS(Log!$D:$D,'Base Novos Clientes'!$C260,Log!$W:$W,'Base Novos Clientes'!R$2)</f>
        <v>0</v>
      </c>
      <c r="S260" s="82">
        <f>COUNTIFS(Log!$D:$D,'Base Novos Clientes'!$C260,Log!$W:$W,'Base Novos Clientes'!S$2)</f>
        <v>0</v>
      </c>
      <c r="T260" s="82">
        <f>COUNTIFS(Log!$D:$D,'Base Novos Clientes'!$C260,Log!$W:$W,'Base Novos Clientes'!T$2)</f>
        <v>0</v>
      </c>
    </row>
    <row r="261" spans="3:20" x14ac:dyDescent="0.25">
      <c r="C261" s="75"/>
      <c r="D261" s="75"/>
      <c r="E261" s="75"/>
      <c r="F261" s="75"/>
      <c r="G261" s="76"/>
      <c r="H261" s="77"/>
      <c r="I261" s="78"/>
      <c r="J261" s="79"/>
      <c r="K261" s="79" t="str">
        <f ca="1">IF(J261="","NOVO",_xlfn.XLOOKUP(TODAY()-J261,Regras!$C$3:$C$10,Regras!$D$3:$D$10,,1))</f>
        <v>NOVO</v>
      </c>
      <c r="L261" s="75" t="str">
        <f t="shared" si="4"/>
        <v/>
      </c>
      <c r="M261" s="80" t="str">
        <f>IFERROR(IF(Tabela13[[#This Row],[NOME FANTASIA]]="","",_xlfn.XLOOKUP($C261,Log!D:D,Log!B:B,,,-1)),"")</f>
        <v/>
      </c>
      <c r="N261" s="81" t="str">
        <f>IFERROR(_xlfn.XLOOKUP($C261,Log!D:D,Log!W:W,,,-1),"")</f>
        <v/>
      </c>
      <c r="O261" s="81">
        <f>IFERROR(_xlfn.XLOOKUP($C261,Log!D:D,Log!Y:Y,,,-1),"")</f>
        <v>0</v>
      </c>
      <c r="Q261" s="69" t="str">
        <f>IFERROR(IF(Tabela13[[#This Row],[NOME FANTASIA]]="","",_xlfn.XLOOKUP($C261,Log!D:D,Log!X:X,,,-1)),"")</f>
        <v/>
      </c>
      <c r="R261" s="82">
        <f>COUNTIFS(Log!$D:$D,'Base Novos Clientes'!$C261,Log!$W:$W,'Base Novos Clientes'!R$2)</f>
        <v>0</v>
      </c>
      <c r="S261" s="82">
        <f>COUNTIFS(Log!$D:$D,'Base Novos Clientes'!$C261,Log!$W:$W,'Base Novos Clientes'!S$2)</f>
        <v>0</v>
      </c>
      <c r="T261" s="82">
        <f>COUNTIFS(Log!$D:$D,'Base Novos Clientes'!$C261,Log!$W:$W,'Base Novos Clientes'!T$2)</f>
        <v>0</v>
      </c>
    </row>
    <row r="262" spans="3:20" x14ac:dyDescent="0.25">
      <c r="C262" s="75"/>
      <c r="D262" s="75"/>
      <c r="E262" s="75"/>
      <c r="F262" s="75"/>
      <c r="G262" s="76"/>
      <c r="H262" s="77"/>
      <c r="I262" s="78"/>
      <c r="J262" s="79"/>
      <c r="K262" s="79" t="str">
        <f ca="1">IF(J262="","NOVO",_xlfn.XLOOKUP(TODAY()-J262,Regras!$C$3:$C$10,Regras!$D$3:$D$10,,1))</f>
        <v>NOVO</v>
      </c>
      <c r="L262" s="75" t="str">
        <f t="shared" si="4"/>
        <v/>
      </c>
      <c r="M262" s="80" t="str">
        <f>IFERROR(IF(Tabela13[[#This Row],[NOME FANTASIA]]="","",_xlfn.XLOOKUP($C262,Log!D:D,Log!B:B,,,-1)),"")</f>
        <v/>
      </c>
      <c r="N262" s="81" t="str">
        <f>IFERROR(_xlfn.XLOOKUP($C262,Log!D:D,Log!W:W,,,-1),"")</f>
        <v/>
      </c>
      <c r="O262" s="81">
        <f>IFERROR(_xlfn.XLOOKUP($C262,Log!D:D,Log!Y:Y,,,-1),"")</f>
        <v>0</v>
      </c>
      <c r="Q262" s="69" t="str">
        <f>IFERROR(IF(Tabela13[[#This Row],[NOME FANTASIA]]="","",_xlfn.XLOOKUP($C262,Log!D:D,Log!X:X,,,-1)),"")</f>
        <v/>
      </c>
      <c r="R262" s="82">
        <f>COUNTIFS(Log!$D:$D,'Base Novos Clientes'!$C262,Log!$W:$W,'Base Novos Clientes'!R$2)</f>
        <v>0</v>
      </c>
      <c r="S262" s="82">
        <f>COUNTIFS(Log!$D:$D,'Base Novos Clientes'!$C262,Log!$W:$W,'Base Novos Clientes'!S$2)</f>
        <v>0</v>
      </c>
      <c r="T262" s="82">
        <f>COUNTIFS(Log!$D:$D,'Base Novos Clientes'!$C262,Log!$W:$W,'Base Novos Clientes'!T$2)</f>
        <v>0</v>
      </c>
    </row>
    <row r="263" spans="3:20" x14ac:dyDescent="0.25">
      <c r="C263" s="75"/>
      <c r="D263" s="75"/>
      <c r="E263" s="75"/>
      <c r="F263" s="75"/>
      <c r="G263" s="76"/>
      <c r="H263" s="77"/>
      <c r="I263" s="78"/>
      <c r="J263" s="79"/>
      <c r="K263" s="79" t="str">
        <f ca="1">IF(J263="","NOVO",_xlfn.XLOOKUP(TODAY()-J263,Regras!$C$3:$C$10,Regras!$D$3:$D$10,,1))</f>
        <v>NOVO</v>
      </c>
      <c r="L263" s="75" t="str">
        <f t="shared" si="4"/>
        <v/>
      </c>
      <c r="M263" s="80" t="str">
        <f>IFERROR(IF(Tabela13[[#This Row],[NOME FANTASIA]]="","",_xlfn.XLOOKUP($C263,Log!D:D,Log!B:B,,,-1)),"")</f>
        <v/>
      </c>
      <c r="N263" s="81" t="str">
        <f>IFERROR(_xlfn.XLOOKUP($C263,Log!D:D,Log!W:W,,,-1),"")</f>
        <v/>
      </c>
      <c r="O263" s="81">
        <f>IFERROR(_xlfn.XLOOKUP($C263,Log!D:D,Log!Y:Y,,,-1),"")</f>
        <v>0</v>
      </c>
      <c r="Q263" s="69" t="str">
        <f>IFERROR(IF(Tabela13[[#This Row],[NOME FANTASIA]]="","",_xlfn.XLOOKUP($C263,Log!D:D,Log!X:X,,,-1)),"")</f>
        <v/>
      </c>
      <c r="R263" s="82">
        <f>COUNTIFS(Log!$D:$D,'Base Novos Clientes'!$C263,Log!$W:$W,'Base Novos Clientes'!R$2)</f>
        <v>0</v>
      </c>
      <c r="S263" s="82">
        <f>COUNTIFS(Log!$D:$D,'Base Novos Clientes'!$C263,Log!$W:$W,'Base Novos Clientes'!S$2)</f>
        <v>0</v>
      </c>
      <c r="T263" s="82">
        <f>COUNTIFS(Log!$D:$D,'Base Novos Clientes'!$C263,Log!$W:$W,'Base Novos Clientes'!T$2)</f>
        <v>0</v>
      </c>
    </row>
    <row r="264" spans="3:20" x14ac:dyDescent="0.25">
      <c r="C264" s="75"/>
      <c r="D264" s="75"/>
      <c r="E264" s="75"/>
      <c r="F264" s="75"/>
      <c r="G264" s="76"/>
      <c r="H264" s="77"/>
      <c r="I264" s="78"/>
      <c r="J264" s="79"/>
      <c r="K264" s="79" t="str">
        <f ca="1">IF(J264="","NOVO",_xlfn.XLOOKUP(TODAY()-J264,Regras!$C$3:$C$10,Regras!$D$3:$D$10,,1))</f>
        <v>NOVO</v>
      </c>
      <c r="L264" s="75" t="str">
        <f t="shared" si="4"/>
        <v/>
      </c>
      <c r="M264" s="80" t="str">
        <f>IFERROR(IF(Tabela13[[#This Row],[NOME FANTASIA]]="","",_xlfn.XLOOKUP($C264,Log!D:D,Log!B:B,,,-1)),"")</f>
        <v/>
      </c>
      <c r="N264" s="81" t="str">
        <f>IFERROR(_xlfn.XLOOKUP($C264,Log!D:D,Log!W:W,,,-1),"")</f>
        <v/>
      </c>
      <c r="O264" s="81">
        <f>IFERROR(_xlfn.XLOOKUP($C264,Log!D:D,Log!Y:Y,,,-1),"")</f>
        <v>0</v>
      </c>
      <c r="Q264" s="69" t="str">
        <f>IFERROR(IF(Tabela13[[#This Row],[NOME FANTASIA]]="","",_xlfn.XLOOKUP($C264,Log!D:D,Log!X:X,,,-1)),"")</f>
        <v/>
      </c>
      <c r="R264" s="82">
        <f>COUNTIFS(Log!$D:$D,'Base Novos Clientes'!$C264,Log!$W:$W,'Base Novos Clientes'!R$2)</f>
        <v>0</v>
      </c>
      <c r="S264" s="82">
        <f>COUNTIFS(Log!$D:$D,'Base Novos Clientes'!$C264,Log!$W:$W,'Base Novos Clientes'!S$2)</f>
        <v>0</v>
      </c>
      <c r="T264" s="82">
        <f>COUNTIFS(Log!$D:$D,'Base Novos Clientes'!$C264,Log!$W:$W,'Base Novos Clientes'!T$2)</f>
        <v>0</v>
      </c>
    </row>
    <row r="265" spans="3:20" x14ac:dyDescent="0.25">
      <c r="C265" s="75"/>
      <c r="D265" s="75"/>
      <c r="E265" s="75"/>
      <c r="F265" s="75"/>
      <c r="G265" s="76"/>
      <c r="H265" s="77"/>
      <c r="I265" s="78"/>
      <c r="J265" s="79"/>
      <c r="K265" s="79" t="str">
        <f ca="1">IF(J265="","NOVO",_xlfn.XLOOKUP(TODAY()-J265,Regras!$C$3:$C$10,Regras!$D$3:$D$10,,1))</f>
        <v>NOVO</v>
      </c>
      <c r="L265" s="75" t="str">
        <f t="shared" si="4"/>
        <v/>
      </c>
      <c r="M265" s="80" t="str">
        <f>IFERROR(IF(Tabela13[[#This Row],[NOME FANTASIA]]="","",_xlfn.XLOOKUP($C265,Log!D:D,Log!B:B,,,-1)),"")</f>
        <v/>
      </c>
      <c r="N265" s="81" t="str">
        <f>IFERROR(_xlfn.XLOOKUP($C265,Log!D:D,Log!W:W,,,-1),"")</f>
        <v/>
      </c>
      <c r="O265" s="81">
        <f>IFERROR(_xlfn.XLOOKUP($C265,Log!D:D,Log!Y:Y,,,-1),"")</f>
        <v>0</v>
      </c>
      <c r="Q265" s="69" t="str">
        <f>IFERROR(IF(Tabela13[[#This Row],[NOME FANTASIA]]="","",_xlfn.XLOOKUP($C265,Log!D:D,Log!X:X,,,-1)),"")</f>
        <v/>
      </c>
      <c r="R265" s="82">
        <f>COUNTIFS(Log!$D:$D,'Base Novos Clientes'!$C265,Log!$W:$W,'Base Novos Clientes'!R$2)</f>
        <v>0</v>
      </c>
      <c r="S265" s="82">
        <f>COUNTIFS(Log!$D:$D,'Base Novos Clientes'!$C265,Log!$W:$W,'Base Novos Clientes'!S$2)</f>
        <v>0</v>
      </c>
      <c r="T265" s="82">
        <f>COUNTIFS(Log!$D:$D,'Base Novos Clientes'!$C265,Log!$W:$W,'Base Novos Clientes'!T$2)</f>
        <v>0</v>
      </c>
    </row>
    <row r="266" spans="3:20" x14ac:dyDescent="0.25">
      <c r="C266" s="75"/>
      <c r="D266" s="75"/>
      <c r="E266" s="75"/>
      <c r="F266" s="75"/>
      <c r="G266" s="76"/>
      <c r="H266" s="77"/>
      <c r="I266" s="78"/>
      <c r="J266" s="79"/>
      <c r="K266" s="79" t="str">
        <f ca="1">IF(J266="","NOVO",_xlfn.XLOOKUP(TODAY()-J266,Regras!$C$3:$C$10,Regras!$D$3:$D$10,,1))</f>
        <v>NOVO</v>
      </c>
      <c r="L266" s="75" t="str">
        <f t="shared" si="4"/>
        <v/>
      </c>
      <c r="M266" s="80" t="str">
        <f>IFERROR(IF(Tabela13[[#This Row],[NOME FANTASIA]]="","",_xlfn.XLOOKUP($C266,Log!D:D,Log!B:B,,,-1)),"")</f>
        <v/>
      </c>
      <c r="N266" s="81" t="str">
        <f>IFERROR(_xlfn.XLOOKUP($C266,Log!D:D,Log!W:W,,,-1),"")</f>
        <v/>
      </c>
      <c r="O266" s="81">
        <f>IFERROR(_xlfn.XLOOKUP($C266,Log!D:D,Log!Y:Y,,,-1),"")</f>
        <v>0</v>
      </c>
      <c r="Q266" s="69" t="str">
        <f>IFERROR(IF(Tabela13[[#This Row],[NOME FANTASIA]]="","",_xlfn.XLOOKUP($C266,Log!D:D,Log!X:X,,,-1)),"")</f>
        <v/>
      </c>
      <c r="R266" s="82">
        <f>COUNTIFS(Log!$D:$D,'Base Novos Clientes'!$C266,Log!$W:$W,'Base Novos Clientes'!R$2)</f>
        <v>0</v>
      </c>
      <c r="S266" s="82">
        <f>COUNTIFS(Log!$D:$D,'Base Novos Clientes'!$C266,Log!$W:$W,'Base Novos Clientes'!S$2)</f>
        <v>0</v>
      </c>
      <c r="T266" s="82">
        <f>COUNTIFS(Log!$D:$D,'Base Novos Clientes'!$C266,Log!$W:$W,'Base Novos Clientes'!T$2)</f>
        <v>0</v>
      </c>
    </row>
    <row r="267" spans="3:20" x14ac:dyDescent="0.25">
      <c r="C267" s="75"/>
      <c r="D267" s="75"/>
      <c r="E267" s="75"/>
      <c r="F267" s="75"/>
      <c r="G267" s="76"/>
      <c r="H267" s="77"/>
      <c r="I267" s="78"/>
      <c r="J267" s="79"/>
      <c r="K267" s="79" t="str">
        <f ca="1">IF(J267="","NOVO",_xlfn.XLOOKUP(TODAY()-J267,Regras!$C$3:$C$10,Regras!$D$3:$D$10,,1))</f>
        <v>NOVO</v>
      </c>
      <c r="L267" s="75" t="str">
        <f t="shared" si="4"/>
        <v/>
      </c>
      <c r="M267" s="80" t="str">
        <f>IFERROR(IF(Tabela13[[#This Row],[NOME FANTASIA]]="","",_xlfn.XLOOKUP($C267,Log!D:D,Log!B:B,,,-1)),"")</f>
        <v/>
      </c>
      <c r="N267" s="81" t="str">
        <f>IFERROR(_xlfn.XLOOKUP($C267,Log!D:D,Log!W:W,,,-1),"")</f>
        <v/>
      </c>
      <c r="O267" s="81">
        <f>IFERROR(_xlfn.XLOOKUP($C267,Log!D:D,Log!Y:Y,,,-1),"")</f>
        <v>0</v>
      </c>
      <c r="Q267" s="69" t="str">
        <f>IFERROR(IF(Tabela13[[#This Row],[NOME FANTASIA]]="","",_xlfn.XLOOKUP($C267,Log!D:D,Log!X:X,,,-1)),"")</f>
        <v/>
      </c>
      <c r="R267" s="82">
        <f>COUNTIFS(Log!$D:$D,'Base Novos Clientes'!$C267,Log!$W:$W,'Base Novos Clientes'!R$2)</f>
        <v>0</v>
      </c>
      <c r="S267" s="82">
        <f>COUNTIFS(Log!$D:$D,'Base Novos Clientes'!$C267,Log!$W:$W,'Base Novos Clientes'!S$2)</f>
        <v>0</v>
      </c>
      <c r="T267" s="82">
        <f>COUNTIFS(Log!$D:$D,'Base Novos Clientes'!$C267,Log!$W:$W,'Base Novos Clientes'!T$2)</f>
        <v>0</v>
      </c>
    </row>
    <row r="268" spans="3:20" x14ac:dyDescent="0.25">
      <c r="C268" s="75"/>
      <c r="D268" s="75"/>
      <c r="E268" s="75"/>
      <c r="F268" s="75"/>
      <c r="G268" s="76"/>
      <c r="H268" s="77"/>
      <c r="I268" s="78"/>
      <c r="J268" s="79"/>
      <c r="K268" s="79" t="str">
        <f ca="1">IF(J268="","NOVO",_xlfn.XLOOKUP(TODAY()-J268,Regras!$C$3:$C$10,Regras!$D$3:$D$10,,1))</f>
        <v>NOVO</v>
      </c>
      <c r="L268" s="75" t="str">
        <f t="shared" si="4"/>
        <v/>
      </c>
      <c r="M268" s="80" t="str">
        <f>IFERROR(IF(Tabela13[[#This Row],[NOME FANTASIA]]="","",_xlfn.XLOOKUP($C268,Log!D:D,Log!B:B,,,-1)),"")</f>
        <v/>
      </c>
      <c r="N268" s="81" t="str">
        <f>IFERROR(_xlfn.XLOOKUP($C268,Log!D:D,Log!W:W,,,-1),"")</f>
        <v/>
      </c>
      <c r="O268" s="81">
        <f>IFERROR(_xlfn.XLOOKUP($C268,Log!D:D,Log!Y:Y,,,-1),"")</f>
        <v>0</v>
      </c>
      <c r="Q268" s="69" t="str">
        <f>IFERROR(IF(Tabela13[[#This Row],[NOME FANTASIA]]="","",_xlfn.XLOOKUP($C268,Log!D:D,Log!X:X,,,-1)),"")</f>
        <v/>
      </c>
      <c r="R268" s="82">
        <f>COUNTIFS(Log!$D:$D,'Base Novos Clientes'!$C268,Log!$W:$W,'Base Novos Clientes'!R$2)</f>
        <v>0</v>
      </c>
      <c r="S268" s="82">
        <f>COUNTIFS(Log!$D:$D,'Base Novos Clientes'!$C268,Log!$W:$W,'Base Novos Clientes'!S$2)</f>
        <v>0</v>
      </c>
      <c r="T268" s="82">
        <f>COUNTIFS(Log!$D:$D,'Base Novos Clientes'!$C268,Log!$W:$W,'Base Novos Clientes'!T$2)</f>
        <v>0</v>
      </c>
    </row>
    <row r="269" spans="3:20" x14ac:dyDescent="0.25">
      <c r="C269" s="75"/>
      <c r="D269" s="75"/>
      <c r="E269" s="75"/>
      <c r="F269" s="75"/>
      <c r="G269" s="76"/>
      <c r="H269" s="77"/>
      <c r="I269" s="78"/>
      <c r="J269" s="79"/>
      <c r="K269" s="79" t="str">
        <f ca="1">IF(J269="","NOVO",_xlfn.XLOOKUP(TODAY()-J269,Regras!$C$3:$C$10,Regras!$D$3:$D$10,,1))</f>
        <v>NOVO</v>
      </c>
      <c r="L269" s="75" t="str">
        <f t="shared" si="4"/>
        <v/>
      </c>
      <c r="M269" s="80" t="str">
        <f>IFERROR(IF(Tabela13[[#This Row],[NOME FANTASIA]]="","",_xlfn.XLOOKUP($C269,Log!D:D,Log!B:B,,,-1)),"")</f>
        <v/>
      </c>
      <c r="N269" s="81" t="str">
        <f>IFERROR(_xlfn.XLOOKUP($C269,Log!D:D,Log!W:W,,,-1),"")</f>
        <v/>
      </c>
      <c r="O269" s="81">
        <f>IFERROR(_xlfn.XLOOKUP($C269,Log!D:D,Log!Y:Y,,,-1),"")</f>
        <v>0</v>
      </c>
      <c r="Q269" s="69" t="str">
        <f>IFERROR(IF(Tabela13[[#This Row],[NOME FANTASIA]]="","",_xlfn.XLOOKUP($C269,Log!D:D,Log!X:X,,,-1)),"")</f>
        <v/>
      </c>
      <c r="R269" s="82">
        <f>COUNTIFS(Log!$D:$D,'Base Novos Clientes'!$C269,Log!$W:$W,'Base Novos Clientes'!R$2)</f>
        <v>0</v>
      </c>
      <c r="S269" s="82">
        <f>COUNTIFS(Log!$D:$D,'Base Novos Clientes'!$C269,Log!$W:$W,'Base Novos Clientes'!S$2)</f>
        <v>0</v>
      </c>
      <c r="T269" s="82">
        <f>COUNTIFS(Log!$D:$D,'Base Novos Clientes'!$C269,Log!$W:$W,'Base Novos Clientes'!T$2)</f>
        <v>0</v>
      </c>
    </row>
    <row r="270" spans="3:20" x14ac:dyDescent="0.25">
      <c r="C270" s="75"/>
      <c r="D270" s="75"/>
      <c r="E270" s="75"/>
      <c r="F270" s="75"/>
      <c r="G270" s="76"/>
      <c r="H270" s="77"/>
      <c r="I270" s="78"/>
      <c r="J270" s="79"/>
      <c r="K270" s="79" t="str">
        <f ca="1">IF(J270="","NOVO",_xlfn.XLOOKUP(TODAY()-J270,Regras!$C$3:$C$10,Regras!$D$3:$D$10,,1))</f>
        <v>NOVO</v>
      </c>
      <c r="L270" s="75" t="str">
        <f t="shared" si="4"/>
        <v/>
      </c>
      <c r="M270" s="80" t="str">
        <f>IFERROR(IF(Tabela13[[#This Row],[NOME FANTASIA]]="","",_xlfn.XLOOKUP($C270,Log!D:D,Log!B:B,,,-1)),"")</f>
        <v/>
      </c>
      <c r="N270" s="81" t="str">
        <f>IFERROR(_xlfn.XLOOKUP($C270,Log!D:D,Log!W:W,,,-1),"")</f>
        <v/>
      </c>
      <c r="O270" s="81">
        <f>IFERROR(_xlfn.XLOOKUP($C270,Log!D:D,Log!Y:Y,,,-1),"")</f>
        <v>0</v>
      </c>
      <c r="Q270" s="69" t="str">
        <f>IFERROR(IF(Tabela13[[#This Row],[NOME FANTASIA]]="","",_xlfn.XLOOKUP($C270,Log!D:D,Log!X:X,,,-1)),"")</f>
        <v/>
      </c>
      <c r="R270" s="82">
        <f>COUNTIFS(Log!$D:$D,'Base Novos Clientes'!$C270,Log!$W:$W,'Base Novos Clientes'!R$2)</f>
        <v>0</v>
      </c>
      <c r="S270" s="82">
        <f>COUNTIFS(Log!$D:$D,'Base Novos Clientes'!$C270,Log!$W:$W,'Base Novos Clientes'!S$2)</f>
        <v>0</v>
      </c>
      <c r="T270" s="82">
        <f>COUNTIFS(Log!$D:$D,'Base Novos Clientes'!$C270,Log!$W:$W,'Base Novos Clientes'!T$2)</f>
        <v>0</v>
      </c>
    </row>
    <row r="271" spans="3:20" x14ac:dyDescent="0.25">
      <c r="C271" s="75"/>
      <c r="D271" s="75"/>
      <c r="E271" s="75"/>
      <c r="F271" s="75"/>
      <c r="G271" s="76"/>
      <c r="H271" s="77"/>
      <c r="I271" s="78"/>
      <c r="J271" s="79"/>
      <c r="K271" s="79" t="str">
        <f ca="1">IF(J271="","NOVO",_xlfn.XLOOKUP(TODAY()-J271,Regras!$C$3:$C$10,Regras!$D$3:$D$10,,1))</f>
        <v>NOVO</v>
      </c>
      <c r="L271" s="75" t="str">
        <f t="shared" si="4"/>
        <v/>
      </c>
      <c r="M271" s="80" t="str">
        <f>IFERROR(IF(Tabela13[[#This Row],[NOME FANTASIA]]="","",_xlfn.XLOOKUP($C271,Log!D:D,Log!B:B,,,-1)),"")</f>
        <v/>
      </c>
      <c r="N271" s="81" t="str">
        <f>IFERROR(_xlfn.XLOOKUP($C271,Log!D:D,Log!W:W,,,-1),"")</f>
        <v/>
      </c>
      <c r="O271" s="81">
        <f>IFERROR(_xlfn.XLOOKUP($C271,Log!D:D,Log!Y:Y,,,-1),"")</f>
        <v>0</v>
      </c>
      <c r="Q271" s="69" t="str">
        <f>IFERROR(IF(Tabela13[[#This Row],[NOME FANTASIA]]="","",_xlfn.XLOOKUP($C271,Log!D:D,Log!X:X,,,-1)),"")</f>
        <v/>
      </c>
      <c r="R271" s="82">
        <f>COUNTIFS(Log!$D:$D,'Base Novos Clientes'!$C271,Log!$W:$W,'Base Novos Clientes'!R$2)</f>
        <v>0</v>
      </c>
      <c r="S271" s="82">
        <f>COUNTIFS(Log!$D:$D,'Base Novos Clientes'!$C271,Log!$W:$W,'Base Novos Clientes'!S$2)</f>
        <v>0</v>
      </c>
      <c r="T271" s="82">
        <f>COUNTIFS(Log!$D:$D,'Base Novos Clientes'!$C271,Log!$W:$W,'Base Novos Clientes'!T$2)</f>
        <v>0</v>
      </c>
    </row>
    <row r="272" spans="3:20" x14ac:dyDescent="0.25">
      <c r="C272" s="75"/>
      <c r="D272" s="75"/>
      <c r="E272" s="75"/>
      <c r="F272" s="75"/>
      <c r="G272" s="76"/>
      <c r="H272" s="77"/>
      <c r="I272" s="78"/>
      <c r="J272" s="79"/>
      <c r="K272" s="79" t="str">
        <f ca="1">IF(J272="","NOVO",_xlfn.XLOOKUP(TODAY()-J272,Regras!$C$3:$C$10,Regras!$D$3:$D$10,,1))</f>
        <v>NOVO</v>
      </c>
      <c r="L272" s="75" t="str">
        <f t="shared" si="4"/>
        <v/>
      </c>
      <c r="M272" s="80" t="str">
        <f>IFERROR(IF(Tabela13[[#This Row],[NOME FANTASIA]]="","",_xlfn.XLOOKUP($C272,Log!D:D,Log!B:B,,,-1)),"")</f>
        <v/>
      </c>
      <c r="N272" s="81" t="str">
        <f>IFERROR(_xlfn.XLOOKUP($C272,Log!D:D,Log!W:W,,,-1),"")</f>
        <v/>
      </c>
      <c r="O272" s="81">
        <f>IFERROR(_xlfn.XLOOKUP($C272,Log!D:D,Log!Y:Y,,,-1),"")</f>
        <v>0</v>
      </c>
      <c r="Q272" s="69" t="str">
        <f>IFERROR(IF(Tabela13[[#This Row],[NOME FANTASIA]]="","",_xlfn.XLOOKUP($C272,Log!D:D,Log!X:X,,,-1)),"")</f>
        <v/>
      </c>
      <c r="R272" s="82">
        <f>COUNTIFS(Log!$D:$D,'Base Novos Clientes'!$C272,Log!$W:$W,'Base Novos Clientes'!R$2)</f>
        <v>0</v>
      </c>
      <c r="S272" s="82">
        <f>COUNTIFS(Log!$D:$D,'Base Novos Clientes'!$C272,Log!$W:$W,'Base Novos Clientes'!S$2)</f>
        <v>0</v>
      </c>
      <c r="T272" s="82">
        <f>COUNTIFS(Log!$D:$D,'Base Novos Clientes'!$C272,Log!$W:$W,'Base Novos Clientes'!T$2)</f>
        <v>0</v>
      </c>
    </row>
    <row r="273" spans="3:20" x14ac:dyDescent="0.25">
      <c r="C273" s="75"/>
      <c r="D273" s="75"/>
      <c r="E273" s="75"/>
      <c r="F273" s="75"/>
      <c r="G273" s="76"/>
      <c r="H273" s="77"/>
      <c r="I273" s="78"/>
      <c r="J273" s="79"/>
      <c r="K273" s="79" t="str">
        <f ca="1">IF(J273="","NOVO",_xlfn.XLOOKUP(TODAY()-J273,Regras!$C$3:$C$10,Regras!$D$3:$D$10,,1))</f>
        <v>NOVO</v>
      </c>
      <c r="L273" s="75" t="str">
        <f t="shared" si="4"/>
        <v/>
      </c>
      <c r="M273" s="80" t="str">
        <f>IFERROR(IF(Tabela13[[#This Row],[NOME FANTASIA]]="","",_xlfn.XLOOKUP($C273,Log!D:D,Log!B:B,,,-1)),"")</f>
        <v/>
      </c>
      <c r="N273" s="81" t="str">
        <f>IFERROR(_xlfn.XLOOKUP($C273,Log!D:D,Log!W:W,,,-1),"")</f>
        <v/>
      </c>
      <c r="O273" s="81">
        <f>IFERROR(_xlfn.XLOOKUP($C273,Log!D:D,Log!Y:Y,,,-1),"")</f>
        <v>0</v>
      </c>
      <c r="Q273" s="69" t="str">
        <f>IFERROR(IF(Tabela13[[#This Row],[NOME FANTASIA]]="","",_xlfn.XLOOKUP($C273,Log!D:D,Log!X:X,,,-1)),"")</f>
        <v/>
      </c>
      <c r="R273" s="82">
        <f>COUNTIFS(Log!$D:$D,'Base Novos Clientes'!$C273,Log!$W:$W,'Base Novos Clientes'!R$2)</f>
        <v>0</v>
      </c>
      <c r="S273" s="82">
        <f>COUNTIFS(Log!$D:$D,'Base Novos Clientes'!$C273,Log!$W:$W,'Base Novos Clientes'!S$2)</f>
        <v>0</v>
      </c>
      <c r="T273" s="82">
        <f>COUNTIFS(Log!$D:$D,'Base Novos Clientes'!$C273,Log!$W:$W,'Base Novos Clientes'!T$2)</f>
        <v>0</v>
      </c>
    </row>
    <row r="274" spans="3:20" x14ac:dyDescent="0.25">
      <c r="C274" s="75"/>
      <c r="D274" s="75"/>
      <c r="E274" s="75"/>
      <c r="F274" s="75"/>
      <c r="G274" s="76"/>
      <c r="H274" s="77"/>
      <c r="I274" s="78"/>
      <c r="J274" s="79"/>
      <c r="K274" s="79" t="str">
        <f ca="1">IF(J274="","NOVO",_xlfn.XLOOKUP(TODAY()-J274,Regras!$C$3:$C$10,Regras!$D$3:$D$10,,1))</f>
        <v>NOVO</v>
      </c>
      <c r="L274" s="75" t="str">
        <f t="shared" si="4"/>
        <v/>
      </c>
      <c r="M274" s="80" t="str">
        <f>IFERROR(IF(Tabela13[[#This Row],[NOME FANTASIA]]="","",_xlfn.XLOOKUP($C274,Log!D:D,Log!B:B,,,-1)),"")</f>
        <v/>
      </c>
      <c r="N274" s="81" t="str">
        <f>IFERROR(_xlfn.XLOOKUP($C274,Log!D:D,Log!W:W,,,-1),"")</f>
        <v/>
      </c>
      <c r="O274" s="81">
        <f>IFERROR(_xlfn.XLOOKUP($C274,Log!D:D,Log!Y:Y,,,-1),"")</f>
        <v>0</v>
      </c>
      <c r="Q274" s="69" t="str">
        <f>IFERROR(IF(Tabela13[[#This Row],[NOME FANTASIA]]="","",_xlfn.XLOOKUP($C274,Log!D:D,Log!X:X,,,-1)),"")</f>
        <v/>
      </c>
      <c r="R274" s="82">
        <f>COUNTIFS(Log!$D:$D,'Base Novos Clientes'!$C274,Log!$W:$W,'Base Novos Clientes'!R$2)</f>
        <v>0</v>
      </c>
      <c r="S274" s="82">
        <f>COUNTIFS(Log!$D:$D,'Base Novos Clientes'!$C274,Log!$W:$W,'Base Novos Clientes'!S$2)</f>
        <v>0</v>
      </c>
      <c r="T274" s="82">
        <f>COUNTIFS(Log!$D:$D,'Base Novos Clientes'!$C274,Log!$W:$W,'Base Novos Clientes'!T$2)</f>
        <v>0</v>
      </c>
    </row>
    <row r="275" spans="3:20" x14ac:dyDescent="0.25">
      <c r="C275" s="75"/>
      <c r="D275" s="75"/>
      <c r="E275" s="75"/>
      <c r="F275" s="75"/>
      <c r="G275" s="76"/>
      <c r="H275" s="77"/>
      <c r="I275" s="78"/>
      <c r="J275" s="79"/>
      <c r="K275" s="79" t="str">
        <f ca="1">IF(J275="","NOVO",_xlfn.XLOOKUP(TODAY()-J275,Regras!$C$3:$C$10,Regras!$D$3:$D$10,,1))</f>
        <v>NOVO</v>
      </c>
      <c r="L275" s="75" t="str">
        <f t="shared" si="4"/>
        <v/>
      </c>
      <c r="M275" s="80" t="str">
        <f>IFERROR(IF(Tabela13[[#This Row],[NOME FANTASIA]]="","",_xlfn.XLOOKUP($C275,Log!D:D,Log!B:B,,,-1)),"")</f>
        <v/>
      </c>
      <c r="N275" s="81" t="str">
        <f>IFERROR(_xlfn.XLOOKUP($C275,Log!D:D,Log!W:W,,,-1),"")</f>
        <v/>
      </c>
      <c r="O275" s="81">
        <f>IFERROR(_xlfn.XLOOKUP($C275,Log!D:D,Log!Y:Y,,,-1),"")</f>
        <v>0</v>
      </c>
      <c r="Q275" s="69" t="str">
        <f>IFERROR(IF(Tabela13[[#This Row],[NOME FANTASIA]]="","",_xlfn.XLOOKUP($C275,Log!D:D,Log!X:X,,,-1)),"")</f>
        <v/>
      </c>
      <c r="R275" s="82">
        <f>COUNTIFS(Log!$D:$D,'Base Novos Clientes'!$C275,Log!$W:$W,'Base Novos Clientes'!R$2)</f>
        <v>0</v>
      </c>
      <c r="S275" s="82">
        <f>COUNTIFS(Log!$D:$D,'Base Novos Clientes'!$C275,Log!$W:$W,'Base Novos Clientes'!S$2)</f>
        <v>0</v>
      </c>
      <c r="T275" s="82">
        <f>COUNTIFS(Log!$D:$D,'Base Novos Clientes'!$C275,Log!$W:$W,'Base Novos Clientes'!T$2)</f>
        <v>0</v>
      </c>
    </row>
    <row r="276" spans="3:20" x14ac:dyDescent="0.25">
      <c r="C276" s="75"/>
      <c r="D276" s="75"/>
      <c r="E276" s="75"/>
      <c r="F276" s="75"/>
      <c r="G276" s="76"/>
      <c r="H276" s="77"/>
      <c r="I276" s="78"/>
      <c r="J276" s="79"/>
      <c r="K276" s="79" t="str">
        <f ca="1">IF(J276="","NOVO",_xlfn.XLOOKUP(TODAY()-J276,Regras!$C$3:$C$10,Regras!$D$3:$D$10,,1))</f>
        <v>NOVO</v>
      </c>
      <c r="L276" s="75" t="str">
        <f t="shared" si="4"/>
        <v/>
      </c>
      <c r="M276" s="80" t="str">
        <f>IFERROR(IF(Tabela13[[#This Row],[NOME FANTASIA]]="","",_xlfn.XLOOKUP($C276,Log!D:D,Log!B:B,,,-1)),"")</f>
        <v/>
      </c>
      <c r="N276" s="81" t="str">
        <f>IFERROR(_xlfn.XLOOKUP($C276,Log!D:D,Log!W:W,,,-1),"")</f>
        <v/>
      </c>
      <c r="O276" s="81">
        <f>IFERROR(_xlfn.XLOOKUP($C276,Log!D:D,Log!Y:Y,,,-1),"")</f>
        <v>0</v>
      </c>
      <c r="Q276" s="69" t="str">
        <f>IFERROR(IF(Tabela13[[#This Row],[NOME FANTASIA]]="","",_xlfn.XLOOKUP($C276,Log!D:D,Log!X:X,,,-1)),"")</f>
        <v/>
      </c>
      <c r="R276" s="82">
        <f>COUNTIFS(Log!$D:$D,'Base Novos Clientes'!$C276,Log!$W:$W,'Base Novos Clientes'!R$2)</f>
        <v>0</v>
      </c>
      <c r="S276" s="82">
        <f>COUNTIFS(Log!$D:$D,'Base Novos Clientes'!$C276,Log!$W:$W,'Base Novos Clientes'!S$2)</f>
        <v>0</v>
      </c>
      <c r="T276" s="82">
        <f>COUNTIFS(Log!$D:$D,'Base Novos Clientes'!$C276,Log!$W:$W,'Base Novos Clientes'!T$2)</f>
        <v>0</v>
      </c>
    </row>
    <row r="277" spans="3:20" x14ac:dyDescent="0.25">
      <c r="C277" s="75"/>
      <c r="D277" s="75"/>
      <c r="E277" s="75"/>
      <c r="F277" s="75"/>
      <c r="G277" s="76"/>
      <c r="H277" s="77"/>
      <c r="I277" s="78"/>
      <c r="J277" s="79"/>
      <c r="K277" s="79" t="str">
        <f ca="1">IF(J277="","NOVO",_xlfn.XLOOKUP(TODAY()-J277,Regras!$C$3:$C$10,Regras!$D$3:$D$10,,1))</f>
        <v>NOVO</v>
      </c>
      <c r="L277" s="75" t="str">
        <f t="shared" si="4"/>
        <v/>
      </c>
      <c r="M277" s="80" t="str">
        <f>IFERROR(IF(Tabela13[[#This Row],[NOME FANTASIA]]="","",_xlfn.XLOOKUP($C277,Log!D:D,Log!B:B,,,-1)),"")</f>
        <v/>
      </c>
      <c r="N277" s="81" t="str">
        <f>IFERROR(_xlfn.XLOOKUP($C277,Log!D:D,Log!W:W,,,-1),"")</f>
        <v/>
      </c>
      <c r="O277" s="81">
        <f>IFERROR(_xlfn.XLOOKUP($C277,Log!D:D,Log!Y:Y,,,-1),"")</f>
        <v>0</v>
      </c>
      <c r="Q277" s="69" t="str">
        <f>IFERROR(IF(Tabela13[[#This Row],[NOME FANTASIA]]="","",_xlfn.XLOOKUP($C277,Log!D:D,Log!X:X,,,-1)),"")</f>
        <v/>
      </c>
      <c r="R277" s="82">
        <f>COUNTIFS(Log!$D:$D,'Base Novos Clientes'!$C277,Log!$W:$W,'Base Novos Clientes'!R$2)</f>
        <v>0</v>
      </c>
      <c r="S277" s="82">
        <f>COUNTIFS(Log!$D:$D,'Base Novos Clientes'!$C277,Log!$W:$W,'Base Novos Clientes'!S$2)</f>
        <v>0</v>
      </c>
      <c r="T277" s="82">
        <f>COUNTIFS(Log!$D:$D,'Base Novos Clientes'!$C277,Log!$W:$W,'Base Novos Clientes'!T$2)</f>
        <v>0</v>
      </c>
    </row>
    <row r="278" spans="3:20" x14ac:dyDescent="0.25">
      <c r="C278" s="75"/>
      <c r="D278" s="75"/>
      <c r="E278" s="75"/>
      <c r="F278" s="75"/>
      <c r="G278" s="76"/>
      <c r="H278" s="77"/>
      <c r="I278" s="78"/>
      <c r="J278" s="79"/>
      <c r="K278" s="79" t="str">
        <f ca="1">IF(J278="","NOVO",_xlfn.XLOOKUP(TODAY()-J278,Regras!$C$3:$C$10,Regras!$D$3:$D$10,,1))</f>
        <v>NOVO</v>
      </c>
      <c r="L278" s="75" t="str">
        <f t="shared" si="4"/>
        <v/>
      </c>
      <c r="M278" s="80" t="str">
        <f>IFERROR(IF(Tabela13[[#This Row],[NOME FANTASIA]]="","",_xlfn.XLOOKUP($C278,Log!D:D,Log!B:B,,,-1)),"")</f>
        <v/>
      </c>
      <c r="N278" s="81" t="str">
        <f>IFERROR(_xlfn.XLOOKUP($C278,Log!D:D,Log!W:W,,,-1),"")</f>
        <v/>
      </c>
      <c r="O278" s="81">
        <f>IFERROR(_xlfn.XLOOKUP($C278,Log!D:D,Log!Y:Y,,,-1),"")</f>
        <v>0</v>
      </c>
      <c r="Q278" s="69" t="str">
        <f>IFERROR(IF(Tabela13[[#This Row],[NOME FANTASIA]]="","",_xlfn.XLOOKUP($C278,Log!D:D,Log!X:X,,,-1)),"")</f>
        <v/>
      </c>
      <c r="R278" s="82">
        <f>COUNTIFS(Log!$D:$D,'Base Novos Clientes'!$C278,Log!$W:$W,'Base Novos Clientes'!R$2)</f>
        <v>0</v>
      </c>
      <c r="S278" s="82">
        <f>COUNTIFS(Log!$D:$D,'Base Novos Clientes'!$C278,Log!$W:$W,'Base Novos Clientes'!S$2)</f>
        <v>0</v>
      </c>
      <c r="T278" s="82">
        <f>COUNTIFS(Log!$D:$D,'Base Novos Clientes'!$C278,Log!$W:$W,'Base Novos Clientes'!T$2)</f>
        <v>0</v>
      </c>
    </row>
    <row r="279" spans="3:20" x14ac:dyDescent="0.25">
      <c r="C279" s="75"/>
      <c r="D279" s="75"/>
      <c r="E279" s="75"/>
      <c r="F279" s="75"/>
      <c r="G279" s="76"/>
      <c r="H279" s="77"/>
      <c r="I279" s="78"/>
      <c r="J279" s="79"/>
      <c r="K279" s="79" t="str">
        <f ca="1">IF(J279="","NOVO",_xlfn.XLOOKUP(TODAY()-J279,Regras!$C$3:$C$10,Regras!$D$3:$D$10,,1))</f>
        <v>NOVO</v>
      </c>
      <c r="L279" s="75" t="str">
        <f t="shared" si="4"/>
        <v/>
      </c>
      <c r="M279" s="80" t="str">
        <f>IFERROR(IF(Tabela13[[#This Row],[NOME FANTASIA]]="","",_xlfn.XLOOKUP($C279,Log!D:D,Log!B:B,,,-1)),"")</f>
        <v/>
      </c>
      <c r="N279" s="81" t="str">
        <f>IFERROR(_xlfn.XLOOKUP($C279,Log!D:D,Log!W:W,,,-1),"")</f>
        <v/>
      </c>
      <c r="O279" s="81">
        <f>IFERROR(_xlfn.XLOOKUP($C279,Log!D:D,Log!Y:Y,,,-1),"")</f>
        <v>0</v>
      </c>
      <c r="Q279" s="69" t="str">
        <f>IFERROR(IF(Tabela13[[#This Row],[NOME FANTASIA]]="","",_xlfn.XLOOKUP($C279,Log!D:D,Log!X:X,,,-1)),"")</f>
        <v/>
      </c>
      <c r="R279" s="82">
        <f>COUNTIFS(Log!$D:$D,'Base Novos Clientes'!$C279,Log!$W:$W,'Base Novos Clientes'!R$2)</f>
        <v>0</v>
      </c>
      <c r="S279" s="82">
        <f>COUNTIFS(Log!$D:$D,'Base Novos Clientes'!$C279,Log!$W:$W,'Base Novos Clientes'!S$2)</f>
        <v>0</v>
      </c>
      <c r="T279" s="82">
        <f>COUNTIFS(Log!$D:$D,'Base Novos Clientes'!$C279,Log!$W:$W,'Base Novos Clientes'!T$2)</f>
        <v>0</v>
      </c>
    </row>
    <row r="280" spans="3:20" x14ac:dyDescent="0.25">
      <c r="C280" s="75"/>
      <c r="D280" s="75"/>
      <c r="E280" s="75"/>
      <c r="F280" s="75"/>
      <c r="G280" s="76"/>
      <c r="H280" s="77"/>
      <c r="I280" s="78"/>
      <c r="J280" s="79"/>
      <c r="K280" s="79" t="str">
        <f ca="1">IF(J280="","NOVO",_xlfn.XLOOKUP(TODAY()-J280,Regras!$C$3:$C$10,Regras!$D$3:$D$10,,1))</f>
        <v>NOVO</v>
      </c>
      <c r="L280" s="75" t="str">
        <f t="shared" si="4"/>
        <v/>
      </c>
      <c r="M280" s="80" t="str">
        <f>IFERROR(IF(Tabela13[[#This Row],[NOME FANTASIA]]="","",_xlfn.XLOOKUP($C280,Log!D:D,Log!B:B,,,-1)),"")</f>
        <v/>
      </c>
      <c r="N280" s="81" t="str">
        <f>IFERROR(_xlfn.XLOOKUP($C280,Log!D:D,Log!W:W,,,-1),"")</f>
        <v/>
      </c>
      <c r="O280" s="81">
        <f>IFERROR(_xlfn.XLOOKUP($C280,Log!D:D,Log!Y:Y,,,-1),"")</f>
        <v>0</v>
      </c>
      <c r="Q280" s="69" t="str">
        <f>IFERROR(IF(Tabela13[[#This Row],[NOME FANTASIA]]="","",_xlfn.XLOOKUP($C280,Log!D:D,Log!X:X,,,-1)),"")</f>
        <v/>
      </c>
      <c r="R280" s="82">
        <f>COUNTIFS(Log!$D:$D,'Base Novos Clientes'!$C280,Log!$W:$W,'Base Novos Clientes'!R$2)</f>
        <v>0</v>
      </c>
      <c r="S280" s="82">
        <f>COUNTIFS(Log!$D:$D,'Base Novos Clientes'!$C280,Log!$W:$W,'Base Novos Clientes'!S$2)</f>
        <v>0</v>
      </c>
      <c r="T280" s="82">
        <f>COUNTIFS(Log!$D:$D,'Base Novos Clientes'!$C280,Log!$W:$W,'Base Novos Clientes'!T$2)</f>
        <v>0</v>
      </c>
    </row>
    <row r="281" spans="3:20" x14ac:dyDescent="0.25">
      <c r="C281" s="75"/>
      <c r="D281" s="75"/>
      <c r="E281" s="75"/>
      <c r="F281" s="75"/>
      <c r="G281" s="76"/>
      <c r="H281" s="77"/>
      <c r="I281" s="78"/>
      <c r="J281" s="79"/>
      <c r="K281" s="79" t="str">
        <f ca="1">IF(J281="","NOVO",_xlfn.XLOOKUP(TODAY()-J281,Regras!$C$3:$C$10,Regras!$D$3:$D$10,,1))</f>
        <v>NOVO</v>
      </c>
      <c r="L281" s="75" t="str">
        <f t="shared" si="4"/>
        <v/>
      </c>
      <c r="M281" s="80" t="str">
        <f>IFERROR(IF(Tabela13[[#This Row],[NOME FANTASIA]]="","",_xlfn.XLOOKUP($C281,Log!D:D,Log!B:B,,,-1)),"")</f>
        <v/>
      </c>
      <c r="N281" s="81" t="str">
        <f>IFERROR(_xlfn.XLOOKUP($C281,Log!D:D,Log!W:W,,,-1),"")</f>
        <v/>
      </c>
      <c r="O281" s="81">
        <f>IFERROR(_xlfn.XLOOKUP($C281,Log!D:D,Log!Y:Y,,,-1),"")</f>
        <v>0</v>
      </c>
      <c r="Q281" s="69" t="str">
        <f>IFERROR(IF(Tabela13[[#This Row],[NOME FANTASIA]]="","",_xlfn.XLOOKUP($C281,Log!D:D,Log!X:X,,,-1)),"")</f>
        <v/>
      </c>
      <c r="R281" s="82">
        <f>COUNTIFS(Log!$D:$D,'Base Novos Clientes'!$C281,Log!$W:$W,'Base Novos Clientes'!R$2)</f>
        <v>0</v>
      </c>
      <c r="S281" s="82">
        <f>COUNTIFS(Log!$D:$D,'Base Novos Clientes'!$C281,Log!$W:$W,'Base Novos Clientes'!S$2)</f>
        <v>0</v>
      </c>
      <c r="T281" s="82">
        <f>COUNTIFS(Log!$D:$D,'Base Novos Clientes'!$C281,Log!$W:$W,'Base Novos Clientes'!T$2)</f>
        <v>0</v>
      </c>
    </row>
    <row r="282" spans="3:20" x14ac:dyDescent="0.25">
      <c r="C282" s="75"/>
      <c r="D282" s="75"/>
      <c r="E282" s="75"/>
      <c r="F282" s="75"/>
      <c r="G282" s="76"/>
      <c r="H282" s="77"/>
      <c r="I282" s="78"/>
      <c r="J282" s="79"/>
      <c r="K282" s="79" t="str">
        <f ca="1">IF(J282="","NOVO",_xlfn.XLOOKUP(TODAY()-J282,Regras!$C$3:$C$10,Regras!$D$3:$D$10,,1))</f>
        <v>NOVO</v>
      </c>
      <c r="L282" s="75" t="str">
        <f t="shared" si="4"/>
        <v/>
      </c>
      <c r="M282" s="80" t="str">
        <f>IFERROR(IF(Tabela13[[#This Row],[NOME FANTASIA]]="","",_xlfn.XLOOKUP($C282,Log!D:D,Log!B:B,,,-1)),"")</f>
        <v/>
      </c>
      <c r="N282" s="81" t="str">
        <f>IFERROR(_xlfn.XLOOKUP($C282,Log!D:D,Log!W:W,,,-1),"")</f>
        <v/>
      </c>
      <c r="O282" s="81">
        <f>IFERROR(_xlfn.XLOOKUP($C282,Log!D:D,Log!Y:Y,,,-1),"")</f>
        <v>0</v>
      </c>
      <c r="Q282" s="69" t="str">
        <f>IFERROR(IF(Tabela13[[#This Row],[NOME FANTASIA]]="","",_xlfn.XLOOKUP($C282,Log!D:D,Log!X:X,,,-1)),"")</f>
        <v/>
      </c>
      <c r="R282" s="82">
        <f>COUNTIFS(Log!$D:$D,'Base Novos Clientes'!$C282,Log!$W:$W,'Base Novos Clientes'!R$2)</f>
        <v>0</v>
      </c>
      <c r="S282" s="82">
        <f>COUNTIFS(Log!$D:$D,'Base Novos Clientes'!$C282,Log!$W:$W,'Base Novos Clientes'!S$2)</f>
        <v>0</v>
      </c>
      <c r="T282" s="82">
        <f>COUNTIFS(Log!$D:$D,'Base Novos Clientes'!$C282,Log!$W:$W,'Base Novos Clientes'!T$2)</f>
        <v>0</v>
      </c>
    </row>
    <row r="283" spans="3:20" x14ac:dyDescent="0.25">
      <c r="C283" s="75"/>
      <c r="D283" s="75"/>
      <c r="E283" s="75"/>
      <c r="F283" s="75"/>
      <c r="G283" s="76"/>
      <c r="H283" s="77"/>
      <c r="I283" s="78"/>
      <c r="J283" s="79"/>
      <c r="K283" s="79" t="str">
        <f ca="1">IF(J283="","NOVO",_xlfn.XLOOKUP(TODAY()-J283,Regras!$C$3:$C$10,Regras!$D$3:$D$10,,1))</f>
        <v>NOVO</v>
      </c>
      <c r="L283" s="75" t="str">
        <f t="shared" si="4"/>
        <v/>
      </c>
      <c r="M283" s="80" t="str">
        <f>IFERROR(IF(Tabela13[[#This Row],[NOME FANTASIA]]="","",_xlfn.XLOOKUP($C283,Log!D:D,Log!B:B,,,-1)),"")</f>
        <v/>
      </c>
      <c r="N283" s="81" t="str">
        <f>IFERROR(_xlfn.XLOOKUP($C283,Log!D:D,Log!W:W,,,-1),"")</f>
        <v/>
      </c>
      <c r="O283" s="81">
        <f>IFERROR(_xlfn.XLOOKUP($C283,Log!D:D,Log!Y:Y,,,-1),"")</f>
        <v>0</v>
      </c>
      <c r="Q283" s="69" t="str">
        <f>IFERROR(IF(Tabela13[[#This Row],[NOME FANTASIA]]="","",_xlfn.XLOOKUP($C283,Log!D:D,Log!X:X,,,-1)),"")</f>
        <v/>
      </c>
      <c r="R283" s="82">
        <f>COUNTIFS(Log!$D:$D,'Base Novos Clientes'!$C283,Log!$W:$W,'Base Novos Clientes'!R$2)</f>
        <v>0</v>
      </c>
      <c r="S283" s="82">
        <f>COUNTIFS(Log!$D:$D,'Base Novos Clientes'!$C283,Log!$W:$W,'Base Novos Clientes'!S$2)</f>
        <v>0</v>
      </c>
      <c r="T283" s="82">
        <f>COUNTIFS(Log!$D:$D,'Base Novos Clientes'!$C283,Log!$W:$W,'Base Novos Clientes'!T$2)</f>
        <v>0</v>
      </c>
    </row>
    <row r="284" spans="3:20" x14ac:dyDescent="0.25">
      <c r="C284" s="75"/>
      <c r="D284" s="75"/>
      <c r="E284" s="75"/>
      <c r="F284" s="75"/>
      <c r="G284" s="76"/>
      <c r="H284" s="77"/>
      <c r="I284" s="78"/>
      <c r="J284" s="79"/>
      <c r="K284" s="79" t="str">
        <f ca="1">IF(J284="","NOVO",_xlfn.XLOOKUP(TODAY()-J284,Regras!$C$3:$C$10,Regras!$D$3:$D$10,,1))</f>
        <v>NOVO</v>
      </c>
      <c r="L284" s="75" t="str">
        <f t="shared" si="4"/>
        <v/>
      </c>
      <c r="M284" s="80" t="str">
        <f>IFERROR(IF(Tabela13[[#This Row],[NOME FANTASIA]]="","",_xlfn.XLOOKUP($C284,Log!D:D,Log!B:B,,,-1)),"")</f>
        <v/>
      </c>
      <c r="N284" s="81" t="str">
        <f>IFERROR(_xlfn.XLOOKUP($C284,Log!D:D,Log!W:W,,,-1),"")</f>
        <v/>
      </c>
      <c r="O284" s="81">
        <f>IFERROR(_xlfn.XLOOKUP($C284,Log!D:D,Log!Y:Y,,,-1),"")</f>
        <v>0</v>
      </c>
      <c r="Q284" s="69" t="str">
        <f>IFERROR(IF(Tabela13[[#This Row],[NOME FANTASIA]]="","",_xlfn.XLOOKUP($C284,Log!D:D,Log!X:X,,,-1)),"")</f>
        <v/>
      </c>
      <c r="R284" s="82">
        <f>COUNTIFS(Log!$D:$D,'Base Novos Clientes'!$C284,Log!$W:$W,'Base Novos Clientes'!R$2)</f>
        <v>0</v>
      </c>
      <c r="S284" s="82">
        <f>COUNTIFS(Log!$D:$D,'Base Novos Clientes'!$C284,Log!$W:$W,'Base Novos Clientes'!S$2)</f>
        <v>0</v>
      </c>
      <c r="T284" s="82">
        <f>COUNTIFS(Log!$D:$D,'Base Novos Clientes'!$C284,Log!$W:$W,'Base Novos Clientes'!T$2)</f>
        <v>0</v>
      </c>
    </row>
    <row r="285" spans="3:20" x14ac:dyDescent="0.25">
      <c r="C285" s="75"/>
      <c r="D285" s="75"/>
      <c r="E285" s="75"/>
      <c r="F285" s="75"/>
      <c r="G285" s="76"/>
      <c r="H285" s="77"/>
      <c r="I285" s="78"/>
      <c r="J285" s="79"/>
      <c r="K285" s="79" t="str">
        <f ca="1">IF(J285="","NOVO",_xlfn.XLOOKUP(TODAY()-J285,Regras!$C$3:$C$10,Regras!$D$3:$D$10,,1))</f>
        <v>NOVO</v>
      </c>
      <c r="L285" s="75" t="str">
        <f t="shared" si="4"/>
        <v/>
      </c>
      <c r="M285" s="80" t="str">
        <f>IFERROR(IF(Tabela13[[#This Row],[NOME FANTASIA]]="","",_xlfn.XLOOKUP($C285,Log!D:D,Log!B:B,,,-1)),"")</f>
        <v/>
      </c>
      <c r="N285" s="81" t="str">
        <f>IFERROR(_xlfn.XLOOKUP($C285,Log!D:D,Log!W:W,,,-1),"")</f>
        <v/>
      </c>
      <c r="O285" s="81">
        <f>IFERROR(_xlfn.XLOOKUP($C285,Log!D:D,Log!Y:Y,,,-1),"")</f>
        <v>0</v>
      </c>
      <c r="Q285" s="69" t="str">
        <f>IFERROR(IF(Tabela13[[#This Row],[NOME FANTASIA]]="","",_xlfn.XLOOKUP($C285,Log!D:D,Log!X:X,,,-1)),"")</f>
        <v/>
      </c>
      <c r="R285" s="82">
        <f>COUNTIFS(Log!$D:$D,'Base Novos Clientes'!$C285,Log!$W:$W,'Base Novos Clientes'!R$2)</f>
        <v>0</v>
      </c>
      <c r="S285" s="82">
        <f>COUNTIFS(Log!$D:$D,'Base Novos Clientes'!$C285,Log!$W:$W,'Base Novos Clientes'!S$2)</f>
        <v>0</v>
      </c>
      <c r="T285" s="82">
        <f>COUNTIFS(Log!$D:$D,'Base Novos Clientes'!$C285,Log!$W:$W,'Base Novos Clientes'!T$2)</f>
        <v>0</v>
      </c>
    </row>
    <row r="286" spans="3:20" x14ac:dyDescent="0.25">
      <c r="C286" s="75"/>
      <c r="D286" s="75"/>
      <c r="E286" s="75"/>
      <c r="F286" s="75"/>
      <c r="G286" s="76"/>
      <c r="H286" s="77"/>
      <c r="I286" s="78"/>
      <c r="J286" s="79"/>
      <c r="K286" s="79" t="str">
        <f ca="1">IF(J286="","NOVO",_xlfn.XLOOKUP(TODAY()-J286,Regras!$C$3:$C$10,Regras!$D$3:$D$10,,1))</f>
        <v>NOVO</v>
      </c>
      <c r="L286" s="75" t="str">
        <f t="shared" si="4"/>
        <v/>
      </c>
      <c r="M286" s="80" t="str">
        <f>IFERROR(IF(Tabela13[[#This Row],[NOME FANTASIA]]="","",_xlfn.XLOOKUP($C286,Log!D:D,Log!B:B,,,-1)),"")</f>
        <v/>
      </c>
      <c r="N286" s="81" t="str">
        <f>IFERROR(_xlfn.XLOOKUP($C286,Log!D:D,Log!W:W,,,-1),"")</f>
        <v/>
      </c>
      <c r="O286" s="81">
        <f>IFERROR(_xlfn.XLOOKUP($C286,Log!D:D,Log!Y:Y,,,-1),"")</f>
        <v>0</v>
      </c>
      <c r="Q286" s="69" t="str">
        <f>IFERROR(IF(Tabela13[[#This Row],[NOME FANTASIA]]="","",_xlfn.XLOOKUP($C286,Log!D:D,Log!X:X,,,-1)),"")</f>
        <v/>
      </c>
      <c r="R286" s="82">
        <f>COUNTIFS(Log!$D:$D,'Base Novos Clientes'!$C286,Log!$W:$W,'Base Novos Clientes'!R$2)</f>
        <v>0</v>
      </c>
      <c r="S286" s="82">
        <f>COUNTIFS(Log!$D:$D,'Base Novos Clientes'!$C286,Log!$W:$W,'Base Novos Clientes'!S$2)</f>
        <v>0</v>
      </c>
      <c r="T286" s="82">
        <f>COUNTIFS(Log!$D:$D,'Base Novos Clientes'!$C286,Log!$W:$W,'Base Novos Clientes'!T$2)</f>
        <v>0</v>
      </c>
    </row>
    <row r="287" spans="3:20" x14ac:dyDescent="0.25">
      <c r="C287" s="75"/>
      <c r="D287" s="75"/>
      <c r="E287" s="75"/>
      <c r="F287" s="75"/>
      <c r="G287" s="76"/>
      <c r="H287" s="77"/>
      <c r="I287" s="78"/>
      <c r="J287" s="79"/>
      <c r="K287" s="79" t="str">
        <f ca="1">IF(J287="","NOVO",_xlfn.XLOOKUP(TODAY()-J287,Regras!$C$3:$C$10,Regras!$D$3:$D$10,,1))</f>
        <v>NOVO</v>
      </c>
      <c r="L287" s="75" t="str">
        <f t="shared" si="4"/>
        <v/>
      </c>
      <c r="M287" s="80" t="str">
        <f>IFERROR(IF(Tabela13[[#This Row],[NOME FANTASIA]]="","",_xlfn.XLOOKUP($C287,Log!D:D,Log!B:B,,,-1)),"")</f>
        <v/>
      </c>
      <c r="N287" s="81" t="str">
        <f>IFERROR(_xlfn.XLOOKUP($C287,Log!D:D,Log!W:W,,,-1),"")</f>
        <v/>
      </c>
      <c r="O287" s="81">
        <f>IFERROR(_xlfn.XLOOKUP($C287,Log!D:D,Log!Y:Y,,,-1),"")</f>
        <v>0</v>
      </c>
      <c r="Q287" s="69" t="str">
        <f>IFERROR(IF(Tabela13[[#This Row],[NOME FANTASIA]]="","",_xlfn.XLOOKUP($C287,Log!D:D,Log!X:X,,,-1)),"")</f>
        <v/>
      </c>
      <c r="R287" s="82">
        <f>COUNTIFS(Log!$D:$D,'Base Novos Clientes'!$C287,Log!$W:$W,'Base Novos Clientes'!R$2)</f>
        <v>0</v>
      </c>
      <c r="S287" s="82">
        <f>COUNTIFS(Log!$D:$D,'Base Novos Clientes'!$C287,Log!$W:$W,'Base Novos Clientes'!S$2)</f>
        <v>0</v>
      </c>
      <c r="T287" s="82">
        <f>COUNTIFS(Log!$D:$D,'Base Novos Clientes'!$C287,Log!$W:$W,'Base Novos Clientes'!T$2)</f>
        <v>0</v>
      </c>
    </row>
    <row r="288" spans="3:20" x14ac:dyDescent="0.25">
      <c r="C288" s="75"/>
      <c r="D288" s="75"/>
      <c r="E288" s="75"/>
      <c r="F288" s="75"/>
      <c r="G288" s="76"/>
      <c r="H288" s="77"/>
      <c r="I288" s="78"/>
      <c r="J288" s="79"/>
      <c r="K288" s="79" t="str">
        <f ca="1">IF(J288="","NOVO",_xlfn.XLOOKUP(TODAY()-J288,Regras!$C$3:$C$10,Regras!$D$3:$D$10,,1))</f>
        <v>NOVO</v>
      </c>
      <c r="L288" s="75" t="str">
        <f t="shared" si="4"/>
        <v/>
      </c>
      <c r="M288" s="80" t="str">
        <f>IFERROR(IF(Tabela13[[#This Row],[NOME FANTASIA]]="","",_xlfn.XLOOKUP($C288,Log!D:D,Log!B:B,,,-1)),"")</f>
        <v/>
      </c>
      <c r="N288" s="81" t="str">
        <f>IFERROR(_xlfn.XLOOKUP($C288,Log!D:D,Log!W:W,,,-1),"")</f>
        <v/>
      </c>
      <c r="O288" s="81">
        <f>IFERROR(_xlfn.XLOOKUP($C288,Log!D:D,Log!Y:Y,,,-1),"")</f>
        <v>0</v>
      </c>
      <c r="Q288" s="69" t="str">
        <f>IFERROR(IF(Tabela13[[#This Row],[NOME FANTASIA]]="","",_xlfn.XLOOKUP($C288,Log!D:D,Log!X:X,,,-1)),"")</f>
        <v/>
      </c>
      <c r="R288" s="82">
        <f>COUNTIFS(Log!$D:$D,'Base Novos Clientes'!$C288,Log!$W:$W,'Base Novos Clientes'!R$2)</f>
        <v>0</v>
      </c>
      <c r="S288" s="82">
        <f>COUNTIFS(Log!$D:$D,'Base Novos Clientes'!$C288,Log!$W:$W,'Base Novos Clientes'!S$2)</f>
        <v>0</v>
      </c>
      <c r="T288" s="82">
        <f>COUNTIFS(Log!$D:$D,'Base Novos Clientes'!$C288,Log!$W:$W,'Base Novos Clientes'!T$2)</f>
        <v>0</v>
      </c>
    </row>
    <row r="289" spans="3:20" x14ac:dyDescent="0.25">
      <c r="C289" s="75"/>
      <c r="D289" s="75"/>
      <c r="E289" s="75"/>
      <c r="F289" s="75"/>
      <c r="G289" s="76"/>
      <c r="H289" s="77"/>
      <c r="I289" s="78"/>
      <c r="J289" s="79"/>
      <c r="K289" s="79" t="str">
        <f ca="1">IF(J289="","NOVO",_xlfn.XLOOKUP(TODAY()-J289,Regras!$C$3:$C$10,Regras!$D$3:$D$10,,1))</f>
        <v>NOVO</v>
      </c>
      <c r="L289" s="75" t="str">
        <f t="shared" si="4"/>
        <v/>
      </c>
      <c r="M289" s="80" t="str">
        <f>IFERROR(IF(Tabela13[[#This Row],[NOME FANTASIA]]="","",_xlfn.XLOOKUP($C289,Log!D:D,Log!B:B,,,-1)),"")</f>
        <v/>
      </c>
      <c r="N289" s="81" t="str">
        <f>IFERROR(_xlfn.XLOOKUP($C289,Log!D:D,Log!W:W,,,-1),"")</f>
        <v/>
      </c>
      <c r="O289" s="81">
        <f>IFERROR(_xlfn.XLOOKUP($C289,Log!D:D,Log!Y:Y,,,-1),"")</f>
        <v>0</v>
      </c>
      <c r="Q289" s="69" t="str">
        <f>IFERROR(IF(Tabela13[[#This Row],[NOME FANTASIA]]="","",_xlfn.XLOOKUP($C289,Log!D:D,Log!X:X,,,-1)),"")</f>
        <v/>
      </c>
      <c r="R289" s="82">
        <f>COUNTIFS(Log!$D:$D,'Base Novos Clientes'!$C289,Log!$W:$W,'Base Novos Clientes'!R$2)</f>
        <v>0</v>
      </c>
      <c r="S289" s="82">
        <f>COUNTIFS(Log!$D:$D,'Base Novos Clientes'!$C289,Log!$W:$W,'Base Novos Clientes'!S$2)</f>
        <v>0</v>
      </c>
      <c r="T289" s="82">
        <f>COUNTIFS(Log!$D:$D,'Base Novos Clientes'!$C289,Log!$W:$W,'Base Novos Clientes'!T$2)</f>
        <v>0</v>
      </c>
    </row>
    <row r="290" spans="3:20" x14ac:dyDescent="0.25">
      <c r="C290" s="75"/>
      <c r="D290" s="75"/>
      <c r="E290" s="75"/>
      <c r="F290" s="75"/>
      <c r="G290" s="76"/>
      <c r="H290" s="77"/>
      <c r="I290" s="78"/>
      <c r="J290" s="79"/>
      <c r="K290" s="79" t="str">
        <f ca="1">IF(J290="","NOVO",_xlfn.XLOOKUP(TODAY()-J290,Regras!$C$3:$C$10,Regras!$D$3:$D$10,,1))</f>
        <v>NOVO</v>
      </c>
      <c r="L290" s="75" t="str">
        <f t="shared" si="4"/>
        <v/>
      </c>
      <c r="M290" s="80" t="str">
        <f>IFERROR(IF(Tabela13[[#This Row],[NOME FANTASIA]]="","",_xlfn.XLOOKUP($C290,Log!D:D,Log!B:B,,,-1)),"")</f>
        <v/>
      </c>
      <c r="N290" s="81" t="str">
        <f>IFERROR(_xlfn.XLOOKUP($C290,Log!D:D,Log!W:W,,,-1),"")</f>
        <v/>
      </c>
      <c r="O290" s="81">
        <f>IFERROR(_xlfn.XLOOKUP($C290,Log!D:D,Log!Y:Y,,,-1),"")</f>
        <v>0</v>
      </c>
      <c r="Q290" s="69" t="str">
        <f>IFERROR(IF(Tabela13[[#This Row],[NOME FANTASIA]]="","",_xlfn.XLOOKUP($C290,Log!D:D,Log!X:X,,,-1)),"")</f>
        <v/>
      </c>
      <c r="R290" s="82">
        <f>COUNTIFS(Log!$D:$D,'Base Novos Clientes'!$C290,Log!$W:$W,'Base Novos Clientes'!R$2)</f>
        <v>0</v>
      </c>
      <c r="S290" s="82">
        <f>COUNTIFS(Log!$D:$D,'Base Novos Clientes'!$C290,Log!$W:$W,'Base Novos Clientes'!S$2)</f>
        <v>0</v>
      </c>
      <c r="T290" s="82">
        <f>COUNTIFS(Log!$D:$D,'Base Novos Clientes'!$C290,Log!$W:$W,'Base Novos Clientes'!T$2)</f>
        <v>0</v>
      </c>
    </row>
    <row r="291" spans="3:20" x14ac:dyDescent="0.25">
      <c r="C291" s="75"/>
      <c r="D291" s="75"/>
      <c r="E291" s="75"/>
      <c r="F291" s="75"/>
      <c r="G291" s="76"/>
      <c r="H291" s="77"/>
      <c r="I291" s="78"/>
      <c r="J291" s="79"/>
      <c r="K291" s="79" t="str">
        <f ca="1">IF(J291="","NOVO",_xlfn.XLOOKUP(TODAY()-J291,Regras!$C$3:$C$10,Regras!$D$3:$D$10,,1))</f>
        <v>NOVO</v>
      </c>
      <c r="L291" s="75" t="str">
        <f t="shared" si="4"/>
        <v/>
      </c>
      <c r="M291" s="80" t="str">
        <f>IFERROR(IF(Tabela13[[#This Row],[NOME FANTASIA]]="","",_xlfn.XLOOKUP($C291,Log!D:D,Log!B:B,,,-1)),"")</f>
        <v/>
      </c>
      <c r="N291" s="81" t="str">
        <f>IFERROR(_xlfn.XLOOKUP($C291,Log!D:D,Log!W:W,,,-1),"")</f>
        <v/>
      </c>
      <c r="O291" s="81">
        <f>IFERROR(_xlfn.XLOOKUP($C291,Log!D:D,Log!Y:Y,,,-1),"")</f>
        <v>0</v>
      </c>
      <c r="Q291" s="69" t="str">
        <f>IFERROR(IF(Tabela13[[#This Row],[NOME FANTASIA]]="","",_xlfn.XLOOKUP($C291,Log!D:D,Log!X:X,,,-1)),"")</f>
        <v/>
      </c>
      <c r="R291" s="82">
        <f>COUNTIFS(Log!$D:$D,'Base Novos Clientes'!$C291,Log!$W:$W,'Base Novos Clientes'!R$2)</f>
        <v>0</v>
      </c>
      <c r="S291" s="82">
        <f>COUNTIFS(Log!$D:$D,'Base Novos Clientes'!$C291,Log!$W:$W,'Base Novos Clientes'!S$2)</f>
        <v>0</v>
      </c>
      <c r="T291" s="82">
        <f>COUNTIFS(Log!$D:$D,'Base Novos Clientes'!$C291,Log!$W:$W,'Base Novos Clientes'!T$2)</f>
        <v>0</v>
      </c>
    </row>
    <row r="292" spans="3:20" x14ac:dyDescent="0.25">
      <c r="C292" s="75"/>
      <c r="D292" s="75"/>
      <c r="E292" s="75"/>
      <c r="F292" s="75"/>
      <c r="G292" s="76"/>
      <c r="H292" s="77"/>
      <c r="I292" s="78"/>
      <c r="J292" s="79"/>
      <c r="K292" s="79" t="str">
        <f ca="1">IF(J292="","NOVO",_xlfn.XLOOKUP(TODAY()-J292,Regras!$C$3:$C$10,Regras!$D$3:$D$10,,1))</f>
        <v>NOVO</v>
      </c>
      <c r="L292" s="75" t="str">
        <f t="shared" si="4"/>
        <v/>
      </c>
      <c r="M292" s="80" t="str">
        <f>IFERROR(IF(Tabela13[[#This Row],[NOME FANTASIA]]="","",_xlfn.XLOOKUP($C292,Log!D:D,Log!B:B,,,-1)),"")</f>
        <v/>
      </c>
      <c r="N292" s="81" t="str">
        <f>IFERROR(_xlfn.XLOOKUP($C292,Log!D:D,Log!W:W,,,-1),"")</f>
        <v/>
      </c>
      <c r="O292" s="81">
        <f>IFERROR(_xlfn.XLOOKUP($C292,Log!D:D,Log!Y:Y,,,-1),"")</f>
        <v>0</v>
      </c>
      <c r="Q292" s="69" t="str">
        <f>IFERROR(IF(Tabela13[[#This Row],[NOME FANTASIA]]="","",_xlfn.XLOOKUP($C292,Log!D:D,Log!X:X,,,-1)),"")</f>
        <v/>
      </c>
      <c r="R292" s="82">
        <f>COUNTIFS(Log!$D:$D,'Base Novos Clientes'!$C292,Log!$W:$W,'Base Novos Clientes'!R$2)</f>
        <v>0</v>
      </c>
      <c r="S292" s="82">
        <f>COUNTIFS(Log!$D:$D,'Base Novos Clientes'!$C292,Log!$W:$W,'Base Novos Clientes'!S$2)</f>
        <v>0</v>
      </c>
      <c r="T292" s="82">
        <f>COUNTIFS(Log!$D:$D,'Base Novos Clientes'!$C292,Log!$W:$W,'Base Novos Clientes'!T$2)</f>
        <v>0</v>
      </c>
    </row>
    <row r="293" spans="3:20" x14ac:dyDescent="0.25">
      <c r="C293" s="75"/>
      <c r="D293" s="75"/>
      <c r="E293" s="75"/>
      <c r="F293" s="75"/>
      <c r="G293" s="76"/>
      <c r="H293" s="77"/>
      <c r="I293" s="78"/>
      <c r="J293" s="79"/>
      <c r="K293" s="79" t="str">
        <f ca="1">IF(J293="","NOVO",_xlfn.XLOOKUP(TODAY()-J293,Regras!$C$3:$C$10,Regras!$D$3:$D$10,,1))</f>
        <v>NOVO</v>
      </c>
      <c r="L293" s="75" t="str">
        <f t="shared" si="4"/>
        <v/>
      </c>
      <c r="M293" s="80" t="str">
        <f>IFERROR(IF(Tabela13[[#This Row],[NOME FANTASIA]]="","",_xlfn.XLOOKUP($C293,Log!D:D,Log!B:B,,,-1)),"")</f>
        <v/>
      </c>
      <c r="N293" s="81" t="str">
        <f>IFERROR(_xlfn.XLOOKUP($C293,Log!D:D,Log!W:W,,,-1),"")</f>
        <v/>
      </c>
      <c r="O293" s="81">
        <f>IFERROR(_xlfn.XLOOKUP($C293,Log!D:D,Log!Y:Y,,,-1),"")</f>
        <v>0</v>
      </c>
      <c r="Q293" s="69" t="str">
        <f>IFERROR(IF(Tabela13[[#This Row],[NOME FANTASIA]]="","",_xlfn.XLOOKUP($C293,Log!D:D,Log!X:X,,,-1)),"")</f>
        <v/>
      </c>
      <c r="R293" s="82">
        <f>COUNTIFS(Log!$D:$D,'Base Novos Clientes'!$C293,Log!$W:$W,'Base Novos Clientes'!R$2)</f>
        <v>0</v>
      </c>
      <c r="S293" s="82">
        <f>COUNTIFS(Log!$D:$D,'Base Novos Clientes'!$C293,Log!$W:$W,'Base Novos Clientes'!S$2)</f>
        <v>0</v>
      </c>
      <c r="T293" s="82">
        <f>COUNTIFS(Log!$D:$D,'Base Novos Clientes'!$C293,Log!$W:$W,'Base Novos Clientes'!T$2)</f>
        <v>0</v>
      </c>
    </row>
    <row r="294" spans="3:20" x14ac:dyDescent="0.25">
      <c r="C294" s="75"/>
      <c r="D294" s="75"/>
      <c r="E294" s="75"/>
      <c r="F294" s="75"/>
      <c r="G294" s="76"/>
      <c r="H294" s="77"/>
      <c r="I294" s="78"/>
      <c r="J294" s="79"/>
      <c r="K294" s="79" t="str">
        <f ca="1">IF(J294="","NOVO",_xlfn.XLOOKUP(TODAY()-J294,Regras!$C$3:$C$10,Regras!$D$3:$D$10,,1))</f>
        <v>NOVO</v>
      </c>
      <c r="L294" s="75" t="str">
        <f t="shared" si="4"/>
        <v/>
      </c>
      <c r="M294" s="80" t="str">
        <f>IFERROR(IF(Tabela13[[#This Row],[NOME FANTASIA]]="","",_xlfn.XLOOKUP($C294,Log!D:D,Log!B:B,,,-1)),"")</f>
        <v/>
      </c>
      <c r="N294" s="81" t="str">
        <f>IFERROR(_xlfn.XLOOKUP($C294,Log!D:D,Log!W:W,,,-1),"")</f>
        <v/>
      </c>
      <c r="O294" s="81">
        <f>IFERROR(_xlfn.XLOOKUP($C294,Log!D:D,Log!Y:Y,,,-1),"")</f>
        <v>0</v>
      </c>
      <c r="Q294" s="69" t="str">
        <f>IFERROR(IF(Tabela13[[#This Row],[NOME FANTASIA]]="","",_xlfn.XLOOKUP($C294,Log!D:D,Log!X:X,,,-1)),"")</f>
        <v/>
      </c>
      <c r="R294" s="82">
        <f>COUNTIFS(Log!$D:$D,'Base Novos Clientes'!$C294,Log!$W:$W,'Base Novos Clientes'!R$2)</f>
        <v>0</v>
      </c>
      <c r="S294" s="82">
        <f>COUNTIFS(Log!$D:$D,'Base Novos Clientes'!$C294,Log!$W:$W,'Base Novos Clientes'!S$2)</f>
        <v>0</v>
      </c>
      <c r="T294" s="82">
        <f>COUNTIFS(Log!$D:$D,'Base Novos Clientes'!$C294,Log!$W:$W,'Base Novos Clientes'!T$2)</f>
        <v>0</v>
      </c>
    </row>
    <row r="295" spans="3:20" x14ac:dyDescent="0.25">
      <c r="C295" s="75"/>
      <c r="D295" s="75"/>
      <c r="E295" s="75"/>
      <c r="F295" s="75"/>
      <c r="G295" s="76"/>
      <c r="H295" s="77"/>
      <c r="I295" s="78"/>
      <c r="J295" s="79"/>
      <c r="K295" s="79" t="str">
        <f ca="1">IF(J295="","NOVO",_xlfn.XLOOKUP(TODAY()-J295,Regras!$C$3:$C$10,Regras!$D$3:$D$10,,1))</f>
        <v>NOVO</v>
      </c>
      <c r="L295" s="75" t="str">
        <f t="shared" si="4"/>
        <v/>
      </c>
      <c r="M295" s="80" t="str">
        <f>IFERROR(IF(Tabela13[[#This Row],[NOME FANTASIA]]="","",_xlfn.XLOOKUP($C295,Log!D:D,Log!B:B,,,-1)),"")</f>
        <v/>
      </c>
      <c r="N295" s="81" t="str">
        <f>IFERROR(_xlfn.XLOOKUP($C295,Log!D:D,Log!W:W,,,-1),"")</f>
        <v/>
      </c>
      <c r="O295" s="81">
        <f>IFERROR(_xlfn.XLOOKUP($C295,Log!D:D,Log!Y:Y,,,-1),"")</f>
        <v>0</v>
      </c>
      <c r="Q295" s="69" t="str">
        <f>IFERROR(IF(Tabela13[[#This Row],[NOME FANTASIA]]="","",_xlfn.XLOOKUP($C295,Log!D:D,Log!X:X,,,-1)),"")</f>
        <v/>
      </c>
      <c r="R295" s="82">
        <f>COUNTIFS(Log!$D:$D,'Base Novos Clientes'!$C295,Log!$W:$W,'Base Novos Clientes'!R$2)</f>
        <v>0</v>
      </c>
      <c r="S295" s="82">
        <f>COUNTIFS(Log!$D:$D,'Base Novos Clientes'!$C295,Log!$W:$W,'Base Novos Clientes'!S$2)</f>
        <v>0</v>
      </c>
      <c r="T295" s="82">
        <f>COUNTIFS(Log!$D:$D,'Base Novos Clientes'!$C295,Log!$W:$W,'Base Novos Clientes'!T$2)</f>
        <v>0</v>
      </c>
    </row>
    <row r="296" spans="3:20" x14ac:dyDescent="0.25">
      <c r="C296" s="75"/>
      <c r="D296" s="75"/>
      <c r="E296" s="75"/>
      <c r="F296" s="75"/>
      <c r="G296" s="76"/>
      <c r="H296" s="77"/>
      <c r="I296" s="78"/>
      <c r="J296" s="79"/>
      <c r="K296" s="79" t="str">
        <f ca="1">IF(J296="","NOVO",_xlfn.XLOOKUP(TODAY()-J296,Regras!$C$3:$C$10,Regras!$D$3:$D$10,,1))</f>
        <v>NOVO</v>
      </c>
      <c r="L296" s="75" t="str">
        <f t="shared" si="4"/>
        <v/>
      </c>
      <c r="M296" s="80" t="str">
        <f>IFERROR(IF(Tabela13[[#This Row],[NOME FANTASIA]]="","",_xlfn.XLOOKUP($C296,Log!D:D,Log!B:B,,,-1)),"")</f>
        <v/>
      </c>
      <c r="N296" s="81" t="str">
        <f>IFERROR(_xlfn.XLOOKUP($C296,Log!D:D,Log!W:W,,,-1),"")</f>
        <v/>
      </c>
      <c r="O296" s="81">
        <f>IFERROR(_xlfn.XLOOKUP($C296,Log!D:D,Log!Y:Y,,,-1),"")</f>
        <v>0</v>
      </c>
      <c r="Q296" s="69" t="str">
        <f>IFERROR(IF(Tabela13[[#This Row],[NOME FANTASIA]]="","",_xlfn.XLOOKUP($C296,Log!D:D,Log!X:X,,,-1)),"")</f>
        <v/>
      </c>
      <c r="R296" s="82">
        <f>COUNTIFS(Log!$D:$D,'Base Novos Clientes'!$C296,Log!$W:$W,'Base Novos Clientes'!R$2)</f>
        <v>0</v>
      </c>
      <c r="S296" s="82">
        <f>COUNTIFS(Log!$D:$D,'Base Novos Clientes'!$C296,Log!$W:$W,'Base Novos Clientes'!S$2)</f>
        <v>0</v>
      </c>
      <c r="T296" s="82">
        <f>COUNTIFS(Log!$D:$D,'Base Novos Clientes'!$C296,Log!$W:$W,'Base Novos Clientes'!T$2)</f>
        <v>0</v>
      </c>
    </row>
    <row r="297" spans="3:20" x14ac:dyDescent="0.25">
      <c r="C297" s="75"/>
      <c r="D297" s="75"/>
      <c r="E297" s="75"/>
      <c r="F297" s="75"/>
      <c r="G297" s="76"/>
      <c r="H297" s="77"/>
      <c r="I297" s="78"/>
      <c r="J297" s="79"/>
      <c r="K297" s="79" t="str">
        <f ca="1">IF(J297="","NOVO",_xlfn.XLOOKUP(TODAY()-J297,Regras!$C$3:$C$10,Regras!$D$3:$D$10,,1))</f>
        <v>NOVO</v>
      </c>
      <c r="L297" s="75" t="str">
        <f t="shared" si="4"/>
        <v/>
      </c>
      <c r="M297" s="80" t="str">
        <f>IFERROR(IF(Tabela13[[#This Row],[NOME FANTASIA]]="","",_xlfn.XLOOKUP($C297,Log!D:D,Log!B:B,,,-1)),"")</f>
        <v/>
      </c>
      <c r="N297" s="81" t="str">
        <f>IFERROR(_xlfn.XLOOKUP($C297,Log!D:D,Log!W:W,,,-1),"")</f>
        <v/>
      </c>
      <c r="O297" s="81">
        <f>IFERROR(_xlfn.XLOOKUP($C297,Log!D:D,Log!Y:Y,,,-1),"")</f>
        <v>0</v>
      </c>
      <c r="Q297" s="69" t="str">
        <f>IFERROR(IF(Tabela13[[#This Row],[NOME FANTASIA]]="","",_xlfn.XLOOKUP($C297,Log!D:D,Log!X:X,,,-1)),"")</f>
        <v/>
      </c>
      <c r="R297" s="82">
        <f>COUNTIFS(Log!$D:$D,'Base Novos Clientes'!$C297,Log!$W:$W,'Base Novos Clientes'!R$2)</f>
        <v>0</v>
      </c>
      <c r="S297" s="82">
        <f>COUNTIFS(Log!$D:$D,'Base Novos Clientes'!$C297,Log!$W:$W,'Base Novos Clientes'!S$2)</f>
        <v>0</v>
      </c>
      <c r="T297" s="82">
        <f>COUNTIFS(Log!$D:$D,'Base Novos Clientes'!$C297,Log!$W:$W,'Base Novos Clientes'!T$2)</f>
        <v>0</v>
      </c>
    </row>
    <row r="298" spans="3:20" x14ac:dyDescent="0.25">
      <c r="C298" s="75"/>
      <c r="D298" s="75"/>
      <c r="E298" s="75"/>
      <c r="F298" s="75"/>
      <c r="G298" s="76"/>
      <c r="H298" s="77"/>
      <c r="I298" s="78"/>
      <c r="J298" s="79"/>
      <c r="K298" s="79" t="str">
        <f ca="1">IF(J298="","NOVO",_xlfn.XLOOKUP(TODAY()-J298,Regras!$C$3:$C$10,Regras!$D$3:$D$10,,1))</f>
        <v>NOVO</v>
      </c>
      <c r="L298" s="75" t="str">
        <f t="shared" si="4"/>
        <v/>
      </c>
      <c r="M298" s="80" t="str">
        <f>IFERROR(IF(Tabela13[[#This Row],[NOME FANTASIA]]="","",_xlfn.XLOOKUP($C298,Log!D:D,Log!B:B,,,-1)),"")</f>
        <v/>
      </c>
      <c r="N298" s="81" t="str">
        <f>IFERROR(_xlfn.XLOOKUP($C298,Log!D:D,Log!W:W,,,-1),"")</f>
        <v/>
      </c>
      <c r="O298" s="81">
        <f>IFERROR(_xlfn.XLOOKUP($C298,Log!D:D,Log!Y:Y,,,-1),"")</f>
        <v>0</v>
      </c>
      <c r="Q298" s="69" t="str">
        <f>IFERROR(IF(Tabela13[[#This Row],[NOME FANTASIA]]="","",_xlfn.XLOOKUP($C298,Log!D:D,Log!X:X,,,-1)),"")</f>
        <v/>
      </c>
      <c r="R298" s="82">
        <f>COUNTIFS(Log!$D:$D,'Base Novos Clientes'!$C298,Log!$W:$W,'Base Novos Clientes'!R$2)</f>
        <v>0</v>
      </c>
      <c r="S298" s="82">
        <f>COUNTIFS(Log!$D:$D,'Base Novos Clientes'!$C298,Log!$W:$W,'Base Novos Clientes'!S$2)</f>
        <v>0</v>
      </c>
      <c r="T298" s="82">
        <f>COUNTIFS(Log!$D:$D,'Base Novos Clientes'!$C298,Log!$W:$W,'Base Novos Clientes'!T$2)</f>
        <v>0</v>
      </c>
    </row>
    <row r="299" spans="3:20" x14ac:dyDescent="0.25">
      <c r="C299" s="75"/>
      <c r="D299" s="75"/>
      <c r="E299" s="75"/>
      <c r="F299" s="75"/>
      <c r="G299" s="76"/>
      <c r="H299" s="77"/>
      <c r="I299" s="78"/>
      <c r="J299" s="79"/>
      <c r="K299" s="79" t="str">
        <f ca="1">IF(J299="","NOVO",_xlfn.XLOOKUP(TODAY()-J299,Regras!$C$3:$C$10,Regras!$D$3:$D$10,,1))</f>
        <v>NOVO</v>
      </c>
      <c r="L299" s="75" t="str">
        <f t="shared" si="4"/>
        <v/>
      </c>
      <c r="M299" s="80" t="str">
        <f>IFERROR(IF(Tabela13[[#This Row],[NOME FANTASIA]]="","",_xlfn.XLOOKUP($C299,Log!D:D,Log!B:B,,,-1)),"")</f>
        <v/>
      </c>
      <c r="N299" s="81" t="str">
        <f>IFERROR(_xlfn.XLOOKUP($C299,Log!D:D,Log!W:W,,,-1),"")</f>
        <v/>
      </c>
      <c r="O299" s="81">
        <f>IFERROR(_xlfn.XLOOKUP($C299,Log!D:D,Log!Y:Y,,,-1),"")</f>
        <v>0</v>
      </c>
      <c r="Q299" s="69" t="str">
        <f>IFERROR(IF(Tabela13[[#This Row],[NOME FANTASIA]]="","",_xlfn.XLOOKUP($C299,Log!D:D,Log!X:X,,,-1)),"")</f>
        <v/>
      </c>
      <c r="R299" s="82">
        <f>COUNTIFS(Log!$D:$D,'Base Novos Clientes'!$C299,Log!$W:$W,'Base Novos Clientes'!R$2)</f>
        <v>0</v>
      </c>
      <c r="S299" s="82">
        <f>COUNTIFS(Log!$D:$D,'Base Novos Clientes'!$C299,Log!$W:$W,'Base Novos Clientes'!S$2)</f>
        <v>0</v>
      </c>
      <c r="T299" s="82">
        <f>COUNTIFS(Log!$D:$D,'Base Novos Clientes'!$C299,Log!$W:$W,'Base Novos Clientes'!T$2)</f>
        <v>0</v>
      </c>
    </row>
    <row r="300" spans="3:20" x14ac:dyDescent="0.25">
      <c r="C300" s="75"/>
      <c r="D300" s="75"/>
      <c r="E300" s="75"/>
      <c r="F300" s="75"/>
      <c r="G300" s="76"/>
      <c r="H300" s="77"/>
      <c r="I300" s="78"/>
      <c r="J300" s="79"/>
      <c r="K300" s="79" t="str">
        <f ca="1">IF(J300="","NOVO",_xlfn.XLOOKUP(TODAY()-J300,Regras!$C$3:$C$10,Regras!$D$3:$D$10,,1))</f>
        <v>NOVO</v>
      </c>
      <c r="L300" s="75" t="str">
        <f t="shared" si="4"/>
        <v/>
      </c>
      <c r="M300" s="80" t="str">
        <f>IFERROR(IF(Tabela13[[#This Row],[NOME FANTASIA]]="","",_xlfn.XLOOKUP($C300,Log!D:D,Log!B:B,,,-1)),"")</f>
        <v/>
      </c>
      <c r="N300" s="81" t="str">
        <f>IFERROR(_xlfn.XLOOKUP($C300,Log!D:D,Log!W:W,,,-1),"")</f>
        <v/>
      </c>
      <c r="O300" s="81">
        <f>IFERROR(_xlfn.XLOOKUP($C300,Log!D:D,Log!Y:Y,,,-1),"")</f>
        <v>0</v>
      </c>
      <c r="Q300" s="69" t="str">
        <f>IFERROR(IF(Tabela13[[#This Row],[NOME FANTASIA]]="","",_xlfn.XLOOKUP($C300,Log!D:D,Log!X:X,,,-1)),"")</f>
        <v/>
      </c>
      <c r="R300" s="82">
        <f>COUNTIFS(Log!$D:$D,'Base Novos Clientes'!$C300,Log!$W:$W,'Base Novos Clientes'!R$2)</f>
        <v>0</v>
      </c>
      <c r="S300" s="82">
        <f>COUNTIFS(Log!$D:$D,'Base Novos Clientes'!$C300,Log!$W:$W,'Base Novos Clientes'!S$2)</f>
        <v>0</v>
      </c>
      <c r="T300" s="82">
        <f>COUNTIFS(Log!$D:$D,'Base Novos Clientes'!$C300,Log!$W:$W,'Base Novos Clientes'!T$2)</f>
        <v>0</v>
      </c>
    </row>
    <row r="301" spans="3:20" x14ac:dyDescent="0.25">
      <c r="C301" s="75"/>
      <c r="D301" s="75"/>
      <c r="E301" s="75"/>
      <c r="F301" s="75"/>
      <c r="G301" s="76"/>
      <c r="H301" s="77"/>
      <c r="I301" s="78"/>
      <c r="J301" s="79"/>
      <c r="K301" s="79" t="str">
        <f ca="1">IF(J301="","NOVO",_xlfn.XLOOKUP(TODAY()-J301,Regras!$C$3:$C$10,Regras!$D$3:$D$10,,1))</f>
        <v>NOVO</v>
      </c>
      <c r="L301" s="75" t="str">
        <f t="shared" si="4"/>
        <v/>
      </c>
      <c r="M301" s="80" t="str">
        <f>IFERROR(IF(Tabela13[[#This Row],[NOME FANTASIA]]="","",_xlfn.XLOOKUP($C301,Log!D:D,Log!B:B,,,-1)),"")</f>
        <v/>
      </c>
      <c r="N301" s="81" t="str">
        <f>IFERROR(_xlfn.XLOOKUP($C301,Log!D:D,Log!W:W,,,-1),"")</f>
        <v/>
      </c>
      <c r="O301" s="81">
        <f>IFERROR(_xlfn.XLOOKUP($C301,Log!D:D,Log!Y:Y,,,-1),"")</f>
        <v>0</v>
      </c>
      <c r="Q301" s="69" t="str">
        <f>IFERROR(IF(Tabela13[[#This Row],[NOME FANTASIA]]="","",_xlfn.XLOOKUP($C301,Log!D:D,Log!X:X,,,-1)),"")</f>
        <v/>
      </c>
      <c r="R301" s="82">
        <f>COUNTIFS(Log!$D:$D,'Base Novos Clientes'!$C301,Log!$W:$W,'Base Novos Clientes'!R$2)</f>
        <v>0</v>
      </c>
      <c r="S301" s="82">
        <f>COUNTIFS(Log!$D:$D,'Base Novos Clientes'!$C301,Log!$W:$W,'Base Novos Clientes'!S$2)</f>
        <v>0</v>
      </c>
      <c r="T301" s="82">
        <f>COUNTIFS(Log!$D:$D,'Base Novos Clientes'!$C301,Log!$W:$W,'Base Novos Clientes'!T$2)</f>
        <v>0</v>
      </c>
    </row>
    <row r="302" spans="3:20" x14ac:dyDescent="0.25">
      <c r="C302" s="75"/>
      <c r="D302" s="75"/>
      <c r="E302" s="75"/>
      <c r="F302" s="75"/>
      <c r="G302" s="76"/>
      <c r="H302" s="77"/>
      <c r="I302" s="78"/>
      <c r="J302" s="79"/>
      <c r="K302" s="79" t="str">
        <f ca="1">IF(J302="","NOVO",_xlfn.XLOOKUP(TODAY()-J302,Regras!$C$3:$C$10,Regras!$D$3:$D$10,,1))</f>
        <v>NOVO</v>
      </c>
      <c r="L302" s="75" t="str">
        <f t="shared" si="4"/>
        <v/>
      </c>
      <c r="M302" s="80" t="str">
        <f>IFERROR(IF(Tabela13[[#This Row],[NOME FANTASIA]]="","",_xlfn.XLOOKUP($C302,Log!D:D,Log!B:B,,,-1)),"")</f>
        <v/>
      </c>
      <c r="N302" s="81" t="str">
        <f>IFERROR(_xlfn.XLOOKUP($C302,Log!D:D,Log!W:W,,,-1),"")</f>
        <v/>
      </c>
      <c r="O302" s="81">
        <f>IFERROR(_xlfn.XLOOKUP($C302,Log!D:D,Log!Y:Y,,,-1),"")</f>
        <v>0</v>
      </c>
      <c r="Q302" s="69" t="str">
        <f>IFERROR(IF(Tabela13[[#This Row],[NOME FANTASIA]]="","",_xlfn.XLOOKUP($C302,Log!D:D,Log!X:X,,,-1)),"")</f>
        <v/>
      </c>
      <c r="R302" s="82">
        <f>COUNTIFS(Log!$D:$D,'Base Novos Clientes'!$C302,Log!$W:$W,'Base Novos Clientes'!R$2)</f>
        <v>0</v>
      </c>
      <c r="S302" s="82">
        <f>COUNTIFS(Log!$D:$D,'Base Novos Clientes'!$C302,Log!$W:$W,'Base Novos Clientes'!S$2)</f>
        <v>0</v>
      </c>
      <c r="T302" s="82">
        <f>COUNTIFS(Log!$D:$D,'Base Novos Clientes'!$C302,Log!$W:$W,'Base Novos Clientes'!T$2)</f>
        <v>0</v>
      </c>
    </row>
    <row r="303" spans="3:20" x14ac:dyDescent="0.25">
      <c r="C303" s="75"/>
      <c r="D303" s="75"/>
      <c r="E303" s="75"/>
      <c r="F303" s="75"/>
      <c r="G303" s="76"/>
      <c r="H303" s="77"/>
      <c r="I303" s="78"/>
      <c r="J303" s="79"/>
      <c r="K303" s="79" t="str">
        <f ca="1">IF(J303="","NOVO",_xlfn.XLOOKUP(TODAY()-J303,Regras!$C$3:$C$10,Regras!$D$3:$D$10,,1))</f>
        <v>NOVO</v>
      </c>
      <c r="L303" s="75" t="str">
        <f t="shared" si="4"/>
        <v/>
      </c>
      <c r="M303" s="80" t="str">
        <f>IFERROR(IF(Tabela13[[#This Row],[NOME FANTASIA]]="","",_xlfn.XLOOKUP($C303,Log!D:D,Log!B:B,,,-1)),"")</f>
        <v/>
      </c>
      <c r="N303" s="81" t="str">
        <f>IFERROR(_xlfn.XLOOKUP($C303,Log!D:D,Log!W:W,,,-1),"")</f>
        <v/>
      </c>
      <c r="O303" s="81">
        <f>IFERROR(_xlfn.XLOOKUP($C303,Log!D:D,Log!Y:Y,,,-1),"")</f>
        <v>0</v>
      </c>
      <c r="Q303" s="69" t="str">
        <f>IFERROR(IF(Tabela13[[#This Row],[NOME FANTASIA]]="","",_xlfn.XLOOKUP($C303,Log!D:D,Log!X:X,,,-1)),"")</f>
        <v/>
      </c>
      <c r="R303" s="82">
        <f>COUNTIFS(Log!$D:$D,'Base Novos Clientes'!$C303,Log!$W:$W,'Base Novos Clientes'!R$2)</f>
        <v>0</v>
      </c>
      <c r="S303" s="82">
        <f>COUNTIFS(Log!$D:$D,'Base Novos Clientes'!$C303,Log!$W:$W,'Base Novos Clientes'!S$2)</f>
        <v>0</v>
      </c>
      <c r="T303" s="82">
        <f>COUNTIFS(Log!$D:$D,'Base Novos Clientes'!$C303,Log!$W:$W,'Base Novos Clientes'!T$2)</f>
        <v>0</v>
      </c>
    </row>
    <row r="304" spans="3:20" x14ac:dyDescent="0.25">
      <c r="C304" s="75"/>
      <c r="D304" s="75"/>
      <c r="E304" s="75"/>
      <c r="F304" s="75"/>
      <c r="G304" s="76"/>
      <c r="H304" s="77"/>
      <c r="I304" s="78"/>
      <c r="J304" s="79"/>
      <c r="K304" s="79" t="str">
        <f ca="1">IF(J304="","NOVO",_xlfn.XLOOKUP(TODAY()-J304,Regras!$C$3:$C$10,Regras!$D$3:$D$10,,1))</f>
        <v>NOVO</v>
      </c>
      <c r="L304" s="75" t="str">
        <f t="shared" si="4"/>
        <v/>
      </c>
      <c r="M304" s="80" t="str">
        <f>IFERROR(IF(Tabela13[[#This Row],[NOME FANTASIA]]="","",_xlfn.XLOOKUP($C304,Log!D:D,Log!B:B,,,-1)),"")</f>
        <v/>
      </c>
      <c r="N304" s="81" t="str">
        <f>IFERROR(_xlfn.XLOOKUP($C304,Log!D:D,Log!W:W,,,-1),"")</f>
        <v/>
      </c>
      <c r="O304" s="81">
        <f>IFERROR(_xlfn.XLOOKUP($C304,Log!D:D,Log!Y:Y,,,-1),"")</f>
        <v>0</v>
      </c>
      <c r="Q304" s="69" t="str">
        <f>IFERROR(IF(Tabela13[[#This Row],[NOME FANTASIA]]="","",_xlfn.XLOOKUP($C304,Log!D:D,Log!X:X,,,-1)),"")</f>
        <v/>
      </c>
      <c r="R304" s="82">
        <f>COUNTIFS(Log!$D:$D,'Base Novos Clientes'!$C304,Log!$W:$W,'Base Novos Clientes'!R$2)</f>
        <v>0</v>
      </c>
      <c r="S304" s="82">
        <f>COUNTIFS(Log!$D:$D,'Base Novos Clientes'!$C304,Log!$W:$W,'Base Novos Clientes'!S$2)</f>
        <v>0</v>
      </c>
      <c r="T304" s="82">
        <f>COUNTIFS(Log!$D:$D,'Base Novos Clientes'!$C304,Log!$W:$W,'Base Novos Clientes'!T$2)</f>
        <v>0</v>
      </c>
    </row>
    <row r="305" spans="3:20" x14ac:dyDescent="0.25">
      <c r="C305" s="75"/>
      <c r="D305" s="75"/>
      <c r="E305" s="75"/>
      <c r="F305" s="75"/>
      <c r="G305" s="76"/>
      <c r="H305" s="77"/>
      <c r="I305" s="78"/>
      <c r="J305" s="79"/>
      <c r="K305" s="79" t="str">
        <f ca="1">IF(J305="","NOVO",_xlfn.XLOOKUP(TODAY()-J305,Regras!$C$3:$C$10,Regras!$D$3:$D$10,,1))</f>
        <v>NOVO</v>
      </c>
      <c r="L305" s="75" t="str">
        <f t="shared" si="4"/>
        <v/>
      </c>
      <c r="M305" s="80" t="str">
        <f>IFERROR(IF(Tabela13[[#This Row],[NOME FANTASIA]]="","",_xlfn.XLOOKUP($C305,Log!D:D,Log!B:B,,,-1)),"")</f>
        <v/>
      </c>
      <c r="N305" s="81" t="str">
        <f>IFERROR(_xlfn.XLOOKUP($C305,Log!D:D,Log!W:W,,,-1),"")</f>
        <v/>
      </c>
      <c r="O305" s="81">
        <f>IFERROR(_xlfn.XLOOKUP($C305,Log!D:D,Log!Y:Y,,,-1),"")</f>
        <v>0</v>
      </c>
      <c r="Q305" s="69" t="str">
        <f>IFERROR(IF(Tabela13[[#This Row],[NOME FANTASIA]]="","",_xlfn.XLOOKUP($C305,Log!D:D,Log!X:X,,,-1)),"")</f>
        <v/>
      </c>
      <c r="R305" s="82">
        <f>COUNTIFS(Log!$D:$D,'Base Novos Clientes'!$C305,Log!$W:$W,'Base Novos Clientes'!R$2)</f>
        <v>0</v>
      </c>
      <c r="S305" s="82">
        <f>COUNTIFS(Log!$D:$D,'Base Novos Clientes'!$C305,Log!$W:$W,'Base Novos Clientes'!S$2)</f>
        <v>0</v>
      </c>
      <c r="T305" s="82">
        <f>COUNTIFS(Log!$D:$D,'Base Novos Clientes'!$C305,Log!$W:$W,'Base Novos Clientes'!T$2)</f>
        <v>0</v>
      </c>
    </row>
    <row r="306" spans="3:20" x14ac:dyDescent="0.25">
      <c r="C306" s="75"/>
      <c r="D306" s="75"/>
      <c r="E306" s="75"/>
      <c r="F306" s="75"/>
      <c r="G306" s="76"/>
      <c r="H306" s="77"/>
      <c r="I306" s="78"/>
      <c r="J306" s="79"/>
      <c r="K306" s="79" t="str">
        <f ca="1">IF(J306="","NOVO",_xlfn.XLOOKUP(TODAY()-J306,Regras!$C$3:$C$10,Regras!$D$3:$D$10,,1))</f>
        <v>NOVO</v>
      </c>
      <c r="L306" s="75" t="str">
        <f t="shared" si="4"/>
        <v/>
      </c>
      <c r="M306" s="80" t="str">
        <f>IFERROR(IF(Tabela13[[#This Row],[NOME FANTASIA]]="","",_xlfn.XLOOKUP($C306,Log!D:D,Log!B:B,,,-1)),"")</f>
        <v/>
      </c>
      <c r="N306" s="81" t="str">
        <f>IFERROR(_xlfn.XLOOKUP($C306,Log!D:D,Log!W:W,,,-1),"")</f>
        <v/>
      </c>
      <c r="O306" s="81">
        <f>IFERROR(_xlfn.XLOOKUP($C306,Log!D:D,Log!Y:Y,,,-1),"")</f>
        <v>0</v>
      </c>
      <c r="Q306" s="69" t="str">
        <f>IFERROR(IF(Tabela13[[#This Row],[NOME FANTASIA]]="","",_xlfn.XLOOKUP($C306,Log!D:D,Log!X:X,,,-1)),"")</f>
        <v/>
      </c>
      <c r="R306" s="82">
        <f>COUNTIFS(Log!$D:$D,'Base Novos Clientes'!$C306,Log!$W:$W,'Base Novos Clientes'!R$2)</f>
        <v>0</v>
      </c>
      <c r="S306" s="82">
        <f>COUNTIFS(Log!$D:$D,'Base Novos Clientes'!$C306,Log!$W:$W,'Base Novos Clientes'!S$2)</f>
        <v>0</v>
      </c>
      <c r="T306" s="82">
        <f>COUNTIFS(Log!$D:$D,'Base Novos Clientes'!$C306,Log!$W:$W,'Base Novos Clientes'!T$2)</f>
        <v>0</v>
      </c>
    </row>
    <row r="307" spans="3:20" x14ac:dyDescent="0.25">
      <c r="C307" s="75"/>
      <c r="D307" s="75"/>
      <c r="E307" s="75"/>
      <c r="F307" s="75"/>
      <c r="G307" s="76"/>
      <c r="H307" s="77"/>
      <c r="I307" s="78"/>
      <c r="J307" s="79"/>
      <c r="K307" s="79" t="str">
        <f ca="1">IF(J307="","NOVO",_xlfn.XLOOKUP(TODAY()-J307,Regras!$C$3:$C$10,Regras!$D$3:$D$10,,1))</f>
        <v>NOVO</v>
      </c>
      <c r="L307" s="75" t="str">
        <f t="shared" si="4"/>
        <v/>
      </c>
      <c r="M307" s="80" t="str">
        <f>IFERROR(IF(Tabela13[[#This Row],[NOME FANTASIA]]="","",_xlfn.XLOOKUP($C307,Log!D:D,Log!B:B,,,-1)),"")</f>
        <v/>
      </c>
      <c r="N307" s="81" t="str">
        <f>IFERROR(_xlfn.XLOOKUP($C307,Log!D:D,Log!W:W,,,-1),"")</f>
        <v/>
      </c>
      <c r="O307" s="81">
        <f>IFERROR(_xlfn.XLOOKUP($C307,Log!D:D,Log!Y:Y,,,-1),"")</f>
        <v>0</v>
      </c>
      <c r="Q307" s="69" t="str">
        <f>IFERROR(IF(Tabela13[[#This Row],[NOME FANTASIA]]="","",_xlfn.XLOOKUP($C307,Log!D:D,Log!X:X,,,-1)),"")</f>
        <v/>
      </c>
      <c r="R307" s="82">
        <f>COUNTIFS(Log!$D:$D,'Base Novos Clientes'!$C307,Log!$W:$W,'Base Novos Clientes'!R$2)</f>
        <v>0</v>
      </c>
      <c r="S307" s="82">
        <f>COUNTIFS(Log!$D:$D,'Base Novos Clientes'!$C307,Log!$W:$W,'Base Novos Clientes'!S$2)</f>
        <v>0</v>
      </c>
      <c r="T307" s="82">
        <f>COUNTIFS(Log!$D:$D,'Base Novos Clientes'!$C307,Log!$W:$W,'Base Novos Clientes'!T$2)</f>
        <v>0</v>
      </c>
    </row>
    <row r="308" spans="3:20" x14ac:dyDescent="0.25">
      <c r="C308" s="75"/>
      <c r="D308" s="75"/>
      <c r="E308" s="75"/>
      <c r="F308" s="75"/>
      <c r="G308" s="76"/>
      <c r="H308" s="77"/>
      <c r="I308" s="78"/>
      <c r="J308" s="79"/>
      <c r="K308" s="79" t="str">
        <f ca="1">IF(J308="","NOVO",_xlfn.XLOOKUP(TODAY()-J308,Regras!$C$3:$C$10,Regras!$D$3:$D$10,,1))</f>
        <v>NOVO</v>
      </c>
      <c r="L308" s="75" t="str">
        <f t="shared" si="4"/>
        <v/>
      </c>
      <c r="M308" s="80" t="str">
        <f>IFERROR(IF(Tabela13[[#This Row],[NOME FANTASIA]]="","",_xlfn.XLOOKUP($C308,Log!D:D,Log!B:B,,,-1)),"")</f>
        <v/>
      </c>
      <c r="N308" s="81" t="str">
        <f>IFERROR(_xlfn.XLOOKUP($C308,Log!D:D,Log!W:W,,,-1),"")</f>
        <v/>
      </c>
      <c r="O308" s="81">
        <f>IFERROR(_xlfn.XLOOKUP($C308,Log!D:D,Log!Y:Y,,,-1),"")</f>
        <v>0</v>
      </c>
      <c r="Q308" s="69" t="str">
        <f>IFERROR(IF(Tabela13[[#This Row],[NOME FANTASIA]]="","",_xlfn.XLOOKUP($C308,Log!D:D,Log!X:X,,,-1)),"")</f>
        <v/>
      </c>
      <c r="R308" s="82">
        <f>COUNTIFS(Log!$D:$D,'Base Novos Clientes'!$C308,Log!$W:$W,'Base Novos Clientes'!R$2)</f>
        <v>0</v>
      </c>
      <c r="S308" s="82">
        <f>COUNTIFS(Log!$D:$D,'Base Novos Clientes'!$C308,Log!$W:$W,'Base Novos Clientes'!S$2)</f>
        <v>0</v>
      </c>
      <c r="T308" s="82">
        <f>COUNTIFS(Log!$D:$D,'Base Novos Clientes'!$C308,Log!$W:$W,'Base Novos Clientes'!T$2)</f>
        <v>0</v>
      </c>
    </row>
    <row r="309" spans="3:20" x14ac:dyDescent="0.25">
      <c r="C309" s="75"/>
      <c r="D309" s="75"/>
      <c r="E309" s="75"/>
      <c r="F309" s="75"/>
      <c r="G309" s="76"/>
      <c r="H309" s="77"/>
      <c r="I309" s="78"/>
      <c r="J309" s="79"/>
      <c r="K309" s="79" t="str">
        <f ca="1">IF(J309="","NOVO",_xlfn.XLOOKUP(TODAY()-J309,Regras!$C$3:$C$10,Regras!$D$3:$D$10,,1))</f>
        <v>NOVO</v>
      </c>
      <c r="L309" s="75" t="str">
        <f t="shared" si="4"/>
        <v/>
      </c>
      <c r="M309" s="80" t="str">
        <f>IFERROR(IF(Tabela13[[#This Row],[NOME FANTASIA]]="","",_xlfn.XLOOKUP($C309,Log!D:D,Log!B:B,,,-1)),"")</f>
        <v/>
      </c>
      <c r="N309" s="81" t="str">
        <f>IFERROR(_xlfn.XLOOKUP($C309,Log!D:D,Log!W:W,,,-1),"")</f>
        <v/>
      </c>
      <c r="O309" s="81">
        <f>IFERROR(_xlfn.XLOOKUP($C309,Log!D:D,Log!Y:Y,,,-1),"")</f>
        <v>0</v>
      </c>
      <c r="Q309" s="69" t="str">
        <f>IFERROR(IF(Tabela13[[#This Row],[NOME FANTASIA]]="","",_xlfn.XLOOKUP($C309,Log!D:D,Log!X:X,,,-1)),"")</f>
        <v/>
      </c>
      <c r="R309" s="82">
        <f>COUNTIFS(Log!$D:$D,'Base Novos Clientes'!$C309,Log!$W:$W,'Base Novos Clientes'!R$2)</f>
        <v>0</v>
      </c>
      <c r="S309" s="82">
        <f>COUNTIFS(Log!$D:$D,'Base Novos Clientes'!$C309,Log!$W:$W,'Base Novos Clientes'!S$2)</f>
        <v>0</v>
      </c>
      <c r="T309" s="82">
        <f>COUNTIFS(Log!$D:$D,'Base Novos Clientes'!$C309,Log!$W:$W,'Base Novos Clientes'!T$2)</f>
        <v>0</v>
      </c>
    </row>
    <row r="310" spans="3:20" x14ac:dyDescent="0.25">
      <c r="C310" s="75"/>
      <c r="D310" s="75"/>
      <c r="E310" s="75"/>
      <c r="F310" s="75"/>
      <c r="G310" s="76"/>
      <c r="H310" s="77"/>
      <c r="I310" s="78"/>
      <c r="J310" s="79"/>
      <c r="K310" s="79" t="str">
        <f ca="1">IF(J310="","NOVO",_xlfn.XLOOKUP(TODAY()-J310,Regras!$C$3:$C$10,Regras!$D$3:$D$10,,1))</f>
        <v>NOVO</v>
      </c>
      <c r="L310" s="75" t="str">
        <f t="shared" si="4"/>
        <v/>
      </c>
      <c r="M310" s="80" t="str">
        <f>IFERROR(IF(Tabela13[[#This Row],[NOME FANTASIA]]="","",_xlfn.XLOOKUP($C310,Log!D:D,Log!B:B,,,-1)),"")</f>
        <v/>
      </c>
      <c r="N310" s="81" t="str">
        <f>IFERROR(_xlfn.XLOOKUP($C310,Log!D:D,Log!W:W,,,-1),"")</f>
        <v/>
      </c>
      <c r="O310" s="81">
        <f>IFERROR(_xlfn.XLOOKUP($C310,Log!D:D,Log!Y:Y,,,-1),"")</f>
        <v>0</v>
      </c>
      <c r="Q310" s="69" t="str">
        <f>IFERROR(IF(Tabela13[[#This Row],[NOME FANTASIA]]="","",_xlfn.XLOOKUP($C310,Log!D:D,Log!X:X,,,-1)),"")</f>
        <v/>
      </c>
      <c r="R310" s="82">
        <f>COUNTIFS(Log!$D:$D,'Base Novos Clientes'!$C310,Log!$W:$W,'Base Novos Clientes'!R$2)</f>
        <v>0</v>
      </c>
      <c r="S310" s="82">
        <f>COUNTIFS(Log!$D:$D,'Base Novos Clientes'!$C310,Log!$W:$W,'Base Novos Clientes'!S$2)</f>
        <v>0</v>
      </c>
      <c r="T310" s="82">
        <f>COUNTIFS(Log!$D:$D,'Base Novos Clientes'!$C310,Log!$W:$W,'Base Novos Clientes'!T$2)</f>
        <v>0</v>
      </c>
    </row>
    <row r="311" spans="3:20" x14ac:dyDescent="0.25">
      <c r="C311" s="75"/>
      <c r="D311" s="75"/>
      <c r="E311" s="75"/>
      <c r="F311" s="75"/>
      <c r="G311" s="76"/>
      <c r="H311" s="77"/>
      <c r="I311" s="78"/>
      <c r="J311" s="79"/>
      <c r="K311" s="79" t="str">
        <f ca="1">IF(J311="","NOVO",_xlfn.XLOOKUP(TODAY()-J311,Regras!$C$3:$C$10,Regras!$D$3:$D$10,,1))</f>
        <v>NOVO</v>
      </c>
      <c r="L311" s="75" t="str">
        <f t="shared" si="4"/>
        <v/>
      </c>
      <c r="M311" s="80" t="str">
        <f>IFERROR(IF(Tabela13[[#This Row],[NOME FANTASIA]]="","",_xlfn.XLOOKUP($C311,Log!D:D,Log!B:B,,,-1)),"")</f>
        <v/>
      </c>
      <c r="N311" s="81" t="str">
        <f>IFERROR(_xlfn.XLOOKUP($C311,Log!D:D,Log!W:W,,,-1),"")</f>
        <v/>
      </c>
      <c r="O311" s="81">
        <f>IFERROR(_xlfn.XLOOKUP($C311,Log!D:D,Log!Y:Y,,,-1),"")</f>
        <v>0</v>
      </c>
      <c r="Q311" s="69" t="str">
        <f>IFERROR(IF(Tabela13[[#This Row],[NOME FANTASIA]]="","",_xlfn.XLOOKUP($C311,Log!D:D,Log!X:X,,,-1)),"")</f>
        <v/>
      </c>
      <c r="R311" s="82">
        <f>COUNTIFS(Log!$D:$D,'Base Novos Clientes'!$C311,Log!$W:$W,'Base Novos Clientes'!R$2)</f>
        <v>0</v>
      </c>
      <c r="S311" s="82">
        <f>COUNTIFS(Log!$D:$D,'Base Novos Clientes'!$C311,Log!$W:$W,'Base Novos Clientes'!S$2)</f>
        <v>0</v>
      </c>
      <c r="T311" s="82">
        <f>COUNTIFS(Log!$D:$D,'Base Novos Clientes'!$C311,Log!$W:$W,'Base Novos Clientes'!T$2)</f>
        <v>0</v>
      </c>
    </row>
    <row r="312" spans="3:20" x14ac:dyDescent="0.25">
      <c r="C312" s="75"/>
      <c r="D312" s="75"/>
      <c r="E312" s="75"/>
      <c r="F312" s="75"/>
      <c r="G312" s="76"/>
      <c r="H312" s="77"/>
      <c r="I312" s="78"/>
      <c r="J312" s="79"/>
      <c r="K312" s="79" t="str">
        <f ca="1">IF(J312="","NOVO",_xlfn.XLOOKUP(TODAY()-J312,Regras!$C$3:$C$10,Regras!$D$3:$D$10,,1))</f>
        <v>NOVO</v>
      </c>
      <c r="L312" s="75" t="str">
        <f t="shared" si="4"/>
        <v/>
      </c>
      <c r="M312" s="80" t="str">
        <f>IFERROR(IF(Tabela13[[#This Row],[NOME FANTASIA]]="","",_xlfn.XLOOKUP($C312,Log!D:D,Log!B:B,,,-1)),"")</f>
        <v/>
      </c>
      <c r="N312" s="81" t="str">
        <f>IFERROR(_xlfn.XLOOKUP($C312,Log!D:D,Log!W:W,,,-1),"")</f>
        <v/>
      </c>
      <c r="O312" s="81">
        <f>IFERROR(_xlfn.XLOOKUP($C312,Log!D:D,Log!Y:Y,,,-1),"")</f>
        <v>0</v>
      </c>
      <c r="Q312" s="69" t="str">
        <f>IFERROR(IF(Tabela13[[#This Row],[NOME FANTASIA]]="","",_xlfn.XLOOKUP($C312,Log!D:D,Log!X:X,,,-1)),"")</f>
        <v/>
      </c>
      <c r="R312" s="82">
        <f>COUNTIFS(Log!$D:$D,'Base Novos Clientes'!$C312,Log!$W:$W,'Base Novos Clientes'!R$2)</f>
        <v>0</v>
      </c>
      <c r="S312" s="82">
        <f>COUNTIFS(Log!$D:$D,'Base Novos Clientes'!$C312,Log!$W:$W,'Base Novos Clientes'!S$2)</f>
        <v>0</v>
      </c>
      <c r="T312" s="82">
        <f>COUNTIFS(Log!$D:$D,'Base Novos Clientes'!$C312,Log!$W:$W,'Base Novos Clientes'!T$2)</f>
        <v>0</v>
      </c>
    </row>
    <row r="313" spans="3:20" x14ac:dyDescent="0.25">
      <c r="C313" s="75"/>
      <c r="D313" s="75"/>
      <c r="E313" s="75"/>
      <c r="F313" s="75"/>
      <c r="G313" s="76"/>
      <c r="H313" s="77"/>
      <c r="I313" s="78"/>
      <c r="J313" s="79"/>
      <c r="K313" s="79" t="str">
        <f ca="1">IF(J313="","NOVO",_xlfn.XLOOKUP(TODAY()-J313,Regras!$C$3:$C$10,Regras!$D$3:$D$10,,1))</f>
        <v>NOVO</v>
      </c>
      <c r="L313" s="75" t="str">
        <f t="shared" si="4"/>
        <v/>
      </c>
      <c r="M313" s="80" t="str">
        <f>IFERROR(IF(Tabela13[[#This Row],[NOME FANTASIA]]="","",_xlfn.XLOOKUP($C313,Log!D:D,Log!B:B,,,-1)),"")</f>
        <v/>
      </c>
      <c r="N313" s="81" t="str">
        <f>IFERROR(_xlfn.XLOOKUP($C313,Log!D:D,Log!W:W,,,-1),"")</f>
        <v/>
      </c>
      <c r="O313" s="81">
        <f>IFERROR(_xlfn.XLOOKUP($C313,Log!D:D,Log!Y:Y,,,-1),"")</f>
        <v>0</v>
      </c>
      <c r="Q313" s="69" t="str">
        <f>IFERROR(IF(Tabela13[[#This Row],[NOME FANTASIA]]="","",_xlfn.XLOOKUP($C313,Log!D:D,Log!X:X,,,-1)),"")</f>
        <v/>
      </c>
      <c r="R313" s="82">
        <f>COUNTIFS(Log!$D:$D,'Base Novos Clientes'!$C313,Log!$W:$W,'Base Novos Clientes'!R$2)</f>
        <v>0</v>
      </c>
      <c r="S313" s="82">
        <f>COUNTIFS(Log!$D:$D,'Base Novos Clientes'!$C313,Log!$W:$W,'Base Novos Clientes'!S$2)</f>
        <v>0</v>
      </c>
      <c r="T313" s="82">
        <f>COUNTIFS(Log!$D:$D,'Base Novos Clientes'!$C313,Log!$W:$W,'Base Novos Clientes'!T$2)</f>
        <v>0</v>
      </c>
    </row>
    <row r="314" spans="3:20" x14ac:dyDescent="0.25">
      <c r="C314" s="75"/>
      <c r="D314" s="75"/>
      <c r="E314" s="75"/>
      <c r="F314" s="75"/>
      <c r="G314" s="76"/>
      <c r="H314" s="77"/>
      <c r="I314" s="78"/>
      <c r="J314" s="79"/>
      <c r="K314" s="79" t="str">
        <f ca="1">IF(J314="","NOVO",_xlfn.XLOOKUP(TODAY()-J314,Regras!$C$3:$C$10,Regras!$D$3:$D$10,,1))</f>
        <v>NOVO</v>
      </c>
      <c r="L314" s="75" t="str">
        <f t="shared" si="4"/>
        <v/>
      </c>
      <c r="M314" s="80" t="str">
        <f>IFERROR(IF(Tabela13[[#This Row],[NOME FANTASIA]]="","",_xlfn.XLOOKUP($C314,Log!D:D,Log!B:B,,,-1)),"")</f>
        <v/>
      </c>
      <c r="N314" s="81" t="str">
        <f>IFERROR(_xlfn.XLOOKUP($C314,Log!D:D,Log!W:W,,,-1),"")</f>
        <v/>
      </c>
      <c r="O314" s="81">
        <f>IFERROR(_xlfn.XLOOKUP($C314,Log!D:D,Log!Y:Y,,,-1),"")</f>
        <v>0</v>
      </c>
      <c r="Q314" s="69" t="str">
        <f>IFERROR(IF(Tabela13[[#This Row],[NOME FANTASIA]]="","",_xlfn.XLOOKUP($C314,Log!D:D,Log!X:X,,,-1)),"")</f>
        <v/>
      </c>
      <c r="R314" s="82">
        <f>COUNTIFS(Log!$D:$D,'Base Novos Clientes'!$C314,Log!$W:$W,'Base Novos Clientes'!R$2)</f>
        <v>0</v>
      </c>
      <c r="S314" s="82">
        <f>COUNTIFS(Log!$D:$D,'Base Novos Clientes'!$C314,Log!$W:$W,'Base Novos Clientes'!S$2)</f>
        <v>0</v>
      </c>
      <c r="T314" s="82">
        <f>COUNTIFS(Log!$D:$D,'Base Novos Clientes'!$C314,Log!$W:$W,'Base Novos Clientes'!T$2)</f>
        <v>0</v>
      </c>
    </row>
    <row r="315" spans="3:20" x14ac:dyDescent="0.25">
      <c r="C315" s="75"/>
      <c r="D315" s="75"/>
      <c r="E315" s="75"/>
      <c r="F315" s="75"/>
      <c r="G315" s="76"/>
      <c r="H315" s="77"/>
      <c r="I315" s="78"/>
      <c r="J315" s="79"/>
      <c r="K315" s="79" t="str">
        <f ca="1">IF(J315="","NOVO",_xlfn.XLOOKUP(TODAY()-J315,Regras!$C$3:$C$10,Regras!$D$3:$D$10,,1))</f>
        <v>NOVO</v>
      </c>
      <c r="L315" s="75" t="str">
        <f t="shared" si="4"/>
        <v/>
      </c>
      <c r="M315" s="80" t="str">
        <f>IFERROR(IF(Tabela13[[#This Row],[NOME FANTASIA]]="","",_xlfn.XLOOKUP($C315,Log!D:D,Log!B:B,,,-1)),"")</f>
        <v/>
      </c>
      <c r="N315" s="81" t="str">
        <f>IFERROR(_xlfn.XLOOKUP($C315,Log!D:D,Log!W:W,,,-1),"")</f>
        <v/>
      </c>
      <c r="O315" s="81">
        <f>IFERROR(_xlfn.XLOOKUP($C315,Log!D:D,Log!Y:Y,,,-1),"")</f>
        <v>0</v>
      </c>
      <c r="Q315" s="69" t="str">
        <f>IFERROR(IF(Tabela13[[#This Row],[NOME FANTASIA]]="","",_xlfn.XLOOKUP($C315,Log!D:D,Log!X:X,,,-1)),"")</f>
        <v/>
      </c>
      <c r="R315" s="82">
        <f>COUNTIFS(Log!$D:$D,'Base Novos Clientes'!$C315,Log!$W:$W,'Base Novos Clientes'!R$2)</f>
        <v>0</v>
      </c>
      <c r="S315" s="82">
        <f>COUNTIFS(Log!$D:$D,'Base Novos Clientes'!$C315,Log!$W:$W,'Base Novos Clientes'!S$2)</f>
        <v>0</v>
      </c>
      <c r="T315" s="82">
        <f>COUNTIFS(Log!$D:$D,'Base Novos Clientes'!$C315,Log!$W:$W,'Base Novos Clientes'!T$2)</f>
        <v>0</v>
      </c>
    </row>
    <row r="316" spans="3:20" x14ac:dyDescent="0.25">
      <c r="C316" s="75"/>
      <c r="D316" s="75"/>
      <c r="E316" s="75"/>
      <c r="F316" s="75"/>
      <c r="G316" s="76"/>
      <c r="H316" s="77"/>
      <c r="I316" s="78"/>
      <c r="J316" s="79"/>
      <c r="K316" s="79" t="str">
        <f ca="1">IF(J316="","NOVO",_xlfn.XLOOKUP(TODAY()-J316,Regras!$C$3:$C$10,Regras!$D$3:$D$10,,1))</f>
        <v>NOVO</v>
      </c>
      <c r="L316" s="75" t="str">
        <f t="shared" si="4"/>
        <v/>
      </c>
      <c r="M316" s="80" t="str">
        <f>IFERROR(IF(Tabela13[[#This Row],[NOME FANTASIA]]="","",_xlfn.XLOOKUP($C316,Log!D:D,Log!B:B,,,-1)),"")</f>
        <v/>
      </c>
      <c r="N316" s="81" t="str">
        <f>IFERROR(_xlfn.XLOOKUP($C316,Log!D:D,Log!W:W,,,-1),"")</f>
        <v/>
      </c>
      <c r="O316" s="81">
        <f>IFERROR(_xlfn.XLOOKUP($C316,Log!D:D,Log!Y:Y,,,-1),"")</f>
        <v>0</v>
      </c>
      <c r="Q316" s="69" t="str">
        <f>IFERROR(IF(Tabela13[[#This Row],[NOME FANTASIA]]="","",_xlfn.XLOOKUP($C316,Log!D:D,Log!X:X,,,-1)),"")</f>
        <v/>
      </c>
      <c r="R316" s="82">
        <f>COUNTIFS(Log!$D:$D,'Base Novos Clientes'!$C316,Log!$W:$W,'Base Novos Clientes'!R$2)</f>
        <v>0</v>
      </c>
      <c r="S316" s="82">
        <f>COUNTIFS(Log!$D:$D,'Base Novos Clientes'!$C316,Log!$W:$W,'Base Novos Clientes'!S$2)</f>
        <v>0</v>
      </c>
      <c r="T316" s="82">
        <f>COUNTIFS(Log!$D:$D,'Base Novos Clientes'!$C316,Log!$W:$W,'Base Novos Clientes'!T$2)</f>
        <v>0</v>
      </c>
    </row>
    <row r="317" spans="3:20" x14ac:dyDescent="0.25">
      <c r="C317" s="75"/>
      <c r="D317" s="75"/>
      <c r="E317" s="75"/>
      <c r="F317" s="75"/>
      <c r="G317" s="76"/>
      <c r="H317" s="77"/>
      <c r="I317" s="78"/>
      <c r="J317" s="79"/>
      <c r="K317" s="79" t="str">
        <f ca="1">IF(J317="","NOVO",_xlfn.XLOOKUP(TODAY()-J317,Regras!$C$3:$C$10,Regras!$D$3:$D$10,,1))</f>
        <v>NOVO</v>
      </c>
      <c r="L317" s="75" t="str">
        <f t="shared" si="4"/>
        <v/>
      </c>
      <c r="M317" s="80" t="str">
        <f>IFERROR(IF(Tabela13[[#This Row],[NOME FANTASIA]]="","",_xlfn.XLOOKUP($C317,Log!D:D,Log!B:B,,,-1)),"")</f>
        <v/>
      </c>
      <c r="N317" s="81" t="str">
        <f>IFERROR(_xlfn.XLOOKUP($C317,Log!D:D,Log!W:W,,,-1),"")</f>
        <v/>
      </c>
      <c r="O317" s="81">
        <f>IFERROR(_xlfn.XLOOKUP($C317,Log!D:D,Log!Y:Y,,,-1),"")</f>
        <v>0</v>
      </c>
      <c r="Q317" s="69" t="str">
        <f>IFERROR(IF(Tabela13[[#This Row],[NOME FANTASIA]]="","",_xlfn.XLOOKUP($C317,Log!D:D,Log!X:X,,,-1)),"")</f>
        <v/>
      </c>
      <c r="R317" s="82">
        <f>COUNTIFS(Log!$D:$D,'Base Novos Clientes'!$C317,Log!$W:$W,'Base Novos Clientes'!R$2)</f>
        <v>0</v>
      </c>
      <c r="S317" s="82">
        <f>COUNTIFS(Log!$D:$D,'Base Novos Clientes'!$C317,Log!$W:$W,'Base Novos Clientes'!S$2)</f>
        <v>0</v>
      </c>
      <c r="T317" s="82">
        <f>COUNTIFS(Log!$D:$D,'Base Novos Clientes'!$C317,Log!$W:$W,'Base Novos Clientes'!T$2)</f>
        <v>0</v>
      </c>
    </row>
    <row r="318" spans="3:20" x14ac:dyDescent="0.25">
      <c r="C318" s="75"/>
      <c r="D318" s="75"/>
      <c r="E318" s="75"/>
      <c r="F318" s="75"/>
      <c r="G318" s="76"/>
      <c r="H318" s="77"/>
      <c r="I318" s="78"/>
      <c r="J318" s="79"/>
      <c r="K318" s="79" t="str">
        <f ca="1">IF(J318="","NOVO",_xlfn.XLOOKUP(TODAY()-J318,Regras!$C$3:$C$10,Regras!$D$3:$D$10,,1))</f>
        <v>NOVO</v>
      </c>
      <c r="L318" s="75" t="str">
        <f t="shared" si="4"/>
        <v/>
      </c>
      <c r="M318" s="80" t="str">
        <f>IFERROR(IF(Tabela13[[#This Row],[NOME FANTASIA]]="","",_xlfn.XLOOKUP($C318,Log!D:D,Log!B:B,,,-1)),"")</f>
        <v/>
      </c>
      <c r="N318" s="81" t="str">
        <f>IFERROR(_xlfn.XLOOKUP($C318,Log!D:D,Log!W:W,,,-1),"")</f>
        <v/>
      </c>
      <c r="O318" s="81">
        <f>IFERROR(_xlfn.XLOOKUP($C318,Log!D:D,Log!Y:Y,,,-1),"")</f>
        <v>0</v>
      </c>
      <c r="Q318" s="69" t="str">
        <f>IFERROR(IF(Tabela13[[#This Row],[NOME FANTASIA]]="","",_xlfn.XLOOKUP($C318,Log!D:D,Log!X:X,,,-1)),"")</f>
        <v/>
      </c>
      <c r="R318" s="82">
        <f>COUNTIFS(Log!$D:$D,'Base Novos Clientes'!$C318,Log!$W:$W,'Base Novos Clientes'!R$2)</f>
        <v>0</v>
      </c>
      <c r="S318" s="82">
        <f>COUNTIFS(Log!$D:$D,'Base Novos Clientes'!$C318,Log!$W:$W,'Base Novos Clientes'!S$2)</f>
        <v>0</v>
      </c>
      <c r="T318" s="82">
        <f>COUNTIFS(Log!$D:$D,'Base Novos Clientes'!$C318,Log!$W:$W,'Base Novos Clientes'!T$2)</f>
        <v>0</v>
      </c>
    </row>
    <row r="319" spans="3:20" x14ac:dyDescent="0.25">
      <c r="C319" s="75"/>
      <c r="D319" s="75"/>
      <c r="E319" s="75"/>
      <c r="F319" s="75"/>
      <c r="G319" s="76"/>
      <c r="H319" s="77"/>
      <c r="I319" s="78"/>
      <c r="J319" s="79"/>
      <c r="K319" s="79" t="str">
        <f ca="1">IF(J319="","NOVO",_xlfn.XLOOKUP(TODAY()-J319,Regras!$C$3:$C$10,Regras!$D$3:$D$10,,1))</f>
        <v>NOVO</v>
      </c>
      <c r="L319" s="75" t="str">
        <f t="shared" si="4"/>
        <v/>
      </c>
      <c r="M319" s="80" t="str">
        <f>IFERROR(IF(Tabela13[[#This Row],[NOME FANTASIA]]="","",_xlfn.XLOOKUP($C319,Log!D:D,Log!B:B,,,-1)),"")</f>
        <v/>
      </c>
      <c r="N319" s="81" t="str">
        <f>IFERROR(_xlfn.XLOOKUP($C319,Log!D:D,Log!W:W,,,-1),"")</f>
        <v/>
      </c>
      <c r="O319" s="81">
        <f>IFERROR(_xlfn.XLOOKUP($C319,Log!D:D,Log!Y:Y,,,-1),"")</f>
        <v>0</v>
      </c>
      <c r="Q319" s="69" t="str">
        <f>IFERROR(IF(Tabela13[[#This Row],[NOME FANTASIA]]="","",_xlfn.XLOOKUP($C319,Log!D:D,Log!X:X,,,-1)),"")</f>
        <v/>
      </c>
      <c r="R319" s="82">
        <f>COUNTIFS(Log!$D:$D,'Base Novos Clientes'!$C319,Log!$W:$W,'Base Novos Clientes'!R$2)</f>
        <v>0</v>
      </c>
      <c r="S319" s="82">
        <f>COUNTIFS(Log!$D:$D,'Base Novos Clientes'!$C319,Log!$W:$W,'Base Novos Clientes'!S$2)</f>
        <v>0</v>
      </c>
      <c r="T319" s="82">
        <f>COUNTIFS(Log!$D:$D,'Base Novos Clientes'!$C319,Log!$W:$W,'Base Novos Clientes'!T$2)</f>
        <v>0</v>
      </c>
    </row>
    <row r="320" spans="3:20" x14ac:dyDescent="0.25">
      <c r="C320" s="75"/>
      <c r="D320" s="75"/>
      <c r="E320" s="75"/>
      <c r="F320" s="75"/>
      <c r="G320" s="76"/>
      <c r="H320" s="77"/>
      <c r="I320" s="78"/>
      <c r="J320" s="79"/>
      <c r="K320" s="79" t="str">
        <f ca="1">IF(J320="","NOVO",_xlfn.XLOOKUP(TODAY()-J320,Regras!$C$3:$C$10,Regras!$D$3:$D$10,,1))</f>
        <v>NOVO</v>
      </c>
      <c r="L320" s="75" t="str">
        <f t="shared" si="4"/>
        <v/>
      </c>
      <c r="M320" s="80" t="str">
        <f>IFERROR(IF(Tabela13[[#This Row],[NOME FANTASIA]]="","",_xlfn.XLOOKUP($C320,Log!D:D,Log!B:B,,,-1)),"")</f>
        <v/>
      </c>
      <c r="N320" s="81" t="str">
        <f>IFERROR(_xlfn.XLOOKUP($C320,Log!D:D,Log!W:W,,,-1),"")</f>
        <v/>
      </c>
      <c r="O320" s="81">
        <f>IFERROR(_xlfn.XLOOKUP($C320,Log!D:D,Log!Y:Y,,,-1),"")</f>
        <v>0</v>
      </c>
      <c r="Q320" s="69" t="str">
        <f>IFERROR(IF(Tabela13[[#This Row],[NOME FANTASIA]]="","",_xlfn.XLOOKUP($C320,Log!D:D,Log!X:X,,,-1)),"")</f>
        <v/>
      </c>
      <c r="R320" s="82">
        <f>COUNTIFS(Log!$D:$D,'Base Novos Clientes'!$C320,Log!$W:$W,'Base Novos Clientes'!R$2)</f>
        <v>0</v>
      </c>
      <c r="S320" s="82">
        <f>COUNTIFS(Log!$D:$D,'Base Novos Clientes'!$C320,Log!$W:$W,'Base Novos Clientes'!S$2)</f>
        <v>0</v>
      </c>
      <c r="T320" s="82">
        <f>COUNTIFS(Log!$D:$D,'Base Novos Clientes'!$C320,Log!$W:$W,'Base Novos Clientes'!T$2)</f>
        <v>0</v>
      </c>
    </row>
    <row r="321" spans="3:20" x14ac:dyDescent="0.25">
      <c r="C321" s="75"/>
      <c r="D321" s="75"/>
      <c r="E321" s="75"/>
      <c r="F321" s="75"/>
      <c r="G321" s="76"/>
      <c r="H321" s="77"/>
      <c r="I321" s="78"/>
      <c r="J321" s="79"/>
      <c r="K321" s="79" t="str">
        <f ca="1">IF(J321="","NOVO",_xlfn.XLOOKUP(TODAY()-J321,Regras!$C$3:$C$10,Regras!$D$3:$D$10,,1))</f>
        <v>NOVO</v>
      </c>
      <c r="L321" s="75" t="str">
        <f t="shared" si="4"/>
        <v/>
      </c>
      <c r="M321" s="80" t="str">
        <f>IFERROR(IF(Tabela13[[#This Row],[NOME FANTASIA]]="","",_xlfn.XLOOKUP($C321,Log!D:D,Log!B:B,,,-1)),"")</f>
        <v/>
      </c>
      <c r="N321" s="81" t="str">
        <f>IFERROR(_xlfn.XLOOKUP($C321,Log!D:D,Log!W:W,,,-1),"")</f>
        <v/>
      </c>
      <c r="O321" s="81">
        <f>IFERROR(_xlfn.XLOOKUP($C321,Log!D:D,Log!Y:Y,,,-1),"")</f>
        <v>0</v>
      </c>
      <c r="Q321" s="69" t="str">
        <f>IFERROR(IF(Tabela13[[#This Row],[NOME FANTASIA]]="","",_xlfn.XLOOKUP($C321,Log!D:D,Log!X:X,,,-1)),"")</f>
        <v/>
      </c>
      <c r="R321" s="82">
        <f>COUNTIFS(Log!$D:$D,'Base Novos Clientes'!$C321,Log!$W:$W,'Base Novos Clientes'!R$2)</f>
        <v>0</v>
      </c>
      <c r="S321" s="82">
        <f>COUNTIFS(Log!$D:$D,'Base Novos Clientes'!$C321,Log!$W:$W,'Base Novos Clientes'!S$2)</f>
        <v>0</v>
      </c>
      <c r="T321" s="82">
        <f>COUNTIFS(Log!$D:$D,'Base Novos Clientes'!$C321,Log!$W:$W,'Base Novos Clientes'!T$2)</f>
        <v>0</v>
      </c>
    </row>
    <row r="322" spans="3:20" x14ac:dyDescent="0.25">
      <c r="C322" s="75"/>
      <c r="D322" s="75"/>
      <c r="E322" s="75"/>
      <c r="F322" s="75"/>
      <c r="G322" s="76"/>
      <c r="H322" s="77"/>
      <c r="I322" s="78"/>
      <c r="J322" s="79"/>
      <c r="K322" s="79" t="str">
        <f ca="1">IF(J322="","NOVO",_xlfn.XLOOKUP(TODAY()-J322,Regras!$C$3:$C$10,Regras!$D$3:$D$10,,1))</f>
        <v>NOVO</v>
      </c>
      <c r="L322" s="75" t="str">
        <f t="shared" si="4"/>
        <v/>
      </c>
      <c r="M322" s="80" t="str">
        <f>IFERROR(IF(Tabela13[[#This Row],[NOME FANTASIA]]="","",_xlfn.XLOOKUP($C322,Log!D:D,Log!B:B,,,-1)),"")</f>
        <v/>
      </c>
      <c r="N322" s="81" t="str">
        <f>IFERROR(_xlfn.XLOOKUP($C322,Log!D:D,Log!W:W,,,-1),"")</f>
        <v/>
      </c>
      <c r="O322" s="81">
        <f>IFERROR(_xlfn.XLOOKUP($C322,Log!D:D,Log!Y:Y,,,-1),"")</f>
        <v>0</v>
      </c>
      <c r="Q322" s="69" t="str">
        <f>IFERROR(IF(Tabela13[[#This Row],[NOME FANTASIA]]="","",_xlfn.XLOOKUP($C322,Log!D:D,Log!X:X,,,-1)),"")</f>
        <v/>
      </c>
      <c r="R322" s="82">
        <f>COUNTIFS(Log!$D:$D,'Base Novos Clientes'!$C322,Log!$W:$W,'Base Novos Clientes'!R$2)</f>
        <v>0</v>
      </c>
      <c r="S322" s="82">
        <f>COUNTIFS(Log!$D:$D,'Base Novos Clientes'!$C322,Log!$W:$W,'Base Novos Clientes'!S$2)</f>
        <v>0</v>
      </c>
      <c r="T322" s="82">
        <f>COUNTIFS(Log!$D:$D,'Base Novos Clientes'!$C322,Log!$W:$W,'Base Novos Clientes'!T$2)</f>
        <v>0</v>
      </c>
    </row>
    <row r="323" spans="3:20" x14ac:dyDescent="0.25">
      <c r="C323" s="75"/>
      <c r="D323" s="75"/>
      <c r="E323" s="75"/>
      <c r="F323" s="75"/>
      <c r="G323" s="76"/>
      <c r="H323" s="77"/>
      <c r="I323" s="78"/>
      <c r="J323" s="79"/>
      <c r="K323" s="79" t="str">
        <f ca="1">IF(J323="","NOVO",_xlfn.XLOOKUP(TODAY()-J323,Regras!$C$3:$C$10,Regras!$D$3:$D$10,,1))</f>
        <v>NOVO</v>
      </c>
      <c r="L323" s="75" t="str">
        <f t="shared" si="4"/>
        <v/>
      </c>
      <c r="M323" s="80" t="str">
        <f>IFERROR(IF(Tabela13[[#This Row],[NOME FANTASIA]]="","",_xlfn.XLOOKUP($C323,Log!D:D,Log!B:B,,,-1)),"")</f>
        <v/>
      </c>
      <c r="N323" s="81" t="str">
        <f>IFERROR(_xlfn.XLOOKUP($C323,Log!D:D,Log!W:W,,,-1),"")</f>
        <v/>
      </c>
      <c r="O323" s="81">
        <f>IFERROR(_xlfn.XLOOKUP($C323,Log!D:D,Log!Y:Y,,,-1),"")</f>
        <v>0</v>
      </c>
      <c r="Q323" s="69" t="str">
        <f>IFERROR(IF(Tabela13[[#This Row],[NOME FANTASIA]]="","",_xlfn.XLOOKUP($C323,Log!D:D,Log!X:X,,,-1)),"")</f>
        <v/>
      </c>
      <c r="R323" s="82">
        <f>COUNTIFS(Log!$D:$D,'Base Novos Clientes'!$C323,Log!$W:$W,'Base Novos Clientes'!R$2)</f>
        <v>0</v>
      </c>
      <c r="S323" s="82">
        <f>COUNTIFS(Log!$D:$D,'Base Novos Clientes'!$C323,Log!$W:$W,'Base Novos Clientes'!S$2)</f>
        <v>0</v>
      </c>
      <c r="T323" s="82">
        <f>COUNTIFS(Log!$D:$D,'Base Novos Clientes'!$C323,Log!$W:$W,'Base Novos Clientes'!T$2)</f>
        <v>0</v>
      </c>
    </row>
    <row r="324" spans="3:20" x14ac:dyDescent="0.25">
      <c r="C324" s="75"/>
      <c r="D324" s="75"/>
      <c r="E324" s="75"/>
      <c r="F324" s="75"/>
      <c r="G324" s="76"/>
      <c r="H324" s="77"/>
      <c r="I324" s="78"/>
      <c r="J324" s="79"/>
      <c r="K324" s="79" t="str">
        <f ca="1">IF(J324="","NOVO",_xlfn.XLOOKUP(TODAY()-J324,Regras!$C$3:$C$10,Regras!$D$3:$D$10,,1))</f>
        <v>NOVO</v>
      </c>
      <c r="L324" s="75" t="str">
        <f t="shared" ref="L324:L387" si="5">IF(OR(I324&lt;=0,I324=""),"","Recompra")</f>
        <v/>
      </c>
      <c r="M324" s="80" t="str">
        <f>IFERROR(IF(Tabela13[[#This Row],[NOME FANTASIA]]="","",_xlfn.XLOOKUP($C324,Log!D:D,Log!B:B,,,-1)),"")</f>
        <v/>
      </c>
      <c r="N324" s="81" t="str">
        <f>IFERROR(_xlfn.XLOOKUP($C324,Log!D:D,Log!W:W,,,-1),"")</f>
        <v/>
      </c>
      <c r="O324" s="81">
        <f>IFERROR(_xlfn.XLOOKUP($C324,Log!D:D,Log!Y:Y,,,-1),"")</f>
        <v>0</v>
      </c>
      <c r="Q324" s="69" t="str">
        <f>IFERROR(IF(Tabela13[[#This Row],[NOME FANTASIA]]="","",_xlfn.XLOOKUP($C324,Log!D:D,Log!X:X,,,-1)),"")</f>
        <v/>
      </c>
      <c r="R324" s="82">
        <f>COUNTIFS(Log!$D:$D,'Base Novos Clientes'!$C324,Log!$W:$W,'Base Novos Clientes'!R$2)</f>
        <v>0</v>
      </c>
      <c r="S324" s="82">
        <f>COUNTIFS(Log!$D:$D,'Base Novos Clientes'!$C324,Log!$W:$W,'Base Novos Clientes'!S$2)</f>
        <v>0</v>
      </c>
      <c r="T324" s="82">
        <f>COUNTIFS(Log!$D:$D,'Base Novos Clientes'!$C324,Log!$W:$W,'Base Novos Clientes'!T$2)</f>
        <v>0</v>
      </c>
    </row>
    <row r="325" spans="3:20" x14ac:dyDescent="0.25">
      <c r="C325" s="75"/>
      <c r="D325" s="75"/>
      <c r="E325" s="75"/>
      <c r="F325" s="75"/>
      <c r="G325" s="76"/>
      <c r="H325" s="77"/>
      <c r="I325" s="78"/>
      <c r="J325" s="79"/>
      <c r="K325" s="79" t="str">
        <f ca="1">IF(J325="","NOVO",_xlfn.XLOOKUP(TODAY()-J325,Regras!$C$3:$C$10,Regras!$D$3:$D$10,,1))</f>
        <v>NOVO</v>
      </c>
      <c r="L325" s="75" t="str">
        <f t="shared" si="5"/>
        <v/>
      </c>
      <c r="M325" s="80" t="str">
        <f>IFERROR(IF(Tabela13[[#This Row],[NOME FANTASIA]]="","",_xlfn.XLOOKUP($C325,Log!D:D,Log!B:B,,,-1)),"")</f>
        <v/>
      </c>
      <c r="N325" s="81" t="str">
        <f>IFERROR(_xlfn.XLOOKUP($C325,Log!D:D,Log!W:W,,,-1),"")</f>
        <v/>
      </c>
      <c r="O325" s="81">
        <f>IFERROR(_xlfn.XLOOKUP($C325,Log!D:D,Log!Y:Y,,,-1),"")</f>
        <v>0</v>
      </c>
      <c r="Q325" s="69" t="str">
        <f>IFERROR(IF(Tabela13[[#This Row],[NOME FANTASIA]]="","",_xlfn.XLOOKUP($C325,Log!D:D,Log!X:X,,,-1)),"")</f>
        <v/>
      </c>
      <c r="R325" s="82">
        <f>COUNTIFS(Log!$D:$D,'Base Novos Clientes'!$C325,Log!$W:$W,'Base Novos Clientes'!R$2)</f>
        <v>0</v>
      </c>
      <c r="S325" s="82">
        <f>COUNTIFS(Log!$D:$D,'Base Novos Clientes'!$C325,Log!$W:$W,'Base Novos Clientes'!S$2)</f>
        <v>0</v>
      </c>
      <c r="T325" s="82">
        <f>COUNTIFS(Log!$D:$D,'Base Novos Clientes'!$C325,Log!$W:$W,'Base Novos Clientes'!T$2)</f>
        <v>0</v>
      </c>
    </row>
    <row r="326" spans="3:20" x14ac:dyDescent="0.25">
      <c r="C326" s="75"/>
      <c r="D326" s="75"/>
      <c r="E326" s="75"/>
      <c r="F326" s="75"/>
      <c r="G326" s="76"/>
      <c r="H326" s="77"/>
      <c r="I326" s="78"/>
      <c r="J326" s="79"/>
      <c r="K326" s="79" t="str">
        <f ca="1">IF(J326="","NOVO",_xlfn.XLOOKUP(TODAY()-J326,Regras!$C$3:$C$10,Regras!$D$3:$D$10,,1))</f>
        <v>NOVO</v>
      </c>
      <c r="L326" s="75" t="str">
        <f t="shared" si="5"/>
        <v/>
      </c>
      <c r="M326" s="80" t="str">
        <f>IFERROR(IF(Tabela13[[#This Row],[NOME FANTASIA]]="","",_xlfn.XLOOKUP($C326,Log!D:D,Log!B:B,,,-1)),"")</f>
        <v/>
      </c>
      <c r="N326" s="81" t="str">
        <f>IFERROR(_xlfn.XLOOKUP($C326,Log!D:D,Log!W:W,,,-1),"")</f>
        <v/>
      </c>
      <c r="O326" s="81">
        <f>IFERROR(_xlfn.XLOOKUP($C326,Log!D:D,Log!Y:Y,,,-1),"")</f>
        <v>0</v>
      </c>
      <c r="Q326" s="69" t="str">
        <f>IFERROR(IF(Tabela13[[#This Row],[NOME FANTASIA]]="","",_xlfn.XLOOKUP($C326,Log!D:D,Log!X:X,,,-1)),"")</f>
        <v/>
      </c>
      <c r="R326" s="82">
        <f>COUNTIFS(Log!$D:$D,'Base Novos Clientes'!$C326,Log!$W:$W,'Base Novos Clientes'!R$2)</f>
        <v>0</v>
      </c>
      <c r="S326" s="82">
        <f>COUNTIFS(Log!$D:$D,'Base Novos Clientes'!$C326,Log!$W:$W,'Base Novos Clientes'!S$2)</f>
        <v>0</v>
      </c>
      <c r="T326" s="82">
        <f>COUNTIFS(Log!$D:$D,'Base Novos Clientes'!$C326,Log!$W:$W,'Base Novos Clientes'!T$2)</f>
        <v>0</v>
      </c>
    </row>
    <row r="327" spans="3:20" x14ac:dyDescent="0.25">
      <c r="C327" s="75"/>
      <c r="D327" s="75"/>
      <c r="E327" s="75"/>
      <c r="F327" s="75"/>
      <c r="G327" s="76"/>
      <c r="H327" s="77"/>
      <c r="I327" s="78"/>
      <c r="J327" s="79"/>
      <c r="K327" s="79" t="str">
        <f ca="1">IF(J327="","NOVO",_xlfn.XLOOKUP(TODAY()-J327,Regras!$C$3:$C$10,Regras!$D$3:$D$10,,1))</f>
        <v>NOVO</v>
      </c>
      <c r="L327" s="75" t="str">
        <f t="shared" si="5"/>
        <v/>
      </c>
      <c r="M327" s="80" t="str">
        <f>IFERROR(IF(Tabela13[[#This Row],[NOME FANTASIA]]="","",_xlfn.XLOOKUP($C327,Log!D:D,Log!B:B,,,-1)),"")</f>
        <v/>
      </c>
      <c r="N327" s="81" t="str">
        <f>IFERROR(_xlfn.XLOOKUP($C327,Log!D:D,Log!W:W,,,-1),"")</f>
        <v/>
      </c>
      <c r="O327" s="81">
        <f>IFERROR(_xlfn.XLOOKUP($C327,Log!D:D,Log!Y:Y,,,-1),"")</f>
        <v>0</v>
      </c>
      <c r="Q327" s="69" t="str">
        <f>IFERROR(IF(Tabela13[[#This Row],[NOME FANTASIA]]="","",_xlfn.XLOOKUP($C327,Log!D:D,Log!X:X,,,-1)),"")</f>
        <v/>
      </c>
      <c r="R327" s="82">
        <f>COUNTIFS(Log!$D:$D,'Base Novos Clientes'!$C327,Log!$W:$W,'Base Novos Clientes'!R$2)</f>
        <v>0</v>
      </c>
      <c r="S327" s="82">
        <f>COUNTIFS(Log!$D:$D,'Base Novos Clientes'!$C327,Log!$W:$W,'Base Novos Clientes'!S$2)</f>
        <v>0</v>
      </c>
      <c r="T327" s="82">
        <f>COUNTIFS(Log!$D:$D,'Base Novos Clientes'!$C327,Log!$W:$W,'Base Novos Clientes'!T$2)</f>
        <v>0</v>
      </c>
    </row>
    <row r="328" spans="3:20" x14ac:dyDescent="0.25">
      <c r="C328" s="75"/>
      <c r="D328" s="75"/>
      <c r="E328" s="75"/>
      <c r="F328" s="75"/>
      <c r="G328" s="76"/>
      <c r="H328" s="77"/>
      <c r="I328" s="78"/>
      <c r="J328" s="79"/>
      <c r="K328" s="79" t="str">
        <f ca="1">IF(J328="","NOVO",_xlfn.XLOOKUP(TODAY()-J328,Regras!$C$3:$C$10,Regras!$D$3:$D$10,,1))</f>
        <v>NOVO</v>
      </c>
      <c r="L328" s="75" t="str">
        <f t="shared" si="5"/>
        <v/>
      </c>
      <c r="M328" s="80" t="str">
        <f>IFERROR(IF(Tabela13[[#This Row],[NOME FANTASIA]]="","",_xlfn.XLOOKUP($C328,Log!D:D,Log!B:B,,,-1)),"")</f>
        <v/>
      </c>
      <c r="N328" s="81" t="str">
        <f>IFERROR(_xlfn.XLOOKUP($C328,Log!D:D,Log!W:W,,,-1),"")</f>
        <v/>
      </c>
      <c r="O328" s="81">
        <f>IFERROR(_xlfn.XLOOKUP($C328,Log!D:D,Log!Y:Y,,,-1),"")</f>
        <v>0</v>
      </c>
      <c r="Q328" s="69" t="str">
        <f>IFERROR(IF(Tabela13[[#This Row],[NOME FANTASIA]]="","",_xlfn.XLOOKUP($C328,Log!D:D,Log!X:X,,,-1)),"")</f>
        <v/>
      </c>
      <c r="R328" s="82">
        <f>COUNTIFS(Log!$D:$D,'Base Novos Clientes'!$C328,Log!$W:$W,'Base Novos Clientes'!R$2)</f>
        <v>0</v>
      </c>
      <c r="S328" s="82">
        <f>COUNTIFS(Log!$D:$D,'Base Novos Clientes'!$C328,Log!$W:$W,'Base Novos Clientes'!S$2)</f>
        <v>0</v>
      </c>
      <c r="T328" s="82">
        <f>COUNTIFS(Log!$D:$D,'Base Novos Clientes'!$C328,Log!$W:$W,'Base Novos Clientes'!T$2)</f>
        <v>0</v>
      </c>
    </row>
    <row r="329" spans="3:20" x14ac:dyDescent="0.25">
      <c r="C329" s="75"/>
      <c r="D329" s="75"/>
      <c r="E329" s="75"/>
      <c r="F329" s="75"/>
      <c r="G329" s="76"/>
      <c r="H329" s="77"/>
      <c r="I329" s="78"/>
      <c r="J329" s="79"/>
      <c r="K329" s="79" t="str">
        <f ca="1">IF(J329="","NOVO",_xlfn.XLOOKUP(TODAY()-J329,Regras!$C$3:$C$10,Regras!$D$3:$D$10,,1))</f>
        <v>NOVO</v>
      </c>
      <c r="L329" s="75" t="str">
        <f t="shared" si="5"/>
        <v/>
      </c>
      <c r="M329" s="80" t="str">
        <f>IFERROR(IF(Tabela13[[#This Row],[NOME FANTASIA]]="","",_xlfn.XLOOKUP($C329,Log!D:D,Log!B:B,,,-1)),"")</f>
        <v/>
      </c>
      <c r="N329" s="81" t="str">
        <f>IFERROR(_xlfn.XLOOKUP($C329,Log!D:D,Log!W:W,,,-1),"")</f>
        <v/>
      </c>
      <c r="O329" s="81">
        <f>IFERROR(_xlfn.XLOOKUP($C329,Log!D:D,Log!Y:Y,,,-1),"")</f>
        <v>0</v>
      </c>
      <c r="Q329" s="69" t="str">
        <f>IFERROR(IF(Tabela13[[#This Row],[NOME FANTASIA]]="","",_xlfn.XLOOKUP($C329,Log!D:D,Log!X:X,,,-1)),"")</f>
        <v/>
      </c>
      <c r="R329" s="82">
        <f>COUNTIFS(Log!$D:$D,'Base Novos Clientes'!$C329,Log!$W:$W,'Base Novos Clientes'!R$2)</f>
        <v>0</v>
      </c>
      <c r="S329" s="82">
        <f>COUNTIFS(Log!$D:$D,'Base Novos Clientes'!$C329,Log!$W:$W,'Base Novos Clientes'!S$2)</f>
        <v>0</v>
      </c>
      <c r="T329" s="82">
        <f>COUNTIFS(Log!$D:$D,'Base Novos Clientes'!$C329,Log!$W:$W,'Base Novos Clientes'!T$2)</f>
        <v>0</v>
      </c>
    </row>
    <row r="330" spans="3:20" x14ac:dyDescent="0.25">
      <c r="C330" s="75"/>
      <c r="D330" s="75"/>
      <c r="E330" s="75"/>
      <c r="F330" s="75"/>
      <c r="G330" s="76"/>
      <c r="H330" s="77"/>
      <c r="I330" s="78"/>
      <c r="J330" s="79"/>
      <c r="K330" s="79" t="str">
        <f ca="1">IF(J330="","NOVO",_xlfn.XLOOKUP(TODAY()-J330,Regras!$C$3:$C$10,Regras!$D$3:$D$10,,1))</f>
        <v>NOVO</v>
      </c>
      <c r="L330" s="75" t="str">
        <f t="shared" si="5"/>
        <v/>
      </c>
      <c r="M330" s="80" t="str">
        <f>IFERROR(IF(Tabela13[[#This Row],[NOME FANTASIA]]="","",_xlfn.XLOOKUP($C330,Log!D:D,Log!B:B,,,-1)),"")</f>
        <v/>
      </c>
      <c r="N330" s="81" t="str">
        <f>IFERROR(_xlfn.XLOOKUP($C330,Log!D:D,Log!W:W,,,-1),"")</f>
        <v/>
      </c>
      <c r="O330" s="81">
        <f>IFERROR(_xlfn.XLOOKUP($C330,Log!D:D,Log!Y:Y,,,-1),"")</f>
        <v>0</v>
      </c>
      <c r="Q330" s="69" t="str">
        <f>IFERROR(IF(Tabela13[[#This Row],[NOME FANTASIA]]="","",_xlfn.XLOOKUP($C330,Log!D:D,Log!X:X,,,-1)),"")</f>
        <v/>
      </c>
      <c r="R330" s="82">
        <f>COUNTIFS(Log!$D:$D,'Base Novos Clientes'!$C330,Log!$W:$W,'Base Novos Clientes'!R$2)</f>
        <v>0</v>
      </c>
      <c r="S330" s="82">
        <f>COUNTIFS(Log!$D:$D,'Base Novos Clientes'!$C330,Log!$W:$W,'Base Novos Clientes'!S$2)</f>
        <v>0</v>
      </c>
      <c r="T330" s="82">
        <f>COUNTIFS(Log!$D:$D,'Base Novos Clientes'!$C330,Log!$W:$W,'Base Novos Clientes'!T$2)</f>
        <v>0</v>
      </c>
    </row>
    <row r="331" spans="3:20" x14ac:dyDescent="0.25">
      <c r="C331" s="75"/>
      <c r="D331" s="75"/>
      <c r="E331" s="75"/>
      <c r="F331" s="75"/>
      <c r="G331" s="76"/>
      <c r="H331" s="77"/>
      <c r="I331" s="78"/>
      <c r="J331" s="79"/>
      <c r="K331" s="79" t="str">
        <f ca="1">IF(J331="","NOVO",_xlfn.XLOOKUP(TODAY()-J331,Regras!$C$3:$C$10,Regras!$D$3:$D$10,,1))</f>
        <v>NOVO</v>
      </c>
      <c r="L331" s="75" t="str">
        <f t="shared" si="5"/>
        <v/>
      </c>
      <c r="M331" s="80" t="str">
        <f>IFERROR(IF(Tabela13[[#This Row],[NOME FANTASIA]]="","",_xlfn.XLOOKUP($C331,Log!D:D,Log!B:B,,,-1)),"")</f>
        <v/>
      </c>
      <c r="N331" s="81" t="str">
        <f>IFERROR(_xlfn.XLOOKUP($C331,Log!D:D,Log!W:W,,,-1),"")</f>
        <v/>
      </c>
      <c r="O331" s="81">
        <f>IFERROR(_xlfn.XLOOKUP($C331,Log!D:D,Log!Y:Y,,,-1),"")</f>
        <v>0</v>
      </c>
      <c r="Q331" s="69" t="str">
        <f>IFERROR(IF(Tabela13[[#This Row],[NOME FANTASIA]]="","",_xlfn.XLOOKUP($C331,Log!D:D,Log!X:X,,,-1)),"")</f>
        <v/>
      </c>
      <c r="R331" s="82">
        <f>COUNTIFS(Log!$D:$D,'Base Novos Clientes'!$C331,Log!$W:$W,'Base Novos Clientes'!R$2)</f>
        <v>0</v>
      </c>
      <c r="S331" s="82">
        <f>COUNTIFS(Log!$D:$D,'Base Novos Clientes'!$C331,Log!$W:$W,'Base Novos Clientes'!S$2)</f>
        <v>0</v>
      </c>
      <c r="T331" s="82">
        <f>COUNTIFS(Log!$D:$D,'Base Novos Clientes'!$C331,Log!$W:$W,'Base Novos Clientes'!T$2)</f>
        <v>0</v>
      </c>
    </row>
    <row r="332" spans="3:20" x14ac:dyDescent="0.25">
      <c r="C332" s="75"/>
      <c r="D332" s="75"/>
      <c r="E332" s="75"/>
      <c r="F332" s="75"/>
      <c r="G332" s="76"/>
      <c r="H332" s="77"/>
      <c r="I332" s="78"/>
      <c r="J332" s="79"/>
      <c r="K332" s="79" t="str">
        <f ca="1">IF(J332="","NOVO",_xlfn.XLOOKUP(TODAY()-J332,Regras!$C$3:$C$10,Regras!$D$3:$D$10,,1))</f>
        <v>NOVO</v>
      </c>
      <c r="L332" s="75" t="str">
        <f t="shared" si="5"/>
        <v/>
      </c>
      <c r="M332" s="80" t="str">
        <f>IFERROR(IF(Tabela13[[#This Row],[NOME FANTASIA]]="","",_xlfn.XLOOKUP($C332,Log!D:D,Log!B:B,,,-1)),"")</f>
        <v/>
      </c>
      <c r="N332" s="81" t="str">
        <f>IFERROR(_xlfn.XLOOKUP($C332,Log!D:D,Log!W:W,,,-1),"")</f>
        <v/>
      </c>
      <c r="O332" s="81">
        <f>IFERROR(_xlfn.XLOOKUP($C332,Log!D:D,Log!Y:Y,,,-1),"")</f>
        <v>0</v>
      </c>
      <c r="Q332" s="69" t="str">
        <f>IFERROR(IF(Tabela13[[#This Row],[NOME FANTASIA]]="","",_xlfn.XLOOKUP($C332,Log!D:D,Log!X:X,,,-1)),"")</f>
        <v/>
      </c>
      <c r="R332" s="82">
        <f>COUNTIFS(Log!$D:$D,'Base Novos Clientes'!$C332,Log!$W:$W,'Base Novos Clientes'!R$2)</f>
        <v>0</v>
      </c>
      <c r="S332" s="82">
        <f>COUNTIFS(Log!$D:$D,'Base Novos Clientes'!$C332,Log!$W:$W,'Base Novos Clientes'!S$2)</f>
        <v>0</v>
      </c>
      <c r="T332" s="82">
        <f>COUNTIFS(Log!$D:$D,'Base Novos Clientes'!$C332,Log!$W:$W,'Base Novos Clientes'!T$2)</f>
        <v>0</v>
      </c>
    </row>
    <row r="333" spans="3:20" x14ac:dyDescent="0.25">
      <c r="C333" s="75"/>
      <c r="D333" s="75"/>
      <c r="E333" s="75"/>
      <c r="F333" s="75"/>
      <c r="G333" s="76"/>
      <c r="H333" s="77"/>
      <c r="I333" s="78"/>
      <c r="J333" s="79"/>
      <c r="K333" s="79" t="str">
        <f ca="1">IF(J333="","NOVO",_xlfn.XLOOKUP(TODAY()-J333,Regras!$C$3:$C$10,Regras!$D$3:$D$10,,1))</f>
        <v>NOVO</v>
      </c>
      <c r="L333" s="75" t="str">
        <f t="shared" si="5"/>
        <v/>
      </c>
      <c r="M333" s="80" t="str">
        <f>IFERROR(IF(Tabela13[[#This Row],[NOME FANTASIA]]="","",_xlfn.XLOOKUP($C333,Log!D:D,Log!B:B,,,-1)),"")</f>
        <v/>
      </c>
      <c r="N333" s="81" t="str">
        <f>IFERROR(_xlfn.XLOOKUP($C333,Log!D:D,Log!W:W,,,-1),"")</f>
        <v/>
      </c>
      <c r="O333" s="81">
        <f>IFERROR(_xlfn.XLOOKUP($C333,Log!D:D,Log!Y:Y,,,-1),"")</f>
        <v>0</v>
      </c>
      <c r="Q333" s="69" t="str">
        <f>IFERROR(IF(Tabela13[[#This Row],[NOME FANTASIA]]="","",_xlfn.XLOOKUP($C333,Log!D:D,Log!X:X,,,-1)),"")</f>
        <v/>
      </c>
      <c r="R333" s="82">
        <f>COUNTIFS(Log!$D:$D,'Base Novos Clientes'!$C333,Log!$W:$W,'Base Novos Clientes'!R$2)</f>
        <v>0</v>
      </c>
      <c r="S333" s="82">
        <f>COUNTIFS(Log!$D:$D,'Base Novos Clientes'!$C333,Log!$W:$W,'Base Novos Clientes'!S$2)</f>
        <v>0</v>
      </c>
      <c r="T333" s="82">
        <f>COUNTIFS(Log!$D:$D,'Base Novos Clientes'!$C333,Log!$W:$W,'Base Novos Clientes'!T$2)</f>
        <v>0</v>
      </c>
    </row>
    <row r="334" spans="3:20" x14ac:dyDescent="0.25">
      <c r="C334" s="75"/>
      <c r="D334" s="75"/>
      <c r="E334" s="75"/>
      <c r="F334" s="75"/>
      <c r="G334" s="76"/>
      <c r="H334" s="77"/>
      <c r="I334" s="78"/>
      <c r="J334" s="79"/>
      <c r="K334" s="79" t="str">
        <f ca="1">IF(J334="","NOVO",_xlfn.XLOOKUP(TODAY()-J334,Regras!$C$3:$C$10,Regras!$D$3:$D$10,,1))</f>
        <v>NOVO</v>
      </c>
      <c r="L334" s="75" t="str">
        <f t="shared" si="5"/>
        <v/>
      </c>
      <c r="M334" s="80" t="str">
        <f>IFERROR(IF(Tabela13[[#This Row],[NOME FANTASIA]]="","",_xlfn.XLOOKUP($C334,Log!D:D,Log!B:B,,,-1)),"")</f>
        <v/>
      </c>
      <c r="N334" s="81" t="str">
        <f>IFERROR(_xlfn.XLOOKUP($C334,Log!D:D,Log!W:W,,,-1),"")</f>
        <v/>
      </c>
      <c r="O334" s="81">
        <f>IFERROR(_xlfn.XLOOKUP($C334,Log!D:D,Log!Y:Y,,,-1),"")</f>
        <v>0</v>
      </c>
      <c r="Q334" s="69" t="str">
        <f>IFERROR(IF(Tabela13[[#This Row],[NOME FANTASIA]]="","",_xlfn.XLOOKUP($C334,Log!D:D,Log!X:X,,,-1)),"")</f>
        <v/>
      </c>
      <c r="R334" s="82">
        <f>COUNTIFS(Log!$D:$D,'Base Novos Clientes'!$C334,Log!$W:$W,'Base Novos Clientes'!R$2)</f>
        <v>0</v>
      </c>
      <c r="S334" s="82">
        <f>COUNTIFS(Log!$D:$D,'Base Novos Clientes'!$C334,Log!$W:$W,'Base Novos Clientes'!S$2)</f>
        <v>0</v>
      </c>
      <c r="T334" s="82">
        <f>COUNTIFS(Log!$D:$D,'Base Novos Clientes'!$C334,Log!$W:$W,'Base Novos Clientes'!T$2)</f>
        <v>0</v>
      </c>
    </row>
    <row r="335" spans="3:20" x14ac:dyDescent="0.25">
      <c r="C335" s="75"/>
      <c r="D335" s="75"/>
      <c r="E335" s="75"/>
      <c r="F335" s="75"/>
      <c r="G335" s="76"/>
      <c r="H335" s="77"/>
      <c r="I335" s="78"/>
      <c r="J335" s="79"/>
      <c r="K335" s="79" t="str">
        <f ca="1">IF(J335="","NOVO",_xlfn.XLOOKUP(TODAY()-J335,Regras!$C$3:$C$10,Regras!$D$3:$D$10,,1))</f>
        <v>NOVO</v>
      </c>
      <c r="L335" s="75" t="str">
        <f t="shared" si="5"/>
        <v/>
      </c>
      <c r="M335" s="80" t="str">
        <f>IFERROR(IF(Tabela13[[#This Row],[NOME FANTASIA]]="","",_xlfn.XLOOKUP($C335,Log!D:D,Log!B:B,,,-1)),"")</f>
        <v/>
      </c>
      <c r="N335" s="81" t="str">
        <f>IFERROR(_xlfn.XLOOKUP($C335,Log!D:D,Log!W:W,,,-1),"")</f>
        <v/>
      </c>
      <c r="O335" s="81">
        <f>IFERROR(_xlfn.XLOOKUP($C335,Log!D:D,Log!Y:Y,,,-1),"")</f>
        <v>0</v>
      </c>
      <c r="Q335" s="69" t="str">
        <f>IFERROR(IF(Tabela13[[#This Row],[NOME FANTASIA]]="","",_xlfn.XLOOKUP($C335,Log!D:D,Log!X:X,,,-1)),"")</f>
        <v/>
      </c>
      <c r="R335" s="82">
        <f>COUNTIFS(Log!$D:$D,'Base Novos Clientes'!$C335,Log!$W:$W,'Base Novos Clientes'!R$2)</f>
        <v>0</v>
      </c>
      <c r="S335" s="82">
        <f>COUNTIFS(Log!$D:$D,'Base Novos Clientes'!$C335,Log!$W:$W,'Base Novos Clientes'!S$2)</f>
        <v>0</v>
      </c>
      <c r="T335" s="82">
        <f>COUNTIFS(Log!$D:$D,'Base Novos Clientes'!$C335,Log!$W:$W,'Base Novos Clientes'!T$2)</f>
        <v>0</v>
      </c>
    </row>
    <row r="336" spans="3:20" x14ac:dyDescent="0.25">
      <c r="C336" s="75"/>
      <c r="D336" s="75"/>
      <c r="E336" s="75"/>
      <c r="F336" s="75"/>
      <c r="G336" s="76"/>
      <c r="H336" s="77"/>
      <c r="I336" s="78"/>
      <c r="J336" s="79"/>
      <c r="K336" s="79" t="str">
        <f ca="1">IF(J336="","NOVO",_xlfn.XLOOKUP(TODAY()-J336,Regras!$C$3:$C$10,Regras!$D$3:$D$10,,1))</f>
        <v>NOVO</v>
      </c>
      <c r="L336" s="75" t="str">
        <f t="shared" si="5"/>
        <v/>
      </c>
      <c r="M336" s="80" t="str">
        <f>IFERROR(IF(Tabela13[[#This Row],[NOME FANTASIA]]="","",_xlfn.XLOOKUP($C336,Log!D:D,Log!B:B,,,-1)),"")</f>
        <v/>
      </c>
      <c r="N336" s="81" t="str">
        <f>IFERROR(_xlfn.XLOOKUP($C336,Log!D:D,Log!W:W,,,-1),"")</f>
        <v/>
      </c>
      <c r="O336" s="81">
        <f>IFERROR(_xlfn.XLOOKUP($C336,Log!D:D,Log!Y:Y,,,-1),"")</f>
        <v>0</v>
      </c>
      <c r="Q336" s="69" t="str">
        <f>IFERROR(IF(Tabela13[[#This Row],[NOME FANTASIA]]="","",_xlfn.XLOOKUP($C336,Log!D:D,Log!X:X,,,-1)),"")</f>
        <v/>
      </c>
      <c r="R336" s="82">
        <f>COUNTIFS(Log!$D:$D,'Base Novos Clientes'!$C336,Log!$W:$W,'Base Novos Clientes'!R$2)</f>
        <v>0</v>
      </c>
      <c r="S336" s="82">
        <f>COUNTIFS(Log!$D:$D,'Base Novos Clientes'!$C336,Log!$W:$W,'Base Novos Clientes'!S$2)</f>
        <v>0</v>
      </c>
      <c r="T336" s="82">
        <f>COUNTIFS(Log!$D:$D,'Base Novos Clientes'!$C336,Log!$W:$W,'Base Novos Clientes'!T$2)</f>
        <v>0</v>
      </c>
    </row>
    <row r="337" spans="3:20" x14ac:dyDescent="0.25">
      <c r="C337" s="75"/>
      <c r="D337" s="75"/>
      <c r="E337" s="75"/>
      <c r="F337" s="75"/>
      <c r="G337" s="76"/>
      <c r="H337" s="77"/>
      <c r="I337" s="78"/>
      <c r="J337" s="79"/>
      <c r="K337" s="79" t="str">
        <f ca="1">IF(J337="","NOVO",_xlfn.XLOOKUP(TODAY()-J337,Regras!$C$3:$C$10,Regras!$D$3:$D$10,,1))</f>
        <v>NOVO</v>
      </c>
      <c r="L337" s="75" t="str">
        <f t="shared" si="5"/>
        <v/>
      </c>
      <c r="M337" s="80" t="str">
        <f>IFERROR(IF(Tabela13[[#This Row],[NOME FANTASIA]]="","",_xlfn.XLOOKUP($C337,Log!D:D,Log!B:B,,,-1)),"")</f>
        <v/>
      </c>
      <c r="N337" s="81" t="str">
        <f>IFERROR(_xlfn.XLOOKUP($C337,Log!D:D,Log!W:W,,,-1),"")</f>
        <v/>
      </c>
      <c r="O337" s="81">
        <f>IFERROR(_xlfn.XLOOKUP($C337,Log!D:D,Log!Y:Y,,,-1),"")</f>
        <v>0</v>
      </c>
      <c r="Q337" s="69" t="str">
        <f>IFERROR(IF(Tabela13[[#This Row],[NOME FANTASIA]]="","",_xlfn.XLOOKUP($C337,Log!D:D,Log!X:X,,,-1)),"")</f>
        <v/>
      </c>
      <c r="R337" s="82">
        <f>COUNTIFS(Log!$D:$D,'Base Novos Clientes'!$C337,Log!$W:$W,'Base Novos Clientes'!R$2)</f>
        <v>0</v>
      </c>
      <c r="S337" s="82">
        <f>COUNTIFS(Log!$D:$D,'Base Novos Clientes'!$C337,Log!$W:$W,'Base Novos Clientes'!S$2)</f>
        <v>0</v>
      </c>
      <c r="T337" s="82">
        <f>COUNTIFS(Log!$D:$D,'Base Novos Clientes'!$C337,Log!$W:$W,'Base Novos Clientes'!T$2)</f>
        <v>0</v>
      </c>
    </row>
    <row r="338" spans="3:20" x14ac:dyDescent="0.25">
      <c r="C338" s="75"/>
      <c r="D338" s="75"/>
      <c r="E338" s="75"/>
      <c r="F338" s="75"/>
      <c r="G338" s="76"/>
      <c r="H338" s="77"/>
      <c r="I338" s="78"/>
      <c r="J338" s="79"/>
      <c r="K338" s="79" t="str">
        <f ca="1">IF(J338="","NOVO",_xlfn.XLOOKUP(TODAY()-J338,Regras!$C$3:$C$10,Regras!$D$3:$D$10,,1))</f>
        <v>NOVO</v>
      </c>
      <c r="L338" s="75" t="str">
        <f t="shared" si="5"/>
        <v/>
      </c>
      <c r="M338" s="80" t="str">
        <f>IFERROR(IF(Tabela13[[#This Row],[NOME FANTASIA]]="","",_xlfn.XLOOKUP($C338,Log!D:D,Log!B:B,,,-1)),"")</f>
        <v/>
      </c>
      <c r="N338" s="81" t="str">
        <f>IFERROR(_xlfn.XLOOKUP($C338,Log!D:D,Log!W:W,,,-1),"")</f>
        <v/>
      </c>
      <c r="O338" s="81">
        <f>IFERROR(_xlfn.XLOOKUP($C338,Log!D:D,Log!Y:Y,,,-1),"")</f>
        <v>0</v>
      </c>
      <c r="Q338" s="69" t="str">
        <f>IFERROR(IF(Tabela13[[#This Row],[NOME FANTASIA]]="","",_xlfn.XLOOKUP($C338,Log!D:D,Log!X:X,,,-1)),"")</f>
        <v/>
      </c>
      <c r="R338" s="82">
        <f>COUNTIFS(Log!$D:$D,'Base Novos Clientes'!$C338,Log!$W:$W,'Base Novos Clientes'!R$2)</f>
        <v>0</v>
      </c>
      <c r="S338" s="82">
        <f>COUNTIFS(Log!$D:$D,'Base Novos Clientes'!$C338,Log!$W:$W,'Base Novos Clientes'!S$2)</f>
        <v>0</v>
      </c>
      <c r="T338" s="82">
        <f>COUNTIFS(Log!$D:$D,'Base Novos Clientes'!$C338,Log!$W:$W,'Base Novos Clientes'!T$2)</f>
        <v>0</v>
      </c>
    </row>
    <row r="339" spans="3:20" x14ac:dyDescent="0.25">
      <c r="C339" s="75"/>
      <c r="D339" s="75"/>
      <c r="E339" s="75"/>
      <c r="F339" s="75"/>
      <c r="G339" s="76"/>
      <c r="H339" s="77"/>
      <c r="I339" s="78"/>
      <c r="J339" s="79"/>
      <c r="K339" s="79" t="str">
        <f ca="1">IF(J339="","NOVO",_xlfn.XLOOKUP(TODAY()-J339,Regras!$C$3:$C$10,Regras!$D$3:$D$10,,1))</f>
        <v>NOVO</v>
      </c>
      <c r="L339" s="75" t="str">
        <f t="shared" si="5"/>
        <v/>
      </c>
      <c r="M339" s="80" t="str">
        <f>IFERROR(IF(Tabela13[[#This Row],[NOME FANTASIA]]="","",_xlfn.XLOOKUP($C339,Log!D:D,Log!B:B,,,-1)),"")</f>
        <v/>
      </c>
      <c r="N339" s="81" t="str">
        <f>IFERROR(_xlfn.XLOOKUP($C339,Log!D:D,Log!W:W,,,-1),"")</f>
        <v/>
      </c>
      <c r="O339" s="81">
        <f>IFERROR(_xlfn.XLOOKUP($C339,Log!D:D,Log!Y:Y,,,-1),"")</f>
        <v>0</v>
      </c>
      <c r="Q339" s="69" t="str">
        <f>IFERROR(IF(Tabela13[[#This Row],[NOME FANTASIA]]="","",_xlfn.XLOOKUP($C339,Log!D:D,Log!X:X,,,-1)),"")</f>
        <v/>
      </c>
      <c r="R339" s="82">
        <f>COUNTIFS(Log!$D:$D,'Base Novos Clientes'!$C339,Log!$W:$W,'Base Novos Clientes'!R$2)</f>
        <v>0</v>
      </c>
      <c r="S339" s="82">
        <f>COUNTIFS(Log!$D:$D,'Base Novos Clientes'!$C339,Log!$W:$W,'Base Novos Clientes'!S$2)</f>
        <v>0</v>
      </c>
      <c r="T339" s="82">
        <f>COUNTIFS(Log!$D:$D,'Base Novos Clientes'!$C339,Log!$W:$W,'Base Novos Clientes'!T$2)</f>
        <v>0</v>
      </c>
    </row>
    <row r="340" spans="3:20" x14ac:dyDescent="0.25">
      <c r="C340" s="75"/>
      <c r="D340" s="75"/>
      <c r="E340" s="75"/>
      <c r="F340" s="75"/>
      <c r="G340" s="76"/>
      <c r="H340" s="77"/>
      <c r="I340" s="78"/>
      <c r="J340" s="79"/>
      <c r="K340" s="79" t="str">
        <f ca="1">IF(J340="","NOVO",_xlfn.XLOOKUP(TODAY()-J340,Regras!$C$3:$C$10,Regras!$D$3:$D$10,,1))</f>
        <v>NOVO</v>
      </c>
      <c r="L340" s="75" t="str">
        <f t="shared" si="5"/>
        <v/>
      </c>
      <c r="M340" s="80" t="str">
        <f>IFERROR(IF(Tabela13[[#This Row],[NOME FANTASIA]]="","",_xlfn.XLOOKUP($C340,Log!D:D,Log!B:B,,,-1)),"")</f>
        <v/>
      </c>
      <c r="N340" s="81" t="str">
        <f>IFERROR(_xlfn.XLOOKUP($C340,Log!D:D,Log!W:W,,,-1),"")</f>
        <v/>
      </c>
      <c r="O340" s="81">
        <f>IFERROR(_xlfn.XLOOKUP($C340,Log!D:D,Log!Y:Y,,,-1),"")</f>
        <v>0</v>
      </c>
      <c r="Q340" s="69" t="str">
        <f>IFERROR(IF(Tabela13[[#This Row],[NOME FANTASIA]]="","",_xlfn.XLOOKUP($C340,Log!D:D,Log!X:X,,,-1)),"")</f>
        <v/>
      </c>
      <c r="R340" s="82">
        <f>COUNTIFS(Log!$D:$D,'Base Novos Clientes'!$C340,Log!$W:$W,'Base Novos Clientes'!R$2)</f>
        <v>0</v>
      </c>
      <c r="S340" s="82">
        <f>COUNTIFS(Log!$D:$D,'Base Novos Clientes'!$C340,Log!$W:$W,'Base Novos Clientes'!S$2)</f>
        <v>0</v>
      </c>
      <c r="T340" s="82">
        <f>COUNTIFS(Log!$D:$D,'Base Novos Clientes'!$C340,Log!$W:$W,'Base Novos Clientes'!T$2)</f>
        <v>0</v>
      </c>
    </row>
    <row r="341" spans="3:20" x14ac:dyDescent="0.25">
      <c r="C341" s="75"/>
      <c r="D341" s="75"/>
      <c r="E341" s="75"/>
      <c r="F341" s="75"/>
      <c r="G341" s="76"/>
      <c r="H341" s="77"/>
      <c r="I341" s="78"/>
      <c r="J341" s="79"/>
      <c r="K341" s="79" t="str">
        <f ca="1">IF(J341="","NOVO",_xlfn.XLOOKUP(TODAY()-J341,Regras!$C$3:$C$10,Regras!$D$3:$D$10,,1))</f>
        <v>NOVO</v>
      </c>
      <c r="L341" s="75" t="str">
        <f t="shared" si="5"/>
        <v/>
      </c>
      <c r="M341" s="80" t="str">
        <f>IFERROR(IF(Tabela13[[#This Row],[NOME FANTASIA]]="","",_xlfn.XLOOKUP($C341,Log!D:D,Log!B:B,,,-1)),"")</f>
        <v/>
      </c>
      <c r="N341" s="81" t="str">
        <f>IFERROR(_xlfn.XLOOKUP($C341,Log!D:D,Log!W:W,,,-1),"")</f>
        <v/>
      </c>
      <c r="O341" s="81">
        <f>IFERROR(_xlfn.XLOOKUP($C341,Log!D:D,Log!Y:Y,,,-1),"")</f>
        <v>0</v>
      </c>
      <c r="Q341" s="69" t="str">
        <f>IFERROR(IF(Tabela13[[#This Row],[NOME FANTASIA]]="","",_xlfn.XLOOKUP($C341,Log!D:D,Log!X:X,,,-1)),"")</f>
        <v/>
      </c>
      <c r="R341" s="82">
        <f>COUNTIFS(Log!$D:$D,'Base Novos Clientes'!$C341,Log!$W:$W,'Base Novos Clientes'!R$2)</f>
        <v>0</v>
      </c>
      <c r="S341" s="82">
        <f>COUNTIFS(Log!$D:$D,'Base Novos Clientes'!$C341,Log!$W:$W,'Base Novos Clientes'!S$2)</f>
        <v>0</v>
      </c>
      <c r="T341" s="82">
        <f>COUNTIFS(Log!$D:$D,'Base Novos Clientes'!$C341,Log!$W:$W,'Base Novos Clientes'!T$2)</f>
        <v>0</v>
      </c>
    </row>
    <row r="342" spans="3:20" x14ac:dyDescent="0.25">
      <c r="C342" s="75"/>
      <c r="D342" s="75"/>
      <c r="E342" s="75"/>
      <c r="F342" s="75"/>
      <c r="G342" s="76"/>
      <c r="H342" s="77"/>
      <c r="I342" s="78"/>
      <c r="J342" s="79"/>
      <c r="K342" s="79" t="str">
        <f ca="1">IF(J342="","NOVO",_xlfn.XLOOKUP(TODAY()-J342,Regras!$C$3:$C$10,Regras!$D$3:$D$10,,1))</f>
        <v>NOVO</v>
      </c>
      <c r="L342" s="75" t="str">
        <f t="shared" si="5"/>
        <v/>
      </c>
      <c r="M342" s="80" t="str">
        <f>IFERROR(IF(Tabela13[[#This Row],[NOME FANTASIA]]="","",_xlfn.XLOOKUP($C342,Log!D:D,Log!B:B,,,-1)),"")</f>
        <v/>
      </c>
      <c r="N342" s="81" t="str">
        <f>IFERROR(_xlfn.XLOOKUP($C342,Log!D:D,Log!W:W,,,-1),"")</f>
        <v/>
      </c>
      <c r="O342" s="81">
        <f>IFERROR(_xlfn.XLOOKUP($C342,Log!D:D,Log!Y:Y,,,-1),"")</f>
        <v>0</v>
      </c>
      <c r="Q342" s="69" t="str">
        <f>IFERROR(IF(Tabela13[[#This Row],[NOME FANTASIA]]="","",_xlfn.XLOOKUP($C342,Log!D:D,Log!X:X,,,-1)),"")</f>
        <v/>
      </c>
      <c r="R342" s="82">
        <f>COUNTIFS(Log!$D:$D,'Base Novos Clientes'!$C342,Log!$W:$W,'Base Novos Clientes'!R$2)</f>
        <v>0</v>
      </c>
      <c r="S342" s="82">
        <f>COUNTIFS(Log!$D:$D,'Base Novos Clientes'!$C342,Log!$W:$W,'Base Novos Clientes'!S$2)</f>
        <v>0</v>
      </c>
      <c r="T342" s="82">
        <f>COUNTIFS(Log!$D:$D,'Base Novos Clientes'!$C342,Log!$W:$W,'Base Novos Clientes'!T$2)</f>
        <v>0</v>
      </c>
    </row>
    <row r="343" spans="3:20" x14ac:dyDescent="0.25">
      <c r="C343" s="75"/>
      <c r="D343" s="75"/>
      <c r="E343" s="75"/>
      <c r="F343" s="75"/>
      <c r="G343" s="76"/>
      <c r="H343" s="77"/>
      <c r="I343" s="78"/>
      <c r="J343" s="79"/>
      <c r="K343" s="79" t="str">
        <f ca="1">IF(J343="","NOVO",_xlfn.XLOOKUP(TODAY()-J343,Regras!$C$3:$C$10,Regras!$D$3:$D$10,,1))</f>
        <v>NOVO</v>
      </c>
      <c r="L343" s="75" t="str">
        <f t="shared" si="5"/>
        <v/>
      </c>
      <c r="M343" s="80" t="str">
        <f>IFERROR(IF(Tabela13[[#This Row],[NOME FANTASIA]]="","",_xlfn.XLOOKUP($C343,Log!D:D,Log!B:B,,,-1)),"")</f>
        <v/>
      </c>
      <c r="N343" s="81" t="str">
        <f>IFERROR(_xlfn.XLOOKUP($C343,Log!D:D,Log!W:W,,,-1),"")</f>
        <v/>
      </c>
      <c r="O343" s="81">
        <f>IFERROR(_xlfn.XLOOKUP($C343,Log!D:D,Log!Y:Y,,,-1),"")</f>
        <v>0</v>
      </c>
      <c r="Q343" s="69" t="str">
        <f>IFERROR(IF(Tabela13[[#This Row],[NOME FANTASIA]]="","",_xlfn.XLOOKUP($C343,Log!D:D,Log!X:X,,,-1)),"")</f>
        <v/>
      </c>
      <c r="R343" s="82">
        <f>COUNTIFS(Log!$D:$D,'Base Novos Clientes'!$C343,Log!$W:$W,'Base Novos Clientes'!R$2)</f>
        <v>0</v>
      </c>
      <c r="S343" s="82">
        <f>COUNTIFS(Log!$D:$D,'Base Novos Clientes'!$C343,Log!$W:$W,'Base Novos Clientes'!S$2)</f>
        <v>0</v>
      </c>
      <c r="T343" s="82">
        <f>COUNTIFS(Log!$D:$D,'Base Novos Clientes'!$C343,Log!$W:$W,'Base Novos Clientes'!T$2)</f>
        <v>0</v>
      </c>
    </row>
    <row r="344" spans="3:20" x14ac:dyDescent="0.25">
      <c r="C344" s="75"/>
      <c r="D344" s="75"/>
      <c r="E344" s="75"/>
      <c r="F344" s="75"/>
      <c r="G344" s="76"/>
      <c r="H344" s="77"/>
      <c r="I344" s="78"/>
      <c r="J344" s="79"/>
      <c r="K344" s="79" t="str">
        <f ca="1">IF(J344="","NOVO",_xlfn.XLOOKUP(TODAY()-J344,Regras!$C$3:$C$10,Regras!$D$3:$D$10,,1))</f>
        <v>NOVO</v>
      </c>
      <c r="L344" s="75" t="str">
        <f t="shared" si="5"/>
        <v/>
      </c>
      <c r="M344" s="80" t="str">
        <f>IFERROR(IF(Tabela13[[#This Row],[NOME FANTASIA]]="","",_xlfn.XLOOKUP($C344,Log!D:D,Log!B:B,,,-1)),"")</f>
        <v/>
      </c>
      <c r="N344" s="81" t="str">
        <f>IFERROR(_xlfn.XLOOKUP($C344,Log!D:D,Log!W:W,,,-1),"")</f>
        <v/>
      </c>
      <c r="O344" s="81">
        <f>IFERROR(_xlfn.XLOOKUP($C344,Log!D:D,Log!Y:Y,,,-1),"")</f>
        <v>0</v>
      </c>
      <c r="Q344" s="69" t="str">
        <f>IFERROR(IF(Tabela13[[#This Row],[NOME FANTASIA]]="","",_xlfn.XLOOKUP($C344,Log!D:D,Log!X:X,,,-1)),"")</f>
        <v/>
      </c>
      <c r="R344" s="82">
        <f>COUNTIFS(Log!$D:$D,'Base Novos Clientes'!$C344,Log!$W:$W,'Base Novos Clientes'!R$2)</f>
        <v>0</v>
      </c>
      <c r="S344" s="82">
        <f>COUNTIFS(Log!$D:$D,'Base Novos Clientes'!$C344,Log!$W:$W,'Base Novos Clientes'!S$2)</f>
        <v>0</v>
      </c>
      <c r="T344" s="82">
        <f>COUNTIFS(Log!$D:$D,'Base Novos Clientes'!$C344,Log!$W:$W,'Base Novos Clientes'!T$2)</f>
        <v>0</v>
      </c>
    </row>
    <row r="345" spans="3:20" x14ac:dyDescent="0.25">
      <c r="C345" s="75"/>
      <c r="D345" s="75"/>
      <c r="E345" s="75"/>
      <c r="F345" s="75"/>
      <c r="G345" s="76"/>
      <c r="H345" s="77"/>
      <c r="I345" s="78"/>
      <c r="J345" s="79"/>
      <c r="K345" s="79" t="str">
        <f ca="1">IF(J345="","NOVO",_xlfn.XLOOKUP(TODAY()-J345,Regras!$C$3:$C$10,Regras!$D$3:$D$10,,1))</f>
        <v>NOVO</v>
      </c>
      <c r="L345" s="75" t="str">
        <f t="shared" si="5"/>
        <v/>
      </c>
      <c r="M345" s="80" t="str">
        <f>IFERROR(IF(Tabela13[[#This Row],[NOME FANTASIA]]="","",_xlfn.XLOOKUP($C345,Log!D:D,Log!B:B,,,-1)),"")</f>
        <v/>
      </c>
      <c r="N345" s="81" t="str">
        <f>IFERROR(_xlfn.XLOOKUP($C345,Log!D:D,Log!W:W,,,-1),"")</f>
        <v/>
      </c>
      <c r="O345" s="81">
        <f>IFERROR(_xlfn.XLOOKUP($C345,Log!D:D,Log!Y:Y,,,-1),"")</f>
        <v>0</v>
      </c>
      <c r="Q345" s="69" t="str">
        <f>IFERROR(IF(Tabela13[[#This Row],[NOME FANTASIA]]="","",_xlfn.XLOOKUP($C345,Log!D:D,Log!X:X,,,-1)),"")</f>
        <v/>
      </c>
      <c r="R345" s="82">
        <f>COUNTIFS(Log!$D:$D,'Base Novos Clientes'!$C345,Log!$W:$W,'Base Novos Clientes'!R$2)</f>
        <v>0</v>
      </c>
      <c r="S345" s="82">
        <f>COUNTIFS(Log!$D:$D,'Base Novos Clientes'!$C345,Log!$W:$W,'Base Novos Clientes'!S$2)</f>
        <v>0</v>
      </c>
      <c r="T345" s="82">
        <f>COUNTIFS(Log!$D:$D,'Base Novos Clientes'!$C345,Log!$W:$W,'Base Novos Clientes'!T$2)</f>
        <v>0</v>
      </c>
    </row>
    <row r="346" spans="3:20" x14ac:dyDescent="0.25">
      <c r="C346" s="75"/>
      <c r="D346" s="75"/>
      <c r="E346" s="75"/>
      <c r="F346" s="75"/>
      <c r="G346" s="76"/>
      <c r="H346" s="77"/>
      <c r="I346" s="78"/>
      <c r="J346" s="79"/>
      <c r="K346" s="79" t="str">
        <f ca="1">IF(J346="","NOVO",_xlfn.XLOOKUP(TODAY()-J346,Regras!$C$3:$C$10,Regras!$D$3:$D$10,,1))</f>
        <v>NOVO</v>
      </c>
      <c r="L346" s="75" t="str">
        <f t="shared" si="5"/>
        <v/>
      </c>
      <c r="M346" s="80" t="str">
        <f>IFERROR(IF(Tabela13[[#This Row],[NOME FANTASIA]]="","",_xlfn.XLOOKUP($C346,Log!D:D,Log!B:B,,,-1)),"")</f>
        <v/>
      </c>
      <c r="N346" s="81" t="str">
        <f>IFERROR(_xlfn.XLOOKUP($C346,Log!D:D,Log!W:W,,,-1),"")</f>
        <v/>
      </c>
      <c r="O346" s="81">
        <f>IFERROR(_xlfn.XLOOKUP($C346,Log!D:D,Log!Y:Y,,,-1),"")</f>
        <v>0</v>
      </c>
      <c r="Q346" s="69" t="str">
        <f>IFERROR(IF(Tabela13[[#This Row],[NOME FANTASIA]]="","",_xlfn.XLOOKUP($C346,Log!D:D,Log!X:X,,,-1)),"")</f>
        <v/>
      </c>
      <c r="R346" s="82">
        <f>COUNTIFS(Log!$D:$D,'Base Novos Clientes'!$C346,Log!$W:$W,'Base Novos Clientes'!R$2)</f>
        <v>0</v>
      </c>
      <c r="S346" s="82">
        <f>COUNTIFS(Log!$D:$D,'Base Novos Clientes'!$C346,Log!$W:$W,'Base Novos Clientes'!S$2)</f>
        <v>0</v>
      </c>
      <c r="T346" s="82">
        <f>COUNTIFS(Log!$D:$D,'Base Novos Clientes'!$C346,Log!$W:$W,'Base Novos Clientes'!T$2)</f>
        <v>0</v>
      </c>
    </row>
    <row r="347" spans="3:20" x14ac:dyDescent="0.25">
      <c r="C347" s="75"/>
      <c r="D347" s="75"/>
      <c r="E347" s="75"/>
      <c r="F347" s="75"/>
      <c r="G347" s="76"/>
      <c r="H347" s="77"/>
      <c r="I347" s="78"/>
      <c r="J347" s="79"/>
      <c r="K347" s="79" t="str">
        <f ca="1">IF(J347="","NOVO",_xlfn.XLOOKUP(TODAY()-J347,Regras!$C$3:$C$10,Regras!$D$3:$D$10,,1))</f>
        <v>NOVO</v>
      </c>
      <c r="L347" s="75" t="str">
        <f t="shared" si="5"/>
        <v/>
      </c>
      <c r="M347" s="80" t="str">
        <f>IFERROR(IF(Tabela13[[#This Row],[NOME FANTASIA]]="","",_xlfn.XLOOKUP($C347,Log!D:D,Log!B:B,,,-1)),"")</f>
        <v/>
      </c>
      <c r="N347" s="81" t="str">
        <f>IFERROR(_xlfn.XLOOKUP($C347,Log!D:D,Log!W:W,,,-1),"")</f>
        <v/>
      </c>
      <c r="O347" s="81">
        <f>IFERROR(_xlfn.XLOOKUP($C347,Log!D:D,Log!Y:Y,,,-1),"")</f>
        <v>0</v>
      </c>
      <c r="Q347" s="69" t="str">
        <f>IFERROR(IF(Tabela13[[#This Row],[NOME FANTASIA]]="","",_xlfn.XLOOKUP($C347,Log!D:D,Log!X:X,,,-1)),"")</f>
        <v/>
      </c>
      <c r="R347" s="82">
        <f>COUNTIFS(Log!$D:$D,'Base Novos Clientes'!$C347,Log!$W:$W,'Base Novos Clientes'!R$2)</f>
        <v>0</v>
      </c>
      <c r="S347" s="82">
        <f>COUNTIFS(Log!$D:$D,'Base Novos Clientes'!$C347,Log!$W:$W,'Base Novos Clientes'!S$2)</f>
        <v>0</v>
      </c>
      <c r="T347" s="82">
        <f>COUNTIFS(Log!$D:$D,'Base Novos Clientes'!$C347,Log!$W:$W,'Base Novos Clientes'!T$2)</f>
        <v>0</v>
      </c>
    </row>
    <row r="348" spans="3:20" x14ac:dyDescent="0.25">
      <c r="C348" s="75"/>
      <c r="D348" s="75"/>
      <c r="E348" s="75"/>
      <c r="F348" s="75"/>
      <c r="G348" s="76"/>
      <c r="H348" s="77"/>
      <c r="I348" s="78"/>
      <c r="J348" s="79"/>
      <c r="K348" s="79" t="str">
        <f ca="1">IF(J348="","NOVO",_xlfn.XLOOKUP(TODAY()-J348,Regras!$C$3:$C$10,Regras!$D$3:$D$10,,1))</f>
        <v>NOVO</v>
      </c>
      <c r="L348" s="75" t="str">
        <f t="shared" si="5"/>
        <v/>
      </c>
      <c r="M348" s="80" t="str">
        <f>IFERROR(IF(Tabela13[[#This Row],[NOME FANTASIA]]="","",_xlfn.XLOOKUP($C348,Log!D:D,Log!B:B,,,-1)),"")</f>
        <v/>
      </c>
      <c r="N348" s="81" t="str">
        <f>IFERROR(_xlfn.XLOOKUP($C348,Log!D:D,Log!W:W,,,-1),"")</f>
        <v/>
      </c>
      <c r="O348" s="81">
        <f>IFERROR(_xlfn.XLOOKUP($C348,Log!D:D,Log!Y:Y,,,-1),"")</f>
        <v>0</v>
      </c>
      <c r="Q348" s="69" t="str">
        <f>IFERROR(IF(Tabela13[[#This Row],[NOME FANTASIA]]="","",_xlfn.XLOOKUP($C348,Log!D:D,Log!X:X,,,-1)),"")</f>
        <v/>
      </c>
      <c r="R348" s="82">
        <f>COUNTIFS(Log!$D:$D,'Base Novos Clientes'!$C348,Log!$W:$W,'Base Novos Clientes'!R$2)</f>
        <v>0</v>
      </c>
      <c r="S348" s="82">
        <f>COUNTIFS(Log!$D:$D,'Base Novos Clientes'!$C348,Log!$W:$W,'Base Novos Clientes'!S$2)</f>
        <v>0</v>
      </c>
      <c r="T348" s="82">
        <f>COUNTIFS(Log!$D:$D,'Base Novos Clientes'!$C348,Log!$W:$W,'Base Novos Clientes'!T$2)</f>
        <v>0</v>
      </c>
    </row>
    <row r="349" spans="3:20" x14ac:dyDescent="0.25">
      <c r="C349" s="75"/>
      <c r="D349" s="75"/>
      <c r="E349" s="75"/>
      <c r="F349" s="75"/>
      <c r="G349" s="76"/>
      <c r="H349" s="77"/>
      <c r="I349" s="78"/>
      <c r="J349" s="79"/>
      <c r="K349" s="79" t="str">
        <f ca="1">IF(J349="","NOVO",_xlfn.XLOOKUP(TODAY()-J349,Regras!$C$3:$C$10,Regras!$D$3:$D$10,,1))</f>
        <v>NOVO</v>
      </c>
      <c r="L349" s="75" t="str">
        <f t="shared" si="5"/>
        <v/>
      </c>
      <c r="M349" s="80" t="str">
        <f>IFERROR(IF(Tabela13[[#This Row],[NOME FANTASIA]]="","",_xlfn.XLOOKUP($C349,Log!D:D,Log!B:B,,,-1)),"")</f>
        <v/>
      </c>
      <c r="N349" s="81" t="str">
        <f>IFERROR(_xlfn.XLOOKUP($C349,Log!D:D,Log!W:W,,,-1),"")</f>
        <v/>
      </c>
      <c r="O349" s="81">
        <f>IFERROR(_xlfn.XLOOKUP($C349,Log!D:D,Log!Y:Y,,,-1),"")</f>
        <v>0</v>
      </c>
      <c r="Q349" s="69" t="str">
        <f>IFERROR(IF(Tabela13[[#This Row],[NOME FANTASIA]]="","",_xlfn.XLOOKUP($C349,Log!D:D,Log!X:X,,,-1)),"")</f>
        <v/>
      </c>
      <c r="R349" s="82">
        <f>COUNTIFS(Log!$D:$D,'Base Novos Clientes'!$C349,Log!$W:$W,'Base Novos Clientes'!R$2)</f>
        <v>0</v>
      </c>
      <c r="S349" s="82">
        <f>COUNTIFS(Log!$D:$D,'Base Novos Clientes'!$C349,Log!$W:$W,'Base Novos Clientes'!S$2)</f>
        <v>0</v>
      </c>
      <c r="T349" s="82">
        <f>COUNTIFS(Log!$D:$D,'Base Novos Clientes'!$C349,Log!$W:$W,'Base Novos Clientes'!T$2)</f>
        <v>0</v>
      </c>
    </row>
    <row r="350" spans="3:20" x14ac:dyDescent="0.25">
      <c r="C350" s="75"/>
      <c r="D350" s="75"/>
      <c r="E350" s="75"/>
      <c r="F350" s="75"/>
      <c r="G350" s="76"/>
      <c r="H350" s="77"/>
      <c r="I350" s="78"/>
      <c r="J350" s="79"/>
      <c r="K350" s="79" t="str">
        <f ca="1">IF(J350="","NOVO",_xlfn.XLOOKUP(TODAY()-J350,Regras!$C$3:$C$10,Regras!$D$3:$D$10,,1))</f>
        <v>NOVO</v>
      </c>
      <c r="L350" s="75" t="str">
        <f t="shared" si="5"/>
        <v/>
      </c>
      <c r="M350" s="80" t="str">
        <f>IFERROR(IF(Tabela13[[#This Row],[NOME FANTASIA]]="","",_xlfn.XLOOKUP($C350,Log!D:D,Log!B:B,,,-1)),"")</f>
        <v/>
      </c>
      <c r="N350" s="81" t="str">
        <f>IFERROR(_xlfn.XLOOKUP($C350,Log!D:D,Log!W:W,,,-1),"")</f>
        <v/>
      </c>
      <c r="O350" s="81">
        <f>IFERROR(_xlfn.XLOOKUP($C350,Log!D:D,Log!Y:Y,,,-1),"")</f>
        <v>0</v>
      </c>
      <c r="Q350" s="69" t="str">
        <f>IFERROR(IF(Tabela13[[#This Row],[NOME FANTASIA]]="","",_xlfn.XLOOKUP($C350,Log!D:D,Log!X:X,,,-1)),"")</f>
        <v/>
      </c>
      <c r="R350" s="82">
        <f>COUNTIFS(Log!$D:$D,'Base Novos Clientes'!$C350,Log!$W:$W,'Base Novos Clientes'!R$2)</f>
        <v>0</v>
      </c>
      <c r="S350" s="82">
        <f>COUNTIFS(Log!$D:$D,'Base Novos Clientes'!$C350,Log!$W:$W,'Base Novos Clientes'!S$2)</f>
        <v>0</v>
      </c>
      <c r="T350" s="82">
        <f>COUNTIFS(Log!$D:$D,'Base Novos Clientes'!$C350,Log!$W:$W,'Base Novos Clientes'!T$2)</f>
        <v>0</v>
      </c>
    </row>
    <row r="351" spans="3:20" x14ac:dyDescent="0.25">
      <c r="C351" s="75"/>
      <c r="D351" s="75"/>
      <c r="E351" s="75"/>
      <c r="F351" s="75"/>
      <c r="G351" s="76"/>
      <c r="H351" s="77"/>
      <c r="I351" s="78"/>
      <c r="J351" s="79"/>
      <c r="K351" s="79" t="str">
        <f ca="1">IF(J351="","NOVO",_xlfn.XLOOKUP(TODAY()-J351,Regras!$C$3:$C$10,Regras!$D$3:$D$10,,1))</f>
        <v>NOVO</v>
      </c>
      <c r="L351" s="75" t="str">
        <f t="shared" si="5"/>
        <v/>
      </c>
      <c r="M351" s="80" t="str">
        <f>IFERROR(IF(Tabela13[[#This Row],[NOME FANTASIA]]="","",_xlfn.XLOOKUP($C351,Log!D:D,Log!B:B,,,-1)),"")</f>
        <v/>
      </c>
      <c r="N351" s="81" t="str">
        <f>IFERROR(_xlfn.XLOOKUP($C351,Log!D:D,Log!W:W,,,-1),"")</f>
        <v/>
      </c>
      <c r="O351" s="81">
        <f>IFERROR(_xlfn.XLOOKUP($C351,Log!D:D,Log!Y:Y,,,-1),"")</f>
        <v>0</v>
      </c>
      <c r="Q351" s="69" t="str">
        <f>IFERROR(IF(Tabela13[[#This Row],[NOME FANTASIA]]="","",_xlfn.XLOOKUP($C351,Log!D:D,Log!X:X,,,-1)),"")</f>
        <v/>
      </c>
      <c r="R351" s="82">
        <f>COUNTIFS(Log!$D:$D,'Base Novos Clientes'!$C351,Log!$W:$W,'Base Novos Clientes'!R$2)</f>
        <v>0</v>
      </c>
      <c r="S351" s="82">
        <f>COUNTIFS(Log!$D:$D,'Base Novos Clientes'!$C351,Log!$W:$W,'Base Novos Clientes'!S$2)</f>
        <v>0</v>
      </c>
      <c r="T351" s="82">
        <f>COUNTIFS(Log!$D:$D,'Base Novos Clientes'!$C351,Log!$W:$W,'Base Novos Clientes'!T$2)</f>
        <v>0</v>
      </c>
    </row>
    <row r="352" spans="3:20" x14ac:dyDescent="0.25">
      <c r="C352" s="75"/>
      <c r="D352" s="75"/>
      <c r="E352" s="75"/>
      <c r="F352" s="75"/>
      <c r="G352" s="76"/>
      <c r="H352" s="77"/>
      <c r="I352" s="78"/>
      <c r="J352" s="79"/>
      <c r="K352" s="79" t="str">
        <f ca="1">IF(J352="","NOVO",_xlfn.XLOOKUP(TODAY()-J352,Regras!$C$3:$C$10,Regras!$D$3:$D$10,,1))</f>
        <v>NOVO</v>
      </c>
      <c r="L352" s="75" t="str">
        <f t="shared" si="5"/>
        <v/>
      </c>
      <c r="M352" s="80" t="str">
        <f>IFERROR(IF(Tabela13[[#This Row],[NOME FANTASIA]]="","",_xlfn.XLOOKUP($C352,Log!D:D,Log!B:B,,,-1)),"")</f>
        <v/>
      </c>
      <c r="N352" s="81" t="str">
        <f>IFERROR(_xlfn.XLOOKUP($C352,Log!D:D,Log!W:W,,,-1),"")</f>
        <v/>
      </c>
      <c r="O352" s="81">
        <f>IFERROR(_xlfn.XLOOKUP($C352,Log!D:D,Log!Y:Y,,,-1),"")</f>
        <v>0</v>
      </c>
      <c r="Q352" s="69" t="str">
        <f>IFERROR(IF(Tabela13[[#This Row],[NOME FANTASIA]]="","",_xlfn.XLOOKUP($C352,Log!D:D,Log!X:X,,,-1)),"")</f>
        <v/>
      </c>
      <c r="R352" s="82">
        <f>COUNTIFS(Log!$D:$D,'Base Novos Clientes'!$C352,Log!$W:$W,'Base Novos Clientes'!R$2)</f>
        <v>0</v>
      </c>
      <c r="S352" s="82">
        <f>COUNTIFS(Log!$D:$D,'Base Novos Clientes'!$C352,Log!$W:$W,'Base Novos Clientes'!S$2)</f>
        <v>0</v>
      </c>
      <c r="T352" s="82">
        <f>COUNTIFS(Log!$D:$D,'Base Novos Clientes'!$C352,Log!$W:$W,'Base Novos Clientes'!T$2)</f>
        <v>0</v>
      </c>
    </row>
    <row r="353" spans="3:20" x14ac:dyDescent="0.25">
      <c r="C353" s="75"/>
      <c r="D353" s="75"/>
      <c r="E353" s="75"/>
      <c r="F353" s="75"/>
      <c r="G353" s="76"/>
      <c r="H353" s="77"/>
      <c r="I353" s="78"/>
      <c r="J353" s="79"/>
      <c r="K353" s="79" t="str">
        <f ca="1">IF(J353="","NOVO",_xlfn.XLOOKUP(TODAY()-J353,Regras!$C$3:$C$10,Regras!$D$3:$D$10,,1))</f>
        <v>NOVO</v>
      </c>
      <c r="L353" s="75" t="str">
        <f t="shared" si="5"/>
        <v/>
      </c>
      <c r="M353" s="80" t="str">
        <f>IFERROR(IF(Tabela13[[#This Row],[NOME FANTASIA]]="","",_xlfn.XLOOKUP($C353,Log!D:D,Log!B:B,,,-1)),"")</f>
        <v/>
      </c>
      <c r="N353" s="81" t="str">
        <f>IFERROR(_xlfn.XLOOKUP($C353,Log!D:D,Log!W:W,,,-1),"")</f>
        <v/>
      </c>
      <c r="O353" s="81">
        <f>IFERROR(_xlfn.XLOOKUP($C353,Log!D:D,Log!Y:Y,,,-1),"")</f>
        <v>0</v>
      </c>
      <c r="Q353" s="69" t="str">
        <f>IFERROR(IF(Tabela13[[#This Row],[NOME FANTASIA]]="","",_xlfn.XLOOKUP($C353,Log!D:D,Log!X:X,,,-1)),"")</f>
        <v/>
      </c>
      <c r="R353" s="82">
        <f>COUNTIFS(Log!$D:$D,'Base Novos Clientes'!$C353,Log!$W:$W,'Base Novos Clientes'!R$2)</f>
        <v>0</v>
      </c>
      <c r="S353" s="82">
        <f>COUNTIFS(Log!$D:$D,'Base Novos Clientes'!$C353,Log!$W:$W,'Base Novos Clientes'!S$2)</f>
        <v>0</v>
      </c>
      <c r="T353" s="82">
        <f>COUNTIFS(Log!$D:$D,'Base Novos Clientes'!$C353,Log!$W:$W,'Base Novos Clientes'!T$2)</f>
        <v>0</v>
      </c>
    </row>
    <row r="354" spans="3:20" x14ac:dyDescent="0.25">
      <c r="C354" s="75"/>
      <c r="D354" s="75"/>
      <c r="E354" s="75"/>
      <c r="F354" s="75"/>
      <c r="G354" s="76"/>
      <c r="H354" s="77"/>
      <c r="I354" s="78"/>
      <c r="J354" s="79"/>
      <c r="K354" s="79" t="str">
        <f ca="1">IF(J354="","NOVO",_xlfn.XLOOKUP(TODAY()-J354,Regras!$C$3:$C$10,Regras!$D$3:$D$10,,1))</f>
        <v>NOVO</v>
      </c>
      <c r="L354" s="75" t="str">
        <f t="shared" si="5"/>
        <v/>
      </c>
      <c r="M354" s="80" t="str">
        <f>IFERROR(IF(Tabela13[[#This Row],[NOME FANTASIA]]="","",_xlfn.XLOOKUP($C354,Log!D:D,Log!B:B,,,-1)),"")</f>
        <v/>
      </c>
      <c r="N354" s="81" t="str">
        <f>IFERROR(_xlfn.XLOOKUP($C354,Log!D:D,Log!W:W,,,-1),"")</f>
        <v/>
      </c>
      <c r="O354" s="81">
        <f>IFERROR(_xlfn.XLOOKUP($C354,Log!D:D,Log!Y:Y,,,-1),"")</f>
        <v>0</v>
      </c>
      <c r="Q354" s="69" t="str">
        <f>IFERROR(IF(Tabela13[[#This Row],[NOME FANTASIA]]="","",_xlfn.XLOOKUP($C354,Log!D:D,Log!X:X,,,-1)),"")</f>
        <v/>
      </c>
      <c r="R354" s="82">
        <f>COUNTIFS(Log!$D:$D,'Base Novos Clientes'!$C354,Log!$W:$W,'Base Novos Clientes'!R$2)</f>
        <v>0</v>
      </c>
      <c r="S354" s="82">
        <f>COUNTIFS(Log!$D:$D,'Base Novos Clientes'!$C354,Log!$W:$W,'Base Novos Clientes'!S$2)</f>
        <v>0</v>
      </c>
      <c r="T354" s="82">
        <f>COUNTIFS(Log!$D:$D,'Base Novos Clientes'!$C354,Log!$W:$W,'Base Novos Clientes'!T$2)</f>
        <v>0</v>
      </c>
    </row>
    <row r="355" spans="3:20" x14ac:dyDescent="0.25">
      <c r="C355" s="75"/>
      <c r="D355" s="75"/>
      <c r="E355" s="75"/>
      <c r="F355" s="75"/>
      <c r="G355" s="76"/>
      <c r="H355" s="77"/>
      <c r="I355" s="78"/>
      <c r="J355" s="79"/>
      <c r="K355" s="79" t="str">
        <f ca="1">IF(J355="","NOVO",_xlfn.XLOOKUP(TODAY()-J355,Regras!$C$3:$C$10,Regras!$D$3:$D$10,,1))</f>
        <v>NOVO</v>
      </c>
      <c r="L355" s="75" t="str">
        <f t="shared" si="5"/>
        <v/>
      </c>
      <c r="M355" s="80" t="str">
        <f>IFERROR(IF(Tabela13[[#This Row],[NOME FANTASIA]]="","",_xlfn.XLOOKUP($C355,Log!D:D,Log!B:B,,,-1)),"")</f>
        <v/>
      </c>
      <c r="N355" s="81" t="str">
        <f>IFERROR(_xlfn.XLOOKUP($C355,Log!D:D,Log!W:W,,,-1),"")</f>
        <v/>
      </c>
      <c r="O355" s="81">
        <f>IFERROR(_xlfn.XLOOKUP($C355,Log!D:D,Log!Y:Y,,,-1),"")</f>
        <v>0</v>
      </c>
      <c r="Q355" s="69" t="str">
        <f>IFERROR(IF(Tabela13[[#This Row],[NOME FANTASIA]]="","",_xlfn.XLOOKUP($C355,Log!D:D,Log!X:X,,,-1)),"")</f>
        <v/>
      </c>
      <c r="R355" s="82">
        <f>COUNTIFS(Log!$D:$D,'Base Novos Clientes'!$C355,Log!$W:$W,'Base Novos Clientes'!R$2)</f>
        <v>0</v>
      </c>
      <c r="S355" s="82">
        <f>COUNTIFS(Log!$D:$D,'Base Novos Clientes'!$C355,Log!$W:$W,'Base Novos Clientes'!S$2)</f>
        <v>0</v>
      </c>
      <c r="T355" s="82">
        <f>COUNTIFS(Log!$D:$D,'Base Novos Clientes'!$C355,Log!$W:$W,'Base Novos Clientes'!T$2)</f>
        <v>0</v>
      </c>
    </row>
    <row r="356" spans="3:20" x14ac:dyDescent="0.25">
      <c r="C356" s="75"/>
      <c r="D356" s="75"/>
      <c r="E356" s="75"/>
      <c r="F356" s="75"/>
      <c r="G356" s="76"/>
      <c r="H356" s="77"/>
      <c r="I356" s="78"/>
      <c r="J356" s="79"/>
      <c r="K356" s="79" t="str">
        <f ca="1">IF(J356="","NOVO",_xlfn.XLOOKUP(TODAY()-J356,Regras!$C$3:$C$10,Regras!$D$3:$D$10,,1))</f>
        <v>NOVO</v>
      </c>
      <c r="L356" s="75" t="str">
        <f t="shared" si="5"/>
        <v/>
      </c>
      <c r="M356" s="80" t="str">
        <f>IFERROR(IF(Tabela13[[#This Row],[NOME FANTASIA]]="","",_xlfn.XLOOKUP($C356,Log!D:D,Log!B:B,,,-1)),"")</f>
        <v/>
      </c>
      <c r="N356" s="81" t="str">
        <f>IFERROR(_xlfn.XLOOKUP($C356,Log!D:D,Log!W:W,,,-1),"")</f>
        <v/>
      </c>
      <c r="O356" s="81">
        <f>IFERROR(_xlfn.XLOOKUP($C356,Log!D:D,Log!Y:Y,,,-1),"")</f>
        <v>0</v>
      </c>
      <c r="Q356" s="69" t="str">
        <f>IFERROR(IF(Tabela13[[#This Row],[NOME FANTASIA]]="","",_xlfn.XLOOKUP($C356,Log!D:D,Log!X:X,,,-1)),"")</f>
        <v/>
      </c>
      <c r="R356" s="82">
        <f>COUNTIFS(Log!$D:$D,'Base Novos Clientes'!$C356,Log!$W:$W,'Base Novos Clientes'!R$2)</f>
        <v>0</v>
      </c>
      <c r="S356" s="82">
        <f>COUNTIFS(Log!$D:$D,'Base Novos Clientes'!$C356,Log!$W:$W,'Base Novos Clientes'!S$2)</f>
        <v>0</v>
      </c>
      <c r="T356" s="82">
        <f>COUNTIFS(Log!$D:$D,'Base Novos Clientes'!$C356,Log!$W:$W,'Base Novos Clientes'!T$2)</f>
        <v>0</v>
      </c>
    </row>
    <row r="357" spans="3:20" x14ac:dyDescent="0.25">
      <c r="C357" s="75"/>
      <c r="D357" s="75"/>
      <c r="E357" s="75"/>
      <c r="F357" s="75"/>
      <c r="G357" s="76"/>
      <c r="H357" s="77"/>
      <c r="I357" s="78"/>
      <c r="J357" s="79"/>
      <c r="K357" s="79" t="str">
        <f ca="1">IF(J357="","NOVO",_xlfn.XLOOKUP(TODAY()-J357,Regras!$C$3:$C$10,Regras!$D$3:$D$10,,1))</f>
        <v>NOVO</v>
      </c>
      <c r="L357" s="75" t="str">
        <f t="shared" si="5"/>
        <v/>
      </c>
      <c r="M357" s="80" t="str">
        <f>IFERROR(IF(Tabela13[[#This Row],[NOME FANTASIA]]="","",_xlfn.XLOOKUP($C357,Log!D:D,Log!B:B,,,-1)),"")</f>
        <v/>
      </c>
      <c r="N357" s="81" t="str">
        <f>IFERROR(_xlfn.XLOOKUP($C357,Log!D:D,Log!W:W,,,-1),"")</f>
        <v/>
      </c>
      <c r="O357" s="81">
        <f>IFERROR(_xlfn.XLOOKUP($C357,Log!D:D,Log!Y:Y,,,-1),"")</f>
        <v>0</v>
      </c>
      <c r="Q357" s="69" t="str">
        <f>IFERROR(IF(Tabela13[[#This Row],[NOME FANTASIA]]="","",_xlfn.XLOOKUP($C357,Log!D:D,Log!X:X,,,-1)),"")</f>
        <v/>
      </c>
      <c r="R357" s="82">
        <f>COUNTIFS(Log!$D:$D,'Base Novos Clientes'!$C357,Log!$W:$W,'Base Novos Clientes'!R$2)</f>
        <v>0</v>
      </c>
      <c r="S357" s="82">
        <f>COUNTIFS(Log!$D:$D,'Base Novos Clientes'!$C357,Log!$W:$W,'Base Novos Clientes'!S$2)</f>
        <v>0</v>
      </c>
      <c r="T357" s="82">
        <f>COUNTIFS(Log!$D:$D,'Base Novos Clientes'!$C357,Log!$W:$W,'Base Novos Clientes'!T$2)</f>
        <v>0</v>
      </c>
    </row>
    <row r="358" spans="3:20" x14ac:dyDescent="0.25">
      <c r="C358" s="75"/>
      <c r="D358" s="75"/>
      <c r="E358" s="75"/>
      <c r="F358" s="75"/>
      <c r="G358" s="76"/>
      <c r="H358" s="77"/>
      <c r="I358" s="78"/>
      <c r="J358" s="79"/>
      <c r="K358" s="79" t="str">
        <f ca="1">IF(J358="","NOVO",_xlfn.XLOOKUP(TODAY()-J358,Regras!$C$3:$C$10,Regras!$D$3:$D$10,,1))</f>
        <v>NOVO</v>
      </c>
      <c r="L358" s="75" t="str">
        <f t="shared" si="5"/>
        <v/>
      </c>
      <c r="M358" s="80" t="str">
        <f>IFERROR(IF(Tabela13[[#This Row],[NOME FANTASIA]]="","",_xlfn.XLOOKUP($C358,Log!D:D,Log!B:B,,,-1)),"")</f>
        <v/>
      </c>
      <c r="N358" s="81" t="str">
        <f>IFERROR(_xlfn.XLOOKUP($C358,Log!D:D,Log!W:W,,,-1),"")</f>
        <v/>
      </c>
      <c r="O358" s="81">
        <f>IFERROR(_xlfn.XLOOKUP($C358,Log!D:D,Log!Y:Y,,,-1),"")</f>
        <v>0</v>
      </c>
      <c r="Q358" s="69" t="str">
        <f>IFERROR(IF(Tabela13[[#This Row],[NOME FANTASIA]]="","",_xlfn.XLOOKUP($C358,Log!D:D,Log!X:X,,,-1)),"")</f>
        <v/>
      </c>
      <c r="R358" s="82">
        <f>COUNTIFS(Log!$D:$D,'Base Novos Clientes'!$C358,Log!$W:$W,'Base Novos Clientes'!R$2)</f>
        <v>0</v>
      </c>
      <c r="S358" s="82">
        <f>COUNTIFS(Log!$D:$D,'Base Novos Clientes'!$C358,Log!$W:$W,'Base Novos Clientes'!S$2)</f>
        <v>0</v>
      </c>
      <c r="T358" s="82">
        <f>COUNTIFS(Log!$D:$D,'Base Novos Clientes'!$C358,Log!$W:$W,'Base Novos Clientes'!T$2)</f>
        <v>0</v>
      </c>
    </row>
    <row r="359" spans="3:20" x14ac:dyDescent="0.25">
      <c r="C359" s="75"/>
      <c r="D359" s="75"/>
      <c r="E359" s="75"/>
      <c r="F359" s="75"/>
      <c r="G359" s="76"/>
      <c r="H359" s="77"/>
      <c r="I359" s="78"/>
      <c r="J359" s="79"/>
      <c r="K359" s="79" t="str">
        <f ca="1">IF(J359="","NOVO",_xlfn.XLOOKUP(TODAY()-J359,Regras!$C$3:$C$10,Regras!$D$3:$D$10,,1))</f>
        <v>NOVO</v>
      </c>
      <c r="L359" s="75" t="str">
        <f t="shared" si="5"/>
        <v/>
      </c>
      <c r="M359" s="80" t="str">
        <f>IFERROR(IF(Tabela13[[#This Row],[NOME FANTASIA]]="","",_xlfn.XLOOKUP($C359,Log!D:D,Log!B:B,,,-1)),"")</f>
        <v/>
      </c>
      <c r="N359" s="81" t="str">
        <f>IFERROR(_xlfn.XLOOKUP($C359,Log!D:D,Log!W:W,,,-1),"")</f>
        <v/>
      </c>
      <c r="O359" s="81">
        <f>IFERROR(_xlfn.XLOOKUP($C359,Log!D:D,Log!Y:Y,,,-1),"")</f>
        <v>0</v>
      </c>
      <c r="Q359" s="69" t="str">
        <f>IFERROR(IF(Tabela13[[#This Row],[NOME FANTASIA]]="","",_xlfn.XLOOKUP($C359,Log!D:D,Log!X:X,,,-1)),"")</f>
        <v/>
      </c>
      <c r="R359" s="82">
        <f>COUNTIFS(Log!$D:$D,'Base Novos Clientes'!$C359,Log!$W:$W,'Base Novos Clientes'!R$2)</f>
        <v>0</v>
      </c>
      <c r="S359" s="82">
        <f>COUNTIFS(Log!$D:$D,'Base Novos Clientes'!$C359,Log!$W:$W,'Base Novos Clientes'!S$2)</f>
        <v>0</v>
      </c>
      <c r="T359" s="82">
        <f>COUNTIFS(Log!$D:$D,'Base Novos Clientes'!$C359,Log!$W:$W,'Base Novos Clientes'!T$2)</f>
        <v>0</v>
      </c>
    </row>
    <row r="360" spans="3:20" x14ac:dyDescent="0.25">
      <c r="C360" s="75"/>
      <c r="D360" s="75"/>
      <c r="E360" s="75"/>
      <c r="F360" s="75"/>
      <c r="G360" s="76"/>
      <c r="H360" s="77"/>
      <c r="I360" s="78"/>
      <c r="J360" s="79"/>
      <c r="K360" s="79" t="str">
        <f ca="1">IF(J360="","NOVO",_xlfn.XLOOKUP(TODAY()-J360,Regras!$C$3:$C$10,Regras!$D$3:$D$10,,1))</f>
        <v>NOVO</v>
      </c>
      <c r="L360" s="75" t="str">
        <f t="shared" si="5"/>
        <v/>
      </c>
      <c r="M360" s="80" t="str">
        <f>IFERROR(IF(Tabela13[[#This Row],[NOME FANTASIA]]="","",_xlfn.XLOOKUP($C360,Log!D:D,Log!B:B,,,-1)),"")</f>
        <v/>
      </c>
      <c r="N360" s="81" t="str">
        <f>IFERROR(_xlfn.XLOOKUP($C360,Log!D:D,Log!W:W,,,-1),"")</f>
        <v/>
      </c>
      <c r="O360" s="81">
        <f>IFERROR(_xlfn.XLOOKUP($C360,Log!D:D,Log!Y:Y,,,-1),"")</f>
        <v>0</v>
      </c>
      <c r="Q360" s="69" t="str">
        <f>IFERROR(IF(Tabela13[[#This Row],[NOME FANTASIA]]="","",_xlfn.XLOOKUP($C360,Log!D:D,Log!X:X,,,-1)),"")</f>
        <v/>
      </c>
      <c r="R360" s="82">
        <f>COUNTIFS(Log!$D:$D,'Base Novos Clientes'!$C360,Log!$W:$W,'Base Novos Clientes'!R$2)</f>
        <v>0</v>
      </c>
      <c r="S360" s="82">
        <f>COUNTIFS(Log!$D:$D,'Base Novos Clientes'!$C360,Log!$W:$W,'Base Novos Clientes'!S$2)</f>
        <v>0</v>
      </c>
      <c r="T360" s="82">
        <f>COUNTIFS(Log!$D:$D,'Base Novos Clientes'!$C360,Log!$W:$W,'Base Novos Clientes'!T$2)</f>
        <v>0</v>
      </c>
    </row>
    <row r="361" spans="3:20" x14ac:dyDescent="0.25">
      <c r="C361" s="75"/>
      <c r="D361" s="75"/>
      <c r="E361" s="75"/>
      <c r="F361" s="75"/>
      <c r="G361" s="76"/>
      <c r="H361" s="77"/>
      <c r="I361" s="78"/>
      <c r="J361" s="79"/>
      <c r="K361" s="79" t="str">
        <f ca="1">IF(J361="","NOVO",_xlfn.XLOOKUP(TODAY()-J361,Regras!$C$3:$C$10,Regras!$D$3:$D$10,,1))</f>
        <v>NOVO</v>
      </c>
      <c r="L361" s="75" t="str">
        <f t="shared" si="5"/>
        <v/>
      </c>
      <c r="M361" s="80" t="str">
        <f>IFERROR(IF(Tabela13[[#This Row],[NOME FANTASIA]]="","",_xlfn.XLOOKUP($C361,Log!D:D,Log!B:B,,,-1)),"")</f>
        <v/>
      </c>
      <c r="N361" s="81" t="str">
        <f>IFERROR(_xlfn.XLOOKUP($C361,Log!D:D,Log!W:W,,,-1),"")</f>
        <v/>
      </c>
      <c r="O361" s="81">
        <f>IFERROR(_xlfn.XLOOKUP($C361,Log!D:D,Log!Y:Y,,,-1),"")</f>
        <v>0</v>
      </c>
      <c r="Q361" s="69" t="str">
        <f>IFERROR(IF(Tabela13[[#This Row],[NOME FANTASIA]]="","",_xlfn.XLOOKUP($C361,Log!D:D,Log!X:X,,,-1)),"")</f>
        <v/>
      </c>
      <c r="R361" s="82">
        <f>COUNTIFS(Log!$D:$D,'Base Novos Clientes'!$C361,Log!$W:$W,'Base Novos Clientes'!R$2)</f>
        <v>0</v>
      </c>
      <c r="S361" s="82">
        <f>COUNTIFS(Log!$D:$D,'Base Novos Clientes'!$C361,Log!$W:$W,'Base Novos Clientes'!S$2)</f>
        <v>0</v>
      </c>
      <c r="T361" s="82">
        <f>COUNTIFS(Log!$D:$D,'Base Novos Clientes'!$C361,Log!$W:$W,'Base Novos Clientes'!T$2)</f>
        <v>0</v>
      </c>
    </row>
    <row r="362" spans="3:20" x14ac:dyDescent="0.25">
      <c r="C362" s="75"/>
      <c r="D362" s="75"/>
      <c r="E362" s="75"/>
      <c r="F362" s="75"/>
      <c r="G362" s="76"/>
      <c r="H362" s="77"/>
      <c r="I362" s="78"/>
      <c r="J362" s="79"/>
      <c r="K362" s="79" t="str">
        <f ca="1">IF(J362="","NOVO",_xlfn.XLOOKUP(TODAY()-J362,Regras!$C$3:$C$10,Regras!$D$3:$D$10,,1))</f>
        <v>NOVO</v>
      </c>
      <c r="L362" s="75" t="str">
        <f t="shared" si="5"/>
        <v/>
      </c>
      <c r="M362" s="80" t="str">
        <f>IFERROR(IF(Tabela13[[#This Row],[NOME FANTASIA]]="","",_xlfn.XLOOKUP($C362,Log!D:D,Log!B:B,,,-1)),"")</f>
        <v/>
      </c>
      <c r="N362" s="81" t="str">
        <f>IFERROR(_xlfn.XLOOKUP($C362,Log!D:D,Log!W:W,,,-1),"")</f>
        <v/>
      </c>
      <c r="O362" s="81">
        <f>IFERROR(_xlfn.XLOOKUP($C362,Log!D:D,Log!Y:Y,,,-1),"")</f>
        <v>0</v>
      </c>
      <c r="Q362" s="69" t="str">
        <f>IFERROR(IF(Tabela13[[#This Row],[NOME FANTASIA]]="","",_xlfn.XLOOKUP($C362,Log!D:D,Log!X:X,,,-1)),"")</f>
        <v/>
      </c>
      <c r="R362" s="82">
        <f>COUNTIFS(Log!$D:$D,'Base Novos Clientes'!$C362,Log!$W:$W,'Base Novos Clientes'!R$2)</f>
        <v>0</v>
      </c>
      <c r="S362" s="82">
        <f>COUNTIFS(Log!$D:$D,'Base Novos Clientes'!$C362,Log!$W:$W,'Base Novos Clientes'!S$2)</f>
        <v>0</v>
      </c>
      <c r="T362" s="82">
        <f>COUNTIFS(Log!$D:$D,'Base Novos Clientes'!$C362,Log!$W:$W,'Base Novos Clientes'!T$2)</f>
        <v>0</v>
      </c>
    </row>
    <row r="363" spans="3:20" x14ac:dyDescent="0.25">
      <c r="C363" s="75"/>
      <c r="D363" s="75"/>
      <c r="E363" s="75"/>
      <c r="F363" s="75"/>
      <c r="G363" s="76"/>
      <c r="H363" s="77"/>
      <c r="I363" s="78"/>
      <c r="J363" s="79"/>
      <c r="K363" s="79" t="str">
        <f ca="1">IF(J363="","NOVO",_xlfn.XLOOKUP(TODAY()-J363,Regras!$C$3:$C$10,Regras!$D$3:$D$10,,1))</f>
        <v>NOVO</v>
      </c>
      <c r="L363" s="75" t="str">
        <f t="shared" si="5"/>
        <v/>
      </c>
      <c r="M363" s="80" t="str">
        <f>IFERROR(IF(Tabela13[[#This Row],[NOME FANTASIA]]="","",_xlfn.XLOOKUP($C363,Log!D:D,Log!B:B,,,-1)),"")</f>
        <v/>
      </c>
      <c r="N363" s="81" t="str">
        <f>IFERROR(_xlfn.XLOOKUP($C363,Log!D:D,Log!W:W,,,-1),"")</f>
        <v/>
      </c>
      <c r="O363" s="81">
        <f>IFERROR(_xlfn.XLOOKUP($C363,Log!D:D,Log!Y:Y,,,-1),"")</f>
        <v>0</v>
      </c>
      <c r="Q363" s="69" t="str">
        <f>IFERROR(IF(Tabela13[[#This Row],[NOME FANTASIA]]="","",_xlfn.XLOOKUP($C363,Log!D:D,Log!X:X,,,-1)),"")</f>
        <v/>
      </c>
      <c r="R363" s="82">
        <f>COUNTIFS(Log!$D:$D,'Base Novos Clientes'!$C363,Log!$W:$W,'Base Novos Clientes'!R$2)</f>
        <v>0</v>
      </c>
      <c r="S363" s="82">
        <f>COUNTIFS(Log!$D:$D,'Base Novos Clientes'!$C363,Log!$W:$W,'Base Novos Clientes'!S$2)</f>
        <v>0</v>
      </c>
      <c r="T363" s="82">
        <f>COUNTIFS(Log!$D:$D,'Base Novos Clientes'!$C363,Log!$W:$W,'Base Novos Clientes'!T$2)</f>
        <v>0</v>
      </c>
    </row>
    <row r="364" spans="3:20" x14ac:dyDescent="0.25">
      <c r="C364" s="75"/>
      <c r="D364" s="75"/>
      <c r="E364" s="75"/>
      <c r="F364" s="75"/>
      <c r="G364" s="76"/>
      <c r="H364" s="77"/>
      <c r="I364" s="78"/>
      <c r="J364" s="79"/>
      <c r="K364" s="79" t="str">
        <f ca="1">IF(J364="","NOVO",_xlfn.XLOOKUP(TODAY()-J364,Regras!$C$3:$C$10,Regras!$D$3:$D$10,,1))</f>
        <v>NOVO</v>
      </c>
      <c r="L364" s="75" t="str">
        <f t="shared" si="5"/>
        <v/>
      </c>
      <c r="M364" s="80" t="str">
        <f>IFERROR(IF(Tabela13[[#This Row],[NOME FANTASIA]]="","",_xlfn.XLOOKUP($C364,Log!D:D,Log!B:B,,,-1)),"")</f>
        <v/>
      </c>
      <c r="N364" s="81" t="str">
        <f>IFERROR(_xlfn.XLOOKUP($C364,Log!D:D,Log!W:W,,,-1),"")</f>
        <v/>
      </c>
      <c r="O364" s="81">
        <f>IFERROR(_xlfn.XLOOKUP($C364,Log!D:D,Log!Y:Y,,,-1),"")</f>
        <v>0</v>
      </c>
      <c r="Q364" s="69" t="str">
        <f>IFERROR(IF(Tabela13[[#This Row],[NOME FANTASIA]]="","",_xlfn.XLOOKUP($C364,Log!D:D,Log!X:X,,,-1)),"")</f>
        <v/>
      </c>
      <c r="R364" s="82">
        <f>COUNTIFS(Log!$D:$D,'Base Novos Clientes'!$C364,Log!$W:$W,'Base Novos Clientes'!R$2)</f>
        <v>0</v>
      </c>
      <c r="S364" s="82">
        <f>COUNTIFS(Log!$D:$D,'Base Novos Clientes'!$C364,Log!$W:$W,'Base Novos Clientes'!S$2)</f>
        <v>0</v>
      </c>
      <c r="T364" s="82">
        <f>COUNTIFS(Log!$D:$D,'Base Novos Clientes'!$C364,Log!$W:$W,'Base Novos Clientes'!T$2)</f>
        <v>0</v>
      </c>
    </row>
    <row r="365" spans="3:20" x14ac:dyDescent="0.25">
      <c r="C365" s="75"/>
      <c r="D365" s="75"/>
      <c r="E365" s="75"/>
      <c r="F365" s="75"/>
      <c r="G365" s="76"/>
      <c r="H365" s="77"/>
      <c r="I365" s="78"/>
      <c r="J365" s="79"/>
      <c r="K365" s="79" t="str">
        <f ca="1">IF(J365="","NOVO",_xlfn.XLOOKUP(TODAY()-J365,Regras!$C$3:$C$10,Regras!$D$3:$D$10,,1))</f>
        <v>NOVO</v>
      </c>
      <c r="L365" s="75" t="str">
        <f t="shared" si="5"/>
        <v/>
      </c>
      <c r="M365" s="80" t="str">
        <f>IFERROR(IF(Tabela13[[#This Row],[NOME FANTASIA]]="","",_xlfn.XLOOKUP($C365,Log!D:D,Log!B:B,,,-1)),"")</f>
        <v/>
      </c>
      <c r="N365" s="81" t="str">
        <f>IFERROR(_xlfn.XLOOKUP($C365,Log!D:D,Log!W:W,,,-1),"")</f>
        <v/>
      </c>
      <c r="O365" s="81">
        <f>IFERROR(_xlfn.XLOOKUP($C365,Log!D:D,Log!Y:Y,,,-1),"")</f>
        <v>0</v>
      </c>
      <c r="Q365" s="69" t="str">
        <f>IFERROR(IF(Tabela13[[#This Row],[NOME FANTASIA]]="","",_xlfn.XLOOKUP($C365,Log!D:D,Log!X:X,,,-1)),"")</f>
        <v/>
      </c>
      <c r="R365" s="82">
        <f>COUNTIFS(Log!$D:$D,'Base Novos Clientes'!$C365,Log!$W:$W,'Base Novos Clientes'!R$2)</f>
        <v>0</v>
      </c>
      <c r="S365" s="82">
        <f>COUNTIFS(Log!$D:$D,'Base Novos Clientes'!$C365,Log!$W:$W,'Base Novos Clientes'!S$2)</f>
        <v>0</v>
      </c>
      <c r="T365" s="82">
        <f>COUNTIFS(Log!$D:$D,'Base Novos Clientes'!$C365,Log!$W:$W,'Base Novos Clientes'!T$2)</f>
        <v>0</v>
      </c>
    </row>
    <row r="366" spans="3:20" x14ac:dyDescent="0.25">
      <c r="C366" s="75"/>
      <c r="D366" s="75"/>
      <c r="E366" s="75"/>
      <c r="F366" s="75"/>
      <c r="G366" s="76"/>
      <c r="H366" s="77"/>
      <c r="I366" s="78"/>
      <c r="J366" s="79"/>
      <c r="K366" s="79" t="str">
        <f ca="1">IF(J366="","NOVO",_xlfn.XLOOKUP(TODAY()-J366,Regras!$C$3:$C$10,Regras!$D$3:$D$10,,1))</f>
        <v>NOVO</v>
      </c>
      <c r="L366" s="75" t="str">
        <f t="shared" si="5"/>
        <v/>
      </c>
      <c r="M366" s="80" t="str">
        <f>IFERROR(IF(Tabela13[[#This Row],[NOME FANTASIA]]="","",_xlfn.XLOOKUP($C366,Log!D:D,Log!B:B,,,-1)),"")</f>
        <v/>
      </c>
      <c r="N366" s="81" t="str">
        <f>IFERROR(_xlfn.XLOOKUP($C366,Log!D:D,Log!W:W,,,-1),"")</f>
        <v/>
      </c>
      <c r="O366" s="81">
        <f>IFERROR(_xlfn.XLOOKUP($C366,Log!D:D,Log!Y:Y,,,-1),"")</f>
        <v>0</v>
      </c>
      <c r="Q366" s="69" t="str">
        <f>IFERROR(IF(Tabela13[[#This Row],[NOME FANTASIA]]="","",_xlfn.XLOOKUP($C366,Log!D:D,Log!X:X,,,-1)),"")</f>
        <v/>
      </c>
      <c r="R366" s="82">
        <f>COUNTIFS(Log!$D:$D,'Base Novos Clientes'!$C366,Log!$W:$W,'Base Novos Clientes'!R$2)</f>
        <v>0</v>
      </c>
      <c r="S366" s="82">
        <f>COUNTIFS(Log!$D:$D,'Base Novos Clientes'!$C366,Log!$W:$W,'Base Novos Clientes'!S$2)</f>
        <v>0</v>
      </c>
      <c r="T366" s="82">
        <f>COUNTIFS(Log!$D:$D,'Base Novos Clientes'!$C366,Log!$W:$W,'Base Novos Clientes'!T$2)</f>
        <v>0</v>
      </c>
    </row>
    <row r="367" spans="3:20" x14ac:dyDescent="0.25">
      <c r="C367" s="75"/>
      <c r="D367" s="75"/>
      <c r="E367" s="75"/>
      <c r="F367" s="75"/>
      <c r="G367" s="76"/>
      <c r="H367" s="77"/>
      <c r="I367" s="78"/>
      <c r="J367" s="79"/>
      <c r="K367" s="79" t="str">
        <f ca="1">IF(J367="","NOVO",_xlfn.XLOOKUP(TODAY()-J367,Regras!$C$3:$C$10,Regras!$D$3:$D$10,,1))</f>
        <v>NOVO</v>
      </c>
      <c r="L367" s="75" t="str">
        <f t="shared" si="5"/>
        <v/>
      </c>
      <c r="M367" s="80" t="str">
        <f>IFERROR(IF(Tabela13[[#This Row],[NOME FANTASIA]]="","",_xlfn.XLOOKUP($C367,Log!D:D,Log!B:B,,,-1)),"")</f>
        <v/>
      </c>
      <c r="N367" s="81" t="str">
        <f>IFERROR(_xlfn.XLOOKUP($C367,Log!D:D,Log!W:W,,,-1),"")</f>
        <v/>
      </c>
      <c r="O367" s="81">
        <f>IFERROR(_xlfn.XLOOKUP($C367,Log!D:D,Log!Y:Y,,,-1),"")</f>
        <v>0</v>
      </c>
      <c r="Q367" s="69" t="str">
        <f>IFERROR(IF(Tabela13[[#This Row],[NOME FANTASIA]]="","",_xlfn.XLOOKUP($C367,Log!D:D,Log!X:X,,,-1)),"")</f>
        <v/>
      </c>
      <c r="R367" s="82">
        <f>COUNTIFS(Log!$D:$D,'Base Novos Clientes'!$C367,Log!$W:$W,'Base Novos Clientes'!R$2)</f>
        <v>0</v>
      </c>
      <c r="S367" s="82">
        <f>COUNTIFS(Log!$D:$D,'Base Novos Clientes'!$C367,Log!$W:$W,'Base Novos Clientes'!S$2)</f>
        <v>0</v>
      </c>
      <c r="T367" s="82">
        <f>COUNTIFS(Log!$D:$D,'Base Novos Clientes'!$C367,Log!$W:$W,'Base Novos Clientes'!T$2)</f>
        <v>0</v>
      </c>
    </row>
    <row r="368" spans="3:20" x14ac:dyDescent="0.25">
      <c r="C368" s="75"/>
      <c r="D368" s="75"/>
      <c r="E368" s="75"/>
      <c r="F368" s="75"/>
      <c r="G368" s="76"/>
      <c r="H368" s="77"/>
      <c r="I368" s="78"/>
      <c r="J368" s="79"/>
      <c r="K368" s="79" t="str">
        <f ca="1">IF(J368="","NOVO",_xlfn.XLOOKUP(TODAY()-J368,Regras!$C$3:$C$10,Regras!$D$3:$D$10,,1))</f>
        <v>NOVO</v>
      </c>
      <c r="L368" s="75" t="str">
        <f t="shared" si="5"/>
        <v/>
      </c>
      <c r="M368" s="80" t="str">
        <f>IFERROR(IF(Tabela13[[#This Row],[NOME FANTASIA]]="","",_xlfn.XLOOKUP($C368,Log!D:D,Log!B:B,,,-1)),"")</f>
        <v/>
      </c>
      <c r="N368" s="81" t="str">
        <f>IFERROR(_xlfn.XLOOKUP($C368,Log!D:D,Log!W:W,,,-1),"")</f>
        <v/>
      </c>
      <c r="O368" s="81">
        <f>IFERROR(_xlfn.XLOOKUP($C368,Log!D:D,Log!Y:Y,,,-1),"")</f>
        <v>0</v>
      </c>
      <c r="Q368" s="69" t="str">
        <f>IFERROR(IF(Tabela13[[#This Row],[NOME FANTASIA]]="","",_xlfn.XLOOKUP($C368,Log!D:D,Log!X:X,,,-1)),"")</f>
        <v/>
      </c>
      <c r="R368" s="82">
        <f>COUNTIFS(Log!$D:$D,'Base Novos Clientes'!$C368,Log!$W:$W,'Base Novos Clientes'!R$2)</f>
        <v>0</v>
      </c>
      <c r="S368" s="82">
        <f>COUNTIFS(Log!$D:$D,'Base Novos Clientes'!$C368,Log!$W:$W,'Base Novos Clientes'!S$2)</f>
        <v>0</v>
      </c>
      <c r="T368" s="82">
        <f>COUNTIFS(Log!$D:$D,'Base Novos Clientes'!$C368,Log!$W:$W,'Base Novos Clientes'!T$2)</f>
        <v>0</v>
      </c>
    </row>
    <row r="369" spans="3:20" x14ac:dyDescent="0.25">
      <c r="C369" s="75"/>
      <c r="D369" s="75"/>
      <c r="E369" s="75"/>
      <c r="F369" s="75"/>
      <c r="G369" s="76"/>
      <c r="H369" s="77"/>
      <c r="I369" s="78"/>
      <c r="J369" s="79"/>
      <c r="K369" s="79" t="str">
        <f ca="1">IF(J369="","NOVO",_xlfn.XLOOKUP(TODAY()-J369,Regras!$C$3:$C$10,Regras!$D$3:$D$10,,1))</f>
        <v>NOVO</v>
      </c>
      <c r="L369" s="75" t="str">
        <f t="shared" si="5"/>
        <v/>
      </c>
      <c r="M369" s="80" t="str">
        <f>IFERROR(IF(Tabela13[[#This Row],[NOME FANTASIA]]="","",_xlfn.XLOOKUP($C369,Log!D:D,Log!B:B,,,-1)),"")</f>
        <v/>
      </c>
      <c r="N369" s="81" t="str">
        <f>IFERROR(_xlfn.XLOOKUP($C369,Log!D:D,Log!W:W,,,-1),"")</f>
        <v/>
      </c>
      <c r="O369" s="81">
        <f>IFERROR(_xlfn.XLOOKUP($C369,Log!D:D,Log!Y:Y,,,-1),"")</f>
        <v>0</v>
      </c>
      <c r="Q369" s="69" t="str">
        <f>IFERROR(IF(Tabela13[[#This Row],[NOME FANTASIA]]="","",_xlfn.XLOOKUP($C369,Log!D:D,Log!X:X,,,-1)),"")</f>
        <v/>
      </c>
      <c r="R369" s="82">
        <f>COUNTIFS(Log!$D:$D,'Base Novos Clientes'!$C369,Log!$W:$W,'Base Novos Clientes'!R$2)</f>
        <v>0</v>
      </c>
      <c r="S369" s="82">
        <f>COUNTIFS(Log!$D:$D,'Base Novos Clientes'!$C369,Log!$W:$W,'Base Novos Clientes'!S$2)</f>
        <v>0</v>
      </c>
      <c r="T369" s="82">
        <f>COUNTIFS(Log!$D:$D,'Base Novos Clientes'!$C369,Log!$W:$W,'Base Novos Clientes'!T$2)</f>
        <v>0</v>
      </c>
    </row>
    <row r="370" spans="3:20" x14ac:dyDescent="0.25">
      <c r="C370" s="75"/>
      <c r="D370" s="75"/>
      <c r="E370" s="75"/>
      <c r="F370" s="75"/>
      <c r="G370" s="76"/>
      <c r="H370" s="77"/>
      <c r="I370" s="78"/>
      <c r="J370" s="79"/>
      <c r="K370" s="79" t="str">
        <f ca="1">IF(J370="","NOVO",_xlfn.XLOOKUP(TODAY()-J370,Regras!$C$3:$C$10,Regras!$D$3:$D$10,,1))</f>
        <v>NOVO</v>
      </c>
      <c r="L370" s="75" t="str">
        <f t="shared" si="5"/>
        <v/>
      </c>
      <c r="M370" s="80" t="str">
        <f>IFERROR(IF(Tabela13[[#This Row],[NOME FANTASIA]]="","",_xlfn.XLOOKUP($C370,Log!D:D,Log!B:B,,,-1)),"")</f>
        <v/>
      </c>
      <c r="N370" s="81" t="str">
        <f>IFERROR(_xlfn.XLOOKUP($C370,Log!D:D,Log!W:W,,,-1),"")</f>
        <v/>
      </c>
      <c r="O370" s="81">
        <f>IFERROR(_xlfn.XLOOKUP($C370,Log!D:D,Log!Y:Y,,,-1),"")</f>
        <v>0</v>
      </c>
      <c r="Q370" s="69" t="str">
        <f>IFERROR(IF(Tabela13[[#This Row],[NOME FANTASIA]]="","",_xlfn.XLOOKUP($C370,Log!D:D,Log!X:X,,,-1)),"")</f>
        <v/>
      </c>
      <c r="R370" s="82">
        <f>COUNTIFS(Log!$D:$D,'Base Novos Clientes'!$C370,Log!$W:$W,'Base Novos Clientes'!R$2)</f>
        <v>0</v>
      </c>
      <c r="S370" s="82">
        <f>COUNTIFS(Log!$D:$D,'Base Novos Clientes'!$C370,Log!$W:$W,'Base Novos Clientes'!S$2)</f>
        <v>0</v>
      </c>
      <c r="T370" s="82">
        <f>COUNTIFS(Log!$D:$D,'Base Novos Clientes'!$C370,Log!$W:$W,'Base Novos Clientes'!T$2)</f>
        <v>0</v>
      </c>
    </row>
    <row r="371" spans="3:20" x14ac:dyDescent="0.25">
      <c r="C371" s="75"/>
      <c r="D371" s="75"/>
      <c r="E371" s="75"/>
      <c r="F371" s="75"/>
      <c r="G371" s="76"/>
      <c r="H371" s="77"/>
      <c r="I371" s="78"/>
      <c r="J371" s="79"/>
      <c r="K371" s="79" t="str">
        <f ca="1">IF(J371="","NOVO",_xlfn.XLOOKUP(TODAY()-J371,Regras!$C$3:$C$10,Regras!$D$3:$D$10,,1))</f>
        <v>NOVO</v>
      </c>
      <c r="L371" s="75" t="str">
        <f t="shared" si="5"/>
        <v/>
      </c>
      <c r="M371" s="80" t="str">
        <f>IFERROR(IF(Tabela13[[#This Row],[NOME FANTASIA]]="","",_xlfn.XLOOKUP($C371,Log!D:D,Log!B:B,,,-1)),"")</f>
        <v/>
      </c>
      <c r="N371" s="81" t="str">
        <f>IFERROR(_xlfn.XLOOKUP($C371,Log!D:D,Log!W:W,,,-1),"")</f>
        <v/>
      </c>
      <c r="O371" s="81">
        <f>IFERROR(_xlfn.XLOOKUP($C371,Log!D:D,Log!Y:Y,,,-1),"")</f>
        <v>0</v>
      </c>
      <c r="Q371" s="69" t="str">
        <f>IFERROR(IF(Tabela13[[#This Row],[NOME FANTASIA]]="","",_xlfn.XLOOKUP($C371,Log!D:D,Log!X:X,,,-1)),"")</f>
        <v/>
      </c>
      <c r="R371" s="82">
        <f>COUNTIFS(Log!$D:$D,'Base Novos Clientes'!$C371,Log!$W:$W,'Base Novos Clientes'!R$2)</f>
        <v>0</v>
      </c>
      <c r="S371" s="82">
        <f>COUNTIFS(Log!$D:$D,'Base Novos Clientes'!$C371,Log!$W:$W,'Base Novos Clientes'!S$2)</f>
        <v>0</v>
      </c>
      <c r="T371" s="82">
        <f>COUNTIFS(Log!$D:$D,'Base Novos Clientes'!$C371,Log!$W:$W,'Base Novos Clientes'!T$2)</f>
        <v>0</v>
      </c>
    </row>
    <row r="372" spans="3:20" x14ac:dyDescent="0.25">
      <c r="C372" s="75"/>
      <c r="D372" s="75"/>
      <c r="E372" s="75"/>
      <c r="F372" s="75"/>
      <c r="G372" s="76"/>
      <c r="H372" s="77"/>
      <c r="I372" s="78"/>
      <c r="J372" s="79"/>
      <c r="K372" s="79" t="str">
        <f ca="1">IF(J372="","NOVO",_xlfn.XLOOKUP(TODAY()-J372,Regras!$C$3:$C$10,Regras!$D$3:$D$10,,1))</f>
        <v>NOVO</v>
      </c>
      <c r="L372" s="75" t="str">
        <f t="shared" si="5"/>
        <v/>
      </c>
      <c r="M372" s="80" t="str">
        <f>IFERROR(IF(Tabela13[[#This Row],[NOME FANTASIA]]="","",_xlfn.XLOOKUP($C372,Log!D:D,Log!B:B,,,-1)),"")</f>
        <v/>
      </c>
      <c r="N372" s="81" t="str">
        <f>IFERROR(_xlfn.XLOOKUP($C372,Log!D:D,Log!W:W,,,-1),"")</f>
        <v/>
      </c>
      <c r="O372" s="81">
        <f>IFERROR(_xlfn.XLOOKUP($C372,Log!D:D,Log!Y:Y,,,-1),"")</f>
        <v>0</v>
      </c>
      <c r="Q372" s="69" t="str">
        <f>IFERROR(IF(Tabela13[[#This Row],[NOME FANTASIA]]="","",_xlfn.XLOOKUP($C372,Log!D:D,Log!X:X,,,-1)),"")</f>
        <v/>
      </c>
      <c r="R372" s="82">
        <f>COUNTIFS(Log!$D:$D,'Base Novos Clientes'!$C372,Log!$W:$W,'Base Novos Clientes'!R$2)</f>
        <v>0</v>
      </c>
      <c r="S372" s="82">
        <f>COUNTIFS(Log!$D:$D,'Base Novos Clientes'!$C372,Log!$W:$W,'Base Novos Clientes'!S$2)</f>
        <v>0</v>
      </c>
      <c r="T372" s="82">
        <f>COUNTIFS(Log!$D:$D,'Base Novos Clientes'!$C372,Log!$W:$W,'Base Novos Clientes'!T$2)</f>
        <v>0</v>
      </c>
    </row>
    <row r="373" spans="3:20" x14ac:dyDescent="0.25">
      <c r="C373" s="75"/>
      <c r="D373" s="75"/>
      <c r="E373" s="75"/>
      <c r="F373" s="75"/>
      <c r="G373" s="76"/>
      <c r="H373" s="77"/>
      <c r="I373" s="78"/>
      <c r="J373" s="79"/>
      <c r="K373" s="79" t="str">
        <f ca="1">IF(J373="","NOVO",_xlfn.XLOOKUP(TODAY()-J373,Regras!$C$3:$C$10,Regras!$D$3:$D$10,,1))</f>
        <v>NOVO</v>
      </c>
      <c r="L373" s="75" t="str">
        <f t="shared" si="5"/>
        <v/>
      </c>
      <c r="M373" s="80" t="str">
        <f>IFERROR(IF(Tabela13[[#This Row],[NOME FANTASIA]]="","",_xlfn.XLOOKUP($C373,Log!D:D,Log!B:B,,,-1)),"")</f>
        <v/>
      </c>
      <c r="N373" s="81" t="str">
        <f>IFERROR(_xlfn.XLOOKUP($C373,Log!D:D,Log!W:W,,,-1),"")</f>
        <v/>
      </c>
      <c r="O373" s="81">
        <f>IFERROR(_xlfn.XLOOKUP($C373,Log!D:D,Log!Y:Y,,,-1),"")</f>
        <v>0</v>
      </c>
      <c r="Q373" s="69" t="str">
        <f>IFERROR(IF(Tabela13[[#This Row],[NOME FANTASIA]]="","",_xlfn.XLOOKUP($C373,Log!D:D,Log!X:X,,,-1)),"")</f>
        <v/>
      </c>
      <c r="R373" s="82">
        <f>COUNTIFS(Log!$D:$D,'Base Novos Clientes'!$C373,Log!$W:$W,'Base Novos Clientes'!R$2)</f>
        <v>0</v>
      </c>
      <c r="S373" s="82">
        <f>COUNTIFS(Log!$D:$D,'Base Novos Clientes'!$C373,Log!$W:$W,'Base Novos Clientes'!S$2)</f>
        <v>0</v>
      </c>
      <c r="T373" s="82">
        <f>COUNTIFS(Log!$D:$D,'Base Novos Clientes'!$C373,Log!$W:$W,'Base Novos Clientes'!T$2)</f>
        <v>0</v>
      </c>
    </row>
    <row r="374" spans="3:20" x14ac:dyDescent="0.25">
      <c r="C374" s="75"/>
      <c r="D374" s="75"/>
      <c r="E374" s="75"/>
      <c r="F374" s="75"/>
      <c r="G374" s="76"/>
      <c r="H374" s="77"/>
      <c r="I374" s="78"/>
      <c r="J374" s="79"/>
      <c r="K374" s="79" t="str">
        <f ca="1">IF(J374="","NOVO",_xlfn.XLOOKUP(TODAY()-J374,Regras!$C$3:$C$10,Regras!$D$3:$D$10,,1))</f>
        <v>NOVO</v>
      </c>
      <c r="L374" s="75" t="str">
        <f t="shared" si="5"/>
        <v/>
      </c>
      <c r="M374" s="80" t="str">
        <f>IFERROR(IF(Tabela13[[#This Row],[NOME FANTASIA]]="","",_xlfn.XLOOKUP($C374,Log!D:D,Log!B:B,,,-1)),"")</f>
        <v/>
      </c>
      <c r="N374" s="81" t="str">
        <f>IFERROR(_xlfn.XLOOKUP($C374,Log!D:D,Log!W:W,,,-1),"")</f>
        <v/>
      </c>
      <c r="O374" s="81">
        <f>IFERROR(_xlfn.XLOOKUP($C374,Log!D:D,Log!Y:Y,,,-1),"")</f>
        <v>0</v>
      </c>
      <c r="Q374" s="69" t="str">
        <f>IFERROR(IF(Tabela13[[#This Row],[NOME FANTASIA]]="","",_xlfn.XLOOKUP($C374,Log!D:D,Log!X:X,,,-1)),"")</f>
        <v/>
      </c>
      <c r="R374" s="82">
        <f>COUNTIFS(Log!$D:$D,'Base Novos Clientes'!$C374,Log!$W:$W,'Base Novos Clientes'!R$2)</f>
        <v>0</v>
      </c>
      <c r="S374" s="82">
        <f>COUNTIFS(Log!$D:$D,'Base Novos Clientes'!$C374,Log!$W:$W,'Base Novos Clientes'!S$2)</f>
        <v>0</v>
      </c>
      <c r="T374" s="82">
        <f>COUNTIFS(Log!$D:$D,'Base Novos Clientes'!$C374,Log!$W:$W,'Base Novos Clientes'!T$2)</f>
        <v>0</v>
      </c>
    </row>
    <row r="375" spans="3:20" x14ac:dyDescent="0.25">
      <c r="C375" s="75"/>
      <c r="D375" s="75"/>
      <c r="E375" s="75"/>
      <c r="F375" s="75"/>
      <c r="G375" s="76"/>
      <c r="H375" s="77"/>
      <c r="I375" s="78"/>
      <c r="J375" s="79"/>
      <c r="K375" s="79" t="str">
        <f ca="1">IF(J375="","NOVO",_xlfn.XLOOKUP(TODAY()-J375,Regras!$C$3:$C$10,Regras!$D$3:$D$10,,1))</f>
        <v>NOVO</v>
      </c>
      <c r="L375" s="75" t="str">
        <f t="shared" si="5"/>
        <v/>
      </c>
      <c r="M375" s="80" t="str">
        <f>IFERROR(IF(Tabela13[[#This Row],[NOME FANTASIA]]="","",_xlfn.XLOOKUP($C375,Log!D:D,Log!B:B,,,-1)),"")</f>
        <v/>
      </c>
      <c r="N375" s="81" t="str">
        <f>IFERROR(_xlfn.XLOOKUP($C375,Log!D:D,Log!W:W,,,-1),"")</f>
        <v/>
      </c>
      <c r="O375" s="81">
        <f>IFERROR(_xlfn.XLOOKUP($C375,Log!D:D,Log!Y:Y,,,-1),"")</f>
        <v>0</v>
      </c>
      <c r="Q375" s="69" t="str">
        <f>IFERROR(IF(Tabela13[[#This Row],[NOME FANTASIA]]="","",_xlfn.XLOOKUP($C375,Log!D:D,Log!X:X,,,-1)),"")</f>
        <v/>
      </c>
      <c r="R375" s="82">
        <f>COUNTIFS(Log!$D:$D,'Base Novos Clientes'!$C375,Log!$W:$W,'Base Novos Clientes'!R$2)</f>
        <v>0</v>
      </c>
      <c r="S375" s="82">
        <f>COUNTIFS(Log!$D:$D,'Base Novos Clientes'!$C375,Log!$W:$W,'Base Novos Clientes'!S$2)</f>
        <v>0</v>
      </c>
      <c r="T375" s="82">
        <f>COUNTIFS(Log!$D:$D,'Base Novos Clientes'!$C375,Log!$W:$W,'Base Novos Clientes'!T$2)</f>
        <v>0</v>
      </c>
    </row>
    <row r="376" spans="3:20" x14ac:dyDescent="0.25">
      <c r="C376" s="75"/>
      <c r="D376" s="75"/>
      <c r="E376" s="75"/>
      <c r="F376" s="75"/>
      <c r="G376" s="76"/>
      <c r="H376" s="77"/>
      <c r="I376" s="78"/>
      <c r="J376" s="79"/>
      <c r="K376" s="79" t="str">
        <f ca="1">IF(J376="","NOVO",_xlfn.XLOOKUP(TODAY()-J376,Regras!$C$3:$C$10,Regras!$D$3:$D$10,,1))</f>
        <v>NOVO</v>
      </c>
      <c r="L376" s="75" t="str">
        <f t="shared" si="5"/>
        <v/>
      </c>
      <c r="M376" s="80" t="str">
        <f>IFERROR(IF(Tabela13[[#This Row],[NOME FANTASIA]]="","",_xlfn.XLOOKUP($C376,Log!D:D,Log!B:B,,,-1)),"")</f>
        <v/>
      </c>
      <c r="N376" s="81" t="str">
        <f>IFERROR(_xlfn.XLOOKUP($C376,Log!D:D,Log!W:W,,,-1),"")</f>
        <v/>
      </c>
      <c r="O376" s="81">
        <f>IFERROR(_xlfn.XLOOKUP($C376,Log!D:D,Log!Y:Y,,,-1),"")</f>
        <v>0</v>
      </c>
      <c r="Q376" s="69" t="str">
        <f>IFERROR(IF(Tabela13[[#This Row],[NOME FANTASIA]]="","",_xlfn.XLOOKUP($C376,Log!D:D,Log!X:X,,,-1)),"")</f>
        <v/>
      </c>
      <c r="R376" s="82">
        <f>COUNTIFS(Log!$D:$D,'Base Novos Clientes'!$C376,Log!$W:$W,'Base Novos Clientes'!R$2)</f>
        <v>0</v>
      </c>
      <c r="S376" s="82">
        <f>COUNTIFS(Log!$D:$D,'Base Novos Clientes'!$C376,Log!$W:$W,'Base Novos Clientes'!S$2)</f>
        <v>0</v>
      </c>
      <c r="T376" s="82">
        <f>COUNTIFS(Log!$D:$D,'Base Novos Clientes'!$C376,Log!$W:$W,'Base Novos Clientes'!T$2)</f>
        <v>0</v>
      </c>
    </row>
    <row r="377" spans="3:20" x14ac:dyDescent="0.25">
      <c r="C377" s="75"/>
      <c r="D377" s="75"/>
      <c r="E377" s="75"/>
      <c r="F377" s="75"/>
      <c r="G377" s="76"/>
      <c r="H377" s="77"/>
      <c r="I377" s="78"/>
      <c r="J377" s="79"/>
      <c r="K377" s="79" t="str">
        <f ca="1">IF(J377="","NOVO",_xlfn.XLOOKUP(TODAY()-J377,Regras!$C$3:$C$10,Regras!$D$3:$D$10,,1))</f>
        <v>NOVO</v>
      </c>
      <c r="L377" s="75" t="str">
        <f t="shared" si="5"/>
        <v/>
      </c>
      <c r="M377" s="80" t="str">
        <f>IFERROR(IF(Tabela13[[#This Row],[NOME FANTASIA]]="","",_xlfn.XLOOKUP($C377,Log!D:D,Log!B:B,,,-1)),"")</f>
        <v/>
      </c>
      <c r="N377" s="81" t="str">
        <f>IFERROR(_xlfn.XLOOKUP($C377,Log!D:D,Log!W:W,,,-1),"")</f>
        <v/>
      </c>
      <c r="O377" s="81">
        <f>IFERROR(_xlfn.XLOOKUP($C377,Log!D:D,Log!Y:Y,,,-1),"")</f>
        <v>0</v>
      </c>
      <c r="Q377" s="69" t="str">
        <f>IFERROR(IF(Tabela13[[#This Row],[NOME FANTASIA]]="","",_xlfn.XLOOKUP($C377,Log!D:D,Log!X:X,,,-1)),"")</f>
        <v/>
      </c>
      <c r="R377" s="82">
        <f>COUNTIFS(Log!$D:$D,'Base Novos Clientes'!$C377,Log!$W:$W,'Base Novos Clientes'!R$2)</f>
        <v>0</v>
      </c>
      <c r="S377" s="82">
        <f>COUNTIFS(Log!$D:$D,'Base Novos Clientes'!$C377,Log!$W:$W,'Base Novos Clientes'!S$2)</f>
        <v>0</v>
      </c>
      <c r="T377" s="82">
        <f>COUNTIFS(Log!$D:$D,'Base Novos Clientes'!$C377,Log!$W:$W,'Base Novos Clientes'!T$2)</f>
        <v>0</v>
      </c>
    </row>
    <row r="378" spans="3:20" x14ac:dyDescent="0.25">
      <c r="C378" s="75"/>
      <c r="D378" s="75"/>
      <c r="E378" s="75"/>
      <c r="F378" s="75"/>
      <c r="G378" s="76"/>
      <c r="H378" s="77"/>
      <c r="I378" s="78"/>
      <c r="J378" s="79"/>
      <c r="K378" s="79" t="str">
        <f ca="1">IF(J378="","NOVO",_xlfn.XLOOKUP(TODAY()-J378,Regras!$C$3:$C$10,Regras!$D$3:$D$10,,1))</f>
        <v>NOVO</v>
      </c>
      <c r="L378" s="75" t="str">
        <f t="shared" si="5"/>
        <v/>
      </c>
      <c r="M378" s="80" t="str">
        <f>IFERROR(IF(Tabela13[[#This Row],[NOME FANTASIA]]="","",_xlfn.XLOOKUP($C378,Log!D:D,Log!B:B,,,-1)),"")</f>
        <v/>
      </c>
      <c r="N378" s="81" t="str">
        <f>IFERROR(_xlfn.XLOOKUP($C378,Log!D:D,Log!W:W,,,-1),"")</f>
        <v/>
      </c>
      <c r="O378" s="81">
        <f>IFERROR(_xlfn.XLOOKUP($C378,Log!D:D,Log!Y:Y,,,-1),"")</f>
        <v>0</v>
      </c>
      <c r="Q378" s="69" t="str">
        <f>IFERROR(IF(Tabela13[[#This Row],[NOME FANTASIA]]="","",_xlfn.XLOOKUP($C378,Log!D:D,Log!X:X,,,-1)),"")</f>
        <v/>
      </c>
      <c r="R378" s="82">
        <f>COUNTIFS(Log!$D:$D,'Base Novos Clientes'!$C378,Log!$W:$W,'Base Novos Clientes'!R$2)</f>
        <v>0</v>
      </c>
      <c r="S378" s="82">
        <f>COUNTIFS(Log!$D:$D,'Base Novos Clientes'!$C378,Log!$W:$W,'Base Novos Clientes'!S$2)</f>
        <v>0</v>
      </c>
      <c r="T378" s="82">
        <f>COUNTIFS(Log!$D:$D,'Base Novos Clientes'!$C378,Log!$W:$W,'Base Novos Clientes'!T$2)</f>
        <v>0</v>
      </c>
    </row>
    <row r="379" spans="3:20" x14ac:dyDescent="0.25">
      <c r="C379" s="75"/>
      <c r="D379" s="75"/>
      <c r="E379" s="75"/>
      <c r="F379" s="75"/>
      <c r="G379" s="76"/>
      <c r="H379" s="77"/>
      <c r="I379" s="78"/>
      <c r="J379" s="79"/>
      <c r="K379" s="79" t="str">
        <f ca="1">IF(J379="","NOVO",_xlfn.XLOOKUP(TODAY()-J379,Regras!$C$3:$C$10,Regras!$D$3:$D$10,,1))</f>
        <v>NOVO</v>
      </c>
      <c r="L379" s="75" t="str">
        <f t="shared" si="5"/>
        <v/>
      </c>
      <c r="M379" s="80" t="str">
        <f>IFERROR(IF(Tabela13[[#This Row],[NOME FANTASIA]]="","",_xlfn.XLOOKUP($C379,Log!D:D,Log!B:B,,,-1)),"")</f>
        <v/>
      </c>
      <c r="N379" s="81" t="str">
        <f>IFERROR(_xlfn.XLOOKUP($C379,Log!D:D,Log!W:W,,,-1),"")</f>
        <v/>
      </c>
      <c r="O379" s="81">
        <f>IFERROR(_xlfn.XLOOKUP($C379,Log!D:D,Log!Y:Y,,,-1),"")</f>
        <v>0</v>
      </c>
      <c r="Q379" s="69" t="str">
        <f>IFERROR(IF(Tabela13[[#This Row],[NOME FANTASIA]]="","",_xlfn.XLOOKUP($C379,Log!D:D,Log!X:X,,,-1)),"")</f>
        <v/>
      </c>
      <c r="R379" s="82">
        <f>COUNTIFS(Log!$D:$D,'Base Novos Clientes'!$C379,Log!$W:$W,'Base Novos Clientes'!R$2)</f>
        <v>0</v>
      </c>
      <c r="S379" s="82">
        <f>COUNTIFS(Log!$D:$D,'Base Novos Clientes'!$C379,Log!$W:$W,'Base Novos Clientes'!S$2)</f>
        <v>0</v>
      </c>
      <c r="T379" s="82">
        <f>COUNTIFS(Log!$D:$D,'Base Novos Clientes'!$C379,Log!$W:$W,'Base Novos Clientes'!T$2)</f>
        <v>0</v>
      </c>
    </row>
    <row r="380" spans="3:20" x14ac:dyDescent="0.25">
      <c r="C380" s="75"/>
      <c r="D380" s="75"/>
      <c r="E380" s="75"/>
      <c r="F380" s="75"/>
      <c r="G380" s="76"/>
      <c r="H380" s="77"/>
      <c r="I380" s="78"/>
      <c r="J380" s="79"/>
      <c r="K380" s="79" t="str">
        <f ca="1">IF(J380="","NOVO",_xlfn.XLOOKUP(TODAY()-J380,Regras!$C$3:$C$10,Regras!$D$3:$D$10,,1))</f>
        <v>NOVO</v>
      </c>
      <c r="L380" s="75" t="str">
        <f t="shared" si="5"/>
        <v/>
      </c>
      <c r="M380" s="80" t="str">
        <f>IFERROR(IF(Tabela13[[#This Row],[NOME FANTASIA]]="","",_xlfn.XLOOKUP($C380,Log!D:D,Log!B:B,,,-1)),"")</f>
        <v/>
      </c>
      <c r="N380" s="81" t="str">
        <f>IFERROR(_xlfn.XLOOKUP($C380,Log!D:D,Log!W:W,,,-1),"")</f>
        <v/>
      </c>
      <c r="O380" s="81">
        <f>IFERROR(_xlfn.XLOOKUP($C380,Log!D:D,Log!Y:Y,,,-1),"")</f>
        <v>0</v>
      </c>
      <c r="Q380" s="69" t="str">
        <f>IFERROR(IF(Tabela13[[#This Row],[NOME FANTASIA]]="","",_xlfn.XLOOKUP($C380,Log!D:D,Log!X:X,,,-1)),"")</f>
        <v/>
      </c>
      <c r="R380" s="82">
        <f>COUNTIFS(Log!$D:$D,'Base Novos Clientes'!$C380,Log!$W:$W,'Base Novos Clientes'!R$2)</f>
        <v>0</v>
      </c>
      <c r="S380" s="82">
        <f>COUNTIFS(Log!$D:$D,'Base Novos Clientes'!$C380,Log!$W:$W,'Base Novos Clientes'!S$2)</f>
        <v>0</v>
      </c>
      <c r="T380" s="82">
        <f>COUNTIFS(Log!$D:$D,'Base Novos Clientes'!$C380,Log!$W:$W,'Base Novos Clientes'!T$2)</f>
        <v>0</v>
      </c>
    </row>
    <row r="381" spans="3:20" x14ac:dyDescent="0.25">
      <c r="C381" s="75"/>
      <c r="D381" s="75"/>
      <c r="E381" s="75"/>
      <c r="F381" s="75"/>
      <c r="G381" s="76"/>
      <c r="H381" s="77"/>
      <c r="I381" s="78"/>
      <c r="J381" s="79"/>
      <c r="K381" s="79" t="str">
        <f ca="1">IF(J381="","NOVO",_xlfn.XLOOKUP(TODAY()-J381,Regras!$C$3:$C$10,Regras!$D$3:$D$10,,1))</f>
        <v>NOVO</v>
      </c>
      <c r="L381" s="75" t="str">
        <f t="shared" si="5"/>
        <v/>
      </c>
      <c r="M381" s="80" t="str">
        <f>IFERROR(IF(Tabela13[[#This Row],[NOME FANTASIA]]="","",_xlfn.XLOOKUP($C381,Log!D:D,Log!B:B,,,-1)),"")</f>
        <v/>
      </c>
      <c r="N381" s="81" t="str">
        <f>IFERROR(_xlfn.XLOOKUP($C381,Log!D:D,Log!W:W,,,-1),"")</f>
        <v/>
      </c>
      <c r="O381" s="81">
        <f>IFERROR(_xlfn.XLOOKUP($C381,Log!D:D,Log!Y:Y,,,-1),"")</f>
        <v>0</v>
      </c>
      <c r="Q381" s="69" t="str">
        <f>IFERROR(IF(Tabela13[[#This Row],[NOME FANTASIA]]="","",_xlfn.XLOOKUP($C381,Log!D:D,Log!X:X,,,-1)),"")</f>
        <v/>
      </c>
      <c r="R381" s="82">
        <f>COUNTIFS(Log!$D:$D,'Base Novos Clientes'!$C381,Log!$W:$W,'Base Novos Clientes'!R$2)</f>
        <v>0</v>
      </c>
      <c r="S381" s="82">
        <f>COUNTIFS(Log!$D:$D,'Base Novos Clientes'!$C381,Log!$W:$W,'Base Novos Clientes'!S$2)</f>
        <v>0</v>
      </c>
      <c r="T381" s="82">
        <f>COUNTIFS(Log!$D:$D,'Base Novos Clientes'!$C381,Log!$W:$W,'Base Novos Clientes'!T$2)</f>
        <v>0</v>
      </c>
    </row>
    <row r="382" spans="3:20" x14ac:dyDescent="0.25">
      <c r="C382" s="75"/>
      <c r="D382" s="75"/>
      <c r="E382" s="75"/>
      <c r="F382" s="75"/>
      <c r="G382" s="76"/>
      <c r="H382" s="77"/>
      <c r="I382" s="78"/>
      <c r="J382" s="79"/>
      <c r="K382" s="79" t="str">
        <f ca="1">IF(J382="","NOVO",_xlfn.XLOOKUP(TODAY()-J382,Regras!$C$3:$C$10,Regras!$D$3:$D$10,,1))</f>
        <v>NOVO</v>
      </c>
      <c r="L382" s="75" t="str">
        <f t="shared" si="5"/>
        <v/>
      </c>
      <c r="M382" s="80" t="str">
        <f>IFERROR(IF(Tabela13[[#This Row],[NOME FANTASIA]]="","",_xlfn.XLOOKUP($C382,Log!D:D,Log!B:B,,,-1)),"")</f>
        <v/>
      </c>
      <c r="N382" s="81" t="str">
        <f>IFERROR(_xlfn.XLOOKUP($C382,Log!D:D,Log!W:W,,,-1),"")</f>
        <v/>
      </c>
      <c r="O382" s="81">
        <f>IFERROR(_xlfn.XLOOKUP($C382,Log!D:D,Log!Y:Y,,,-1),"")</f>
        <v>0</v>
      </c>
      <c r="Q382" s="69" t="str">
        <f>IFERROR(IF(Tabela13[[#This Row],[NOME FANTASIA]]="","",_xlfn.XLOOKUP($C382,Log!D:D,Log!X:X,,,-1)),"")</f>
        <v/>
      </c>
      <c r="R382" s="82">
        <f>COUNTIFS(Log!$D:$D,'Base Novos Clientes'!$C382,Log!$W:$W,'Base Novos Clientes'!R$2)</f>
        <v>0</v>
      </c>
      <c r="S382" s="82">
        <f>COUNTIFS(Log!$D:$D,'Base Novos Clientes'!$C382,Log!$W:$W,'Base Novos Clientes'!S$2)</f>
        <v>0</v>
      </c>
      <c r="T382" s="82">
        <f>COUNTIFS(Log!$D:$D,'Base Novos Clientes'!$C382,Log!$W:$W,'Base Novos Clientes'!T$2)</f>
        <v>0</v>
      </c>
    </row>
    <row r="383" spans="3:20" x14ac:dyDescent="0.25">
      <c r="C383" s="75"/>
      <c r="D383" s="75"/>
      <c r="E383" s="75"/>
      <c r="F383" s="75"/>
      <c r="G383" s="76"/>
      <c r="H383" s="77"/>
      <c r="I383" s="78"/>
      <c r="J383" s="79"/>
      <c r="K383" s="79" t="str">
        <f ca="1">IF(J383="","NOVO",_xlfn.XLOOKUP(TODAY()-J383,Regras!$C$3:$C$10,Regras!$D$3:$D$10,,1))</f>
        <v>NOVO</v>
      </c>
      <c r="L383" s="75" t="str">
        <f t="shared" si="5"/>
        <v/>
      </c>
      <c r="M383" s="80" t="str">
        <f>IFERROR(IF(Tabela13[[#This Row],[NOME FANTASIA]]="","",_xlfn.XLOOKUP($C383,Log!D:D,Log!B:B,,,-1)),"")</f>
        <v/>
      </c>
      <c r="N383" s="81" t="str">
        <f>IFERROR(_xlfn.XLOOKUP($C383,Log!D:D,Log!W:W,,,-1),"")</f>
        <v/>
      </c>
      <c r="O383" s="81">
        <f>IFERROR(_xlfn.XLOOKUP($C383,Log!D:D,Log!Y:Y,,,-1),"")</f>
        <v>0</v>
      </c>
      <c r="Q383" s="69" t="str">
        <f>IFERROR(IF(Tabela13[[#This Row],[NOME FANTASIA]]="","",_xlfn.XLOOKUP($C383,Log!D:D,Log!X:X,,,-1)),"")</f>
        <v/>
      </c>
      <c r="R383" s="82">
        <f>COUNTIFS(Log!$D:$D,'Base Novos Clientes'!$C383,Log!$W:$W,'Base Novos Clientes'!R$2)</f>
        <v>0</v>
      </c>
      <c r="S383" s="82">
        <f>COUNTIFS(Log!$D:$D,'Base Novos Clientes'!$C383,Log!$W:$W,'Base Novos Clientes'!S$2)</f>
        <v>0</v>
      </c>
      <c r="T383" s="82">
        <f>COUNTIFS(Log!$D:$D,'Base Novos Clientes'!$C383,Log!$W:$W,'Base Novos Clientes'!T$2)</f>
        <v>0</v>
      </c>
    </row>
    <row r="384" spans="3:20" x14ac:dyDescent="0.25">
      <c r="C384" s="75"/>
      <c r="D384" s="75"/>
      <c r="E384" s="75"/>
      <c r="F384" s="75"/>
      <c r="G384" s="76"/>
      <c r="H384" s="77"/>
      <c r="I384" s="78"/>
      <c r="J384" s="79"/>
      <c r="K384" s="79" t="str">
        <f ca="1">IF(J384="","NOVO",_xlfn.XLOOKUP(TODAY()-J384,Regras!$C$3:$C$10,Regras!$D$3:$D$10,,1))</f>
        <v>NOVO</v>
      </c>
      <c r="L384" s="75" t="str">
        <f t="shared" si="5"/>
        <v/>
      </c>
      <c r="M384" s="80" t="str">
        <f>IFERROR(IF(Tabela13[[#This Row],[NOME FANTASIA]]="","",_xlfn.XLOOKUP($C384,Log!D:D,Log!B:B,,,-1)),"")</f>
        <v/>
      </c>
      <c r="N384" s="81" t="str">
        <f>IFERROR(_xlfn.XLOOKUP($C384,Log!D:D,Log!W:W,,,-1),"")</f>
        <v/>
      </c>
      <c r="O384" s="81">
        <f>IFERROR(_xlfn.XLOOKUP($C384,Log!D:D,Log!Y:Y,,,-1),"")</f>
        <v>0</v>
      </c>
      <c r="Q384" s="69" t="str">
        <f>IFERROR(IF(Tabela13[[#This Row],[NOME FANTASIA]]="","",_xlfn.XLOOKUP($C384,Log!D:D,Log!X:X,,,-1)),"")</f>
        <v/>
      </c>
      <c r="R384" s="82">
        <f>COUNTIFS(Log!$D:$D,'Base Novos Clientes'!$C384,Log!$W:$W,'Base Novos Clientes'!R$2)</f>
        <v>0</v>
      </c>
      <c r="S384" s="82">
        <f>COUNTIFS(Log!$D:$D,'Base Novos Clientes'!$C384,Log!$W:$W,'Base Novos Clientes'!S$2)</f>
        <v>0</v>
      </c>
      <c r="T384" s="82">
        <f>COUNTIFS(Log!$D:$D,'Base Novos Clientes'!$C384,Log!$W:$W,'Base Novos Clientes'!T$2)</f>
        <v>0</v>
      </c>
    </row>
    <row r="385" spans="3:20" x14ac:dyDescent="0.25">
      <c r="C385" s="75"/>
      <c r="D385" s="75"/>
      <c r="E385" s="75"/>
      <c r="F385" s="75"/>
      <c r="G385" s="76"/>
      <c r="H385" s="77"/>
      <c r="I385" s="78"/>
      <c r="J385" s="79"/>
      <c r="K385" s="79" t="str">
        <f ca="1">IF(J385="","NOVO",_xlfn.XLOOKUP(TODAY()-J385,Regras!$C$3:$C$10,Regras!$D$3:$D$10,,1))</f>
        <v>NOVO</v>
      </c>
      <c r="L385" s="75" t="str">
        <f t="shared" si="5"/>
        <v/>
      </c>
      <c r="M385" s="80" t="str">
        <f>IFERROR(IF(Tabela13[[#This Row],[NOME FANTASIA]]="","",_xlfn.XLOOKUP($C385,Log!D:D,Log!B:B,,,-1)),"")</f>
        <v/>
      </c>
      <c r="N385" s="81" t="str">
        <f>IFERROR(_xlfn.XLOOKUP($C385,Log!D:D,Log!W:W,,,-1),"")</f>
        <v/>
      </c>
      <c r="O385" s="81">
        <f>IFERROR(_xlfn.XLOOKUP($C385,Log!D:D,Log!Y:Y,,,-1),"")</f>
        <v>0</v>
      </c>
      <c r="Q385" s="69" t="str">
        <f>IFERROR(IF(Tabela13[[#This Row],[NOME FANTASIA]]="","",_xlfn.XLOOKUP($C385,Log!D:D,Log!X:X,,,-1)),"")</f>
        <v/>
      </c>
      <c r="R385" s="82">
        <f>COUNTIFS(Log!$D:$D,'Base Novos Clientes'!$C385,Log!$W:$W,'Base Novos Clientes'!R$2)</f>
        <v>0</v>
      </c>
      <c r="S385" s="82">
        <f>COUNTIFS(Log!$D:$D,'Base Novos Clientes'!$C385,Log!$W:$W,'Base Novos Clientes'!S$2)</f>
        <v>0</v>
      </c>
      <c r="T385" s="82">
        <f>COUNTIFS(Log!$D:$D,'Base Novos Clientes'!$C385,Log!$W:$W,'Base Novos Clientes'!T$2)</f>
        <v>0</v>
      </c>
    </row>
    <row r="386" spans="3:20" x14ac:dyDescent="0.25">
      <c r="C386" s="75"/>
      <c r="D386" s="75"/>
      <c r="E386" s="75"/>
      <c r="F386" s="75"/>
      <c r="G386" s="76"/>
      <c r="H386" s="77"/>
      <c r="I386" s="78"/>
      <c r="J386" s="79"/>
      <c r="K386" s="79" t="str">
        <f ca="1">IF(J386="","NOVO",_xlfn.XLOOKUP(TODAY()-J386,Regras!$C$3:$C$10,Regras!$D$3:$D$10,,1))</f>
        <v>NOVO</v>
      </c>
      <c r="L386" s="75" t="str">
        <f t="shared" si="5"/>
        <v/>
      </c>
      <c r="M386" s="80" t="str">
        <f>IFERROR(IF(Tabela13[[#This Row],[NOME FANTASIA]]="","",_xlfn.XLOOKUP($C386,Log!D:D,Log!B:B,,,-1)),"")</f>
        <v/>
      </c>
      <c r="N386" s="81" t="str">
        <f>IFERROR(_xlfn.XLOOKUP($C386,Log!D:D,Log!W:W,,,-1),"")</f>
        <v/>
      </c>
      <c r="O386" s="81">
        <f>IFERROR(_xlfn.XLOOKUP($C386,Log!D:D,Log!Y:Y,,,-1),"")</f>
        <v>0</v>
      </c>
      <c r="Q386" s="69" t="str">
        <f>IFERROR(IF(Tabela13[[#This Row],[NOME FANTASIA]]="","",_xlfn.XLOOKUP($C386,Log!D:D,Log!X:X,,,-1)),"")</f>
        <v/>
      </c>
      <c r="R386" s="82">
        <f>COUNTIFS(Log!$D:$D,'Base Novos Clientes'!$C386,Log!$W:$W,'Base Novos Clientes'!R$2)</f>
        <v>0</v>
      </c>
      <c r="S386" s="82">
        <f>COUNTIFS(Log!$D:$D,'Base Novos Clientes'!$C386,Log!$W:$W,'Base Novos Clientes'!S$2)</f>
        <v>0</v>
      </c>
      <c r="T386" s="82">
        <f>COUNTIFS(Log!$D:$D,'Base Novos Clientes'!$C386,Log!$W:$W,'Base Novos Clientes'!T$2)</f>
        <v>0</v>
      </c>
    </row>
    <row r="387" spans="3:20" x14ac:dyDescent="0.25">
      <c r="C387" s="75"/>
      <c r="D387" s="75"/>
      <c r="E387" s="75"/>
      <c r="F387" s="75"/>
      <c r="G387" s="76"/>
      <c r="H387" s="77"/>
      <c r="I387" s="78"/>
      <c r="J387" s="79"/>
      <c r="K387" s="79" t="str">
        <f ca="1">IF(J387="","NOVO",_xlfn.XLOOKUP(TODAY()-J387,Regras!$C$3:$C$10,Regras!$D$3:$D$10,,1))</f>
        <v>NOVO</v>
      </c>
      <c r="L387" s="75" t="str">
        <f t="shared" si="5"/>
        <v/>
      </c>
      <c r="M387" s="80" t="str">
        <f>IFERROR(IF(Tabela13[[#This Row],[NOME FANTASIA]]="","",_xlfn.XLOOKUP($C387,Log!D:D,Log!B:B,,,-1)),"")</f>
        <v/>
      </c>
      <c r="N387" s="81" t="str">
        <f>IFERROR(_xlfn.XLOOKUP($C387,Log!D:D,Log!W:W,,,-1),"")</f>
        <v/>
      </c>
      <c r="O387" s="81">
        <f>IFERROR(_xlfn.XLOOKUP($C387,Log!D:D,Log!Y:Y,,,-1),"")</f>
        <v>0</v>
      </c>
      <c r="Q387" s="69" t="str">
        <f>IFERROR(IF(Tabela13[[#This Row],[NOME FANTASIA]]="","",_xlfn.XLOOKUP($C387,Log!D:D,Log!X:X,,,-1)),"")</f>
        <v/>
      </c>
      <c r="R387" s="82">
        <f>COUNTIFS(Log!$D:$D,'Base Novos Clientes'!$C387,Log!$W:$W,'Base Novos Clientes'!R$2)</f>
        <v>0</v>
      </c>
      <c r="S387" s="82">
        <f>COUNTIFS(Log!$D:$D,'Base Novos Clientes'!$C387,Log!$W:$W,'Base Novos Clientes'!S$2)</f>
        <v>0</v>
      </c>
      <c r="T387" s="82">
        <f>COUNTIFS(Log!$D:$D,'Base Novos Clientes'!$C387,Log!$W:$W,'Base Novos Clientes'!T$2)</f>
        <v>0</v>
      </c>
    </row>
    <row r="388" spans="3:20" x14ac:dyDescent="0.25">
      <c r="C388" s="75"/>
      <c r="D388" s="75"/>
      <c r="E388" s="75"/>
      <c r="F388" s="75"/>
      <c r="G388" s="76"/>
      <c r="H388" s="77"/>
      <c r="I388" s="78"/>
      <c r="J388" s="79"/>
      <c r="K388" s="79" t="str">
        <f ca="1">IF(J388="","NOVO",_xlfn.XLOOKUP(TODAY()-J388,Regras!$C$3:$C$10,Regras!$D$3:$D$10,,1))</f>
        <v>NOVO</v>
      </c>
      <c r="L388" s="75" t="str">
        <f t="shared" ref="L388:L400" si="6">IF(OR(I388&lt;=0,I388=""),"","Recompra")</f>
        <v/>
      </c>
      <c r="M388" s="80" t="str">
        <f>IFERROR(IF(Tabela13[[#This Row],[NOME FANTASIA]]="","",_xlfn.XLOOKUP($C388,Log!D:D,Log!B:B,,,-1)),"")</f>
        <v/>
      </c>
      <c r="N388" s="81" t="str">
        <f>IFERROR(_xlfn.XLOOKUP($C388,Log!D:D,Log!W:W,,,-1),"")</f>
        <v/>
      </c>
      <c r="O388" s="81">
        <f>IFERROR(_xlfn.XLOOKUP($C388,Log!D:D,Log!Y:Y,,,-1),"")</f>
        <v>0</v>
      </c>
      <c r="Q388" s="69" t="str">
        <f>IFERROR(IF(Tabela13[[#This Row],[NOME FANTASIA]]="","",_xlfn.XLOOKUP($C388,Log!D:D,Log!X:X,,,-1)),"")</f>
        <v/>
      </c>
      <c r="R388" s="82">
        <f>COUNTIFS(Log!$D:$D,'Base Novos Clientes'!$C388,Log!$W:$W,'Base Novos Clientes'!R$2)</f>
        <v>0</v>
      </c>
      <c r="S388" s="82">
        <f>COUNTIFS(Log!$D:$D,'Base Novos Clientes'!$C388,Log!$W:$W,'Base Novos Clientes'!S$2)</f>
        <v>0</v>
      </c>
      <c r="T388" s="82">
        <f>COUNTIFS(Log!$D:$D,'Base Novos Clientes'!$C388,Log!$W:$W,'Base Novos Clientes'!T$2)</f>
        <v>0</v>
      </c>
    </row>
    <row r="389" spans="3:20" x14ac:dyDescent="0.25">
      <c r="C389" s="75"/>
      <c r="D389" s="75"/>
      <c r="E389" s="75"/>
      <c r="F389" s="75"/>
      <c r="G389" s="76"/>
      <c r="H389" s="77"/>
      <c r="I389" s="78"/>
      <c r="J389" s="79"/>
      <c r="K389" s="79" t="str">
        <f ca="1">IF(J389="","NOVO",_xlfn.XLOOKUP(TODAY()-J389,Regras!$C$3:$C$10,Regras!$D$3:$D$10,,1))</f>
        <v>NOVO</v>
      </c>
      <c r="L389" s="75" t="str">
        <f t="shared" si="6"/>
        <v/>
      </c>
      <c r="M389" s="80" t="str">
        <f>IFERROR(IF(Tabela13[[#This Row],[NOME FANTASIA]]="","",_xlfn.XLOOKUP($C389,Log!D:D,Log!B:B,,,-1)),"")</f>
        <v/>
      </c>
      <c r="N389" s="81" t="str">
        <f>IFERROR(_xlfn.XLOOKUP($C389,Log!D:D,Log!W:W,,,-1),"")</f>
        <v/>
      </c>
      <c r="O389" s="81">
        <f>IFERROR(_xlfn.XLOOKUP($C389,Log!D:D,Log!Y:Y,,,-1),"")</f>
        <v>0</v>
      </c>
      <c r="Q389" s="69" t="str">
        <f>IFERROR(IF(Tabela13[[#This Row],[NOME FANTASIA]]="","",_xlfn.XLOOKUP($C389,Log!D:D,Log!X:X,,,-1)),"")</f>
        <v/>
      </c>
      <c r="R389" s="82">
        <f>COUNTIFS(Log!$D:$D,'Base Novos Clientes'!$C389,Log!$W:$W,'Base Novos Clientes'!R$2)</f>
        <v>0</v>
      </c>
      <c r="S389" s="82">
        <f>COUNTIFS(Log!$D:$D,'Base Novos Clientes'!$C389,Log!$W:$W,'Base Novos Clientes'!S$2)</f>
        <v>0</v>
      </c>
      <c r="T389" s="82">
        <f>COUNTIFS(Log!$D:$D,'Base Novos Clientes'!$C389,Log!$W:$W,'Base Novos Clientes'!T$2)</f>
        <v>0</v>
      </c>
    </row>
    <row r="390" spans="3:20" x14ac:dyDescent="0.25">
      <c r="C390" s="75"/>
      <c r="D390" s="75"/>
      <c r="E390" s="75"/>
      <c r="F390" s="75"/>
      <c r="G390" s="76"/>
      <c r="H390" s="77"/>
      <c r="I390" s="78"/>
      <c r="J390" s="79"/>
      <c r="K390" s="79" t="str">
        <f ca="1">IF(J390="","NOVO",_xlfn.XLOOKUP(TODAY()-J390,Regras!$C$3:$C$10,Regras!$D$3:$D$10,,1))</f>
        <v>NOVO</v>
      </c>
      <c r="L390" s="75" t="str">
        <f t="shared" si="6"/>
        <v/>
      </c>
      <c r="M390" s="80" t="str">
        <f>IFERROR(IF(Tabela13[[#This Row],[NOME FANTASIA]]="","",_xlfn.XLOOKUP($C390,Log!D:D,Log!B:B,,,-1)),"")</f>
        <v/>
      </c>
      <c r="N390" s="81" t="str">
        <f>IFERROR(_xlfn.XLOOKUP($C390,Log!D:D,Log!W:W,,,-1),"")</f>
        <v/>
      </c>
      <c r="O390" s="81">
        <f>IFERROR(_xlfn.XLOOKUP($C390,Log!D:D,Log!Y:Y,,,-1),"")</f>
        <v>0</v>
      </c>
      <c r="Q390" s="69" t="str">
        <f>IFERROR(IF(Tabela13[[#This Row],[NOME FANTASIA]]="","",_xlfn.XLOOKUP($C390,Log!D:D,Log!X:X,,,-1)),"")</f>
        <v/>
      </c>
      <c r="R390" s="82">
        <f>COUNTIFS(Log!$D:$D,'Base Novos Clientes'!$C390,Log!$W:$W,'Base Novos Clientes'!R$2)</f>
        <v>0</v>
      </c>
      <c r="S390" s="82">
        <f>COUNTIFS(Log!$D:$D,'Base Novos Clientes'!$C390,Log!$W:$W,'Base Novos Clientes'!S$2)</f>
        <v>0</v>
      </c>
      <c r="T390" s="82">
        <f>COUNTIFS(Log!$D:$D,'Base Novos Clientes'!$C390,Log!$W:$W,'Base Novos Clientes'!T$2)</f>
        <v>0</v>
      </c>
    </row>
    <row r="391" spans="3:20" x14ac:dyDescent="0.25">
      <c r="C391" s="75"/>
      <c r="D391" s="75"/>
      <c r="E391" s="75"/>
      <c r="F391" s="75"/>
      <c r="G391" s="76"/>
      <c r="H391" s="77"/>
      <c r="I391" s="78"/>
      <c r="J391" s="79"/>
      <c r="K391" s="79" t="str">
        <f ca="1">IF(J391="","NOVO",_xlfn.XLOOKUP(TODAY()-J391,Regras!$C$3:$C$10,Regras!$D$3:$D$10,,1))</f>
        <v>NOVO</v>
      </c>
      <c r="L391" s="75" t="str">
        <f t="shared" si="6"/>
        <v/>
      </c>
      <c r="M391" s="80" t="str">
        <f>IFERROR(IF(Tabela13[[#This Row],[NOME FANTASIA]]="","",_xlfn.XLOOKUP($C391,Log!D:D,Log!B:B,,,-1)),"")</f>
        <v/>
      </c>
      <c r="N391" s="81" t="str">
        <f>IFERROR(_xlfn.XLOOKUP($C391,Log!D:D,Log!W:W,,,-1),"")</f>
        <v/>
      </c>
      <c r="O391" s="81">
        <f>IFERROR(_xlfn.XLOOKUP($C391,Log!D:D,Log!Y:Y,,,-1),"")</f>
        <v>0</v>
      </c>
      <c r="Q391" s="69" t="str">
        <f>IFERROR(IF(Tabela13[[#This Row],[NOME FANTASIA]]="","",_xlfn.XLOOKUP($C391,Log!D:D,Log!X:X,,,-1)),"")</f>
        <v/>
      </c>
      <c r="R391" s="82">
        <f>COUNTIFS(Log!$D:$D,'Base Novos Clientes'!$C391,Log!$W:$W,'Base Novos Clientes'!R$2)</f>
        <v>0</v>
      </c>
      <c r="S391" s="82">
        <f>COUNTIFS(Log!$D:$D,'Base Novos Clientes'!$C391,Log!$W:$W,'Base Novos Clientes'!S$2)</f>
        <v>0</v>
      </c>
      <c r="T391" s="82">
        <f>COUNTIFS(Log!$D:$D,'Base Novos Clientes'!$C391,Log!$W:$W,'Base Novos Clientes'!T$2)</f>
        <v>0</v>
      </c>
    </row>
    <row r="392" spans="3:20" x14ac:dyDescent="0.25">
      <c r="C392" s="75"/>
      <c r="D392" s="75"/>
      <c r="E392" s="75"/>
      <c r="F392" s="75"/>
      <c r="G392" s="76"/>
      <c r="H392" s="77"/>
      <c r="I392" s="78"/>
      <c r="J392" s="79"/>
      <c r="K392" s="79" t="str">
        <f ca="1">IF(J392="","NOVO",_xlfn.XLOOKUP(TODAY()-J392,Regras!$C$3:$C$10,Regras!$D$3:$D$10,,1))</f>
        <v>NOVO</v>
      </c>
      <c r="L392" s="75" t="str">
        <f t="shared" si="6"/>
        <v/>
      </c>
      <c r="M392" s="80" t="str">
        <f>IFERROR(IF(Tabela13[[#This Row],[NOME FANTASIA]]="","",_xlfn.XLOOKUP($C392,Log!D:D,Log!B:B,,,-1)),"")</f>
        <v/>
      </c>
      <c r="N392" s="81" t="str">
        <f>IFERROR(_xlfn.XLOOKUP($C392,Log!D:D,Log!W:W,,,-1),"")</f>
        <v/>
      </c>
      <c r="O392" s="81">
        <f>IFERROR(_xlfn.XLOOKUP($C392,Log!D:D,Log!Y:Y,,,-1),"")</f>
        <v>0</v>
      </c>
      <c r="Q392" s="69" t="str">
        <f>IFERROR(IF(Tabela13[[#This Row],[NOME FANTASIA]]="","",_xlfn.XLOOKUP($C392,Log!D:D,Log!X:X,,,-1)),"")</f>
        <v/>
      </c>
      <c r="R392" s="82">
        <f>COUNTIFS(Log!$D:$D,'Base Novos Clientes'!$C392,Log!$W:$W,'Base Novos Clientes'!R$2)</f>
        <v>0</v>
      </c>
      <c r="S392" s="82">
        <f>COUNTIFS(Log!$D:$D,'Base Novos Clientes'!$C392,Log!$W:$W,'Base Novos Clientes'!S$2)</f>
        <v>0</v>
      </c>
      <c r="T392" s="82">
        <f>COUNTIFS(Log!$D:$D,'Base Novos Clientes'!$C392,Log!$W:$W,'Base Novos Clientes'!T$2)</f>
        <v>0</v>
      </c>
    </row>
    <row r="393" spans="3:20" x14ac:dyDescent="0.25">
      <c r="C393" s="75"/>
      <c r="D393" s="75"/>
      <c r="E393" s="75"/>
      <c r="F393" s="75"/>
      <c r="G393" s="76"/>
      <c r="H393" s="77"/>
      <c r="I393" s="78"/>
      <c r="J393" s="79"/>
      <c r="K393" s="79" t="str">
        <f ca="1">IF(J393="","NOVO",_xlfn.XLOOKUP(TODAY()-J393,Regras!$C$3:$C$10,Regras!$D$3:$D$10,,1))</f>
        <v>NOVO</v>
      </c>
      <c r="L393" s="75" t="str">
        <f t="shared" si="6"/>
        <v/>
      </c>
      <c r="M393" s="80" t="str">
        <f>IFERROR(IF(Tabela13[[#This Row],[NOME FANTASIA]]="","",_xlfn.XLOOKUP($C393,Log!D:D,Log!B:B,,,-1)),"")</f>
        <v/>
      </c>
      <c r="N393" s="81" t="str">
        <f>IFERROR(_xlfn.XLOOKUP($C393,Log!D:D,Log!W:W,,,-1),"")</f>
        <v/>
      </c>
      <c r="O393" s="81">
        <f>IFERROR(_xlfn.XLOOKUP($C393,Log!D:D,Log!Y:Y,,,-1),"")</f>
        <v>0</v>
      </c>
      <c r="Q393" s="69" t="str">
        <f>IFERROR(IF(Tabela13[[#This Row],[NOME FANTASIA]]="","",_xlfn.XLOOKUP($C393,Log!D:D,Log!X:X,,,-1)),"")</f>
        <v/>
      </c>
      <c r="R393" s="82">
        <f>COUNTIFS(Log!$D:$D,'Base Novos Clientes'!$C393,Log!$W:$W,'Base Novos Clientes'!R$2)</f>
        <v>0</v>
      </c>
      <c r="S393" s="82">
        <f>COUNTIFS(Log!$D:$D,'Base Novos Clientes'!$C393,Log!$W:$W,'Base Novos Clientes'!S$2)</f>
        <v>0</v>
      </c>
      <c r="T393" s="82">
        <f>COUNTIFS(Log!$D:$D,'Base Novos Clientes'!$C393,Log!$W:$W,'Base Novos Clientes'!T$2)</f>
        <v>0</v>
      </c>
    </row>
    <row r="394" spans="3:20" x14ac:dyDescent="0.25">
      <c r="C394" s="75"/>
      <c r="D394" s="75"/>
      <c r="E394" s="75"/>
      <c r="F394" s="75"/>
      <c r="G394" s="76"/>
      <c r="H394" s="77"/>
      <c r="I394" s="78"/>
      <c r="J394" s="79"/>
      <c r="K394" s="79" t="str">
        <f ca="1">IF(J394="","NOVO",_xlfn.XLOOKUP(TODAY()-J394,Regras!$C$3:$C$10,Regras!$D$3:$D$10,,1))</f>
        <v>NOVO</v>
      </c>
      <c r="L394" s="75" t="str">
        <f t="shared" si="6"/>
        <v/>
      </c>
      <c r="M394" s="80" t="str">
        <f>IFERROR(IF(Tabela13[[#This Row],[NOME FANTASIA]]="","",_xlfn.XLOOKUP($C394,Log!D:D,Log!B:B,,,-1)),"")</f>
        <v/>
      </c>
      <c r="N394" s="81" t="str">
        <f>IFERROR(_xlfn.XLOOKUP($C394,Log!D:D,Log!W:W,,,-1),"")</f>
        <v/>
      </c>
      <c r="O394" s="81">
        <f>IFERROR(_xlfn.XLOOKUP($C394,Log!D:D,Log!Y:Y,,,-1),"")</f>
        <v>0</v>
      </c>
      <c r="Q394" s="69" t="str">
        <f>IFERROR(IF(Tabela13[[#This Row],[NOME FANTASIA]]="","",_xlfn.XLOOKUP($C394,Log!D:D,Log!X:X,,,-1)),"")</f>
        <v/>
      </c>
      <c r="R394" s="82">
        <f>COUNTIFS(Log!$D:$D,'Base Novos Clientes'!$C394,Log!$W:$W,'Base Novos Clientes'!R$2)</f>
        <v>0</v>
      </c>
      <c r="S394" s="82">
        <f>COUNTIFS(Log!$D:$D,'Base Novos Clientes'!$C394,Log!$W:$W,'Base Novos Clientes'!S$2)</f>
        <v>0</v>
      </c>
      <c r="T394" s="82">
        <f>COUNTIFS(Log!$D:$D,'Base Novos Clientes'!$C394,Log!$W:$W,'Base Novos Clientes'!T$2)</f>
        <v>0</v>
      </c>
    </row>
    <row r="395" spans="3:20" x14ac:dyDescent="0.25">
      <c r="C395" s="75"/>
      <c r="D395" s="75"/>
      <c r="E395" s="75"/>
      <c r="F395" s="75"/>
      <c r="G395" s="76"/>
      <c r="H395" s="77"/>
      <c r="I395" s="78"/>
      <c r="J395" s="79"/>
      <c r="K395" s="79" t="str">
        <f ca="1">IF(J395="","NOVO",_xlfn.XLOOKUP(TODAY()-J395,Regras!$C$3:$C$10,Regras!$D$3:$D$10,,1))</f>
        <v>NOVO</v>
      </c>
      <c r="L395" s="75" t="str">
        <f t="shared" si="6"/>
        <v/>
      </c>
      <c r="M395" s="80" t="str">
        <f>IFERROR(IF(Tabela13[[#This Row],[NOME FANTASIA]]="","",_xlfn.XLOOKUP($C395,Log!D:D,Log!B:B,,,-1)),"")</f>
        <v/>
      </c>
      <c r="N395" s="81" t="str">
        <f>IFERROR(_xlfn.XLOOKUP($C395,Log!D:D,Log!W:W,,,-1),"")</f>
        <v/>
      </c>
      <c r="O395" s="81">
        <f>IFERROR(_xlfn.XLOOKUP($C395,Log!D:D,Log!Y:Y,,,-1),"")</f>
        <v>0</v>
      </c>
      <c r="Q395" s="69" t="str">
        <f>IFERROR(IF(Tabela13[[#This Row],[NOME FANTASIA]]="","",_xlfn.XLOOKUP($C395,Log!D:D,Log!X:X,,,-1)),"")</f>
        <v/>
      </c>
      <c r="R395" s="82">
        <f>COUNTIFS(Log!$D:$D,'Base Novos Clientes'!$C395,Log!$W:$W,'Base Novos Clientes'!R$2)</f>
        <v>0</v>
      </c>
      <c r="S395" s="82">
        <f>COUNTIFS(Log!$D:$D,'Base Novos Clientes'!$C395,Log!$W:$W,'Base Novos Clientes'!S$2)</f>
        <v>0</v>
      </c>
      <c r="T395" s="82">
        <f>COUNTIFS(Log!$D:$D,'Base Novos Clientes'!$C395,Log!$W:$W,'Base Novos Clientes'!T$2)</f>
        <v>0</v>
      </c>
    </row>
    <row r="396" spans="3:20" x14ac:dyDescent="0.25">
      <c r="C396" s="75"/>
      <c r="D396" s="75"/>
      <c r="E396" s="75"/>
      <c r="F396" s="75"/>
      <c r="G396" s="76"/>
      <c r="H396" s="77"/>
      <c r="I396" s="78"/>
      <c r="J396" s="79"/>
      <c r="K396" s="79" t="str">
        <f ca="1">IF(J396="","NOVO",_xlfn.XLOOKUP(TODAY()-J396,Regras!$C$3:$C$10,Regras!$D$3:$D$10,,1))</f>
        <v>NOVO</v>
      </c>
      <c r="L396" s="75" t="str">
        <f t="shared" si="6"/>
        <v/>
      </c>
      <c r="M396" s="80" t="str">
        <f>IFERROR(IF(Tabela13[[#This Row],[NOME FANTASIA]]="","",_xlfn.XLOOKUP($C396,Log!D:D,Log!B:B,,,-1)),"")</f>
        <v/>
      </c>
      <c r="N396" s="81" t="str">
        <f>IFERROR(_xlfn.XLOOKUP($C396,Log!D:D,Log!W:W,,,-1),"")</f>
        <v/>
      </c>
      <c r="O396" s="81">
        <f>IFERROR(_xlfn.XLOOKUP($C396,Log!D:D,Log!Y:Y,,,-1),"")</f>
        <v>0</v>
      </c>
      <c r="Q396" s="69" t="str">
        <f>IFERROR(IF(Tabela13[[#This Row],[NOME FANTASIA]]="","",_xlfn.XLOOKUP($C396,Log!D:D,Log!X:X,,,-1)),"")</f>
        <v/>
      </c>
      <c r="R396" s="82">
        <f>COUNTIFS(Log!$D:$D,'Base Novos Clientes'!$C396,Log!$W:$W,'Base Novos Clientes'!R$2)</f>
        <v>0</v>
      </c>
      <c r="S396" s="82">
        <f>COUNTIFS(Log!$D:$D,'Base Novos Clientes'!$C396,Log!$W:$W,'Base Novos Clientes'!S$2)</f>
        <v>0</v>
      </c>
      <c r="T396" s="82">
        <f>COUNTIFS(Log!$D:$D,'Base Novos Clientes'!$C396,Log!$W:$W,'Base Novos Clientes'!T$2)</f>
        <v>0</v>
      </c>
    </row>
    <row r="397" spans="3:20" x14ac:dyDescent="0.25">
      <c r="C397" s="75"/>
      <c r="D397" s="75"/>
      <c r="E397" s="75"/>
      <c r="F397" s="75"/>
      <c r="G397" s="76"/>
      <c r="H397" s="77"/>
      <c r="I397" s="78"/>
      <c r="J397" s="79"/>
      <c r="K397" s="79" t="str">
        <f ca="1">IF(J397="","NOVO",_xlfn.XLOOKUP(TODAY()-J397,Regras!$C$3:$C$10,Regras!$D$3:$D$10,,1))</f>
        <v>NOVO</v>
      </c>
      <c r="L397" s="75" t="str">
        <f t="shared" si="6"/>
        <v/>
      </c>
      <c r="M397" s="80" t="str">
        <f>IFERROR(IF(Tabela13[[#This Row],[NOME FANTASIA]]="","",_xlfn.XLOOKUP($C397,Log!D:D,Log!B:B,,,-1)),"")</f>
        <v/>
      </c>
      <c r="N397" s="81" t="str">
        <f>IFERROR(_xlfn.XLOOKUP($C397,Log!D:D,Log!W:W,,,-1),"")</f>
        <v/>
      </c>
      <c r="O397" s="81">
        <f>IFERROR(_xlfn.XLOOKUP($C397,Log!D:D,Log!Y:Y,,,-1),"")</f>
        <v>0</v>
      </c>
      <c r="Q397" s="69" t="str">
        <f>IFERROR(IF(Tabela13[[#This Row],[NOME FANTASIA]]="","",_xlfn.XLOOKUP($C397,Log!D:D,Log!X:X,,,-1)),"")</f>
        <v/>
      </c>
      <c r="R397" s="82">
        <f>COUNTIFS(Log!$D:$D,'Base Novos Clientes'!$C397,Log!$W:$W,'Base Novos Clientes'!R$2)</f>
        <v>0</v>
      </c>
      <c r="S397" s="82">
        <f>COUNTIFS(Log!$D:$D,'Base Novos Clientes'!$C397,Log!$W:$W,'Base Novos Clientes'!S$2)</f>
        <v>0</v>
      </c>
      <c r="T397" s="82">
        <f>COUNTIFS(Log!$D:$D,'Base Novos Clientes'!$C397,Log!$W:$W,'Base Novos Clientes'!T$2)</f>
        <v>0</v>
      </c>
    </row>
    <row r="398" spans="3:20" x14ac:dyDescent="0.25">
      <c r="C398" s="75"/>
      <c r="D398" s="75"/>
      <c r="E398" s="75"/>
      <c r="F398" s="75"/>
      <c r="G398" s="76"/>
      <c r="H398" s="77"/>
      <c r="I398" s="78"/>
      <c r="J398" s="79"/>
      <c r="K398" s="79" t="str">
        <f ca="1">IF(J398="","NOVO",_xlfn.XLOOKUP(TODAY()-J398,Regras!$C$3:$C$10,Regras!$D$3:$D$10,,1))</f>
        <v>NOVO</v>
      </c>
      <c r="L398" s="75" t="str">
        <f t="shared" si="6"/>
        <v/>
      </c>
      <c r="M398" s="80" t="str">
        <f>IFERROR(IF(Tabela13[[#This Row],[NOME FANTASIA]]="","",_xlfn.XLOOKUP($C398,Log!D:D,Log!B:B,,,-1)),"")</f>
        <v/>
      </c>
      <c r="N398" s="81" t="str">
        <f>IFERROR(_xlfn.XLOOKUP($C398,Log!D:D,Log!W:W,,,-1),"")</f>
        <v/>
      </c>
      <c r="O398" s="81">
        <f>IFERROR(_xlfn.XLOOKUP($C398,Log!D:D,Log!Y:Y,,,-1),"")</f>
        <v>0</v>
      </c>
      <c r="Q398" s="69" t="str">
        <f>IFERROR(IF(Tabela13[[#This Row],[NOME FANTASIA]]="","",_xlfn.XLOOKUP($C398,Log!D:D,Log!X:X,,,-1)),"")</f>
        <v/>
      </c>
      <c r="R398" s="82">
        <f>COUNTIFS(Log!$D:$D,'Base Novos Clientes'!$C398,Log!$W:$W,'Base Novos Clientes'!R$2)</f>
        <v>0</v>
      </c>
      <c r="S398" s="82">
        <f>COUNTIFS(Log!$D:$D,'Base Novos Clientes'!$C398,Log!$W:$W,'Base Novos Clientes'!S$2)</f>
        <v>0</v>
      </c>
      <c r="T398" s="82">
        <f>COUNTIFS(Log!$D:$D,'Base Novos Clientes'!$C398,Log!$W:$W,'Base Novos Clientes'!T$2)</f>
        <v>0</v>
      </c>
    </row>
    <row r="399" spans="3:20" x14ac:dyDescent="0.25">
      <c r="C399" s="75"/>
      <c r="D399" s="75"/>
      <c r="E399" s="75"/>
      <c r="F399" s="75"/>
      <c r="G399" s="76"/>
      <c r="H399" s="77"/>
      <c r="I399" s="78"/>
      <c r="J399" s="79"/>
      <c r="K399" s="79" t="str">
        <f ca="1">IF(J399="","NOVO",_xlfn.XLOOKUP(TODAY()-J399,Regras!$C$3:$C$10,Regras!$D$3:$D$10,,1))</f>
        <v>NOVO</v>
      </c>
      <c r="L399" s="75" t="str">
        <f t="shared" si="6"/>
        <v/>
      </c>
      <c r="M399" s="80" t="str">
        <f>IFERROR(IF(Tabela13[[#This Row],[NOME FANTASIA]]="","",_xlfn.XLOOKUP($C399,Log!D:D,Log!B:B,,,-1)),"")</f>
        <v/>
      </c>
      <c r="N399" s="81" t="str">
        <f>IFERROR(_xlfn.XLOOKUP($C399,Log!D:D,Log!W:W,,,-1),"")</f>
        <v/>
      </c>
      <c r="O399" s="81">
        <f>IFERROR(_xlfn.XLOOKUP($C399,Log!D:D,Log!Y:Y,,,-1),"")</f>
        <v>0</v>
      </c>
      <c r="Q399" s="69" t="str">
        <f>IFERROR(IF(Tabela13[[#This Row],[NOME FANTASIA]]="","",_xlfn.XLOOKUP($C399,Log!D:D,Log!X:X,,,-1)),"")</f>
        <v/>
      </c>
      <c r="R399" s="82">
        <f>COUNTIFS(Log!$D:$D,'Base Novos Clientes'!$C399,Log!$W:$W,'Base Novos Clientes'!R$2)</f>
        <v>0</v>
      </c>
      <c r="S399" s="82">
        <f>COUNTIFS(Log!$D:$D,'Base Novos Clientes'!$C399,Log!$W:$W,'Base Novos Clientes'!S$2)</f>
        <v>0</v>
      </c>
      <c r="T399" s="82">
        <f>COUNTIFS(Log!$D:$D,'Base Novos Clientes'!$C399,Log!$W:$W,'Base Novos Clientes'!T$2)</f>
        <v>0</v>
      </c>
    </row>
    <row r="400" spans="3:20" x14ac:dyDescent="0.25">
      <c r="C400" s="75"/>
      <c r="D400" s="75"/>
      <c r="E400" s="75"/>
      <c r="F400" s="75"/>
      <c r="G400" s="76"/>
      <c r="H400" s="77"/>
      <c r="I400" s="78"/>
      <c r="J400" s="79"/>
      <c r="K400" s="79" t="str">
        <f ca="1">IF(J400="","NOVO",_xlfn.XLOOKUP(TODAY()-J400,Regras!$C$3:$C$10,Regras!$D$3:$D$10,,1))</f>
        <v>NOVO</v>
      </c>
      <c r="L400" s="75" t="str">
        <f t="shared" si="6"/>
        <v/>
      </c>
      <c r="M400" s="80" t="str">
        <f>IFERROR(IF(Tabela13[[#This Row],[NOME FANTASIA]]="","",_xlfn.XLOOKUP($C400,Log!D:D,Log!B:B,,,-1)),"")</f>
        <v/>
      </c>
      <c r="N400" s="81" t="str">
        <f>IFERROR(_xlfn.XLOOKUP($C400,Log!D:D,Log!W:W,,,-1),"")</f>
        <v/>
      </c>
      <c r="O400" s="81">
        <f>IFERROR(_xlfn.XLOOKUP($C400,Log!D:D,Log!Y:Y,,,-1),"")</f>
        <v>0</v>
      </c>
      <c r="Q400" s="69" t="str">
        <f>IFERROR(IF(Tabela13[[#This Row],[NOME FANTASIA]]="","",_xlfn.XLOOKUP($C400,Log!D:D,Log!X:X,,,-1)),"")</f>
        <v/>
      </c>
      <c r="R400" s="82">
        <f>COUNTIFS(Log!$D:$D,'Base Novos Clientes'!$C400,Log!$W:$W,'Base Novos Clientes'!R$2)</f>
        <v>0</v>
      </c>
      <c r="S400" s="82">
        <f>COUNTIFS(Log!$D:$D,'Base Novos Clientes'!$C400,Log!$W:$W,'Base Novos Clientes'!S$2)</f>
        <v>0</v>
      </c>
      <c r="T400" s="82">
        <f>COUNTIFS(Log!$D:$D,'Base Novos Clientes'!$C400,Log!$W:$W,'Base Novos Clientes'!T$2)</f>
        <v>0</v>
      </c>
    </row>
  </sheetData>
  <conditionalFormatting sqref="Q3:Q400 C3:O400">
    <cfRule type="expression" dxfId="1" priority="2">
      <formula>$Q3&lt;=TODAY()</formula>
    </cfRule>
  </conditionalFormatting>
  <conditionalFormatting sqref="Q3:Q400">
    <cfRule type="expression" dxfId="0" priority="1">
      <formula>$Q3&lt;TODAY()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2E3248-6927-4337-B7BF-07049EE9C7CC}">
          <x14:formula1>
            <xm:f>Regras!$D$3:$D$11</xm:f>
          </x14:formula1>
          <xm:sqref>K3:K1048576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999AD-E473-4229-B60B-E3C1EF2569BA}">
  <dimension ref="C1:V14"/>
  <sheetViews>
    <sheetView showGridLines="0" zoomScaleNormal="100" workbookViewId="0">
      <selection activeCell="L22" sqref="L22"/>
    </sheetView>
  </sheetViews>
  <sheetFormatPr defaultRowHeight="12.75" x14ac:dyDescent="0.2"/>
  <cols>
    <col min="1" max="2" width="0.5703125" customWidth="1"/>
    <col min="3" max="3" width="26.85546875" customWidth="1"/>
    <col min="4" max="4" width="7.140625" customWidth="1"/>
    <col min="5" max="5" width="2.28515625" customWidth="1"/>
    <col min="6" max="9" width="11.42578125" customWidth="1"/>
    <col min="10" max="10" width="1.5703125" customWidth="1"/>
    <col min="11" max="14" width="11.42578125" customWidth="1"/>
    <col min="15" max="15" width="2.5703125" customWidth="1"/>
    <col min="16" max="17" width="11.42578125" customWidth="1"/>
    <col min="18" max="18" width="1.42578125" customWidth="1"/>
    <col min="19" max="20" width="11.42578125" customWidth="1"/>
    <col min="21" max="21" width="16" bestFit="1" customWidth="1"/>
    <col min="22" max="24" width="14" customWidth="1"/>
    <col min="25" max="25" width="9.85546875" bestFit="1" customWidth="1"/>
    <col min="26" max="26" width="17.85546875" bestFit="1" customWidth="1"/>
  </cols>
  <sheetData>
    <row r="1" spans="3:22" ht="3" customHeight="1" x14ac:dyDescent="0.2"/>
    <row r="2" spans="3:22" s="7" customFormat="1" ht="16.5" customHeight="1" x14ac:dyDescent="0.2">
      <c r="C2" s="1" t="s">
        <v>906</v>
      </c>
      <c r="F2" s="161" t="s">
        <v>914</v>
      </c>
      <c r="G2" s="162"/>
      <c r="N2" s="9"/>
      <c r="P2" s="9"/>
    </row>
    <row r="3" spans="3:22" s="7" customFormat="1" ht="16.5" customHeight="1" x14ac:dyDescent="0.2">
      <c r="C3" s="14" t="s">
        <v>12</v>
      </c>
      <c r="F3" s="13">
        <v>46006</v>
      </c>
      <c r="G3" s="13">
        <v>46006</v>
      </c>
      <c r="N3" s="10"/>
    </row>
    <row r="4" spans="3:22" s="7" customFormat="1" ht="3" customHeight="1" x14ac:dyDescent="0.2">
      <c r="F4" s="7" t="s">
        <v>4864</v>
      </c>
    </row>
    <row r="5" spans="3:22" s="12" customFormat="1" ht="21" customHeight="1" x14ac:dyDescent="0.2">
      <c r="C5" s="163" t="s">
        <v>916</v>
      </c>
      <c r="D5" s="165" t="s">
        <v>917</v>
      </c>
      <c r="F5" s="159" t="s">
        <v>918</v>
      </c>
      <c r="G5" s="167"/>
      <c r="H5" s="167"/>
      <c r="I5" s="160"/>
      <c r="K5" s="159" t="s">
        <v>919</v>
      </c>
      <c r="L5" s="167"/>
      <c r="M5" s="167"/>
      <c r="N5" s="160"/>
      <c r="P5" s="159" t="s">
        <v>920</v>
      </c>
      <c r="Q5" s="160"/>
      <c r="S5" s="159" t="s">
        <v>921</v>
      </c>
      <c r="T5" s="160"/>
    </row>
    <row r="6" spans="3:22" s="12" customFormat="1" ht="21" customHeight="1" x14ac:dyDescent="0.2">
      <c r="C6" s="164"/>
      <c r="D6" s="166"/>
      <c r="F6" s="8" t="s">
        <v>922</v>
      </c>
      <c r="G6" s="8" t="s">
        <v>923</v>
      </c>
      <c r="H6" s="8" t="s">
        <v>924</v>
      </c>
      <c r="I6" s="8" t="s">
        <v>925</v>
      </c>
      <c r="K6" s="8" t="s">
        <v>780</v>
      </c>
      <c r="L6" s="8" t="s">
        <v>839</v>
      </c>
      <c r="M6" s="8" t="s">
        <v>849</v>
      </c>
      <c r="N6" s="8" t="s">
        <v>766</v>
      </c>
      <c r="P6" s="8" t="s">
        <v>740</v>
      </c>
      <c r="Q6" s="8" t="s">
        <v>777</v>
      </c>
      <c r="S6" s="8" t="s">
        <v>877</v>
      </c>
      <c r="T6" s="8" t="s">
        <v>796</v>
      </c>
    </row>
    <row r="7" spans="3:22" s="7" customFormat="1" ht="16.5" customHeight="1" x14ac:dyDescent="0.2">
      <c r="C7" s="15" t="s">
        <v>768</v>
      </c>
      <c r="D7" s="6">
        <f>IF($C$3=Regras!$K$3,COUNTIFS(Log!$B:$B,"&gt;="&amp;$F$3,Log!$B:$B,"&lt;="&amp;$G$3,Log!$V:$V,$C7),COUNTIFS(Log!$B:$B,"&gt;="&amp;$F$3,Log!$B:$B,"&lt;="&amp;$G$3,Log!$G:$G,$C$3,Log!$V:$V,$C7))</f>
        <v>4</v>
      </c>
      <c r="F7" s="16">
        <f>IF($C$3=Regras!$K$3,COUNTIFS(Log!$B:$B,"&gt;="&amp;$F$3,Log!$B:$B,"&lt;="&amp;$G$3,Log!$R:$R,"SIM",Log!$V:$V,$C7),COUNTIFS(Log!$B:$B,"&gt;="&amp;$F$3,Log!$B:$B,"&lt;="&amp;$G$3,Log!$G:$G,$C$3,Log!$R:$R,"SIM",Log!$V:$V,$C7))</f>
        <v>4</v>
      </c>
      <c r="G7" s="16">
        <f>IF($C$3=Regras!$K$3,COUNTIFS(Log!$B:$B,"&gt;="&amp;$F$3,Log!$B:$B,"&lt;="&amp;$G$3,Log!$S:$S,"SIM",Log!$V:$V,$C7),COUNTIFS(Log!$B:$B,"&gt;="&amp;$F$3,Log!$B:$B,"&lt;="&amp;$G$3,Log!$G:$G,$C$3,Log!$S:$S,"SIM",Log!$V:$V,$C7))</f>
        <v>0</v>
      </c>
      <c r="H7" s="16">
        <f>IF($C$3=Regras!$K$3,COUNTIFS(Log!$B:$B,"&gt;="&amp;$F$3,Log!$B:$B,"&lt;="&amp;$G$3,Log!$S:$S,"SIM",Log!$T:$T,"SIM",Log!$V:$V,$C7),COUNTIFS(Log!$B:$B,"&gt;="&amp;$F$3,Log!$B:$B,"&lt;="&amp;$G$3,Log!$G:$G,$C$3,Log!$S:$S,"SIM",Log!$T:$T,"SIM",Log!$V:$V,$C7))</f>
        <v>0</v>
      </c>
      <c r="I7" s="16">
        <f>IF($C$3=Regras!$K$3,COUNTIFS(Log!$B:$B,"&gt;="&amp;$F$3,Log!$B:$B,"&lt;="&amp;$G$3,Log!$S:$S,"SIM",Log!$T:$T,"NÃO",Log!$V:$V,$C7),COUNTIFS(Log!$B:$B,"&gt;="&amp;$F$3,Log!$B:$B,"&lt;="&amp;$G$3,Log!$G:$G,$C$3,Log!$S:$S,"SIM",Log!$T:$T,"NÃO",Log!$V:$V,$C7))</f>
        <v>0</v>
      </c>
      <c r="K7" s="16">
        <f>IF($C$3=Regras!$K$3,COUNTIFS(Log!$B:$B,"&gt;="&amp;$F$3,Log!$B:$B,"&lt;="&amp;$G$3,Log!$V:$V,$C7,Log!$W:$W,K$6),COUNTIFS(Log!$B:$B,"&gt;="&amp;$F$3,Log!$B:$B,"&lt;="&amp;$G$3,Log!$G:$G,$C$3,Log!$V:$V,$C7,Log!$W:$W,K$6))</f>
        <v>1</v>
      </c>
      <c r="L7" s="16">
        <f>IF($C$3=Regras!$K$3,COUNTIFS(Log!$B:$B,"&gt;="&amp;$F$3,Log!$B:$B,"&lt;="&amp;$G$3,Log!$V:$V,$C7,Log!$W:$W,L$6),COUNTIFS(Log!$B:$B,"&gt;="&amp;$F$3,Log!$B:$B,"&lt;="&amp;$G$3,Log!$G:$G,$C$3,Log!$V:$V,$C7,Log!$W:$W,L$6))</f>
        <v>0</v>
      </c>
      <c r="M7" s="16">
        <f>IF($C$3=Regras!$K$3,COUNTIFS(Log!$B:$B,"&gt;="&amp;$F$3,Log!$B:$B,"&lt;="&amp;$G$3,Log!$V:$V,$C7,Log!$W:$W,M$6),COUNTIFS(Log!$B:$B,"&gt;="&amp;$F$3,Log!$B:$B,"&lt;="&amp;$G$3,Log!$G:$G,$C$3,Log!$V:$V,$C7,Log!$W:$W,M$6))</f>
        <v>0</v>
      </c>
      <c r="N7" s="16">
        <f>IF($C$3=Regras!$K$3,COUNTIFS(Log!$B:$B,"&gt;="&amp;$F$3,Log!$B:$B,"&lt;="&amp;$G$3,Log!$V:$V,$C7,Log!$W:$W,N$6),COUNTIFS(Log!$B:$B,"&gt;="&amp;$F$3,Log!$B:$B,"&lt;="&amp;$G$3,Log!$G:$G,$C$3,Log!$V:$V,$C7,Log!$W:$W,N$6))</f>
        <v>2</v>
      </c>
      <c r="P7" s="16">
        <f>IF($C$3=Regras!$K$3,COUNTIFS(Log!$B:$B,"&gt;="&amp;$F$3,Log!$B:$B,"&lt;="&amp;$G$3,Log!$V:$V,$C7,Log!$W:$W,P$6&amp;" 15")+
COUNTIFS(Log!$B:$B,"&gt;="&amp;$F$3,Log!$B:$B,"&lt;="&amp;$G$3,Log!$V:$V,$C7,Log!$W:$W,P$6&amp;" 7"),
COUNTIFS(Log!$B:$B,"&gt;="&amp;$F$3,Log!$B:$B,"&lt;="&amp;$G$3,Log!$G:$G,$C$3,Log!$V:$V,$C7,Log!$W:$W,P$6&amp;" 7")+
COUNTIFS(Log!$B:$B,"&gt;="&amp;$F$3,Log!$B:$B,"&lt;="&amp;$G$3,Log!$G:$G,$C$3,Log!$V:$V,$C7,Log!$W:$W,P$6&amp;" 15"))</f>
        <v>1</v>
      </c>
      <c r="Q7" s="16">
        <f>IF($C$3=Regras!$K$3,COUNTIFS(Log!$B:$B,"&gt;="&amp;$F$3,Log!$B:$B,"&lt;="&amp;$G$3,Log!$V:$V,$C7,Log!$W:$W,Q$6),COUNTIFS(Log!$B:$B,"&gt;="&amp;$F$3,Log!$B:$B,"&lt;="&amp;$G$3,Log!$G:$G,$C$3,Log!$V:$V,$C7,Log!$W:$W,Q$6))</f>
        <v>0</v>
      </c>
      <c r="S7" s="16">
        <f>IF($C$3=Regras!$K$3,COUNTIFS(Log!$B:$B,"&gt;="&amp;$F$3,Log!$B:$B,"&lt;="&amp;$G$3,Log!$V:$V,$C7,Log!$W:$W,S$6),COUNTIFS(Log!$B:$B,"&gt;="&amp;$F$3,Log!$B:$B,"&lt;="&amp;$G$3,Log!$G:$G,$C$3,Log!$V:$V,$C7,Log!$W:$W,S$6))</f>
        <v>0</v>
      </c>
      <c r="T7" s="16">
        <f>IF($C$3=Regras!$K$3,COUNTIFS(Log!$B:$B,"&gt;="&amp;$F$3,Log!$B:$B,"&lt;="&amp;$G$3,Log!$V:$V,$C7,Log!$W:$W,T$6),COUNTIFS(Log!$B:$B,"&gt;="&amp;$F$3,Log!$B:$B,"&lt;="&amp;$G$3,Log!$G:$G,$C$3,Log!$V:$V,$C7,Log!$W:$W,T$6))</f>
        <v>0</v>
      </c>
    </row>
    <row r="8" spans="3:22" s="7" customFormat="1" ht="16.5" customHeight="1" x14ac:dyDescent="0.2">
      <c r="C8" s="15" t="s">
        <v>770</v>
      </c>
      <c r="D8" s="6">
        <f>IF($C$3=Regras!$K$3,COUNTIFS(Log!$B:$B,"&gt;="&amp;$F$3,Log!$B:$B,"&lt;="&amp;$G$3,Log!$V:$V,$C8),COUNTIFS(Log!$B:$B,"&gt;="&amp;$F$3,Log!$B:$B,"&lt;="&amp;$G$3,Log!$G:$G,$C$3,Log!$V:$V,$C8))</f>
        <v>19</v>
      </c>
      <c r="F8" s="16">
        <f>IF($C$3=Regras!$K$3,COUNTIFS(Log!$B:$B,"&gt;="&amp;$F$3,Log!$B:$B,"&lt;="&amp;$G$3,Log!$R:$R,"SIM",Log!$V:$V,$C8),COUNTIFS(Log!$B:$B,"&gt;="&amp;$F$3,Log!$B:$B,"&lt;="&amp;$G$3,Log!$G:$G,$C$3,Log!$R:$R,"SIM",Log!$V:$V,$C8))</f>
        <v>19</v>
      </c>
      <c r="G8" s="16">
        <f>IF($C$3=Regras!$K$3,COUNTIFS(Log!$B:$B,"&gt;="&amp;$F$3,Log!$B:$B,"&lt;="&amp;$G$3,Log!$S:$S,"SIM",Log!$V:$V,$C8),COUNTIFS(Log!$B:$B,"&gt;="&amp;$F$3,Log!$B:$B,"&lt;="&amp;$G$3,Log!$G:$G,$C$3,Log!$S:$S,"SIM",Log!$V:$V,$C8))</f>
        <v>2</v>
      </c>
      <c r="H8" s="16">
        <f>IF($C$3=Regras!$K$3,COUNTIFS(Log!$B:$B,"&gt;="&amp;$F$3,Log!$B:$B,"&lt;="&amp;$G$3,Log!$S:$S,"SIM",Log!$T:$T,"SIM",Log!$V:$V,$C8),COUNTIFS(Log!$B:$B,"&gt;="&amp;$F$3,Log!$B:$B,"&lt;="&amp;$G$3,Log!$G:$G,$C$3,Log!$S:$S,"SIM",Log!$T:$T,"SIM",Log!$V:$V,$C8))</f>
        <v>0</v>
      </c>
      <c r="I8" s="16">
        <f>IF($C$3=Regras!$K$3,COUNTIFS(Log!$B:$B,"&gt;="&amp;$F$3,Log!$B:$B,"&lt;="&amp;$G$3,Log!$S:$S,"SIM",Log!$T:$T,"NÃO",Log!$V:$V,$C8),COUNTIFS(Log!$B:$B,"&gt;="&amp;$F$3,Log!$B:$B,"&lt;="&amp;$G$3,Log!$G:$G,$C$3,Log!$S:$S,"SIM",Log!$T:$T,"NÃO",Log!$V:$V,$C8))</f>
        <v>2</v>
      </c>
      <c r="K8" s="16">
        <f>IF($C$3=Regras!$K$3,COUNTIFS(Log!$B:$B,"&gt;="&amp;$F$3,Log!$B:$B,"&lt;="&amp;$G$3,Log!$V:$V,$C8,Log!$W:$W,K$6),COUNTIFS(Log!$B:$B,"&gt;="&amp;$F$3,Log!$B:$B,"&lt;="&amp;$G$3,Log!$G:$G,$C$3,Log!$V:$V,$C8,Log!$W:$W,K$6))</f>
        <v>12</v>
      </c>
      <c r="L8" s="16">
        <f>IF($C$3=Regras!$K$3,COUNTIFS(Log!$B:$B,"&gt;="&amp;$F$3,Log!$B:$B,"&lt;="&amp;$G$3,Log!$V:$V,$C8,Log!$W:$W,L$6),COUNTIFS(Log!$B:$B,"&gt;="&amp;$F$3,Log!$B:$B,"&lt;="&amp;$G$3,Log!$G:$G,$C$3,Log!$V:$V,$C8,Log!$W:$W,L$6))</f>
        <v>1</v>
      </c>
      <c r="M8" s="16">
        <f>IF($C$3=Regras!$K$3,COUNTIFS(Log!$B:$B,"&gt;="&amp;$F$3,Log!$B:$B,"&lt;="&amp;$G$3,Log!$V:$V,$C8,Log!$W:$W,M$6),COUNTIFS(Log!$B:$B,"&gt;="&amp;$F$3,Log!$B:$B,"&lt;="&amp;$G$3,Log!$G:$G,$C$3,Log!$V:$V,$C8,Log!$W:$W,M$6))</f>
        <v>0</v>
      </c>
      <c r="N8" s="16">
        <f>IF($C$3=Regras!$K$3,COUNTIFS(Log!$B:$B,"&gt;="&amp;$F$3,Log!$B:$B,"&lt;="&amp;$G$3,Log!$V:$V,$C8,Log!$W:$W,N$6),COUNTIFS(Log!$B:$B,"&gt;="&amp;$F$3,Log!$B:$B,"&lt;="&amp;$G$3,Log!$G:$G,$C$3,Log!$V:$V,$C8,Log!$W:$W,N$6))</f>
        <v>0</v>
      </c>
      <c r="P8" s="16">
        <f>IF($C$3=Regras!$K$3,COUNTIFS(Log!$B:$B,"&gt;="&amp;$F$3,Log!$B:$B,"&lt;="&amp;$G$3,Log!$V:$V,$C8,Log!$W:$W,P$6&amp;" 15")+
COUNTIFS(Log!$B:$B,"&gt;="&amp;$F$3,Log!$B:$B,"&lt;="&amp;$G$3,Log!$V:$V,$C8,Log!$W:$W,P$6&amp;" 7"),
COUNTIFS(Log!$B:$B,"&gt;="&amp;$F$3,Log!$B:$B,"&lt;="&amp;$G$3,Log!$G:$G,$C$3,Log!$V:$V,$C8,Log!$W:$W,P$6&amp;" 7")+
COUNTIFS(Log!$B:$B,"&gt;="&amp;$F$3,Log!$B:$B,"&lt;="&amp;$G$3,Log!$G:$G,$C$3,Log!$V:$V,$C8,Log!$W:$W,P$6&amp;" 15"))</f>
        <v>6</v>
      </c>
      <c r="Q8" s="16">
        <f>IF($C$3=Regras!$K$3,COUNTIFS(Log!$B:$B,"&gt;="&amp;$F$3,Log!$B:$B,"&lt;="&amp;$G$3,Log!$V:$V,$C8,Log!$W:$W,Q$6),COUNTIFS(Log!$B:$B,"&gt;="&amp;$F$3,Log!$B:$B,"&lt;="&amp;$G$3,Log!$G:$G,$C$3,Log!$V:$V,$C8,Log!$W:$W,Q$6))</f>
        <v>0</v>
      </c>
      <c r="S8" s="16">
        <f>IF($C$3=Regras!$K$3,COUNTIFS(Log!$B:$B,"&gt;="&amp;$F$3,Log!$B:$B,"&lt;="&amp;$G$3,Log!$V:$V,$C8,Log!$W:$W,S$6),COUNTIFS(Log!$B:$B,"&gt;="&amp;$F$3,Log!$B:$B,"&lt;="&amp;$G$3,Log!$G:$G,$C$3,Log!$V:$V,$C8,Log!$W:$W,S$6))</f>
        <v>0</v>
      </c>
      <c r="T8" s="16">
        <f>IF($C$3=Regras!$K$3,COUNTIFS(Log!$B:$B,"&gt;="&amp;$F$3,Log!$B:$B,"&lt;="&amp;$G$3,Log!$V:$V,$C8,Log!$W:$W,T$6),COUNTIFS(Log!$B:$B,"&gt;="&amp;$F$3,Log!$B:$B,"&lt;="&amp;$G$3,Log!$G:$G,$C$3,Log!$V:$V,$C8,Log!$W:$W,T$6))</f>
        <v>0</v>
      </c>
    </row>
    <row r="9" spans="3:22" s="7" customFormat="1" ht="16.5" customHeight="1" x14ac:dyDescent="0.2">
      <c r="C9" s="15" t="s">
        <v>765</v>
      </c>
      <c r="D9" s="6">
        <f>IF($C$3=Regras!$K$3,COUNTIFS(Log!$B:$B,"&gt;="&amp;$F$3,Log!$B:$B,"&lt;="&amp;$G$3,Log!$V:$V,$C9),COUNTIFS(Log!$B:$B,"&gt;="&amp;$F$3,Log!$B:$B,"&lt;="&amp;$G$3,Log!$G:$G,$C$3,Log!$V:$V,$C9))</f>
        <v>1</v>
      </c>
      <c r="F9" s="16">
        <f>IF($C$3=Regras!$K$3,COUNTIFS(Log!$B:$B,"&gt;="&amp;$F$3,Log!$B:$B,"&lt;="&amp;$G$3,Log!$R:$R,"SIM",Log!$V:$V,$C9),COUNTIFS(Log!$B:$B,"&gt;="&amp;$F$3,Log!$B:$B,"&lt;="&amp;$G$3,Log!$G:$G,$C$3,Log!$R:$R,"SIM",Log!$V:$V,$C9))</f>
        <v>1</v>
      </c>
      <c r="G9" s="16">
        <f>IF($C$3=Regras!$K$3,COUNTIFS(Log!$B:$B,"&gt;="&amp;$F$3,Log!$B:$B,"&lt;="&amp;$G$3,Log!$S:$S,"SIM",Log!$V:$V,$C9),COUNTIFS(Log!$B:$B,"&gt;="&amp;$F$3,Log!$B:$B,"&lt;="&amp;$G$3,Log!$G:$G,$C$3,Log!$S:$S,"SIM",Log!$V:$V,$C9))</f>
        <v>0</v>
      </c>
      <c r="H9" s="16">
        <f>IF($C$3=Regras!$K$3,COUNTIFS(Log!$B:$B,"&gt;="&amp;$F$3,Log!$B:$B,"&lt;="&amp;$G$3,Log!$S:$S,"SIM",Log!$T:$T,"SIM",Log!$V:$V,$C9),COUNTIFS(Log!$B:$B,"&gt;="&amp;$F$3,Log!$B:$B,"&lt;="&amp;$G$3,Log!$G:$G,$C$3,Log!$S:$S,"SIM",Log!$T:$T,"SIM",Log!$V:$V,$C9))</f>
        <v>0</v>
      </c>
      <c r="I9" s="16">
        <f>IF($C$3=Regras!$K$3,COUNTIFS(Log!$B:$B,"&gt;="&amp;$F$3,Log!$B:$B,"&lt;="&amp;$G$3,Log!$S:$S,"SIM",Log!$T:$T,"NÃO",Log!$V:$V,$C9),COUNTIFS(Log!$B:$B,"&gt;="&amp;$F$3,Log!$B:$B,"&lt;="&amp;$G$3,Log!$G:$G,$C$3,Log!$S:$S,"SIM",Log!$T:$T,"NÃO",Log!$V:$V,$C9))</f>
        <v>0</v>
      </c>
      <c r="K9" s="16">
        <f>IF($C$3=Regras!$K$3,COUNTIFS(Log!$B:$B,"&gt;="&amp;$F$3,Log!$B:$B,"&lt;="&amp;$G$3,Log!$V:$V,$C9,Log!$W:$W,K$6),COUNTIFS(Log!$B:$B,"&gt;="&amp;$F$3,Log!$B:$B,"&lt;="&amp;$G$3,Log!$G:$G,$C$3,Log!$V:$V,$C9,Log!$W:$W,K$6))</f>
        <v>0</v>
      </c>
      <c r="L9" s="16">
        <f>IF($C$3=Regras!$K$3,COUNTIFS(Log!$B:$B,"&gt;="&amp;$F$3,Log!$B:$B,"&lt;="&amp;$G$3,Log!$V:$V,$C9,Log!$W:$W,L$6),COUNTIFS(Log!$B:$B,"&gt;="&amp;$F$3,Log!$B:$B,"&lt;="&amp;$G$3,Log!$G:$G,$C$3,Log!$V:$V,$C9,Log!$W:$W,L$6))</f>
        <v>0</v>
      </c>
      <c r="M9" s="16">
        <f>IF($C$3=Regras!$K$3,COUNTIFS(Log!$B:$B,"&gt;="&amp;$F$3,Log!$B:$B,"&lt;="&amp;$G$3,Log!$V:$V,$C9,Log!$W:$W,M$6),COUNTIFS(Log!$B:$B,"&gt;="&amp;$F$3,Log!$B:$B,"&lt;="&amp;$G$3,Log!$G:$G,$C$3,Log!$V:$V,$C9,Log!$W:$W,M$6))</f>
        <v>0</v>
      </c>
      <c r="N9" s="16">
        <f>IF($C$3=Regras!$K$3,COUNTIFS(Log!$B:$B,"&gt;="&amp;$F$3,Log!$B:$B,"&lt;="&amp;$G$3,Log!$V:$V,$C9,Log!$W:$W,N$6),COUNTIFS(Log!$B:$B,"&gt;="&amp;$F$3,Log!$B:$B,"&lt;="&amp;$G$3,Log!$G:$G,$C$3,Log!$V:$V,$C9,Log!$W:$W,N$6))</f>
        <v>1</v>
      </c>
      <c r="P9" s="16">
        <f>IF($C$3=Regras!$K$3,COUNTIFS(Log!$B:$B,"&gt;="&amp;$F$3,Log!$B:$B,"&lt;="&amp;$G$3,Log!$V:$V,$C9,Log!$W:$W,P$6&amp;" 15")+
COUNTIFS(Log!$B:$B,"&gt;="&amp;$F$3,Log!$B:$B,"&lt;="&amp;$G$3,Log!$V:$V,$C9,Log!$W:$W,P$6&amp;" 7"),
COUNTIFS(Log!$B:$B,"&gt;="&amp;$F$3,Log!$B:$B,"&lt;="&amp;$G$3,Log!$G:$G,$C$3,Log!$V:$V,$C9,Log!$W:$W,P$6&amp;" 7")+
COUNTIFS(Log!$B:$B,"&gt;="&amp;$F$3,Log!$B:$B,"&lt;="&amp;$G$3,Log!$G:$G,$C$3,Log!$V:$V,$C9,Log!$W:$W,P$6&amp;" 15"))</f>
        <v>0</v>
      </c>
      <c r="Q9" s="16">
        <f>IF($C$3=Regras!$K$3,COUNTIFS(Log!$B:$B,"&gt;="&amp;$F$3,Log!$B:$B,"&lt;="&amp;$G$3,Log!$V:$V,$C9,Log!$W:$W,Q$6),COUNTIFS(Log!$B:$B,"&gt;="&amp;$F$3,Log!$B:$B,"&lt;="&amp;$G$3,Log!$G:$G,$C$3,Log!$V:$V,$C9,Log!$W:$W,Q$6))</f>
        <v>0</v>
      </c>
      <c r="S9" s="16">
        <f>IF($C$3=Regras!$K$3,COUNTIFS(Log!$B:$B,"&gt;="&amp;$F$3,Log!$B:$B,"&lt;="&amp;$G$3,Log!$V:$V,$C9,Log!$W:$W,S$6),COUNTIFS(Log!$B:$B,"&gt;="&amp;$F$3,Log!$B:$B,"&lt;="&amp;$G$3,Log!$G:$G,$C$3,Log!$V:$V,$C9,Log!$W:$W,S$6))</f>
        <v>0</v>
      </c>
      <c r="T9" s="16">
        <f>IF($C$3=Regras!$K$3,COUNTIFS(Log!$B:$B,"&gt;="&amp;$F$3,Log!$B:$B,"&lt;="&amp;$G$3,Log!$V:$V,$C9,Log!$W:$W,T$6),COUNTIFS(Log!$B:$B,"&gt;="&amp;$F$3,Log!$B:$B,"&lt;="&amp;$G$3,Log!$G:$G,$C$3,Log!$V:$V,$C9,Log!$W:$W,T$6))</f>
        <v>0</v>
      </c>
    </row>
    <row r="10" spans="3:22" s="7" customFormat="1" ht="16.5" customHeight="1" x14ac:dyDescent="0.2">
      <c r="C10" s="15" t="s">
        <v>776</v>
      </c>
      <c r="D10" s="6">
        <f>IF($C$3=Regras!$K$3,COUNTIFS(Log!$B:$B,"&gt;="&amp;$F$3,Log!$B:$B,"&lt;="&amp;$G$3,Log!$V:$V,$C10),COUNTIFS(Log!$B:$B,"&gt;="&amp;$F$3,Log!$B:$B,"&lt;="&amp;$G$3,Log!$G:$G,$C$3,Log!$V:$V,$C10))</f>
        <v>1</v>
      </c>
      <c r="F10" s="16">
        <f>IF($C$3=Regras!$K$3,COUNTIFS(Log!$B:$B,"&gt;="&amp;$F$3,Log!$B:$B,"&lt;="&amp;$G$3,Log!$R:$R,"SIM",Log!$V:$V,$C10),COUNTIFS(Log!$B:$B,"&gt;="&amp;$F$3,Log!$B:$B,"&lt;="&amp;$G$3,Log!$G:$G,$C$3,Log!$R:$R,"SIM",Log!$V:$V,$C10))</f>
        <v>1</v>
      </c>
      <c r="G10" s="16">
        <f>IF($C$3=Regras!$K$3,COUNTIFS(Log!$B:$B,"&gt;="&amp;$F$3,Log!$B:$B,"&lt;="&amp;$G$3,Log!$S:$S,"SIM",Log!$V:$V,$C10),COUNTIFS(Log!$B:$B,"&gt;="&amp;$F$3,Log!$B:$B,"&lt;="&amp;$G$3,Log!$G:$G,$C$3,Log!$S:$S,"SIM",Log!$V:$V,$C10))</f>
        <v>0</v>
      </c>
      <c r="H10" s="16">
        <f>IF($C$3=Regras!$K$3,COUNTIFS(Log!$B:$B,"&gt;="&amp;$F$3,Log!$B:$B,"&lt;="&amp;$G$3,Log!$S:$S,"SIM",Log!$T:$T,"SIM",Log!$V:$V,$C10),COUNTIFS(Log!$B:$B,"&gt;="&amp;$F$3,Log!$B:$B,"&lt;="&amp;$G$3,Log!$G:$G,$C$3,Log!$S:$S,"SIM",Log!$T:$T,"SIM",Log!$V:$V,$C10))</f>
        <v>0</v>
      </c>
      <c r="I10" s="16">
        <f>IF($C$3=Regras!$K$3,COUNTIFS(Log!$B:$B,"&gt;="&amp;$F$3,Log!$B:$B,"&lt;="&amp;$G$3,Log!$S:$S,"SIM",Log!$T:$T,"NÃO",Log!$V:$V,$C10),COUNTIFS(Log!$B:$B,"&gt;="&amp;$F$3,Log!$B:$B,"&lt;="&amp;$G$3,Log!$G:$G,$C$3,Log!$S:$S,"SIM",Log!$T:$T,"NÃO",Log!$V:$V,$C10))</f>
        <v>0</v>
      </c>
      <c r="K10" s="16">
        <f>IF($C$3=Regras!$K$3,COUNTIFS(Log!$B:$B,"&gt;="&amp;$F$3,Log!$B:$B,"&lt;="&amp;$G$3,Log!$V:$V,$C10,Log!$W:$W,K$6),COUNTIFS(Log!$B:$B,"&gt;="&amp;$F$3,Log!$B:$B,"&lt;="&amp;$G$3,Log!$G:$G,$C$3,Log!$V:$V,$C10,Log!$W:$W,K$6))</f>
        <v>0</v>
      </c>
      <c r="L10" s="16">
        <f>IF($C$3=Regras!$K$3,COUNTIFS(Log!$B:$B,"&gt;="&amp;$F$3,Log!$B:$B,"&lt;="&amp;$G$3,Log!$V:$V,$C10,Log!$W:$W,L$6),COUNTIFS(Log!$B:$B,"&gt;="&amp;$F$3,Log!$B:$B,"&lt;="&amp;$G$3,Log!$G:$G,$C$3,Log!$V:$V,$C10,Log!$W:$W,L$6))</f>
        <v>0</v>
      </c>
      <c r="M10" s="16">
        <f>IF($C$3=Regras!$K$3,COUNTIFS(Log!$B:$B,"&gt;="&amp;$F$3,Log!$B:$B,"&lt;="&amp;$G$3,Log!$V:$V,$C10,Log!$W:$W,M$6),COUNTIFS(Log!$B:$B,"&gt;="&amp;$F$3,Log!$B:$B,"&lt;="&amp;$G$3,Log!$G:$G,$C$3,Log!$V:$V,$C10,Log!$W:$W,M$6))</f>
        <v>0</v>
      </c>
      <c r="N10" s="16">
        <f>IF($C$3=Regras!$K$3,COUNTIFS(Log!$B:$B,"&gt;="&amp;$F$3,Log!$B:$B,"&lt;="&amp;$G$3,Log!$V:$V,$C10,Log!$W:$W,N$6),COUNTIFS(Log!$B:$B,"&gt;="&amp;$F$3,Log!$B:$B,"&lt;="&amp;$G$3,Log!$G:$G,$C$3,Log!$V:$V,$C10,Log!$W:$W,N$6))</f>
        <v>0</v>
      </c>
      <c r="P10" s="16">
        <f>IF($C$3=Regras!$K$3,COUNTIFS(Log!$B:$B,"&gt;="&amp;$F$3,Log!$B:$B,"&lt;="&amp;$G$3,Log!$V:$V,$C10,Log!$W:$W,P$6&amp;" 15")+
COUNTIFS(Log!$B:$B,"&gt;="&amp;$F$3,Log!$B:$B,"&lt;="&amp;$G$3,Log!$V:$V,$C10,Log!$W:$W,P$6&amp;" 7"),
COUNTIFS(Log!$B:$B,"&gt;="&amp;$F$3,Log!$B:$B,"&lt;="&amp;$G$3,Log!$G:$G,$C$3,Log!$V:$V,$C10,Log!$W:$W,P$6&amp;" 7")+
COUNTIFS(Log!$B:$B,"&gt;="&amp;$F$3,Log!$B:$B,"&lt;="&amp;$G$3,Log!$G:$G,$C$3,Log!$V:$V,$C10,Log!$W:$W,P$6&amp;" 15"))</f>
        <v>1</v>
      </c>
      <c r="Q10" s="16">
        <f>IF($C$3=Regras!$K$3,COUNTIFS(Log!$B:$B,"&gt;="&amp;$F$3,Log!$B:$B,"&lt;="&amp;$G$3,Log!$V:$V,$C10,Log!$W:$W,Q$6),COUNTIFS(Log!$B:$B,"&gt;="&amp;$F$3,Log!$B:$B,"&lt;="&amp;$G$3,Log!$G:$G,$C$3,Log!$V:$V,$C10,Log!$W:$W,Q$6))</f>
        <v>0</v>
      </c>
      <c r="S10" s="16">
        <f>IF($C$3=Regras!$K$3,COUNTIFS(Log!$B:$B,"&gt;="&amp;$F$3,Log!$B:$B,"&lt;="&amp;$G$3,Log!$V:$V,$C10,Log!$W:$W,S$6),COUNTIFS(Log!$B:$B,"&gt;="&amp;$F$3,Log!$B:$B,"&lt;="&amp;$G$3,Log!$G:$G,$C$3,Log!$V:$V,$C10,Log!$W:$W,S$6))</f>
        <v>0</v>
      </c>
      <c r="T10" s="16">
        <f>IF($C$3=Regras!$K$3,COUNTIFS(Log!$B:$B,"&gt;="&amp;$F$3,Log!$B:$B,"&lt;="&amp;$G$3,Log!$V:$V,$C10,Log!$W:$W,T$6),COUNTIFS(Log!$B:$B,"&gt;="&amp;$F$3,Log!$B:$B,"&lt;="&amp;$G$3,Log!$G:$G,$C$3,Log!$V:$V,$C10,Log!$W:$W,T$6))</f>
        <v>0</v>
      </c>
    </row>
    <row r="11" spans="3:22" s="7" customFormat="1" ht="16.5" customHeight="1" x14ac:dyDescent="0.2">
      <c r="C11" s="15" t="s">
        <v>813</v>
      </c>
      <c r="D11" s="6">
        <f>IF($C$3=Regras!$K$3,COUNTIFS(Log!$B:$B,"&gt;="&amp;$F$3,Log!$B:$B,"&lt;="&amp;$G$3,Log!$V:$V,$C11),COUNTIFS(Log!$B:$B,"&gt;="&amp;$F$3,Log!$B:$B,"&lt;="&amp;$G$3,Log!$G:$G,$C$3,Log!$V:$V,$C11))</f>
        <v>0</v>
      </c>
      <c r="F11" s="16">
        <f>IF($C$3=Regras!$K$3,COUNTIFS(Log!$B:$B,"&gt;="&amp;$F$3,Log!$B:$B,"&lt;="&amp;$G$3,Log!$R:$R,"SIM",Log!$V:$V,$C11),COUNTIFS(Log!$B:$B,"&gt;="&amp;$F$3,Log!$B:$B,"&lt;="&amp;$G$3,Log!$G:$G,$C$3,Log!$R:$R,"SIM",Log!$V:$V,$C11))</f>
        <v>0</v>
      </c>
      <c r="G11" s="16">
        <f>IF($C$3=Regras!$K$3,COUNTIFS(Log!$B:$B,"&gt;="&amp;$F$3,Log!$B:$B,"&lt;="&amp;$G$3,Log!$S:$S,"SIM",Log!$V:$V,$C11),COUNTIFS(Log!$B:$B,"&gt;="&amp;$F$3,Log!$B:$B,"&lt;="&amp;$G$3,Log!$G:$G,$C$3,Log!$S:$S,"SIM",Log!$V:$V,$C11))</f>
        <v>0</v>
      </c>
      <c r="H11" s="16">
        <f>IF($C$3=Regras!$K$3,COUNTIFS(Log!$B:$B,"&gt;="&amp;$F$3,Log!$B:$B,"&lt;="&amp;$G$3,Log!$S:$S,"SIM",Log!$T:$T,"SIM",Log!$V:$V,$C11),COUNTIFS(Log!$B:$B,"&gt;="&amp;$F$3,Log!$B:$B,"&lt;="&amp;$G$3,Log!$G:$G,$C$3,Log!$S:$S,"SIM",Log!$T:$T,"SIM",Log!$V:$V,$C11))</f>
        <v>0</v>
      </c>
      <c r="I11" s="16">
        <f>IF($C$3=Regras!$K$3,COUNTIFS(Log!$B:$B,"&gt;="&amp;$F$3,Log!$B:$B,"&lt;="&amp;$G$3,Log!$S:$S,"SIM",Log!$T:$T,"NÃO",Log!$V:$V,$C11),COUNTIFS(Log!$B:$B,"&gt;="&amp;$F$3,Log!$B:$B,"&lt;="&amp;$G$3,Log!$G:$G,$C$3,Log!$S:$S,"SIM",Log!$T:$T,"NÃO",Log!$V:$V,$C11))</f>
        <v>0</v>
      </c>
      <c r="K11" s="16">
        <f>IF($C$3=Regras!$K$3,COUNTIFS(Log!$B:$B,"&gt;="&amp;$F$3,Log!$B:$B,"&lt;="&amp;$G$3,Log!$V:$V,$C11,Log!$W:$W,K$6),COUNTIFS(Log!$B:$B,"&gt;="&amp;$F$3,Log!$B:$B,"&lt;="&amp;$G$3,Log!$G:$G,$C$3,Log!$V:$V,$C11,Log!$W:$W,K$6))</f>
        <v>0</v>
      </c>
      <c r="L11" s="16">
        <f>IF($C$3=Regras!$K$3,COUNTIFS(Log!$B:$B,"&gt;="&amp;$F$3,Log!$B:$B,"&lt;="&amp;$G$3,Log!$V:$V,$C11,Log!$W:$W,L$6),COUNTIFS(Log!$B:$B,"&gt;="&amp;$F$3,Log!$B:$B,"&lt;="&amp;$G$3,Log!$G:$G,$C$3,Log!$V:$V,$C11,Log!$W:$W,L$6))</f>
        <v>0</v>
      </c>
      <c r="M11" s="16">
        <f>IF($C$3=Regras!$K$3,COUNTIFS(Log!$B:$B,"&gt;="&amp;$F$3,Log!$B:$B,"&lt;="&amp;$G$3,Log!$V:$V,$C11,Log!$W:$W,M$6),COUNTIFS(Log!$B:$B,"&gt;="&amp;$F$3,Log!$B:$B,"&lt;="&amp;$G$3,Log!$G:$G,$C$3,Log!$V:$V,$C11,Log!$W:$W,M$6))</f>
        <v>0</v>
      </c>
      <c r="N11" s="16">
        <f>IF($C$3=Regras!$K$3,COUNTIFS(Log!$B:$B,"&gt;="&amp;$F$3,Log!$B:$B,"&lt;="&amp;$G$3,Log!$V:$V,$C11,Log!$W:$W,N$6),COUNTIFS(Log!$B:$B,"&gt;="&amp;$F$3,Log!$B:$B,"&lt;="&amp;$G$3,Log!$G:$G,$C$3,Log!$V:$V,$C11,Log!$W:$W,N$6))</f>
        <v>0</v>
      </c>
      <c r="P11" s="16">
        <f>IF($C$3=Regras!$K$3,COUNTIFS(Log!$B:$B,"&gt;="&amp;$F$3,Log!$B:$B,"&lt;="&amp;$G$3,Log!$V:$V,$C11,Log!$W:$W,P$6&amp;" 15")+
COUNTIFS(Log!$B:$B,"&gt;="&amp;$F$3,Log!$B:$B,"&lt;="&amp;$G$3,Log!$V:$V,$C11,Log!$W:$W,P$6&amp;" 7"),
COUNTIFS(Log!$B:$B,"&gt;="&amp;$F$3,Log!$B:$B,"&lt;="&amp;$G$3,Log!$G:$G,$C$3,Log!$V:$V,$C11,Log!$W:$W,P$6&amp;" 7")+
COUNTIFS(Log!$B:$B,"&gt;="&amp;$F$3,Log!$B:$B,"&lt;="&amp;$G$3,Log!$G:$G,$C$3,Log!$V:$V,$C11,Log!$W:$W,P$6&amp;" 15"))</f>
        <v>0</v>
      </c>
      <c r="Q11" s="16">
        <f>IF($C$3=Regras!$K$3,COUNTIFS(Log!$B:$B,"&gt;="&amp;$F$3,Log!$B:$B,"&lt;="&amp;$G$3,Log!$V:$V,$C11,Log!$W:$W,Q$6),COUNTIFS(Log!$B:$B,"&gt;="&amp;$F$3,Log!$B:$B,"&lt;="&amp;$G$3,Log!$G:$G,$C$3,Log!$V:$V,$C11,Log!$W:$W,Q$6))</f>
        <v>0</v>
      </c>
      <c r="S11" s="16">
        <f>IF($C$3=Regras!$K$3,COUNTIFS(Log!$B:$B,"&gt;="&amp;$F$3,Log!$B:$B,"&lt;="&amp;$G$3,Log!$V:$V,$C11,Log!$W:$W,S$6),COUNTIFS(Log!$B:$B,"&gt;="&amp;$F$3,Log!$B:$B,"&lt;="&amp;$G$3,Log!$G:$G,$C$3,Log!$V:$V,$C11,Log!$W:$W,S$6))</f>
        <v>0</v>
      </c>
      <c r="T11" s="16">
        <f>IF($C$3=Regras!$K$3,COUNTIFS(Log!$B:$B,"&gt;="&amp;$F$3,Log!$B:$B,"&lt;="&amp;$G$3,Log!$V:$V,$C11,Log!$W:$W,T$6),COUNTIFS(Log!$B:$B,"&gt;="&amp;$F$3,Log!$B:$B,"&lt;="&amp;$G$3,Log!$G:$G,$C$3,Log!$V:$V,$C11,Log!$W:$W,T$6))</f>
        <v>0</v>
      </c>
    </row>
    <row r="12" spans="3:22" s="7" customFormat="1" ht="16.5" customHeight="1" x14ac:dyDescent="0.2">
      <c r="C12" s="15" t="s">
        <v>926</v>
      </c>
      <c r="D12" s="6">
        <f>IF($C$3=Regras!$K$3,COUNTIFS(Log!$B:$B,"&gt;="&amp;$F$3,Log!$B:$B,"&lt;="&amp;$G$3,Log!$V:$V,$C12),COUNTIFS(Log!$B:$B,"&gt;="&amp;$F$3,Log!$B:$B,"&lt;="&amp;$G$3,Log!$G:$G,$C$3,Log!$V:$V,$C12))</f>
        <v>0</v>
      </c>
      <c r="F12" s="16">
        <f>IF($C$3=Regras!$K$3,COUNTIFS(Log!$B:$B,"&gt;="&amp;$F$3,Log!$B:$B,"&lt;="&amp;$G$3,Log!$R:$R,"SIM",Log!$V:$V,$C12),COUNTIFS(Log!$B:$B,"&gt;="&amp;$F$3,Log!$B:$B,"&lt;="&amp;$G$3,Log!$G:$G,$C$3,Log!$R:$R,"SIM",Log!$V:$V,$C12))</f>
        <v>0</v>
      </c>
      <c r="G12" s="16">
        <f>IF($C$3=Regras!$K$3,COUNTIFS(Log!$B:$B,"&gt;="&amp;$F$3,Log!$B:$B,"&lt;="&amp;$G$3,Log!$S:$S,"SIM",Log!$V:$V,$C12),COUNTIFS(Log!$B:$B,"&gt;="&amp;$F$3,Log!$B:$B,"&lt;="&amp;$G$3,Log!$G:$G,$C$3,Log!$S:$S,"SIM",Log!$V:$V,$C12))</f>
        <v>0</v>
      </c>
      <c r="H12" s="16">
        <f>IF($C$3=Regras!$K$3,COUNTIFS(Log!$B:$B,"&gt;="&amp;$F$3,Log!$B:$B,"&lt;="&amp;$G$3,Log!$S:$S,"SIM",Log!$T:$T,"SIM",Log!$V:$V,$C12),COUNTIFS(Log!$B:$B,"&gt;="&amp;$F$3,Log!$B:$B,"&lt;="&amp;$G$3,Log!$G:$G,$C$3,Log!$S:$S,"SIM",Log!$T:$T,"SIM",Log!$V:$V,$C12))</f>
        <v>0</v>
      </c>
      <c r="I12" s="16">
        <f>IF($C$3=Regras!$K$3,COUNTIFS(Log!$B:$B,"&gt;="&amp;$F$3,Log!$B:$B,"&lt;="&amp;$G$3,Log!$S:$S,"SIM",Log!$T:$T,"NÃO",Log!$V:$V,$C12),COUNTIFS(Log!$B:$B,"&gt;="&amp;$F$3,Log!$B:$B,"&lt;="&amp;$G$3,Log!$G:$G,$C$3,Log!$S:$S,"SIM",Log!$T:$T,"NÃO",Log!$V:$V,$C12))</f>
        <v>0</v>
      </c>
      <c r="K12" s="16">
        <f>IF($C$3=Regras!$K$3,COUNTIFS(Log!$B:$B,"&gt;="&amp;$F$3,Log!$B:$B,"&lt;="&amp;$G$3,Log!$V:$V,$C12,Log!$W:$W,K$6),COUNTIFS(Log!$B:$B,"&gt;="&amp;$F$3,Log!$B:$B,"&lt;="&amp;$G$3,Log!$G:$G,$C$3,Log!$V:$V,$C12,Log!$W:$W,K$6))</f>
        <v>0</v>
      </c>
      <c r="L12" s="16">
        <f>IF($C$3=Regras!$K$3,COUNTIFS(Log!$B:$B,"&gt;="&amp;$F$3,Log!$B:$B,"&lt;="&amp;$G$3,Log!$V:$V,$C12,Log!$W:$W,L$6),COUNTIFS(Log!$B:$B,"&gt;="&amp;$F$3,Log!$B:$B,"&lt;="&amp;$G$3,Log!$G:$G,$C$3,Log!$V:$V,$C12,Log!$W:$W,L$6))</f>
        <v>0</v>
      </c>
      <c r="M12" s="16">
        <f>IF($C$3=Regras!$K$3,COUNTIFS(Log!$B:$B,"&gt;="&amp;$F$3,Log!$B:$B,"&lt;="&amp;$G$3,Log!$V:$V,$C12,Log!$W:$W,M$6),COUNTIFS(Log!$B:$B,"&gt;="&amp;$F$3,Log!$B:$B,"&lt;="&amp;$G$3,Log!$G:$G,$C$3,Log!$V:$V,$C12,Log!$W:$W,M$6))</f>
        <v>0</v>
      </c>
      <c r="N12" s="16">
        <f>IF($C$3=Regras!$K$3,COUNTIFS(Log!$B:$B,"&gt;="&amp;$F$3,Log!$B:$B,"&lt;="&amp;$G$3,Log!$V:$V,$C12,Log!$W:$W,N$6),COUNTIFS(Log!$B:$B,"&gt;="&amp;$F$3,Log!$B:$B,"&lt;="&amp;$G$3,Log!$G:$G,$C$3,Log!$V:$V,$C12,Log!$W:$W,N$6))</f>
        <v>0</v>
      </c>
      <c r="P12" s="16">
        <f>IF($C$3=Regras!$K$3,COUNTIFS(Log!$B:$B,"&gt;="&amp;$F$3,Log!$B:$B,"&lt;="&amp;$G$3,Log!$V:$V,$C12,Log!$W:$W,P$6&amp;" 15")+
COUNTIFS(Log!$B:$B,"&gt;="&amp;$F$3,Log!$B:$B,"&lt;="&amp;$G$3,Log!$V:$V,$C12,Log!$W:$W,P$6&amp;" 7"),
COUNTIFS(Log!$B:$B,"&gt;="&amp;$F$3,Log!$B:$B,"&lt;="&amp;$G$3,Log!$G:$G,$C$3,Log!$V:$V,$C12,Log!$W:$W,P$6&amp;" 7")+
COUNTIFS(Log!$B:$B,"&gt;="&amp;$F$3,Log!$B:$B,"&lt;="&amp;$G$3,Log!$G:$G,$C$3,Log!$V:$V,$C12,Log!$W:$W,P$6&amp;" 15"))</f>
        <v>0</v>
      </c>
      <c r="Q12" s="16">
        <f>IF($C$3=Regras!$K$3,COUNTIFS(Log!$B:$B,"&gt;="&amp;$F$3,Log!$B:$B,"&lt;="&amp;$G$3,Log!$V:$V,$C12,Log!$W:$W,Q$6),COUNTIFS(Log!$B:$B,"&gt;="&amp;$F$3,Log!$B:$B,"&lt;="&amp;$G$3,Log!$G:$G,$C$3,Log!$V:$V,$C12,Log!$W:$W,Q$6))</f>
        <v>0</v>
      </c>
      <c r="S12" s="16">
        <f>IF($C$3=Regras!$K$3,COUNTIFS(Log!$B:$B,"&gt;="&amp;$F$3,Log!$B:$B,"&lt;="&amp;$G$3,Log!$V:$V,$C12,Log!$W:$W,S$6),COUNTIFS(Log!$B:$B,"&gt;="&amp;$F$3,Log!$B:$B,"&lt;="&amp;$G$3,Log!$G:$G,$C$3,Log!$V:$V,$C12,Log!$W:$W,S$6))</f>
        <v>0</v>
      </c>
      <c r="T12" s="16">
        <f>IF($C$3=Regras!$K$3,COUNTIFS(Log!$B:$B,"&gt;="&amp;$F$3,Log!$B:$B,"&lt;="&amp;$G$3,Log!$V:$V,$C12,Log!$W:$W,T$6),COUNTIFS(Log!$B:$B,"&gt;="&amp;$F$3,Log!$B:$B,"&lt;="&amp;$G$3,Log!$G:$G,$C$3,Log!$V:$V,$C12,Log!$W:$W,T$6))</f>
        <v>0</v>
      </c>
    </row>
    <row r="13" spans="3:22" s="7" customFormat="1" ht="16.5" customHeight="1" x14ac:dyDescent="0.2">
      <c r="C13" s="4" t="s">
        <v>917</v>
      </c>
      <c r="D13" s="6">
        <f t="shared" ref="D13:T13" si="0">SUM(D7:D12)</f>
        <v>25</v>
      </c>
      <c r="F13" s="6">
        <f t="shared" si="0"/>
        <v>25</v>
      </c>
      <c r="G13" s="6">
        <f t="shared" si="0"/>
        <v>2</v>
      </c>
      <c r="H13" s="6">
        <f t="shared" si="0"/>
        <v>0</v>
      </c>
      <c r="I13" s="6">
        <f t="shared" si="0"/>
        <v>2</v>
      </c>
      <c r="K13" s="6">
        <f t="shared" si="0"/>
        <v>13</v>
      </c>
      <c r="L13" s="6">
        <f t="shared" si="0"/>
        <v>1</v>
      </c>
      <c r="M13" s="6">
        <f t="shared" si="0"/>
        <v>0</v>
      </c>
      <c r="N13" s="6">
        <f t="shared" si="0"/>
        <v>3</v>
      </c>
      <c r="P13" s="6">
        <f t="shared" si="0"/>
        <v>8</v>
      </c>
      <c r="Q13" s="6">
        <f t="shared" si="0"/>
        <v>0</v>
      </c>
      <c r="S13" s="6">
        <f t="shared" si="0"/>
        <v>0</v>
      </c>
      <c r="T13" s="6">
        <f t="shared" si="0"/>
        <v>0</v>
      </c>
    </row>
    <row r="14" spans="3:22" ht="10.5" customHeight="1" x14ac:dyDescent="0.25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</sheetData>
  <mergeCells count="7">
    <mergeCell ref="S5:T5"/>
    <mergeCell ref="F2:G2"/>
    <mergeCell ref="C5:C6"/>
    <mergeCell ref="D5:D6"/>
    <mergeCell ref="F5:I5"/>
    <mergeCell ref="K5:N5"/>
    <mergeCell ref="P5:Q5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B4305B2-E335-408A-B50A-FE5A4408C1D4}">
          <x14:formula1>
            <xm:f>Regras!$K$3:$K$11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AD52F-5232-46A9-A7BE-07960D7A7054}">
  <dimension ref="C1:K11"/>
  <sheetViews>
    <sheetView showGridLines="0" zoomScale="85" zoomScaleNormal="85" workbookViewId="0">
      <selection activeCell="G18" sqref="G18"/>
    </sheetView>
  </sheetViews>
  <sheetFormatPr defaultColWidth="9.140625" defaultRowHeight="13.5" x14ac:dyDescent="0.25"/>
  <cols>
    <col min="1" max="1" width="0.5703125" style="2" customWidth="1"/>
    <col min="2" max="2" width="3.28515625" style="2" customWidth="1"/>
    <col min="3" max="3" width="17" style="2" customWidth="1"/>
    <col min="4" max="4" width="14.7109375" style="2" bestFit="1" customWidth="1"/>
    <col min="5" max="5" width="3.42578125" style="2" customWidth="1"/>
    <col min="6" max="6" width="24.28515625" style="2" customWidth="1"/>
    <col min="7" max="7" width="10.140625" style="2" customWidth="1"/>
    <col min="8" max="8" width="5.28515625" style="2" customWidth="1"/>
    <col min="9" max="9" width="27.42578125" style="2" customWidth="1"/>
    <col min="10" max="10" width="2.7109375" style="2" customWidth="1"/>
    <col min="11" max="11" width="20.5703125" style="2" customWidth="1"/>
    <col min="12" max="16384" width="9.140625" style="2"/>
  </cols>
  <sheetData>
    <row r="1" spans="3:11" ht="3" customHeight="1" x14ac:dyDescent="0.25"/>
    <row r="2" spans="3:11" s="18" customFormat="1" ht="44.45" customHeight="1" x14ac:dyDescent="0.2">
      <c r="C2" s="17" t="s">
        <v>927</v>
      </c>
      <c r="D2" s="17" t="s">
        <v>753</v>
      </c>
      <c r="F2" s="17" t="s">
        <v>928</v>
      </c>
      <c r="G2" s="17" t="s">
        <v>740</v>
      </c>
      <c r="I2" s="17" t="s">
        <v>916</v>
      </c>
      <c r="K2" s="17" t="s">
        <v>906</v>
      </c>
    </row>
    <row r="3" spans="3:11" x14ac:dyDescent="0.25">
      <c r="C3" s="3">
        <v>50</v>
      </c>
      <c r="D3" s="3" t="s">
        <v>741</v>
      </c>
      <c r="F3" s="3" t="s">
        <v>780</v>
      </c>
      <c r="G3" s="3">
        <v>2</v>
      </c>
      <c r="I3" s="3" t="s">
        <v>768</v>
      </c>
      <c r="K3" s="3" t="s">
        <v>915</v>
      </c>
    </row>
    <row r="4" spans="3:11" x14ac:dyDescent="0.25">
      <c r="C4" s="3">
        <v>60</v>
      </c>
      <c r="D4" s="3" t="s">
        <v>929</v>
      </c>
      <c r="F4" s="3" t="s">
        <v>839</v>
      </c>
      <c r="G4" s="3">
        <v>1</v>
      </c>
      <c r="I4" s="3" t="s">
        <v>770</v>
      </c>
      <c r="K4" s="3" t="s">
        <v>12</v>
      </c>
    </row>
    <row r="5" spans="3:11" x14ac:dyDescent="0.25">
      <c r="C5" s="3">
        <v>90</v>
      </c>
      <c r="D5" s="3" t="s">
        <v>742</v>
      </c>
      <c r="F5" s="3" t="s">
        <v>849</v>
      </c>
      <c r="G5" s="3">
        <v>2</v>
      </c>
      <c r="I5" s="3" t="s">
        <v>765</v>
      </c>
      <c r="K5" s="3" t="s">
        <v>18</v>
      </c>
    </row>
    <row r="6" spans="3:11" x14ac:dyDescent="0.25">
      <c r="C6" s="3">
        <v>10000000</v>
      </c>
      <c r="D6" s="3" t="s">
        <v>743</v>
      </c>
      <c r="F6" s="3" t="s">
        <v>766</v>
      </c>
      <c r="G6" s="3">
        <v>45</v>
      </c>
      <c r="I6" s="3" t="s">
        <v>776</v>
      </c>
      <c r="K6" s="3" t="s">
        <v>32</v>
      </c>
    </row>
    <row r="7" spans="3:11" x14ac:dyDescent="0.25">
      <c r="C7" s="3"/>
      <c r="D7" s="3" t="s">
        <v>930</v>
      </c>
      <c r="F7" s="3" t="s">
        <v>1053</v>
      </c>
      <c r="G7" s="3">
        <v>7</v>
      </c>
      <c r="I7" s="3" t="s">
        <v>813</v>
      </c>
      <c r="K7" s="3" t="s">
        <v>220</v>
      </c>
    </row>
    <row r="8" spans="3:11" x14ac:dyDescent="0.25">
      <c r="C8" s="3"/>
      <c r="D8" s="3" t="s">
        <v>931</v>
      </c>
      <c r="F8" s="3" t="s">
        <v>1054</v>
      </c>
      <c r="G8" s="3">
        <v>15</v>
      </c>
      <c r="I8" s="3" t="s">
        <v>926</v>
      </c>
      <c r="K8" s="3" t="s">
        <v>618</v>
      </c>
    </row>
    <row r="9" spans="3:11" x14ac:dyDescent="0.25">
      <c r="C9" s="3"/>
      <c r="D9" s="3" t="s">
        <v>932</v>
      </c>
      <c r="F9" s="3" t="s">
        <v>777</v>
      </c>
      <c r="G9" s="3" t="s">
        <v>769</v>
      </c>
      <c r="I9" s="3"/>
      <c r="K9" s="3"/>
    </row>
    <row r="10" spans="3:11" x14ac:dyDescent="0.25">
      <c r="C10" s="3"/>
      <c r="D10" s="3" t="s">
        <v>888</v>
      </c>
      <c r="F10" s="3" t="s">
        <v>877</v>
      </c>
      <c r="G10" s="3" t="s">
        <v>769</v>
      </c>
      <c r="I10" s="3"/>
      <c r="K10" s="3"/>
    </row>
    <row r="11" spans="3:11" x14ac:dyDescent="0.25">
      <c r="F11" s="3" t="s">
        <v>796</v>
      </c>
      <c r="G11" s="3" t="s">
        <v>769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Draft</vt:lpstr>
      <vt:lpstr>Base Mercos</vt:lpstr>
      <vt:lpstr>Log</vt:lpstr>
      <vt:lpstr>Planilha1</vt:lpstr>
      <vt:lpstr>CARTEIRA</vt:lpstr>
      <vt:lpstr>Base Novos Clientes</vt:lpstr>
      <vt:lpstr>Dash</vt:lpstr>
      <vt:lpstr>Regras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Leandro Garcia</dc:creator>
  <cp:keywords/>
  <dc:description/>
  <cp:lastModifiedBy>Atendimento2</cp:lastModifiedBy>
  <cp:revision/>
  <cp:lastPrinted>2025-10-07T14:41:39Z</cp:lastPrinted>
  <dcterms:created xsi:type="dcterms:W3CDTF">2025-08-04T18:00:25Z</dcterms:created>
  <dcterms:modified xsi:type="dcterms:W3CDTF">2025-12-16T20:52:09Z</dcterms:modified>
  <cp:category/>
  <cp:contentStatus/>
</cp:coreProperties>
</file>