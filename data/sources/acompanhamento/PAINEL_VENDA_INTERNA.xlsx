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E1418A06-3828-4FC8-9545-CA4752475142}" xr6:coauthVersionLast="47" xr6:coauthVersionMax="47" xr10:uidLastSave="{00000000-0000-0000-0000-000000000000}"/>
  <bookViews>
    <workbookView xWindow="-108" yWindow="-108" windowWidth="23256" windowHeight="12456" firstSheet="1" activeTab="1" xr2:uid="{DBEE015A-61E9-40BB-9E04-46F413B89D80}"/>
  </bookViews>
  <sheets>
    <sheet name="Planilha2" sheetId="2" state="hidden" r:id="rId1"/>
    <sheet name="PAINEL " sheetId="3" r:id="rId2"/>
    <sheet name="Planilha5" sheetId="5" state="hidden" r:id="rId3"/>
    <sheet name="BASE" sheetId="1" r:id="rId4"/>
  </sheet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<sst xmlns="http://schemas.openxmlformats.org/spreadsheetml/2006/main" count="946" uniqueCount="263">
  <si>
    <t>Vendedor do último pedido</t>
  </si>
  <si>
    <t>Curva ABC</t>
  </si>
  <si>
    <t>Valor do último pedido</t>
  </si>
  <si>
    <t>Larissa Padilha</t>
  </si>
  <si>
    <t>A</t>
  </si>
  <si>
    <t>Helder Brunkow</t>
  </si>
  <si>
    <t>Manu Ditzel</t>
  </si>
  <si>
    <t>B</t>
  </si>
  <si>
    <t>C</t>
  </si>
  <si>
    <t>Lorrany</t>
  </si>
  <si>
    <t>Atendimento 01 - Central (Daiane)</t>
  </si>
  <si>
    <t>Redes e Franquias</t>
  </si>
  <si>
    <t>Larissa Cristiani Domingues</t>
  </si>
  <si>
    <t>Leandro Garcia</t>
  </si>
  <si>
    <t>Rótulos de Linha</t>
  </si>
  <si>
    <t>(vazio)</t>
  </si>
  <si>
    <t>Total Geral</t>
  </si>
  <si>
    <t>Rótulos de Coluna</t>
  </si>
  <si>
    <t>Soma de Valor do último pedido</t>
  </si>
  <si>
    <t>Segmento</t>
  </si>
  <si>
    <t>Produtos Naturais</t>
  </si>
  <si>
    <t>Conveniência</t>
  </si>
  <si>
    <t>Mercado / Varejo</t>
  </si>
  <si>
    <t>Padaria e Confeitaria</t>
  </si>
  <si>
    <t>Bodyshop</t>
  </si>
  <si>
    <t>Farmacia</t>
  </si>
  <si>
    <t>Contagem de Curva ABC</t>
  </si>
  <si>
    <t>Contagem de Valor do último pedido</t>
  </si>
  <si>
    <t>49.982.339/0001-20</t>
  </si>
  <si>
    <t>47.766.246/0002-13</t>
  </si>
  <si>
    <t>34.060.666/0001-57</t>
  </si>
  <si>
    <t>03.554.611/0003-31</t>
  </si>
  <si>
    <t>40.917.018/0001-77</t>
  </si>
  <si>
    <t>08.895.369/0001-11</t>
  </si>
  <si>
    <t>15.265.760/0001-06</t>
  </si>
  <si>
    <t>54.211.982/0001-90</t>
  </si>
  <si>
    <t>53.266.705/0002-00</t>
  </si>
  <si>
    <t>31.599.810/0001-30</t>
  </si>
  <si>
    <t>23.014.826/0001-05</t>
  </si>
  <si>
    <t>41.069.473/0001-22</t>
  </si>
  <si>
    <t>30.289.781/0001-47</t>
  </si>
  <si>
    <t>80.230.774/0001-48</t>
  </si>
  <si>
    <t>07.621.230/0001-17</t>
  </si>
  <si>
    <t>03.790.904/0001-56</t>
  </si>
  <si>
    <t>03.790.904/0004-07</t>
  </si>
  <si>
    <t>03.790.904/0005-80</t>
  </si>
  <si>
    <t>13.338.712/0002-48</t>
  </si>
  <si>
    <t>13.338.712/0004-00</t>
  </si>
  <si>
    <t>45.161.877/0001-00</t>
  </si>
  <si>
    <t>60.641.605/0001-93</t>
  </si>
  <si>
    <t>28.088.475/0001-09</t>
  </si>
  <si>
    <t>37.974.794/0001-02</t>
  </si>
  <si>
    <t>42.045.188/0001-34</t>
  </si>
  <si>
    <t>57.185.527/0001-55</t>
  </si>
  <si>
    <t>49.366.518/0001-32</t>
  </si>
  <si>
    <t>15.428.647/0001-96</t>
  </si>
  <si>
    <t>46.814.160/0001-75</t>
  </si>
  <si>
    <t>45.345.641/0001-16</t>
  </si>
  <si>
    <t>59.876.252/0001-21</t>
  </si>
  <si>
    <t>53.413.839/0001-18</t>
  </si>
  <si>
    <t>58.188.486/0001-13</t>
  </si>
  <si>
    <t>39.251.980/0001-30</t>
  </si>
  <si>
    <t>60.023.278/0001-06</t>
  </si>
  <si>
    <t>41.887.017/0001-90</t>
  </si>
  <si>
    <t>46.992.372/0001-42</t>
  </si>
  <si>
    <t>59.460.012/0001-41</t>
  </si>
  <si>
    <t>32.940.804/0001-67</t>
  </si>
  <si>
    <t>08.452.814/0001-79</t>
  </si>
  <si>
    <t>48.681.846/0001-60</t>
  </si>
  <si>
    <t>61.357.031/0001-99</t>
  </si>
  <si>
    <t>21.691.717/0001-05</t>
  </si>
  <si>
    <t>10.337.748/0001-38</t>
  </si>
  <si>
    <t>29.402.498/0001-09</t>
  </si>
  <si>
    <t>37.370.567/0001-60</t>
  </si>
  <si>
    <t>05.382.867/0001-72</t>
  </si>
  <si>
    <t>60.183.440/0001-53</t>
  </si>
  <si>
    <t>55.274.946/0001-38</t>
  </si>
  <si>
    <t>03.411.217/0001-82</t>
  </si>
  <si>
    <t>27.433.919/0001-25</t>
  </si>
  <si>
    <t>33.463.112/0001-38</t>
  </si>
  <si>
    <t>48.486.297/0001-73</t>
  </si>
  <si>
    <t>41.418.074/0001-20</t>
  </si>
  <si>
    <t>07.316.826/0001-03</t>
  </si>
  <si>
    <t>31.727.331/0001-51</t>
  </si>
  <si>
    <t>18.997.672/0001-89</t>
  </si>
  <si>
    <t>52.035.194/0001-64</t>
  </si>
  <si>
    <t>14.419.497/0001-91</t>
  </si>
  <si>
    <t>39.290.070/0001-67</t>
  </si>
  <si>
    <t>23.777.036/0001-81</t>
  </si>
  <si>
    <t>54.993.650/0001-04</t>
  </si>
  <si>
    <t>22.105.950/0001-13</t>
  </si>
  <si>
    <t>58.831.467/0001-63</t>
  </si>
  <si>
    <t>00.939.085/0001-78</t>
  </si>
  <si>
    <t>39.565.216/0001-30</t>
  </si>
  <si>
    <t>37.717.783/0001-39</t>
  </si>
  <si>
    <t>03.300.974/0038-70</t>
  </si>
  <si>
    <t>16.762.003/0001-00</t>
  </si>
  <si>
    <t>30.880.916/0001-44</t>
  </si>
  <si>
    <t>38.598.934/0001-40</t>
  </si>
  <si>
    <t>13.435.819/0001-23</t>
  </si>
  <si>
    <t>55.717.635/0001-04</t>
  </si>
  <si>
    <t>21.757.527/0001-35</t>
  </si>
  <si>
    <t>38.614.942/0001-32</t>
  </si>
  <si>
    <t>51.213.425/0001-10</t>
  </si>
  <si>
    <t>78.516.440/0006-06</t>
  </si>
  <si>
    <t>78.516.440/0004-36</t>
  </si>
  <si>
    <t>24.337.192/0001-94</t>
  </si>
  <si>
    <t>43.922.481/0002-86</t>
  </si>
  <si>
    <t>52.916.686/0001-69</t>
  </si>
  <si>
    <t>57.200.778/0001-61</t>
  </si>
  <si>
    <t>18.885.226/0001-82</t>
  </si>
  <si>
    <t>22.746.850/0001-76</t>
  </si>
  <si>
    <t>55.483.453/0001-08</t>
  </si>
  <si>
    <t>46.796.336/0001-03</t>
  </si>
  <si>
    <t>54.943.813/0001-44</t>
  </si>
  <si>
    <t>60.546.169/0001-73</t>
  </si>
  <si>
    <t>57.480.928/0001-38</t>
  </si>
  <si>
    <t>12.165.772/0001-62</t>
  </si>
  <si>
    <t>08.626.347/0001-56</t>
  </si>
  <si>
    <t>55.795.646/0001-02</t>
  </si>
  <si>
    <t>81.586.596/0001-55</t>
  </si>
  <si>
    <t>43.023.380/0001-92</t>
  </si>
  <si>
    <t>36.833.981/0001-03</t>
  </si>
  <si>
    <t>18.078.522/0001-71</t>
  </si>
  <si>
    <t>30.698.924/0001-74</t>
  </si>
  <si>
    <t>34.901.637/0001-70</t>
  </si>
  <si>
    <t>46.384.752/0001-02</t>
  </si>
  <si>
    <t>09.185.428/0004-73</t>
  </si>
  <si>
    <t>09.185.428/0001-20</t>
  </si>
  <si>
    <t>09.185.428/0003-92</t>
  </si>
  <si>
    <t>33.778.381/0001-93</t>
  </si>
  <si>
    <t>38.449.259/0001-97</t>
  </si>
  <si>
    <t>08.226.720/0001-81</t>
  </si>
  <si>
    <t>58.281.843/0001-93</t>
  </si>
  <si>
    <t>61.030.585/0001-87</t>
  </si>
  <si>
    <t>34.924.371/0001-81</t>
  </si>
  <si>
    <t>00.815.797/0001-85</t>
  </si>
  <si>
    <t>58.104.865/0001-88</t>
  </si>
  <si>
    <t>46.945.954/0001-78</t>
  </si>
  <si>
    <t>60.764.392/0001-97</t>
  </si>
  <si>
    <t>17.261.509/0018-39</t>
  </si>
  <si>
    <t>40.185.487/0001-49</t>
  </si>
  <si>
    <t>54.904.619/0001-50</t>
  </si>
  <si>
    <t>56.157.640/0001-64</t>
  </si>
  <si>
    <t>48.097.578/0001-34</t>
  </si>
  <si>
    <t>79.725.255/0001-71</t>
  </si>
  <si>
    <t>53.191.899/0002-14</t>
  </si>
  <si>
    <t>53.111.830/0001-52</t>
  </si>
  <si>
    <t>05.926.581/0001-00</t>
  </si>
  <si>
    <t>53.191.899/0003-03</t>
  </si>
  <si>
    <t>72.500.887/0001-98</t>
  </si>
  <si>
    <t>52.261.228/0002-10</t>
  </si>
  <si>
    <t>53.357.667/0002-93</t>
  </si>
  <si>
    <t>43.732.530/0001-37</t>
  </si>
  <si>
    <t>53.918.909/0001-90</t>
  </si>
  <si>
    <t>28.180.051/0001-61</t>
  </si>
  <si>
    <t>01.665.966/0001-00</t>
  </si>
  <si>
    <t>53.266.705/0001-11</t>
  </si>
  <si>
    <t>53.357.667/0001-02</t>
  </si>
  <si>
    <t>53.192.289/0002-35</t>
  </si>
  <si>
    <t>53.191.899/0001-33</t>
  </si>
  <si>
    <t>53.773.154/0001-82</t>
  </si>
  <si>
    <t>59.794.577/0001-65</t>
  </si>
  <si>
    <t>58.820.609/0001-97</t>
  </si>
  <si>
    <t>17.641.819/0001-30</t>
  </si>
  <si>
    <t>09.088.606/0001-03</t>
  </si>
  <si>
    <t>59.394.889/0001-81</t>
  </si>
  <si>
    <t>57.701.048/0001-44</t>
  </si>
  <si>
    <t>14.133.092/0001-92</t>
  </si>
  <si>
    <t>13.495.805/0001-03</t>
  </si>
  <si>
    <t>54.801.197/0001-97</t>
  </si>
  <si>
    <t>12.659.548/0001-27</t>
  </si>
  <si>
    <t>31.921.194/0001-91</t>
  </si>
  <si>
    <t>52.923.234/0001-04</t>
  </si>
  <si>
    <t>40.607.315/0001-16</t>
  </si>
  <si>
    <t>58.434.075/0001-60</t>
  </si>
  <si>
    <t>04.755.895/0001-25</t>
  </si>
  <si>
    <t>02.672.868/0001-63</t>
  </si>
  <si>
    <t>07.523.884/0001-08</t>
  </si>
  <si>
    <t>53.304.073/0001-33</t>
  </si>
  <si>
    <t>41.920.449/0001-55</t>
  </si>
  <si>
    <t>27.376.725/0001-35</t>
  </si>
  <si>
    <t>31.574.092/0001-47</t>
  </si>
  <si>
    <t>38.431.127/0001-38</t>
  </si>
  <si>
    <t>43.497.241/0001-09</t>
  </si>
  <si>
    <t>50.620.234/0001-00</t>
  </si>
  <si>
    <t>36.093.651/0001-10</t>
  </si>
  <si>
    <t>37.015.609/0001-44</t>
  </si>
  <si>
    <t>30.112.498/0001-45</t>
  </si>
  <si>
    <t>36.213.071/0001-10</t>
  </si>
  <si>
    <t>20.243.285/0001-07</t>
  </si>
  <si>
    <t>39.557.193/0001-11</t>
  </si>
  <si>
    <t>22.081.589/0001-32</t>
  </si>
  <si>
    <t>39.324.235/0001-74</t>
  </si>
  <si>
    <t>29.841.719/0001-37</t>
  </si>
  <si>
    <t>26.249.561/0004-65</t>
  </si>
  <si>
    <t>26.593.516/0001-80</t>
  </si>
  <si>
    <t>61.401.282/0001-23</t>
  </si>
  <si>
    <t>32.293.063/0001-70</t>
  </si>
  <si>
    <t>22.853.928/0001-51</t>
  </si>
  <si>
    <t>40.724.765/0001-99</t>
  </si>
  <si>
    <t>54.126.104/0001-76</t>
  </si>
  <si>
    <t>17.880.439/0002-30</t>
  </si>
  <si>
    <t>12.886.112/0001-70</t>
  </si>
  <si>
    <t>07.750.414/0001-87</t>
  </si>
  <si>
    <t>43.249.227/0001-88</t>
  </si>
  <si>
    <t>33.016.679/0001-66</t>
  </si>
  <si>
    <t>60.487.702/0001-73</t>
  </si>
  <si>
    <t>44.238.838/0001-93</t>
  </si>
  <si>
    <t>06.905.607/0004-40</t>
  </si>
  <si>
    <t>06.905.607/0005-20</t>
  </si>
  <si>
    <t>06.905.607/0001-05</t>
  </si>
  <si>
    <t>06.905.607/0007-92</t>
  </si>
  <si>
    <t>06.905.607/0006-01</t>
  </si>
  <si>
    <t>06.905.607/0002-88</t>
  </si>
  <si>
    <t>80.204.332/0001-27</t>
  </si>
  <si>
    <t>80.204.332/0002-08</t>
  </si>
  <si>
    <t>56.237.854/0001-40</t>
  </si>
  <si>
    <t>53.454.684/0001-68</t>
  </si>
  <si>
    <t>06.938.837/0001-62</t>
  </si>
  <si>
    <t>28.239.223/0001-25</t>
  </si>
  <si>
    <t>34.159.229/0001-95</t>
  </si>
  <si>
    <t>43.691.842/0001-40</t>
  </si>
  <si>
    <t>28.998.910/0001-24</t>
  </si>
  <si>
    <t>26.225.527/0001-08</t>
  </si>
  <si>
    <t>42.502.454/0001-00</t>
  </si>
  <si>
    <t>50.324.818/0001-38</t>
  </si>
  <si>
    <t>48.506.346/0001-92</t>
  </si>
  <si>
    <t>41.610.352/0001-46</t>
  </si>
  <si>
    <t>55.666.250/0001-57</t>
  </si>
  <si>
    <t>49.639.041/0001-11</t>
  </si>
  <si>
    <t>58.072.623/0001-50</t>
  </si>
  <si>
    <t>50.860.678/0001-12</t>
  </si>
  <si>
    <t>60.502.242/0001-05</t>
  </si>
  <si>
    <t>31.833.282/0001-31</t>
  </si>
  <si>
    <t>75.176.859/0003-17</t>
  </si>
  <si>
    <t>06.982.791/0001-89</t>
  </si>
  <si>
    <t>58.249.963/0001-03</t>
  </si>
  <si>
    <t>50.126.687/0001-84</t>
  </si>
  <si>
    <t>22.570.775/0001-35</t>
  </si>
  <si>
    <t>38.272.246/0001-95</t>
  </si>
  <si>
    <t>79.080.602/0001-56</t>
  </si>
  <si>
    <t>72.326.119/0001-60</t>
  </si>
  <si>
    <t>06.905.607/0003-69</t>
  </si>
  <si>
    <t>40.053.395/0001-05</t>
  </si>
  <si>
    <t>24.583.557/0003-22</t>
  </si>
  <si>
    <t>58.429.130/0001-24</t>
  </si>
  <si>
    <t>55.726.945/0001-87</t>
  </si>
  <si>
    <t>37.266.276/0001-26</t>
  </si>
  <si>
    <t>33.950.384/0001-62</t>
  </si>
  <si>
    <t>15.626.213/0001-09</t>
  </si>
  <si>
    <t>30.327.498/0001-62</t>
  </si>
  <si>
    <t>16.693.613/0003-53</t>
  </si>
  <si>
    <t>29.693.450/0001-99</t>
  </si>
  <si>
    <t>42.535.786/0001-91</t>
  </si>
  <si>
    <t>52.212.261/0001-79</t>
  </si>
  <si>
    <t>31.545.180/0001-10</t>
  </si>
  <si>
    <t>54.116.382/0001-42</t>
  </si>
  <si>
    <t>55.615.538/0002-83</t>
  </si>
  <si>
    <t>49.844.222/0001-80</t>
  </si>
  <si>
    <t>CNPJ/CPF</t>
  </si>
  <si>
    <t>Contagem de CNPJ/CPF</t>
  </si>
  <si>
    <t>FÚNIL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</si>
</sst>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48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3">
    <cellStyle name="Moeda" xfId="1" builtinId="4"/>
    <cellStyle name="Normal" xfId="0" builtinId="0"/>
    <cellStyle name="Normal 2" xfId="2" xr:uid="{0906F56A-2DB9-4F67-8502-C45472485CFD}"/>
  </cellStyles>
  <dxfs count="2">
    <dxf>
      <numFmt numFmtId="1" formatCode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- VENDA INTERNA.xlsx]Planilha2!Tabela dinâmica5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Planilha2!$G$8:$G$11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Planilha2!$H$8:$H$11</c:f>
              <c:numCache>
                <c:formatCode>General</c:formatCode>
                <c:ptCount val="3"/>
                <c:pt idx="0">
                  <c:v>102</c:v>
                </c:pt>
                <c:pt idx="1">
                  <c:v>80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5-44C9-81CF-56296CAC9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462208"/>
        <c:axId val="1291463648"/>
      </c:barChart>
      <c:catAx>
        <c:axId val="12914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463648"/>
        <c:crosses val="autoZero"/>
        <c:auto val="1"/>
        <c:lblAlgn val="ctr"/>
        <c:lblOffset val="100"/>
        <c:noMultiLvlLbl val="0"/>
      </c:catAx>
      <c:valAx>
        <c:axId val="12914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46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- VENDA INTERNA.xlsx]Planilha2!Tabela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FÚNIL</a:t>
            </a:r>
            <a:r>
              <a:rPr lang="pt-BR" baseline="0"/>
              <a:t> DE VENDA - POR VENDEDOR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Planilha2!$B$3:$B$4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Planilha2!$A$5:$A$13</c:f>
              <c:strCache>
                <c:ptCount val="8"/>
                <c:pt idx="0">
                  <c:v>Atendimento 01 - Central (Daiane)</c:v>
                </c:pt>
                <c:pt idx="1">
                  <c:v>Helder Brunkow</c:v>
                </c:pt>
                <c:pt idx="2">
                  <c:v>Larissa Cristiani Domingues</c:v>
                </c:pt>
                <c:pt idx="3">
                  <c:v>Larissa Padilha</c:v>
                </c:pt>
                <c:pt idx="4">
                  <c:v>Leandro Garcia</c:v>
                </c:pt>
                <c:pt idx="5">
                  <c:v>Lorrany</c:v>
                </c:pt>
                <c:pt idx="6">
                  <c:v>Manu Ditzel</c:v>
                </c:pt>
                <c:pt idx="7">
                  <c:v>Redes e Franquias</c:v>
                </c:pt>
              </c:strCache>
            </c:strRef>
          </c:cat>
          <c:val>
            <c:numRef>
              <c:f>Planilha2!$B$5:$B$13</c:f>
              <c:numCache>
                <c:formatCode>0</c:formatCode>
                <c:ptCount val="8"/>
                <c:pt idx="0">
                  <c:v>4</c:v>
                </c:pt>
                <c:pt idx="1">
                  <c:v>46</c:v>
                </c:pt>
                <c:pt idx="2">
                  <c:v>5</c:v>
                </c:pt>
                <c:pt idx="3">
                  <c:v>19</c:v>
                </c:pt>
                <c:pt idx="5">
                  <c:v>1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4-4C83-9253-068F5D40B119}"/>
            </c:ext>
          </c:extLst>
        </c:ser>
        <c:ser>
          <c:idx val="1"/>
          <c:order val="1"/>
          <c:tx>
            <c:strRef>
              <c:f>Planilha2!$C$3:$C$4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Planilha2!$A$5:$A$13</c:f>
              <c:strCache>
                <c:ptCount val="8"/>
                <c:pt idx="0">
                  <c:v>Atendimento 01 - Central (Daiane)</c:v>
                </c:pt>
                <c:pt idx="1">
                  <c:v>Helder Brunkow</c:v>
                </c:pt>
                <c:pt idx="2">
                  <c:v>Larissa Cristiani Domingues</c:v>
                </c:pt>
                <c:pt idx="3">
                  <c:v>Larissa Padilha</c:v>
                </c:pt>
                <c:pt idx="4">
                  <c:v>Leandro Garcia</c:v>
                </c:pt>
                <c:pt idx="5">
                  <c:v>Lorrany</c:v>
                </c:pt>
                <c:pt idx="6">
                  <c:v>Manu Ditzel</c:v>
                </c:pt>
                <c:pt idx="7">
                  <c:v>Redes e Franquias</c:v>
                </c:pt>
              </c:strCache>
            </c:strRef>
          </c:cat>
          <c:val>
            <c:numRef>
              <c:f>Planilha2!$C$5:$C$13</c:f>
              <c:numCache>
                <c:formatCode>0</c:formatCode>
                <c:ptCount val="8"/>
                <c:pt idx="0">
                  <c:v>9</c:v>
                </c:pt>
                <c:pt idx="1">
                  <c:v>26</c:v>
                </c:pt>
                <c:pt idx="2">
                  <c:v>1</c:v>
                </c:pt>
                <c:pt idx="3">
                  <c:v>24</c:v>
                </c:pt>
                <c:pt idx="4">
                  <c:v>1</c:v>
                </c:pt>
                <c:pt idx="5">
                  <c:v>1</c:v>
                </c:pt>
                <c:pt idx="6">
                  <c:v>17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4-4C83-9253-068F5D40B119}"/>
            </c:ext>
          </c:extLst>
        </c:ser>
        <c:ser>
          <c:idx val="2"/>
          <c:order val="2"/>
          <c:tx>
            <c:strRef>
              <c:f>Planilha2!$D$3:$D$4</c:f>
              <c:strCache>
                <c:ptCount val="1"/>
                <c:pt idx="0">
                  <c:v>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Planilha2!$A$5:$A$13</c:f>
              <c:strCache>
                <c:ptCount val="8"/>
                <c:pt idx="0">
                  <c:v>Atendimento 01 - Central (Daiane)</c:v>
                </c:pt>
                <c:pt idx="1">
                  <c:v>Helder Brunkow</c:v>
                </c:pt>
                <c:pt idx="2">
                  <c:v>Larissa Cristiani Domingues</c:v>
                </c:pt>
                <c:pt idx="3">
                  <c:v>Larissa Padilha</c:v>
                </c:pt>
                <c:pt idx="4">
                  <c:v>Leandro Garcia</c:v>
                </c:pt>
                <c:pt idx="5">
                  <c:v>Lorrany</c:v>
                </c:pt>
                <c:pt idx="6">
                  <c:v>Manu Ditzel</c:v>
                </c:pt>
                <c:pt idx="7">
                  <c:v>Redes e Franquias</c:v>
                </c:pt>
              </c:strCache>
            </c:strRef>
          </c:cat>
          <c:val>
            <c:numRef>
              <c:f>Planilha2!$D$5:$D$13</c:f>
              <c:numCache>
                <c:formatCode>0</c:formatCode>
                <c:ptCount val="8"/>
                <c:pt idx="0">
                  <c:v>2</c:v>
                </c:pt>
                <c:pt idx="1">
                  <c:v>8</c:v>
                </c:pt>
                <c:pt idx="2">
                  <c:v>10</c:v>
                </c:pt>
                <c:pt idx="3">
                  <c:v>14</c:v>
                </c:pt>
                <c:pt idx="5">
                  <c:v>2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64-4C83-9253-068F5D40B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0559280"/>
        <c:axId val="830567440"/>
      </c:barChart>
      <c:catAx>
        <c:axId val="8305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0567440"/>
        <c:crosses val="autoZero"/>
        <c:auto val="1"/>
        <c:lblAlgn val="ctr"/>
        <c:lblOffset val="100"/>
        <c:noMultiLvlLbl val="0"/>
      </c:catAx>
      <c:valAx>
        <c:axId val="83056744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055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- VENDA INTERNA.xlsx]Planilha5!Tabela dinâmica7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FÚNIL</a:t>
            </a:r>
            <a:r>
              <a:rPr lang="pt-BR" baseline="0"/>
              <a:t> DE VENDA - PERFIL CLIENTE</a:t>
            </a:r>
            <a:endParaRPr lang="pt-BR"/>
          </a:p>
        </c:rich>
      </c:tx>
      <c:layout>
        <c:manualLayout>
          <c:xMode val="edge"/>
          <c:yMode val="edge"/>
          <c:x val="0.27526867843885855"/>
          <c:y val="7.3011287852996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00269395760936E-2"/>
          <c:y val="0.10892713786413845"/>
          <c:w val="0.82331663013518064"/>
          <c:h val="0.7095377473702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Planilha5!$B$3:$B$4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Planilha5!$A$5:$A$12</c:f>
              <c:strCache>
                <c:ptCount val="7"/>
                <c:pt idx="0">
                  <c:v>Bodyshop</c:v>
                </c:pt>
                <c:pt idx="1">
                  <c:v>Conveniência</c:v>
                </c:pt>
                <c:pt idx="2">
                  <c:v>Farmacia</c:v>
                </c:pt>
                <c:pt idx="3">
                  <c:v>Mercado / Varejo</c:v>
                </c:pt>
                <c:pt idx="4">
                  <c:v>Padaria e Confeitaria</c:v>
                </c:pt>
                <c:pt idx="5">
                  <c:v>Produtos Naturais</c:v>
                </c:pt>
                <c:pt idx="6">
                  <c:v>(vazio)</c:v>
                </c:pt>
              </c:strCache>
            </c:strRef>
          </c:cat>
          <c:val>
            <c:numRef>
              <c:f>Planilha5!$B$5:$B$12</c:f>
              <c:numCache>
                <c:formatCode>General</c:formatCode>
                <c:ptCount val="7"/>
                <c:pt idx="1">
                  <c:v>9</c:v>
                </c:pt>
                <c:pt idx="3">
                  <c:v>27</c:v>
                </c:pt>
                <c:pt idx="4">
                  <c:v>5</c:v>
                </c:pt>
                <c:pt idx="5">
                  <c:v>47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0-476E-9D57-3B8F8C8B5D30}"/>
            </c:ext>
          </c:extLst>
        </c:ser>
        <c:ser>
          <c:idx val="1"/>
          <c:order val="1"/>
          <c:tx>
            <c:strRef>
              <c:f>Planilha5!$C$3:$C$4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Planilha5!$A$5:$A$12</c:f>
              <c:strCache>
                <c:ptCount val="7"/>
                <c:pt idx="0">
                  <c:v>Bodyshop</c:v>
                </c:pt>
                <c:pt idx="1">
                  <c:v>Conveniência</c:v>
                </c:pt>
                <c:pt idx="2">
                  <c:v>Farmacia</c:v>
                </c:pt>
                <c:pt idx="3">
                  <c:v>Mercado / Varejo</c:v>
                </c:pt>
                <c:pt idx="4">
                  <c:v>Padaria e Confeitaria</c:v>
                </c:pt>
                <c:pt idx="5">
                  <c:v>Produtos Naturais</c:v>
                </c:pt>
                <c:pt idx="6">
                  <c:v>(vazio)</c:v>
                </c:pt>
              </c:strCache>
            </c:strRef>
          </c:cat>
          <c:val>
            <c:numRef>
              <c:f>Planilha5!$C$5:$C$12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41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0-476E-9D57-3B8F8C8B5D30}"/>
            </c:ext>
          </c:extLst>
        </c:ser>
        <c:ser>
          <c:idx val="2"/>
          <c:order val="2"/>
          <c:tx>
            <c:strRef>
              <c:f>Planilha5!$D$3:$D$4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Planilha5!$A$5:$A$12</c:f>
              <c:strCache>
                <c:ptCount val="7"/>
                <c:pt idx="0">
                  <c:v>Bodyshop</c:v>
                </c:pt>
                <c:pt idx="1">
                  <c:v>Conveniência</c:v>
                </c:pt>
                <c:pt idx="2">
                  <c:v>Farmacia</c:v>
                </c:pt>
                <c:pt idx="3">
                  <c:v>Mercado / Varejo</c:v>
                </c:pt>
                <c:pt idx="4">
                  <c:v>Padaria e Confeitaria</c:v>
                </c:pt>
                <c:pt idx="5">
                  <c:v>Produtos Naturais</c:v>
                </c:pt>
                <c:pt idx="6">
                  <c:v>(vazio)</c:v>
                </c:pt>
              </c:strCache>
            </c:strRef>
          </c:cat>
          <c:val>
            <c:numRef>
              <c:f>Planilha5!$D$5:$D$12</c:f>
              <c:numCache>
                <c:formatCode>General</c:formatCode>
                <c:ptCount val="7"/>
                <c:pt idx="1">
                  <c:v>12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23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0-476E-9D57-3B8F8C8B5D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9428192"/>
        <c:axId val="709429152"/>
      </c:barChart>
      <c:catAx>
        <c:axId val="70942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429152"/>
        <c:crosses val="autoZero"/>
        <c:auto val="1"/>
        <c:lblAlgn val="ctr"/>
        <c:lblOffset val="100"/>
        <c:noMultiLvlLbl val="0"/>
      </c:catAx>
      <c:valAx>
        <c:axId val="70942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42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- VENDA INTERNA.xlsx]Planilha2!Tabela dinâmica5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</a:t>
            </a:r>
            <a:r>
              <a:rPr lang="en-US" baseline="0"/>
              <a:t> A B C - CNPJ 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Planilha2!$G$8:$G$11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Planilha2!$H$8:$H$11</c:f>
              <c:numCache>
                <c:formatCode>General</c:formatCode>
                <c:ptCount val="3"/>
                <c:pt idx="0">
                  <c:v>102</c:v>
                </c:pt>
                <c:pt idx="1">
                  <c:v>80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F-44C0-82E4-416FD41ECB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462208"/>
        <c:axId val="1291463648"/>
      </c:barChart>
      <c:catAx>
        <c:axId val="12914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463648"/>
        <c:crosses val="autoZero"/>
        <c:auto val="1"/>
        <c:lblAlgn val="ctr"/>
        <c:lblOffset val="100"/>
        <c:noMultiLvlLbl val="0"/>
      </c:catAx>
      <c:valAx>
        <c:axId val="129146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46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- VENDA INTERNA.xlsx]Planilha5!Tabela dinâmica8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FÚNIL</a:t>
            </a:r>
            <a:r>
              <a:rPr lang="en-US" baseline="0"/>
              <a:t> DE VENDAS - FATURAMENTO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Planilha5!$H$4:$H$7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Planilha5!$I$4:$I$7</c:f>
              <c:numCache>
                <c:formatCode>_("R$"* #,##0.00_);_("R$"* \(#,##0.00\);_("R$"* "-"??_);_(@_)</c:formatCode>
                <c:ptCount val="3"/>
                <c:pt idx="0">
                  <c:v>303729.86999999994</c:v>
                </c:pt>
                <c:pt idx="1">
                  <c:v>101379.6</c:v>
                </c:pt>
                <c:pt idx="2">
                  <c:v>35086.710000000006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8-42E0-93A6-DE6A43FB5D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489088"/>
        <c:axId val="1291490528"/>
      </c:barChart>
      <c:catAx>
        <c:axId val="12914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490528"/>
        <c:crosses val="autoZero"/>
        <c:auto val="1"/>
        <c:lblAlgn val="ctr"/>
        <c:lblOffset val="100"/>
        <c:noMultiLvlLbl val="0"/>
      </c:catAx>
      <c:valAx>
        <c:axId val="129149052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48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- VENDA INTERNA.xlsx]Planilha5!Tabela dinâmica8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Planilha5!$H$4:$H$7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Planilha5!$I$4:$I$7</c:f>
              <c:numCache>
                <c:formatCode>_("R$"* #,##0.00_);_("R$"* \(#,##0.00\);_("R$"* "-"??_);_(@_)</c:formatCode>
                <c:ptCount val="3"/>
                <c:pt idx="0">
                  <c:v>303729.86999999994</c:v>
                </c:pt>
                <c:pt idx="1">
                  <c:v>101379.6</c:v>
                </c:pt>
                <c:pt idx="2">
                  <c:v>35086.710000000006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C-468E-A6AD-5C60CD4BE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489088"/>
        <c:axId val="1291490528"/>
      </c:barChart>
      <c:catAx>
        <c:axId val="12914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490528"/>
        <c:crosses val="autoZero"/>
        <c:auto val="1"/>
        <c:lblAlgn val="ctr"/>
        <c:lblOffset val="100"/>
        <c:noMultiLvlLbl val="0"/>
      </c:catAx>
      <c:valAx>
        <c:axId val="12914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48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3</xdr:row>
      <xdr:rowOff>90487</xdr:rowOff>
    </xdr:from>
    <xdr:to>
      <xdr:col>10</xdr:col>
      <xdr:colOff>571500</xdr:colOff>
      <xdr:row>17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9B2F24-90D6-1AE9-B598-3F50C1985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95250</xdr:rowOff>
    </xdr:from>
    <xdr:to>
      <xdr:col>12</xdr:col>
      <xdr:colOff>123825</xdr:colOff>
      <xdr:row>27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F35943-D62B-4B10-BD17-3E5F6974B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390525</xdr:colOff>
      <xdr:row>6</xdr:row>
      <xdr:rowOff>104774</xdr:rowOff>
    </xdr:from>
    <xdr:to>
      <xdr:col>25</xdr:col>
      <xdr:colOff>238125</xdr:colOff>
      <xdr:row>25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3F40208-8F13-4C6A-9EDA-628185CDA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29</xdr:row>
      <xdr:rowOff>114300</xdr:rowOff>
    </xdr:from>
    <xdr:to>
      <xdr:col>10</xdr:col>
      <xdr:colOff>523875</xdr:colOff>
      <xdr:row>46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2CCEBB3-A754-4A15-BEDF-11BE3A517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19049</xdr:colOff>
      <xdr:row>29</xdr:row>
      <xdr:rowOff>95250</xdr:rowOff>
    </xdr:from>
    <xdr:to>
      <xdr:col>25</xdr:col>
      <xdr:colOff>390524</xdr:colOff>
      <xdr:row>47</xdr:row>
      <xdr:rowOff>9524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5D5ACB2-3B6D-44D1-AC76-FB5F5B38F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3</xdr:row>
      <xdr:rowOff>90487</xdr:rowOff>
    </xdr:from>
    <xdr:to>
      <xdr:col>8</xdr:col>
      <xdr:colOff>581025</xdr:colOff>
      <xdr:row>17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538964-5BA9-B084-99AC-BB43336C1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WS0EBG70\PAINEL%20-%20VENDA%20INTERNA%5b1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WS0EBG70\PAINEL%20-%20VENDA%20INTERNA%5b1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WS0EBG70\PAINEL%20-%20VENDA%20INTERNA%5b1%5d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ares Dornelas" refreshedDate="45886.889585416669" createdVersion="8" refreshedVersion="8" minRefreshableVersion="3" recordCount="233" xr:uid="{6CB97128-B589-40AB-B552-2C6FB3E4437A}">
  <cacheSource type="worksheet">
    <worksheetSource ref="A1:D1048576" sheet=".xlsx]BASE" r:id="rId2"/>
  </cacheSource>
  <cacheFields count="3">
    <cacheField name="Vendedor do último pedido" numFmtId="0">
      <sharedItems containsBlank="1" count="9">
        <s v="Larissa Padilha"/>
        <s v="Helder Brunkow"/>
        <s v="Manu Ditzel"/>
        <s v="Lorrany"/>
        <s v="Atendimento 01 - Central (Daiane)"/>
        <s v="Redes e Franquias"/>
        <s v="Larissa Cristiani Domingues"/>
        <s v="Leandro Garcia"/>
        <m/>
      </sharedItems>
    </cacheField>
    <cacheField name="Curva ABC" numFmtId="0">
      <sharedItems containsBlank="1" count="4">
        <s v="A"/>
        <s v="B"/>
        <s v="C"/>
        <m/>
      </sharedItems>
    </cacheField>
    <cacheField name="Valor do último pedido" numFmtId="44">
      <sharedItems containsString="0" containsBlank="1" containsNumber="1" minValue="0" maxValue="27788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ares Dornelas" refreshedDate="45886.891790856484" createdVersion="8" refreshedVersion="8" minRefreshableVersion="3" recordCount="232" xr:uid="{460CC920-A1E0-4823-AAC6-75896D39012C}">
  <cacheSource type="worksheet">
    <worksheetSource ref="A1:E233" sheet=".xlsx]BASE" r:id="rId2"/>
  </cacheSource>
  <cacheFields count="5">
    <cacheField name="Vendedor do último pedido" numFmtId="0">
      <sharedItems/>
    </cacheField>
    <cacheField name="Curva ABC" numFmtId="0">
      <sharedItems count="3">
        <s v="A"/>
        <s v="B"/>
        <s v="C"/>
      </sharedItems>
    </cacheField>
    <cacheField name="CNPJ/CPF" numFmtId="0">
      <sharedItems/>
    </cacheField>
    <cacheField name="Valor do último pedido" numFmtId="44">
      <sharedItems containsSemiMixedTypes="0" containsString="0" containsNumber="1" minValue="0" maxValue="27788.43"/>
    </cacheField>
    <cacheField name="Segmento" numFmtId="0">
      <sharedItems containsBlank="1" count="7">
        <s v="Produtos Naturais"/>
        <s v="Conveniência"/>
        <m/>
        <s v="Mercado / Varejo"/>
        <s v="Padaria e Confeitaria"/>
        <s v="Bodyshop"/>
        <s v="Farmac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ares Dornelas" refreshedDate="45886.893587152779" createdVersion="8" refreshedVersion="8" minRefreshableVersion="3" recordCount="232" xr:uid="{8F357ED6-BCD7-4FBF-A6F6-A0CF6ABBA92F}">
  <cacheSource type="worksheet">
    <worksheetSource ref="A1:D233" sheet=".xlsx]BASE" r:id="rId2"/>
  </cacheSource>
  <cacheFields count="4">
    <cacheField name="Vendedor do último pedido" numFmtId="0">
      <sharedItems/>
    </cacheField>
    <cacheField name="Curva ABC" numFmtId="0">
      <sharedItems count="3">
        <s v="A"/>
        <s v="B"/>
        <s v="C"/>
      </sharedItems>
    </cacheField>
    <cacheField name="CNPJ/CPF" numFmtId="0">
      <sharedItems/>
    </cacheField>
    <cacheField name="Valor do último pedido" numFmtId="44">
      <sharedItems containsSemiMixedTypes="0" containsString="0" containsNumber="1" minValue="0" maxValue="27788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x v="0"/>
    <x v="0"/>
    <n v="1678.98"/>
  </r>
  <r>
    <x v="0"/>
    <x v="0"/>
    <n v="838.74"/>
  </r>
  <r>
    <x v="1"/>
    <x v="0"/>
    <n v="1953.22"/>
  </r>
  <r>
    <x v="2"/>
    <x v="1"/>
    <n v="944.16"/>
  </r>
  <r>
    <x v="0"/>
    <x v="0"/>
    <n v="1867.12"/>
  </r>
  <r>
    <x v="1"/>
    <x v="0"/>
    <n v="7118.85"/>
  </r>
  <r>
    <x v="1"/>
    <x v="0"/>
    <n v="3778.78"/>
  </r>
  <r>
    <x v="1"/>
    <x v="0"/>
    <n v="2406.4699999999998"/>
  </r>
  <r>
    <x v="0"/>
    <x v="0"/>
    <n v="1649.94"/>
  </r>
  <r>
    <x v="1"/>
    <x v="0"/>
    <n v="7115.96"/>
  </r>
  <r>
    <x v="1"/>
    <x v="0"/>
    <n v="4099.9799999999996"/>
  </r>
  <r>
    <x v="1"/>
    <x v="0"/>
    <n v="2099.52"/>
  </r>
  <r>
    <x v="2"/>
    <x v="0"/>
    <n v="680.37"/>
  </r>
  <r>
    <x v="2"/>
    <x v="0"/>
    <n v="2006.01"/>
  </r>
  <r>
    <x v="1"/>
    <x v="0"/>
    <n v="1507.48"/>
  </r>
  <r>
    <x v="1"/>
    <x v="0"/>
    <n v="1576.32"/>
  </r>
  <r>
    <x v="1"/>
    <x v="0"/>
    <n v="1452.42"/>
  </r>
  <r>
    <x v="1"/>
    <x v="0"/>
    <n v="4460.93"/>
  </r>
  <r>
    <x v="1"/>
    <x v="0"/>
    <n v="1453.67"/>
  </r>
  <r>
    <x v="1"/>
    <x v="0"/>
    <n v="1392.8"/>
  </r>
  <r>
    <x v="2"/>
    <x v="0"/>
    <n v="6306.96"/>
  </r>
  <r>
    <x v="1"/>
    <x v="1"/>
    <n v="737.38"/>
  </r>
  <r>
    <x v="1"/>
    <x v="0"/>
    <n v="1267.05"/>
  </r>
  <r>
    <x v="2"/>
    <x v="0"/>
    <n v="6491.55"/>
  </r>
  <r>
    <x v="1"/>
    <x v="0"/>
    <n v="2744.45"/>
  </r>
  <r>
    <x v="1"/>
    <x v="0"/>
    <n v="2930.22"/>
  </r>
  <r>
    <x v="0"/>
    <x v="0"/>
    <n v="2925.82"/>
  </r>
  <r>
    <x v="1"/>
    <x v="0"/>
    <n v="2308.56"/>
  </r>
  <r>
    <x v="1"/>
    <x v="0"/>
    <n v="7216.91"/>
  </r>
  <r>
    <x v="2"/>
    <x v="1"/>
    <n v="803.98"/>
  </r>
  <r>
    <x v="2"/>
    <x v="1"/>
    <n v="1253.1300000000001"/>
  </r>
  <r>
    <x v="1"/>
    <x v="2"/>
    <n v="699.37"/>
  </r>
  <r>
    <x v="1"/>
    <x v="1"/>
    <n v="1184.3599999999999"/>
  </r>
  <r>
    <x v="2"/>
    <x v="0"/>
    <n v="2102.89"/>
  </r>
  <r>
    <x v="0"/>
    <x v="1"/>
    <n v="1137.8399999999999"/>
  </r>
  <r>
    <x v="2"/>
    <x v="0"/>
    <n v="3467.83"/>
  </r>
  <r>
    <x v="1"/>
    <x v="0"/>
    <n v="2287.64"/>
  </r>
  <r>
    <x v="1"/>
    <x v="1"/>
    <n v="1568.19"/>
  </r>
  <r>
    <x v="2"/>
    <x v="2"/>
    <n v="712.76"/>
  </r>
  <r>
    <x v="0"/>
    <x v="2"/>
    <n v="853.74"/>
  </r>
  <r>
    <x v="0"/>
    <x v="2"/>
    <n v="818.67"/>
  </r>
  <r>
    <x v="0"/>
    <x v="1"/>
    <n v="1099.98"/>
  </r>
  <r>
    <x v="2"/>
    <x v="2"/>
    <n v="862.43"/>
  </r>
  <r>
    <x v="1"/>
    <x v="0"/>
    <n v="2015.4"/>
  </r>
  <r>
    <x v="1"/>
    <x v="1"/>
    <n v="1365.38"/>
  </r>
  <r>
    <x v="2"/>
    <x v="0"/>
    <n v="2058.0700000000002"/>
  </r>
  <r>
    <x v="2"/>
    <x v="0"/>
    <n v="1857.45"/>
  </r>
  <r>
    <x v="0"/>
    <x v="2"/>
    <n v="690.8"/>
  </r>
  <r>
    <x v="1"/>
    <x v="1"/>
    <n v="1537.85"/>
  </r>
  <r>
    <x v="1"/>
    <x v="1"/>
    <n v="959.79"/>
  </r>
  <r>
    <x v="1"/>
    <x v="1"/>
    <n v="990"/>
  </r>
  <r>
    <x v="2"/>
    <x v="2"/>
    <n v="761.48"/>
  </r>
  <r>
    <x v="0"/>
    <x v="1"/>
    <n v="901.43"/>
  </r>
  <r>
    <x v="1"/>
    <x v="0"/>
    <n v="4541.91"/>
  </r>
  <r>
    <x v="2"/>
    <x v="0"/>
    <n v="1723.68"/>
  </r>
  <r>
    <x v="2"/>
    <x v="1"/>
    <n v="1146.03"/>
  </r>
  <r>
    <x v="1"/>
    <x v="1"/>
    <n v="896.65"/>
  </r>
  <r>
    <x v="3"/>
    <x v="2"/>
    <n v="664.12"/>
  </r>
  <r>
    <x v="2"/>
    <x v="0"/>
    <n v="2178.81"/>
  </r>
  <r>
    <x v="1"/>
    <x v="2"/>
    <n v="704.65"/>
  </r>
  <r>
    <x v="1"/>
    <x v="2"/>
    <n v="576"/>
  </r>
  <r>
    <x v="3"/>
    <x v="2"/>
    <n v="398.62"/>
  </r>
  <r>
    <x v="1"/>
    <x v="0"/>
    <n v="2758.95"/>
  </r>
  <r>
    <x v="3"/>
    <x v="1"/>
    <n v="1498.5"/>
  </r>
  <r>
    <x v="1"/>
    <x v="0"/>
    <n v="5040"/>
  </r>
  <r>
    <x v="1"/>
    <x v="2"/>
    <n v="848.4"/>
  </r>
  <r>
    <x v="1"/>
    <x v="1"/>
    <n v="1470.17"/>
  </r>
  <r>
    <x v="1"/>
    <x v="0"/>
    <n v="3300"/>
  </r>
  <r>
    <x v="1"/>
    <x v="0"/>
    <n v="2798.08"/>
  </r>
  <r>
    <x v="2"/>
    <x v="0"/>
    <n v="10200.370000000001"/>
  </r>
  <r>
    <x v="1"/>
    <x v="1"/>
    <n v="1130.72"/>
  </r>
  <r>
    <x v="2"/>
    <x v="2"/>
    <n v="661.57"/>
  </r>
  <r>
    <x v="0"/>
    <x v="1"/>
    <n v="1765.7"/>
  </r>
  <r>
    <x v="0"/>
    <x v="2"/>
    <n v="674.11"/>
  </r>
  <r>
    <x v="1"/>
    <x v="0"/>
    <n v="1999.78"/>
  </r>
  <r>
    <x v="2"/>
    <x v="0"/>
    <n v="11358.43"/>
  </r>
  <r>
    <x v="2"/>
    <x v="0"/>
    <n v="2558.04"/>
  </r>
  <r>
    <x v="2"/>
    <x v="0"/>
    <n v="2979.24"/>
  </r>
  <r>
    <x v="1"/>
    <x v="0"/>
    <n v="3510.38"/>
  </r>
  <r>
    <x v="1"/>
    <x v="0"/>
    <n v="1793.17"/>
  </r>
  <r>
    <x v="1"/>
    <x v="1"/>
    <n v="1442.74"/>
  </r>
  <r>
    <x v="0"/>
    <x v="0"/>
    <n v="1777.6"/>
  </r>
  <r>
    <x v="1"/>
    <x v="0"/>
    <n v="1499.33"/>
  </r>
  <r>
    <x v="1"/>
    <x v="0"/>
    <n v="1643.35"/>
  </r>
  <r>
    <x v="0"/>
    <x v="0"/>
    <n v="1889.7"/>
  </r>
  <r>
    <x v="2"/>
    <x v="0"/>
    <n v="2314.17"/>
  </r>
  <r>
    <x v="0"/>
    <x v="1"/>
    <n v="1355.9"/>
  </r>
  <r>
    <x v="0"/>
    <x v="0"/>
    <n v="2272.6"/>
  </r>
  <r>
    <x v="3"/>
    <x v="0"/>
    <n v="925.83"/>
  </r>
  <r>
    <x v="1"/>
    <x v="0"/>
    <n v="2212.34"/>
  </r>
  <r>
    <x v="0"/>
    <x v="2"/>
    <n v="705.23"/>
  </r>
  <r>
    <x v="2"/>
    <x v="2"/>
    <n v="699.03"/>
  </r>
  <r>
    <x v="2"/>
    <x v="2"/>
    <n v="683.54"/>
  </r>
  <r>
    <x v="2"/>
    <x v="1"/>
    <n v="1512"/>
  </r>
  <r>
    <x v="0"/>
    <x v="0"/>
    <n v="3469.32"/>
  </r>
  <r>
    <x v="2"/>
    <x v="0"/>
    <n v="1902.51"/>
  </r>
  <r>
    <x v="1"/>
    <x v="1"/>
    <n v="1543.95"/>
  </r>
  <r>
    <x v="1"/>
    <x v="0"/>
    <n v="4506.8500000000004"/>
  </r>
  <r>
    <x v="2"/>
    <x v="2"/>
    <n v="681.32"/>
  </r>
  <r>
    <x v="2"/>
    <x v="1"/>
    <n v="1104.93"/>
  </r>
  <r>
    <x v="2"/>
    <x v="1"/>
    <n v="1096.94"/>
  </r>
  <r>
    <x v="2"/>
    <x v="1"/>
    <n v="1292.17"/>
  </r>
  <r>
    <x v="1"/>
    <x v="1"/>
    <n v="815.05"/>
  </r>
  <r>
    <x v="1"/>
    <x v="2"/>
    <n v="701.58"/>
  </r>
  <r>
    <x v="2"/>
    <x v="0"/>
    <n v="2526.1"/>
  </r>
  <r>
    <x v="2"/>
    <x v="2"/>
    <n v="702.86"/>
  </r>
  <r>
    <x v="2"/>
    <x v="1"/>
    <n v="868.99"/>
  </r>
  <r>
    <x v="2"/>
    <x v="0"/>
    <n v="27788.43"/>
  </r>
  <r>
    <x v="2"/>
    <x v="1"/>
    <n v="963.58"/>
  </r>
  <r>
    <x v="0"/>
    <x v="0"/>
    <n v="3742.44"/>
  </r>
  <r>
    <x v="0"/>
    <x v="0"/>
    <n v="1273.0899999999999"/>
  </r>
  <r>
    <x v="1"/>
    <x v="1"/>
    <n v="1001.78"/>
  </r>
  <r>
    <x v="1"/>
    <x v="2"/>
    <n v="652.51"/>
  </r>
  <r>
    <x v="1"/>
    <x v="0"/>
    <n v="828.81"/>
  </r>
  <r>
    <x v="0"/>
    <x v="1"/>
    <n v="905.86"/>
  </r>
  <r>
    <x v="0"/>
    <x v="0"/>
    <n v="2350.33"/>
  </r>
  <r>
    <x v="2"/>
    <x v="0"/>
    <n v="674.33"/>
  </r>
  <r>
    <x v="2"/>
    <x v="0"/>
    <n v="847.93"/>
  </r>
  <r>
    <x v="0"/>
    <x v="1"/>
    <n v="1218.44"/>
  </r>
  <r>
    <x v="0"/>
    <x v="1"/>
    <n v="1218.44"/>
  </r>
  <r>
    <x v="2"/>
    <x v="2"/>
    <n v="753.19"/>
  </r>
  <r>
    <x v="0"/>
    <x v="1"/>
    <n v="1213.9000000000001"/>
  </r>
  <r>
    <x v="2"/>
    <x v="1"/>
    <n v="1498.19"/>
  </r>
  <r>
    <x v="0"/>
    <x v="0"/>
    <n v="1216.97"/>
  </r>
  <r>
    <x v="0"/>
    <x v="0"/>
    <n v="1213.9000000000001"/>
  </r>
  <r>
    <x v="0"/>
    <x v="0"/>
    <n v="2345.4"/>
  </r>
  <r>
    <x v="0"/>
    <x v="2"/>
    <n v="737.8"/>
  </r>
  <r>
    <x v="2"/>
    <x v="2"/>
    <n v="670.51"/>
  </r>
  <r>
    <x v="2"/>
    <x v="2"/>
    <n v="678.53"/>
  </r>
  <r>
    <x v="0"/>
    <x v="1"/>
    <n v="1213.9000000000001"/>
  </r>
  <r>
    <x v="0"/>
    <x v="1"/>
    <n v="1218.44"/>
  </r>
  <r>
    <x v="0"/>
    <x v="1"/>
    <n v="1213.9000000000001"/>
  </r>
  <r>
    <x v="0"/>
    <x v="1"/>
    <n v="1218.44"/>
  </r>
  <r>
    <x v="0"/>
    <x v="1"/>
    <n v="1213.9000000000001"/>
  </r>
  <r>
    <x v="0"/>
    <x v="1"/>
    <n v="1223.1099999999999"/>
  </r>
  <r>
    <x v="0"/>
    <x v="0"/>
    <n v="1216.97"/>
  </r>
  <r>
    <x v="1"/>
    <x v="0"/>
    <n v="2170.59"/>
  </r>
  <r>
    <x v="1"/>
    <x v="0"/>
    <n v="1961.6"/>
  </r>
  <r>
    <x v="0"/>
    <x v="1"/>
    <n v="1216.97"/>
  </r>
  <r>
    <x v="0"/>
    <x v="1"/>
    <n v="1216.97"/>
  </r>
  <r>
    <x v="2"/>
    <x v="0"/>
    <n v="4509.1000000000004"/>
  </r>
  <r>
    <x v="2"/>
    <x v="0"/>
    <n v="5062.6000000000004"/>
  </r>
  <r>
    <x v="0"/>
    <x v="0"/>
    <n v="1802.56"/>
  </r>
  <r>
    <x v="2"/>
    <x v="1"/>
    <n v="820.06"/>
  </r>
  <r>
    <x v="2"/>
    <x v="1"/>
    <n v="903.41"/>
  </r>
  <r>
    <x v="0"/>
    <x v="1"/>
    <n v="1380.17"/>
  </r>
  <r>
    <x v="2"/>
    <x v="1"/>
    <n v="1792.87"/>
  </r>
  <r>
    <x v="1"/>
    <x v="1"/>
    <n v="1593.85"/>
  </r>
  <r>
    <x v="1"/>
    <x v="1"/>
    <n v="1343.43"/>
  </r>
  <r>
    <x v="1"/>
    <x v="0"/>
    <n v="2134.2600000000002"/>
  </r>
  <r>
    <x v="2"/>
    <x v="0"/>
    <n v="9404.7099999999991"/>
  </r>
  <r>
    <x v="0"/>
    <x v="0"/>
    <n v="1957.06"/>
  </r>
  <r>
    <x v="1"/>
    <x v="0"/>
    <n v="1556.85"/>
  </r>
  <r>
    <x v="4"/>
    <x v="1"/>
    <n v="907.56"/>
  </r>
  <r>
    <x v="5"/>
    <x v="1"/>
    <n v="1391.63"/>
  </r>
  <r>
    <x v="0"/>
    <x v="2"/>
    <n v="704"/>
  </r>
  <r>
    <x v="4"/>
    <x v="1"/>
    <n v="1662.66"/>
  </r>
  <r>
    <x v="4"/>
    <x v="1"/>
    <n v="1377.03"/>
  </r>
  <r>
    <x v="4"/>
    <x v="1"/>
    <n v="1205.3599999999999"/>
  </r>
  <r>
    <x v="4"/>
    <x v="1"/>
    <n v="1108.25"/>
  </r>
  <r>
    <x v="0"/>
    <x v="1"/>
    <n v="1783.27"/>
  </r>
  <r>
    <x v="4"/>
    <x v="1"/>
    <n v="1754.42"/>
  </r>
  <r>
    <x v="0"/>
    <x v="2"/>
    <n v="696.5"/>
  </r>
  <r>
    <x v="4"/>
    <x v="0"/>
    <n v="2651.31"/>
  </r>
  <r>
    <x v="0"/>
    <x v="1"/>
    <n v="965.17"/>
  </r>
  <r>
    <x v="0"/>
    <x v="2"/>
    <n v="677.7"/>
  </r>
  <r>
    <x v="4"/>
    <x v="0"/>
    <n v="3043.77"/>
  </r>
  <r>
    <x v="4"/>
    <x v="2"/>
    <n v="799.2"/>
  </r>
  <r>
    <x v="4"/>
    <x v="0"/>
    <n v="2713.86"/>
  </r>
  <r>
    <x v="0"/>
    <x v="1"/>
    <n v="1270.04"/>
  </r>
  <r>
    <x v="4"/>
    <x v="1"/>
    <n v="1676.55"/>
  </r>
  <r>
    <x v="0"/>
    <x v="0"/>
    <n v="1950"/>
  </r>
  <r>
    <x v="1"/>
    <x v="1"/>
    <n v="1090.05"/>
  </r>
  <r>
    <x v="1"/>
    <x v="0"/>
    <n v="1469.11"/>
  </r>
  <r>
    <x v="2"/>
    <x v="0"/>
    <n v="1716.3"/>
  </r>
  <r>
    <x v="2"/>
    <x v="1"/>
    <n v="1279.51"/>
  </r>
  <r>
    <x v="0"/>
    <x v="1"/>
    <n v="1676.51"/>
  </r>
  <r>
    <x v="1"/>
    <x v="1"/>
    <n v="1439.93"/>
  </r>
  <r>
    <x v="1"/>
    <x v="1"/>
    <n v="1526"/>
  </r>
  <r>
    <x v="2"/>
    <x v="1"/>
    <n v="1072.0899999999999"/>
  </r>
  <r>
    <x v="2"/>
    <x v="2"/>
    <n v="838.45"/>
  </r>
  <r>
    <x v="6"/>
    <x v="2"/>
    <n v="658.35"/>
  </r>
  <r>
    <x v="6"/>
    <x v="2"/>
    <n v="658.35"/>
  </r>
  <r>
    <x v="6"/>
    <x v="2"/>
    <n v="658.35"/>
  </r>
  <r>
    <x v="6"/>
    <x v="2"/>
    <n v="658.35"/>
  </r>
  <r>
    <x v="6"/>
    <x v="2"/>
    <n v="657.9"/>
  </r>
  <r>
    <x v="6"/>
    <x v="2"/>
    <n v="657.9"/>
  </r>
  <r>
    <x v="6"/>
    <x v="0"/>
    <n v="0"/>
  </r>
  <r>
    <x v="6"/>
    <x v="0"/>
    <n v="0"/>
  </r>
  <r>
    <x v="2"/>
    <x v="0"/>
    <n v="873.05"/>
  </r>
  <r>
    <x v="6"/>
    <x v="1"/>
    <n v="990.28"/>
  </r>
  <r>
    <x v="6"/>
    <x v="0"/>
    <n v="2180.46"/>
  </r>
  <r>
    <x v="6"/>
    <x v="2"/>
    <n v="810.36"/>
  </r>
  <r>
    <x v="6"/>
    <x v="2"/>
    <n v="810.36"/>
  </r>
  <r>
    <x v="6"/>
    <x v="2"/>
    <n v="810.36"/>
  </r>
  <r>
    <x v="6"/>
    <x v="2"/>
    <n v="810.36"/>
  </r>
  <r>
    <x v="1"/>
    <x v="1"/>
    <n v="1574.78"/>
  </r>
  <r>
    <x v="1"/>
    <x v="1"/>
    <n v="1574.78"/>
  </r>
  <r>
    <x v="1"/>
    <x v="1"/>
    <n v="1574.78"/>
  </r>
  <r>
    <x v="1"/>
    <x v="1"/>
    <n v="1574.78"/>
  </r>
  <r>
    <x v="1"/>
    <x v="2"/>
    <n v="670.83"/>
  </r>
  <r>
    <x v="0"/>
    <x v="2"/>
    <n v="687.56"/>
  </r>
  <r>
    <x v="1"/>
    <x v="0"/>
    <n v="3539.41"/>
  </r>
  <r>
    <x v="0"/>
    <x v="2"/>
    <n v="686.12"/>
  </r>
  <r>
    <x v="1"/>
    <x v="0"/>
    <n v="2355.61"/>
  </r>
  <r>
    <x v="1"/>
    <x v="1"/>
    <n v="1734"/>
  </r>
  <r>
    <x v="6"/>
    <x v="0"/>
    <n v="2177.3000000000002"/>
  </r>
  <r>
    <x v="6"/>
    <x v="0"/>
    <n v="4230.6899999999996"/>
  </r>
  <r>
    <x v="4"/>
    <x v="1"/>
    <n v="1558.74"/>
  </r>
  <r>
    <x v="1"/>
    <x v="0"/>
    <n v="681.04"/>
  </r>
  <r>
    <x v="0"/>
    <x v="1"/>
    <n v="898.66"/>
  </r>
  <r>
    <x v="0"/>
    <x v="2"/>
    <n v="652.67999999999995"/>
  </r>
  <r>
    <x v="2"/>
    <x v="2"/>
    <n v="659.3"/>
  </r>
  <r>
    <x v="4"/>
    <x v="2"/>
    <n v="528.27"/>
  </r>
  <r>
    <x v="4"/>
    <x v="1"/>
    <n v="1320"/>
  </r>
  <r>
    <x v="4"/>
    <x v="0"/>
    <n v="2693.25"/>
  </r>
  <r>
    <x v="0"/>
    <x v="2"/>
    <n v="671.1"/>
  </r>
  <r>
    <x v="1"/>
    <x v="0"/>
    <n v="1775.88"/>
  </r>
  <r>
    <x v="1"/>
    <x v="0"/>
    <n v="3356.38"/>
  </r>
  <r>
    <x v="0"/>
    <x v="2"/>
    <n v="654.89"/>
  </r>
  <r>
    <x v="2"/>
    <x v="2"/>
    <n v="715.15"/>
  </r>
  <r>
    <x v="1"/>
    <x v="1"/>
    <n v="657.21"/>
  </r>
  <r>
    <x v="1"/>
    <x v="0"/>
    <n v="2061.1"/>
  </r>
  <r>
    <x v="2"/>
    <x v="0"/>
    <n v="3147.22"/>
  </r>
  <r>
    <x v="2"/>
    <x v="1"/>
    <n v="1415.8"/>
  </r>
  <r>
    <x v="7"/>
    <x v="1"/>
    <n v="1650.9"/>
  </r>
  <r>
    <x v="1"/>
    <x v="0"/>
    <n v="0"/>
  </r>
  <r>
    <x v="1"/>
    <x v="1"/>
    <n v="1775.34"/>
  </r>
  <r>
    <x v="2"/>
    <x v="0"/>
    <n v="2635.53"/>
  </r>
  <r>
    <x v="0"/>
    <x v="1"/>
    <n v="880"/>
  </r>
  <r>
    <x v="1"/>
    <x v="0"/>
    <n v="5621.77"/>
  </r>
  <r>
    <x v="1"/>
    <x v="2"/>
    <n v="661.5"/>
  </r>
  <r>
    <x v="8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Larissa Padilha"/>
    <x v="0"/>
    <s v="49.982.339/0001-20"/>
    <n v="1678.98"/>
    <x v="0"/>
  </r>
  <r>
    <s v="Larissa Padilha"/>
    <x v="0"/>
    <s v="47.766.246/0002-13"/>
    <n v="838.74"/>
    <x v="0"/>
  </r>
  <r>
    <s v="Helder Brunkow"/>
    <x v="0"/>
    <s v="34.060.666/0001-57"/>
    <n v="1953.22"/>
    <x v="0"/>
  </r>
  <r>
    <s v="Manu Ditzel"/>
    <x v="1"/>
    <s v="03.554.611/0003-31"/>
    <n v="944.16"/>
    <x v="0"/>
  </r>
  <r>
    <s v="Larissa Padilha"/>
    <x v="0"/>
    <s v="40.917.018/0001-77"/>
    <n v="1867.12"/>
    <x v="0"/>
  </r>
  <r>
    <s v="Helder Brunkow"/>
    <x v="0"/>
    <s v="08.895.369/0001-11"/>
    <n v="7118.85"/>
    <x v="1"/>
  </r>
  <r>
    <s v="Helder Brunkow"/>
    <x v="0"/>
    <s v="15.265.760/0001-06"/>
    <n v="3778.78"/>
    <x v="2"/>
  </r>
  <r>
    <s v="Helder Brunkow"/>
    <x v="0"/>
    <s v="54.211.982/0001-90"/>
    <n v="2406.4699999999998"/>
    <x v="3"/>
  </r>
  <r>
    <s v="Larissa Padilha"/>
    <x v="0"/>
    <s v="53.266.705/0002-00"/>
    <n v="1649.94"/>
    <x v="0"/>
  </r>
  <r>
    <s v="Helder Brunkow"/>
    <x v="0"/>
    <s v="31.599.810/0001-30"/>
    <n v="7115.96"/>
    <x v="0"/>
  </r>
  <r>
    <s v="Helder Brunkow"/>
    <x v="0"/>
    <s v="23.014.826/0001-05"/>
    <n v="4099.9799999999996"/>
    <x v="3"/>
  </r>
  <r>
    <s v="Helder Brunkow"/>
    <x v="0"/>
    <s v="41.069.473/0001-22"/>
    <n v="2099.52"/>
    <x v="0"/>
  </r>
  <r>
    <s v="Manu Ditzel"/>
    <x v="0"/>
    <s v="30.289.781/0001-47"/>
    <n v="680.37"/>
    <x v="0"/>
  </r>
  <r>
    <s v="Manu Ditzel"/>
    <x v="0"/>
    <s v="80.230.774/0001-48"/>
    <n v="2006.01"/>
    <x v="1"/>
  </r>
  <r>
    <s v="Helder Brunkow"/>
    <x v="0"/>
    <s v="07.621.230/0001-17"/>
    <n v="1507.48"/>
    <x v="3"/>
  </r>
  <r>
    <s v="Helder Brunkow"/>
    <x v="0"/>
    <s v="03.790.904/0001-56"/>
    <n v="1576.32"/>
    <x v="3"/>
  </r>
  <r>
    <s v="Helder Brunkow"/>
    <x v="0"/>
    <s v="03.790.904/0004-07"/>
    <n v="1452.42"/>
    <x v="3"/>
  </r>
  <r>
    <s v="Helder Brunkow"/>
    <x v="0"/>
    <s v="03.790.904/0005-80"/>
    <n v="4460.93"/>
    <x v="3"/>
  </r>
  <r>
    <s v="Helder Brunkow"/>
    <x v="0"/>
    <s v="13.338.712/0002-48"/>
    <n v="1453.67"/>
    <x v="3"/>
  </r>
  <r>
    <s v="Helder Brunkow"/>
    <x v="0"/>
    <s v="13.338.712/0004-00"/>
    <n v="1392.8"/>
    <x v="3"/>
  </r>
  <r>
    <s v="Manu Ditzel"/>
    <x v="0"/>
    <s v="45.161.877/0001-00"/>
    <n v="6306.96"/>
    <x v="0"/>
  </r>
  <r>
    <s v="Helder Brunkow"/>
    <x v="1"/>
    <s v="60.641.605/0001-93"/>
    <n v="737.38"/>
    <x v="0"/>
  </r>
  <r>
    <s v="Helder Brunkow"/>
    <x v="0"/>
    <s v="28.088.475/0001-09"/>
    <n v="1267.05"/>
    <x v="0"/>
  </r>
  <r>
    <s v="Manu Ditzel"/>
    <x v="0"/>
    <s v="37.974.794/0001-02"/>
    <n v="6491.55"/>
    <x v="3"/>
  </r>
  <r>
    <s v="Helder Brunkow"/>
    <x v="0"/>
    <s v="42.045.188/0001-34"/>
    <n v="2744.45"/>
    <x v="0"/>
  </r>
  <r>
    <s v="Helder Brunkow"/>
    <x v="0"/>
    <s v="57.185.527/0001-55"/>
    <n v="2930.22"/>
    <x v="0"/>
  </r>
  <r>
    <s v="Larissa Padilha"/>
    <x v="0"/>
    <s v="49.366.518/0001-32"/>
    <n v="2925.82"/>
    <x v="2"/>
  </r>
  <r>
    <s v="Helder Brunkow"/>
    <x v="0"/>
    <s v="15.428.647/0001-96"/>
    <n v="2308.56"/>
    <x v="0"/>
  </r>
  <r>
    <s v="Helder Brunkow"/>
    <x v="0"/>
    <s v="46.814.160/0001-75"/>
    <n v="7216.91"/>
    <x v="0"/>
  </r>
  <r>
    <s v="Manu Ditzel"/>
    <x v="1"/>
    <s v="45.345.641/0001-16"/>
    <n v="803.98"/>
    <x v="4"/>
  </r>
  <r>
    <s v="Manu Ditzel"/>
    <x v="1"/>
    <s v="59.876.252/0001-21"/>
    <n v="1253.1300000000001"/>
    <x v="0"/>
  </r>
  <r>
    <s v="Helder Brunkow"/>
    <x v="2"/>
    <s v="53.413.839/0001-18"/>
    <n v="699.37"/>
    <x v="3"/>
  </r>
  <r>
    <s v="Helder Brunkow"/>
    <x v="1"/>
    <s v="58.188.486/0001-13"/>
    <n v="1184.3599999999999"/>
    <x v="0"/>
  </r>
  <r>
    <s v="Manu Ditzel"/>
    <x v="0"/>
    <s v="39.251.980/0001-30"/>
    <n v="2102.89"/>
    <x v="2"/>
  </r>
  <r>
    <s v="Larissa Padilha"/>
    <x v="1"/>
    <s v="60.023.278/0001-06"/>
    <n v="1137.8399999999999"/>
    <x v="0"/>
  </r>
  <r>
    <s v="Manu Ditzel"/>
    <x v="0"/>
    <s v="41.887.017/0001-90"/>
    <n v="3467.83"/>
    <x v="4"/>
  </r>
  <r>
    <s v="Helder Brunkow"/>
    <x v="0"/>
    <s v="46.992.372/0001-42"/>
    <n v="2287.64"/>
    <x v="0"/>
  </r>
  <r>
    <s v="Helder Brunkow"/>
    <x v="1"/>
    <s v="59.460.012/0001-41"/>
    <n v="1568.19"/>
    <x v="3"/>
  </r>
  <r>
    <s v="Manu Ditzel"/>
    <x v="2"/>
    <s v="32.940.804/0001-67"/>
    <n v="712.76"/>
    <x v="3"/>
  </r>
  <r>
    <s v="Larissa Padilha"/>
    <x v="2"/>
    <s v="08.452.814/0001-79"/>
    <n v="853.74"/>
    <x v="0"/>
  </r>
  <r>
    <s v="Larissa Padilha"/>
    <x v="2"/>
    <s v="48.681.846/0001-60"/>
    <n v="818.67"/>
    <x v="0"/>
  </r>
  <r>
    <s v="Larissa Padilha"/>
    <x v="1"/>
    <s v="61.357.031/0001-99"/>
    <n v="1099.98"/>
    <x v="0"/>
  </r>
  <r>
    <s v="Manu Ditzel"/>
    <x v="2"/>
    <s v="21.691.717/0001-05"/>
    <n v="862.43"/>
    <x v="0"/>
  </r>
  <r>
    <s v="Helder Brunkow"/>
    <x v="0"/>
    <s v="10.337.748/0001-38"/>
    <n v="2015.4"/>
    <x v="3"/>
  </r>
  <r>
    <s v="Helder Brunkow"/>
    <x v="1"/>
    <s v="29.402.498/0001-09"/>
    <n v="1365.38"/>
    <x v="5"/>
  </r>
  <r>
    <s v="Manu Ditzel"/>
    <x v="0"/>
    <s v="37.370.567/0001-60"/>
    <n v="2058.0700000000002"/>
    <x v="4"/>
  </r>
  <r>
    <s v="Manu Ditzel"/>
    <x v="0"/>
    <s v="05.382.867/0001-72"/>
    <n v="1857.45"/>
    <x v="3"/>
  </r>
  <r>
    <s v="Larissa Padilha"/>
    <x v="2"/>
    <s v="60.183.440/0001-53"/>
    <n v="690.8"/>
    <x v="0"/>
  </r>
  <r>
    <s v="Helder Brunkow"/>
    <x v="1"/>
    <s v="55.274.946/0001-38"/>
    <n v="1537.85"/>
    <x v="0"/>
  </r>
  <r>
    <s v="Helder Brunkow"/>
    <x v="1"/>
    <s v="03.411.217/0001-82"/>
    <n v="959.79"/>
    <x v="3"/>
  </r>
  <r>
    <s v="Helder Brunkow"/>
    <x v="1"/>
    <s v="27.433.919/0001-25"/>
    <n v="990"/>
    <x v="2"/>
  </r>
  <r>
    <s v="Manu Ditzel"/>
    <x v="2"/>
    <s v="33.463.112/0001-38"/>
    <n v="761.48"/>
    <x v="1"/>
  </r>
  <r>
    <s v="Larissa Padilha"/>
    <x v="1"/>
    <s v="48.486.297/0001-73"/>
    <n v="901.43"/>
    <x v="0"/>
  </r>
  <r>
    <s v="Helder Brunkow"/>
    <x v="0"/>
    <s v="41.418.074/0001-20"/>
    <n v="4541.91"/>
    <x v="3"/>
  </r>
  <r>
    <s v="Manu Ditzel"/>
    <x v="0"/>
    <s v="07.316.826/0001-03"/>
    <n v="1723.68"/>
    <x v="3"/>
  </r>
  <r>
    <s v="Manu Ditzel"/>
    <x v="1"/>
    <s v="31.727.331/0001-51"/>
    <n v="1146.03"/>
    <x v="1"/>
  </r>
  <r>
    <s v="Helder Brunkow"/>
    <x v="1"/>
    <s v="18.997.672/0001-89"/>
    <n v="896.65"/>
    <x v="5"/>
  </r>
  <r>
    <s v="Lorrany"/>
    <x v="2"/>
    <s v="52.035.194/0001-64"/>
    <n v="664.12"/>
    <x v="0"/>
  </r>
  <r>
    <s v="Manu Ditzel"/>
    <x v="0"/>
    <s v="14.419.497/0001-91"/>
    <n v="2178.81"/>
    <x v="3"/>
  </r>
  <r>
    <s v="Helder Brunkow"/>
    <x v="2"/>
    <s v="39.290.070/0001-67"/>
    <n v="704.65"/>
    <x v="0"/>
  </r>
  <r>
    <s v="Helder Brunkow"/>
    <x v="2"/>
    <s v="23.777.036/0001-81"/>
    <n v="576"/>
    <x v="2"/>
  </r>
  <r>
    <s v="Lorrany"/>
    <x v="2"/>
    <s v="54.993.650/0001-04"/>
    <n v="398.62"/>
    <x v="0"/>
  </r>
  <r>
    <s v="Helder Brunkow"/>
    <x v="0"/>
    <s v="22.105.950/0001-13"/>
    <n v="2758.95"/>
    <x v="0"/>
  </r>
  <r>
    <s v="Lorrany"/>
    <x v="1"/>
    <s v="58.831.467/0001-63"/>
    <n v="1498.5"/>
    <x v="0"/>
  </r>
  <r>
    <s v="Helder Brunkow"/>
    <x v="0"/>
    <s v="00.939.085/0001-78"/>
    <n v="5040"/>
    <x v="1"/>
  </r>
  <r>
    <s v="Helder Brunkow"/>
    <x v="2"/>
    <s v="39.565.216/0001-30"/>
    <n v="848.4"/>
    <x v="2"/>
  </r>
  <r>
    <s v="Helder Brunkow"/>
    <x v="1"/>
    <s v="37.717.783/0001-39"/>
    <n v="1470.17"/>
    <x v="0"/>
  </r>
  <r>
    <s v="Helder Brunkow"/>
    <x v="0"/>
    <s v="03.300.974/0038-70"/>
    <n v="3300"/>
    <x v="3"/>
  </r>
  <r>
    <s v="Helder Brunkow"/>
    <x v="0"/>
    <s v="16.762.003/0001-00"/>
    <n v="2798.08"/>
    <x v="0"/>
  </r>
  <r>
    <s v="Manu Ditzel"/>
    <x v="0"/>
    <s v="30.880.916/0001-44"/>
    <n v="10200.370000000001"/>
    <x v="0"/>
  </r>
  <r>
    <s v="Helder Brunkow"/>
    <x v="1"/>
    <s v="38.598.934/0001-40"/>
    <n v="1130.72"/>
    <x v="6"/>
  </r>
  <r>
    <s v="Manu Ditzel"/>
    <x v="2"/>
    <s v="13.435.819/0001-23"/>
    <n v="661.57"/>
    <x v="3"/>
  </r>
  <r>
    <s v="Larissa Padilha"/>
    <x v="1"/>
    <s v="55.717.635/0001-04"/>
    <n v="1765.7"/>
    <x v="0"/>
  </r>
  <r>
    <s v="Larissa Padilha"/>
    <x v="2"/>
    <s v="21.757.527/0001-35"/>
    <n v="674.11"/>
    <x v="0"/>
  </r>
  <r>
    <s v="Helder Brunkow"/>
    <x v="0"/>
    <s v="38.614.942/0001-32"/>
    <n v="1999.78"/>
    <x v="0"/>
  </r>
  <r>
    <s v="Manu Ditzel"/>
    <x v="0"/>
    <s v="51.213.425/0001-10"/>
    <n v="11358.43"/>
    <x v="2"/>
  </r>
  <r>
    <s v="Manu Ditzel"/>
    <x v="0"/>
    <s v="78.516.440/0006-06"/>
    <n v="2558.04"/>
    <x v="3"/>
  </r>
  <r>
    <s v="Manu Ditzel"/>
    <x v="0"/>
    <s v="78.516.440/0004-36"/>
    <n v="2979.24"/>
    <x v="3"/>
  </r>
  <r>
    <s v="Helder Brunkow"/>
    <x v="0"/>
    <s v="24.337.192/0001-94"/>
    <n v="3510.38"/>
    <x v="3"/>
  </r>
  <r>
    <s v="Helder Brunkow"/>
    <x v="0"/>
    <s v="43.922.481/0002-86"/>
    <n v="1793.17"/>
    <x v="2"/>
  </r>
  <r>
    <s v="Helder Brunkow"/>
    <x v="1"/>
    <s v="52.916.686/0001-69"/>
    <n v="1442.74"/>
    <x v="3"/>
  </r>
  <r>
    <s v="Larissa Padilha"/>
    <x v="0"/>
    <s v="57.200.778/0001-61"/>
    <n v="1777.6"/>
    <x v="0"/>
  </r>
  <r>
    <s v="Helder Brunkow"/>
    <x v="0"/>
    <s v="18.885.226/0001-82"/>
    <n v="1499.33"/>
    <x v="1"/>
  </r>
  <r>
    <s v="Helder Brunkow"/>
    <x v="0"/>
    <s v="22.746.850/0001-76"/>
    <n v="1643.35"/>
    <x v="2"/>
  </r>
  <r>
    <s v="Larissa Padilha"/>
    <x v="0"/>
    <s v="55.483.453/0001-08"/>
    <n v="1889.7"/>
    <x v="0"/>
  </r>
  <r>
    <s v="Manu Ditzel"/>
    <x v="0"/>
    <s v="46.796.336/0001-03"/>
    <n v="2314.17"/>
    <x v="1"/>
  </r>
  <r>
    <s v="Larissa Padilha"/>
    <x v="1"/>
    <s v="54.943.813/0001-44"/>
    <n v="1355.9"/>
    <x v="0"/>
  </r>
  <r>
    <s v="Larissa Padilha"/>
    <x v="0"/>
    <s v="60.546.169/0001-73"/>
    <n v="2272.6"/>
    <x v="0"/>
  </r>
  <r>
    <s v="Lorrany"/>
    <x v="0"/>
    <s v="57.480.928/0001-38"/>
    <n v="925.83"/>
    <x v="0"/>
  </r>
  <r>
    <s v="Helder Brunkow"/>
    <x v="0"/>
    <s v="12.165.772/0001-62"/>
    <n v="2212.34"/>
    <x v="0"/>
  </r>
  <r>
    <s v="Larissa Padilha"/>
    <x v="2"/>
    <s v="08.626.347/0001-56"/>
    <n v="705.23"/>
    <x v="0"/>
  </r>
  <r>
    <s v="Manu Ditzel"/>
    <x v="2"/>
    <s v="55.795.646/0001-02"/>
    <n v="699.03"/>
    <x v="6"/>
  </r>
  <r>
    <s v="Manu Ditzel"/>
    <x v="2"/>
    <s v="81.586.596/0001-55"/>
    <n v="683.54"/>
    <x v="0"/>
  </r>
  <r>
    <s v="Manu Ditzel"/>
    <x v="1"/>
    <s v="43.023.380/0001-92"/>
    <n v="1512"/>
    <x v="4"/>
  </r>
  <r>
    <s v="Larissa Padilha"/>
    <x v="0"/>
    <s v="36.833.981/0001-03"/>
    <n v="3469.32"/>
    <x v="0"/>
  </r>
  <r>
    <s v="Manu Ditzel"/>
    <x v="0"/>
    <s v="18.078.522/0001-71"/>
    <n v="1902.51"/>
    <x v="0"/>
  </r>
  <r>
    <s v="Helder Brunkow"/>
    <x v="1"/>
    <s v="30.698.924/0001-74"/>
    <n v="1543.95"/>
    <x v="0"/>
  </r>
  <r>
    <s v="Helder Brunkow"/>
    <x v="0"/>
    <s v="34.901.637/0001-70"/>
    <n v="4506.8500000000004"/>
    <x v="3"/>
  </r>
  <r>
    <s v="Manu Ditzel"/>
    <x v="2"/>
    <s v="46.384.752/0001-02"/>
    <n v="681.32"/>
    <x v="2"/>
  </r>
  <r>
    <s v="Manu Ditzel"/>
    <x v="1"/>
    <s v="09.185.428/0004-73"/>
    <n v="1104.93"/>
    <x v="0"/>
  </r>
  <r>
    <s v="Manu Ditzel"/>
    <x v="1"/>
    <s v="09.185.428/0001-20"/>
    <n v="1096.94"/>
    <x v="0"/>
  </r>
  <r>
    <s v="Manu Ditzel"/>
    <x v="1"/>
    <s v="09.185.428/0003-92"/>
    <n v="1292.17"/>
    <x v="0"/>
  </r>
  <r>
    <s v="Helder Brunkow"/>
    <x v="1"/>
    <s v="33.778.381/0001-93"/>
    <n v="815.05"/>
    <x v="2"/>
  </r>
  <r>
    <s v="Helder Brunkow"/>
    <x v="2"/>
    <s v="38.449.259/0001-97"/>
    <n v="701.58"/>
    <x v="2"/>
  </r>
  <r>
    <s v="Manu Ditzel"/>
    <x v="0"/>
    <s v="08.226.720/0001-81"/>
    <n v="2526.1"/>
    <x v="3"/>
  </r>
  <r>
    <s v="Manu Ditzel"/>
    <x v="2"/>
    <s v="58.281.843/0001-93"/>
    <n v="702.86"/>
    <x v="0"/>
  </r>
  <r>
    <s v="Manu Ditzel"/>
    <x v="1"/>
    <s v="61.030.585/0001-87"/>
    <n v="868.99"/>
    <x v="4"/>
  </r>
  <r>
    <s v="Manu Ditzel"/>
    <x v="0"/>
    <s v="34.924.371/0001-81"/>
    <n v="27788.43"/>
    <x v="0"/>
  </r>
  <r>
    <s v="Manu Ditzel"/>
    <x v="1"/>
    <s v="00.815.797/0001-85"/>
    <n v="963.58"/>
    <x v="4"/>
  </r>
  <r>
    <s v="Larissa Padilha"/>
    <x v="0"/>
    <s v="58.104.865/0001-88"/>
    <n v="3742.44"/>
    <x v="0"/>
  </r>
  <r>
    <s v="Larissa Padilha"/>
    <x v="0"/>
    <s v="46.945.954/0001-78"/>
    <n v="1273.0899999999999"/>
    <x v="0"/>
  </r>
  <r>
    <s v="Helder Brunkow"/>
    <x v="1"/>
    <s v="60.764.392/0001-97"/>
    <n v="1001.78"/>
    <x v="5"/>
  </r>
  <r>
    <s v="Helder Brunkow"/>
    <x v="2"/>
    <s v="17.261.509/0018-39"/>
    <n v="652.51"/>
    <x v="0"/>
  </r>
  <r>
    <s v="Helder Brunkow"/>
    <x v="0"/>
    <s v="40.185.487/0001-49"/>
    <n v="828.81"/>
    <x v="0"/>
  </r>
  <r>
    <s v="Larissa Padilha"/>
    <x v="1"/>
    <s v="54.904.619/0001-50"/>
    <n v="905.86"/>
    <x v="0"/>
  </r>
  <r>
    <s v="Larissa Padilha"/>
    <x v="0"/>
    <s v="56.157.640/0001-64"/>
    <n v="2350.33"/>
    <x v="0"/>
  </r>
  <r>
    <s v="Manu Ditzel"/>
    <x v="0"/>
    <s v="48.097.578/0001-34"/>
    <n v="674.33"/>
    <x v="2"/>
  </r>
  <r>
    <s v="Manu Ditzel"/>
    <x v="0"/>
    <s v="79.725.255/0001-71"/>
    <n v="847.93"/>
    <x v="0"/>
  </r>
  <r>
    <s v="Larissa Padilha"/>
    <x v="1"/>
    <s v="53.191.899/0002-14"/>
    <n v="1218.44"/>
    <x v="0"/>
  </r>
  <r>
    <s v="Larissa Padilha"/>
    <x v="1"/>
    <s v="53.111.830/0001-52"/>
    <n v="1218.44"/>
    <x v="0"/>
  </r>
  <r>
    <s v="Manu Ditzel"/>
    <x v="2"/>
    <s v="05.926.581/0001-00"/>
    <n v="753.19"/>
    <x v="4"/>
  </r>
  <r>
    <s v="Larissa Padilha"/>
    <x v="1"/>
    <s v="53.191.899/0003-03"/>
    <n v="1213.9000000000001"/>
    <x v="0"/>
  </r>
  <r>
    <s v="Manu Ditzel"/>
    <x v="1"/>
    <s v="72.500.887/0001-98"/>
    <n v="1498.19"/>
    <x v="0"/>
  </r>
  <r>
    <s v="Larissa Padilha"/>
    <x v="0"/>
    <s v="52.261.228/0002-10"/>
    <n v="1216.97"/>
    <x v="0"/>
  </r>
  <r>
    <s v="Larissa Padilha"/>
    <x v="0"/>
    <s v="53.357.667/0002-93"/>
    <n v="1213.9000000000001"/>
    <x v="0"/>
  </r>
  <r>
    <s v="Larissa Padilha"/>
    <x v="0"/>
    <s v="43.732.530/0001-37"/>
    <n v="2345.4"/>
    <x v="0"/>
  </r>
  <r>
    <s v="Larissa Padilha"/>
    <x v="2"/>
    <s v="53.918.909/0001-90"/>
    <n v="737.8"/>
    <x v="0"/>
  </r>
  <r>
    <s v="Manu Ditzel"/>
    <x v="2"/>
    <s v="28.180.051/0001-61"/>
    <n v="670.51"/>
    <x v="2"/>
  </r>
  <r>
    <s v="Manu Ditzel"/>
    <x v="2"/>
    <s v="01.665.966/0001-00"/>
    <n v="678.53"/>
    <x v="0"/>
  </r>
  <r>
    <s v="Larissa Padilha"/>
    <x v="1"/>
    <s v="53.266.705/0001-11"/>
    <n v="1213.9000000000001"/>
    <x v="0"/>
  </r>
  <r>
    <s v="Larissa Padilha"/>
    <x v="1"/>
    <s v="53.357.667/0001-02"/>
    <n v="1218.44"/>
    <x v="0"/>
  </r>
  <r>
    <s v="Larissa Padilha"/>
    <x v="1"/>
    <s v="53.192.289/0002-35"/>
    <n v="1213.9000000000001"/>
    <x v="0"/>
  </r>
  <r>
    <s v="Larissa Padilha"/>
    <x v="1"/>
    <s v="53.191.899/0001-33"/>
    <n v="1218.44"/>
    <x v="0"/>
  </r>
  <r>
    <s v="Larissa Padilha"/>
    <x v="1"/>
    <s v="53.773.154/0001-82"/>
    <n v="1213.9000000000001"/>
    <x v="0"/>
  </r>
  <r>
    <s v="Larissa Padilha"/>
    <x v="1"/>
    <s v="59.794.577/0001-65"/>
    <n v="1223.1099999999999"/>
    <x v="0"/>
  </r>
  <r>
    <s v="Larissa Padilha"/>
    <x v="0"/>
    <s v="58.820.609/0001-97"/>
    <n v="1216.97"/>
    <x v="0"/>
  </r>
  <r>
    <s v="Helder Brunkow"/>
    <x v="0"/>
    <s v="17.641.819/0001-30"/>
    <n v="2170.59"/>
    <x v="2"/>
  </r>
  <r>
    <s v="Helder Brunkow"/>
    <x v="0"/>
    <s v="09.088.606/0001-03"/>
    <n v="1961.6"/>
    <x v="0"/>
  </r>
  <r>
    <s v="Larissa Padilha"/>
    <x v="1"/>
    <s v="59.394.889/0001-81"/>
    <n v="1216.97"/>
    <x v="0"/>
  </r>
  <r>
    <s v="Larissa Padilha"/>
    <x v="1"/>
    <s v="57.701.048/0001-44"/>
    <n v="1216.97"/>
    <x v="0"/>
  </r>
  <r>
    <s v="Manu Ditzel"/>
    <x v="0"/>
    <s v="14.133.092/0001-92"/>
    <n v="4509.1000000000004"/>
    <x v="4"/>
  </r>
  <r>
    <s v="Manu Ditzel"/>
    <x v="0"/>
    <s v="13.495.805/0001-03"/>
    <n v="5062.6000000000004"/>
    <x v="0"/>
  </r>
  <r>
    <s v="Larissa Padilha"/>
    <x v="0"/>
    <s v="54.801.197/0001-97"/>
    <n v="1802.56"/>
    <x v="0"/>
  </r>
  <r>
    <s v="Manu Ditzel"/>
    <x v="1"/>
    <s v="12.659.548/0001-27"/>
    <n v="820.06"/>
    <x v="0"/>
  </r>
  <r>
    <s v="Manu Ditzel"/>
    <x v="1"/>
    <s v="31.921.194/0001-91"/>
    <n v="903.41"/>
    <x v="2"/>
  </r>
  <r>
    <s v="Larissa Padilha"/>
    <x v="1"/>
    <s v="52.923.234/0001-04"/>
    <n v="1380.17"/>
    <x v="0"/>
  </r>
  <r>
    <s v="Manu Ditzel"/>
    <x v="1"/>
    <s v="40.607.315/0001-16"/>
    <n v="1792.87"/>
    <x v="0"/>
  </r>
  <r>
    <s v="Helder Brunkow"/>
    <x v="1"/>
    <s v="58.434.075/0001-60"/>
    <n v="1593.85"/>
    <x v="2"/>
  </r>
  <r>
    <s v="Helder Brunkow"/>
    <x v="1"/>
    <s v="04.755.895/0001-25"/>
    <n v="1343.43"/>
    <x v="3"/>
  </r>
  <r>
    <s v="Helder Brunkow"/>
    <x v="0"/>
    <s v="02.672.868/0001-63"/>
    <n v="2134.2600000000002"/>
    <x v="3"/>
  </r>
  <r>
    <s v="Manu Ditzel"/>
    <x v="0"/>
    <s v="07.523.884/0001-08"/>
    <n v="9404.7099999999991"/>
    <x v="0"/>
  </r>
  <r>
    <s v="Larissa Padilha"/>
    <x v="0"/>
    <s v="53.304.073/0001-33"/>
    <n v="1957.06"/>
    <x v="0"/>
  </r>
  <r>
    <s v="Helder Brunkow"/>
    <x v="0"/>
    <s v="41.920.449/0001-55"/>
    <n v="1556.85"/>
    <x v="2"/>
  </r>
  <r>
    <s v="Atendimento 01 - Central (Daiane)"/>
    <x v="1"/>
    <s v="27.376.725/0001-35"/>
    <n v="907.56"/>
    <x v="2"/>
  </r>
  <r>
    <s v="Redes e Franquias"/>
    <x v="1"/>
    <s v="31.574.092/0001-47"/>
    <n v="1391.63"/>
    <x v="2"/>
  </r>
  <r>
    <s v="Larissa Padilha"/>
    <x v="2"/>
    <s v="38.431.127/0001-38"/>
    <n v="704"/>
    <x v="2"/>
  </r>
  <r>
    <s v="Atendimento 01 - Central (Daiane)"/>
    <x v="1"/>
    <s v="43.497.241/0001-09"/>
    <n v="1662.66"/>
    <x v="2"/>
  </r>
  <r>
    <s v="Atendimento 01 - Central (Daiane)"/>
    <x v="1"/>
    <s v="50.620.234/0001-00"/>
    <n v="1377.03"/>
    <x v="2"/>
  </r>
  <r>
    <s v="Atendimento 01 - Central (Daiane)"/>
    <x v="1"/>
    <s v="36.093.651/0001-10"/>
    <n v="1205.3599999999999"/>
    <x v="2"/>
  </r>
  <r>
    <s v="Atendimento 01 - Central (Daiane)"/>
    <x v="1"/>
    <s v="37.015.609/0001-44"/>
    <n v="1108.25"/>
    <x v="2"/>
  </r>
  <r>
    <s v="Larissa Padilha"/>
    <x v="1"/>
    <s v="30.112.498/0001-45"/>
    <n v="1783.27"/>
    <x v="2"/>
  </r>
  <r>
    <s v="Atendimento 01 - Central (Daiane)"/>
    <x v="1"/>
    <s v="36.213.071/0001-10"/>
    <n v="1754.42"/>
    <x v="3"/>
  </r>
  <r>
    <s v="Larissa Padilha"/>
    <x v="2"/>
    <s v="20.243.285/0001-07"/>
    <n v="696.5"/>
    <x v="2"/>
  </r>
  <r>
    <s v="Atendimento 01 - Central (Daiane)"/>
    <x v="0"/>
    <s v="39.557.193/0001-11"/>
    <n v="2651.31"/>
    <x v="0"/>
  </r>
  <r>
    <s v="Larissa Padilha"/>
    <x v="1"/>
    <s v="22.081.589/0001-32"/>
    <n v="965.17"/>
    <x v="2"/>
  </r>
  <r>
    <s v="Larissa Padilha"/>
    <x v="2"/>
    <s v="39.324.235/0001-74"/>
    <n v="677.7"/>
    <x v="0"/>
  </r>
  <r>
    <s v="Atendimento 01 - Central (Daiane)"/>
    <x v="0"/>
    <s v="29.841.719/0001-37"/>
    <n v="3043.77"/>
    <x v="3"/>
  </r>
  <r>
    <s v="Atendimento 01 - Central (Daiane)"/>
    <x v="2"/>
    <s v="26.249.561/0004-65"/>
    <n v="799.2"/>
    <x v="4"/>
  </r>
  <r>
    <s v="Atendimento 01 - Central (Daiane)"/>
    <x v="0"/>
    <s v="26.593.516/0001-80"/>
    <n v="2713.86"/>
    <x v="3"/>
  </r>
  <r>
    <s v="Larissa Padilha"/>
    <x v="1"/>
    <s v="61.401.282/0001-23"/>
    <n v="1270.04"/>
    <x v="0"/>
  </r>
  <r>
    <s v="Atendimento 01 - Central (Daiane)"/>
    <x v="1"/>
    <s v="32.293.063/0001-70"/>
    <n v="1676.55"/>
    <x v="0"/>
  </r>
  <r>
    <s v="Larissa Padilha"/>
    <x v="0"/>
    <s v="22.853.928/0001-51"/>
    <n v="1950"/>
    <x v="2"/>
  </r>
  <r>
    <s v="Helder Brunkow"/>
    <x v="1"/>
    <s v="40.724.765/0001-99"/>
    <n v="1090.05"/>
    <x v="0"/>
  </r>
  <r>
    <s v="Helder Brunkow"/>
    <x v="0"/>
    <s v="54.126.104/0001-76"/>
    <n v="1469.11"/>
    <x v="0"/>
  </r>
  <r>
    <s v="Manu Ditzel"/>
    <x v="0"/>
    <s v="17.880.439/0002-30"/>
    <n v="1716.3"/>
    <x v="0"/>
  </r>
  <r>
    <s v="Manu Ditzel"/>
    <x v="1"/>
    <s v="12.886.112/0001-70"/>
    <n v="1279.51"/>
    <x v="0"/>
  </r>
  <r>
    <s v="Larissa Padilha"/>
    <x v="1"/>
    <s v="07.750.414/0001-87"/>
    <n v="1676.51"/>
    <x v="2"/>
  </r>
  <r>
    <s v="Helder Brunkow"/>
    <x v="1"/>
    <s v="43.249.227/0001-88"/>
    <n v="1439.93"/>
    <x v="2"/>
  </r>
  <r>
    <s v="Helder Brunkow"/>
    <x v="1"/>
    <s v="33.016.679/0001-66"/>
    <n v="1526"/>
    <x v="0"/>
  </r>
  <r>
    <s v="Manu Ditzel"/>
    <x v="1"/>
    <s v="60.487.702/0001-73"/>
    <n v="1072.0899999999999"/>
    <x v="3"/>
  </r>
  <r>
    <s v="Manu Ditzel"/>
    <x v="2"/>
    <s v="44.238.838/0001-93"/>
    <n v="838.45"/>
    <x v="0"/>
  </r>
  <r>
    <s v="Larissa Cristiani Domingues"/>
    <x v="2"/>
    <s v="06.905.607/0004-40"/>
    <n v="658.35"/>
    <x v="1"/>
  </r>
  <r>
    <s v="Larissa Cristiani Domingues"/>
    <x v="2"/>
    <s v="06.905.607/0005-20"/>
    <n v="658.35"/>
    <x v="1"/>
  </r>
  <r>
    <s v="Larissa Cristiani Domingues"/>
    <x v="2"/>
    <s v="06.905.607/0001-05"/>
    <n v="658.35"/>
    <x v="1"/>
  </r>
  <r>
    <s v="Larissa Cristiani Domingues"/>
    <x v="2"/>
    <s v="06.905.607/0007-92"/>
    <n v="658.35"/>
    <x v="1"/>
  </r>
  <r>
    <s v="Larissa Cristiani Domingues"/>
    <x v="2"/>
    <s v="06.905.607/0006-01"/>
    <n v="657.9"/>
    <x v="1"/>
  </r>
  <r>
    <s v="Larissa Cristiani Domingues"/>
    <x v="2"/>
    <s v="06.905.607/0002-88"/>
    <n v="657.9"/>
    <x v="1"/>
  </r>
  <r>
    <s v="Larissa Cristiani Domingues"/>
    <x v="0"/>
    <s v="80.204.332/0001-27"/>
    <n v="0"/>
    <x v="1"/>
  </r>
  <r>
    <s v="Larissa Cristiani Domingues"/>
    <x v="0"/>
    <s v="80.204.332/0002-08"/>
    <n v="0"/>
    <x v="1"/>
  </r>
  <r>
    <s v="Manu Ditzel"/>
    <x v="0"/>
    <s v="56.237.854/0001-40"/>
    <n v="873.05"/>
    <x v="2"/>
  </r>
  <r>
    <s v="Larissa Cristiani Domingues"/>
    <x v="1"/>
    <s v="53.454.684/0001-68"/>
    <n v="990.28"/>
    <x v="1"/>
  </r>
  <r>
    <s v="Larissa Cristiani Domingues"/>
    <x v="0"/>
    <s v="06.938.837/0001-62"/>
    <n v="2180.46"/>
    <x v="4"/>
  </r>
  <r>
    <s v="Larissa Cristiani Domingues"/>
    <x v="2"/>
    <s v="28.239.223/0001-25"/>
    <n v="810.36"/>
    <x v="1"/>
  </r>
  <r>
    <s v="Larissa Cristiani Domingues"/>
    <x v="2"/>
    <s v="34.159.229/0001-95"/>
    <n v="810.36"/>
    <x v="1"/>
  </r>
  <r>
    <s v="Larissa Cristiani Domingues"/>
    <x v="2"/>
    <s v="43.691.842/0001-40"/>
    <n v="810.36"/>
    <x v="1"/>
  </r>
  <r>
    <s v="Larissa Cristiani Domingues"/>
    <x v="2"/>
    <s v="28.998.910/0001-24"/>
    <n v="810.36"/>
    <x v="1"/>
  </r>
  <r>
    <s v="Helder Brunkow"/>
    <x v="1"/>
    <s v="26.225.527/0001-08"/>
    <n v="1574.78"/>
    <x v="2"/>
  </r>
  <r>
    <s v="Helder Brunkow"/>
    <x v="1"/>
    <s v="42.502.454/0001-00"/>
    <n v="1574.78"/>
    <x v="0"/>
  </r>
  <r>
    <s v="Helder Brunkow"/>
    <x v="1"/>
    <s v="50.324.818/0001-38"/>
    <n v="1574.78"/>
    <x v="0"/>
  </r>
  <r>
    <s v="Helder Brunkow"/>
    <x v="1"/>
    <s v="48.506.346/0001-92"/>
    <n v="1574.78"/>
    <x v="2"/>
  </r>
  <r>
    <s v="Helder Brunkow"/>
    <x v="2"/>
    <s v="41.610.352/0001-46"/>
    <n v="670.83"/>
    <x v="0"/>
  </r>
  <r>
    <s v="Larissa Padilha"/>
    <x v="2"/>
    <s v="55.666.250/0001-57"/>
    <n v="687.56"/>
    <x v="0"/>
  </r>
  <r>
    <s v="Helder Brunkow"/>
    <x v="0"/>
    <s v="49.639.041/0001-11"/>
    <n v="3539.41"/>
    <x v="3"/>
  </r>
  <r>
    <s v="Larissa Padilha"/>
    <x v="2"/>
    <s v="58.072.623/0001-50"/>
    <n v="686.12"/>
    <x v="0"/>
  </r>
  <r>
    <s v="Helder Brunkow"/>
    <x v="0"/>
    <s v="50.860.678/0001-12"/>
    <n v="2355.61"/>
    <x v="0"/>
  </r>
  <r>
    <s v="Helder Brunkow"/>
    <x v="1"/>
    <s v="60.502.242/0001-05"/>
    <n v="1734"/>
    <x v="4"/>
  </r>
  <r>
    <s v="Larissa Cristiani Domingues"/>
    <x v="0"/>
    <s v="31.833.282/0001-31"/>
    <n v="2177.3000000000002"/>
    <x v="4"/>
  </r>
  <r>
    <s v="Larissa Cristiani Domingues"/>
    <x v="0"/>
    <s v="75.176.859/0003-17"/>
    <n v="4230.6899999999996"/>
    <x v="1"/>
  </r>
  <r>
    <s v="Atendimento 01 - Central (Daiane)"/>
    <x v="1"/>
    <s v="06.982.791/0001-89"/>
    <n v="1558.74"/>
    <x v="3"/>
  </r>
  <r>
    <s v="Helder Brunkow"/>
    <x v="0"/>
    <s v="58.249.963/0001-03"/>
    <n v="681.04"/>
    <x v="2"/>
  </r>
  <r>
    <s v="Larissa Padilha"/>
    <x v="1"/>
    <s v="50.126.687/0001-84"/>
    <n v="898.66"/>
    <x v="2"/>
  </r>
  <r>
    <s v="Larissa Padilha"/>
    <x v="2"/>
    <s v="22.570.775/0001-35"/>
    <n v="652.67999999999995"/>
    <x v="0"/>
  </r>
  <r>
    <s v="Manu Ditzel"/>
    <x v="2"/>
    <s v="38.272.246/0001-95"/>
    <n v="659.3"/>
    <x v="2"/>
  </r>
  <r>
    <s v="Atendimento 01 - Central (Daiane)"/>
    <x v="2"/>
    <s v="79.080.602/0001-56"/>
    <n v="528.27"/>
    <x v="1"/>
  </r>
  <r>
    <s v="Atendimento 01 - Central (Daiane)"/>
    <x v="1"/>
    <s v="72.326.119/0001-60"/>
    <n v="1320"/>
    <x v="3"/>
  </r>
  <r>
    <s v="Atendimento 01 - Central (Daiane)"/>
    <x v="0"/>
    <s v="06.905.607/0003-69"/>
    <n v="2693.25"/>
    <x v="1"/>
  </r>
  <r>
    <s v="Larissa Padilha"/>
    <x v="2"/>
    <s v="40.053.395/0001-05"/>
    <n v="671.1"/>
    <x v="0"/>
  </r>
  <r>
    <s v="Helder Brunkow"/>
    <x v="0"/>
    <s v="24.583.557/0003-22"/>
    <n v="1775.88"/>
    <x v="3"/>
  </r>
  <r>
    <s v="Helder Brunkow"/>
    <x v="0"/>
    <s v="58.429.130/0001-24"/>
    <n v="3356.38"/>
    <x v="0"/>
  </r>
  <r>
    <s v="Larissa Padilha"/>
    <x v="2"/>
    <s v="55.726.945/0001-87"/>
    <n v="654.89"/>
    <x v="0"/>
  </r>
  <r>
    <s v="Manu Ditzel"/>
    <x v="2"/>
    <s v="37.266.276/0001-26"/>
    <n v="715.15"/>
    <x v="0"/>
  </r>
  <r>
    <s v="Helder Brunkow"/>
    <x v="1"/>
    <s v="33.950.384/0001-62"/>
    <n v="657.21"/>
    <x v="2"/>
  </r>
  <r>
    <s v="Helder Brunkow"/>
    <x v="0"/>
    <s v="15.626.213/0001-09"/>
    <n v="2061.1"/>
    <x v="2"/>
  </r>
  <r>
    <s v="Manu Ditzel"/>
    <x v="0"/>
    <s v="30.327.498/0001-62"/>
    <n v="3147.22"/>
    <x v="0"/>
  </r>
  <r>
    <s v="Manu Ditzel"/>
    <x v="1"/>
    <s v="16.693.613/0003-53"/>
    <n v="1415.8"/>
    <x v="3"/>
  </r>
  <r>
    <s v="Leandro Garcia"/>
    <x v="1"/>
    <s v="29.693.450/0001-99"/>
    <n v="1650.9"/>
    <x v="2"/>
  </r>
  <r>
    <s v="Helder Brunkow"/>
    <x v="0"/>
    <s v="42.535.786/0001-91"/>
    <n v="0"/>
    <x v="3"/>
  </r>
  <r>
    <s v="Helder Brunkow"/>
    <x v="1"/>
    <s v="52.212.261/0001-79"/>
    <n v="1775.34"/>
    <x v="0"/>
  </r>
  <r>
    <s v="Manu Ditzel"/>
    <x v="0"/>
    <s v="31.545.180/0001-10"/>
    <n v="2635.53"/>
    <x v="2"/>
  </r>
  <r>
    <s v="Larissa Padilha"/>
    <x v="1"/>
    <s v="54.116.382/0001-42"/>
    <n v="880"/>
    <x v="0"/>
  </r>
  <r>
    <s v="Helder Brunkow"/>
    <x v="0"/>
    <s v="55.615.538/0002-83"/>
    <n v="5621.77"/>
    <x v="3"/>
  </r>
  <r>
    <s v="Helder Brunkow"/>
    <x v="2"/>
    <s v="49.844.222/0001-80"/>
    <n v="661.5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Larissa Padilha"/>
    <x v="0"/>
    <s v="49.982.339/0001-20"/>
    <n v="1678.98"/>
  </r>
  <r>
    <s v="Larissa Padilha"/>
    <x v="0"/>
    <s v="47.766.246/0002-13"/>
    <n v="838.74"/>
  </r>
  <r>
    <s v="Helder Brunkow"/>
    <x v="0"/>
    <s v="34.060.666/0001-57"/>
    <n v="1953.22"/>
  </r>
  <r>
    <s v="Manu Ditzel"/>
    <x v="1"/>
    <s v="03.554.611/0003-31"/>
    <n v="944.16"/>
  </r>
  <r>
    <s v="Larissa Padilha"/>
    <x v="0"/>
    <s v="40.917.018/0001-77"/>
    <n v="1867.12"/>
  </r>
  <r>
    <s v="Helder Brunkow"/>
    <x v="0"/>
    <s v="08.895.369/0001-11"/>
    <n v="7118.85"/>
  </r>
  <r>
    <s v="Helder Brunkow"/>
    <x v="0"/>
    <s v="15.265.760/0001-06"/>
    <n v="3778.78"/>
  </r>
  <r>
    <s v="Helder Brunkow"/>
    <x v="0"/>
    <s v="54.211.982/0001-90"/>
    <n v="2406.4699999999998"/>
  </r>
  <r>
    <s v="Larissa Padilha"/>
    <x v="0"/>
    <s v="53.266.705/0002-00"/>
    <n v="1649.94"/>
  </r>
  <r>
    <s v="Helder Brunkow"/>
    <x v="0"/>
    <s v="31.599.810/0001-30"/>
    <n v="7115.96"/>
  </r>
  <r>
    <s v="Helder Brunkow"/>
    <x v="0"/>
    <s v="23.014.826/0001-05"/>
    <n v="4099.9799999999996"/>
  </r>
  <r>
    <s v="Helder Brunkow"/>
    <x v="0"/>
    <s v="41.069.473/0001-22"/>
    <n v="2099.52"/>
  </r>
  <r>
    <s v="Manu Ditzel"/>
    <x v="0"/>
    <s v="30.289.781/0001-47"/>
    <n v="680.37"/>
  </r>
  <r>
    <s v="Manu Ditzel"/>
    <x v="0"/>
    <s v="80.230.774/0001-48"/>
    <n v="2006.01"/>
  </r>
  <r>
    <s v="Helder Brunkow"/>
    <x v="0"/>
    <s v="07.621.230/0001-17"/>
    <n v="1507.48"/>
  </r>
  <r>
    <s v="Helder Brunkow"/>
    <x v="0"/>
    <s v="03.790.904/0001-56"/>
    <n v="1576.32"/>
  </r>
  <r>
    <s v="Helder Brunkow"/>
    <x v="0"/>
    <s v="03.790.904/0004-07"/>
    <n v="1452.42"/>
  </r>
  <r>
    <s v="Helder Brunkow"/>
    <x v="0"/>
    <s v="03.790.904/0005-80"/>
    <n v="4460.93"/>
  </r>
  <r>
    <s v="Helder Brunkow"/>
    <x v="0"/>
    <s v="13.338.712/0002-48"/>
    <n v="1453.67"/>
  </r>
  <r>
    <s v="Helder Brunkow"/>
    <x v="0"/>
    <s v="13.338.712/0004-00"/>
    <n v="1392.8"/>
  </r>
  <r>
    <s v="Manu Ditzel"/>
    <x v="0"/>
    <s v="45.161.877/0001-00"/>
    <n v="6306.96"/>
  </r>
  <r>
    <s v="Helder Brunkow"/>
    <x v="1"/>
    <s v="60.641.605/0001-93"/>
    <n v="737.38"/>
  </r>
  <r>
    <s v="Helder Brunkow"/>
    <x v="0"/>
    <s v="28.088.475/0001-09"/>
    <n v="1267.05"/>
  </r>
  <r>
    <s v="Manu Ditzel"/>
    <x v="0"/>
    <s v="37.974.794/0001-02"/>
    <n v="6491.55"/>
  </r>
  <r>
    <s v="Helder Brunkow"/>
    <x v="0"/>
    <s v="42.045.188/0001-34"/>
    <n v="2744.45"/>
  </r>
  <r>
    <s v="Helder Brunkow"/>
    <x v="0"/>
    <s v="57.185.527/0001-55"/>
    <n v="2930.22"/>
  </r>
  <r>
    <s v="Larissa Padilha"/>
    <x v="0"/>
    <s v="49.366.518/0001-32"/>
    <n v="2925.82"/>
  </r>
  <r>
    <s v="Helder Brunkow"/>
    <x v="0"/>
    <s v="15.428.647/0001-96"/>
    <n v="2308.56"/>
  </r>
  <r>
    <s v="Helder Brunkow"/>
    <x v="0"/>
    <s v="46.814.160/0001-75"/>
    <n v="7216.91"/>
  </r>
  <r>
    <s v="Manu Ditzel"/>
    <x v="1"/>
    <s v="45.345.641/0001-16"/>
    <n v="803.98"/>
  </r>
  <r>
    <s v="Manu Ditzel"/>
    <x v="1"/>
    <s v="59.876.252/0001-21"/>
    <n v="1253.1300000000001"/>
  </r>
  <r>
    <s v="Helder Brunkow"/>
    <x v="2"/>
    <s v="53.413.839/0001-18"/>
    <n v="699.37"/>
  </r>
  <r>
    <s v="Helder Brunkow"/>
    <x v="1"/>
    <s v="58.188.486/0001-13"/>
    <n v="1184.3599999999999"/>
  </r>
  <r>
    <s v="Manu Ditzel"/>
    <x v="0"/>
    <s v="39.251.980/0001-30"/>
    <n v="2102.89"/>
  </r>
  <r>
    <s v="Larissa Padilha"/>
    <x v="1"/>
    <s v="60.023.278/0001-06"/>
    <n v="1137.8399999999999"/>
  </r>
  <r>
    <s v="Manu Ditzel"/>
    <x v="0"/>
    <s v="41.887.017/0001-90"/>
    <n v="3467.83"/>
  </r>
  <r>
    <s v="Helder Brunkow"/>
    <x v="0"/>
    <s v="46.992.372/0001-42"/>
    <n v="2287.64"/>
  </r>
  <r>
    <s v="Helder Brunkow"/>
    <x v="1"/>
    <s v="59.460.012/0001-41"/>
    <n v="1568.19"/>
  </r>
  <r>
    <s v="Manu Ditzel"/>
    <x v="2"/>
    <s v="32.940.804/0001-67"/>
    <n v="712.76"/>
  </r>
  <r>
    <s v="Larissa Padilha"/>
    <x v="2"/>
    <s v="08.452.814/0001-79"/>
    <n v="853.74"/>
  </r>
  <r>
    <s v="Larissa Padilha"/>
    <x v="2"/>
    <s v="48.681.846/0001-60"/>
    <n v="818.67"/>
  </r>
  <r>
    <s v="Larissa Padilha"/>
    <x v="1"/>
    <s v="61.357.031/0001-99"/>
    <n v="1099.98"/>
  </r>
  <r>
    <s v="Manu Ditzel"/>
    <x v="2"/>
    <s v="21.691.717/0001-05"/>
    <n v="862.43"/>
  </r>
  <r>
    <s v="Helder Brunkow"/>
    <x v="0"/>
    <s v="10.337.748/0001-38"/>
    <n v="2015.4"/>
  </r>
  <r>
    <s v="Helder Brunkow"/>
    <x v="1"/>
    <s v="29.402.498/0001-09"/>
    <n v="1365.38"/>
  </r>
  <r>
    <s v="Manu Ditzel"/>
    <x v="0"/>
    <s v="37.370.567/0001-60"/>
    <n v="2058.0700000000002"/>
  </r>
  <r>
    <s v="Manu Ditzel"/>
    <x v="0"/>
    <s v="05.382.867/0001-72"/>
    <n v="1857.45"/>
  </r>
  <r>
    <s v="Larissa Padilha"/>
    <x v="2"/>
    <s v="60.183.440/0001-53"/>
    <n v="690.8"/>
  </r>
  <r>
    <s v="Helder Brunkow"/>
    <x v="1"/>
    <s v="55.274.946/0001-38"/>
    <n v="1537.85"/>
  </r>
  <r>
    <s v="Helder Brunkow"/>
    <x v="1"/>
    <s v="03.411.217/0001-82"/>
    <n v="959.79"/>
  </r>
  <r>
    <s v="Helder Brunkow"/>
    <x v="1"/>
    <s v="27.433.919/0001-25"/>
    <n v="990"/>
  </r>
  <r>
    <s v="Manu Ditzel"/>
    <x v="2"/>
    <s v="33.463.112/0001-38"/>
    <n v="761.48"/>
  </r>
  <r>
    <s v="Larissa Padilha"/>
    <x v="1"/>
    <s v="48.486.297/0001-73"/>
    <n v="901.43"/>
  </r>
  <r>
    <s v="Helder Brunkow"/>
    <x v="0"/>
    <s v="41.418.074/0001-20"/>
    <n v="4541.91"/>
  </r>
  <r>
    <s v="Manu Ditzel"/>
    <x v="0"/>
    <s v="07.316.826/0001-03"/>
    <n v="1723.68"/>
  </r>
  <r>
    <s v="Manu Ditzel"/>
    <x v="1"/>
    <s v="31.727.331/0001-51"/>
    <n v="1146.03"/>
  </r>
  <r>
    <s v="Helder Brunkow"/>
    <x v="1"/>
    <s v="18.997.672/0001-89"/>
    <n v="896.65"/>
  </r>
  <r>
    <s v="Lorrany"/>
    <x v="2"/>
    <s v="52.035.194/0001-64"/>
    <n v="664.12"/>
  </r>
  <r>
    <s v="Manu Ditzel"/>
    <x v="0"/>
    <s v="14.419.497/0001-91"/>
    <n v="2178.81"/>
  </r>
  <r>
    <s v="Helder Brunkow"/>
    <x v="2"/>
    <s v="39.290.070/0001-67"/>
    <n v="704.65"/>
  </r>
  <r>
    <s v="Helder Brunkow"/>
    <x v="2"/>
    <s v="23.777.036/0001-81"/>
    <n v="576"/>
  </r>
  <r>
    <s v="Lorrany"/>
    <x v="2"/>
    <s v="54.993.650/0001-04"/>
    <n v="398.62"/>
  </r>
  <r>
    <s v="Helder Brunkow"/>
    <x v="0"/>
    <s v="22.105.950/0001-13"/>
    <n v="2758.95"/>
  </r>
  <r>
    <s v="Lorrany"/>
    <x v="1"/>
    <s v="58.831.467/0001-63"/>
    <n v="1498.5"/>
  </r>
  <r>
    <s v="Helder Brunkow"/>
    <x v="0"/>
    <s v="00.939.085/0001-78"/>
    <n v="5040"/>
  </r>
  <r>
    <s v="Helder Brunkow"/>
    <x v="2"/>
    <s v="39.565.216/0001-30"/>
    <n v="848.4"/>
  </r>
  <r>
    <s v="Helder Brunkow"/>
    <x v="1"/>
    <s v="37.717.783/0001-39"/>
    <n v="1470.17"/>
  </r>
  <r>
    <s v="Helder Brunkow"/>
    <x v="0"/>
    <s v="03.300.974/0038-70"/>
    <n v="3300"/>
  </r>
  <r>
    <s v="Helder Brunkow"/>
    <x v="0"/>
    <s v="16.762.003/0001-00"/>
    <n v="2798.08"/>
  </r>
  <r>
    <s v="Manu Ditzel"/>
    <x v="0"/>
    <s v="30.880.916/0001-44"/>
    <n v="10200.370000000001"/>
  </r>
  <r>
    <s v="Helder Brunkow"/>
    <x v="1"/>
    <s v="38.598.934/0001-40"/>
    <n v="1130.72"/>
  </r>
  <r>
    <s v="Manu Ditzel"/>
    <x v="2"/>
    <s v="13.435.819/0001-23"/>
    <n v="661.57"/>
  </r>
  <r>
    <s v="Larissa Padilha"/>
    <x v="1"/>
    <s v="55.717.635/0001-04"/>
    <n v="1765.7"/>
  </r>
  <r>
    <s v="Larissa Padilha"/>
    <x v="2"/>
    <s v="21.757.527/0001-35"/>
    <n v="674.11"/>
  </r>
  <r>
    <s v="Helder Brunkow"/>
    <x v="0"/>
    <s v="38.614.942/0001-32"/>
    <n v="1999.78"/>
  </r>
  <r>
    <s v="Manu Ditzel"/>
    <x v="0"/>
    <s v="51.213.425/0001-10"/>
    <n v="11358.43"/>
  </r>
  <r>
    <s v="Manu Ditzel"/>
    <x v="0"/>
    <s v="78.516.440/0006-06"/>
    <n v="2558.04"/>
  </r>
  <r>
    <s v="Manu Ditzel"/>
    <x v="0"/>
    <s v="78.516.440/0004-36"/>
    <n v="2979.24"/>
  </r>
  <r>
    <s v="Helder Brunkow"/>
    <x v="0"/>
    <s v="24.337.192/0001-94"/>
    <n v="3510.38"/>
  </r>
  <r>
    <s v="Helder Brunkow"/>
    <x v="0"/>
    <s v="43.922.481/0002-86"/>
    <n v="1793.17"/>
  </r>
  <r>
    <s v="Helder Brunkow"/>
    <x v="1"/>
    <s v="52.916.686/0001-69"/>
    <n v="1442.74"/>
  </r>
  <r>
    <s v="Larissa Padilha"/>
    <x v="0"/>
    <s v="57.200.778/0001-61"/>
    <n v="1777.6"/>
  </r>
  <r>
    <s v="Helder Brunkow"/>
    <x v="0"/>
    <s v="18.885.226/0001-82"/>
    <n v="1499.33"/>
  </r>
  <r>
    <s v="Helder Brunkow"/>
    <x v="0"/>
    <s v="22.746.850/0001-76"/>
    <n v="1643.35"/>
  </r>
  <r>
    <s v="Larissa Padilha"/>
    <x v="0"/>
    <s v="55.483.453/0001-08"/>
    <n v="1889.7"/>
  </r>
  <r>
    <s v="Manu Ditzel"/>
    <x v="0"/>
    <s v="46.796.336/0001-03"/>
    <n v="2314.17"/>
  </r>
  <r>
    <s v="Larissa Padilha"/>
    <x v="1"/>
    <s v="54.943.813/0001-44"/>
    <n v="1355.9"/>
  </r>
  <r>
    <s v="Larissa Padilha"/>
    <x v="0"/>
    <s v="60.546.169/0001-73"/>
    <n v="2272.6"/>
  </r>
  <r>
    <s v="Lorrany"/>
    <x v="0"/>
    <s v="57.480.928/0001-38"/>
    <n v="925.83"/>
  </r>
  <r>
    <s v="Helder Brunkow"/>
    <x v="0"/>
    <s v="12.165.772/0001-62"/>
    <n v="2212.34"/>
  </r>
  <r>
    <s v="Larissa Padilha"/>
    <x v="2"/>
    <s v="08.626.347/0001-56"/>
    <n v="705.23"/>
  </r>
  <r>
    <s v="Manu Ditzel"/>
    <x v="2"/>
    <s v="55.795.646/0001-02"/>
    <n v="699.03"/>
  </r>
  <r>
    <s v="Manu Ditzel"/>
    <x v="2"/>
    <s v="81.586.596/0001-55"/>
    <n v="683.54"/>
  </r>
  <r>
    <s v="Manu Ditzel"/>
    <x v="1"/>
    <s v="43.023.380/0001-92"/>
    <n v="1512"/>
  </r>
  <r>
    <s v="Larissa Padilha"/>
    <x v="0"/>
    <s v="36.833.981/0001-03"/>
    <n v="3469.32"/>
  </r>
  <r>
    <s v="Manu Ditzel"/>
    <x v="0"/>
    <s v="18.078.522/0001-71"/>
    <n v="1902.51"/>
  </r>
  <r>
    <s v="Helder Brunkow"/>
    <x v="1"/>
    <s v="30.698.924/0001-74"/>
    <n v="1543.95"/>
  </r>
  <r>
    <s v="Helder Brunkow"/>
    <x v="0"/>
    <s v="34.901.637/0001-70"/>
    <n v="4506.8500000000004"/>
  </r>
  <r>
    <s v="Manu Ditzel"/>
    <x v="2"/>
    <s v="46.384.752/0001-02"/>
    <n v="681.32"/>
  </r>
  <r>
    <s v="Manu Ditzel"/>
    <x v="1"/>
    <s v="09.185.428/0004-73"/>
    <n v="1104.93"/>
  </r>
  <r>
    <s v="Manu Ditzel"/>
    <x v="1"/>
    <s v="09.185.428/0001-20"/>
    <n v="1096.94"/>
  </r>
  <r>
    <s v="Manu Ditzel"/>
    <x v="1"/>
    <s v="09.185.428/0003-92"/>
    <n v="1292.17"/>
  </r>
  <r>
    <s v="Helder Brunkow"/>
    <x v="1"/>
    <s v="33.778.381/0001-93"/>
    <n v="815.05"/>
  </r>
  <r>
    <s v="Helder Brunkow"/>
    <x v="2"/>
    <s v="38.449.259/0001-97"/>
    <n v="701.58"/>
  </r>
  <r>
    <s v="Manu Ditzel"/>
    <x v="0"/>
    <s v="08.226.720/0001-81"/>
    <n v="2526.1"/>
  </r>
  <r>
    <s v="Manu Ditzel"/>
    <x v="2"/>
    <s v="58.281.843/0001-93"/>
    <n v="702.86"/>
  </r>
  <r>
    <s v="Manu Ditzel"/>
    <x v="1"/>
    <s v="61.030.585/0001-87"/>
    <n v="868.99"/>
  </r>
  <r>
    <s v="Manu Ditzel"/>
    <x v="0"/>
    <s v="34.924.371/0001-81"/>
    <n v="27788.43"/>
  </r>
  <r>
    <s v="Manu Ditzel"/>
    <x v="1"/>
    <s v="00.815.797/0001-85"/>
    <n v="963.58"/>
  </r>
  <r>
    <s v="Larissa Padilha"/>
    <x v="0"/>
    <s v="58.104.865/0001-88"/>
    <n v="3742.44"/>
  </r>
  <r>
    <s v="Larissa Padilha"/>
    <x v="0"/>
    <s v="46.945.954/0001-78"/>
    <n v="1273.0899999999999"/>
  </r>
  <r>
    <s v="Helder Brunkow"/>
    <x v="1"/>
    <s v="60.764.392/0001-97"/>
    <n v="1001.78"/>
  </r>
  <r>
    <s v="Helder Brunkow"/>
    <x v="2"/>
    <s v="17.261.509/0018-39"/>
    <n v="652.51"/>
  </r>
  <r>
    <s v="Helder Brunkow"/>
    <x v="0"/>
    <s v="40.185.487/0001-49"/>
    <n v="828.81"/>
  </r>
  <r>
    <s v="Larissa Padilha"/>
    <x v="1"/>
    <s v="54.904.619/0001-50"/>
    <n v="905.86"/>
  </r>
  <r>
    <s v="Larissa Padilha"/>
    <x v="0"/>
    <s v="56.157.640/0001-64"/>
    <n v="2350.33"/>
  </r>
  <r>
    <s v="Manu Ditzel"/>
    <x v="0"/>
    <s v="48.097.578/0001-34"/>
    <n v="674.33"/>
  </r>
  <r>
    <s v="Manu Ditzel"/>
    <x v="0"/>
    <s v="79.725.255/0001-71"/>
    <n v="847.93"/>
  </r>
  <r>
    <s v="Larissa Padilha"/>
    <x v="1"/>
    <s v="53.191.899/0002-14"/>
    <n v="1218.44"/>
  </r>
  <r>
    <s v="Larissa Padilha"/>
    <x v="1"/>
    <s v="53.111.830/0001-52"/>
    <n v="1218.44"/>
  </r>
  <r>
    <s v="Manu Ditzel"/>
    <x v="2"/>
    <s v="05.926.581/0001-00"/>
    <n v="753.19"/>
  </r>
  <r>
    <s v="Larissa Padilha"/>
    <x v="1"/>
    <s v="53.191.899/0003-03"/>
    <n v="1213.9000000000001"/>
  </r>
  <r>
    <s v="Manu Ditzel"/>
    <x v="1"/>
    <s v="72.500.887/0001-98"/>
    <n v="1498.19"/>
  </r>
  <r>
    <s v="Larissa Padilha"/>
    <x v="0"/>
    <s v="52.261.228/0002-10"/>
    <n v="1216.97"/>
  </r>
  <r>
    <s v="Larissa Padilha"/>
    <x v="0"/>
    <s v="53.357.667/0002-93"/>
    <n v="1213.9000000000001"/>
  </r>
  <r>
    <s v="Larissa Padilha"/>
    <x v="0"/>
    <s v="43.732.530/0001-37"/>
    <n v="2345.4"/>
  </r>
  <r>
    <s v="Larissa Padilha"/>
    <x v="2"/>
    <s v="53.918.909/0001-90"/>
    <n v="737.8"/>
  </r>
  <r>
    <s v="Manu Ditzel"/>
    <x v="2"/>
    <s v="28.180.051/0001-61"/>
    <n v="670.51"/>
  </r>
  <r>
    <s v="Manu Ditzel"/>
    <x v="2"/>
    <s v="01.665.966/0001-00"/>
    <n v="678.53"/>
  </r>
  <r>
    <s v="Larissa Padilha"/>
    <x v="1"/>
    <s v="53.266.705/0001-11"/>
    <n v="1213.9000000000001"/>
  </r>
  <r>
    <s v="Larissa Padilha"/>
    <x v="1"/>
    <s v="53.357.667/0001-02"/>
    <n v="1218.44"/>
  </r>
  <r>
    <s v="Larissa Padilha"/>
    <x v="1"/>
    <s v="53.192.289/0002-35"/>
    <n v="1213.9000000000001"/>
  </r>
  <r>
    <s v="Larissa Padilha"/>
    <x v="1"/>
    <s v="53.191.899/0001-33"/>
    <n v="1218.44"/>
  </r>
  <r>
    <s v="Larissa Padilha"/>
    <x v="1"/>
    <s v="53.773.154/0001-82"/>
    <n v="1213.9000000000001"/>
  </r>
  <r>
    <s v="Larissa Padilha"/>
    <x v="1"/>
    <s v="59.794.577/0001-65"/>
    <n v="1223.1099999999999"/>
  </r>
  <r>
    <s v="Larissa Padilha"/>
    <x v="0"/>
    <s v="58.820.609/0001-97"/>
    <n v="1216.97"/>
  </r>
  <r>
    <s v="Helder Brunkow"/>
    <x v="0"/>
    <s v="17.641.819/0001-30"/>
    <n v="2170.59"/>
  </r>
  <r>
    <s v="Helder Brunkow"/>
    <x v="0"/>
    <s v="09.088.606/0001-03"/>
    <n v="1961.6"/>
  </r>
  <r>
    <s v="Larissa Padilha"/>
    <x v="1"/>
    <s v="59.394.889/0001-81"/>
    <n v="1216.97"/>
  </r>
  <r>
    <s v="Larissa Padilha"/>
    <x v="1"/>
    <s v="57.701.048/0001-44"/>
    <n v="1216.97"/>
  </r>
  <r>
    <s v="Manu Ditzel"/>
    <x v="0"/>
    <s v="14.133.092/0001-92"/>
    <n v="4509.1000000000004"/>
  </r>
  <r>
    <s v="Manu Ditzel"/>
    <x v="0"/>
    <s v="13.495.805/0001-03"/>
    <n v="5062.6000000000004"/>
  </r>
  <r>
    <s v="Larissa Padilha"/>
    <x v="0"/>
    <s v="54.801.197/0001-97"/>
    <n v="1802.56"/>
  </r>
  <r>
    <s v="Manu Ditzel"/>
    <x v="1"/>
    <s v="12.659.548/0001-27"/>
    <n v="820.06"/>
  </r>
  <r>
    <s v="Manu Ditzel"/>
    <x v="1"/>
    <s v="31.921.194/0001-91"/>
    <n v="903.41"/>
  </r>
  <r>
    <s v="Larissa Padilha"/>
    <x v="1"/>
    <s v="52.923.234/0001-04"/>
    <n v="1380.17"/>
  </r>
  <r>
    <s v="Manu Ditzel"/>
    <x v="1"/>
    <s v="40.607.315/0001-16"/>
    <n v="1792.87"/>
  </r>
  <r>
    <s v="Helder Brunkow"/>
    <x v="1"/>
    <s v="58.434.075/0001-60"/>
    <n v="1593.85"/>
  </r>
  <r>
    <s v="Helder Brunkow"/>
    <x v="1"/>
    <s v="04.755.895/0001-25"/>
    <n v="1343.43"/>
  </r>
  <r>
    <s v="Helder Brunkow"/>
    <x v="0"/>
    <s v="02.672.868/0001-63"/>
    <n v="2134.2600000000002"/>
  </r>
  <r>
    <s v="Manu Ditzel"/>
    <x v="0"/>
    <s v="07.523.884/0001-08"/>
    <n v="9404.7099999999991"/>
  </r>
  <r>
    <s v="Larissa Padilha"/>
    <x v="0"/>
    <s v="53.304.073/0001-33"/>
    <n v="1957.06"/>
  </r>
  <r>
    <s v="Helder Brunkow"/>
    <x v="0"/>
    <s v="41.920.449/0001-55"/>
    <n v="1556.85"/>
  </r>
  <r>
    <s v="Atendimento 01 - Central (Daiane)"/>
    <x v="1"/>
    <s v="27.376.725/0001-35"/>
    <n v="907.56"/>
  </r>
  <r>
    <s v="Redes e Franquias"/>
    <x v="1"/>
    <s v="31.574.092/0001-47"/>
    <n v="1391.63"/>
  </r>
  <r>
    <s v="Larissa Padilha"/>
    <x v="2"/>
    <s v="38.431.127/0001-38"/>
    <n v="704"/>
  </r>
  <r>
    <s v="Atendimento 01 - Central (Daiane)"/>
    <x v="1"/>
    <s v="43.497.241/0001-09"/>
    <n v="1662.66"/>
  </r>
  <r>
    <s v="Atendimento 01 - Central (Daiane)"/>
    <x v="1"/>
    <s v="50.620.234/0001-00"/>
    <n v="1377.03"/>
  </r>
  <r>
    <s v="Atendimento 01 - Central (Daiane)"/>
    <x v="1"/>
    <s v="36.093.651/0001-10"/>
    <n v="1205.3599999999999"/>
  </r>
  <r>
    <s v="Atendimento 01 - Central (Daiane)"/>
    <x v="1"/>
    <s v="37.015.609/0001-44"/>
    <n v="1108.25"/>
  </r>
  <r>
    <s v="Larissa Padilha"/>
    <x v="1"/>
    <s v="30.112.498/0001-45"/>
    <n v="1783.27"/>
  </r>
  <r>
    <s v="Atendimento 01 - Central (Daiane)"/>
    <x v="1"/>
    <s v="36.213.071/0001-10"/>
    <n v="1754.42"/>
  </r>
  <r>
    <s v="Larissa Padilha"/>
    <x v="2"/>
    <s v="20.243.285/0001-07"/>
    <n v="696.5"/>
  </r>
  <r>
    <s v="Atendimento 01 - Central (Daiane)"/>
    <x v="0"/>
    <s v="39.557.193/0001-11"/>
    <n v="2651.31"/>
  </r>
  <r>
    <s v="Larissa Padilha"/>
    <x v="1"/>
    <s v="22.081.589/0001-32"/>
    <n v="965.17"/>
  </r>
  <r>
    <s v="Larissa Padilha"/>
    <x v="2"/>
    <s v="39.324.235/0001-74"/>
    <n v="677.7"/>
  </r>
  <r>
    <s v="Atendimento 01 - Central (Daiane)"/>
    <x v="0"/>
    <s v="29.841.719/0001-37"/>
    <n v="3043.77"/>
  </r>
  <r>
    <s v="Atendimento 01 - Central (Daiane)"/>
    <x v="2"/>
    <s v="26.249.561/0004-65"/>
    <n v="799.2"/>
  </r>
  <r>
    <s v="Atendimento 01 - Central (Daiane)"/>
    <x v="0"/>
    <s v="26.593.516/0001-80"/>
    <n v="2713.86"/>
  </r>
  <r>
    <s v="Larissa Padilha"/>
    <x v="1"/>
    <s v="61.401.282/0001-23"/>
    <n v="1270.04"/>
  </r>
  <r>
    <s v="Atendimento 01 - Central (Daiane)"/>
    <x v="1"/>
    <s v="32.293.063/0001-70"/>
    <n v="1676.55"/>
  </r>
  <r>
    <s v="Larissa Padilha"/>
    <x v="0"/>
    <s v="22.853.928/0001-51"/>
    <n v="1950"/>
  </r>
  <r>
    <s v="Helder Brunkow"/>
    <x v="1"/>
    <s v="40.724.765/0001-99"/>
    <n v="1090.05"/>
  </r>
  <r>
    <s v="Helder Brunkow"/>
    <x v="0"/>
    <s v="54.126.104/0001-76"/>
    <n v="1469.11"/>
  </r>
  <r>
    <s v="Manu Ditzel"/>
    <x v="0"/>
    <s v="17.880.439/0002-30"/>
    <n v="1716.3"/>
  </r>
  <r>
    <s v="Manu Ditzel"/>
    <x v="1"/>
    <s v="12.886.112/0001-70"/>
    <n v="1279.51"/>
  </r>
  <r>
    <s v="Larissa Padilha"/>
    <x v="1"/>
    <s v="07.750.414/0001-87"/>
    <n v="1676.51"/>
  </r>
  <r>
    <s v="Helder Brunkow"/>
    <x v="1"/>
    <s v="43.249.227/0001-88"/>
    <n v="1439.93"/>
  </r>
  <r>
    <s v="Helder Brunkow"/>
    <x v="1"/>
    <s v="33.016.679/0001-66"/>
    <n v="1526"/>
  </r>
  <r>
    <s v="Manu Ditzel"/>
    <x v="1"/>
    <s v="60.487.702/0001-73"/>
    <n v="1072.0899999999999"/>
  </r>
  <r>
    <s v="Manu Ditzel"/>
    <x v="2"/>
    <s v="44.238.838/0001-93"/>
    <n v="838.45"/>
  </r>
  <r>
    <s v="Larissa Cristiani Domingues"/>
    <x v="2"/>
    <s v="06.905.607/0004-40"/>
    <n v="658.35"/>
  </r>
  <r>
    <s v="Larissa Cristiani Domingues"/>
    <x v="2"/>
    <s v="06.905.607/0005-20"/>
    <n v="658.35"/>
  </r>
  <r>
    <s v="Larissa Cristiani Domingues"/>
    <x v="2"/>
    <s v="06.905.607/0001-05"/>
    <n v="658.35"/>
  </r>
  <r>
    <s v="Larissa Cristiani Domingues"/>
    <x v="2"/>
    <s v="06.905.607/0007-92"/>
    <n v="658.35"/>
  </r>
  <r>
    <s v="Larissa Cristiani Domingues"/>
    <x v="2"/>
    <s v="06.905.607/0006-01"/>
    <n v="657.9"/>
  </r>
  <r>
    <s v="Larissa Cristiani Domingues"/>
    <x v="2"/>
    <s v="06.905.607/0002-88"/>
    <n v="657.9"/>
  </r>
  <r>
    <s v="Larissa Cristiani Domingues"/>
    <x v="0"/>
    <s v="80.204.332/0001-27"/>
    <n v="0"/>
  </r>
  <r>
    <s v="Larissa Cristiani Domingues"/>
    <x v="0"/>
    <s v="80.204.332/0002-08"/>
    <n v="0"/>
  </r>
  <r>
    <s v="Manu Ditzel"/>
    <x v="0"/>
    <s v="56.237.854/0001-40"/>
    <n v="873.05"/>
  </r>
  <r>
    <s v="Larissa Cristiani Domingues"/>
    <x v="1"/>
    <s v="53.454.684/0001-68"/>
    <n v="990.28"/>
  </r>
  <r>
    <s v="Larissa Cristiani Domingues"/>
    <x v="0"/>
    <s v="06.938.837/0001-62"/>
    <n v="2180.46"/>
  </r>
  <r>
    <s v="Larissa Cristiani Domingues"/>
    <x v="2"/>
    <s v="28.239.223/0001-25"/>
    <n v="810.36"/>
  </r>
  <r>
    <s v="Larissa Cristiani Domingues"/>
    <x v="2"/>
    <s v="34.159.229/0001-95"/>
    <n v="810.36"/>
  </r>
  <r>
    <s v="Larissa Cristiani Domingues"/>
    <x v="2"/>
    <s v="43.691.842/0001-40"/>
    <n v="810.36"/>
  </r>
  <r>
    <s v="Larissa Cristiani Domingues"/>
    <x v="2"/>
    <s v="28.998.910/0001-24"/>
    <n v="810.36"/>
  </r>
  <r>
    <s v="Helder Brunkow"/>
    <x v="1"/>
    <s v="26.225.527/0001-08"/>
    <n v="1574.78"/>
  </r>
  <r>
    <s v="Helder Brunkow"/>
    <x v="1"/>
    <s v="42.502.454/0001-00"/>
    <n v="1574.78"/>
  </r>
  <r>
    <s v="Helder Brunkow"/>
    <x v="1"/>
    <s v="50.324.818/0001-38"/>
    <n v="1574.78"/>
  </r>
  <r>
    <s v="Helder Brunkow"/>
    <x v="1"/>
    <s v="48.506.346/0001-92"/>
    <n v="1574.78"/>
  </r>
  <r>
    <s v="Helder Brunkow"/>
    <x v="2"/>
    <s v="41.610.352/0001-46"/>
    <n v="670.83"/>
  </r>
  <r>
    <s v="Larissa Padilha"/>
    <x v="2"/>
    <s v="55.666.250/0001-57"/>
    <n v="687.56"/>
  </r>
  <r>
    <s v="Helder Brunkow"/>
    <x v="0"/>
    <s v="49.639.041/0001-11"/>
    <n v="3539.41"/>
  </r>
  <r>
    <s v="Larissa Padilha"/>
    <x v="2"/>
    <s v="58.072.623/0001-50"/>
    <n v="686.12"/>
  </r>
  <r>
    <s v="Helder Brunkow"/>
    <x v="0"/>
    <s v="50.860.678/0001-12"/>
    <n v="2355.61"/>
  </r>
  <r>
    <s v="Helder Brunkow"/>
    <x v="1"/>
    <s v="60.502.242/0001-05"/>
    <n v="1734"/>
  </r>
  <r>
    <s v="Larissa Cristiani Domingues"/>
    <x v="0"/>
    <s v="31.833.282/0001-31"/>
    <n v="2177.3000000000002"/>
  </r>
  <r>
    <s v="Larissa Cristiani Domingues"/>
    <x v="0"/>
    <s v="75.176.859/0003-17"/>
    <n v="4230.6899999999996"/>
  </r>
  <r>
    <s v="Atendimento 01 - Central (Daiane)"/>
    <x v="1"/>
    <s v="06.982.791/0001-89"/>
    <n v="1558.74"/>
  </r>
  <r>
    <s v="Helder Brunkow"/>
    <x v="0"/>
    <s v="58.249.963/0001-03"/>
    <n v="681.04"/>
  </r>
  <r>
    <s v="Larissa Padilha"/>
    <x v="1"/>
    <s v="50.126.687/0001-84"/>
    <n v="898.66"/>
  </r>
  <r>
    <s v="Larissa Padilha"/>
    <x v="2"/>
    <s v="22.570.775/0001-35"/>
    <n v="652.67999999999995"/>
  </r>
  <r>
    <s v="Manu Ditzel"/>
    <x v="2"/>
    <s v="38.272.246/0001-95"/>
    <n v="659.3"/>
  </r>
  <r>
    <s v="Atendimento 01 - Central (Daiane)"/>
    <x v="2"/>
    <s v="79.080.602/0001-56"/>
    <n v="528.27"/>
  </r>
  <r>
    <s v="Atendimento 01 - Central (Daiane)"/>
    <x v="1"/>
    <s v="72.326.119/0001-60"/>
    <n v="1320"/>
  </r>
  <r>
    <s v="Atendimento 01 - Central (Daiane)"/>
    <x v="0"/>
    <s v="06.905.607/0003-69"/>
    <n v="2693.25"/>
  </r>
  <r>
    <s v="Larissa Padilha"/>
    <x v="2"/>
    <s v="40.053.395/0001-05"/>
    <n v="671.1"/>
  </r>
  <r>
    <s v="Helder Brunkow"/>
    <x v="0"/>
    <s v="24.583.557/0003-22"/>
    <n v="1775.88"/>
  </r>
  <r>
    <s v="Helder Brunkow"/>
    <x v="0"/>
    <s v="58.429.130/0001-24"/>
    <n v="3356.38"/>
  </r>
  <r>
    <s v="Larissa Padilha"/>
    <x v="2"/>
    <s v="55.726.945/0001-87"/>
    <n v="654.89"/>
  </r>
  <r>
    <s v="Manu Ditzel"/>
    <x v="2"/>
    <s v="37.266.276/0001-26"/>
    <n v="715.15"/>
  </r>
  <r>
    <s v="Helder Brunkow"/>
    <x v="1"/>
    <s v="33.950.384/0001-62"/>
    <n v="657.21"/>
  </r>
  <r>
    <s v="Helder Brunkow"/>
    <x v="0"/>
    <s v="15.626.213/0001-09"/>
    <n v="2061.1"/>
  </r>
  <r>
    <s v="Manu Ditzel"/>
    <x v="0"/>
    <s v="30.327.498/0001-62"/>
    <n v="3147.22"/>
  </r>
  <r>
    <s v="Manu Ditzel"/>
    <x v="1"/>
    <s v="16.693.613/0003-53"/>
    <n v="1415.8"/>
  </r>
  <r>
    <s v="Leandro Garcia"/>
    <x v="1"/>
    <s v="29.693.450/0001-99"/>
    <n v="1650.9"/>
  </r>
  <r>
    <s v="Helder Brunkow"/>
    <x v="0"/>
    <s v="42.535.786/0001-91"/>
    <n v="0"/>
  </r>
  <r>
    <s v="Helder Brunkow"/>
    <x v="1"/>
    <s v="52.212.261/0001-79"/>
    <n v="1775.34"/>
  </r>
  <r>
    <s v="Manu Ditzel"/>
    <x v="0"/>
    <s v="31.545.180/0001-10"/>
    <n v="2635.53"/>
  </r>
  <r>
    <s v="Larissa Padilha"/>
    <x v="1"/>
    <s v="54.116.382/0001-42"/>
    <n v="880"/>
  </r>
  <r>
    <s v="Helder Brunkow"/>
    <x v="0"/>
    <s v="55.615.538/0002-83"/>
    <n v="5621.77"/>
  </r>
  <r>
    <s v="Helder Brunkow"/>
    <x v="2"/>
    <s v="49.844.222/0001-80"/>
    <n v="66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CB52E-946B-45C8-9349-1EBC05BD449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E13" firstHeaderRow="1" firstDataRow="2" firstDataCol="1"/>
  <pivotFields count="3">
    <pivotField axis="axisRow" showAll="0">
      <items count="10">
        <item x="4"/>
        <item x="1"/>
        <item x="6"/>
        <item x="0"/>
        <item x="7"/>
        <item x="3"/>
        <item x="2"/>
        <item x="5"/>
        <item x="8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ntagem de Valor do último pedido" fld="2" subtotal="count" baseField="0" baseItem="5" numFmtId="1"/>
  </dataFields>
  <formats count="2">
    <format dxfId="1">
      <pivotArea collapsedLevelsAreSubtotals="1" fieldPosition="0">
        <references count="1">
          <reference field="0" count="0"/>
        </references>
      </pivotArea>
    </format>
    <format dxfId="0">
      <pivotArea outline="0" collapsedLevelsAreSubtotals="1" fieldPosition="0"/>
    </format>
  </formats>
  <chartFormats count="3"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44427-DE1B-4530-A942-A7A2B279DF93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G7:H11" firstHeaderRow="1" firstDataRow="1" firstDataCol="1"/>
  <pivotFields count="4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numFmtId="4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NPJ/CPF" fld="2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3A9A1-C8C5-425D-A404-5E8D5D26DD90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J2:K10" firstHeaderRow="1" firstDataRow="1" firstDataCol="1"/>
  <pivotFields count="5">
    <pivotField showAll="0"/>
    <pivotField dataField="1" showAll="0"/>
    <pivotField showAll="0"/>
    <pivotField numFmtId="44" showAll="0"/>
    <pivotField axis="axisRow" showAll="0">
      <items count="8">
        <item x="5"/>
        <item x="1"/>
        <item x="6"/>
        <item x="3"/>
        <item x="4"/>
        <item x="0"/>
        <item x="2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Curva ABC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F5A70-D670-4086-A06F-D2683CB77982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H3:I7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44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do último pedido" fld="3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45AA2-E957-447F-85C7-E6163FA9B2AE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E12" firstHeaderRow="1" firstDataRow="2" firstDataCol="1"/>
  <pivotFields count="5"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numFmtId="44" showAll="0"/>
    <pivotField axis="axisRow" showAll="0">
      <items count="8">
        <item x="5"/>
        <item x="1"/>
        <item x="6"/>
        <item x="3"/>
        <item x="4"/>
        <item x="0"/>
        <item x="2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ntagem de CNPJ/CPF" fld="2" subtotal="count" baseField="0" baseItem="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DA5A-A0AE-4594-91FC-C4D7BE06D722}">
  <dimension ref="A2:K13"/>
  <sheetViews>
    <sheetView topLeftCell="D1" workbookViewId="0">
      <selection activeCell="G7" sqref="G7:H11"/>
    </sheetView>
  </sheetViews>
  <sheetFormatPr defaultRowHeight="14.4" x14ac:dyDescent="0.3"/>
  <cols>
    <col min="1" max="1" width="34.44140625" bestFit="1" customWidth="1"/>
    <col min="2" max="2" width="19.5546875" bestFit="1" customWidth="1"/>
    <col min="3" max="4" width="3" bestFit="1" customWidth="1"/>
    <col min="5" max="5" width="10.6640625" bestFit="1" customWidth="1"/>
    <col min="6" max="6" width="12.109375" customWidth="1"/>
    <col min="7" max="7" width="18" bestFit="1" customWidth="1"/>
    <col min="8" max="8" width="22.109375" bestFit="1" customWidth="1"/>
    <col min="10" max="10" width="19.6640625" bestFit="1" customWidth="1"/>
    <col min="11" max="11" width="22.5546875" bestFit="1" customWidth="1"/>
    <col min="12" max="12" width="15.44140625" bestFit="1" customWidth="1"/>
    <col min="13" max="13" width="25.5546875" bestFit="1" customWidth="1"/>
    <col min="14" max="14" width="14" bestFit="1" customWidth="1"/>
    <col min="15" max="15" width="14.33203125" bestFit="1" customWidth="1"/>
    <col min="16" max="16" width="7.5546875" bestFit="1" customWidth="1"/>
    <col min="17" max="17" width="11.6640625" bestFit="1" customWidth="1"/>
    <col min="18" max="18" width="17.33203125" bestFit="1" customWidth="1"/>
    <col min="19" max="19" width="10.6640625" bestFit="1" customWidth="1"/>
  </cols>
  <sheetData>
    <row r="2" spans="1:11" x14ac:dyDescent="0.3">
      <c r="J2" s="1" t="s">
        <v>14</v>
      </c>
      <c r="K2" t="s">
        <v>26</v>
      </c>
    </row>
    <row r="3" spans="1:11" x14ac:dyDescent="0.3">
      <c r="A3" s="1" t="s">
        <v>27</v>
      </c>
      <c r="B3" s="1" t="s">
        <v>17</v>
      </c>
      <c r="J3" s="2" t="s">
        <v>24</v>
      </c>
      <c r="K3">
        <v>3</v>
      </c>
    </row>
    <row r="4" spans="1:11" x14ac:dyDescent="0.3">
      <c r="A4" s="1" t="s">
        <v>14</v>
      </c>
      <c r="B4" t="s">
        <v>4</v>
      </c>
      <c r="C4" t="s">
        <v>7</v>
      </c>
      <c r="D4" t="s">
        <v>8</v>
      </c>
      <c r="E4" t="s">
        <v>16</v>
      </c>
      <c r="J4" s="2" t="s">
        <v>21</v>
      </c>
      <c r="K4">
        <v>23</v>
      </c>
    </row>
    <row r="5" spans="1:11" x14ac:dyDescent="0.3">
      <c r="A5" s="2" t="s">
        <v>10</v>
      </c>
      <c r="B5" s="4">
        <v>4</v>
      </c>
      <c r="C5" s="4">
        <v>9</v>
      </c>
      <c r="D5" s="4">
        <v>2</v>
      </c>
      <c r="E5" s="4">
        <v>15</v>
      </c>
      <c r="F5" s="3"/>
      <c r="J5" s="2" t="s">
        <v>25</v>
      </c>
      <c r="K5">
        <v>3</v>
      </c>
    </row>
    <row r="6" spans="1:11" x14ac:dyDescent="0.3">
      <c r="A6" s="2" t="s">
        <v>5</v>
      </c>
      <c r="B6" s="4">
        <v>46</v>
      </c>
      <c r="C6" s="4">
        <v>26</v>
      </c>
      <c r="D6" s="4">
        <v>8</v>
      </c>
      <c r="E6" s="4">
        <v>80</v>
      </c>
      <c r="F6" s="3"/>
      <c r="J6" s="2" t="s">
        <v>22</v>
      </c>
      <c r="K6">
        <v>39</v>
      </c>
    </row>
    <row r="7" spans="1:11" x14ac:dyDescent="0.3">
      <c r="A7" s="2" t="s">
        <v>12</v>
      </c>
      <c r="B7" s="4">
        <v>5</v>
      </c>
      <c r="C7" s="4">
        <v>1</v>
      </c>
      <c r="D7" s="4">
        <v>10</v>
      </c>
      <c r="E7" s="4">
        <v>16</v>
      </c>
      <c r="F7" s="3"/>
      <c r="G7" s="1" t="s">
        <v>14</v>
      </c>
      <c r="H7" t="s">
        <v>261</v>
      </c>
      <c r="J7" s="2" t="s">
        <v>23</v>
      </c>
      <c r="K7">
        <v>12</v>
      </c>
    </row>
    <row r="8" spans="1:11" x14ac:dyDescent="0.3">
      <c r="A8" s="2" t="s">
        <v>3</v>
      </c>
      <c r="B8" s="4">
        <v>19</v>
      </c>
      <c r="C8" s="4">
        <v>24</v>
      </c>
      <c r="D8" s="4">
        <v>14</v>
      </c>
      <c r="E8" s="4">
        <v>57</v>
      </c>
      <c r="F8" s="3"/>
      <c r="G8" s="2" t="s">
        <v>4</v>
      </c>
      <c r="H8">
        <v>102</v>
      </c>
      <c r="J8" s="2" t="s">
        <v>20</v>
      </c>
      <c r="K8">
        <v>111</v>
      </c>
    </row>
    <row r="9" spans="1:11" x14ac:dyDescent="0.3">
      <c r="A9" s="2" t="s">
        <v>13</v>
      </c>
      <c r="B9" s="4"/>
      <c r="C9" s="4">
        <v>1</v>
      </c>
      <c r="D9" s="4"/>
      <c r="E9" s="4">
        <v>1</v>
      </c>
      <c r="F9" s="3"/>
      <c r="G9" s="2" t="s">
        <v>7</v>
      </c>
      <c r="H9">
        <v>80</v>
      </c>
      <c r="J9" s="2" t="s">
        <v>15</v>
      </c>
      <c r="K9">
        <v>41</v>
      </c>
    </row>
    <row r="10" spans="1:11" x14ac:dyDescent="0.3">
      <c r="A10" s="2" t="s">
        <v>9</v>
      </c>
      <c r="B10" s="4">
        <v>1</v>
      </c>
      <c r="C10" s="4">
        <v>1</v>
      </c>
      <c r="D10" s="4">
        <v>2</v>
      </c>
      <c r="E10" s="4">
        <v>4</v>
      </c>
      <c r="F10" s="3"/>
      <c r="G10" s="2" t="s">
        <v>8</v>
      </c>
      <c r="H10">
        <v>50</v>
      </c>
      <c r="J10" s="2" t="s">
        <v>16</v>
      </c>
      <c r="K10">
        <v>232</v>
      </c>
    </row>
    <row r="11" spans="1:11" x14ac:dyDescent="0.3">
      <c r="A11" s="2" t="s">
        <v>6</v>
      </c>
      <c r="B11" s="4">
        <v>27</v>
      </c>
      <c r="C11" s="4">
        <v>17</v>
      </c>
      <c r="D11" s="4">
        <v>14</v>
      </c>
      <c r="E11" s="4">
        <v>58</v>
      </c>
      <c r="F11" s="3"/>
      <c r="G11" s="2" t="s">
        <v>16</v>
      </c>
      <c r="H11">
        <v>232</v>
      </c>
    </row>
    <row r="12" spans="1:11" x14ac:dyDescent="0.3">
      <c r="A12" s="2" t="s">
        <v>11</v>
      </c>
      <c r="B12" s="4"/>
      <c r="C12" s="4">
        <v>1</v>
      </c>
      <c r="D12" s="4"/>
      <c r="E12" s="4">
        <v>1</v>
      </c>
      <c r="F12" s="3"/>
    </row>
    <row r="13" spans="1:11" x14ac:dyDescent="0.3">
      <c r="A13" s="2" t="s">
        <v>16</v>
      </c>
      <c r="B13" s="4">
        <v>102</v>
      </c>
      <c r="C13" s="4">
        <v>80</v>
      </c>
      <c r="D13" s="4">
        <v>50</v>
      </c>
      <c r="E13" s="4">
        <v>232</v>
      </c>
      <c r="F13" s="3"/>
    </row>
  </sheetData>
  <pageMargins left="0.511811024" right="0.511811024" top="0.78740157499999996" bottom="0.78740157499999996" header="0.31496062000000002" footer="0.31496062000000002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BC1B-9721-4755-AF2A-4EACF8D044E6}">
  <dimension ref="A1:Z4"/>
  <sheetViews>
    <sheetView showGridLines="0" tabSelected="1" topLeftCell="E1" workbookViewId="0">
      <selection activeCell="N48" sqref="N48"/>
    </sheetView>
  </sheetViews>
  <sheetFormatPr defaultRowHeight="14.4" x14ac:dyDescent="0.3"/>
  <sheetData>
    <row r="1" spans="1:26" x14ac:dyDescent="0.3">
      <c r="A1" s="13" t="s">
        <v>262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</sheetData>
  <mergeCells count="1">
    <mergeCell ref="A1:Z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8C2A-EC1F-4ACA-B7DE-F608C80CDF60}">
  <dimension ref="A3:I12"/>
  <sheetViews>
    <sheetView workbookViewId="0">
      <selection activeCell="H3" sqref="H3:I7"/>
    </sheetView>
  </sheetViews>
  <sheetFormatPr defaultRowHeight="14.4" x14ac:dyDescent="0.3"/>
  <cols>
    <col min="1" max="1" width="22.109375" bestFit="1" customWidth="1"/>
    <col min="2" max="2" width="19.5546875" bestFit="1" customWidth="1"/>
    <col min="3" max="4" width="3" bestFit="1" customWidth="1"/>
    <col min="5" max="5" width="10.6640625" bestFit="1" customWidth="1"/>
    <col min="8" max="8" width="18" bestFit="1" customWidth="1"/>
    <col min="9" max="9" width="30.109375" bestFit="1" customWidth="1"/>
  </cols>
  <sheetData>
    <row r="3" spans="1:9" x14ac:dyDescent="0.3">
      <c r="A3" s="1" t="s">
        <v>261</v>
      </c>
      <c r="B3" s="1" t="s">
        <v>17</v>
      </c>
      <c r="H3" s="1" t="s">
        <v>14</v>
      </c>
      <c r="I3" t="s">
        <v>18</v>
      </c>
    </row>
    <row r="4" spans="1:9" x14ac:dyDescent="0.3">
      <c r="A4" s="1" t="s">
        <v>14</v>
      </c>
      <c r="B4" t="s">
        <v>4</v>
      </c>
      <c r="C4" t="s">
        <v>7</v>
      </c>
      <c r="D4" t="s">
        <v>8</v>
      </c>
      <c r="E4" t="s">
        <v>16</v>
      </c>
      <c r="H4" s="2" t="s">
        <v>4</v>
      </c>
      <c r="I4" s="3">
        <v>303729.86999999994</v>
      </c>
    </row>
    <row r="5" spans="1:9" x14ac:dyDescent="0.3">
      <c r="A5" s="2" t="s">
        <v>24</v>
      </c>
      <c r="C5">
        <v>3</v>
      </c>
      <c r="E5">
        <v>3</v>
      </c>
      <c r="H5" s="2" t="s">
        <v>7</v>
      </c>
      <c r="I5" s="3">
        <v>101379.6</v>
      </c>
    </row>
    <row r="6" spans="1:9" x14ac:dyDescent="0.3">
      <c r="A6" s="2" t="s">
        <v>21</v>
      </c>
      <c r="B6">
        <v>9</v>
      </c>
      <c r="C6">
        <v>2</v>
      </c>
      <c r="D6">
        <v>12</v>
      </c>
      <c r="E6">
        <v>23</v>
      </c>
      <c r="H6" s="2" t="s">
        <v>8</v>
      </c>
      <c r="I6" s="3">
        <v>35086.710000000006</v>
      </c>
    </row>
    <row r="7" spans="1:9" x14ac:dyDescent="0.3">
      <c r="A7" s="2" t="s">
        <v>25</v>
      </c>
      <c r="C7">
        <v>1</v>
      </c>
      <c r="D7">
        <v>2</v>
      </c>
      <c r="E7">
        <v>3</v>
      </c>
      <c r="H7" s="2" t="s">
        <v>16</v>
      </c>
      <c r="I7" s="3">
        <v>440196.18</v>
      </c>
    </row>
    <row r="8" spans="1:9" x14ac:dyDescent="0.3">
      <c r="A8" s="2" t="s">
        <v>22</v>
      </c>
      <c r="B8">
        <v>27</v>
      </c>
      <c r="C8">
        <v>9</v>
      </c>
      <c r="D8">
        <v>3</v>
      </c>
      <c r="E8">
        <v>39</v>
      </c>
    </row>
    <row r="9" spans="1:9" x14ac:dyDescent="0.3">
      <c r="A9" s="2" t="s">
        <v>23</v>
      </c>
      <c r="B9">
        <v>5</v>
      </c>
      <c r="C9">
        <v>5</v>
      </c>
      <c r="D9">
        <v>2</v>
      </c>
      <c r="E9">
        <v>12</v>
      </c>
    </row>
    <row r="10" spans="1:9" x14ac:dyDescent="0.3">
      <c r="A10" s="2" t="s">
        <v>20</v>
      </c>
      <c r="B10">
        <v>47</v>
      </c>
      <c r="C10">
        <v>41</v>
      </c>
      <c r="D10">
        <v>23</v>
      </c>
      <c r="E10">
        <v>111</v>
      </c>
    </row>
    <row r="11" spans="1:9" x14ac:dyDescent="0.3">
      <c r="A11" s="2" t="s">
        <v>15</v>
      </c>
      <c r="B11">
        <v>14</v>
      </c>
      <c r="C11">
        <v>19</v>
      </c>
      <c r="D11">
        <v>8</v>
      </c>
      <c r="E11">
        <v>41</v>
      </c>
    </row>
    <row r="12" spans="1:9" x14ac:dyDescent="0.3">
      <c r="A12" s="2" t="s">
        <v>16</v>
      </c>
      <c r="B12">
        <v>102</v>
      </c>
      <c r="C12">
        <v>80</v>
      </c>
      <c r="D12">
        <v>50</v>
      </c>
      <c r="E12">
        <v>232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EFA0-E55D-4FF6-AEA4-E9D039E6123A}">
  <dimension ref="A1:E233"/>
  <sheetViews>
    <sheetView showGridLines="0" topLeftCell="A226" workbookViewId="0">
      <selection activeCell="J9" sqref="J9"/>
    </sheetView>
  </sheetViews>
  <sheetFormatPr defaultRowHeight="14.4" x14ac:dyDescent="0.3"/>
  <cols>
    <col min="1" max="1" width="29.6640625" bestFit="1" customWidth="1"/>
    <col min="2" max="2" width="11.5546875" customWidth="1"/>
    <col min="3" max="3" width="21.33203125" style="11" customWidth="1"/>
    <col min="4" max="4" width="26.33203125" style="12" customWidth="1"/>
    <col min="5" max="5" width="23.6640625" style="11" customWidth="1"/>
  </cols>
  <sheetData>
    <row r="1" spans="1:5" x14ac:dyDescent="0.3">
      <c r="A1" s="6" t="s">
        <v>0</v>
      </c>
      <c r="B1" s="6" t="s">
        <v>1</v>
      </c>
      <c r="C1" s="7" t="s">
        <v>260</v>
      </c>
      <c r="D1" s="8" t="s">
        <v>2</v>
      </c>
      <c r="E1" s="7" t="s">
        <v>19</v>
      </c>
    </row>
    <row r="2" spans="1:5" x14ac:dyDescent="0.3">
      <c r="A2" s="5" t="s">
        <v>3</v>
      </c>
      <c r="B2" s="5" t="s">
        <v>4</v>
      </c>
      <c r="C2" s="9" t="s">
        <v>28</v>
      </c>
      <c r="D2" s="10">
        <v>1678.98</v>
      </c>
      <c r="E2" s="9" t="s">
        <v>20</v>
      </c>
    </row>
    <row r="3" spans="1:5" x14ac:dyDescent="0.3">
      <c r="A3" s="5" t="s">
        <v>3</v>
      </c>
      <c r="B3" s="5" t="s">
        <v>4</v>
      </c>
      <c r="C3" s="9" t="s">
        <v>29</v>
      </c>
      <c r="D3" s="10">
        <v>838.74</v>
      </c>
      <c r="E3" s="9" t="s">
        <v>20</v>
      </c>
    </row>
    <row r="4" spans="1:5" x14ac:dyDescent="0.3">
      <c r="A4" s="5" t="s">
        <v>5</v>
      </c>
      <c r="B4" s="5" t="s">
        <v>4</v>
      </c>
      <c r="C4" s="9" t="s">
        <v>30</v>
      </c>
      <c r="D4" s="10">
        <v>1953.22</v>
      </c>
      <c r="E4" s="9" t="s">
        <v>20</v>
      </c>
    </row>
    <row r="5" spans="1:5" x14ac:dyDescent="0.3">
      <c r="A5" s="5" t="s">
        <v>6</v>
      </c>
      <c r="B5" s="5" t="s">
        <v>7</v>
      </c>
      <c r="C5" s="9" t="s">
        <v>31</v>
      </c>
      <c r="D5" s="10">
        <v>944.16</v>
      </c>
      <c r="E5" s="9" t="s">
        <v>20</v>
      </c>
    </row>
    <row r="6" spans="1:5" x14ac:dyDescent="0.3">
      <c r="A6" s="5" t="s">
        <v>3</v>
      </c>
      <c r="B6" s="5" t="s">
        <v>4</v>
      </c>
      <c r="C6" s="9" t="s">
        <v>32</v>
      </c>
      <c r="D6" s="10">
        <v>1867.12</v>
      </c>
      <c r="E6" s="9" t="s">
        <v>20</v>
      </c>
    </row>
    <row r="7" spans="1:5" x14ac:dyDescent="0.3">
      <c r="A7" s="5" t="s">
        <v>5</v>
      </c>
      <c r="B7" s="5" t="s">
        <v>4</v>
      </c>
      <c r="C7" s="9" t="s">
        <v>33</v>
      </c>
      <c r="D7" s="10">
        <v>7118.85</v>
      </c>
      <c r="E7" s="9" t="s">
        <v>21</v>
      </c>
    </row>
    <row r="8" spans="1:5" x14ac:dyDescent="0.3">
      <c r="A8" s="5" t="s">
        <v>5</v>
      </c>
      <c r="B8" s="5" t="s">
        <v>4</v>
      </c>
      <c r="C8" s="9" t="s">
        <v>34</v>
      </c>
      <c r="D8" s="10">
        <v>3778.78</v>
      </c>
      <c r="E8" s="9"/>
    </row>
    <row r="9" spans="1:5" x14ac:dyDescent="0.3">
      <c r="A9" s="5" t="s">
        <v>5</v>
      </c>
      <c r="B9" s="5" t="s">
        <v>4</v>
      </c>
      <c r="C9" s="9" t="s">
        <v>35</v>
      </c>
      <c r="D9" s="10">
        <v>2406.4699999999998</v>
      </c>
      <c r="E9" s="9" t="s">
        <v>22</v>
      </c>
    </row>
    <row r="10" spans="1:5" x14ac:dyDescent="0.3">
      <c r="A10" s="5" t="s">
        <v>3</v>
      </c>
      <c r="B10" s="5" t="s">
        <v>4</v>
      </c>
      <c r="C10" s="9" t="s">
        <v>36</v>
      </c>
      <c r="D10" s="10">
        <v>1649.94</v>
      </c>
      <c r="E10" s="9" t="s">
        <v>20</v>
      </c>
    </row>
    <row r="11" spans="1:5" x14ac:dyDescent="0.3">
      <c r="A11" s="5" t="s">
        <v>5</v>
      </c>
      <c r="B11" s="5" t="s">
        <v>4</v>
      </c>
      <c r="C11" s="9" t="s">
        <v>37</v>
      </c>
      <c r="D11" s="10">
        <v>7115.96</v>
      </c>
      <c r="E11" s="9" t="s">
        <v>20</v>
      </c>
    </row>
    <row r="12" spans="1:5" x14ac:dyDescent="0.3">
      <c r="A12" s="5" t="s">
        <v>5</v>
      </c>
      <c r="B12" s="5" t="s">
        <v>4</v>
      </c>
      <c r="C12" s="9" t="s">
        <v>38</v>
      </c>
      <c r="D12" s="10">
        <v>4099.9799999999996</v>
      </c>
      <c r="E12" s="9" t="s">
        <v>22</v>
      </c>
    </row>
    <row r="13" spans="1:5" x14ac:dyDescent="0.3">
      <c r="A13" s="5" t="s">
        <v>5</v>
      </c>
      <c r="B13" s="5" t="s">
        <v>4</v>
      </c>
      <c r="C13" s="9" t="s">
        <v>39</v>
      </c>
      <c r="D13" s="10">
        <v>2099.52</v>
      </c>
      <c r="E13" s="9" t="s">
        <v>20</v>
      </c>
    </row>
    <row r="14" spans="1:5" x14ac:dyDescent="0.3">
      <c r="A14" s="5" t="s">
        <v>6</v>
      </c>
      <c r="B14" s="5" t="s">
        <v>4</v>
      </c>
      <c r="C14" s="9" t="s">
        <v>40</v>
      </c>
      <c r="D14" s="10">
        <v>680.37</v>
      </c>
      <c r="E14" s="9" t="s">
        <v>20</v>
      </c>
    </row>
    <row r="15" spans="1:5" x14ac:dyDescent="0.3">
      <c r="A15" s="5" t="s">
        <v>6</v>
      </c>
      <c r="B15" s="5" t="s">
        <v>4</v>
      </c>
      <c r="C15" s="9" t="s">
        <v>41</v>
      </c>
      <c r="D15" s="10">
        <v>2006.01</v>
      </c>
      <c r="E15" s="9" t="s">
        <v>21</v>
      </c>
    </row>
    <row r="16" spans="1:5" x14ac:dyDescent="0.3">
      <c r="A16" s="5" t="s">
        <v>5</v>
      </c>
      <c r="B16" s="5" t="s">
        <v>4</v>
      </c>
      <c r="C16" s="9" t="s">
        <v>42</v>
      </c>
      <c r="D16" s="10">
        <v>1507.48</v>
      </c>
      <c r="E16" s="9" t="s">
        <v>22</v>
      </c>
    </row>
    <row r="17" spans="1:5" x14ac:dyDescent="0.3">
      <c r="A17" s="5" t="s">
        <v>5</v>
      </c>
      <c r="B17" s="5" t="s">
        <v>4</v>
      </c>
      <c r="C17" s="9" t="s">
        <v>43</v>
      </c>
      <c r="D17" s="10">
        <v>1576.32</v>
      </c>
      <c r="E17" s="9" t="s">
        <v>22</v>
      </c>
    </row>
    <row r="18" spans="1:5" x14ac:dyDescent="0.3">
      <c r="A18" s="5" t="s">
        <v>5</v>
      </c>
      <c r="B18" s="5" t="s">
        <v>4</v>
      </c>
      <c r="C18" s="9" t="s">
        <v>44</v>
      </c>
      <c r="D18" s="10">
        <v>1452.42</v>
      </c>
      <c r="E18" s="9" t="s">
        <v>22</v>
      </c>
    </row>
    <row r="19" spans="1:5" x14ac:dyDescent="0.3">
      <c r="A19" s="5" t="s">
        <v>5</v>
      </c>
      <c r="B19" s="5" t="s">
        <v>4</v>
      </c>
      <c r="C19" s="9" t="s">
        <v>45</v>
      </c>
      <c r="D19" s="10">
        <v>4460.93</v>
      </c>
      <c r="E19" s="9" t="s">
        <v>22</v>
      </c>
    </row>
    <row r="20" spans="1:5" x14ac:dyDescent="0.3">
      <c r="A20" s="5" t="s">
        <v>5</v>
      </c>
      <c r="B20" s="5" t="s">
        <v>4</v>
      </c>
      <c r="C20" s="9" t="s">
        <v>46</v>
      </c>
      <c r="D20" s="10">
        <v>1453.67</v>
      </c>
      <c r="E20" s="9" t="s">
        <v>22</v>
      </c>
    </row>
    <row r="21" spans="1:5" x14ac:dyDescent="0.3">
      <c r="A21" s="5" t="s">
        <v>5</v>
      </c>
      <c r="B21" s="5" t="s">
        <v>4</v>
      </c>
      <c r="C21" s="9" t="s">
        <v>47</v>
      </c>
      <c r="D21" s="10">
        <v>1392.8</v>
      </c>
      <c r="E21" s="9" t="s">
        <v>22</v>
      </c>
    </row>
    <row r="22" spans="1:5" x14ac:dyDescent="0.3">
      <c r="A22" s="5" t="s">
        <v>6</v>
      </c>
      <c r="B22" s="5" t="s">
        <v>4</v>
      </c>
      <c r="C22" s="9" t="s">
        <v>48</v>
      </c>
      <c r="D22" s="10">
        <v>6306.96</v>
      </c>
      <c r="E22" s="9" t="s">
        <v>20</v>
      </c>
    </row>
    <row r="23" spans="1:5" x14ac:dyDescent="0.3">
      <c r="A23" s="5" t="s">
        <v>5</v>
      </c>
      <c r="B23" s="5" t="s">
        <v>7</v>
      </c>
      <c r="C23" s="9" t="s">
        <v>49</v>
      </c>
      <c r="D23" s="10">
        <v>737.38</v>
      </c>
      <c r="E23" s="9" t="s">
        <v>20</v>
      </c>
    </row>
    <row r="24" spans="1:5" x14ac:dyDescent="0.3">
      <c r="A24" s="5" t="s">
        <v>5</v>
      </c>
      <c r="B24" s="5" t="s">
        <v>4</v>
      </c>
      <c r="C24" s="9" t="s">
        <v>50</v>
      </c>
      <c r="D24" s="10">
        <v>1267.05</v>
      </c>
      <c r="E24" s="9" t="s">
        <v>20</v>
      </c>
    </row>
    <row r="25" spans="1:5" x14ac:dyDescent="0.3">
      <c r="A25" s="5" t="s">
        <v>6</v>
      </c>
      <c r="B25" s="5" t="s">
        <v>4</v>
      </c>
      <c r="C25" s="9" t="s">
        <v>51</v>
      </c>
      <c r="D25" s="10">
        <v>6491.55</v>
      </c>
      <c r="E25" s="9" t="s">
        <v>22</v>
      </c>
    </row>
    <row r="26" spans="1:5" x14ac:dyDescent="0.3">
      <c r="A26" s="5" t="s">
        <v>5</v>
      </c>
      <c r="B26" s="5" t="s">
        <v>4</v>
      </c>
      <c r="C26" s="9" t="s">
        <v>52</v>
      </c>
      <c r="D26" s="10">
        <v>2744.45</v>
      </c>
      <c r="E26" s="9" t="s">
        <v>20</v>
      </c>
    </row>
    <row r="27" spans="1:5" x14ac:dyDescent="0.3">
      <c r="A27" s="5" t="s">
        <v>5</v>
      </c>
      <c r="B27" s="5" t="s">
        <v>4</v>
      </c>
      <c r="C27" s="9" t="s">
        <v>53</v>
      </c>
      <c r="D27" s="10">
        <v>2930.22</v>
      </c>
      <c r="E27" s="9" t="s">
        <v>20</v>
      </c>
    </row>
    <row r="28" spans="1:5" x14ac:dyDescent="0.3">
      <c r="A28" s="5" t="s">
        <v>3</v>
      </c>
      <c r="B28" s="5" t="s">
        <v>4</v>
      </c>
      <c r="C28" s="9" t="s">
        <v>54</v>
      </c>
      <c r="D28" s="10">
        <v>2925.82</v>
      </c>
      <c r="E28" s="9"/>
    </row>
    <row r="29" spans="1:5" x14ac:dyDescent="0.3">
      <c r="A29" s="5" t="s">
        <v>5</v>
      </c>
      <c r="B29" s="5" t="s">
        <v>4</v>
      </c>
      <c r="C29" s="9" t="s">
        <v>55</v>
      </c>
      <c r="D29" s="10">
        <v>2308.56</v>
      </c>
      <c r="E29" s="9" t="s">
        <v>20</v>
      </c>
    </row>
    <row r="30" spans="1:5" x14ac:dyDescent="0.3">
      <c r="A30" s="5" t="s">
        <v>5</v>
      </c>
      <c r="B30" s="5" t="s">
        <v>4</v>
      </c>
      <c r="C30" s="9" t="s">
        <v>56</v>
      </c>
      <c r="D30" s="10">
        <v>7216.91</v>
      </c>
      <c r="E30" s="9" t="s">
        <v>20</v>
      </c>
    </row>
    <row r="31" spans="1:5" x14ac:dyDescent="0.3">
      <c r="A31" s="5" t="s">
        <v>6</v>
      </c>
      <c r="B31" s="5" t="s">
        <v>7</v>
      </c>
      <c r="C31" s="9" t="s">
        <v>57</v>
      </c>
      <c r="D31" s="10">
        <v>803.98</v>
      </c>
      <c r="E31" s="9" t="s">
        <v>23</v>
      </c>
    </row>
    <row r="32" spans="1:5" x14ac:dyDescent="0.3">
      <c r="A32" s="5" t="s">
        <v>6</v>
      </c>
      <c r="B32" s="5" t="s">
        <v>7</v>
      </c>
      <c r="C32" s="9" t="s">
        <v>58</v>
      </c>
      <c r="D32" s="10">
        <v>1253.1300000000001</v>
      </c>
      <c r="E32" s="9" t="s">
        <v>20</v>
      </c>
    </row>
    <row r="33" spans="1:5" x14ac:dyDescent="0.3">
      <c r="A33" s="5" t="s">
        <v>5</v>
      </c>
      <c r="B33" s="5" t="s">
        <v>8</v>
      </c>
      <c r="C33" s="9" t="s">
        <v>59</v>
      </c>
      <c r="D33" s="10">
        <v>699.37</v>
      </c>
      <c r="E33" s="9" t="s">
        <v>22</v>
      </c>
    </row>
    <row r="34" spans="1:5" x14ac:dyDescent="0.3">
      <c r="A34" s="5" t="s">
        <v>5</v>
      </c>
      <c r="B34" s="5" t="s">
        <v>7</v>
      </c>
      <c r="C34" s="9" t="s">
        <v>60</v>
      </c>
      <c r="D34" s="10">
        <v>1184.3599999999999</v>
      </c>
      <c r="E34" s="9" t="s">
        <v>20</v>
      </c>
    </row>
    <row r="35" spans="1:5" x14ac:dyDescent="0.3">
      <c r="A35" s="5" t="s">
        <v>6</v>
      </c>
      <c r="B35" s="5" t="s">
        <v>4</v>
      </c>
      <c r="C35" s="9" t="s">
        <v>61</v>
      </c>
      <c r="D35" s="10">
        <v>2102.89</v>
      </c>
      <c r="E35" s="9"/>
    </row>
    <row r="36" spans="1:5" x14ac:dyDescent="0.3">
      <c r="A36" s="5" t="s">
        <v>3</v>
      </c>
      <c r="B36" s="5" t="s">
        <v>7</v>
      </c>
      <c r="C36" s="9" t="s">
        <v>62</v>
      </c>
      <c r="D36" s="10">
        <v>1137.8399999999999</v>
      </c>
      <c r="E36" s="9" t="s">
        <v>20</v>
      </c>
    </row>
    <row r="37" spans="1:5" x14ac:dyDescent="0.3">
      <c r="A37" s="5" t="s">
        <v>6</v>
      </c>
      <c r="B37" s="5" t="s">
        <v>4</v>
      </c>
      <c r="C37" s="9" t="s">
        <v>63</v>
      </c>
      <c r="D37" s="10">
        <v>3467.83</v>
      </c>
      <c r="E37" s="9" t="s">
        <v>23</v>
      </c>
    </row>
    <row r="38" spans="1:5" x14ac:dyDescent="0.3">
      <c r="A38" s="5" t="s">
        <v>5</v>
      </c>
      <c r="B38" s="5" t="s">
        <v>4</v>
      </c>
      <c r="C38" s="9" t="s">
        <v>64</v>
      </c>
      <c r="D38" s="10">
        <v>2287.64</v>
      </c>
      <c r="E38" s="9" t="s">
        <v>20</v>
      </c>
    </row>
    <row r="39" spans="1:5" x14ac:dyDescent="0.3">
      <c r="A39" s="5" t="s">
        <v>5</v>
      </c>
      <c r="B39" s="5" t="s">
        <v>7</v>
      </c>
      <c r="C39" s="9" t="s">
        <v>65</v>
      </c>
      <c r="D39" s="10">
        <v>1568.19</v>
      </c>
      <c r="E39" s="9" t="s">
        <v>22</v>
      </c>
    </row>
    <row r="40" spans="1:5" x14ac:dyDescent="0.3">
      <c r="A40" s="5" t="s">
        <v>6</v>
      </c>
      <c r="B40" s="5" t="s">
        <v>8</v>
      </c>
      <c r="C40" s="9" t="s">
        <v>66</v>
      </c>
      <c r="D40" s="10">
        <v>712.76</v>
      </c>
      <c r="E40" s="9" t="s">
        <v>22</v>
      </c>
    </row>
    <row r="41" spans="1:5" x14ac:dyDescent="0.3">
      <c r="A41" s="5" t="s">
        <v>3</v>
      </c>
      <c r="B41" s="5" t="s">
        <v>8</v>
      </c>
      <c r="C41" s="9" t="s">
        <v>67</v>
      </c>
      <c r="D41" s="10">
        <v>853.74</v>
      </c>
      <c r="E41" s="9" t="s">
        <v>20</v>
      </c>
    </row>
    <row r="42" spans="1:5" x14ac:dyDescent="0.3">
      <c r="A42" s="5" t="s">
        <v>3</v>
      </c>
      <c r="B42" s="5" t="s">
        <v>8</v>
      </c>
      <c r="C42" s="9" t="s">
        <v>68</v>
      </c>
      <c r="D42" s="10">
        <v>818.67</v>
      </c>
      <c r="E42" s="9" t="s">
        <v>20</v>
      </c>
    </row>
    <row r="43" spans="1:5" x14ac:dyDescent="0.3">
      <c r="A43" s="5" t="s">
        <v>3</v>
      </c>
      <c r="B43" s="5" t="s">
        <v>7</v>
      </c>
      <c r="C43" s="9" t="s">
        <v>69</v>
      </c>
      <c r="D43" s="10">
        <v>1099.98</v>
      </c>
      <c r="E43" s="9" t="s">
        <v>20</v>
      </c>
    </row>
    <row r="44" spans="1:5" x14ac:dyDescent="0.3">
      <c r="A44" s="5" t="s">
        <v>6</v>
      </c>
      <c r="B44" s="5" t="s">
        <v>8</v>
      </c>
      <c r="C44" s="9" t="s">
        <v>70</v>
      </c>
      <c r="D44" s="10">
        <v>862.43</v>
      </c>
      <c r="E44" s="9" t="s">
        <v>20</v>
      </c>
    </row>
    <row r="45" spans="1:5" x14ac:dyDescent="0.3">
      <c r="A45" s="5" t="s">
        <v>5</v>
      </c>
      <c r="B45" s="5" t="s">
        <v>4</v>
      </c>
      <c r="C45" s="9" t="s">
        <v>71</v>
      </c>
      <c r="D45" s="10">
        <v>2015.4</v>
      </c>
      <c r="E45" s="9" t="s">
        <v>22</v>
      </c>
    </row>
    <row r="46" spans="1:5" x14ac:dyDescent="0.3">
      <c r="A46" s="5" t="s">
        <v>5</v>
      </c>
      <c r="B46" s="5" t="s">
        <v>7</v>
      </c>
      <c r="C46" s="9" t="s">
        <v>72</v>
      </c>
      <c r="D46" s="10">
        <v>1365.38</v>
      </c>
      <c r="E46" s="9" t="s">
        <v>24</v>
      </c>
    </row>
    <row r="47" spans="1:5" x14ac:dyDescent="0.3">
      <c r="A47" s="5" t="s">
        <v>6</v>
      </c>
      <c r="B47" s="5" t="s">
        <v>4</v>
      </c>
      <c r="C47" s="9" t="s">
        <v>73</v>
      </c>
      <c r="D47" s="10">
        <v>2058.0700000000002</v>
      </c>
      <c r="E47" s="9" t="s">
        <v>23</v>
      </c>
    </row>
    <row r="48" spans="1:5" x14ac:dyDescent="0.3">
      <c r="A48" s="5" t="s">
        <v>6</v>
      </c>
      <c r="B48" s="5" t="s">
        <v>4</v>
      </c>
      <c r="C48" s="9" t="s">
        <v>74</v>
      </c>
      <c r="D48" s="10">
        <v>1857.45</v>
      </c>
      <c r="E48" s="9" t="s">
        <v>22</v>
      </c>
    </row>
    <row r="49" spans="1:5" x14ac:dyDescent="0.3">
      <c r="A49" s="5" t="s">
        <v>3</v>
      </c>
      <c r="B49" s="5" t="s">
        <v>8</v>
      </c>
      <c r="C49" s="9" t="s">
        <v>75</v>
      </c>
      <c r="D49" s="10">
        <v>690.8</v>
      </c>
      <c r="E49" s="9" t="s">
        <v>20</v>
      </c>
    </row>
    <row r="50" spans="1:5" x14ac:dyDescent="0.3">
      <c r="A50" s="5" t="s">
        <v>5</v>
      </c>
      <c r="B50" s="5" t="s">
        <v>7</v>
      </c>
      <c r="C50" s="9" t="s">
        <v>76</v>
      </c>
      <c r="D50" s="10">
        <v>1537.85</v>
      </c>
      <c r="E50" s="9" t="s">
        <v>20</v>
      </c>
    </row>
    <row r="51" spans="1:5" x14ac:dyDescent="0.3">
      <c r="A51" s="5" t="s">
        <v>5</v>
      </c>
      <c r="B51" s="5" t="s">
        <v>7</v>
      </c>
      <c r="C51" s="9" t="s">
        <v>77</v>
      </c>
      <c r="D51" s="10">
        <v>959.79</v>
      </c>
      <c r="E51" s="9" t="s">
        <v>22</v>
      </c>
    </row>
    <row r="52" spans="1:5" x14ac:dyDescent="0.3">
      <c r="A52" s="5" t="s">
        <v>5</v>
      </c>
      <c r="B52" s="5" t="s">
        <v>7</v>
      </c>
      <c r="C52" s="9" t="s">
        <v>78</v>
      </c>
      <c r="D52" s="10">
        <v>990</v>
      </c>
      <c r="E52" s="9"/>
    </row>
    <row r="53" spans="1:5" x14ac:dyDescent="0.3">
      <c r="A53" s="5" t="s">
        <v>6</v>
      </c>
      <c r="B53" s="5" t="s">
        <v>8</v>
      </c>
      <c r="C53" s="9" t="s">
        <v>79</v>
      </c>
      <c r="D53" s="10">
        <v>761.48</v>
      </c>
      <c r="E53" s="9" t="s">
        <v>21</v>
      </c>
    </row>
    <row r="54" spans="1:5" x14ac:dyDescent="0.3">
      <c r="A54" s="5" t="s">
        <v>3</v>
      </c>
      <c r="B54" s="5" t="s">
        <v>7</v>
      </c>
      <c r="C54" s="9" t="s">
        <v>80</v>
      </c>
      <c r="D54" s="10">
        <v>901.43</v>
      </c>
      <c r="E54" s="9" t="s">
        <v>20</v>
      </c>
    </row>
    <row r="55" spans="1:5" x14ac:dyDescent="0.3">
      <c r="A55" s="5" t="s">
        <v>5</v>
      </c>
      <c r="B55" s="5" t="s">
        <v>4</v>
      </c>
      <c r="C55" s="9" t="s">
        <v>81</v>
      </c>
      <c r="D55" s="10">
        <v>4541.91</v>
      </c>
      <c r="E55" s="9" t="s">
        <v>22</v>
      </c>
    </row>
    <row r="56" spans="1:5" x14ac:dyDescent="0.3">
      <c r="A56" s="5" t="s">
        <v>6</v>
      </c>
      <c r="B56" s="5" t="s">
        <v>4</v>
      </c>
      <c r="C56" s="9" t="s">
        <v>82</v>
      </c>
      <c r="D56" s="10">
        <v>1723.68</v>
      </c>
      <c r="E56" s="9" t="s">
        <v>22</v>
      </c>
    </row>
    <row r="57" spans="1:5" x14ac:dyDescent="0.3">
      <c r="A57" s="5" t="s">
        <v>6</v>
      </c>
      <c r="B57" s="5" t="s">
        <v>7</v>
      </c>
      <c r="C57" s="9" t="s">
        <v>83</v>
      </c>
      <c r="D57" s="10">
        <v>1146.03</v>
      </c>
      <c r="E57" s="9" t="s">
        <v>21</v>
      </c>
    </row>
    <row r="58" spans="1:5" x14ac:dyDescent="0.3">
      <c r="A58" s="5" t="s">
        <v>5</v>
      </c>
      <c r="B58" s="5" t="s">
        <v>7</v>
      </c>
      <c r="C58" s="9" t="s">
        <v>84</v>
      </c>
      <c r="D58" s="10">
        <v>896.65</v>
      </c>
      <c r="E58" s="9" t="s">
        <v>24</v>
      </c>
    </row>
    <row r="59" spans="1:5" x14ac:dyDescent="0.3">
      <c r="A59" s="5" t="s">
        <v>9</v>
      </c>
      <c r="B59" s="5" t="s">
        <v>8</v>
      </c>
      <c r="C59" s="9" t="s">
        <v>85</v>
      </c>
      <c r="D59" s="10">
        <v>664.12</v>
      </c>
      <c r="E59" s="9" t="s">
        <v>20</v>
      </c>
    </row>
    <row r="60" spans="1:5" x14ac:dyDescent="0.3">
      <c r="A60" s="5" t="s">
        <v>6</v>
      </c>
      <c r="B60" s="5" t="s">
        <v>4</v>
      </c>
      <c r="C60" s="9" t="s">
        <v>86</v>
      </c>
      <c r="D60" s="10">
        <v>2178.81</v>
      </c>
      <c r="E60" s="9" t="s">
        <v>22</v>
      </c>
    </row>
    <row r="61" spans="1:5" x14ac:dyDescent="0.3">
      <c r="A61" s="5" t="s">
        <v>5</v>
      </c>
      <c r="B61" s="5" t="s">
        <v>8</v>
      </c>
      <c r="C61" s="9" t="s">
        <v>87</v>
      </c>
      <c r="D61" s="10">
        <v>704.65</v>
      </c>
      <c r="E61" s="9" t="s">
        <v>20</v>
      </c>
    </row>
    <row r="62" spans="1:5" x14ac:dyDescent="0.3">
      <c r="A62" s="5" t="s">
        <v>5</v>
      </c>
      <c r="B62" s="5" t="s">
        <v>8</v>
      </c>
      <c r="C62" s="9" t="s">
        <v>88</v>
      </c>
      <c r="D62" s="10">
        <v>576</v>
      </c>
      <c r="E62" s="9"/>
    </row>
    <row r="63" spans="1:5" x14ac:dyDescent="0.3">
      <c r="A63" s="5" t="s">
        <v>9</v>
      </c>
      <c r="B63" s="5" t="s">
        <v>8</v>
      </c>
      <c r="C63" s="9" t="s">
        <v>89</v>
      </c>
      <c r="D63" s="10">
        <v>398.62</v>
      </c>
      <c r="E63" s="9" t="s">
        <v>20</v>
      </c>
    </row>
    <row r="64" spans="1:5" x14ac:dyDescent="0.3">
      <c r="A64" s="5" t="s">
        <v>5</v>
      </c>
      <c r="B64" s="5" t="s">
        <v>4</v>
      </c>
      <c r="C64" s="9" t="s">
        <v>90</v>
      </c>
      <c r="D64" s="10">
        <v>2758.95</v>
      </c>
      <c r="E64" s="9" t="s">
        <v>20</v>
      </c>
    </row>
    <row r="65" spans="1:5" x14ac:dyDescent="0.3">
      <c r="A65" s="5" t="s">
        <v>9</v>
      </c>
      <c r="B65" s="5" t="s">
        <v>7</v>
      </c>
      <c r="C65" s="9" t="s">
        <v>91</v>
      </c>
      <c r="D65" s="10">
        <v>1498.5</v>
      </c>
      <c r="E65" s="9" t="s">
        <v>20</v>
      </c>
    </row>
    <row r="66" spans="1:5" x14ac:dyDescent="0.3">
      <c r="A66" s="5" t="s">
        <v>5</v>
      </c>
      <c r="B66" s="5" t="s">
        <v>4</v>
      </c>
      <c r="C66" s="9" t="s">
        <v>92</v>
      </c>
      <c r="D66" s="10">
        <v>5040</v>
      </c>
      <c r="E66" s="9" t="s">
        <v>21</v>
      </c>
    </row>
    <row r="67" spans="1:5" x14ac:dyDescent="0.3">
      <c r="A67" s="5" t="s">
        <v>5</v>
      </c>
      <c r="B67" s="5" t="s">
        <v>8</v>
      </c>
      <c r="C67" s="9" t="s">
        <v>93</v>
      </c>
      <c r="D67" s="10">
        <v>848.4</v>
      </c>
      <c r="E67" s="9"/>
    </row>
    <row r="68" spans="1:5" x14ac:dyDescent="0.3">
      <c r="A68" s="5" t="s">
        <v>5</v>
      </c>
      <c r="B68" s="5" t="s">
        <v>7</v>
      </c>
      <c r="C68" s="9" t="s">
        <v>94</v>
      </c>
      <c r="D68" s="10">
        <v>1470.17</v>
      </c>
      <c r="E68" s="9" t="s">
        <v>20</v>
      </c>
    </row>
    <row r="69" spans="1:5" x14ac:dyDescent="0.3">
      <c r="A69" s="5" t="s">
        <v>5</v>
      </c>
      <c r="B69" s="5" t="s">
        <v>4</v>
      </c>
      <c r="C69" s="9" t="s">
        <v>95</v>
      </c>
      <c r="D69" s="10">
        <v>3300</v>
      </c>
      <c r="E69" s="9" t="s">
        <v>22</v>
      </c>
    </row>
    <row r="70" spans="1:5" x14ac:dyDescent="0.3">
      <c r="A70" s="5" t="s">
        <v>5</v>
      </c>
      <c r="B70" s="5" t="s">
        <v>4</v>
      </c>
      <c r="C70" s="9" t="s">
        <v>96</v>
      </c>
      <c r="D70" s="10">
        <v>2798.08</v>
      </c>
      <c r="E70" s="9" t="s">
        <v>20</v>
      </c>
    </row>
    <row r="71" spans="1:5" x14ac:dyDescent="0.3">
      <c r="A71" s="5" t="s">
        <v>6</v>
      </c>
      <c r="B71" s="5" t="s">
        <v>4</v>
      </c>
      <c r="C71" s="9" t="s">
        <v>97</v>
      </c>
      <c r="D71" s="10">
        <v>10200.370000000001</v>
      </c>
      <c r="E71" s="9" t="s">
        <v>20</v>
      </c>
    </row>
    <row r="72" spans="1:5" x14ac:dyDescent="0.3">
      <c r="A72" s="5" t="s">
        <v>5</v>
      </c>
      <c r="B72" s="5" t="s">
        <v>7</v>
      </c>
      <c r="C72" s="9" t="s">
        <v>98</v>
      </c>
      <c r="D72" s="10">
        <v>1130.72</v>
      </c>
      <c r="E72" s="9" t="s">
        <v>25</v>
      </c>
    </row>
    <row r="73" spans="1:5" x14ac:dyDescent="0.3">
      <c r="A73" s="5" t="s">
        <v>6</v>
      </c>
      <c r="B73" s="5" t="s">
        <v>8</v>
      </c>
      <c r="C73" s="9" t="s">
        <v>99</v>
      </c>
      <c r="D73" s="10">
        <v>661.57</v>
      </c>
      <c r="E73" s="9" t="s">
        <v>22</v>
      </c>
    </row>
    <row r="74" spans="1:5" x14ac:dyDescent="0.3">
      <c r="A74" s="5" t="s">
        <v>3</v>
      </c>
      <c r="B74" s="5" t="s">
        <v>7</v>
      </c>
      <c r="C74" s="9" t="s">
        <v>100</v>
      </c>
      <c r="D74" s="10">
        <v>1765.7</v>
      </c>
      <c r="E74" s="9" t="s">
        <v>20</v>
      </c>
    </row>
    <row r="75" spans="1:5" x14ac:dyDescent="0.3">
      <c r="A75" s="5" t="s">
        <v>3</v>
      </c>
      <c r="B75" s="5" t="s">
        <v>8</v>
      </c>
      <c r="C75" s="9" t="s">
        <v>101</v>
      </c>
      <c r="D75" s="10">
        <v>674.11</v>
      </c>
      <c r="E75" s="9" t="s">
        <v>20</v>
      </c>
    </row>
    <row r="76" spans="1:5" x14ac:dyDescent="0.3">
      <c r="A76" s="5" t="s">
        <v>5</v>
      </c>
      <c r="B76" s="5" t="s">
        <v>4</v>
      </c>
      <c r="C76" s="9" t="s">
        <v>102</v>
      </c>
      <c r="D76" s="10">
        <v>1999.78</v>
      </c>
      <c r="E76" s="9" t="s">
        <v>20</v>
      </c>
    </row>
    <row r="77" spans="1:5" x14ac:dyDescent="0.3">
      <c r="A77" s="5" t="s">
        <v>6</v>
      </c>
      <c r="B77" s="5" t="s">
        <v>4</v>
      </c>
      <c r="C77" s="9" t="s">
        <v>103</v>
      </c>
      <c r="D77" s="10">
        <v>11358.43</v>
      </c>
      <c r="E77" s="9"/>
    </row>
    <row r="78" spans="1:5" x14ac:dyDescent="0.3">
      <c r="A78" s="5" t="s">
        <v>6</v>
      </c>
      <c r="B78" s="5" t="s">
        <v>4</v>
      </c>
      <c r="C78" s="9" t="s">
        <v>104</v>
      </c>
      <c r="D78" s="10">
        <v>2558.04</v>
      </c>
      <c r="E78" s="9" t="s">
        <v>22</v>
      </c>
    </row>
    <row r="79" spans="1:5" x14ac:dyDescent="0.3">
      <c r="A79" s="5" t="s">
        <v>6</v>
      </c>
      <c r="B79" s="5" t="s">
        <v>4</v>
      </c>
      <c r="C79" s="9" t="s">
        <v>105</v>
      </c>
      <c r="D79" s="10">
        <v>2979.24</v>
      </c>
      <c r="E79" s="9" t="s">
        <v>22</v>
      </c>
    </row>
    <row r="80" spans="1:5" x14ac:dyDescent="0.3">
      <c r="A80" s="5" t="s">
        <v>5</v>
      </c>
      <c r="B80" s="5" t="s">
        <v>4</v>
      </c>
      <c r="C80" s="9" t="s">
        <v>106</v>
      </c>
      <c r="D80" s="10">
        <v>3510.38</v>
      </c>
      <c r="E80" s="9" t="s">
        <v>22</v>
      </c>
    </row>
    <row r="81" spans="1:5" x14ac:dyDescent="0.3">
      <c r="A81" s="5" t="s">
        <v>5</v>
      </c>
      <c r="B81" s="5" t="s">
        <v>4</v>
      </c>
      <c r="C81" s="9" t="s">
        <v>107</v>
      </c>
      <c r="D81" s="10">
        <v>1793.17</v>
      </c>
      <c r="E81" s="9"/>
    </row>
    <row r="82" spans="1:5" x14ac:dyDescent="0.3">
      <c r="A82" s="5" t="s">
        <v>5</v>
      </c>
      <c r="B82" s="5" t="s">
        <v>7</v>
      </c>
      <c r="C82" s="9" t="s">
        <v>108</v>
      </c>
      <c r="D82" s="10">
        <v>1442.74</v>
      </c>
      <c r="E82" s="9" t="s">
        <v>22</v>
      </c>
    </row>
    <row r="83" spans="1:5" x14ac:dyDescent="0.3">
      <c r="A83" s="5" t="s">
        <v>3</v>
      </c>
      <c r="B83" s="5" t="s">
        <v>4</v>
      </c>
      <c r="C83" s="9" t="s">
        <v>109</v>
      </c>
      <c r="D83" s="10">
        <v>1777.6</v>
      </c>
      <c r="E83" s="9" t="s">
        <v>20</v>
      </c>
    </row>
    <row r="84" spans="1:5" x14ac:dyDescent="0.3">
      <c r="A84" s="5" t="s">
        <v>5</v>
      </c>
      <c r="B84" s="5" t="s">
        <v>4</v>
      </c>
      <c r="C84" s="9" t="s">
        <v>110</v>
      </c>
      <c r="D84" s="10">
        <v>1499.33</v>
      </c>
      <c r="E84" s="9" t="s">
        <v>21</v>
      </c>
    </row>
    <row r="85" spans="1:5" x14ac:dyDescent="0.3">
      <c r="A85" s="5" t="s">
        <v>5</v>
      </c>
      <c r="B85" s="5" t="s">
        <v>4</v>
      </c>
      <c r="C85" s="9" t="s">
        <v>111</v>
      </c>
      <c r="D85" s="10">
        <v>1643.35</v>
      </c>
      <c r="E85" s="9"/>
    </row>
    <row r="86" spans="1:5" x14ac:dyDescent="0.3">
      <c r="A86" s="5" t="s">
        <v>3</v>
      </c>
      <c r="B86" s="5" t="s">
        <v>4</v>
      </c>
      <c r="C86" s="9" t="s">
        <v>112</v>
      </c>
      <c r="D86" s="10">
        <v>1889.7</v>
      </c>
      <c r="E86" s="9" t="s">
        <v>20</v>
      </c>
    </row>
    <row r="87" spans="1:5" x14ac:dyDescent="0.3">
      <c r="A87" s="5" t="s">
        <v>6</v>
      </c>
      <c r="B87" s="5" t="s">
        <v>4</v>
      </c>
      <c r="C87" s="9" t="s">
        <v>113</v>
      </c>
      <c r="D87" s="10">
        <v>2314.17</v>
      </c>
      <c r="E87" s="9" t="s">
        <v>21</v>
      </c>
    </row>
    <row r="88" spans="1:5" x14ac:dyDescent="0.3">
      <c r="A88" s="5" t="s">
        <v>3</v>
      </c>
      <c r="B88" s="5" t="s">
        <v>7</v>
      </c>
      <c r="C88" s="9" t="s">
        <v>114</v>
      </c>
      <c r="D88" s="10">
        <v>1355.9</v>
      </c>
      <c r="E88" s="9" t="s">
        <v>20</v>
      </c>
    </row>
    <row r="89" spans="1:5" x14ac:dyDescent="0.3">
      <c r="A89" s="5" t="s">
        <v>3</v>
      </c>
      <c r="B89" s="5" t="s">
        <v>4</v>
      </c>
      <c r="C89" s="9" t="s">
        <v>115</v>
      </c>
      <c r="D89" s="10">
        <v>2272.6</v>
      </c>
      <c r="E89" s="9" t="s">
        <v>20</v>
      </c>
    </row>
    <row r="90" spans="1:5" x14ac:dyDescent="0.3">
      <c r="A90" s="5" t="s">
        <v>9</v>
      </c>
      <c r="B90" s="5" t="s">
        <v>4</v>
      </c>
      <c r="C90" s="9" t="s">
        <v>116</v>
      </c>
      <c r="D90" s="10">
        <v>925.83</v>
      </c>
      <c r="E90" s="9" t="s">
        <v>20</v>
      </c>
    </row>
    <row r="91" spans="1:5" x14ac:dyDescent="0.3">
      <c r="A91" s="5" t="s">
        <v>5</v>
      </c>
      <c r="B91" s="5" t="s">
        <v>4</v>
      </c>
      <c r="C91" s="9" t="s">
        <v>117</v>
      </c>
      <c r="D91" s="10">
        <v>2212.34</v>
      </c>
      <c r="E91" s="9" t="s">
        <v>20</v>
      </c>
    </row>
    <row r="92" spans="1:5" x14ac:dyDescent="0.3">
      <c r="A92" s="5" t="s">
        <v>3</v>
      </c>
      <c r="B92" s="5" t="s">
        <v>8</v>
      </c>
      <c r="C92" s="9" t="s">
        <v>118</v>
      </c>
      <c r="D92" s="10">
        <v>705.23</v>
      </c>
      <c r="E92" s="9" t="s">
        <v>20</v>
      </c>
    </row>
    <row r="93" spans="1:5" x14ac:dyDescent="0.3">
      <c r="A93" s="5" t="s">
        <v>6</v>
      </c>
      <c r="B93" s="5" t="s">
        <v>8</v>
      </c>
      <c r="C93" s="9" t="s">
        <v>119</v>
      </c>
      <c r="D93" s="10">
        <v>699.03</v>
      </c>
      <c r="E93" s="9" t="s">
        <v>25</v>
      </c>
    </row>
    <row r="94" spans="1:5" x14ac:dyDescent="0.3">
      <c r="A94" s="5" t="s">
        <v>6</v>
      </c>
      <c r="B94" s="5" t="s">
        <v>8</v>
      </c>
      <c r="C94" s="9" t="s">
        <v>120</v>
      </c>
      <c r="D94" s="10">
        <v>683.54</v>
      </c>
      <c r="E94" s="9" t="s">
        <v>20</v>
      </c>
    </row>
    <row r="95" spans="1:5" x14ac:dyDescent="0.3">
      <c r="A95" s="5" t="s">
        <v>6</v>
      </c>
      <c r="B95" s="5" t="s">
        <v>7</v>
      </c>
      <c r="C95" s="9" t="s">
        <v>121</v>
      </c>
      <c r="D95" s="10">
        <v>1512</v>
      </c>
      <c r="E95" s="9" t="s">
        <v>23</v>
      </c>
    </row>
    <row r="96" spans="1:5" x14ac:dyDescent="0.3">
      <c r="A96" s="5" t="s">
        <v>3</v>
      </c>
      <c r="B96" s="5" t="s">
        <v>4</v>
      </c>
      <c r="C96" s="9" t="s">
        <v>122</v>
      </c>
      <c r="D96" s="10">
        <v>3469.32</v>
      </c>
      <c r="E96" s="9" t="s">
        <v>20</v>
      </c>
    </row>
    <row r="97" spans="1:5" x14ac:dyDescent="0.3">
      <c r="A97" s="5" t="s">
        <v>6</v>
      </c>
      <c r="B97" s="5" t="s">
        <v>4</v>
      </c>
      <c r="C97" s="9" t="s">
        <v>123</v>
      </c>
      <c r="D97" s="10">
        <v>1902.51</v>
      </c>
      <c r="E97" s="9" t="s">
        <v>20</v>
      </c>
    </row>
    <row r="98" spans="1:5" x14ac:dyDescent="0.3">
      <c r="A98" s="5" t="s">
        <v>5</v>
      </c>
      <c r="B98" s="5" t="s">
        <v>7</v>
      </c>
      <c r="C98" s="9" t="s">
        <v>124</v>
      </c>
      <c r="D98" s="10">
        <v>1543.95</v>
      </c>
      <c r="E98" s="9" t="s">
        <v>20</v>
      </c>
    </row>
    <row r="99" spans="1:5" x14ac:dyDescent="0.3">
      <c r="A99" s="5" t="s">
        <v>5</v>
      </c>
      <c r="B99" s="5" t="s">
        <v>4</v>
      </c>
      <c r="C99" s="9" t="s">
        <v>125</v>
      </c>
      <c r="D99" s="10">
        <v>4506.8500000000004</v>
      </c>
      <c r="E99" s="9" t="s">
        <v>22</v>
      </c>
    </row>
    <row r="100" spans="1:5" x14ac:dyDescent="0.3">
      <c r="A100" s="5" t="s">
        <v>6</v>
      </c>
      <c r="B100" s="5" t="s">
        <v>8</v>
      </c>
      <c r="C100" s="9" t="s">
        <v>126</v>
      </c>
      <c r="D100" s="10">
        <v>681.32</v>
      </c>
      <c r="E100" s="9"/>
    </row>
    <row r="101" spans="1:5" x14ac:dyDescent="0.3">
      <c r="A101" s="5" t="s">
        <v>6</v>
      </c>
      <c r="B101" s="5" t="s">
        <v>7</v>
      </c>
      <c r="C101" s="9" t="s">
        <v>127</v>
      </c>
      <c r="D101" s="10">
        <v>1104.93</v>
      </c>
      <c r="E101" s="9" t="s">
        <v>20</v>
      </c>
    </row>
    <row r="102" spans="1:5" x14ac:dyDescent="0.3">
      <c r="A102" s="5" t="s">
        <v>6</v>
      </c>
      <c r="B102" s="5" t="s">
        <v>7</v>
      </c>
      <c r="C102" s="9" t="s">
        <v>128</v>
      </c>
      <c r="D102" s="10">
        <v>1096.94</v>
      </c>
      <c r="E102" s="9" t="s">
        <v>20</v>
      </c>
    </row>
    <row r="103" spans="1:5" x14ac:dyDescent="0.3">
      <c r="A103" s="5" t="s">
        <v>6</v>
      </c>
      <c r="B103" s="5" t="s">
        <v>7</v>
      </c>
      <c r="C103" s="9" t="s">
        <v>129</v>
      </c>
      <c r="D103" s="10">
        <v>1292.17</v>
      </c>
      <c r="E103" s="9" t="s">
        <v>20</v>
      </c>
    </row>
    <row r="104" spans="1:5" x14ac:dyDescent="0.3">
      <c r="A104" s="5" t="s">
        <v>5</v>
      </c>
      <c r="B104" s="5" t="s">
        <v>7</v>
      </c>
      <c r="C104" s="9" t="s">
        <v>130</v>
      </c>
      <c r="D104" s="10">
        <v>815.05</v>
      </c>
      <c r="E104" s="9"/>
    </row>
    <row r="105" spans="1:5" x14ac:dyDescent="0.3">
      <c r="A105" s="5" t="s">
        <v>5</v>
      </c>
      <c r="B105" s="5" t="s">
        <v>8</v>
      </c>
      <c r="C105" s="9" t="s">
        <v>131</v>
      </c>
      <c r="D105" s="10">
        <v>701.58</v>
      </c>
      <c r="E105" s="9"/>
    </row>
    <row r="106" spans="1:5" x14ac:dyDescent="0.3">
      <c r="A106" s="5" t="s">
        <v>6</v>
      </c>
      <c r="B106" s="5" t="s">
        <v>4</v>
      </c>
      <c r="C106" s="9" t="s">
        <v>132</v>
      </c>
      <c r="D106" s="10">
        <v>2526.1</v>
      </c>
      <c r="E106" s="9" t="s">
        <v>22</v>
      </c>
    </row>
    <row r="107" spans="1:5" x14ac:dyDescent="0.3">
      <c r="A107" s="5" t="s">
        <v>6</v>
      </c>
      <c r="B107" s="5" t="s">
        <v>8</v>
      </c>
      <c r="C107" s="9" t="s">
        <v>133</v>
      </c>
      <c r="D107" s="10">
        <v>702.86</v>
      </c>
      <c r="E107" s="9" t="s">
        <v>20</v>
      </c>
    </row>
    <row r="108" spans="1:5" x14ac:dyDescent="0.3">
      <c r="A108" s="5" t="s">
        <v>6</v>
      </c>
      <c r="B108" s="5" t="s">
        <v>7</v>
      </c>
      <c r="C108" s="9" t="s">
        <v>134</v>
      </c>
      <c r="D108" s="10">
        <v>868.99</v>
      </c>
      <c r="E108" s="9" t="s">
        <v>23</v>
      </c>
    </row>
    <row r="109" spans="1:5" x14ac:dyDescent="0.3">
      <c r="A109" s="5" t="s">
        <v>6</v>
      </c>
      <c r="B109" s="5" t="s">
        <v>4</v>
      </c>
      <c r="C109" s="9" t="s">
        <v>135</v>
      </c>
      <c r="D109" s="10">
        <v>27788.43</v>
      </c>
      <c r="E109" s="9" t="s">
        <v>20</v>
      </c>
    </row>
    <row r="110" spans="1:5" x14ac:dyDescent="0.3">
      <c r="A110" s="5" t="s">
        <v>6</v>
      </c>
      <c r="B110" s="5" t="s">
        <v>7</v>
      </c>
      <c r="C110" s="9" t="s">
        <v>136</v>
      </c>
      <c r="D110" s="10">
        <v>963.58</v>
      </c>
      <c r="E110" s="9" t="s">
        <v>23</v>
      </c>
    </row>
    <row r="111" spans="1:5" x14ac:dyDescent="0.3">
      <c r="A111" s="5" t="s">
        <v>3</v>
      </c>
      <c r="B111" s="5" t="s">
        <v>4</v>
      </c>
      <c r="C111" s="9" t="s">
        <v>137</v>
      </c>
      <c r="D111" s="10">
        <v>3742.44</v>
      </c>
      <c r="E111" s="9" t="s">
        <v>20</v>
      </c>
    </row>
    <row r="112" spans="1:5" x14ac:dyDescent="0.3">
      <c r="A112" s="5" t="s">
        <v>3</v>
      </c>
      <c r="B112" s="5" t="s">
        <v>4</v>
      </c>
      <c r="C112" s="9" t="s">
        <v>138</v>
      </c>
      <c r="D112" s="10">
        <v>1273.0899999999999</v>
      </c>
      <c r="E112" s="9" t="s">
        <v>20</v>
      </c>
    </row>
    <row r="113" spans="1:5" x14ac:dyDescent="0.3">
      <c r="A113" s="5" t="s">
        <v>5</v>
      </c>
      <c r="B113" s="5" t="s">
        <v>7</v>
      </c>
      <c r="C113" s="9" t="s">
        <v>139</v>
      </c>
      <c r="D113" s="10">
        <v>1001.78</v>
      </c>
      <c r="E113" s="9" t="s">
        <v>24</v>
      </c>
    </row>
    <row r="114" spans="1:5" x14ac:dyDescent="0.3">
      <c r="A114" s="5" t="s">
        <v>5</v>
      </c>
      <c r="B114" s="5" t="s">
        <v>8</v>
      </c>
      <c r="C114" s="9" t="s">
        <v>140</v>
      </c>
      <c r="D114" s="10">
        <v>652.51</v>
      </c>
      <c r="E114" s="9" t="s">
        <v>20</v>
      </c>
    </row>
    <row r="115" spans="1:5" x14ac:dyDescent="0.3">
      <c r="A115" s="5" t="s">
        <v>5</v>
      </c>
      <c r="B115" s="5" t="s">
        <v>4</v>
      </c>
      <c r="C115" s="9" t="s">
        <v>141</v>
      </c>
      <c r="D115" s="10">
        <v>828.81</v>
      </c>
      <c r="E115" s="9" t="s">
        <v>20</v>
      </c>
    </row>
    <row r="116" spans="1:5" x14ac:dyDescent="0.3">
      <c r="A116" s="5" t="s">
        <v>3</v>
      </c>
      <c r="B116" s="5" t="s">
        <v>7</v>
      </c>
      <c r="C116" s="9" t="s">
        <v>142</v>
      </c>
      <c r="D116" s="10">
        <v>905.86</v>
      </c>
      <c r="E116" s="9" t="s">
        <v>20</v>
      </c>
    </row>
    <row r="117" spans="1:5" x14ac:dyDescent="0.3">
      <c r="A117" s="5" t="s">
        <v>3</v>
      </c>
      <c r="B117" s="5" t="s">
        <v>4</v>
      </c>
      <c r="C117" s="9" t="s">
        <v>143</v>
      </c>
      <c r="D117" s="10">
        <v>2350.33</v>
      </c>
      <c r="E117" s="9" t="s">
        <v>20</v>
      </c>
    </row>
    <row r="118" spans="1:5" x14ac:dyDescent="0.3">
      <c r="A118" s="5" t="s">
        <v>6</v>
      </c>
      <c r="B118" s="5" t="s">
        <v>4</v>
      </c>
      <c r="C118" s="9" t="s">
        <v>144</v>
      </c>
      <c r="D118" s="10">
        <v>674.33</v>
      </c>
      <c r="E118" s="9"/>
    </row>
    <row r="119" spans="1:5" x14ac:dyDescent="0.3">
      <c r="A119" s="5" t="s">
        <v>6</v>
      </c>
      <c r="B119" s="5" t="s">
        <v>4</v>
      </c>
      <c r="C119" s="9" t="s">
        <v>145</v>
      </c>
      <c r="D119" s="10">
        <v>847.93</v>
      </c>
      <c r="E119" s="9" t="s">
        <v>20</v>
      </c>
    </row>
    <row r="120" spans="1:5" x14ac:dyDescent="0.3">
      <c r="A120" s="5" t="s">
        <v>3</v>
      </c>
      <c r="B120" s="5" t="s">
        <v>7</v>
      </c>
      <c r="C120" s="9" t="s">
        <v>146</v>
      </c>
      <c r="D120" s="10">
        <v>1218.44</v>
      </c>
      <c r="E120" s="9" t="s">
        <v>20</v>
      </c>
    </row>
    <row r="121" spans="1:5" x14ac:dyDescent="0.3">
      <c r="A121" s="5" t="s">
        <v>3</v>
      </c>
      <c r="B121" s="5" t="s">
        <v>7</v>
      </c>
      <c r="C121" s="9" t="s">
        <v>147</v>
      </c>
      <c r="D121" s="10">
        <v>1218.44</v>
      </c>
      <c r="E121" s="9" t="s">
        <v>20</v>
      </c>
    </row>
    <row r="122" spans="1:5" x14ac:dyDescent="0.3">
      <c r="A122" s="5" t="s">
        <v>6</v>
      </c>
      <c r="B122" s="5" t="s">
        <v>8</v>
      </c>
      <c r="C122" s="9" t="s">
        <v>148</v>
      </c>
      <c r="D122" s="10">
        <v>753.19</v>
      </c>
      <c r="E122" s="9" t="s">
        <v>23</v>
      </c>
    </row>
    <row r="123" spans="1:5" x14ac:dyDescent="0.3">
      <c r="A123" s="5" t="s">
        <v>3</v>
      </c>
      <c r="B123" s="5" t="s">
        <v>7</v>
      </c>
      <c r="C123" s="9" t="s">
        <v>149</v>
      </c>
      <c r="D123" s="10">
        <v>1213.9000000000001</v>
      </c>
      <c r="E123" s="9" t="s">
        <v>20</v>
      </c>
    </row>
    <row r="124" spans="1:5" x14ac:dyDescent="0.3">
      <c r="A124" s="5" t="s">
        <v>6</v>
      </c>
      <c r="B124" s="5" t="s">
        <v>7</v>
      </c>
      <c r="C124" s="9" t="s">
        <v>150</v>
      </c>
      <c r="D124" s="10">
        <v>1498.19</v>
      </c>
      <c r="E124" s="9" t="s">
        <v>20</v>
      </c>
    </row>
    <row r="125" spans="1:5" x14ac:dyDescent="0.3">
      <c r="A125" s="5" t="s">
        <v>3</v>
      </c>
      <c r="B125" s="5" t="s">
        <v>4</v>
      </c>
      <c r="C125" s="9" t="s">
        <v>151</v>
      </c>
      <c r="D125" s="10">
        <v>1216.97</v>
      </c>
      <c r="E125" s="9" t="s">
        <v>20</v>
      </c>
    </row>
    <row r="126" spans="1:5" x14ac:dyDescent="0.3">
      <c r="A126" s="5" t="s">
        <v>3</v>
      </c>
      <c r="B126" s="5" t="s">
        <v>4</v>
      </c>
      <c r="C126" s="9" t="s">
        <v>152</v>
      </c>
      <c r="D126" s="10">
        <v>1213.9000000000001</v>
      </c>
      <c r="E126" s="9" t="s">
        <v>20</v>
      </c>
    </row>
    <row r="127" spans="1:5" x14ac:dyDescent="0.3">
      <c r="A127" s="5" t="s">
        <v>3</v>
      </c>
      <c r="B127" s="5" t="s">
        <v>4</v>
      </c>
      <c r="C127" s="9" t="s">
        <v>153</v>
      </c>
      <c r="D127" s="10">
        <v>2345.4</v>
      </c>
      <c r="E127" s="9" t="s">
        <v>20</v>
      </c>
    </row>
    <row r="128" spans="1:5" x14ac:dyDescent="0.3">
      <c r="A128" s="5" t="s">
        <v>3</v>
      </c>
      <c r="B128" s="5" t="s">
        <v>8</v>
      </c>
      <c r="C128" s="9" t="s">
        <v>154</v>
      </c>
      <c r="D128" s="10">
        <v>737.8</v>
      </c>
      <c r="E128" s="9" t="s">
        <v>20</v>
      </c>
    </row>
    <row r="129" spans="1:5" x14ac:dyDescent="0.3">
      <c r="A129" s="5" t="s">
        <v>6</v>
      </c>
      <c r="B129" s="5" t="s">
        <v>8</v>
      </c>
      <c r="C129" s="9" t="s">
        <v>155</v>
      </c>
      <c r="D129" s="10">
        <v>670.51</v>
      </c>
      <c r="E129" s="9"/>
    </row>
    <row r="130" spans="1:5" x14ac:dyDescent="0.3">
      <c r="A130" s="5" t="s">
        <v>6</v>
      </c>
      <c r="B130" s="5" t="s">
        <v>8</v>
      </c>
      <c r="C130" s="9" t="s">
        <v>156</v>
      </c>
      <c r="D130" s="10">
        <v>678.53</v>
      </c>
      <c r="E130" s="9" t="s">
        <v>20</v>
      </c>
    </row>
    <row r="131" spans="1:5" x14ac:dyDescent="0.3">
      <c r="A131" s="5" t="s">
        <v>3</v>
      </c>
      <c r="B131" s="5" t="s">
        <v>7</v>
      </c>
      <c r="C131" s="9" t="s">
        <v>157</v>
      </c>
      <c r="D131" s="10">
        <v>1213.9000000000001</v>
      </c>
      <c r="E131" s="9" t="s">
        <v>20</v>
      </c>
    </row>
    <row r="132" spans="1:5" x14ac:dyDescent="0.3">
      <c r="A132" s="5" t="s">
        <v>3</v>
      </c>
      <c r="B132" s="5" t="s">
        <v>7</v>
      </c>
      <c r="C132" s="9" t="s">
        <v>158</v>
      </c>
      <c r="D132" s="10">
        <v>1218.44</v>
      </c>
      <c r="E132" s="9" t="s">
        <v>20</v>
      </c>
    </row>
    <row r="133" spans="1:5" x14ac:dyDescent="0.3">
      <c r="A133" s="5" t="s">
        <v>3</v>
      </c>
      <c r="B133" s="5" t="s">
        <v>7</v>
      </c>
      <c r="C133" s="9" t="s">
        <v>159</v>
      </c>
      <c r="D133" s="10">
        <v>1213.9000000000001</v>
      </c>
      <c r="E133" s="9" t="s">
        <v>20</v>
      </c>
    </row>
    <row r="134" spans="1:5" x14ac:dyDescent="0.3">
      <c r="A134" s="5" t="s">
        <v>3</v>
      </c>
      <c r="B134" s="5" t="s">
        <v>7</v>
      </c>
      <c r="C134" s="9" t="s">
        <v>160</v>
      </c>
      <c r="D134" s="10">
        <v>1218.44</v>
      </c>
      <c r="E134" s="9" t="s">
        <v>20</v>
      </c>
    </row>
    <row r="135" spans="1:5" x14ac:dyDescent="0.3">
      <c r="A135" s="5" t="s">
        <v>3</v>
      </c>
      <c r="B135" s="5" t="s">
        <v>7</v>
      </c>
      <c r="C135" s="9" t="s">
        <v>161</v>
      </c>
      <c r="D135" s="10">
        <v>1213.9000000000001</v>
      </c>
      <c r="E135" s="9" t="s">
        <v>20</v>
      </c>
    </row>
    <row r="136" spans="1:5" x14ac:dyDescent="0.3">
      <c r="A136" s="5" t="s">
        <v>3</v>
      </c>
      <c r="B136" s="5" t="s">
        <v>7</v>
      </c>
      <c r="C136" s="9" t="s">
        <v>162</v>
      </c>
      <c r="D136" s="10">
        <v>1223.1099999999999</v>
      </c>
      <c r="E136" s="9" t="s">
        <v>20</v>
      </c>
    </row>
    <row r="137" spans="1:5" x14ac:dyDescent="0.3">
      <c r="A137" s="5" t="s">
        <v>3</v>
      </c>
      <c r="B137" s="5" t="s">
        <v>4</v>
      </c>
      <c r="C137" s="9" t="s">
        <v>163</v>
      </c>
      <c r="D137" s="10">
        <v>1216.97</v>
      </c>
      <c r="E137" s="9" t="s">
        <v>20</v>
      </c>
    </row>
    <row r="138" spans="1:5" x14ac:dyDescent="0.3">
      <c r="A138" s="5" t="s">
        <v>5</v>
      </c>
      <c r="B138" s="5" t="s">
        <v>4</v>
      </c>
      <c r="C138" s="9" t="s">
        <v>164</v>
      </c>
      <c r="D138" s="10">
        <v>2170.59</v>
      </c>
      <c r="E138" s="9"/>
    </row>
    <row r="139" spans="1:5" x14ac:dyDescent="0.3">
      <c r="A139" s="5" t="s">
        <v>5</v>
      </c>
      <c r="B139" s="5" t="s">
        <v>4</v>
      </c>
      <c r="C139" s="9" t="s">
        <v>165</v>
      </c>
      <c r="D139" s="10">
        <v>1961.6</v>
      </c>
      <c r="E139" s="9" t="s">
        <v>20</v>
      </c>
    </row>
    <row r="140" spans="1:5" x14ac:dyDescent="0.3">
      <c r="A140" s="5" t="s">
        <v>3</v>
      </c>
      <c r="B140" s="5" t="s">
        <v>7</v>
      </c>
      <c r="C140" s="9" t="s">
        <v>166</v>
      </c>
      <c r="D140" s="10">
        <v>1216.97</v>
      </c>
      <c r="E140" s="9" t="s">
        <v>20</v>
      </c>
    </row>
    <row r="141" spans="1:5" x14ac:dyDescent="0.3">
      <c r="A141" s="5" t="s">
        <v>3</v>
      </c>
      <c r="B141" s="5" t="s">
        <v>7</v>
      </c>
      <c r="C141" s="9" t="s">
        <v>167</v>
      </c>
      <c r="D141" s="10">
        <v>1216.97</v>
      </c>
      <c r="E141" s="9" t="s">
        <v>20</v>
      </c>
    </row>
    <row r="142" spans="1:5" x14ac:dyDescent="0.3">
      <c r="A142" s="5" t="s">
        <v>6</v>
      </c>
      <c r="B142" s="5" t="s">
        <v>4</v>
      </c>
      <c r="C142" s="9" t="s">
        <v>168</v>
      </c>
      <c r="D142" s="10">
        <v>4509.1000000000004</v>
      </c>
      <c r="E142" s="9" t="s">
        <v>23</v>
      </c>
    </row>
    <row r="143" spans="1:5" x14ac:dyDescent="0.3">
      <c r="A143" s="5" t="s">
        <v>6</v>
      </c>
      <c r="B143" s="5" t="s">
        <v>4</v>
      </c>
      <c r="C143" s="9" t="s">
        <v>169</v>
      </c>
      <c r="D143" s="10">
        <v>5062.6000000000004</v>
      </c>
      <c r="E143" s="9" t="s">
        <v>20</v>
      </c>
    </row>
    <row r="144" spans="1:5" x14ac:dyDescent="0.3">
      <c r="A144" s="5" t="s">
        <v>3</v>
      </c>
      <c r="B144" s="5" t="s">
        <v>4</v>
      </c>
      <c r="C144" s="9" t="s">
        <v>170</v>
      </c>
      <c r="D144" s="10">
        <v>1802.56</v>
      </c>
      <c r="E144" s="9" t="s">
        <v>20</v>
      </c>
    </row>
    <row r="145" spans="1:5" x14ac:dyDescent="0.3">
      <c r="A145" s="5" t="s">
        <v>6</v>
      </c>
      <c r="B145" s="5" t="s">
        <v>7</v>
      </c>
      <c r="C145" s="9" t="s">
        <v>171</v>
      </c>
      <c r="D145" s="10">
        <v>820.06</v>
      </c>
      <c r="E145" s="9" t="s">
        <v>20</v>
      </c>
    </row>
    <row r="146" spans="1:5" x14ac:dyDescent="0.3">
      <c r="A146" s="5" t="s">
        <v>6</v>
      </c>
      <c r="B146" s="5" t="s">
        <v>7</v>
      </c>
      <c r="C146" s="9" t="s">
        <v>172</v>
      </c>
      <c r="D146" s="10">
        <v>903.41</v>
      </c>
      <c r="E146" s="9"/>
    </row>
    <row r="147" spans="1:5" x14ac:dyDescent="0.3">
      <c r="A147" s="5" t="s">
        <v>3</v>
      </c>
      <c r="B147" s="5" t="s">
        <v>7</v>
      </c>
      <c r="C147" s="9" t="s">
        <v>173</v>
      </c>
      <c r="D147" s="10">
        <v>1380.17</v>
      </c>
      <c r="E147" s="9" t="s">
        <v>20</v>
      </c>
    </row>
    <row r="148" spans="1:5" x14ac:dyDescent="0.3">
      <c r="A148" s="5" t="s">
        <v>6</v>
      </c>
      <c r="B148" s="5" t="s">
        <v>7</v>
      </c>
      <c r="C148" s="9" t="s">
        <v>174</v>
      </c>
      <c r="D148" s="10">
        <v>1792.87</v>
      </c>
      <c r="E148" s="9" t="s">
        <v>20</v>
      </c>
    </row>
    <row r="149" spans="1:5" x14ac:dyDescent="0.3">
      <c r="A149" s="5" t="s">
        <v>5</v>
      </c>
      <c r="B149" s="5" t="s">
        <v>7</v>
      </c>
      <c r="C149" s="9" t="s">
        <v>175</v>
      </c>
      <c r="D149" s="10">
        <v>1593.85</v>
      </c>
      <c r="E149" s="9"/>
    </row>
    <row r="150" spans="1:5" x14ac:dyDescent="0.3">
      <c r="A150" s="5" t="s">
        <v>5</v>
      </c>
      <c r="B150" s="5" t="s">
        <v>7</v>
      </c>
      <c r="C150" s="9" t="s">
        <v>176</v>
      </c>
      <c r="D150" s="10">
        <v>1343.43</v>
      </c>
      <c r="E150" s="9" t="s">
        <v>22</v>
      </c>
    </row>
    <row r="151" spans="1:5" x14ac:dyDescent="0.3">
      <c r="A151" s="5" t="s">
        <v>5</v>
      </c>
      <c r="B151" s="5" t="s">
        <v>4</v>
      </c>
      <c r="C151" s="9" t="s">
        <v>177</v>
      </c>
      <c r="D151" s="10">
        <v>2134.2600000000002</v>
      </c>
      <c r="E151" s="9" t="s">
        <v>22</v>
      </c>
    </row>
    <row r="152" spans="1:5" x14ac:dyDescent="0.3">
      <c r="A152" s="5" t="s">
        <v>6</v>
      </c>
      <c r="B152" s="5" t="s">
        <v>4</v>
      </c>
      <c r="C152" s="9" t="s">
        <v>178</v>
      </c>
      <c r="D152" s="10">
        <v>9404.7099999999991</v>
      </c>
      <c r="E152" s="9" t="s">
        <v>20</v>
      </c>
    </row>
    <row r="153" spans="1:5" x14ac:dyDescent="0.3">
      <c r="A153" s="5" t="s">
        <v>3</v>
      </c>
      <c r="B153" s="5" t="s">
        <v>4</v>
      </c>
      <c r="C153" s="9" t="s">
        <v>179</v>
      </c>
      <c r="D153" s="10">
        <v>1957.06</v>
      </c>
      <c r="E153" s="9" t="s">
        <v>20</v>
      </c>
    </row>
    <row r="154" spans="1:5" x14ac:dyDescent="0.3">
      <c r="A154" s="5" t="s">
        <v>5</v>
      </c>
      <c r="B154" s="5" t="s">
        <v>4</v>
      </c>
      <c r="C154" s="9" t="s">
        <v>180</v>
      </c>
      <c r="D154" s="10">
        <v>1556.85</v>
      </c>
      <c r="E154" s="9"/>
    </row>
    <row r="155" spans="1:5" x14ac:dyDescent="0.3">
      <c r="A155" s="5" t="s">
        <v>10</v>
      </c>
      <c r="B155" s="5" t="s">
        <v>7</v>
      </c>
      <c r="C155" s="9" t="s">
        <v>181</v>
      </c>
      <c r="D155" s="10">
        <v>907.56</v>
      </c>
      <c r="E155" s="9"/>
    </row>
    <row r="156" spans="1:5" x14ac:dyDescent="0.3">
      <c r="A156" s="5" t="s">
        <v>11</v>
      </c>
      <c r="B156" s="5" t="s">
        <v>7</v>
      </c>
      <c r="C156" s="9" t="s">
        <v>182</v>
      </c>
      <c r="D156" s="10">
        <v>1391.63</v>
      </c>
      <c r="E156" s="9"/>
    </row>
    <row r="157" spans="1:5" x14ac:dyDescent="0.3">
      <c r="A157" s="5" t="s">
        <v>3</v>
      </c>
      <c r="B157" s="5" t="s">
        <v>8</v>
      </c>
      <c r="C157" s="9" t="s">
        <v>183</v>
      </c>
      <c r="D157" s="10">
        <v>704</v>
      </c>
      <c r="E157" s="9"/>
    </row>
    <row r="158" spans="1:5" x14ac:dyDescent="0.3">
      <c r="A158" s="5" t="s">
        <v>10</v>
      </c>
      <c r="B158" s="5" t="s">
        <v>7</v>
      </c>
      <c r="C158" s="9" t="s">
        <v>184</v>
      </c>
      <c r="D158" s="10">
        <v>1662.66</v>
      </c>
      <c r="E158" s="9"/>
    </row>
    <row r="159" spans="1:5" x14ac:dyDescent="0.3">
      <c r="A159" s="5" t="s">
        <v>10</v>
      </c>
      <c r="B159" s="5" t="s">
        <v>7</v>
      </c>
      <c r="C159" s="9" t="s">
        <v>185</v>
      </c>
      <c r="D159" s="10">
        <v>1377.03</v>
      </c>
      <c r="E159" s="9"/>
    </row>
    <row r="160" spans="1:5" x14ac:dyDescent="0.3">
      <c r="A160" s="5" t="s">
        <v>10</v>
      </c>
      <c r="B160" s="5" t="s">
        <v>7</v>
      </c>
      <c r="C160" s="9" t="s">
        <v>186</v>
      </c>
      <c r="D160" s="10">
        <v>1205.3599999999999</v>
      </c>
      <c r="E160" s="9"/>
    </row>
    <row r="161" spans="1:5" x14ac:dyDescent="0.3">
      <c r="A161" s="5" t="s">
        <v>10</v>
      </c>
      <c r="B161" s="5" t="s">
        <v>7</v>
      </c>
      <c r="C161" s="9" t="s">
        <v>187</v>
      </c>
      <c r="D161" s="10">
        <v>1108.25</v>
      </c>
      <c r="E161" s="9"/>
    </row>
    <row r="162" spans="1:5" x14ac:dyDescent="0.3">
      <c r="A162" s="5" t="s">
        <v>3</v>
      </c>
      <c r="B162" s="5" t="s">
        <v>7</v>
      </c>
      <c r="C162" s="9" t="s">
        <v>188</v>
      </c>
      <c r="D162" s="10">
        <v>1783.27</v>
      </c>
      <c r="E162" s="9"/>
    </row>
    <row r="163" spans="1:5" x14ac:dyDescent="0.3">
      <c r="A163" s="5" t="s">
        <v>10</v>
      </c>
      <c r="B163" s="5" t="s">
        <v>7</v>
      </c>
      <c r="C163" s="9" t="s">
        <v>189</v>
      </c>
      <c r="D163" s="10">
        <v>1754.42</v>
      </c>
      <c r="E163" s="9" t="s">
        <v>22</v>
      </c>
    </row>
    <row r="164" spans="1:5" x14ac:dyDescent="0.3">
      <c r="A164" s="5" t="s">
        <v>3</v>
      </c>
      <c r="B164" s="5" t="s">
        <v>8</v>
      </c>
      <c r="C164" s="9" t="s">
        <v>190</v>
      </c>
      <c r="D164" s="10">
        <v>696.5</v>
      </c>
      <c r="E164" s="9"/>
    </row>
    <row r="165" spans="1:5" x14ac:dyDescent="0.3">
      <c r="A165" s="5" t="s">
        <v>10</v>
      </c>
      <c r="B165" s="5" t="s">
        <v>4</v>
      </c>
      <c r="C165" s="9" t="s">
        <v>191</v>
      </c>
      <c r="D165" s="10">
        <v>2651.31</v>
      </c>
      <c r="E165" s="9" t="s">
        <v>20</v>
      </c>
    </row>
    <row r="166" spans="1:5" x14ac:dyDescent="0.3">
      <c r="A166" s="5" t="s">
        <v>3</v>
      </c>
      <c r="B166" s="5" t="s">
        <v>7</v>
      </c>
      <c r="C166" s="9" t="s">
        <v>192</v>
      </c>
      <c r="D166" s="10">
        <v>965.17</v>
      </c>
      <c r="E166" s="9"/>
    </row>
    <row r="167" spans="1:5" x14ac:dyDescent="0.3">
      <c r="A167" s="5" t="s">
        <v>3</v>
      </c>
      <c r="B167" s="5" t="s">
        <v>8</v>
      </c>
      <c r="C167" s="9" t="s">
        <v>193</v>
      </c>
      <c r="D167" s="10">
        <v>677.7</v>
      </c>
      <c r="E167" s="9" t="s">
        <v>20</v>
      </c>
    </row>
    <row r="168" spans="1:5" x14ac:dyDescent="0.3">
      <c r="A168" s="5" t="s">
        <v>10</v>
      </c>
      <c r="B168" s="5" t="s">
        <v>4</v>
      </c>
      <c r="C168" s="9" t="s">
        <v>194</v>
      </c>
      <c r="D168" s="10">
        <v>3043.77</v>
      </c>
      <c r="E168" s="9" t="s">
        <v>22</v>
      </c>
    </row>
    <row r="169" spans="1:5" x14ac:dyDescent="0.3">
      <c r="A169" s="5" t="s">
        <v>10</v>
      </c>
      <c r="B169" s="5" t="s">
        <v>8</v>
      </c>
      <c r="C169" s="9" t="s">
        <v>195</v>
      </c>
      <c r="D169" s="10">
        <v>799.2</v>
      </c>
      <c r="E169" s="9" t="s">
        <v>23</v>
      </c>
    </row>
    <row r="170" spans="1:5" x14ac:dyDescent="0.3">
      <c r="A170" s="5" t="s">
        <v>10</v>
      </c>
      <c r="B170" s="5" t="s">
        <v>4</v>
      </c>
      <c r="C170" s="9" t="s">
        <v>196</v>
      </c>
      <c r="D170" s="10">
        <v>2713.86</v>
      </c>
      <c r="E170" s="9" t="s">
        <v>22</v>
      </c>
    </row>
    <row r="171" spans="1:5" x14ac:dyDescent="0.3">
      <c r="A171" s="5" t="s">
        <v>3</v>
      </c>
      <c r="B171" s="5" t="s">
        <v>7</v>
      </c>
      <c r="C171" s="9" t="s">
        <v>197</v>
      </c>
      <c r="D171" s="10">
        <v>1270.04</v>
      </c>
      <c r="E171" s="9" t="s">
        <v>20</v>
      </c>
    </row>
    <row r="172" spans="1:5" x14ac:dyDescent="0.3">
      <c r="A172" s="5" t="s">
        <v>10</v>
      </c>
      <c r="B172" s="5" t="s">
        <v>7</v>
      </c>
      <c r="C172" s="9" t="s">
        <v>198</v>
      </c>
      <c r="D172" s="10">
        <v>1676.55</v>
      </c>
      <c r="E172" s="9" t="s">
        <v>20</v>
      </c>
    </row>
    <row r="173" spans="1:5" x14ac:dyDescent="0.3">
      <c r="A173" s="5" t="s">
        <v>3</v>
      </c>
      <c r="B173" s="5" t="s">
        <v>4</v>
      </c>
      <c r="C173" s="9" t="s">
        <v>199</v>
      </c>
      <c r="D173" s="10">
        <v>1950</v>
      </c>
      <c r="E173" s="9"/>
    </row>
    <row r="174" spans="1:5" x14ac:dyDescent="0.3">
      <c r="A174" s="5" t="s">
        <v>5</v>
      </c>
      <c r="B174" s="5" t="s">
        <v>7</v>
      </c>
      <c r="C174" s="9" t="s">
        <v>200</v>
      </c>
      <c r="D174" s="10">
        <v>1090.05</v>
      </c>
      <c r="E174" s="9" t="s">
        <v>20</v>
      </c>
    </row>
    <row r="175" spans="1:5" x14ac:dyDescent="0.3">
      <c r="A175" s="5" t="s">
        <v>5</v>
      </c>
      <c r="B175" s="5" t="s">
        <v>4</v>
      </c>
      <c r="C175" s="9" t="s">
        <v>201</v>
      </c>
      <c r="D175" s="10">
        <v>1469.11</v>
      </c>
      <c r="E175" s="9" t="s">
        <v>20</v>
      </c>
    </row>
    <row r="176" spans="1:5" x14ac:dyDescent="0.3">
      <c r="A176" s="5" t="s">
        <v>6</v>
      </c>
      <c r="B176" s="5" t="s">
        <v>4</v>
      </c>
      <c r="C176" s="9" t="s">
        <v>202</v>
      </c>
      <c r="D176" s="10">
        <v>1716.3</v>
      </c>
      <c r="E176" s="9" t="s">
        <v>20</v>
      </c>
    </row>
    <row r="177" spans="1:5" x14ac:dyDescent="0.3">
      <c r="A177" s="5" t="s">
        <v>6</v>
      </c>
      <c r="B177" s="5" t="s">
        <v>7</v>
      </c>
      <c r="C177" s="9" t="s">
        <v>203</v>
      </c>
      <c r="D177" s="10">
        <v>1279.51</v>
      </c>
      <c r="E177" s="9" t="s">
        <v>20</v>
      </c>
    </row>
    <row r="178" spans="1:5" x14ac:dyDescent="0.3">
      <c r="A178" s="5" t="s">
        <v>3</v>
      </c>
      <c r="B178" s="5" t="s">
        <v>7</v>
      </c>
      <c r="C178" s="9" t="s">
        <v>204</v>
      </c>
      <c r="D178" s="10">
        <v>1676.51</v>
      </c>
      <c r="E178" s="9"/>
    </row>
    <row r="179" spans="1:5" x14ac:dyDescent="0.3">
      <c r="A179" s="5" t="s">
        <v>5</v>
      </c>
      <c r="B179" s="5" t="s">
        <v>7</v>
      </c>
      <c r="C179" s="9" t="s">
        <v>205</v>
      </c>
      <c r="D179" s="10">
        <v>1439.93</v>
      </c>
      <c r="E179" s="9"/>
    </row>
    <row r="180" spans="1:5" x14ac:dyDescent="0.3">
      <c r="A180" s="5" t="s">
        <v>5</v>
      </c>
      <c r="B180" s="5" t="s">
        <v>7</v>
      </c>
      <c r="C180" s="9" t="s">
        <v>206</v>
      </c>
      <c r="D180" s="10">
        <v>1526</v>
      </c>
      <c r="E180" s="9" t="s">
        <v>20</v>
      </c>
    </row>
    <row r="181" spans="1:5" x14ac:dyDescent="0.3">
      <c r="A181" s="5" t="s">
        <v>6</v>
      </c>
      <c r="B181" s="5" t="s">
        <v>7</v>
      </c>
      <c r="C181" s="9" t="s">
        <v>207</v>
      </c>
      <c r="D181" s="10">
        <v>1072.0899999999999</v>
      </c>
      <c r="E181" s="9" t="s">
        <v>22</v>
      </c>
    </row>
    <row r="182" spans="1:5" x14ac:dyDescent="0.3">
      <c r="A182" s="5" t="s">
        <v>6</v>
      </c>
      <c r="B182" s="5" t="s">
        <v>8</v>
      </c>
      <c r="C182" s="9" t="s">
        <v>208</v>
      </c>
      <c r="D182" s="10">
        <v>838.45</v>
      </c>
      <c r="E182" s="9" t="s">
        <v>20</v>
      </c>
    </row>
    <row r="183" spans="1:5" x14ac:dyDescent="0.3">
      <c r="A183" s="5" t="s">
        <v>12</v>
      </c>
      <c r="B183" s="5" t="s">
        <v>8</v>
      </c>
      <c r="C183" s="9" t="s">
        <v>209</v>
      </c>
      <c r="D183" s="10">
        <v>658.35</v>
      </c>
      <c r="E183" s="9" t="s">
        <v>21</v>
      </c>
    </row>
    <row r="184" spans="1:5" x14ac:dyDescent="0.3">
      <c r="A184" s="5" t="s">
        <v>12</v>
      </c>
      <c r="B184" s="5" t="s">
        <v>8</v>
      </c>
      <c r="C184" s="9" t="s">
        <v>210</v>
      </c>
      <c r="D184" s="10">
        <v>658.35</v>
      </c>
      <c r="E184" s="9" t="s">
        <v>21</v>
      </c>
    </row>
    <row r="185" spans="1:5" x14ac:dyDescent="0.3">
      <c r="A185" s="5" t="s">
        <v>12</v>
      </c>
      <c r="B185" s="5" t="s">
        <v>8</v>
      </c>
      <c r="C185" s="9" t="s">
        <v>211</v>
      </c>
      <c r="D185" s="10">
        <v>658.35</v>
      </c>
      <c r="E185" s="9" t="s">
        <v>21</v>
      </c>
    </row>
    <row r="186" spans="1:5" x14ac:dyDescent="0.3">
      <c r="A186" s="5" t="s">
        <v>12</v>
      </c>
      <c r="B186" s="5" t="s">
        <v>8</v>
      </c>
      <c r="C186" s="9" t="s">
        <v>212</v>
      </c>
      <c r="D186" s="10">
        <v>658.35</v>
      </c>
      <c r="E186" s="9" t="s">
        <v>21</v>
      </c>
    </row>
    <row r="187" spans="1:5" x14ac:dyDescent="0.3">
      <c r="A187" s="5" t="s">
        <v>12</v>
      </c>
      <c r="B187" s="5" t="s">
        <v>8</v>
      </c>
      <c r="C187" s="9" t="s">
        <v>213</v>
      </c>
      <c r="D187" s="10">
        <v>657.9</v>
      </c>
      <c r="E187" s="9" t="s">
        <v>21</v>
      </c>
    </row>
    <row r="188" spans="1:5" x14ac:dyDescent="0.3">
      <c r="A188" s="5" t="s">
        <v>12</v>
      </c>
      <c r="B188" s="5" t="s">
        <v>8</v>
      </c>
      <c r="C188" s="9" t="s">
        <v>214</v>
      </c>
      <c r="D188" s="10">
        <v>657.9</v>
      </c>
      <c r="E188" s="9" t="s">
        <v>21</v>
      </c>
    </row>
    <row r="189" spans="1:5" x14ac:dyDescent="0.3">
      <c r="A189" s="5" t="s">
        <v>12</v>
      </c>
      <c r="B189" s="5" t="s">
        <v>4</v>
      </c>
      <c r="C189" s="9" t="s">
        <v>215</v>
      </c>
      <c r="D189" s="10">
        <v>0</v>
      </c>
      <c r="E189" s="9" t="s">
        <v>21</v>
      </c>
    </row>
    <row r="190" spans="1:5" x14ac:dyDescent="0.3">
      <c r="A190" s="5" t="s">
        <v>12</v>
      </c>
      <c r="B190" s="5" t="s">
        <v>4</v>
      </c>
      <c r="C190" s="9" t="s">
        <v>216</v>
      </c>
      <c r="D190" s="10">
        <v>0</v>
      </c>
      <c r="E190" s="9" t="s">
        <v>21</v>
      </c>
    </row>
    <row r="191" spans="1:5" x14ac:dyDescent="0.3">
      <c r="A191" s="5" t="s">
        <v>6</v>
      </c>
      <c r="B191" s="5" t="s">
        <v>4</v>
      </c>
      <c r="C191" s="9" t="s">
        <v>217</v>
      </c>
      <c r="D191" s="10">
        <v>873.05</v>
      </c>
      <c r="E191" s="9"/>
    </row>
    <row r="192" spans="1:5" x14ac:dyDescent="0.3">
      <c r="A192" s="5" t="s">
        <v>12</v>
      </c>
      <c r="B192" s="5" t="s">
        <v>7</v>
      </c>
      <c r="C192" s="9" t="s">
        <v>218</v>
      </c>
      <c r="D192" s="10">
        <v>990.28</v>
      </c>
      <c r="E192" s="9" t="s">
        <v>21</v>
      </c>
    </row>
    <row r="193" spans="1:5" x14ac:dyDescent="0.3">
      <c r="A193" s="5" t="s">
        <v>12</v>
      </c>
      <c r="B193" s="5" t="s">
        <v>4</v>
      </c>
      <c r="C193" s="9" t="s">
        <v>219</v>
      </c>
      <c r="D193" s="10">
        <v>2180.46</v>
      </c>
      <c r="E193" s="9" t="s">
        <v>23</v>
      </c>
    </row>
    <row r="194" spans="1:5" x14ac:dyDescent="0.3">
      <c r="A194" s="5" t="s">
        <v>12</v>
      </c>
      <c r="B194" s="5" t="s">
        <v>8</v>
      </c>
      <c r="C194" s="9" t="s">
        <v>220</v>
      </c>
      <c r="D194" s="10">
        <v>810.36</v>
      </c>
      <c r="E194" s="9" t="s">
        <v>21</v>
      </c>
    </row>
    <row r="195" spans="1:5" x14ac:dyDescent="0.3">
      <c r="A195" s="5" t="s">
        <v>12</v>
      </c>
      <c r="B195" s="5" t="s">
        <v>8</v>
      </c>
      <c r="C195" s="9" t="s">
        <v>221</v>
      </c>
      <c r="D195" s="10">
        <v>810.36</v>
      </c>
      <c r="E195" s="9" t="s">
        <v>21</v>
      </c>
    </row>
    <row r="196" spans="1:5" x14ac:dyDescent="0.3">
      <c r="A196" s="5" t="s">
        <v>12</v>
      </c>
      <c r="B196" s="5" t="s">
        <v>8</v>
      </c>
      <c r="C196" s="9" t="s">
        <v>222</v>
      </c>
      <c r="D196" s="10">
        <v>810.36</v>
      </c>
      <c r="E196" s="9" t="s">
        <v>21</v>
      </c>
    </row>
    <row r="197" spans="1:5" x14ac:dyDescent="0.3">
      <c r="A197" s="5" t="s">
        <v>12</v>
      </c>
      <c r="B197" s="5" t="s">
        <v>8</v>
      </c>
      <c r="C197" s="9" t="s">
        <v>223</v>
      </c>
      <c r="D197" s="10">
        <v>810.36</v>
      </c>
      <c r="E197" s="9" t="s">
        <v>21</v>
      </c>
    </row>
    <row r="198" spans="1:5" x14ac:dyDescent="0.3">
      <c r="A198" s="5" t="s">
        <v>5</v>
      </c>
      <c r="B198" s="5" t="s">
        <v>7</v>
      </c>
      <c r="C198" s="9" t="s">
        <v>224</v>
      </c>
      <c r="D198" s="10">
        <v>1574.78</v>
      </c>
      <c r="E198" s="9"/>
    </row>
    <row r="199" spans="1:5" x14ac:dyDescent="0.3">
      <c r="A199" s="5" t="s">
        <v>5</v>
      </c>
      <c r="B199" s="5" t="s">
        <v>7</v>
      </c>
      <c r="C199" s="9" t="s">
        <v>225</v>
      </c>
      <c r="D199" s="10">
        <v>1574.78</v>
      </c>
      <c r="E199" s="9" t="s">
        <v>20</v>
      </c>
    </row>
    <row r="200" spans="1:5" x14ac:dyDescent="0.3">
      <c r="A200" s="5" t="s">
        <v>5</v>
      </c>
      <c r="B200" s="5" t="s">
        <v>7</v>
      </c>
      <c r="C200" s="9" t="s">
        <v>226</v>
      </c>
      <c r="D200" s="10">
        <v>1574.78</v>
      </c>
      <c r="E200" s="9" t="s">
        <v>20</v>
      </c>
    </row>
    <row r="201" spans="1:5" x14ac:dyDescent="0.3">
      <c r="A201" s="5" t="s">
        <v>5</v>
      </c>
      <c r="B201" s="5" t="s">
        <v>7</v>
      </c>
      <c r="C201" s="9" t="s">
        <v>227</v>
      </c>
      <c r="D201" s="10">
        <v>1574.78</v>
      </c>
      <c r="E201" s="9"/>
    </row>
    <row r="202" spans="1:5" x14ac:dyDescent="0.3">
      <c r="A202" s="5" t="s">
        <v>5</v>
      </c>
      <c r="B202" s="5" t="s">
        <v>8</v>
      </c>
      <c r="C202" s="9" t="s">
        <v>228</v>
      </c>
      <c r="D202" s="10">
        <v>670.83</v>
      </c>
      <c r="E202" s="9" t="s">
        <v>20</v>
      </c>
    </row>
    <row r="203" spans="1:5" x14ac:dyDescent="0.3">
      <c r="A203" s="5" t="s">
        <v>3</v>
      </c>
      <c r="B203" s="5" t="s">
        <v>8</v>
      </c>
      <c r="C203" s="9" t="s">
        <v>229</v>
      </c>
      <c r="D203" s="10">
        <v>687.56</v>
      </c>
      <c r="E203" s="9" t="s">
        <v>20</v>
      </c>
    </row>
    <row r="204" spans="1:5" x14ac:dyDescent="0.3">
      <c r="A204" s="5" t="s">
        <v>5</v>
      </c>
      <c r="B204" s="5" t="s">
        <v>4</v>
      </c>
      <c r="C204" s="9" t="s">
        <v>230</v>
      </c>
      <c r="D204" s="10">
        <v>3539.41</v>
      </c>
      <c r="E204" s="9" t="s">
        <v>22</v>
      </c>
    </row>
    <row r="205" spans="1:5" x14ac:dyDescent="0.3">
      <c r="A205" s="5" t="s">
        <v>3</v>
      </c>
      <c r="B205" s="5" t="s">
        <v>8</v>
      </c>
      <c r="C205" s="9" t="s">
        <v>231</v>
      </c>
      <c r="D205" s="10">
        <v>686.12</v>
      </c>
      <c r="E205" s="9" t="s">
        <v>20</v>
      </c>
    </row>
    <row r="206" spans="1:5" x14ac:dyDescent="0.3">
      <c r="A206" s="5" t="s">
        <v>5</v>
      </c>
      <c r="B206" s="5" t="s">
        <v>4</v>
      </c>
      <c r="C206" s="9" t="s">
        <v>232</v>
      </c>
      <c r="D206" s="10">
        <v>2355.61</v>
      </c>
      <c r="E206" s="9" t="s">
        <v>20</v>
      </c>
    </row>
    <row r="207" spans="1:5" x14ac:dyDescent="0.3">
      <c r="A207" s="5" t="s">
        <v>5</v>
      </c>
      <c r="B207" s="5" t="s">
        <v>7</v>
      </c>
      <c r="C207" s="9" t="s">
        <v>233</v>
      </c>
      <c r="D207" s="10">
        <v>1734</v>
      </c>
      <c r="E207" s="9" t="s">
        <v>23</v>
      </c>
    </row>
    <row r="208" spans="1:5" x14ac:dyDescent="0.3">
      <c r="A208" s="5" t="s">
        <v>12</v>
      </c>
      <c r="B208" s="5" t="s">
        <v>4</v>
      </c>
      <c r="C208" s="9" t="s">
        <v>234</v>
      </c>
      <c r="D208" s="10">
        <v>2177.3000000000002</v>
      </c>
      <c r="E208" s="9" t="s">
        <v>23</v>
      </c>
    </row>
    <row r="209" spans="1:5" x14ac:dyDescent="0.3">
      <c r="A209" s="5" t="s">
        <v>12</v>
      </c>
      <c r="B209" s="5" t="s">
        <v>4</v>
      </c>
      <c r="C209" s="9" t="s">
        <v>235</v>
      </c>
      <c r="D209" s="10">
        <v>4230.6899999999996</v>
      </c>
      <c r="E209" s="9" t="s">
        <v>21</v>
      </c>
    </row>
    <row r="210" spans="1:5" x14ac:dyDescent="0.3">
      <c r="A210" s="5" t="s">
        <v>10</v>
      </c>
      <c r="B210" s="5" t="s">
        <v>7</v>
      </c>
      <c r="C210" s="9" t="s">
        <v>236</v>
      </c>
      <c r="D210" s="10">
        <v>1558.74</v>
      </c>
      <c r="E210" s="9" t="s">
        <v>22</v>
      </c>
    </row>
    <row r="211" spans="1:5" x14ac:dyDescent="0.3">
      <c r="A211" s="5" t="s">
        <v>5</v>
      </c>
      <c r="B211" s="5" t="s">
        <v>4</v>
      </c>
      <c r="C211" s="9" t="s">
        <v>237</v>
      </c>
      <c r="D211" s="10">
        <v>681.04</v>
      </c>
      <c r="E211" s="9"/>
    </row>
    <row r="212" spans="1:5" x14ac:dyDescent="0.3">
      <c r="A212" s="5" t="s">
        <v>3</v>
      </c>
      <c r="B212" s="5" t="s">
        <v>7</v>
      </c>
      <c r="C212" s="9" t="s">
        <v>238</v>
      </c>
      <c r="D212" s="10">
        <v>898.66</v>
      </c>
      <c r="E212" s="9"/>
    </row>
    <row r="213" spans="1:5" x14ac:dyDescent="0.3">
      <c r="A213" s="5" t="s">
        <v>3</v>
      </c>
      <c r="B213" s="5" t="s">
        <v>8</v>
      </c>
      <c r="C213" s="9" t="s">
        <v>239</v>
      </c>
      <c r="D213" s="10">
        <v>652.67999999999995</v>
      </c>
      <c r="E213" s="9" t="s">
        <v>20</v>
      </c>
    </row>
    <row r="214" spans="1:5" x14ac:dyDescent="0.3">
      <c r="A214" s="5" t="s">
        <v>6</v>
      </c>
      <c r="B214" s="5" t="s">
        <v>8</v>
      </c>
      <c r="C214" s="9" t="s">
        <v>240</v>
      </c>
      <c r="D214" s="10">
        <v>659.3</v>
      </c>
      <c r="E214" s="9"/>
    </row>
    <row r="215" spans="1:5" x14ac:dyDescent="0.3">
      <c r="A215" s="5" t="s">
        <v>10</v>
      </c>
      <c r="B215" s="5" t="s">
        <v>8</v>
      </c>
      <c r="C215" s="9" t="s">
        <v>241</v>
      </c>
      <c r="D215" s="10">
        <v>528.27</v>
      </c>
      <c r="E215" s="9" t="s">
        <v>21</v>
      </c>
    </row>
    <row r="216" spans="1:5" x14ac:dyDescent="0.3">
      <c r="A216" s="5" t="s">
        <v>10</v>
      </c>
      <c r="B216" s="5" t="s">
        <v>7</v>
      </c>
      <c r="C216" s="9" t="s">
        <v>242</v>
      </c>
      <c r="D216" s="10">
        <v>1320</v>
      </c>
      <c r="E216" s="9" t="s">
        <v>22</v>
      </c>
    </row>
    <row r="217" spans="1:5" x14ac:dyDescent="0.3">
      <c r="A217" s="5" t="s">
        <v>10</v>
      </c>
      <c r="B217" s="5" t="s">
        <v>4</v>
      </c>
      <c r="C217" s="9" t="s">
        <v>243</v>
      </c>
      <c r="D217" s="10">
        <v>2693.25</v>
      </c>
      <c r="E217" s="9" t="s">
        <v>21</v>
      </c>
    </row>
    <row r="218" spans="1:5" x14ac:dyDescent="0.3">
      <c r="A218" s="5" t="s">
        <v>3</v>
      </c>
      <c r="B218" s="5" t="s">
        <v>8</v>
      </c>
      <c r="C218" s="9" t="s">
        <v>244</v>
      </c>
      <c r="D218" s="10">
        <v>671.1</v>
      </c>
      <c r="E218" s="9" t="s">
        <v>20</v>
      </c>
    </row>
    <row r="219" spans="1:5" x14ac:dyDescent="0.3">
      <c r="A219" s="5" t="s">
        <v>5</v>
      </c>
      <c r="B219" s="5" t="s">
        <v>4</v>
      </c>
      <c r="C219" s="9" t="s">
        <v>245</v>
      </c>
      <c r="D219" s="10">
        <v>1775.88</v>
      </c>
      <c r="E219" s="9" t="s">
        <v>22</v>
      </c>
    </row>
    <row r="220" spans="1:5" x14ac:dyDescent="0.3">
      <c r="A220" s="5" t="s">
        <v>5</v>
      </c>
      <c r="B220" s="5" t="s">
        <v>4</v>
      </c>
      <c r="C220" s="9" t="s">
        <v>246</v>
      </c>
      <c r="D220" s="10">
        <v>3356.38</v>
      </c>
      <c r="E220" s="9" t="s">
        <v>20</v>
      </c>
    </row>
    <row r="221" spans="1:5" x14ac:dyDescent="0.3">
      <c r="A221" s="5" t="s">
        <v>3</v>
      </c>
      <c r="B221" s="5" t="s">
        <v>8</v>
      </c>
      <c r="C221" s="9" t="s">
        <v>247</v>
      </c>
      <c r="D221" s="10">
        <v>654.89</v>
      </c>
      <c r="E221" s="9" t="s">
        <v>20</v>
      </c>
    </row>
    <row r="222" spans="1:5" x14ac:dyDescent="0.3">
      <c r="A222" s="5" t="s">
        <v>6</v>
      </c>
      <c r="B222" s="5" t="s">
        <v>8</v>
      </c>
      <c r="C222" s="9" t="s">
        <v>248</v>
      </c>
      <c r="D222" s="10">
        <v>715.15</v>
      </c>
      <c r="E222" s="9" t="s">
        <v>20</v>
      </c>
    </row>
    <row r="223" spans="1:5" x14ac:dyDescent="0.3">
      <c r="A223" s="5" t="s">
        <v>5</v>
      </c>
      <c r="B223" s="5" t="s">
        <v>7</v>
      </c>
      <c r="C223" s="9" t="s">
        <v>249</v>
      </c>
      <c r="D223" s="10">
        <v>657.21</v>
      </c>
      <c r="E223" s="9"/>
    </row>
    <row r="224" spans="1:5" x14ac:dyDescent="0.3">
      <c r="A224" s="5" t="s">
        <v>5</v>
      </c>
      <c r="B224" s="5" t="s">
        <v>4</v>
      </c>
      <c r="C224" s="9" t="s">
        <v>250</v>
      </c>
      <c r="D224" s="10">
        <v>2061.1</v>
      </c>
      <c r="E224" s="9"/>
    </row>
    <row r="225" spans="1:5" x14ac:dyDescent="0.3">
      <c r="A225" s="5" t="s">
        <v>6</v>
      </c>
      <c r="B225" s="5" t="s">
        <v>4</v>
      </c>
      <c r="C225" s="9" t="s">
        <v>251</v>
      </c>
      <c r="D225" s="10">
        <v>3147.22</v>
      </c>
      <c r="E225" s="9" t="s">
        <v>20</v>
      </c>
    </row>
    <row r="226" spans="1:5" x14ac:dyDescent="0.3">
      <c r="A226" s="5" t="s">
        <v>6</v>
      </c>
      <c r="B226" s="5" t="s">
        <v>7</v>
      </c>
      <c r="C226" s="9" t="s">
        <v>252</v>
      </c>
      <c r="D226" s="10">
        <v>1415.8</v>
      </c>
      <c r="E226" s="9" t="s">
        <v>22</v>
      </c>
    </row>
    <row r="227" spans="1:5" x14ac:dyDescent="0.3">
      <c r="A227" s="5" t="s">
        <v>13</v>
      </c>
      <c r="B227" s="5" t="s">
        <v>7</v>
      </c>
      <c r="C227" s="9" t="s">
        <v>253</v>
      </c>
      <c r="D227" s="10">
        <v>1650.9</v>
      </c>
      <c r="E227" s="9"/>
    </row>
    <row r="228" spans="1:5" x14ac:dyDescent="0.3">
      <c r="A228" s="5" t="s">
        <v>5</v>
      </c>
      <c r="B228" s="5" t="s">
        <v>4</v>
      </c>
      <c r="C228" s="9" t="s">
        <v>254</v>
      </c>
      <c r="D228" s="10">
        <v>0</v>
      </c>
      <c r="E228" s="9" t="s">
        <v>22</v>
      </c>
    </row>
    <row r="229" spans="1:5" x14ac:dyDescent="0.3">
      <c r="A229" s="5" t="s">
        <v>5</v>
      </c>
      <c r="B229" s="5" t="s">
        <v>7</v>
      </c>
      <c r="C229" s="9" t="s">
        <v>255</v>
      </c>
      <c r="D229" s="10">
        <v>1775.34</v>
      </c>
      <c r="E229" s="9" t="s">
        <v>20</v>
      </c>
    </row>
    <row r="230" spans="1:5" x14ac:dyDescent="0.3">
      <c r="A230" s="5" t="s">
        <v>6</v>
      </c>
      <c r="B230" s="5" t="s">
        <v>4</v>
      </c>
      <c r="C230" s="9" t="s">
        <v>256</v>
      </c>
      <c r="D230" s="10">
        <v>2635.53</v>
      </c>
      <c r="E230" s="9"/>
    </row>
    <row r="231" spans="1:5" x14ac:dyDescent="0.3">
      <c r="A231" s="5" t="s">
        <v>3</v>
      </c>
      <c r="B231" s="5" t="s">
        <v>7</v>
      </c>
      <c r="C231" s="9" t="s">
        <v>257</v>
      </c>
      <c r="D231" s="10">
        <v>880</v>
      </c>
      <c r="E231" s="9" t="s">
        <v>20</v>
      </c>
    </row>
    <row r="232" spans="1:5" x14ac:dyDescent="0.3">
      <c r="A232" s="5" t="s">
        <v>5</v>
      </c>
      <c r="B232" s="5" t="s">
        <v>4</v>
      </c>
      <c r="C232" s="9" t="s">
        <v>258</v>
      </c>
      <c r="D232" s="10">
        <v>5621.77</v>
      </c>
      <c r="E232" s="9" t="s">
        <v>22</v>
      </c>
    </row>
    <row r="233" spans="1:5" x14ac:dyDescent="0.3">
      <c r="A233" s="5" t="s">
        <v>5</v>
      </c>
      <c r="B233" s="5" t="s">
        <v>8</v>
      </c>
      <c r="C233" s="9" t="s">
        <v>259</v>
      </c>
      <c r="D233" s="10">
        <v>661.5</v>
      </c>
      <c r="E233" s="9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PAINEL </vt:lpstr>
      <vt:lpstr>Planilha5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Damares Dornelas</dc:creator>
  <cp:lastModifiedBy>Leandro Garcia</cp:lastModifiedBy>
  <dcterms:created xsi:type="dcterms:W3CDTF">2025-08-18T00:05:00Z</dcterms:created>
  <dcterms:modified xsi:type="dcterms:W3CDTF">2025-08-18T11:51:19Z</dcterms:modified>
</cp:coreProperties>
</file>