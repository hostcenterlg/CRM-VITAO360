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TERMINADO/"/>
    </mc:Choice>
  </mc:AlternateContent>
  <xr:revisionPtr revIDLastSave="4" documentId="8_{3F10C943-32F1-4D66-80B2-B6B93CE1B430}" xr6:coauthVersionLast="47" xr6:coauthVersionMax="47" xr10:uidLastSave="{2187F166-99F8-4B13-89F6-1B52A8178157}"/>
  <bookViews>
    <workbookView xWindow="-108" yWindow="-108" windowWidth="23256" windowHeight="12456" activeTab="1" xr2:uid="{51855062-565D-472B-B1E1-14D234316608}"/>
  </bookViews>
  <sheets>
    <sheet name="DAILY" sheetId="19" r:id="rId1"/>
    <sheet name="Planilha1" sheetId="20" r:id="rId2"/>
    <sheet name=" OPERACIONAL " sheetId="17" r:id="rId3"/>
    <sheet name="GESTÃO DO TEMPO " sheetId="1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7" l="1"/>
  <c r="G74" i="20" l="1"/>
  <c r="D62" i="20"/>
  <c r="D60" i="20"/>
  <c r="D59" i="20"/>
  <c r="D58" i="20"/>
  <c r="F54" i="20"/>
  <c r="E54" i="20"/>
  <c r="D54" i="20"/>
  <c r="C54" i="20"/>
  <c r="B54" i="20"/>
  <c r="G53" i="20"/>
  <c r="G52" i="20"/>
  <c r="G51" i="20"/>
  <c r="G50" i="20"/>
  <c r="G54" i="20" s="1"/>
  <c r="G49" i="20"/>
  <c r="D38" i="20"/>
  <c r="G28" i="20"/>
  <c r="F28" i="20"/>
  <c r="E28" i="20"/>
  <c r="D28" i="20"/>
  <c r="C28" i="20"/>
  <c r="B28" i="20"/>
  <c r="B23" i="20"/>
  <c r="F21" i="20"/>
  <c r="G21" i="20" s="1"/>
  <c r="F20" i="20"/>
  <c r="G20" i="20" s="1"/>
  <c r="E14" i="20"/>
  <c r="F10" i="17"/>
  <c r="F7" i="17"/>
  <c r="D12" i="20"/>
  <c r="D13" i="20" s="1"/>
  <c r="D15" i="20" s="1"/>
  <c r="D7" i="17"/>
  <c r="C10" i="17"/>
  <c r="C8" i="17"/>
  <c r="C7" i="17"/>
  <c r="E5" i="20"/>
  <c r="C6" i="20"/>
  <c r="E6" i="20" s="1"/>
  <c r="B6" i="20"/>
  <c r="B12" i="20" s="1"/>
  <c r="B13" i="20" s="1"/>
  <c r="B15" i="20" s="1"/>
  <c r="C12" i="20" l="1"/>
  <c r="C13" i="20" s="1"/>
  <c r="C15" i="20" s="1"/>
  <c r="E15" i="20" s="1"/>
  <c r="E13" i="20" l="1"/>
  <c r="E12" i="20"/>
  <c r="C34" i="19" l="1"/>
  <c r="F34" i="19" s="1"/>
  <c r="H34" i="19" s="1"/>
  <c r="C27" i="19"/>
  <c r="E23" i="19"/>
  <c r="D37" i="19"/>
  <c r="F36" i="19"/>
  <c r="F35" i="19"/>
  <c r="H35" i="19" s="1"/>
  <c r="D104" i="18"/>
  <c r="C104" i="18"/>
  <c r="F102" i="18"/>
  <c r="F101" i="18"/>
  <c r="H101" i="18" s="1"/>
  <c r="F100" i="18"/>
  <c r="H100" i="18" s="1"/>
  <c r="F99" i="18"/>
  <c r="F98" i="18"/>
  <c r="H98" i="18" s="1"/>
  <c r="F97" i="18"/>
  <c r="H97" i="18" s="1"/>
  <c r="F96" i="18"/>
  <c r="F95" i="18"/>
  <c r="F94" i="18"/>
  <c r="H94" i="18" s="1"/>
  <c r="F93" i="18"/>
  <c r="F37" i="19" l="1"/>
  <c r="H37" i="19"/>
  <c r="F104" i="18"/>
  <c r="H104" i="18"/>
  <c r="C18" i="17"/>
  <c r="D8" i="17"/>
  <c r="D4" i="17"/>
  <c r="D54" i="17" l="1"/>
  <c r="E54" i="17"/>
  <c r="F54" i="17"/>
  <c r="G54" i="17"/>
  <c r="C54" i="17"/>
  <c r="H50" i="17"/>
  <c r="H51" i="17"/>
  <c r="H52" i="17"/>
  <c r="H53" i="17"/>
  <c r="H49" i="17"/>
  <c r="H54" i="17" s="1"/>
  <c r="H74" i="17"/>
  <c r="I74" i="17"/>
  <c r="H63" i="18"/>
  <c r="H62" i="18"/>
  <c r="D66" i="18"/>
  <c r="F63" i="18"/>
  <c r="F64" i="18"/>
  <c r="F62" i="18"/>
  <c r="F56" i="18"/>
  <c r="H56" i="18" s="1"/>
  <c r="F57" i="18"/>
  <c r="F58" i="18"/>
  <c r="F59" i="18"/>
  <c r="H59" i="18" s="1"/>
  <c r="F60" i="18"/>
  <c r="H60" i="18" s="1"/>
  <c r="F61" i="18"/>
  <c r="F55" i="18"/>
  <c r="E62" i="17"/>
  <c r="E59" i="17"/>
  <c r="E60" i="17"/>
  <c r="E58" i="17"/>
  <c r="C66" i="18"/>
  <c r="E46" i="18"/>
  <c r="C24" i="18"/>
  <c r="D23" i="18"/>
  <c r="F23" i="18" s="1"/>
  <c r="D22" i="18"/>
  <c r="F22" i="18" s="1"/>
  <c r="D21" i="18"/>
  <c r="F21" i="18" s="1"/>
  <c r="D20" i="18"/>
  <c r="F20" i="18" s="1"/>
  <c r="D19" i="18"/>
  <c r="F19" i="18" s="1"/>
  <c r="D18" i="18"/>
  <c r="F18" i="18" s="1"/>
  <c r="D17" i="18"/>
  <c r="F17" i="18" s="1"/>
  <c r="D16" i="18"/>
  <c r="F16" i="18" s="1"/>
  <c r="D15" i="18"/>
  <c r="F15" i="18" s="1"/>
  <c r="D14" i="18"/>
  <c r="F14" i="18" s="1"/>
  <c r="D13" i="18"/>
  <c r="F13" i="18" s="1"/>
  <c r="D12" i="18"/>
  <c r="D24" i="18" s="1"/>
  <c r="E38" i="17"/>
  <c r="F29" i="17"/>
  <c r="F23" i="17"/>
  <c r="E23" i="17"/>
  <c r="D23" i="17"/>
  <c r="C23" i="17"/>
  <c r="G22" i="17"/>
  <c r="H22" i="17" s="1"/>
  <c r="G21" i="17"/>
  <c r="H21" i="17" s="1"/>
  <c r="G20" i="17"/>
  <c r="H20" i="17" s="1"/>
  <c r="G19" i="17"/>
  <c r="H19" i="17" s="1"/>
  <c r="G18" i="17"/>
  <c r="H18" i="17" s="1"/>
  <c r="G17" i="17"/>
  <c r="H17" i="17" s="1"/>
  <c r="G16" i="17"/>
  <c r="H16" i="17" s="1"/>
  <c r="F9" i="17"/>
  <c r="E7" i="17"/>
  <c r="D10" i="17"/>
  <c r="F3" i="17"/>
  <c r="F12" i="18" l="1"/>
  <c r="F24" i="18"/>
  <c r="H66" i="18"/>
  <c r="I67" i="18" s="1"/>
  <c r="F66" i="18"/>
  <c r="H23" i="17"/>
  <c r="E8" i="17"/>
  <c r="F4" i="17"/>
  <c r="G23" i="17"/>
  <c r="E10" i="17" l="1"/>
  <c r="F8" i="17"/>
  <c r="C4" i="17"/>
</calcChain>
</file>

<file path=xl/sharedStrings.xml><?xml version="1.0" encoding="utf-8"?>
<sst xmlns="http://schemas.openxmlformats.org/spreadsheetml/2006/main" count="484" uniqueCount="244">
  <si>
    <t>ticket medio</t>
  </si>
  <si>
    <t>positivações mês / vendedor</t>
  </si>
  <si>
    <t>positivação dia / vendedor</t>
  </si>
  <si>
    <t>taxa conversão</t>
  </si>
  <si>
    <t>leads abordados por dia</t>
  </si>
  <si>
    <t>PLANILHAS - PLANO DE AÇÃO VITÃO</t>
  </si>
  <si>
    <t>INDICADOR</t>
  </si>
  <si>
    <t>ATUAL</t>
  </si>
  <si>
    <t>PROPOSTO</t>
  </si>
  <si>
    <t>GAP</t>
  </si>
  <si>
    <t>%CRESCIMENTO</t>
  </si>
  <si>
    <t>Taxa Inativação</t>
  </si>
  <si>
    <t>Positivações/Mês</t>
  </si>
  <si>
    <t>Ciclo Médio</t>
  </si>
  <si>
    <t>VENDEDOR</t>
  </si>
  <si>
    <t>NOVOS CLIENTES/MÊS</t>
  </si>
  <si>
    <t>LEADS DIÁRIOS</t>
  </si>
  <si>
    <t>% META TOTAL</t>
  </si>
  <si>
    <t>Helder Brunkow</t>
  </si>
  <si>
    <t>Hemanuele Ditzel</t>
  </si>
  <si>
    <t>Key Account</t>
  </si>
  <si>
    <t>Conveniência</t>
  </si>
  <si>
    <t>TOTAL</t>
  </si>
  <si>
    <t>CATEGORIA</t>
  </si>
  <si>
    <t>QTD CLIENTES</t>
  </si>
  <si>
    <t>TAXA CONVERSÃO</t>
  </si>
  <si>
    <t>META REATIVAR</t>
  </si>
  <si>
    <t>TICKET MÉDIO</t>
  </si>
  <si>
    <t>POTENCIAL R$</t>
  </si>
  <si>
    <t>Em Risco (45-59 dias)</t>
  </si>
  <si>
    <t>Inativos Recentes (60-90 dias)</t>
  </si>
  <si>
    <t>Inativos Antigos (90+ dias)</t>
  </si>
  <si>
    <t>AÇÃO</t>
  </si>
  <si>
    <t>Reativação Risco</t>
  </si>
  <si>
    <t>Reativação Recentes</t>
  </si>
  <si>
    <t>Reativação Antigos</t>
  </si>
  <si>
    <t>Novos Clientes</t>
  </si>
  <si>
    <t>TOTAL MENSAL</t>
  </si>
  <si>
    <t>KPI</t>
  </si>
  <si>
    <t>DIÁRIO</t>
  </si>
  <si>
    <t>SEMANAL</t>
  </si>
  <si>
    <t>MENSAL</t>
  </si>
  <si>
    <t>META</t>
  </si>
  <si>
    <t>Leads Abordados</t>
  </si>
  <si>
    <t>Conversões</t>
  </si>
  <si>
    <t>Taxa Conversão</t>
  </si>
  <si>
    <t>Faturamento</t>
  </si>
  <si>
    <t>TIPO CLIENTE</t>
  </si>
  <si>
    <t>FREQ/ANO</t>
  </si>
  <si>
    <t>POTENCIAL ANUAL</t>
  </si>
  <si>
    <t>TOTAL ANUAL</t>
  </si>
  <si>
    <t>SEG</t>
  </si>
  <si>
    <t>TER</t>
  </si>
  <si>
    <t>QUA</t>
  </si>
  <si>
    <t>QUI</t>
  </si>
  <si>
    <t>SEX</t>
  </si>
  <si>
    <t>Helder - Leads</t>
  </si>
  <si>
    <t>Helder - Conversões</t>
  </si>
  <si>
    <t>Hemanuele - Leads</t>
  </si>
  <si>
    <t>Hemanuele - Conversões</t>
  </si>
  <si>
    <t>Key Account - Leads</t>
  </si>
  <si>
    <t>Key Account - Conversões</t>
  </si>
  <si>
    <t>Conveniência - Leads</t>
  </si>
  <si>
    <t>Conveniência - Conversões</t>
  </si>
  <si>
    <t>MÊS</t>
  </si>
  <si>
    <t>PARÂMETRO</t>
  </si>
  <si>
    <t>DIAS ÚTEIS</t>
  </si>
  <si>
    <t>HORAS/VENDEDOR</t>
  </si>
  <si>
    <t>Janeiro</t>
  </si>
  <si>
    <t>Fevereiro</t>
  </si>
  <si>
    <t>Março</t>
  </si>
  <si>
    <t>Abril</t>
  </si>
  <si>
    <t>Maio</t>
  </si>
  <si>
    <t>Junho</t>
  </si>
  <si>
    <t>HORÁRIO</t>
  </si>
  <si>
    <t>ATIVIDADE</t>
  </si>
  <si>
    <t>CAPACIDADE/HORA</t>
  </si>
  <si>
    <t>Reunião Geral</t>
  </si>
  <si>
    <t>CONVERSÃO</t>
  </si>
  <si>
    <t>RESULTADO/MÊS</t>
  </si>
  <si>
    <t>Julho</t>
  </si>
  <si>
    <t>Agosto</t>
  </si>
  <si>
    <t>Setembro</t>
  </si>
  <si>
    <t>Outubro</t>
  </si>
  <si>
    <t>Novembro</t>
  </si>
  <si>
    <t>Dezembro</t>
  </si>
  <si>
    <t>HORAS TOTAIS</t>
  </si>
  <si>
    <t>RACIONAL</t>
  </si>
  <si>
    <t>Mês normal</t>
  </si>
  <si>
    <t>Mês curto + Carnaval</t>
  </si>
  <si>
    <t>Sexta Santa</t>
  </si>
  <si>
    <t>Tiradentes</t>
  </si>
  <si>
    <t>Dia do Trabalho</t>
  </si>
  <si>
    <t>Corpus Christi</t>
  </si>
  <si>
    <t>Independência</t>
  </si>
  <si>
    <t>Nossa Senhora</t>
  </si>
  <si>
    <t>Finados + Proclamação</t>
  </si>
  <si>
    <t>Natal + véspera</t>
  </si>
  <si>
    <t>MÉDIA</t>
  </si>
  <si>
    <t>DURAÇÃO</t>
  </si>
  <si>
    <t>10 min</t>
  </si>
  <si>
    <t>-</t>
  </si>
  <si>
    <t>30 min</t>
  </si>
  <si>
    <t>60 min</t>
  </si>
  <si>
    <t>10 contatos/hora</t>
  </si>
  <si>
    <t>AÇÕES/DIA</t>
  </si>
  <si>
    <t>TOTAL/MÊS</t>
  </si>
  <si>
    <t>CRM/Análise</t>
  </si>
  <si>
    <t>08:00-08:30</t>
  </si>
  <si>
    <t>10 msg/hora</t>
  </si>
  <si>
    <t>16:30-17:00</t>
  </si>
  <si>
    <t>11:30-12:00</t>
  </si>
  <si>
    <t>08:30-09:30</t>
  </si>
  <si>
    <t>16:00-16:30</t>
  </si>
  <si>
    <t>10 prospects/hora</t>
  </si>
  <si>
    <t>RESULTADO/DIA</t>
  </si>
  <si>
    <t>TOTAL PRODUTIVO</t>
  </si>
  <si>
    <t>ROTINA DIÁRIA REAL (POR VENDEDOR)</t>
  </si>
  <si>
    <t>ESPERADO</t>
  </si>
  <si>
    <t>10 ações/hora</t>
  </si>
  <si>
    <t>Whats  Follow up</t>
  </si>
  <si>
    <t>WhatsApp vendas</t>
  </si>
  <si>
    <t>Whats Prospecção</t>
  </si>
  <si>
    <t xml:space="preserve">Whats Pós-venda </t>
  </si>
  <si>
    <t xml:space="preserve">Ligações follow up </t>
  </si>
  <si>
    <t>Ligações suporte/ problema</t>
  </si>
  <si>
    <t>Orçamentos enviados</t>
  </si>
  <si>
    <t>AGOSTO</t>
  </si>
  <si>
    <t>SETEMBRO</t>
  </si>
  <si>
    <t>OUTURBO</t>
  </si>
  <si>
    <t>NOVEMBRO</t>
  </si>
  <si>
    <t>DEZEMBRO</t>
  </si>
  <si>
    <t>Carteira/Clientes/CRM</t>
  </si>
  <si>
    <t xml:space="preserve"> CAPACIDADE MENSAL POR VENDEDOR</t>
  </si>
  <si>
    <t>DIAS ÚTEIS 2025 (VALORES REAIS)</t>
  </si>
  <si>
    <t>14:30-15:00</t>
  </si>
  <si>
    <t>Prospecção Ligação e Whatsapp</t>
  </si>
  <si>
    <t>15:00-16:00</t>
  </si>
  <si>
    <t>17:00-17:30</t>
  </si>
  <si>
    <t xml:space="preserve">Almoço </t>
  </si>
  <si>
    <t>13:15-13:45</t>
  </si>
  <si>
    <t>Sprint Ligações + CRM</t>
  </si>
  <si>
    <t>Whatsapp Followup/Responder + CRM</t>
  </si>
  <si>
    <t>Cadastros + CRM</t>
  </si>
  <si>
    <t>Digitar pedidos + CRM</t>
  </si>
  <si>
    <t>17:30-17:50</t>
  </si>
  <si>
    <t xml:space="preserve">Anotações Agenda dia seguinte </t>
  </si>
  <si>
    <t>17:50-18:00</t>
  </si>
  <si>
    <t>10 ligações/hora</t>
  </si>
  <si>
    <t>2 Responder clientes</t>
  </si>
  <si>
    <t>4 ações/hora</t>
  </si>
  <si>
    <t>12:00 - 13:15</t>
  </si>
  <si>
    <t>Organização + Ecomerce + CRM</t>
  </si>
  <si>
    <t>suporte /problemas/Pós-venda + CRM</t>
  </si>
  <si>
    <t>Orçamentos /pedidos + CRM</t>
  </si>
  <si>
    <t>Atendimento Whatsapp + CRM</t>
  </si>
  <si>
    <t>31 min</t>
  </si>
  <si>
    <t>59 min</t>
  </si>
  <si>
    <t>09:30-10:30</t>
  </si>
  <si>
    <t>10:30-11:00</t>
  </si>
  <si>
    <t>11:00-11:30</t>
  </si>
  <si>
    <t xml:space="preserve">Sprint Ligações + CRM + </t>
  </si>
  <si>
    <t>4 análises/hora</t>
  </si>
  <si>
    <t>13:45-14:30</t>
  </si>
  <si>
    <t>45 min</t>
  </si>
  <si>
    <t>102 ações/dia</t>
  </si>
  <si>
    <t>Ligações Apresentação/prospecção</t>
  </si>
  <si>
    <t xml:space="preserve">Mercos/ Portal de pedidos </t>
  </si>
  <si>
    <t xml:space="preserve">Sales Hunter / Digitar pedidos </t>
  </si>
  <si>
    <t>Meta faturamento</t>
  </si>
  <si>
    <t xml:space="preserve">Meta / vendedor/ Interno </t>
  </si>
  <si>
    <t>Meta Key Accout</t>
  </si>
  <si>
    <t>TABELA 2: CENÁRIO ATUAL VS PROPOSTO</t>
  </si>
  <si>
    <t xml:space="preserve">CRM  / Exactsales </t>
  </si>
  <si>
    <t xml:space="preserve">Whats Suporte /Problemas Clientes </t>
  </si>
  <si>
    <t>Teans  Suporte /Problemas Internos</t>
  </si>
  <si>
    <t xml:space="preserve">Cadastrar Clientes  Asana </t>
  </si>
  <si>
    <t xml:space="preserve">Solicitação Status Estoque </t>
  </si>
  <si>
    <t>Solicitação Link de pagamento PIX</t>
  </si>
  <si>
    <t xml:space="preserve">Solicitação aprovação de Cadastro </t>
  </si>
  <si>
    <t xml:space="preserve">Solicitação Analise Financeira </t>
  </si>
  <si>
    <t>Solicitação Liberação  Cadastro</t>
  </si>
  <si>
    <t>Solicitação Status Pedido</t>
  </si>
  <si>
    <t xml:space="preserve">Problemas com produto trocados </t>
  </si>
  <si>
    <t xml:space="preserve">Troca e devolução de pedidos </t>
  </si>
  <si>
    <t>POTENCIAL FINANCEIRO POR ANO</t>
  </si>
  <si>
    <t xml:space="preserve">Risco Inativação  - 50 a 60 dias </t>
  </si>
  <si>
    <t xml:space="preserve">Ativos Atuais : Menor que  60 dias </t>
  </si>
  <si>
    <t xml:space="preserve">Inativo Recentes  : 60 a 90 dias </t>
  </si>
  <si>
    <t xml:space="preserve">Inativos Antigos : Maior que 90 das </t>
  </si>
  <si>
    <t xml:space="preserve">Novos Clientes: </t>
  </si>
  <si>
    <t xml:space="preserve">POTENCIAL MENSAL </t>
  </si>
  <si>
    <t>REATIVAÇÃO  IDEAL</t>
  </si>
  <si>
    <t>Carteira total de Leads</t>
  </si>
  <si>
    <t>POSITIVAÇÃO</t>
  </si>
  <si>
    <t>Carteira total de Clientes</t>
  </si>
  <si>
    <t>METAS POR VENDEDOR</t>
  </si>
  <si>
    <t>REATIVAÇÕES   MÊS</t>
  </si>
  <si>
    <t>ATUAL MÉDIA</t>
  </si>
  <si>
    <t>QUINZENAL</t>
  </si>
  <si>
    <t xml:space="preserve">CONVERSÃO </t>
  </si>
  <si>
    <t>LEAD</t>
  </si>
  <si>
    <t>BREAKDOWN DE REATIVAÇÕES</t>
  </si>
  <si>
    <t>DISTRIBUIÇÃO MENSAL DETALHADA</t>
  </si>
  <si>
    <t xml:space="preserve">MOTIVO </t>
  </si>
  <si>
    <t>CONTROLE DIÁRIO POR VENDEDOR</t>
  </si>
  <si>
    <t xml:space="preserve">PROBLEMNA </t>
  </si>
  <si>
    <t>ROTINA</t>
  </si>
  <si>
    <t xml:space="preserve">Positivação </t>
  </si>
  <si>
    <t>KPIs DE ACOMPANHAMENTO</t>
  </si>
  <si>
    <t xml:space="preserve">RESULTADO SEMANA </t>
  </si>
  <si>
    <t>TEMPO UTILIZADO</t>
  </si>
  <si>
    <t xml:space="preserve">Plano de Ação - Vitao </t>
  </si>
  <si>
    <t>Meta - Faturamento Geral</t>
  </si>
  <si>
    <t>Meta -Faturamento por Vend / Repres.</t>
  </si>
  <si>
    <t>Meta - Faturamento Key Account</t>
  </si>
  <si>
    <t xml:space="preserve">Ticket Médio </t>
  </si>
  <si>
    <t xml:space="preserve">Meta - Positivação Geral por Vendedor </t>
  </si>
  <si>
    <t xml:space="preserve">Meta - Positivação diária por vendedor </t>
  </si>
  <si>
    <t>Taxa de Conversão</t>
  </si>
  <si>
    <t>Leads diáros</t>
  </si>
  <si>
    <t>Indicadores - R$</t>
  </si>
  <si>
    <t xml:space="preserve">Média Mensal Atual </t>
  </si>
  <si>
    <t>Meta Out</t>
  </si>
  <si>
    <t xml:space="preserve">Proposto </t>
  </si>
  <si>
    <t xml:space="preserve">GAP </t>
  </si>
  <si>
    <t>Racional</t>
  </si>
  <si>
    <t>Meta</t>
  </si>
  <si>
    <t>Total de Leads</t>
  </si>
  <si>
    <t>Total Carteira Clientes</t>
  </si>
  <si>
    <t>Qtd Clientes</t>
  </si>
  <si>
    <t xml:space="preserve">Reativação Ideal </t>
  </si>
  <si>
    <t>Ticket Médio</t>
  </si>
  <si>
    <t>Freq/Ano</t>
  </si>
  <si>
    <t>Potencial Mensal</t>
  </si>
  <si>
    <t xml:space="preserve">Potencial Anual </t>
  </si>
  <si>
    <t xml:space="preserve">Ativos: &gt; 45 dias </t>
  </si>
  <si>
    <t xml:space="preserve">Risco Inativação: &lt; 50  à 60 dias </t>
  </si>
  <si>
    <t xml:space="preserve">Inativo Recentes  : &lt;  60 a 90 dias </t>
  </si>
  <si>
    <t xml:space="preserve">Inativos Antigos : &lt; 90 das </t>
  </si>
  <si>
    <t xml:space="preserve">TOTAL: </t>
  </si>
  <si>
    <t xml:space="preserve">Daiane Stavicki </t>
  </si>
  <si>
    <t xml:space="preserve">LG Representação </t>
  </si>
  <si>
    <t xml:space="preserve">Larissa Padilha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</si>
</sst>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333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B66DFF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5" fillId="4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164" fontId="0" fillId="0" borderId="0" xfId="1" applyNumberFormat="1" applyFont="1" applyBorder="1"/>
    <xf numFmtId="44" fontId="0" fillId="0" borderId="0" xfId="1" applyFont="1" applyBorder="1"/>
    <xf numFmtId="1" fontId="0" fillId="0" borderId="0" xfId="1" applyNumberFormat="1" applyFont="1" applyBorder="1" applyAlignment="1">
      <alignment horizontal="center"/>
    </xf>
    <xf numFmtId="9" fontId="0" fillId="0" borderId="0" xfId="3" applyFont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6" fontId="0" fillId="2" borderId="0" xfId="0" applyNumberFormat="1" applyFill="1" applyAlignment="1">
      <alignment vertical="center"/>
    </xf>
    <xf numFmtId="6" fontId="3" fillId="2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4" fillId="4" borderId="0" xfId="0" applyFont="1" applyFill="1"/>
    <xf numFmtId="0" fontId="9" fillId="4" borderId="0" xfId="0" applyFont="1" applyFill="1"/>
    <xf numFmtId="0" fontId="10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/>
    </xf>
    <xf numFmtId="9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9" fontId="9" fillId="4" borderId="0" xfId="3" applyFont="1" applyFill="1" applyAlignment="1">
      <alignment horizontal="center" vertical="center"/>
    </xf>
    <xf numFmtId="1" fontId="9" fillId="4" borderId="0" xfId="1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1" fontId="0" fillId="2" borderId="0" xfId="2" applyNumberFormat="1" applyFont="1" applyFill="1" applyBorder="1" applyAlignment="1">
      <alignment horizontal="center"/>
    </xf>
    <xf numFmtId="2" fontId="0" fillId="2" borderId="0" xfId="1" applyNumberFormat="1" applyFont="1" applyFill="1" applyBorder="1"/>
    <xf numFmtId="0" fontId="0" fillId="2" borderId="0" xfId="0" applyFill="1" applyAlignment="1">
      <alignment horizontal="left" vertical="center" indent="2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44" fontId="0" fillId="4" borderId="2" xfId="1" applyFont="1" applyFill="1" applyBorder="1" applyAlignment="1">
      <alignment vertical="center"/>
    </xf>
    <xf numFmtId="44" fontId="0" fillId="4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4" fontId="2" fillId="4" borderId="0" xfId="1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44" fontId="12" fillId="4" borderId="0" xfId="1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4" borderId="2" xfId="0" applyFill="1" applyBorder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2" fillId="4" borderId="0" xfId="0" applyFont="1" applyFill="1" applyAlignment="1">
      <alignment horizontal="right" vertical="center" indent="1"/>
    </xf>
    <xf numFmtId="0" fontId="12" fillId="4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right" vertical="center" indent="1"/>
    </xf>
    <xf numFmtId="0" fontId="0" fillId="4" borderId="0" xfId="0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indent="1"/>
    </xf>
    <xf numFmtId="6" fontId="0" fillId="0" borderId="0" xfId="0" applyNumberFormat="1" applyAlignment="1">
      <alignment horizontal="center" vertical="center"/>
    </xf>
    <xf numFmtId="2" fontId="0" fillId="0" borderId="0" xfId="1" applyNumberFormat="1" applyFont="1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3" xfId="0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3" fillId="2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4" fontId="0" fillId="0" borderId="0" xfId="1" applyFont="1"/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44" fontId="0" fillId="5" borderId="0" xfId="0" applyNumberFormat="1" applyFill="1"/>
    <xf numFmtId="14" fontId="3" fillId="2" borderId="0" xfId="0" applyNumberFormat="1" applyFont="1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/>
    <xf numFmtId="0" fontId="17" fillId="0" borderId="0" xfId="0" applyFont="1"/>
    <xf numFmtId="0" fontId="17" fillId="0" borderId="9" xfId="0" applyFont="1" applyBorder="1"/>
    <xf numFmtId="44" fontId="17" fillId="0" borderId="4" xfId="1" applyFont="1" applyBorder="1"/>
    <xf numFmtId="164" fontId="17" fillId="0" borderId="4" xfId="0" applyNumberFormat="1" applyFont="1" applyBorder="1"/>
    <xf numFmtId="164" fontId="17" fillId="0" borderId="4" xfId="1" applyNumberFormat="1" applyFont="1" applyBorder="1"/>
    <xf numFmtId="0" fontId="17" fillId="0" borderId="11" xfId="0" applyFont="1" applyBorder="1"/>
    <xf numFmtId="44" fontId="17" fillId="0" borderId="12" xfId="1" applyFont="1" applyBorder="1"/>
    <xf numFmtId="0" fontId="14" fillId="6" borderId="0" xfId="0" applyFont="1" applyFill="1"/>
    <xf numFmtId="1" fontId="0" fillId="0" borderId="0" xfId="0" applyNumberFormat="1"/>
    <xf numFmtId="44" fontId="17" fillId="0" borderId="17" xfId="1" applyFont="1" applyBorder="1"/>
    <xf numFmtId="164" fontId="17" fillId="0" borderId="17" xfId="1" applyNumberFormat="1" applyFont="1" applyBorder="1"/>
    <xf numFmtId="44" fontId="17" fillId="0" borderId="18" xfId="1" applyFont="1" applyBorder="1"/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7" fillId="0" borderId="6" xfId="0" applyFont="1" applyBorder="1"/>
    <xf numFmtId="164" fontId="17" fillId="0" borderId="7" xfId="1" applyNumberFormat="1" applyFont="1" applyBorder="1"/>
    <xf numFmtId="44" fontId="17" fillId="0" borderId="7" xfId="1" applyFont="1" applyBorder="1"/>
    <xf numFmtId="44" fontId="17" fillId="0" borderId="23" xfId="1" applyFont="1" applyBorder="1"/>
    <xf numFmtId="0" fontId="0" fillId="0" borderId="8" xfId="0" applyBorder="1"/>
    <xf numFmtId="0" fontId="0" fillId="0" borderId="10" xfId="0" applyBorder="1"/>
    <xf numFmtId="0" fontId="0" fillId="0" borderId="13" xfId="0" applyBorder="1"/>
    <xf numFmtId="1" fontId="17" fillId="0" borderId="7" xfId="1" applyNumberFormat="1" applyFont="1" applyBorder="1" applyAlignment="1">
      <alignment horizontal="center"/>
    </xf>
    <xf numFmtId="1" fontId="17" fillId="0" borderId="4" xfId="1" applyNumberFormat="1" applyFont="1" applyBorder="1" applyAlignment="1">
      <alignment horizontal="center"/>
    </xf>
    <xf numFmtId="9" fontId="17" fillId="0" borderId="4" xfId="3" applyFont="1" applyBorder="1" applyAlignment="1">
      <alignment horizontal="center"/>
    </xf>
    <xf numFmtId="1" fontId="17" fillId="0" borderId="12" xfId="2" applyNumberFormat="1" applyFont="1" applyBorder="1" applyAlignment="1">
      <alignment horizontal="center"/>
    </xf>
    <xf numFmtId="1" fontId="17" fillId="0" borderId="8" xfId="1" applyNumberFormat="1" applyFont="1" applyBorder="1" applyAlignment="1">
      <alignment horizontal="center"/>
    </xf>
    <xf numFmtId="1" fontId="17" fillId="0" borderId="10" xfId="1" applyNumberFormat="1" applyFont="1" applyBorder="1" applyAlignment="1">
      <alignment horizontal="center"/>
    </xf>
    <xf numFmtId="1" fontId="17" fillId="0" borderId="13" xfId="1" applyNumberFormat="1" applyFont="1" applyBorder="1" applyAlignment="1">
      <alignment horizontal="center"/>
    </xf>
    <xf numFmtId="0" fontId="15" fillId="6" borderId="24" xfId="0" applyFont="1" applyFill="1" applyBorder="1" applyAlignment="1">
      <alignment horizontal="center" vertical="center" wrapText="1"/>
    </xf>
    <xf numFmtId="0" fontId="15" fillId="6" borderId="25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right"/>
    </xf>
    <xf numFmtId="0" fontId="17" fillId="4" borderId="7" xfId="0" applyFont="1" applyFill="1" applyBorder="1" applyAlignment="1">
      <alignment horizontal="center" vertical="top"/>
    </xf>
    <xf numFmtId="44" fontId="17" fillId="4" borderId="7" xfId="1" applyFont="1" applyFill="1" applyBorder="1" applyAlignment="1">
      <alignment horizontal="left" vertical="top"/>
    </xf>
    <xf numFmtId="0" fontId="17" fillId="4" borderId="7" xfId="0" applyFont="1" applyFill="1" applyBorder="1" applyAlignment="1">
      <alignment horizontal="left" vertical="top"/>
    </xf>
    <xf numFmtId="0" fontId="15" fillId="2" borderId="30" xfId="0" applyFont="1" applyFill="1" applyBorder="1" applyAlignment="1">
      <alignment horizontal="right"/>
    </xf>
    <xf numFmtId="0" fontId="17" fillId="4" borderId="12" xfId="0" applyFont="1" applyFill="1" applyBorder="1" applyAlignment="1">
      <alignment horizontal="center" vertical="top"/>
    </xf>
    <xf numFmtId="44" fontId="17" fillId="4" borderId="12" xfId="1" applyFont="1" applyFill="1" applyBorder="1" applyAlignment="1">
      <alignment horizontal="left" vertical="top"/>
    </xf>
    <xf numFmtId="0" fontId="17" fillId="4" borderId="12" xfId="0" applyFont="1" applyFill="1" applyBorder="1" applyAlignment="1">
      <alignment horizontal="left" vertical="top"/>
    </xf>
    <xf numFmtId="0" fontId="17" fillId="4" borderId="4" xfId="0" applyFont="1" applyFill="1" applyBorder="1" applyAlignment="1">
      <alignment horizontal="right" vertical="center" indent="1"/>
    </xf>
    <xf numFmtId="0" fontId="17" fillId="0" borderId="4" xfId="0" applyFont="1" applyBorder="1"/>
    <xf numFmtId="44" fontId="17" fillId="0" borderId="4" xfId="0" applyNumberFormat="1" applyFont="1" applyBorder="1"/>
    <xf numFmtId="0" fontId="19" fillId="4" borderId="4" xfId="0" applyFont="1" applyFill="1" applyBorder="1" applyAlignment="1">
      <alignment horizontal="right" vertical="center" indent="1"/>
    </xf>
    <xf numFmtId="164" fontId="17" fillId="4" borderId="8" xfId="1" applyNumberFormat="1" applyFont="1" applyFill="1" applyBorder="1" applyAlignment="1">
      <alignment vertical="top"/>
    </xf>
    <xf numFmtId="164" fontId="17" fillId="4" borderId="13" xfId="1" applyNumberFormat="1" applyFont="1" applyFill="1" applyBorder="1" applyAlignment="1">
      <alignment vertical="top"/>
    </xf>
    <xf numFmtId="0" fontId="15" fillId="6" borderId="26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right" vertical="center" indent="1"/>
    </xf>
    <xf numFmtId="0" fontId="17" fillId="0" borderId="7" xfId="0" applyFont="1" applyBorder="1"/>
    <xf numFmtId="44" fontId="17" fillId="0" borderId="7" xfId="0" applyNumberFormat="1" applyFont="1" applyBorder="1"/>
    <xf numFmtId="164" fontId="17" fillId="0" borderId="8" xfId="0" applyNumberFormat="1" applyFont="1" applyBorder="1"/>
    <xf numFmtId="164" fontId="17" fillId="0" borderId="10" xfId="0" applyNumberFormat="1" applyFont="1" applyBorder="1"/>
    <xf numFmtId="0" fontId="15" fillId="4" borderId="27" xfId="0" applyFont="1" applyFill="1" applyBorder="1" applyAlignment="1">
      <alignment horizontal="right"/>
    </xf>
    <xf numFmtId="0" fontId="17" fillId="4" borderId="28" xfId="0" applyFont="1" applyFill="1" applyBorder="1" applyAlignment="1">
      <alignment horizontal="center" vertical="top"/>
    </xf>
    <xf numFmtId="44" fontId="17" fillId="4" borderId="28" xfId="1" applyFont="1" applyFill="1" applyBorder="1" applyAlignment="1">
      <alignment horizontal="left" vertical="top"/>
    </xf>
    <xf numFmtId="0" fontId="17" fillId="4" borderId="28" xfId="0" applyFont="1" applyFill="1" applyBorder="1" applyAlignment="1">
      <alignment horizontal="left" vertical="top"/>
    </xf>
    <xf numFmtId="164" fontId="17" fillId="4" borderId="29" xfId="1" applyNumberFormat="1" applyFont="1" applyFill="1" applyBorder="1" applyAlignment="1">
      <alignment horizontal="left" vertical="top"/>
    </xf>
    <xf numFmtId="0" fontId="21" fillId="2" borderId="6" xfId="0" applyFont="1" applyFill="1" applyBorder="1" applyAlignment="1">
      <alignment horizontal="right" vertical="center"/>
    </xf>
    <xf numFmtId="0" fontId="21" fillId="2" borderId="9" xfId="0" applyFont="1" applyFill="1" applyBorder="1" applyAlignment="1">
      <alignment horizontal="right" vertical="center"/>
    </xf>
    <xf numFmtId="0" fontId="22" fillId="7" borderId="9" xfId="0" applyFont="1" applyFill="1" applyBorder="1" applyAlignment="1">
      <alignment horizontal="right" vertical="center"/>
    </xf>
    <xf numFmtId="0" fontId="23" fillId="8" borderId="11" xfId="0" applyFont="1" applyFill="1" applyBorder="1" applyAlignment="1">
      <alignment horizontal="right" vertical="center"/>
    </xf>
    <xf numFmtId="0" fontId="20" fillId="4" borderId="32" xfId="0" applyFont="1" applyFill="1" applyBorder="1" applyAlignment="1">
      <alignment horizontal="right" vertical="center" indent="1"/>
    </xf>
    <xf numFmtId="0" fontId="17" fillId="0" borderId="32" xfId="0" applyFont="1" applyBorder="1"/>
    <xf numFmtId="44" fontId="17" fillId="0" borderId="32" xfId="0" applyNumberFormat="1" applyFont="1" applyBorder="1"/>
    <xf numFmtId="164" fontId="17" fillId="0" borderId="33" xfId="0" applyNumberFormat="1" applyFont="1" applyBorder="1"/>
    <xf numFmtId="0" fontId="18" fillId="9" borderId="14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44" fontId="18" fillId="9" borderId="15" xfId="1" applyFont="1" applyFill="1" applyBorder="1" applyAlignment="1">
      <alignment horizontal="center" vertical="center"/>
    </xf>
    <xf numFmtId="44" fontId="18" fillId="9" borderId="15" xfId="0" applyNumberFormat="1" applyFont="1" applyFill="1" applyBorder="1" applyAlignment="1">
      <alignment horizontal="center" vertical="center"/>
    </xf>
    <xf numFmtId="44" fontId="18" fillId="9" borderId="16" xfId="1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right"/>
    </xf>
    <xf numFmtId="0" fontId="16" fillId="4" borderId="0" xfId="0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14" fillId="9" borderId="0" xfId="0" applyFont="1" applyFill="1" applyAlignment="1">
      <alignment horizontal="center" vertical="center"/>
    </xf>
    <xf numFmtId="9" fontId="14" fillId="9" borderId="0" xfId="0" applyNumberFormat="1" applyFont="1" applyFill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14" fillId="9" borderId="0" xfId="0" applyFont="1" applyFill="1"/>
    <xf numFmtId="164" fontId="2" fillId="4" borderId="0" xfId="1" applyNumberFormat="1" applyFont="1" applyFill="1" applyBorder="1" applyAlignment="1">
      <alignment horizontal="center" vertical="center"/>
    </xf>
    <xf numFmtId="164" fontId="12" fillId="4" borderId="0" xfId="1" applyNumberFormat="1" applyFont="1" applyFill="1" applyBorder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colors>
    <mruColors>
      <color rgb="FFB66DFF"/>
      <color rgb="FFFF9F9F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3B5A-7AFB-4F58-99BD-BE93E07370CB}">
  <dimension ref="B4:S54"/>
  <sheetViews>
    <sheetView topLeftCell="A4" zoomScale="130" zoomScaleNormal="130" workbookViewId="0">
      <selection activeCell="B28" sqref="B28"/>
    </sheetView>
  </sheetViews>
  <sheetFormatPr defaultColWidth="8.88671875" defaultRowHeight="14.4" x14ac:dyDescent="0.3"/>
  <cols>
    <col min="1" max="1" width="8.88671875" style="44"/>
    <col min="2" max="2" width="34.6640625" style="44" bestFit="1" customWidth="1"/>
    <col min="3" max="3" width="11.6640625" style="44" bestFit="1" customWidth="1"/>
    <col min="4" max="4" width="20" style="44" customWidth="1"/>
    <col min="5" max="5" width="10.6640625" style="44" bestFit="1" customWidth="1"/>
    <col min="6" max="6" width="21" style="44" bestFit="1" customWidth="1"/>
    <col min="7" max="8" width="10.6640625" style="44" bestFit="1" customWidth="1"/>
    <col min="9" max="9" width="19.88671875" style="44" bestFit="1" customWidth="1"/>
    <col min="10" max="14" width="8.88671875" style="44"/>
    <col min="15" max="15" width="8.88671875" style="44" customWidth="1"/>
    <col min="16" max="16384" width="8.88671875" style="44"/>
  </cols>
  <sheetData>
    <row r="4" spans="2:19" ht="14.4" customHeight="1" x14ac:dyDescent="0.3">
      <c r="B4" s="201" t="s">
        <v>117</v>
      </c>
      <c r="C4" s="201"/>
      <c r="D4" s="201"/>
      <c r="E4" s="201"/>
      <c r="F4" s="201"/>
      <c r="G4" s="201"/>
      <c r="H4" s="201"/>
      <c r="I4" s="201"/>
    </row>
    <row r="5" spans="2:19" ht="14.4" customHeight="1" x14ac:dyDescent="0.3">
      <c r="B5" s="201"/>
      <c r="C5" s="201"/>
      <c r="D5" s="201"/>
      <c r="E5" s="201"/>
      <c r="F5" s="201"/>
      <c r="G5" s="201"/>
      <c r="H5" s="201"/>
      <c r="I5" s="201"/>
    </row>
    <row r="6" spans="2:19" x14ac:dyDescent="0.3">
      <c r="B6" s="13" t="s">
        <v>75</v>
      </c>
      <c r="C6" s="13" t="s">
        <v>74</v>
      </c>
      <c r="D6" s="13" t="s">
        <v>99</v>
      </c>
      <c r="E6" s="13" t="s">
        <v>118</v>
      </c>
      <c r="F6" s="13" t="s">
        <v>76</v>
      </c>
      <c r="G6" s="13" t="s">
        <v>115</v>
      </c>
      <c r="H6" s="26"/>
      <c r="I6" s="26"/>
    </row>
    <row r="7" spans="2:19" x14ac:dyDescent="0.3">
      <c r="B7" s="32" t="s">
        <v>77</v>
      </c>
      <c r="C7" s="33" t="s">
        <v>108</v>
      </c>
      <c r="D7" s="33" t="s">
        <v>102</v>
      </c>
      <c r="E7" s="32"/>
      <c r="F7" s="34" t="s">
        <v>101</v>
      </c>
      <c r="G7" s="202"/>
      <c r="H7" s="202"/>
      <c r="I7" s="202"/>
    </row>
    <row r="8" spans="2:19" x14ac:dyDescent="0.3">
      <c r="B8" s="1" t="s">
        <v>154</v>
      </c>
      <c r="C8" s="5" t="s">
        <v>112</v>
      </c>
      <c r="D8" s="5" t="s">
        <v>157</v>
      </c>
      <c r="E8" s="5">
        <v>10</v>
      </c>
      <c r="F8" s="27" t="s">
        <v>109</v>
      </c>
      <c r="G8" s="200">
        <v>10</v>
      </c>
      <c r="H8" s="200"/>
      <c r="I8" s="200"/>
    </row>
    <row r="9" spans="2:19" x14ac:dyDescent="0.3">
      <c r="B9" s="1" t="s">
        <v>132</v>
      </c>
      <c r="C9" s="5" t="s">
        <v>158</v>
      </c>
      <c r="D9" s="5" t="s">
        <v>102</v>
      </c>
      <c r="E9" s="5">
        <v>4</v>
      </c>
      <c r="F9" s="27" t="s">
        <v>162</v>
      </c>
      <c r="G9" s="200">
        <v>5</v>
      </c>
      <c r="H9" s="200"/>
      <c r="I9" s="200"/>
    </row>
    <row r="10" spans="2:19" x14ac:dyDescent="0.3">
      <c r="B10" s="1" t="s">
        <v>155</v>
      </c>
      <c r="C10" s="5" t="s">
        <v>159</v>
      </c>
      <c r="D10" s="5" t="s">
        <v>102</v>
      </c>
      <c r="E10" s="5">
        <v>10</v>
      </c>
      <c r="F10" s="27" t="s">
        <v>119</v>
      </c>
      <c r="H10" s="5"/>
      <c r="I10" s="5"/>
    </row>
    <row r="11" spans="2:19" x14ac:dyDescent="0.3">
      <c r="B11" s="1" t="s">
        <v>141</v>
      </c>
      <c r="C11" s="5" t="s">
        <v>160</v>
      </c>
      <c r="D11" s="5" t="s">
        <v>102</v>
      </c>
      <c r="E11" s="5">
        <v>10</v>
      </c>
      <c r="F11" s="27" t="s">
        <v>104</v>
      </c>
      <c r="G11" s="200"/>
      <c r="H11" s="200"/>
      <c r="I11" s="200"/>
    </row>
    <row r="12" spans="2:19" x14ac:dyDescent="0.3">
      <c r="B12" s="1" t="s">
        <v>153</v>
      </c>
      <c r="C12" s="5" t="s">
        <v>111</v>
      </c>
      <c r="D12" s="5" t="s">
        <v>102</v>
      </c>
      <c r="E12" s="5">
        <v>10</v>
      </c>
      <c r="F12" s="27" t="s">
        <v>104</v>
      </c>
      <c r="G12" s="200"/>
      <c r="H12" s="200"/>
      <c r="I12" s="200"/>
    </row>
    <row r="13" spans="2:19" x14ac:dyDescent="0.3">
      <c r="B13" s="13" t="s">
        <v>139</v>
      </c>
      <c r="C13" s="13" t="s">
        <v>151</v>
      </c>
      <c r="D13" s="13"/>
      <c r="E13" s="13"/>
      <c r="F13" s="28"/>
      <c r="G13" s="13"/>
      <c r="H13" s="13"/>
      <c r="I13" s="13"/>
    </row>
    <row r="14" spans="2:19" x14ac:dyDescent="0.3">
      <c r="B14" s="1" t="s">
        <v>152</v>
      </c>
      <c r="C14" s="5" t="s">
        <v>140</v>
      </c>
      <c r="D14" s="5" t="s">
        <v>102</v>
      </c>
      <c r="E14" s="5">
        <v>10</v>
      </c>
      <c r="F14" s="27" t="s">
        <v>101</v>
      </c>
      <c r="G14" s="203"/>
      <c r="H14" s="203"/>
      <c r="I14" s="203"/>
    </row>
    <row r="15" spans="2:19" x14ac:dyDescent="0.3">
      <c r="B15" s="1" t="s">
        <v>161</v>
      </c>
      <c r="C15" s="5" t="s">
        <v>163</v>
      </c>
      <c r="D15" s="5" t="s">
        <v>164</v>
      </c>
      <c r="E15" s="5">
        <v>10</v>
      </c>
      <c r="F15" s="27" t="s">
        <v>148</v>
      </c>
      <c r="G15" s="203"/>
      <c r="H15" s="203"/>
      <c r="I15" s="203"/>
    </row>
    <row r="16" spans="2:19" x14ac:dyDescent="0.3">
      <c r="B16" s="1" t="s">
        <v>136</v>
      </c>
      <c r="C16" s="5" t="s">
        <v>135</v>
      </c>
      <c r="D16" s="5" t="s">
        <v>102</v>
      </c>
      <c r="E16" s="5">
        <v>10</v>
      </c>
      <c r="F16" s="27" t="s">
        <v>114</v>
      </c>
      <c r="G16" s="203"/>
      <c r="H16" s="203"/>
      <c r="I16" s="203"/>
      <c r="L16"/>
      <c r="M16"/>
      <c r="N16"/>
      <c r="O16"/>
      <c r="P16"/>
      <c r="Q16"/>
      <c r="R16"/>
      <c r="S16"/>
    </row>
    <row r="17" spans="2:9" x14ac:dyDescent="0.3">
      <c r="B17" s="1" t="s">
        <v>142</v>
      </c>
      <c r="C17" s="5" t="s">
        <v>137</v>
      </c>
      <c r="D17" s="5" t="s">
        <v>103</v>
      </c>
      <c r="E17" s="5">
        <v>10</v>
      </c>
      <c r="F17" s="27" t="s">
        <v>119</v>
      </c>
      <c r="G17" s="203"/>
      <c r="H17" s="203"/>
      <c r="I17" s="203"/>
    </row>
    <row r="18" spans="2:9" x14ac:dyDescent="0.3">
      <c r="B18" s="1" t="s">
        <v>143</v>
      </c>
      <c r="C18" s="5" t="s">
        <v>113</v>
      </c>
      <c r="D18" s="5" t="s">
        <v>102</v>
      </c>
      <c r="E18" s="5">
        <v>4</v>
      </c>
      <c r="F18" s="27" t="s">
        <v>149</v>
      </c>
      <c r="G18" s="203"/>
      <c r="H18" s="203"/>
      <c r="I18" s="203"/>
    </row>
    <row r="19" spans="2:9" x14ac:dyDescent="0.3">
      <c r="B19" s="1" t="s">
        <v>144</v>
      </c>
      <c r="C19" s="5" t="s">
        <v>110</v>
      </c>
      <c r="D19" s="5" t="s">
        <v>102</v>
      </c>
      <c r="E19" s="5">
        <v>4</v>
      </c>
      <c r="F19" s="27" t="s">
        <v>150</v>
      </c>
      <c r="G19" s="203"/>
      <c r="H19" s="203"/>
      <c r="I19" s="203"/>
    </row>
    <row r="20" spans="2:9" x14ac:dyDescent="0.3">
      <c r="B20" s="1" t="s">
        <v>142</v>
      </c>
      <c r="C20" s="5" t="s">
        <v>138</v>
      </c>
      <c r="D20" s="5" t="s">
        <v>156</v>
      </c>
      <c r="E20" s="5">
        <v>10</v>
      </c>
      <c r="F20" s="27" t="s">
        <v>109</v>
      </c>
      <c r="G20" s="203"/>
      <c r="H20" s="203"/>
      <c r="I20" s="203"/>
    </row>
    <row r="21" spans="2:9" x14ac:dyDescent="0.3">
      <c r="B21" s="32" t="s">
        <v>77</v>
      </c>
      <c r="C21" s="33" t="s">
        <v>145</v>
      </c>
      <c r="D21" s="33" t="s">
        <v>102</v>
      </c>
      <c r="E21" s="32"/>
      <c r="F21" s="34" t="s">
        <v>101</v>
      </c>
      <c r="G21" s="205"/>
      <c r="H21" s="205"/>
      <c r="I21" s="205"/>
    </row>
    <row r="22" spans="2:9" x14ac:dyDescent="0.3">
      <c r="B22" s="32" t="s">
        <v>146</v>
      </c>
      <c r="C22" s="33" t="s">
        <v>147</v>
      </c>
      <c r="D22" s="33" t="s">
        <v>100</v>
      </c>
      <c r="E22" s="32"/>
      <c r="F22" s="34"/>
      <c r="G22" s="205"/>
      <c r="H22" s="205"/>
      <c r="I22" s="205"/>
    </row>
    <row r="23" spans="2:9" x14ac:dyDescent="0.3">
      <c r="B23" s="20" t="s">
        <v>116</v>
      </c>
      <c r="C23" s="20">
        <v>7</v>
      </c>
      <c r="D23" s="20">
        <v>7.5</v>
      </c>
      <c r="E23" s="20">
        <f>SUM(E8:E22)</f>
        <v>102</v>
      </c>
      <c r="F23" s="20" t="s">
        <v>165</v>
      </c>
      <c r="G23" s="20"/>
      <c r="H23" s="25"/>
      <c r="I23" s="25"/>
    </row>
    <row r="26" spans="2:9" x14ac:dyDescent="0.3">
      <c r="B26" s="13" t="s">
        <v>75</v>
      </c>
      <c r="C26" s="13" t="s">
        <v>105</v>
      </c>
      <c r="D26" s="13" t="s">
        <v>211</v>
      </c>
      <c r="E26" s="20"/>
      <c r="F26" s="20" t="s">
        <v>204</v>
      </c>
      <c r="G26" s="197" t="s">
        <v>206</v>
      </c>
      <c r="H26" s="197"/>
      <c r="I26" s="197"/>
    </row>
    <row r="27" spans="2:9" x14ac:dyDescent="0.3">
      <c r="B27" s="1" t="s">
        <v>107</v>
      </c>
      <c r="C27" s="5">
        <f>G8+G9</f>
        <v>15</v>
      </c>
      <c r="D27" s="5">
        <v>0</v>
      </c>
      <c r="E27" s="5"/>
      <c r="F27" s="10"/>
      <c r="G27" s="1"/>
      <c r="H27" s="1"/>
      <c r="I27"/>
    </row>
    <row r="28" spans="2:9" x14ac:dyDescent="0.3">
      <c r="B28" s="1" t="s">
        <v>121</v>
      </c>
      <c r="C28" s="5"/>
      <c r="D28" s="5">
        <v>0</v>
      </c>
      <c r="E28" s="5"/>
      <c r="F28" s="10"/>
      <c r="G28" s="1"/>
      <c r="H28" s="1"/>
      <c r="I28" s="1"/>
    </row>
    <row r="29" spans="2:9" x14ac:dyDescent="0.3">
      <c r="B29" s="1" t="s">
        <v>174</v>
      </c>
      <c r="C29" s="5"/>
      <c r="D29" s="5">
        <v>0</v>
      </c>
      <c r="E29" s="5"/>
      <c r="F29" s="10"/>
      <c r="G29" s="1"/>
      <c r="H29" s="1"/>
      <c r="I29"/>
    </row>
    <row r="30" spans="2:9" x14ac:dyDescent="0.3">
      <c r="B30" s="1" t="s">
        <v>175</v>
      </c>
      <c r="C30" s="5"/>
      <c r="D30" s="5">
        <v>0</v>
      </c>
      <c r="E30" s="5"/>
      <c r="F30" s="10"/>
      <c r="G30" s="1"/>
      <c r="H30" s="1"/>
      <c r="I30"/>
    </row>
    <row r="31" spans="2:9" x14ac:dyDescent="0.3">
      <c r="B31" s="1" t="s">
        <v>120</v>
      </c>
      <c r="C31" s="5"/>
      <c r="D31" s="5">
        <v>0</v>
      </c>
      <c r="E31" s="5"/>
      <c r="F31" s="10"/>
      <c r="G31" s="1"/>
      <c r="H31" s="1"/>
      <c r="I31"/>
    </row>
    <row r="32" spans="2:9" x14ac:dyDescent="0.3">
      <c r="B32" s="1" t="s">
        <v>122</v>
      </c>
      <c r="C32" s="5"/>
      <c r="D32" s="5">
        <v>0</v>
      </c>
      <c r="E32" s="5"/>
      <c r="F32" s="5"/>
      <c r="G32" s="10"/>
      <c r="H32" s="1"/>
      <c r="I32" s="1"/>
    </row>
    <row r="33" spans="2:9" ht="15" thickBot="1" x14ac:dyDescent="0.35">
      <c r="B33" s="30" t="s">
        <v>123</v>
      </c>
      <c r="C33" s="31"/>
      <c r="D33" s="31">
        <v>0</v>
      </c>
      <c r="E33" s="31"/>
      <c r="F33" s="31"/>
      <c r="G33" s="31"/>
      <c r="H33" s="30"/>
      <c r="I33" s="30"/>
    </row>
    <row r="34" spans="2:9" ht="15" thickTop="1" x14ac:dyDescent="0.3">
      <c r="B34" t="s">
        <v>166</v>
      </c>
      <c r="C34" s="22">
        <f>G15</f>
        <v>0</v>
      </c>
      <c r="D34" s="22">
        <v>0</v>
      </c>
      <c r="E34" s="22"/>
      <c r="F34" s="22">
        <f>C34*D34</f>
        <v>0</v>
      </c>
      <c r="G34" s="10">
        <v>0.1</v>
      </c>
      <c r="H34" s="200">
        <f>F34*G34</f>
        <v>0</v>
      </c>
      <c r="I34" s="200"/>
    </row>
    <row r="35" spans="2:9" x14ac:dyDescent="0.3">
      <c r="B35" s="1" t="s">
        <v>124</v>
      </c>
      <c r="C35" s="5">
        <v>10</v>
      </c>
      <c r="D35" s="5">
        <v>0</v>
      </c>
      <c r="E35" s="5"/>
      <c r="F35" s="22">
        <f t="shared" ref="F35:F36" si="0">C35*D35</f>
        <v>0</v>
      </c>
      <c r="G35" s="10">
        <v>0.1</v>
      </c>
      <c r="H35" s="200">
        <f>F35*G35</f>
        <v>0</v>
      </c>
      <c r="I35" s="200"/>
    </row>
    <row r="36" spans="2:9" x14ac:dyDescent="0.3">
      <c r="B36" s="1" t="s">
        <v>125</v>
      </c>
      <c r="C36" s="5">
        <v>5</v>
      </c>
      <c r="D36" s="5">
        <v>21</v>
      </c>
      <c r="E36" s="5"/>
      <c r="F36" s="22">
        <f t="shared" si="0"/>
        <v>105</v>
      </c>
      <c r="G36" s="10"/>
      <c r="H36" s="200"/>
      <c r="I36" s="200"/>
    </row>
    <row r="37" spans="2:9" x14ac:dyDescent="0.3">
      <c r="B37" s="4" t="s">
        <v>22</v>
      </c>
      <c r="C37" s="13"/>
      <c r="D37" s="13">
        <f>SUM(D27:D36)</f>
        <v>21</v>
      </c>
      <c r="E37" s="13"/>
      <c r="F37" s="13">
        <f>SUM(F27:F36)</f>
        <v>105</v>
      </c>
      <c r="G37" s="15">
        <v>0.17</v>
      </c>
      <c r="H37" s="196">
        <f>H27+H28+H31+H32+H34+H35</f>
        <v>0</v>
      </c>
      <c r="I37" s="196"/>
    </row>
    <row r="40" spans="2:9" x14ac:dyDescent="0.3">
      <c r="B40" s="20" t="s">
        <v>75</v>
      </c>
      <c r="C40" s="13" t="s">
        <v>105</v>
      </c>
      <c r="D40" s="13" t="s">
        <v>211</v>
      </c>
      <c r="E40" s="20"/>
      <c r="F40" s="20" t="s">
        <v>204</v>
      </c>
      <c r="G40" s="197" t="s">
        <v>206</v>
      </c>
      <c r="H40" s="197"/>
      <c r="I40" s="197"/>
    </row>
    <row r="41" spans="2:9" x14ac:dyDescent="0.3">
      <c r="B41" s="1" t="s">
        <v>173</v>
      </c>
      <c r="C41" s="5"/>
      <c r="D41" s="5">
        <v>0</v>
      </c>
      <c r="E41" s="5"/>
      <c r="F41" s="10"/>
      <c r="G41" s="1"/>
      <c r="H41" s="1"/>
      <c r="I41" s="7"/>
    </row>
    <row r="42" spans="2:9" x14ac:dyDescent="0.3">
      <c r="B42" s="1" t="s">
        <v>167</v>
      </c>
      <c r="C42" s="5"/>
      <c r="D42" s="5">
        <v>0</v>
      </c>
      <c r="E42" s="5"/>
      <c r="F42" s="10"/>
      <c r="G42" s="1"/>
      <c r="H42" s="1"/>
      <c r="I42" s="1"/>
    </row>
    <row r="43" spans="2:9" x14ac:dyDescent="0.3">
      <c r="B43" s="1" t="s">
        <v>168</v>
      </c>
      <c r="C43" s="5"/>
      <c r="D43" s="5">
        <v>0</v>
      </c>
      <c r="E43" s="5"/>
      <c r="F43" s="10"/>
      <c r="G43" s="1"/>
      <c r="H43" s="1"/>
      <c r="I43" s="7" t="s">
        <v>207</v>
      </c>
    </row>
    <row r="44" spans="2:9" x14ac:dyDescent="0.3">
      <c r="B44" s="1" t="s">
        <v>176</v>
      </c>
      <c r="C44" s="5"/>
      <c r="D44" s="5">
        <v>0</v>
      </c>
      <c r="E44" s="5"/>
      <c r="F44" s="10"/>
      <c r="G44" s="1"/>
      <c r="H44" s="1"/>
      <c r="I44" s="7"/>
    </row>
    <row r="45" spans="2:9" ht="15" thickBot="1" x14ac:dyDescent="0.35">
      <c r="B45" s="30"/>
      <c r="C45" s="31"/>
      <c r="D45" s="31"/>
      <c r="E45" s="31"/>
      <c r="F45" s="105"/>
      <c r="G45" s="30"/>
      <c r="H45" s="30"/>
      <c r="I45" s="106"/>
    </row>
    <row r="46" spans="2:9" ht="15" thickTop="1" x14ac:dyDescent="0.3">
      <c r="B46" s="1" t="s">
        <v>182</v>
      </c>
      <c r="C46" s="5"/>
      <c r="D46" s="5">
        <v>0</v>
      </c>
      <c r="E46" s="5"/>
      <c r="F46" s="10"/>
      <c r="G46" s="1"/>
      <c r="H46" s="1"/>
      <c r="I46" s="7"/>
    </row>
    <row r="47" spans="2:9" x14ac:dyDescent="0.3">
      <c r="B47" s="1" t="s">
        <v>177</v>
      </c>
      <c r="C47" s="5"/>
      <c r="D47" s="5">
        <v>0</v>
      </c>
      <c r="E47" s="5"/>
      <c r="F47" s="10"/>
      <c r="G47" s="1"/>
      <c r="H47" s="1"/>
      <c r="I47" s="7"/>
    </row>
    <row r="48" spans="2:9" x14ac:dyDescent="0.3">
      <c r="B48" s="1" t="s">
        <v>178</v>
      </c>
      <c r="C48" s="5"/>
      <c r="D48" s="5">
        <v>0</v>
      </c>
      <c r="E48" s="5"/>
      <c r="F48" s="10"/>
      <c r="G48" s="1"/>
      <c r="H48" s="1"/>
      <c r="I48" s="7"/>
    </row>
    <row r="49" spans="2:9" x14ac:dyDescent="0.3">
      <c r="B49" s="1" t="s">
        <v>179</v>
      </c>
      <c r="C49" s="5"/>
      <c r="D49" s="5">
        <v>0</v>
      </c>
      <c r="E49" s="5"/>
      <c r="F49" s="10"/>
      <c r="G49" s="1"/>
      <c r="H49" s="1"/>
      <c r="I49" s="7"/>
    </row>
    <row r="50" spans="2:9" x14ac:dyDescent="0.3">
      <c r="B50" s="1" t="s">
        <v>180</v>
      </c>
      <c r="C50" s="5"/>
      <c r="D50" s="5">
        <v>0</v>
      </c>
      <c r="E50" s="5"/>
      <c r="F50" s="10"/>
      <c r="G50" s="1"/>
      <c r="H50" s="1"/>
      <c r="I50" s="7"/>
    </row>
    <row r="51" spans="2:9" x14ac:dyDescent="0.3">
      <c r="B51" s="1" t="s">
        <v>181</v>
      </c>
      <c r="C51" s="5"/>
      <c r="D51" s="5">
        <v>0</v>
      </c>
      <c r="E51" s="5"/>
      <c r="F51" s="10"/>
      <c r="G51" s="1"/>
      <c r="H51" s="1"/>
      <c r="I51" s="7"/>
    </row>
    <row r="52" spans="2:9" x14ac:dyDescent="0.3">
      <c r="B52" s="1" t="s">
        <v>183</v>
      </c>
      <c r="C52" s="5"/>
      <c r="D52" s="5">
        <v>0</v>
      </c>
      <c r="E52" s="5"/>
      <c r="F52" s="10"/>
      <c r="G52" s="1"/>
      <c r="H52" s="1"/>
      <c r="I52" s="7"/>
    </row>
    <row r="53" spans="2:9" x14ac:dyDescent="0.3">
      <c r="B53" s="1" t="s">
        <v>184</v>
      </c>
      <c r="C53" s="5"/>
      <c r="D53" s="5">
        <v>0</v>
      </c>
      <c r="E53" s="5"/>
      <c r="F53" s="10"/>
      <c r="G53" s="1"/>
      <c r="H53" s="1"/>
      <c r="I53" s="7"/>
    </row>
    <row r="54" spans="2:9" x14ac:dyDescent="0.3">
      <c r="B54" s="13" t="s">
        <v>22</v>
      </c>
      <c r="C54" s="13"/>
      <c r="D54" s="29"/>
      <c r="E54" s="29"/>
      <c r="F54" s="14"/>
      <c r="G54" s="13"/>
      <c r="H54" s="13"/>
      <c r="I54" s="26"/>
    </row>
  </sheetData>
  <mergeCells count="21">
    <mergeCell ref="G17:I17"/>
    <mergeCell ref="G18:I18"/>
    <mergeCell ref="G19:I19"/>
    <mergeCell ref="G20:I20"/>
    <mergeCell ref="G21:I21"/>
    <mergeCell ref="B4:I5"/>
    <mergeCell ref="G7:I7"/>
    <mergeCell ref="G8:I8"/>
    <mergeCell ref="G9:I9"/>
    <mergeCell ref="G40:I40"/>
    <mergeCell ref="G26:I26"/>
    <mergeCell ref="H34:I34"/>
    <mergeCell ref="H35:I35"/>
    <mergeCell ref="H36:I36"/>
    <mergeCell ref="H37:I37"/>
    <mergeCell ref="G22:I22"/>
    <mergeCell ref="G11:I11"/>
    <mergeCell ref="G12:I12"/>
    <mergeCell ref="G14:I14"/>
    <mergeCell ref="G15:I15"/>
    <mergeCell ref="G16:I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F426-DA59-4350-AAD4-9ACFB78EE38D}">
  <dimension ref="A1:G74"/>
  <sheetViews>
    <sheetView showGridLines="0" tabSelected="1" topLeftCell="A52" zoomScale="115" zoomScaleNormal="115" workbookViewId="0">
      <selection activeCell="C20" sqref="C20"/>
    </sheetView>
  </sheetViews>
  <sheetFormatPr defaultRowHeight="14.4" x14ac:dyDescent="0.3"/>
  <cols>
    <col min="1" max="1" width="36.33203125" bestFit="1" customWidth="1"/>
    <col min="2" max="2" width="19.5546875" bestFit="1" customWidth="1"/>
    <col min="3" max="5" width="14.5546875" bestFit="1" customWidth="1"/>
    <col min="6" max="6" width="18" customWidth="1"/>
    <col min="7" max="7" width="18.5546875" bestFit="1" customWidth="1"/>
  </cols>
  <sheetData>
    <row r="1" spans="1:6" ht="9.75" customHeight="1" x14ac:dyDescent="0.3"/>
    <row r="2" spans="1:6" x14ac:dyDescent="0.3">
      <c r="A2" s="114" t="s">
        <v>212</v>
      </c>
    </row>
    <row r="3" spans="1:6" ht="8.25" customHeight="1" thickBot="1" x14ac:dyDescent="0.35">
      <c r="A3" s="107"/>
      <c r="B3" s="107"/>
      <c r="C3" s="107"/>
      <c r="D3" s="107"/>
      <c r="E3" s="107"/>
    </row>
    <row r="4" spans="1:6" ht="15" thickBot="1" x14ac:dyDescent="0.35">
      <c r="A4" s="120" t="s">
        <v>221</v>
      </c>
      <c r="B4" s="121" t="s">
        <v>222</v>
      </c>
      <c r="C4" s="121" t="s">
        <v>223</v>
      </c>
      <c r="D4" s="121" t="s">
        <v>224</v>
      </c>
      <c r="E4" s="122" t="s">
        <v>225</v>
      </c>
      <c r="F4" s="119" t="s">
        <v>226</v>
      </c>
    </row>
    <row r="5" spans="1:6" x14ac:dyDescent="0.3">
      <c r="A5" s="123" t="s">
        <v>213</v>
      </c>
      <c r="B5" s="124">
        <v>250000</v>
      </c>
      <c r="C5" s="124">
        <v>267400</v>
      </c>
      <c r="D5" s="125">
        <v>400000</v>
      </c>
      <c r="E5" s="126">
        <f>D5-C5</f>
        <v>132600</v>
      </c>
      <c r="F5" s="127"/>
    </row>
    <row r="6" spans="1:6" x14ac:dyDescent="0.3">
      <c r="A6" s="108" t="s">
        <v>214</v>
      </c>
      <c r="B6" s="109">
        <f>B5/3</f>
        <v>83333.333333333328</v>
      </c>
      <c r="C6" s="110">
        <f>C5/3</f>
        <v>89133.333333333328</v>
      </c>
      <c r="D6" s="109">
        <v>133333.33333333334</v>
      </c>
      <c r="E6" s="116">
        <f>D6-C6</f>
        <v>44200.000000000015</v>
      </c>
      <c r="F6" s="128"/>
    </row>
    <row r="7" spans="1:6" x14ac:dyDescent="0.3">
      <c r="A7" s="108" t="s">
        <v>215</v>
      </c>
      <c r="B7" s="109">
        <v>20000</v>
      </c>
      <c r="C7" s="109">
        <v>145000</v>
      </c>
      <c r="D7" s="111"/>
      <c r="E7" s="117"/>
      <c r="F7" s="128"/>
    </row>
    <row r="8" spans="1:6" ht="15" thickBot="1" x14ac:dyDescent="0.35">
      <c r="A8" s="112" t="s">
        <v>216</v>
      </c>
      <c r="B8" s="113">
        <v>1500</v>
      </c>
      <c r="C8" s="113">
        <v>1500</v>
      </c>
      <c r="D8" s="113">
        <v>1500</v>
      </c>
      <c r="E8" s="118">
        <v>1500</v>
      </c>
      <c r="F8" s="129"/>
    </row>
    <row r="10" spans="1:6" ht="6.75" customHeight="1" thickBot="1" x14ac:dyDescent="0.35"/>
    <row r="11" spans="1:6" ht="15" thickBot="1" x14ac:dyDescent="0.35">
      <c r="A11" s="120" t="s">
        <v>221</v>
      </c>
      <c r="B11" s="121" t="s">
        <v>222</v>
      </c>
      <c r="C11" s="121" t="s">
        <v>227</v>
      </c>
      <c r="D11" s="121" t="s">
        <v>224</v>
      </c>
      <c r="E11" s="122" t="s">
        <v>225</v>
      </c>
      <c r="F11" s="119" t="s">
        <v>226</v>
      </c>
    </row>
    <row r="12" spans="1:6" x14ac:dyDescent="0.3">
      <c r="A12" s="123" t="s">
        <v>217</v>
      </c>
      <c r="B12" s="130">
        <f>B6/B8</f>
        <v>55.55555555555555</v>
      </c>
      <c r="C12" s="130">
        <f>C6/C8</f>
        <v>59.422222222222217</v>
      </c>
      <c r="D12" s="130">
        <f>D6/D8</f>
        <v>88.8888888888889</v>
      </c>
      <c r="E12" s="134">
        <f>D12-C12</f>
        <v>29.466666666666683</v>
      </c>
      <c r="F12" s="127"/>
    </row>
    <row r="13" spans="1:6" x14ac:dyDescent="0.3">
      <c r="A13" s="108" t="s">
        <v>218</v>
      </c>
      <c r="B13" s="131">
        <f>B12/21</f>
        <v>2.6455026455026451</v>
      </c>
      <c r="C13" s="131">
        <f>C12/21</f>
        <v>2.8296296296296295</v>
      </c>
      <c r="D13" s="131">
        <f>D12/21</f>
        <v>4.2328042328042335</v>
      </c>
      <c r="E13" s="135">
        <f>D13-C13</f>
        <v>1.403174603174604</v>
      </c>
      <c r="F13" s="128"/>
    </row>
    <row r="14" spans="1:6" x14ac:dyDescent="0.3">
      <c r="A14" s="108" t="s">
        <v>219</v>
      </c>
      <c r="B14" s="132">
        <v>0.1</v>
      </c>
      <c r="C14" s="132">
        <v>0.1</v>
      </c>
      <c r="D14" s="132">
        <v>0.1</v>
      </c>
      <c r="E14" s="135">
        <f t="shared" ref="E14:E15" si="0">D14-C14</f>
        <v>0</v>
      </c>
      <c r="F14" s="128"/>
    </row>
    <row r="15" spans="1:6" ht="15" thickBot="1" x14ac:dyDescent="0.35">
      <c r="A15" s="112" t="s">
        <v>220</v>
      </c>
      <c r="B15" s="133">
        <f>B13/B14</f>
        <v>26.455026455026449</v>
      </c>
      <c r="C15" s="133">
        <f>C13/C14</f>
        <v>28.296296296296294</v>
      </c>
      <c r="D15" s="133">
        <f>D13/D14</f>
        <v>42.328042328042329</v>
      </c>
      <c r="E15" s="136">
        <f t="shared" si="0"/>
        <v>14.031746031746035</v>
      </c>
      <c r="F15" s="129"/>
    </row>
    <row r="16" spans="1:6" x14ac:dyDescent="0.3">
      <c r="B16" s="115"/>
    </row>
    <row r="17" spans="1:7" ht="15" thickBot="1" x14ac:dyDescent="0.35"/>
    <row r="18" spans="1:7" ht="15" thickBot="1" x14ac:dyDescent="0.35">
      <c r="A18" s="206" t="s">
        <v>202</v>
      </c>
      <c r="B18" s="137" t="s">
        <v>230</v>
      </c>
      <c r="C18" s="138" t="s">
        <v>231</v>
      </c>
      <c r="D18" s="138" t="s">
        <v>232</v>
      </c>
      <c r="E18" s="138" t="s">
        <v>233</v>
      </c>
      <c r="F18" s="138" t="s">
        <v>234</v>
      </c>
      <c r="G18" s="153" t="s">
        <v>235</v>
      </c>
    </row>
    <row r="19" spans="1:7" ht="9.75" customHeight="1" thickBot="1" x14ac:dyDescent="0.35">
      <c r="A19" s="207"/>
    </row>
    <row r="20" spans="1:7" x14ac:dyDescent="0.3">
      <c r="A20" s="139" t="s">
        <v>228</v>
      </c>
      <c r="B20" s="140">
        <v>500</v>
      </c>
      <c r="C20" s="140">
        <v>400</v>
      </c>
      <c r="D20" s="141">
        <v>1850</v>
      </c>
      <c r="E20" s="142">
        <v>6</v>
      </c>
      <c r="F20" s="141">
        <f t="shared" ref="F20:F21" si="1">D20*C20</f>
        <v>740000</v>
      </c>
      <c r="G20" s="151">
        <f>E20*D20*F20</f>
        <v>8214000000</v>
      </c>
    </row>
    <row r="21" spans="1:7" ht="15" thickBot="1" x14ac:dyDescent="0.35">
      <c r="A21" s="143" t="s">
        <v>229</v>
      </c>
      <c r="B21" s="144">
        <v>255</v>
      </c>
      <c r="C21" s="144">
        <v>355</v>
      </c>
      <c r="D21" s="145">
        <v>1850</v>
      </c>
      <c r="E21" s="146">
        <v>6</v>
      </c>
      <c r="F21" s="145">
        <f t="shared" si="1"/>
        <v>656750</v>
      </c>
      <c r="G21" s="152">
        <f t="shared" ref="G21" si="2">E21*D21*F21</f>
        <v>7289925000</v>
      </c>
    </row>
    <row r="22" spans="1:7" ht="6" customHeight="1" thickBot="1" x14ac:dyDescent="0.35">
      <c r="A22" s="159"/>
      <c r="B22" s="160"/>
      <c r="C22" s="160"/>
      <c r="D22" s="161"/>
      <c r="E22" s="162"/>
      <c r="F22" s="161"/>
      <c r="G22" s="163"/>
    </row>
    <row r="23" spans="1:7" x14ac:dyDescent="0.3">
      <c r="A23" s="164" t="s">
        <v>236</v>
      </c>
      <c r="B23" s="154">
        <f>166-25</f>
        <v>141</v>
      </c>
      <c r="C23" s="155">
        <v>120</v>
      </c>
      <c r="D23" s="156">
        <v>1850</v>
      </c>
      <c r="E23" s="155">
        <v>6</v>
      </c>
      <c r="F23" s="156">
        <v>222000</v>
      </c>
      <c r="G23" s="157">
        <v>2464200000</v>
      </c>
    </row>
    <row r="24" spans="1:7" x14ac:dyDescent="0.3">
      <c r="A24" s="165" t="s">
        <v>237</v>
      </c>
      <c r="B24" s="147">
        <v>25</v>
      </c>
      <c r="C24" s="148">
        <v>20</v>
      </c>
      <c r="D24" s="149">
        <v>1750</v>
      </c>
      <c r="E24" s="148">
        <v>6</v>
      </c>
      <c r="F24" s="149">
        <v>35000</v>
      </c>
      <c r="G24" s="158">
        <v>367500000</v>
      </c>
    </row>
    <row r="25" spans="1:7" x14ac:dyDescent="0.3">
      <c r="A25" s="166" t="s">
        <v>238</v>
      </c>
      <c r="B25" s="150">
        <v>29</v>
      </c>
      <c r="C25" s="148">
        <v>20</v>
      </c>
      <c r="D25" s="149">
        <v>1650</v>
      </c>
      <c r="E25" s="148">
        <v>6</v>
      </c>
      <c r="F25" s="149">
        <v>33000</v>
      </c>
      <c r="G25" s="158">
        <v>326700000</v>
      </c>
    </row>
    <row r="26" spans="1:7" x14ac:dyDescent="0.3">
      <c r="A26" s="166" t="s">
        <v>239</v>
      </c>
      <c r="B26" s="150">
        <v>60</v>
      </c>
      <c r="C26" s="148">
        <v>25</v>
      </c>
      <c r="D26" s="149">
        <v>1250</v>
      </c>
      <c r="E26" s="148">
        <v>6</v>
      </c>
      <c r="F26" s="149">
        <v>31250</v>
      </c>
      <c r="G26" s="158">
        <v>234375000</v>
      </c>
    </row>
    <row r="27" spans="1:7" ht="15" thickBot="1" x14ac:dyDescent="0.35">
      <c r="A27" s="167" t="s">
        <v>36</v>
      </c>
      <c r="B27" s="168"/>
      <c r="C27" s="169">
        <v>100</v>
      </c>
      <c r="D27" s="170">
        <v>1000</v>
      </c>
      <c r="E27" s="169">
        <v>6</v>
      </c>
      <c r="F27" s="170">
        <v>100000</v>
      </c>
      <c r="G27" s="171">
        <v>600000000</v>
      </c>
    </row>
    <row r="28" spans="1:7" ht="15" thickBot="1" x14ac:dyDescent="0.35">
      <c r="A28" s="177" t="s">
        <v>240</v>
      </c>
      <c r="B28" s="172">
        <f>SUM(B23:B27)</f>
        <v>255</v>
      </c>
      <c r="C28" s="173">
        <f>SUM(C23:C27)</f>
        <v>285</v>
      </c>
      <c r="D28" s="174">
        <f>AVERAGE(D23:D27)</f>
        <v>1500</v>
      </c>
      <c r="E28" s="173">
        <f>AVERAGE(E23:E27)</f>
        <v>6</v>
      </c>
      <c r="F28" s="175">
        <f>F23+F24+F25+F26+F27</f>
        <v>421250</v>
      </c>
      <c r="G28" s="176">
        <f>G23+G24+G25+G26+G27</f>
        <v>3992775000</v>
      </c>
    </row>
    <row r="31" spans="1:7" x14ac:dyDescent="0.3">
      <c r="A31" s="114" t="s">
        <v>196</v>
      </c>
      <c r="B31" s="44"/>
      <c r="C31" s="44"/>
      <c r="D31" s="44"/>
      <c r="E31" s="44"/>
      <c r="F31" s="44"/>
      <c r="G31" s="44"/>
    </row>
    <row r="32" spans="1:7" x14ac:dyDescent="0.3">
      <c r="A32" s="7"/>
      <c r="B32" s="7"/>
      <c r="C32" s="7"/>
      <c r="D32" s="7"/>
      <c r="E32" s="7"/>
      <c r="F32" s="7"/>
      <c r="G32" s="7"/>
    </row>
    <row r="33" spans="1:7" x14ac:dyDescent="0.3">
      <c r="A33" s="186" t="s">
        <v>14</v>
      </c>
      <c r="B33" s="186" t="s">
        <v>197</v>
      </c>
      <c r="C33" s="186" t="s">
        <v>15</v>
      </c>
      <c r="D33" s="186" t="s">
        <v>194</v>
      </c>
      <c r="E33" s="186" t="s">
        <v>16</v>
      </c>
      <c r="F33" s="186" t="s">
        <v>17</v>
      </c>
      <c r="G33" s="186"/>
    </row>
    <row r="34" spans="1:7" x14ac:dyDescent="0.3">
      <c r="A34" s="178" t="s">
        <v>243</v>
      </c>
      <c r="B34" s="179">
        <v>15</v>
      </c>
      <c r="C34" s="179">
        <v>30</v>
      </c>
      <c r="D34" s="180">
        <v>60</v>
      </c>
      <c r="E34" s="179">
        <v>47</v>
      </c>
      <c r="F34" s="181">
        <v>0.3</v>
      </c>
      <c r="G34" s="86"/>
    </row>
    <row r="35" spans="1:7" x14ac:dyDescent="0.3">
      <c r="A35" s="178" t="s">
        <v>19</v>
      </c>
      <c r="B35" s="179">
        <v>15</v>
      </c>
      <c r="C35" s="179">
        <v>30</v>
      </c>
      <c r="D35" s="180">
        <v>60</v>
      </c>
      <c r="E35" s="179">
        <v>47</v>
      </c>
      <c r="F35" s="181">
        <v>0.3</v>
      </c>
      <c r="G35" s="86"/>
    </row>
    <row r="36" spans="1:7" x14ac:dyDescent="0.3">
      <c r="A36" s="178" t="s">
        <v>241</v>
      </c>
      <c r="B36" s="179">
        <v>15</v>
      </c>
      <c r="C36" s="179">
        <v>30</v>
      </c>
      <c r="D36" s="180">
        <v>60</v>
      </c>
      <c r="E36" s="179">
        <v>35</v>
      </c>
      <c r="F36" s="181">
        <v>0.3</v>
      </c>
      <c r="G36" s="86"/>
    </row>
    <row r="37" spans="1:7" x14ac:dyDescent="0.3">
      <c r="A37" s="178" t="s">
        <v>242</v>
      </c>
      <c r="B37" s="179">
        <v>5</v>
      </c>
      <c r="C37" s="179">
        <v>10</v>
      </c>
      <c r="D37" s="180">
        <v>15</v>
      </c>
      <c r="E37" s="179">
        <v>45</v>
      </c>
      <c r="F37" s="181">
        <v>0.1</v>
      </c>
      <c r="G37" s="86"/>
    </row>
    <row r="38" spans="1:7" x14ac:dyDescent="0.3">
      <c r="A38" s="182" t="s">
        <v>22</v>
      </c>
      <c r="B38" s="183">
        <v>45</v>
      </c>
      <c r="C38" s="183">
        <v>85</v>
      </c>
      <c r="D38" s="183">
        <f>SUM(D34:D37)</f>
        <v>195</v>
      </c>
      <c r="E38" s="183">
        <v>164</v>
      </c>
      <c r="F38" s="184">
        <v>1</v>
      </c>
      <c r="G38" s="185"/>
    </row>
    <row r="39" spans="1:7" x14ac:dyDescent="0.3">
      <c r="A39" s="7"/>
      <c r="B39" s="7"/>
      <c r="C39" s="7"/>
      <c r="D39" s="7"/>
      <c r="E39" s="7"/>
      <c r="F39" s="7"/>
      <c r="G39" s="7"/>
    </row>
    <row r="40" spans="1:7" ht="23.4" x14ac:dyDescent="0.3">
      <c r="A40" s="8" t="s">
        <v>202</v>
      </c>
      <c r="B40" s="7"/>
      <c r="C40" s="7"/>
      <c r="D40" s="7"/>
      <c r="E40" s="7"/>
      <c r="F40" s="7"/>
      <c r="G40" s="7"/>
    </row>
    <row r="41" spans="1:7" x14ac:dyDescent="0.3">
      <c r="A41" s="13" t="s">
        <v>23</v>
      </c>
      <c r="B41" s="13" t="s">
        <v>24</v>
      </c>
      <c r="C41" s="13" t="s">
        <v>25</v>
      </c>
      <c r="D41" s="13" t="s">
        <v>26</v>
      </c>
      <c r="E41" s="13" t="s">
        <v>27</v>
      </c>
      <c r="F41" s="13" t="s">
        <v>28</v>
      </c>
      <c r="G41" s="88"/>
    </row>
    <row r="42" spans="1:7" x14ac:dyDescent="0.3">
      <c r="A42" s="11" t="s">
        <v>29</v>
      </c>
      <c r="B42" s="5">
        <v>29</v>
      </c>
      <c r="C42" s="10">
        <v>0.86</v>
      </c>
      <c r="D42" s="5">
        <v>25</v>
      </c>
      <c r="E42" s="82">
        <v>2489</v>
      </c>
      <c r="F42" s="82">
        <v>62225</v>
      </c>
      <c r="G42" s="86"/>
    </row>
    <row r="43" spans="1:7" x14ac:dyDescent="0.3">
      <c r="A43" s="11" t="s">
        <v>30</v>
      </c>
      <c r="B43" s="5">
        <v>26</v>
      </c>
      <c r="C43" s="10">
        <v>0.77</v>
      </c>
      <c r="D43" s="5">
        <v>20</v>
      </c>
      <c r="E43" s="82">
        <v>1800</v>
      </c>
      <c r="F43" s="82">
        <v>36000</v>
      </c>
      <c r="G43" s="86"/>
    </row>
    <row r="44" spans="1:7" x14ac:dyDescent="0.3">
      <c r="A44" s="11" t="s">
        <v>31</v>
      </c>
      <c r="B44" s="5">
        <v>53</v>
      </c>
      <c r="C44" s="10">
        <v>0.28000000000000003</v>
      </c>
      <c r="D44" s="5">
        <v>15</v>
      </c>
      <c r="E44" s="82">
        <v>1200</v>
      </c>
      <c r="F44" s="82">
        <v>18000</v>
      </c>
      <c r="G44" s="86"/>
    </row>
    <row r="45" spans="1:7" x14ac:dyDescent="0.3">
      <c r="A45" s="4" t="s">
        <v>22</v>
      </c>
      <c r="B45" s="13">
        <v>108</v>
      </c>
      <c r="C45" s="14">
        <v>0.56000000000000005</v>
      </c>
      <c r="D45" s="13">
        <v>60</v>
      </c>
      <c r="E45" s="41">
        <v>1937</v>
      </c>
      <c r="F45" s="41">
        <v>116225</v>
      </c>
      <c r="G45" s="88"/>
    </row>
    <row r="46" spans="1:7" x14ac:dyDescent="0.3">
      <c r="A46" s="7"/>
      <c r="B46" s="9"/>
      <c r="C46" s="9"/>
      <c r="D46" s="9"/>
      <c r="E46" s="9"/>
      <c r="F46" s="7"/>
      <c r="G46" s="7"/>
    </row>
    <row r="47" spans="1:7" ht="23.4" x14ac:dyDescent="0.3">
      <c r="A47" s="8" t="s">
        <v>203</v>
      </c>
      <c r="B47" s="7"/>
      <c r="C47" s="7"/>
      <c r="D47" s="7"/>
      <c r="E47" s="7"/>
      <c r="F47" s="7"/>
      <c r="G47" s="7"/>
    </row>
    <row r="48" spans="1:7" x14ac:dyDescent="0.3">
      <c r="A48" s="13" t="s">
        <v>32</v>
      </c>
      <c r="B48" s="13" t="s">
        <v>127</v>
      </c>
      <c r="C48" s="13" t="s">
        <v>128</v>
      </c>
      <c r="D48" s="13" t="s">
        <v>129</v>
      </c>
      <c r="E48" s="13" t="s">
        <v>130</v>
      </c>
      <c r="F48" s="13" t="s">
        <v>131</v>
      </c>
      <c r="G48" s="89" t="s">
        <v>22</v>
      </c>
    </row>
    <row r="49" spans="1:7" x14ac:dyDescent="0.3">
      <c r="A49" s="11" t="s">
        <v>208</v>
      </c>
      <c r="B49" s="5">
        <v>110</v>
      </c>
      <c r="C49" s="5">
        <v>110</v>
      </c>
      <c r="D49" s="5">
        <v>110</v>
      </c>
      <c r="E49" s="5">
        <v>110</v>
      </c>
      <c r="F49" s="5">
        <v>110</v>
      </c>
      <c r="G49" s="90">
        <f>B49+C49+D49+E49+F49</f>
        <v>550</v>
      </c>
    </row>
    <row r="50" spans="1:7" x14ac:dyDescent="0.3">
      <c r="A50" s="11" t="s">
        <v>33</v>
      </c>
      <c r="B50" s="5">
        <v>25</v>
      </c>
      <c r="C50" s="5">
        <v>25</v>
      </c>
      <c r="D50" s="5">
        <v>25</v>
      </c>
      <c r="E50" s="5">
        <v>25</v>
      </c>
      <c r="F50" s="5">
        <v>25</v>
      </c>
      <c r="G50" s="90">
        <f t="shared" ref="G50:G53" si="3">B50+C50+D50+E50+F50</f>
        <v>125</v>
      </c>
    </row>
    <row r="51" spans="1:7" x14ac:dyDescent="0.3">
      <c r="A51" s="11" t="s">
        <v>34</v>
      </c>
      <c r="B51" s="5">
        <v>20</v>
      </c>
      <c r="C51" s="5">
        <v>20</v>
      </c>
      <c r="D51" s="5">
        <v>20</v>
      </c>
      <c r="E51" s="5">
        <v>15</v>
      </c>
      <c r="F51" s="5">
        <v>10</v>
      </c>
      <c r="G51" s="90">
        <f t="shared" si="3"/>
        <v>85</v>
      </c>
    </row>
    <row r="52" spans="1:7" x14ac:dyDescent="0.3">
      <c r="A52" s="11" t="s">
        <v>35</v>
      </c>
      <c r="B52" s="5">
        <v>25</v>
      </c>
      <c r="C52" s="5">
        <v>25</v>
      </c>
      <c r="D52" s="5">
        <v>25</v>
      </c>
      <c r="E52" s="5">
        <v>25</v>
      </c>
      <c r="F52" s="5">
        <v>8</v>
      </c>
      <c r="G52" s="90">
        <f t="shared" si="3"/>
        <v>108</v>
      </c>
    </row>
    <row r="53" spans="1:7" x14ac:dyDescent="0.3">
      <c r="A53" s="11" t="s">
        <v>36</v>
      </c>
      <c r="B53" s="5">
        <v>100</v>
      </c>
      <c r="C53" s="5">
        <v>100</v>
      </c>
      <c r="D53" s="5">
        <v>100</v>
      </c>
      <c r="E53" s="5">
        <v>100</v>
      </c>
      <c r="F53" s="5">
        <v>100</v>
      </c>
      <c r="G53" s="90">
        <f t="shared" si="3"/>
        <v>500</v>
      </c>
    </row>
    <row r="54" spans="1:7" x14ac:dyDescent="0.3">
      <c r="A54" s="4" t="s">
        <v>37</v>
      </c>
      <c r="B54" s="13">
        <f>SUM(B49:B53)</f>
        <v>280</v>
      </c>
      <c r="C54" s="13">
        <f t="shared" ref="C54:F54" si="4">SUM(C49:C53)</f>
        <v>280</v>
      </c>
      <c r="D54" s="13">
        <f t="shared" si="4"/>
        <v>280</v>
      </c>
      <c r="E54" s="13">
        <f t="shared" si="4"/>
        <v>275</v>
      </c>
      <c r="F54" s="13">
        <f t="shared" si="4"/>
        <v>253</v>
      </c>
      <c r="G54" s="89">
        <f>SUM(G49:G53)</f>
        <v>1368</v>
      </c>
    </row>
    <row r="55" spans="1:7" x14ac:dyDescent="0.3">
      <c r="A55" s="7"/>
      <c r="B55" s="7"/>
      <c r="C55" s="7"/>
      <c r="D55" s="7"/>
      <c r="E55" s="7"/>
      <c r="F55" s="7"/>
      <c r="G55" s="7"/>
    </row>
    <row r="56" spans="1:7" ht="23.4" x14ac:dyDescent="0.3">
      <c r="A56" s="8" t="s">
        <v>209</v>
      </c>
      <c r="B56" s="7"/>
      <c r="C56" s="7"/>
      <c r="D56" s="7"/>
      <c r="E56" s="7"/>
      <c r="F56" s="7"/>
      <c r="G56" s="7"/>
    </row>
    <row r="57" spans="1:7" x14ac:dyDescent="0.3">
      <c r="A57" s="13" t="s">
        <v>38</v>
      </c>
      <c r="B57" s="13" t="s">
        <v>39</v>
      </c>
      <c r="C57" s="13" t="s">
        <v>40</v>
      </c>
      <c r="D57" s="13" t="s">
        <v>199</v>
      </c>
      <c r="E57" s="13" t="s">
        <v>41</v>
      </c>
      <c r="F57" s="13" t="s">
        <v>42</v>
      </c>
      <c r="G57" s="88"/>
    </row>
    <row r="58" spans="1:7" x14ac:dyDescent="0.3">
      <c r="A58" s="11" t="s">
        <v>43</v>
      </c>
      <c r="B58" s="1">
        <v>164</v>
      </c>
      <c r="C58" s="1">
        <v>820</v>
      </c>
      <c r="D58" s="91">
        <f>C58*2</f>
        <v>1640</v>
      </c>
      <c r="E58" s="91">
        <v>3750</v>
      </c>
      <c r="F58" s="91">
        <v>3750</v>
      </c>
      <c r="G58" s="86"/>
    </row>
    <row r="59" spans="1:7" x14ac:dyDescent="0.3">
      <c r="A59" s="11" t="s">
        <v>126</v>
      </c>
      <c r="B59" s="1">
        <v>48</v>
      </c>
      <c r="C59" s="1">
        <v>240</v>
      </c>
      <c r="D59" s="91">
        <f t="shared" ref="D59:D60" si="5">C59*2</f>
        <v>480</v>
      </c>
      <c r="E59" s="91">
        <v>1000</v>
      </c>
      <c r="F59" s="91">
        <v>1000</v>
      </c>
      <c r="G59" s="86"/>
    </row>
    <row r="60" spans="1:7" x14ac:dyDescent="0.3">
      <c r="A60" s="11" t="s">
        <v>44</v>
      </c>
      <c r="B60" s="1">
        <v>16</v>
      </c>
      <c r="C60" s="1">
        <v>80</v>
      </c>
      <c r="D60" s="91">
        <f t="shared" si="5"/>
        <v>160</v>
      </c>
      <c r="E60" s="1">
        <v>375</v>
      </c>
      <c r="F60" s="1">
        <v>375</v>
      </c>
      <c r="G60" s="86"/>
    </row>
    <row r="61" spans="1:7" x14ac:dyDescent="0.3">
      <c r="A61" s="11" t="s">
        <v>45</v>
      </c>
      <c r="B61" s="92">
        <v>0.1</v>
      </c>
      <c r="C61" s="92">
        <v>0.1</v>
      </c>
      <c r="D61" s="91">
        <v>10</v>
      </c>
      <c r="E61" s="92">
        <v>0.1</v>
      </c>
      <c r="F61" s="92">
        <v>0.1</v>
      </c>
      <c r="G61" s="86"/>
    </row>
    <row r="62" spans="1:7" x14ac:dyDescent="0.3">
      <c r="A62" s="12" t="s">
        <v>46</v>
      </c>
      <c r="B62" s="40">
        <v>15000</v>
      </c>
      <c r="C62" s="40">
        <v>75000</v>
      </c>
      <c r="D62" s="40">
        <f>C62*2</f>
        <v>150000</v>
      </c>
      <c r="E62" s="40">
        <v>450000</v>
      </c>
      <c r="F62" s="40">
        <v>450000</v>
      </c>
      <c r="G62" s="88"/>
    </row>
    <row r="63" spans="1:7" x14ac:dyDescent="0.3">
      <c r="A63" s="7"/>
      <c r="B63" s="7"/>
      <c r="C63" s="7"/>
      <c r="D63" s="7"/>
      <c r="E63" s="7"/>
      <c r="F63" s="7"/>
      <c r="G63" s="7"/>
    </row>
    <row r="64" spans="1:7" ht="23.4" x14ac:dyDescent="0.3">
      <c r="A64" s="8" t="s">
        <v>205</v>
      </c>
      <c r="B64" s="7"/>
      <c r="C64" s="7"/>
      <c r="D64" s="7"/>
      <c r="E64" s="7"/>
      <c r="F64" s="7"/>
      <c r="G64" s="7"/>
    </row>
    <row r="65" spans="1:7" x14ac:dyDescent="0.3">
      <c r="A65" s="13" t="s">
        <v>14</v>
      </c>
      <c r="B65" s="13" t="s">
        <v>51</v>
      </c>
      <c r="C65" s="13" t="s">
        <v>52</v>
      </c>
      <c r="D65" s="13" t="s">
        <v>53</v>
      </c>
      <c r="E65" s="13" t="s">
        <v>54</v>
      </c>
      <c r="F65" s="13" t="s">
        <v>55</v>
      </c>
      <c r="G65" s="89" t="s">
        <v>200</v>
      </c>
    </row>
    <row r="66" spans="1:7" x14ac:dyDescent="0.3">
      <c r="A66" s="11" t="s">
        <v>56</v>
      </c>
      <c r="B66" s="5">
        <v>47</v>
      </c>
      <c r="C66" s="5">
        <v>47</v>
      </c>
      <c r="D66" s="5">
        <v>47</v>
      </c>
      <c r="E66" s="5">
        <v>47</v>
      </c>
      <c r="F66" s="5">
        <v>47</v>
      </c>
      <c r="G66" s="94"/>
    </row>
    <row r="67" spans="1:7" x14ac:dyDescent="0.3">
      <c r="A67" s="68" t="s">
        <v>57</v>
      </c>
      <c r="B67" s="93">
        <v>5</v>
      </c>
      <c r="C67" s="93">
        <v>5</v>
      </c>
      <c r="D67" s="93">
        <v>4</v>
      </c>
      <c r="E67" s="93">
        <v>4</v>
      </c>
      <c r="F67" s="93">
        <v>4</v>
      </c>
      <c r="G67" s="98">
        <v>22</v>
      </c>
    </row>
    <row r="68" spans="1:7" x14ac:dyDescent="0.3">
      <c r="A68" s="11" t="s">
        <v>58</v>
      </c>
      <c r="B68" s="5">
        <v>47</v>
      </c>
      <c r="C68" s="5">
        <v>47</v>
      </c>
      <c r="D68" s="5">
        <v>47</v>
      </c>
      <c r="E68" s="5">
        <v>47</v>
      </c>
      <c r="F68" s="5">
        <v>47</v>
      </c>
      <c r="G68" s="99"/>
    </row>
    <row r="69" spans="1:7" x14ac:dyDescent="0.3">
      <c r="A69" s="68" t="s">
        <v>59</v>
      </c>
      <c r="B69" s="93">
        <v>5</v>
      </c>
      <c r="C69" s="93">
        <v>5</v>
      </c>
      <c r="D69" s="93">
        <v>4</v>
      </c>
      <c r="E69" s="93">
        <v>4</v>
      </c>
      <c r="F69" s="93">
        <v>4</v>
      </c>
      <c r="G69" s="98">
        <v>22</v>
      </c>
    </row>
    <row r="70" spans="1:7" x14ac:dyDescent="0.3">
      <c r="A70" s="11" t="s">
        <v>60</v>
      </c>
      <c r="B70" s="5">
        <v>47</v>
      </c>
      <c r="C70" s="5">
        <v>47</v>
      </c>
      <c r="D70" s="5">
        <v>47</v>
      </c>
      <c r="E70" s="5">
        <v>47</v>
      </c>
      <c r="F70" s="5">
        <v>47</v>
      </c>
      <c r="G70" s="99"/>
    </row>
    <row r="71" spans="1:7" x14ac:dyDescent="0.3">
      <c r="A71" s="68" t="s">
        <v>61</v>
      </c>
      <c r="B71" s="93">
        <v>5</v>
      </c>
      <c r="C71" s="93">
        <v>5</v>
      </c>
      <c r="D71" s="93">
        <v>5</v>
      </c>
      <c r="E71" s="93">
        <v>5</v>
      </c>
      <c r="F71" s="93">
        <v>5</v>
      </c>
      <c r="G71" s="98">
        <v>25</v>
      </c>
    </row>
    <row r="72" spans="1:7" x14ac:dyDescent="0.3">
      <c r="A72" s="11" t="s">
        <v>62</v>
      </c>
      <c r="B72" s="16">
        <v>15</v>
      </c>
      <c r="C72" s="16">
        <v>35</v>
      </c>
      <c r="D72" s="16">
        <v>35</v>
      </c>
      <c r="E72" s="16">
        <v>35</v>
      </c>
      <c r="F72" s="16">
        <v>35</v>
      </c>
      <c r="G72" s="100">
        <v>175</v>
      </c>
    </row>
    <row r="73" spans="1:7" x14ac:dyDescent="0.3">
      <c r="A73" s="68" t="s">
        <v>63</v>
      </c>
      <c r="B73" s="69">
        <v>4</v>
      </c>
      <c r="C73" s="69">
        <v>4</v>
      </c>
      <c r="D73" s="69">
        <v>3</v>
      </c>
      <c r="E73" s="69">
        <v>3</v>
      </c>
      <c r="F73" s="69">
        <v>3</v>
      </c>
      <c r="G73" s="101">
        <v>17</v>
      </c>
    </row>
    <row r="74" spans="1:7" x14ac:dyDescent="0.3">
      <c r="A74" s="3"/>
      <c r="B74" s="26"/>
      <c r="C74" s="26"/>
      <c r="D74" s="26"/>
      <c r="E74" s="26"/>
      <c r="F74" s="26"/>
      <c r="G74" s="102">
        <f>SUM(G66:G73)</f>
        <v>261</v>
      </c>
    </row>
  </sheetData>
  <mergeCells count="1">
    <mergeCell ref="A18:A1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2AAB-5906-4790-9F20-0FFF8AD8DDDB}">
  <dimension ref="A1:P75"/>
  <sheetViews>
    <sheetView topLeftCell="B1" zoomScale="115" zoomScaleNormal="115" workbookViewId="0">
      <selection activeCell="B6" sqref="B6"/>
    </sheetView>
  </sheetViews>
  <sheetFormatPr defaultColWidth="8.88671875" defaultRowHeight="14.4" x14ac:dyDescent="0.3"/>
  <cols>
    <col min="1" max="1" width="8.88671875" style="7"/>
    <col min="2" max="2" width="70.44140625" style="7" customWidth="1"/>
    <col min="3" max="3" width="15.44140625" style="7" customWidth="1"/>
    <col min="4" max="6" width="17.44140625" style="7" customWidth="1"/>
    <col min="7" max="7" width="20.33203125" style="7" customWidth="1"/>
    <col min="8" max="8" width="13.6640625" style="7" customWidth="1"/>
    <col min="9" max="9" width="10.6640625" style="7" customWidth="1"/>
    <col min="10" max="10" width="1.109375" style="7" customWidth="1"/>
    <col min="11" max="12" width="8.88671875" style="7" hidden="1" customWidth="1"/>
    <col min="13" max="13" width="19" style="7" customWidth="1"/>
    <col min="14" max="14" width="14.6640625" style="7" customWidth="1"/>
    <col min="15" max="15" width="8.88671875" style="7"/>
    <col min="16" max="16" width="13.33203125" style="7" customWidth="1"/>
    <col min="17" max="16384" width="8.88671875" style="7"/>
  </cols>
  <sheetData>
    <row r="1" spans="1:16" ht="37.950000000000003" customHeight="1" x14ac:dyDescent="0.3">
      <c r="B1" s="8" t="s">
        <v>5</v>
      </c>
    </row>
    <row r="2" spans="1:16" s="72" customFormat="1" x14ac:dyDescent="0.3">
      <c r="A2" s="7"/>
      <c r="B2" s="13" t="s">
        <v>65</v>
      </c>
      <c r="C2" s="24" t="s">
        <v>198</v>
      </c>
      <c r="D2" s="24" t="s">
        <v>42</v>
      </c>
      <c r="E2" s="24" t="s">
        <v>8</v>
      </c>
      <c r="F2" s="24" t="s">
        <v>9</v>
      </c>
      <c r="G2" s="196" t="s">
        <v>87</v>
      </c>
      <c r="H2" s="196"/>
      <c r="I2" s="196"/>
      <c r="J2" s="7"/>
      <c r="K2" s="7"/>
      <c r="L2" s="7"/>
      <c r="M2" s="7"/>
      <c r="N2" s="7"/>
      <c r="O2" s="7"/>
      <c r="P2" s="7"/>
    </row>
    <row r="3" spans="1:16" x14ac:dyDescent="0.3">
      <c r="B3" t="s">
        <v>169</v>
      </c>
      <c r="C3" s="35">
        <v>267400</v>
      </c>
      <c r="D3" s="36">
        <v>369000</v>
      </c>
      <c r="E3" s="36">
        <v>400000</v>
      </c>
      <c r="F3" s="36">
        <f>E3-D3</f>
        <v>31000</v>
      </c>
      <c r="G3" s="199"/>
      <c r="H3" s="199"/>
      <c r="I3" s="199"/>
    </row>
    <row r="4" spans="1:16" x14ac:dyDescent="0.3">
      <c r="B4" t="s">
        <v>170</v>
      </c>
      <c r="C4" s="36">
        <f>C3/3</f>
        <v>89133.333333333328</v>
      </c>
      <c r="D4" s="36">
        <f>D3/3</f>
        <v>123000</v>
      </c>
      <c r="E4" s="36">
        <f>E3/3</f>
        <v>133333.33333333334</v>
      </c>
      <c r="F4" s="36">
        <f t="shared" ref="F4:F9" si="0">E4-D4</f>
        <v>10333.333333333343</v>
      </c>
      <c r="G4" s="199"/>
      <c r="H4" s="199"/>
      <c r="I4" s="199"/>
    </row>
    <row r="5" spans="1:16" x14ac:dyDescent="0.3">
      <c r="B5" t="s">
        <v>171</v>
      </c>
      <c r="C5" s="36"/>
      <c r="D5" s="35"/>
      <c r="E5" s="35"/>
      <c r="F5" s="35"/>
      <c r="G5" s="200"/>
      <c r="H5" s="200"/>
      <c r="I5" s="200"/>
      <c r="J5" s="200"/>
      <c r="K5" s="200"/>
    </row>
    <row r="6" spans="1:16" x14ac:dyDescent="0.3">
      <c r="B6" t="s">
        <v>0</v>
      </c>
      <c r="C6" s="36">
        <v>1500</v>
      </c>
      <c r="D6" s="36">
        <v>1500</v>
      </c>
      <c r="E6" s="36">
        <v>1500</v>
      </c>
      <c r="F6" s="36">
        <v>1500</v>
      </c>
      <c r="G6" s="199"/>
      <c r="H6" s="199"/>
      <c r="I6" s="199"/>
    </row>
    <row r="7" spans="1:16" x14ac:dyDescent="0.3">
      <c r="B7" t="s">
        <v>1</v>
      </c>
      <c r="C7" s="37">
        <f>C4/C6</f>
        <v>59.422222222222217</v>
      </c>
      <c r="D7" s="37">
        <f>D4/D6</f>
        <v>82</v>
      </c>
      <c r="E7" s="37">
        <f>E4/E6</f>
        <v>88.8888888888889</v>
      </c>
      <c r="F7" s="37">
        <f>E7-D7</f>
        <v>6.8888888888888999</v>
      </c>
      <c r="G7" s="199"/>
      <c r="H7" s="199"/>
      <c r="I7" s="199"/>
    </row>
    <row r="8" spans="1:16" x14ac:dyDescent="0.3">
      <c r="B8" t="s">
        <v>2</v>
      </c>
      <c r="C8" s="37">
        <f>C7/21</f>
        <v>2.8296296296296295</v>
      </c>
      <c r="D8" s="37">
        <f>D7/21</f>
        <v>3.9047619047619047</v>
      </c>
      <c r="E8" s="37">
        <f>E7/21</f>
        <v>4.2328042328042335</v>
      </c>
      <c r="F8" s="83">
        <f t="shared" si="0"/>
        <v>0.3280423280423288</v>
      </c>
      <c r="G8" s="200"/>
      <c r="H8" s="200"/>
      <c r="I8" s="200"/>
      <c r="J8" s="200"/>
      <c r="K8" s="200"/>
    </row>
    <row r="9" spans="1:16" x14ac:dyDescent="0.3">
      <c r="B9" t="s">
        <v>3</v>
      </c>
      <c r="C9" s="38">
        <v>0.1</v>
      </c>
      <c r="D9" s="38">
        <v>0.1</v>
      </c>
      <c r="E9" s="38">
        <v>0.1</v>
      </c>
      <c r="F9" s="38">
        <f t="shared" si="0"/>
        <v>0</v>
      </c>
      <c r="G9" s="199"/>
      <c r="H9" s="199"/>
      <c r="I9" s="199"/>
    </row>
    <row r="10" spans="1:16" x14ac:dyDescent="0.3">
      <c r="B10" t="s">
        <v>4</v>
      </c>
      <c r="C10" s="39">
        <f>C8/C9</f>
        <v>28.296296296296294</v>
      </c>
      <c r="D10" s="39">
        <f>D8/D9</f>
        <v>39.047619047619044</v>
      </c>
      <c r="E10" s="39">
        <f>E8/E9</f>
        <v>42.328042328042329</v>
      </c>
      <c r="F10" s="83">
        <f>E10-D10</f>
        <v>3.2804232804232853</v>
      </c>
      <c r="G10" s="199"/>
      <c r="H10" s="199"/>
      <c r="I10" s="199"/>
    </row>
    <row r="11" spans="1:16" x14ac:dyDescent="0.3">
      <c r="B11" s="3"/>
      <c r="C11" s="55"/>
      <c r="D11" s="55"/>
      <c r="E11" s="55"/>
      <c r="F11" s="56"/>
      <c r="G11" s="57"/>
      <c r="H11" s="57"/>
      <c r="I11" s="57"/>
    </row>
    <row r="12" spans="1:16" ht="12.6" customHeight="1" x14ac:dyDescent="0.3"/>
    <row r="13" spans="1:16" ht="23.4" x14ac:dyDescent="0.3">
      <c r="B13" s="8" t="s">
        <v>202</v>
      </c>
      <c r="C13" s="198" t="s">
        <v>185</v>
      </c>
      <c r="D13" s="198"/>
      <c r="E13" s="198"/>
      <c r="F13" s="198"/>
      <c r="G13" s="198"/>
      <c r="H13" s="198"/>
      <c r="I13" s="198"/>
    </row>
    <row r="14" spans="1:16" ht="9.6" hidden="1" customHeight="1" x14ac:dyDescent="0.3"/>
    <row r="15" spans="1:16" s="78" customFormat="1" ht="28.8" x14ac:dyDescent="0.3">
      <c r="B15" s="20" t="s">
        <v>47</v>
      </c>
      <c r="C15" s="20" t="s">
        <v>24</v>
      </c>
      <c r="D15" s="20" t="s">
        <v>192</v>
      </c>
      <c r="E15" s="20" t="s">
        <v>27</v>
      </c>
      <c r="F15" s="20" t="s">
        <v>48</v>
      </c>
      <c r="G15" s="79" t="s">
        <v>191</v>
      </c>
      <c r="H15" s="197" t="s">
        <v>49</v>
      </c>
      <c r="I15" s="197"/>
    </row>
    <row r="16" spans="1:16" x14ac:dyDescent="0.3">
      <c r="B16" s="62" t="s">
        <v>193</v>
      </c>
      <c r="C16" s="63">
        <v>500</v>
      </c>
      <c r="D16" s="63">
        <v>400</v>
      </c>
      <c r="E16" s="64">
        <v>1850</v>
      </c>
      <c r="F16" s="63">
        <v>6</v>
      </c>
      <c r="G16" s="64">
        <f t="shared" ref="G16:G22" si="1">E16*D16</f>
        <v>740000</v>
      </c>
      <c r="H16" s="190">
        <f t="shared" ref="H16:H22" si="2">F16*E16*G16</f>
        <v>8214000000</v>
      </c>
      <c r="I16" s="190"/>
    </row>
    <row r="17" spans="1:13" x14ac:dyDescent="0.3">
      <c r="B17" s="62" t="s">
        <v>195</v>
      </c>
      <c r="C17" s="63">
        <v>255</v>
      </c>
      <c r="D17" s="63">
        <v>355</v>
      </c>
      <c r="E17" s="64">
        <v>1850</v>
      </c>
      <c r="F17" s="63">
        <v>6</v>
      </c>
      <c r="G17" s="64">
        <f t="shared" si="1"/>
        <v>656750</v>
      </c>
      <c r="H17" s="190">
        <f t="shared" si="2"/>
        <v>7289925000</v>
      </c>
      <c r="I17" s="190"/>
    </row>
    <row r="18" spans="1:13" x14ac:dyDescent="0.3">
      <c r="B18" s="58" t="s">
        <v>187</v>
      </c>
      <c r="C18" s="73">
        <f>166-25</f>
        <v>141</v>
      </c>
      <c r="D18" s="73">
        <v>120</v>
      </c>
      <c r="E18" s="60">
        <v>1850</v>
      </c>
      <c r="F18" s="59">
        <v>6</v>
      </c>
      <c r="G18" s="60">
        <f t="shared" si="1"/>
        <v>222000</v>
      </c>
      <c r="H18" s="191">
        <f t="shared" si="2"/>
        <v>2464200000</v>
      </c>
      <c r="I18" s="191"/>
    </row>
    <row r="19" spans="1:13" x14ac:dyDescent="0.3">
      <c r="B19" s="11" t="s">
        <v>186</v>
      </c>
      <c r="C19" s="74">
        <v>25</v>
      </c>
      <c r="D19" s="74">
        <v>20</v>
      </c>
      <c r="E19" s="61">
        <v>1750</v>
      </c>
      <c r="F19" s="16">
        <v>6</v>
      </c>
      <c r="G19" s="61">
        <f t="shared" si="1"/>
        <v>35000</v>
      </c>
      <c r="H19" s="192">
        <f t="shared" si="2"/>
        <v>367500000</v>
      </c>
      <c r="I19" s="192"/>
    </row>
    <row r="20" spans="1:13" x14ac:dyDescent="0.3">
      <c r="B20" s="65" t="s">
        <v>188</v>
      </c>
      <c r="C20" s="75">
        <v>29</v>
      </c>
      <c r="D20" s="75">
        <v>20</v>
      </c>
      <c r="E20" s="67">
        <v>1650</v>
      </c>
      <c r="F20" s="66">
        <v>6</v>
      </c>
      <c r="G20" s="67">
        <f t="shared" si="1"/>
        <v>33000</v>
      </c>
      <c r="H20" s="187">
        <f t="shared" si="2"/>
        <v>326700000</v>
      </c>
      <c r="I20" s="187"/>
    </row>
    <row r="21" spans="1:13" x14ac:dyDescent="0.3">
      <c r="B21" s="65" t="s">
        <v>189</v>
      </c>
      <c r="C21" s="75">
        <v>60</v>
      </c>
      <c r="D21" s="75">
        <v>25</v>
      </c>
      <c r="E21" s="67">
        <v>1250</v>
      </c>
      <c r="F21" s="66">
        <v>6</v>
      </c>
      <c r="G21" s="67">
        <f t="shared" si="1"/>
        <v>31250</v>
      </c>
      <c r="H21" s="187">
        <f t="shared" si="2"/>
        <v>234375000</v>
      </c>
      <c r="I21" s="187"/>
    </row>
    <row r="22" spans="1:13" x14ac:dyDescent="0.3">
      <c r="B22" s="68" t="s">
        <v>190</v>
      </c>
      <c r="C22" s="76"/>
      <c r="D22" s="76">
        <v>100</v>
      </c>
      <c r="E22" s="70">
        <v>1000</v>
      </c>
      <c r="F22" s="69">
        <v>6</v>
      </c>
      <c r="G22" s="70">
        <f t="shared" si="1"/>
        <v>100000</v>
      </c>
      <c r="H22" s="188">
        <f t="shared" si="2"/>
        <v>600000000</v>
      </c>
      <c r="I22" s="188"/>
    </row>
    <row r="23" spans="1:13" x14ac:dyDescent="0.3">
      <c r="B23" s="4" t="s">
        <v>50</v>
      </c>
      <c r="C23" s="77">
        <f>SUM(C18:C22)</f>
        <v>255</v>
      </c>
      <c r="D23" s="77">
        <f>SUM(D18:D22)</f>
        <v>285</v>
      </c>
      <c r="E23" s="17">
        <f>AVERAGE(E18:E22)</f>
        <v>1500</v>
      </c>
      <c r="F23" s="13">
        <f>AVERAGE(F18:F22)</f>
        <v>6</v>
      </c>
      <c r="G23" s="18">
        <f>G18+G19+G20+G21+G22</f>
        <v>421250</v>
      </c>
      <c r="H23" s="189">
        <f>H18+H19+H20+H21+H22</f>
        <v>3992775000</v>
      </c>
      <c r="I23" s="189"/>
    </row>
    <row r="24" spans="1:13" ht="23.4" hidden="1" x14ac:dyDescent="0.3">
      <c r="B24" s="42" t="s">
        <v>172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 spans="1:13" hidden="1" x14ac:dyDescent="0.3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hidden="1" x14ac:dyDescent="0.3">
      <c r="A26" s="44"/>
      <c r="B26" s="45" t="s">
        <v>6</v>
      </c>
      <c r="C26" s="46"/>
      <c r="D26" s="45" t="s">
        <v>7</v>
      </c>
      <c r="E26" s="45" t="s">
        <v>8</v>
      </c>
      <c r="F26" s="45" t="s">
        <v>9</v>
      </c>
      <c r="G26" s="45" t="s">
        <v>10</v>
      </c>
      <c r="H26" s="46"/>
      <c r="I26" s="46"/>
      <c r="J26" s="44"/>
      <c r="K26" s="44"/>
      <c r="L26" s="44"/>
      <c r="M26" s="44"/>
    </row>
    <row r="27" spans="1:13" hidden="1" x14ac:dyDescent="0.3">
      <c r="A27" s="44"/>
      <c r="B27" s="47" t="s">
        <v>11</v>
      </c>
      <c r="C27" s="48"/>
      <c r="D27" s="51">
        <v>0.34100000000000003</v>
      </c>
      <c r="E27" s="51">
        <v>0.3</v>
      </c>
      <c r="F27" s="51">
        <v>-9.0999999999999998E-2</v>
      </c>
      <c r="G27" s="49">
        <v>-0.27</v>
      </c>
      <c r="H27" s="48"/>
      <c r="I27" s="48"/>
      <c r="J27" s="44"/>
      <c r="K27" s="44"/>
      <c r="L27" s="44"/>
      <c r="M27" s="44"/>
    </row>
    <row r="28" spans="1:13" hidden="1" x14ac:dyDescent="0.3">
      <c r="A28" s="44"/>
      <c r="B28" s="47" t="s">
        <v>12</v>
      </c>
      <c r="C28" s="48"/>
      <c r="D28" s="52">
        <v>100</v>
      </c>
      <c r="E28" s="53">
        <v>375</v>
      </c>
      <c r="F28" s="53">
        <v>179</v>
      </c>
      <c r="G28" s="49">
        <v>0.91</v>
      </c>
      <c r="H28" s="48"/>
      <c r="I28" s="48"/>
      <c r="J28" s="44"/>
      <c r="K28" s="44"/>
      <c r="L28" s="44"/>
      <c r="M28" s="44"/>
    </row>
    <row r="29" spans="1:13" hidden="1" x14ac:dyDescent="0.3">
      <c r="A29" s="44"/>
      <c r="B29" s="47" t="s">
        <v>13</v>
      </c>
      <c r="C29" s="48"/>
      <c r="D29" s="50">
        <v>60</v>
      </c>
      <c r="E29" s="50">
        <v>45</v>
      </c>
      <c r="F29" s="50">
        <f>D29-E29</f>
        <v>15</v>
      </c>
      <c r="G29" s="49">
        <v>-0.17</v>
      </c>
      <c r="H29" s="48"/>
      <c r="I29" s="48"/>
      <c r="J29" s="44"/>
      <c r="K29" s="44"/>
      <c r="L29" s="44"/>
      <c r="M29" s="44"/>
    </row>
    <row r="30" spans="1:13" ht="9" customHeight="1" x14ac:dyDescent="0.3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23.4" x14ac:dyDescent="0.3">
      <c r="A31" s="44"/>
      <c r="B31" s="54" t="s">
        <v>196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idden="1" x14ac:dyDescent="0.3"/>
    <row r="33" spans="2:10" s="78" customFormat="1" ht="28.8" x14ac:dyDescent="0.3">
      <c r="B33" s="20" t="s">
        <v>14</v>
      </c>
      <c r="C33" s="20" t="s">
        <v>197</v>
      </c>
      <c r="D33" s="20" t="s">
        <v>15</v>
      </c>
      <c r="E33" s="20" t="s">
        <v>194</v>
      </c>
      <c r="F33" s="20" t="s">
        <v>16</v>
      </c>
      <c r="G33" s="20" t="s">
        <v>17</v>
      </c>
      <c r="H33" s="84"/>
      <c r="I33" s="85"/>
    </row>
    <row r="34" spans="2:10" x14ac:dyDescent="0.3">
      <c r="B34" s="11" t="s">
        <v>18</v>
      </c>
      <c r="C34" s="80">
        <v>15</v>
      </c>
      <c r="D34" s="80">
        <v>30</v>
      </c>
      <c r="E34" s="81">
        <v>60</v>
      </c>
      <c r="F34" s="5">
        <v>47</v>
      </c>
      <c r="G34" s="10">
        <v>0.3</v>
      </c>
      <c r="H34" s="86"/>
      <c r="I34" s="9"/>
      <c r="J34" s="9"/>
    </row>
    <row r="35" spans="2:10" x14ac:dyDescent="0.3">
      <c r="B35" s="11" t="s">
        <v>19</v>
      </c>
      <c r="C35" s="80">
        <v>15</v>
      </c>
      <c r="D35" s="80">
        <v>30</v>
      </c>
      <c r="E35" s="81">
        <v>60</v>
      </c>
      <c r="F35" s="5">
        <v>47</v>
      </c>
      <c r="G35" s="10">
        <v>0.3</v>
      </c>
      <c r="H35" s="86"/>
      <c r="I35" s="9"/>
      <c r="J35" s="9"/>
    </row>
    <row r="36" spans="2:10" x14ac:dyDescent="0.3">
      <c r="B36" s="11" t="s">
        <v>20</v>
      </c>
      <c r="C36" s="80">
        <v>15</v>
      </c>
      <c r="D36" s="80">
        <v>30</v>
      </c>
      <c r="E36" s="81">
        <v>60</v>
      </c>
      <c r="F36" s="5">
        <v>35</v>
      </c>
      <c r="G36" s="10">
        <v>0.3</v>
      </c>
      <c r="H36" s="86"/>
      <c r="I36" s="9"/>
      <c r="J36" s="9"/>
    </row>
    <row r="37" spans="2:10" x14ac:dyDescent="0.3">
      <c r="B37" s="11" t="s">
        <v>21</v>
      </c>
      <c r="C37" s="80">
        <v>5</v>
      </c>
      <c r="D37" s="80">
        <v>10</v>
      </c>
      <c r="E37" s="81">
        <v>15</v>
      </c>
      <c r="F37" s="5">
        <v>45</v>
      </c>
      <c r="G37" s="10">
        <v>0.1</v>
      </c>
      <c r="H37" s="86"/>
      <c r="I37" s="9"/>
      <c r="J37" s="9"/>
    </row>
    <row r="38" spans="2:10" x14ac:dyDescent="0.3">
      <c r="B38" s="4" t="s">
        <v>22</v>
      </c>
      <c r="C38" s="77">
        <v>45</v>
      </c>
      <c r="D38" s="77">
        <v>85</v>
      </c>
      <c r="E38" s="77">
        <f>SUM(E34:E37)</f>
        <v>195</v>
      </c>
      <c r="F38" s="13">
        <v>164</v>
      </c>
      <c r="G38" s="14">
        <v>1</v>
      </c>
      <c r="H38" s="87"/>
      <c r="I38" s="26"/>
      <c r="J38" s="9"/>
    </row>
    <row r="39" spans="2:10" hidden="1" x14ac:dyDescent="0.3"/>
    <row r="40" spans="2:10" ht="23.4" hidden="1" x14ac:dyDescent="0.3">
      <c r="B40" s="8" t="s">
        <v>202</v>
      </c>
    </row>
    <row r="41" spans="2:10" hidden="1" x14ac:dyDescent="0.3">
      <c r="B41" s="13" t="s">
        <v>23</v>
      </c>
      <c r="C41" s="13" t="s">
        <v>24</v>
      </c>
      <c r="D41" s="13" t="s">
        <v>25</v>
      </c>
      <c r="E41" s="13" t="s">
        <v>26</v>
      </c>
      <c r="F41" s="13" t="s">
        <v>27</v>
      </c>
      <c r="G41" s="13" t="s">
        <v>28</v>
      </c>
      <c r="H41" s="88"/>
      <c r="I41" s="3"/>
    </row>
    <row r="42" spans="2:10" hidden="1" x14ac:dyDescent="0.3">
      <c r="B42" s="11" t="s">
        <v>29</v>
      </c>
      <c r="C42" s="5">
        <v>29</v>
      </c>
      <c r="D42" s="10">
        <v>0.86</v>
      </c>
      <c r="E42" s="5">
        <v>25</v>
      </c>
      <c r="F42" s="82">
        <v>2489</v>
      </c>
      <c r="G42" s="82">
        <v>62225</v>
      </c>
      <c r="H42" s="86"/>
    </row>
    <row r="43" spans="2:10" hidden="1" x14ac:dyDescent="0.3">
      <c r="B43" s="11" t="s">
        <v>30</v>
      </c>
      <c r="C43" s="5">
        <v>26</v>
      </c>
      <c r="D43" s="10">
        <v>0.77</v>
      </c>
      <c r="E43" s="5">
        <v>20</v>
      </c>
      <c r="F43" s="82">
        <v>1800</v>
      </c>
      <c r="G43" s="82">
        <v>36000</v>
      </c>
      <c r="H43" s="86"/>
    </row>
    <row r="44" spans="2:10" hidden="1" x14ac:dyDescent="0.3">
      <c r="B44" s="11" t="s">
        <v>31</v>
      </c>
      <c r="C44" s="5">
        <v>53</v>
      </c>
      <c r="D44" s="10">
        <v>0.28000000000000003</v>
      </c>
      <c r="E44" s="5">
        <v>15</v>
      </c>
      <c r="F44" s="82">
        <v>1200</v>
      </c>
      <c r="G44" s="82">
        <v>18000</v>
      </c>
      <c r="H44" s="86"/>
    </row>
    <row r="45" spans="2:10" hidden="1" x14ac:dyDescent="0.3">
      <c r="B45" s="4" t="s">
        <v>22</v>
      </c>
      <c r="C45" s="13">
        <v>108</v>
      </c>
      <c r="D45" s="14">
        <v>0.56000000000000005</v>
      </c>
      <c r="E45" s="13">
        <v>60</v>
      </c>
      <c r="F45" s="41">
        <v>1937</v>
      </c>
      <c r="G45" s="41">
        <v>116225</v>
      </c>
      <c r="H45" s="88"/>
      <c r="I45" s="3"/>
    </row>
    <row r="46" spans="2:10" x14ac:dyDescent="0.3">
      <c r="C46" s="9"/>
      <c r="D46" s="9"/>
      <c r="E46" s="9"/>
      <c r="F46" s="9"/>
    </row>
    <row r="47" spans="2:10" ht="23.4" x14ac:dyDescent="0.3">
      <c r="B47" s="8" t="s">
        <v>203</v>
      </c>
    </row>
    <row r="48" spans="2:10" x14ac:dyDescent="0.3">
      <c r="B48" s="13" t="s">
        <v>32</v>
      </c>
      <c r="C48" s="13" t="s">
        <v>127</v>
      </c>
      <c r="D48" s="13" t="s">
        <v>128</v>
      </c>
      <c r="E48" s="13" t="s">
        <v>129</v>
      </c>
      <c r="F48" s="13" t="s">
        <v>130</v>
      </c>
      <c r="G48" s="13" t="s">
        <v>131</v>
      </c>
      <c r="H48" s="195" t="s">
        <v>22</v>
      </c>
      <c r="I48" s="196"/>
    </row>
    <row r="49" spans="2:9" x14ac:dyDescent="0.3">
      <c r="B49" s="11" t="s">
        <v>208</v>
      </c>
      <c r="C49" s="5">
        <v>110</v>
      </c>
      <c r="D49" s="5">
        <v>110</v>
      </c>
      <c r="E49" s="5">
        <v>110</v>
      </c>
      <c r="F49" s="5">
        <v>110</v>
      </c>
      <c r="G49" s="5">
        <v>110</v>
      </c>
      <c r="H49" s="193">
        <f>C49+D49+E49+F49+G49</f>
        <v>550</v>
      </c>
      <c r="I49" s="194"/>
    </row>
    <row r="50" spans="2:9" x14ac:dyDescent="0.3">
      <c r="B50" s="11" t="s">
        <v>33</v>
      </c>
      <c r="C50" s="5">
        <v>25</v>
      </c>
      <c r="D50" s="5">
        <v>25</v>
      </c>
      <c r="E50" s="5">
        <v>25</v>
      </c>
      <c r="F50" s="5">
        <v>25</v>
      </c>
      <c r="G50" s="5">
        <v>25</v>
      </c>
      <c r="H50" s="193">
        <f t="shared" ref="H50:H53" si="3">C50+D50+E50+F50+G50</f>
        <v>125</v>
      </c>
      <c r="I50" s="194"/>
    </row>
    <row r="51" spans="2:9" x14ac:dyDescent="0.3">
      <c r="B51" s="11" t="s">
        <v>34</v>
      </c>
      <c r="C51" s="5">
        <v>20</v>
      </c>
      <c r="D51" s="5">
        <v>20</v>
      </c>
      <c r="E51" s="5">
        <v>20</v>
      </c>
      <c r="F51" s="5">
        <v>15</v>
      </c>
      <c r="G51" s="5">
        <v>10</v>
      </c>
      <c r="H51" s="193">
        <f t="shared" si="3"/>
        <v>85</v>
      </c>
      <c r="I51" s="194"/>
    </row>
    <row r="52" spans="2:9" x14ac:dyDescent="0.3">
      <c r="B52" s="11" t="s">
        <v>35</v>
      </c>
      <c r="C52" s="5">
        <v>25</v>
      </c>
      <c r="D52" s="5">
        <v>25</v>
      </c>
      <c r="E52" s="5">
        <v>25</v>
      </c>
      <c r="F52" s="5">
        <v>25</v>
      </c>
      <c r="G52" s="5">
        <v>8</v>
      </c>
      <c r="H52" s="193">
        <f t="shared" si="3"/>
        <v>108</v>
      </c>
      <c r="I52" s="194"/>
    </row>
    <row r="53" spans="2:9" x14ac:dyDescent="0.3">
      <c r="B53" s="11" t="s">
        <v>36</v>
      </c>
      <c r="C53" s="5">
        <v>100</v>
      </c>
      <c r="D53" s="5">
        <v>100</v>
      </c>
      <c r="E53" s="5">
        <v>100</v>
      </c>
      <c r="F53" s="5">
        <v>100</v>
      </c>
      <c r="G53" s="5">
        <v>100</v>
      </c>
      <c r="H53" s="193">
        <f t="shared" si="3"/>
        <v>500</v>
      </c>
      <c r="I53" s="194"/>
    </row>
    <row r="54" spans="2:9" x14ac:dyDescent="0.3">
      <c r="B54" s="4" t="s">
        <v>37</v>
      </c>
      <c r="C54" s="13">
        <f>SUM(C49:C53)</f>
        <v>280</v>
      </c>
      <c r="D54" s="13">
        <f t="shared" ref="D54:G54" si="4">SUM(D49:D53)</f>
        <v>280</v>
      </c>
      <c r="E54" s="13">
        <f t="shared" si="4"/>
        <v>280</v>
      </c>
      <c r="F54" s="13">
        <f t="shared" si="4"/>
        <v>275</v>
      </c>
      <c r="G54" s="13">
        <f t="shared" si="4"/>
        <v>253</v>
      </c>
      <c r="H54" s="195">
        <f>SUM(H49:H53)</f>
        <v>1368</v>
      </c>
      <c r="I54" s="196"/>
    </row>
    <row r="56" spans="2:9" ht="23.4" x14ac:dyDescent="0.3">
      <c r="B56" s="8" t="s">
        <v>209</v>
      </c>
    </row>
    <row r="57" spans="2:9" x14ac:dyDescent="0.3">
      <c r="B57" s="13" t="s">
        <v>38</v>
      </c>
      <c r="C57" s="13" t="s">
        <v>39</v>
      </c>
      <c r="D57" s="13" t="s">
        <v>40</v>
      </c>
      <c r="E57" s="13" t="s">
        <v>199</v>
      </c>
      <c r="F57" s="13" t="s">
        <v>41</v>
      </c>
      <c r="G57" s="13" t="s">
        <v>42</v>
      </c>
      <c r="H57" s="88"/>
      <c r="I57" s="3"/>
    </row>
    <row r="58" spans="2:9" x14ac:dyDescent="0.3">
      <c r="B58" s="11" t="s">
        <v>43</v>
      </c>
      <c r="C58" s="1">
        <v>164</v>
      </c>
      <c r="D58" s="1">
        <v>820</v>
      </c>
      <c r="E58" s="91">
        <f>D58*2</f>
        <v>1640</v>
      </c>
      <c r="F58" s="91">
        <v>3750</v>
      </c>
      <c r="G58" s="91">
        <v>3750</v>
      </c>
      <c r="H58" s="86"/>
    </row>
    <row r="59" spans="2:9" x14ac:dyDescent="0.3">
      <c r="B59" s="11" t="s">
        <v>126</v>
      </c>
      <c r="C59" s="1">
        <v>48</v>
      </c>
      <c r="D59" s="1">
        <v>240</v>
      </c>
      <c r="E59" s="91">
        <f t="shared" ref="E59:E60" si="5">D59*2</f>
        <v>480</v>
      </c>
      <c r="F59" s="91">
        <v>1000</v>
      </c>
      <c r="G59" s="91">
        <v>1000</v>
      </c>
      <c r="H59" s="86"/>
    </row>
    <row r="60" spans="2:9" x14ac:dyDescent="0.3">
      <c r="B60" s="11" t="s">
        <v>44</v>
      </c>
      <c r="C60" s="1">
        <v>16</v>
      </c>
      <c r="D60" s="1">
        <v>80</v>
      </c>
      <c r="E60" s="91">
        <f t="shared" si="5"/>
        <v>160</v>
      </c>
      <c r="F60" s="1">
        <v>375</v>
      </c>
      <c r="G60" s="1">
        <v>375</v>
      </c>
      <c r="H60" s="86"/>
    </row>
    <row r="61" spans="2:9" x14ac:dyDescent="0.3">
      <c r="B61" s="11" t="s">
        <v>45</v>
      </c>
      <c r="C61" s="92">
        <v>0.1</v>
      </c>
      <c r="D61" s="92">
        <v>0.1</v>
      </c>
      <c r="E61" s="91">
        <v>10</v>
      </c>
      <c r="F61" s="92">
        <v>0.1</v>
      </c>
      <c r="G61" s="92">
        <v>0.1</v>
      </c>
      <c r="H61" s="86"/>
    </row>
    <row r="62" spans="2:9" x14ac:dyDescent="0.3">
      <c r="B62" s="12" t="s">
        <v>46</v>
      </c>
      <c r="C62" s="40">
        <v>15000</v>
      </c>
      <c r="D62" s="40">
        <v>75000</v>
      </c>
      <c r="E62" s="40">
        <f>D62*2</f>
        <v>150000</v>
      </c>
      <c r="F62" s="40">
        <v>450000</v>
      </c>
      <c r="G62" s="40">
        <v>450000</v>
      </c>
      <c r="H62" s="88"/>
      <c r="I62" s="3"/>
    </row>
    <row r="64" spans="2:9" ht="23.4" x14ac:dyDescent="0.3">
      <c r="B64" s="8" t="s">
        <v>205</v>
      </c>
    </row>
    <row r="65" spans="2:12" x14ac:dyDescent="0.3">
      <c r="B65" s="13" t="s">
        <v>14</v>
      </c>
      <c r="C65" s="13" t="s">
        <v>51</v>
      </c>
      <c r="D65" s="13" t="s">
        <v>52</v>
      </c>
      <c r="E65" s="13" t="s">
        <v>53</v>
      </c>
      <c r="F65" s="13" t="s">
        <v>54</v>
      </c>
      <c r="G65" s="13" t="s">
        <v>55</v>
      </c>
      <c r="H65" s="89" t="s">
        <v>200</v>
      </c>
      <c r="I65" s="96" t="s">
        <v>201</v>
      </c>
    </row>
    <row r="66" spans="2:12" x14ac:dyDescent="0.3">
      <c r="B66" s="11" t="s">
        <v>56</v>
      </c>
      <c r="C66" s="5">
        <v>47</v>
      </c>
      <c r="D66" s="5">
        <v>47</v>
      </c>
      <c r="E66" s="5">
        <v>47</v>
      </c>
      <c r="F66" s="5">
        <v>47</v>
      </c>
      <c r="G66" s="5">
        <v>47</v>
      </c>
      <c r="H66" s="94"/>
      <c r="I66" s="94">
        <v>235</v>
      </c>
    </row>
    <row r="67" spans="2:12" x14ac:dyDescent="0.3">
      <c r="B67" s="68" t="s">
        <v>57</v>
      </c>
      <c r="C67" s="93">
        <v>5</v>
      </c>
      <c r="D67" s="93">
        <v>5</v>
      </c>
      <c r="E67" s="93">
        <v>4</v>
      </c>
      <c r="F67" s="93">
        <v>4</v>
      </c>
      <c r="G67" s="93">
        <v>4</v>
      </c>
      <c r="H67" s="98">
        <v>22</v>
      </c>
      <c r="I67" s="95"/>
    </row>
    <row r="68" spans="2:12" x14ac:dyDescent="0.3">
      <c r="B68" s="11" t="s">
        <v>58</v>
      </c>
      <c r="C68" s="5">
        <v>47</v>
      </c>
      <c r="D68" s="5">
        <v>47</v>
      </c>
      <c r="E68" s="5">
        <v>47</v>
      </c>
      <c r="F68" s="5">
        <v>47</v>
      </c>
      <c r="G68" s="5">
        <v>47</v>
      </c>
      <c r="H68" s="99"/>
      <c r="I68" s="94">
        <v>235</v>
      </c>
      <c r="J68" s="90"/>
      <c r="K68" s="90">
        <v>235</v>
      </c>
      <c r="L68" s="90">
        <v>235</v>
      </c>
    </row>
    <row r="69" spans="2:12" x14ac:dyDescent="0.3">
      <c r="B69" s="68" t="s">
        <v>59</v>
      </c>
      <c r="C69" s="93">
        <v>5</v>
      </c>
      <c r="D69" s="93">
        <v>5</v>
      </c>
      <c r="E69" s="93">
        <v>4</v>
      </c>
      <c r="F69" s="93">
        <v>4</v>
      </c>
      <c r="G69" s="93">
        <v>4</v>
      </c>
      <c r="H69" s="98">
        <v>22</v>
      </c>
      <c r="I69" s="95"/>
    </row>
    <row r="70" spans="2:12" x14ac:dyDescent="0.3">
      <c r="B70" s="11" t="s">
        <v>60</v>
      </c>
      <c r="C70" s="5">
        <v>47</v>
      </c>
      <c r="D70" s="5">
        <v>47</v>
      </c>
      <c r="E70" s="5">
        <v>47</v>
      </c>
      <c r="F70" s="5">
        <v>47</v>
      </c>
      <c r="G70" s="5">
        <v>47</v>
      </c>
      <c r="H70" s="99"/>
      <c r="I70" s="94">
        <v>175</v>
      </c>
    </row>
    <row r="71" spans="2:12" x14ac:dyDescent="0.3">
      <c r="B71" s="68" t="s">
        <v>61</v>
      </c>
      <c r="C71" s="93">
        <v>5</v>
      </c>
      <c r="D71" s="93">
        <v>5</v>
      </c>
      <c r="E71" s="93">
        <v>5</v>
      </c>
      <c r="F71" s="93">
        <v>5</v>
      </c>
      <c r="G71" s="93">
        <v>5</v>
      </c>
      <c r="H71" s="98">
        <v>25</v>
      </c>
      <c r="I71" s="95"/>
    </row>
    <row r="72" spans="2:12" hidden="1" x14ac:dyDescent="0.3">
      <c r="B72" s="11" t="s">
        <v>62</v>
      </c>
      <c r="C72" s="16">
        <v>15</v>
      </c>
      <c r="D72" s="16">
        <v>35</v>
      </c>
      <c r="E72" s="16">
        <v>35</v>
      </c>
      <c r="F72" s="16">
        <v>35</v>
      </c>
      <c r="G72" s="16">
        <v>35</v>
      </c>
      <c r="H72" s="100">
        <v>175</v>
      </c>
      <c r="I72" s="86"/>
    </row>
    <row r="73" spans="2:12" hidden="1" x14ac:dyDescent="0.3">
      <c r="B73" s="68" t="s">
        <v>63</v>
      </c>
      <c r="C73" s="69">
        <v>4</v>
      </c>
      <c r="D73" s="69">
        <v>4</v>
      </c>
      <c r="E73" s="69">
        <v>3</v>
      </c>
      <c r="F73" s="69">
        <v>3</v>
      </c>
      <c r="G73" s="69">
        <v>3</v>
      </c>
      <c r="H73" s="101">
        <v>17</v>
      </c>
      <c r="I73" s="86"/>
    </row>
    <row r="74" spans="2:12" x14ac:dyDescent="0.3">
      <c r="B74" s="3"/>
      <c r="C74" s="26"/>
      <c r="D74" s="26"/>
      <c r="E74" s="26"/>
      <c r="F74" s="26"/>
      <c r="G74" s="26"/>
      <c r="H74" s="102">
        <f>SUM(H66:H73)</f>
        <v>261</v>
      </c>
      <c r="I74" s="88">
        <f>SUM(I66:I73)</f>
        <v>645</v>
      </c>
    </row>
    <row r="75" spans="2:12" ht="23.4" x14ac:dyDescent="0.3">
      <c r="B75" s="8"/>
    </row>
  </sheetData>
  <mergeCells count="26">
    <mergeCell ref="H15:I15"/>
    <mergeCell ref="C13:I13"/>
    <mergeCell ref="G10:I10"/>
    <mergeCell ref="G2:I2"/>
    <mergeCell ref="G5:K5"/>
    <mergeCell ref="G8:K8"/>
    <mergeCell ref="G3:I3"/>
    <mergeCell ref="G4:I4"/>
    <mergeCell ref="G6:I6"/>
    <mergeCell ref="G7:I7"/>
    <mergeCell ref="G9:I9"/>
    <mergeCell ref="H49:I49"/>
    <mergeCell ref="H54:I54"/>
    <mergeCell ref="H48:I48"/>
    <mergeCell ref="H50:I50"/>
    <mergeCell ref="H51:I51"/>
    <mergeCell ref="H52:I52"/>
    <mergeCell ref="H53:I53"/>
    <mergeCell ref="H21:I21"/>
    <mergeCell ref="H22:I22"/>
    <mergeCell ref="H23:I23"/>
    <mergeCell ref="H17:I17"/>
    <mergeCell ref="H16:I16"/>
    <mergeCell ref="H18:I18"/>
    <mergeCell ref="H19:I19"/>
    <mergeCell ref="H20:I20"/>
  </mergeCells>
  <phoneticPr fontId="6" type="noConversion"/>
  <pageMargins left="0.511811024" right="0.511811024" top="0.78740157499999996" bottom="0.78740157499999996" header="0.31496062000000002" footer="0.31496062000000002"/>
  <pageSetup scale="37" orientation="portrait" r:id="rId1"/>
  <colBreaks count="2" manualBreakCount="2">
    <brk id="2" max="1048575" man="1"/>
    <brk id="9" max="1048575" man="1"/>
  </colBreaks>
  <ignoredErrors>
    <ignoredError sqref="C23:F2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C02A-6598-4FE6-BF99-4BD2F9A604FD}">
  <dimension ref="B3:J122"/>
  <sheetViews>
    <sheetView topLeftCell="A47" zoomScale="115" zoomScaleNormal="115" workbookViewId="0">
      <selection activeCell="G57" sqref="G57"/>
    </sheetView>
  </sheetViews>
  <sheetFormatPr defaultColWidth="8.88671875" defaultRowHeight="14.4" x14ac:dyDescent="0.3"/>
  <cols>
    <col min="1" max="1" width="8.88671875" style="7"/>
    <col min="2" max="2" width="37.109375" style="7" customWidth="1"/>
    <col min="3" max="4" width="16.44140625" style="7" customWidth="1"/>
    <col min="5" max="5" width="12.6640625" style="7" customWidth="1"/>
    <col min="6" max="6" width="20.88671875" style="7" customWidth="1"/>
    <col min="7" max="7" width="15.6640625" style="7" customWidth="1"/>
    <col min="8" max="8" width="20.5546875" style="7" customWidth="1"/>
    <col min="9" max="9" width="31" style="7" customWidth="1"/>
    <col min="10" max="10" width="21" style="7" customWidth="1"/>
    <col min="11" max="11" width="36.33203125" style="7" customWidth="1"/>
    <col min="12" max="16384" width="8.88671875" style="7"/>
  </cols>
  <sheetData>
    <row r="3" spans="2:9" hidden="1" x14ac:dyDescent="0.3"/>
    <row r="4" spans="2:9" hidden="1" x14ac:dyDescent="0.3"/>
    <row r="5" spans="2:9" hidden="1" x14ac:dyDescent="0.3"/>
    <row r="6" spans="2:9" hidden="1" x14ac:dyDescent="0.3"/>
    <row r="7" spans="2:9" hidden="1" x14ac:dyDescent="0.3"/>
    <row r="8" spans="2:9" ht="23.4" customHeight="1" x14ac:dyDescent="0.3">
      <c r="B8" s="201" t="s">
        <v>134</v>
      </c>
      <c r="C8" s="201"/>
      <c r="D8" s="201"/>
      <c r="E8" s="201"/>
      <c r="F8" s="201"/>
      <c r="G8" s="201"/>
      <c r="H8" s="201"/>
      <c r="I8" s="201"/>
    </row>
    <row r="9" spans="2:9" ht="14.4" customHeight="1" x14ac:dyDescent="0.3">
      <c r="B9" s="201"/>
      <c r="C9" s="201"/>
      <c r="D9" s="201"/>
      <c r="E9" s="201"/>
      <c r="F9" s="201"/>
      <c r="G9" s="201"/>
      <c r="H9" s="201"/>
      <c r="I9" s="201"/>
    </row>
    <row r="10" spans="2:9" ht="14.4" customHeight="1" x14ac:dyDescent="0.3">
      <c r="B10" s="201"/>
      <c r="C10" s="201"/>
      <c r="D10" s="201"/>
      <c r="E10" s="201"/>
      <c r="F10" s="201"/>
      <c r="G10" s="201"/>
      <c r="H10" s="201"/>
      <c r="I10" s="201"/>
    </row>
    <row r="11" spans="2:9" ht="23.4" customHeight="1" x14ac:dyDescent="0.3">
      <c r="B11" s="13" t="s">
        <v>64</v>
      </c>
      <c r="C11" s="13" t="s">
        <v>66</v>
      </c>
      <c r="D11" s="13" t="s">
        <v>86</v>
      </c>
      <c r="E11" s="13"/>
      <c r="F11" s="13" t="s">
        <v>67</v>
      </c>
      <c r="G11" s="13" t="s">
        <v>87</v>
      </c>
      <c r="H11" s="3"/>
      <c r="I11" s="3"/>
    </row>
    <row r="12" spans="2:9" hidden="1" x14ac:dyDescent="0.3">
      <c r="B12" s="2" t="s">
        <v>68</v>
      </c>
      <c r="C12" s="6">
        <v>23</v>
      </c>
      <c r="D12" s="6">
        <f t="shared" ref="D12:D23" si="0">C12*$C$46</f>
        <v>161</v>
      </c>
      <c r="E12" s="6"/>
      <c r="F12" s="23">
        <f>D12/4</f>
        <v>40.25</v>
      </c>
      <c r="G12" s="2" t="s">
        <v>88</v>
      </c>
    </row>
    <row r="13" spans="2:9" ht="28.8" hidden="1" x14ac:dyDescent="0.3">
      <c r="B13" s="2" t="s">
        <v>69</v>
      </c>
      <c r="C13" s="6">
        <v>20</v>
      </c>
      <c r="D13" s="6">
        <f t="shared" si="0"/>
        <v>140</v>
      </c>
      <c r="E13" s="6"/>
      <c r="F13" s="23">
        <f t="shared" ref="F13:F23" si="1">D13/4</f>
        <v>35</v>
      </c>
      <c r="G13" s="2" t="s">
        <v>89</v>
      </c>
    </row>
    <row r="14" spans="2:9" hidden="1" x14ac:dyDescent="0.3">
      <c r="B14" s="2" t="s">
        <v>70</v>
      </c>
      <c r="C14" s="6">
        <v>21</v>
      </c>
      <c r="D14" s="6">
        <f t="shared" si="0"/>
        <v>147</v>
      </c>
      <c r="E14" s="6"/>
      <c r="F14" s="23">
        <f t="shared" si="1"/>
        <v>36.75</v>
      </c>
      <c r="G14" s="2" t="s">
        <v>90</v>
      </c>
    </row>
    <row r="15" spans="2:9" hidden="1" x14ac:dyDescent="0.3">
      <c r="B15" s="2" t="s">
        <v>71</v>
      </c>
      <c r="C15" s="6">
        <v>21</v>
      </c>
      <c r="D15" s="6">
        <f t="shared" si="0"/>
        <v>147</v>
      </c>
      <c r="E15" s="6"/>
      <c r="F15" s="23">
        <f t="shared" si="1"/>
        <v>36.75</v>
      </c>
      <c r="G15" s="2" t="s">
        <v>91</v>
      </c>
    </row>
    <row r="16" spans="2:9" hidden="1" x14ac:dyDescent="0.3">
      <c r="B16" s="2" t="s">
        <v>72</v>
      </c>
      <c r="C16" s="6">
        <v>22</v>
      </c>
      <c r="D16" s="6">
        <f t="shared" si="0"/>
        <v>154</v>
      </c>
      <c r="E16" s="6"/>
      <c r="F16" s="23">
        <f t="shared" si="1"/>
        <v>38.5</v>
      </c>
      <c r="G16" s="2" t="s">
        <v>92</v>
      </c>
    </row>
    <row r="17" spans="2:9" hidden="1" x14ac:dyDescent="0.3">
      <c r="B17" s="2" t="s">
        <v>73</v>
      </c>
      <c r="C17" s="6">
        <v>21</v>
      </c>
      <c r="D17" s="6">
        <f t="shared" si="0"/>
        <v>147</v>
      </c>
      <c r="E17" s="6"/>
      <c r="F17" s="23">
        <f t="shared" si="1"/>
        <v>36.75</v>
      </c>
      <c r="G17" s="2" t="s">
        <v>93</v>
      </c>
    </row>
    <row r="18" spans="2:9" hidden="1" x14ac:dyDescent="0.3">
      <c r="B18" s="2" t="s">
        <v>80</v>
      </c>
      <c r="C18" s="6">
        <v>23</v>
      </c>
      <c r="D18" s="6">
        <f t="shared" si="0"/>
        <v>161</v>
      </c>
      <c r="E18" s="6"/>
      <c r="F18" s="23">
        <f t="shared" si="1"/>
        <v>40.25</v>
      </c>
      <c r="G18" s="2" t="s">
        <v>88</v>
      </c>
    </row>
    <row r="19" spans="2:9" x14ac:dyDescent="0.3">
      <c r="B19" s="2" t="s">
        <v>81</v>
      </c>
      <c r="C19" s="6">
        <v>22</v>
      </c>
      <c r="D19" s="6">
        <f t="shared" si="0"/>
        <v>154</v>
      </c>
      <c r="E19" s="6"/>
      <c r="F19" s="23">
        <f t="shared" si="1"/>
        <v>38.5</v>
      </c>
      <c r="G19" s="2" t="s">
        <v>88</v>
      </c>
    </row>
    <row r="20" spans="2:9" x14ac:dyDescent="0.3">
      <c r="B20" s="2" t="s">
        <v>82</v>
      </c>
      <c r="C20" s="6">
        <v>21</v>
      </c>
      <c r="D20" s="6">
        <f t="shared" si="0"/>
        <v>147</v>
      </c>
      <c r="E20" s="6"/>
      <c r="F20" s="23">
        <f t="shared" si="1"/>
        <v>36.75</v>
      </c>
      <c r="G20" s="2" t="s">
        <v>94</v>
      </c>
    </row>
    <row r="21" spans="2:9" x14ac:dyDescent="0.3">
      <c r="B21" s="2" t="s">
        <v>83</v>
      </c>
      <c r="C21" s="6">
        <v>23</v>
      </c>
      <c r="D21" s="6">
        <f t="shared" si="0"/>
        <v>161</v>
      </c>
      <c r="E21" s="6"/>
      <c r="F21" s="23">
        <f t="shared" si="1"/>
        <v>40.25</v>
      </c>
      <c r="G21" s="2" t="s">
        <v>95</v>
      </c>
    </row>
    <row r="22" spans="2:9" ht="28.8" x14ac:dyDescent="0.3">
      <c r="B22" s="2" t="s">
        <v>84</v>
      </c>
      <c r="C22" s="6">
        <v>20</v>
      </c>
      <c r="D22" s="6">
        <f t="shared" si="0"/>
        <v>140</v>
      </c>
      <c r="E22" s="6"/>
      <c r="F22" s="23">
        <f t="shared" si="1"/>
        <v>35</v>
      </c>
      <c r="G22" s="2" t="s">
        <v>96</v>
      </c>
    </row>
    <row r="23" spans="2:9" x14ac:dyDescent="0.3">
      <c r="B23" s="2" t="s">
        <v>85</v>
      </c>
      <c r="C23" s="6">
        <v>21</v>
      </c>
      <c r="D23" s="6">
        <f t="shared" si="0"/>
        <v>147</v>
      </c>
      <c r="E23" s="6"/>
      <c r="F23" s="23">
        <f t="shared" si="1"/>
        <v>36.75</v>
      </c>
      <c r="G23" s="2" t="s">
        <v>97</v>
      </c>
    </row>
    <row r="24" spans="2:9" x14ac:dyDescent="0.3">
      <c r="B24" s="19" t="s">
        <v>98</v>
      </c>
      <c r="C24" s="20">
        <f>AVERAGE(C12:C23)</f>
        <v>21.5</v>
      </c>
      <c r="D24" s="20">
        <f>AVERAGE(D12:D23)</f>
        <v>150.5</v>
      </c>
      <c r="E24" s="20"/>
      <c r="F24" s="20">
        <f>AVERAGE(F12:F23)</f>
        <v>37.625</v>
      </c>
      <c r="G24" s="21"/>
      <c r="H24" s="3"/>
      <c r="I24" s="3"/>
    </row>
    <row r="27" spans="2:9" ht="23.4" customHeight="1" x14ac:dyDescent="0.3">
      <c r="B27" s="201" t="s">
        <v>117</v>
      </c>
      <c r="C27" s="201"/>
      <c r="D27" s="201"/>
      <c r="E27" s="201"/>
      <c r="F27" s="201"/>
      <c r="G27" s="201"/>
      <c r="H27" s="201"/>
      <c r="I27" s="201"/>
    </row>
    <row r="28" spans="2:9" ht="15" customHeight="1" x14ac:dyDescent="0.3">
      <c r="B28" s="201"/>
      <c r="C28" s="201"/>
      <c r="D28" s="201"/>
      <c r="E28" s="201"/>
      <c r="F28" s="201"/>
      <c r="G28" s="201"/>
      <c r="H28" s="201"/>
      <c r="I28" s="201"/>
    </row>
    <row r="29" spans="2:9" ht="19.2" customHeight="1" x14ac:dyDescent="0.3">
      <c r="B29" s="13" t="s">
        <v>75</v>
      </c>
      <c r="C29" s="13" t="s">
        <v>74</v>
      </c>
      <c r="D29" s="13" t="s">
        <v>99</v>
      </c>
      <c r="E29" s="13" t="s">
        <v>118</v>
      </c>
      <c r="F29" s="13" t="s">
        <v>76</v>
      </c>
      <c r="G29" s="13" t="s">
        <v>115</v>
      </c>
      <c r="H29" s="26"/>
      <c r="I29" s="26"/>
    </row>
    <row r="30" spans="2:9" x14ac:dyDescent="0.3">
      <c r="B30" s="32" t="s">
        <v>77</v>
      </c>
      <c r="C30" s="33" t="s">
        <v>108</v>
      </c>
      <c r="D30" s="33" t="s">
        <v>102</v>
      </c>
      <c r="E30" s="32"/>
      <c r="F30" s="34" t="s">
        <v>101</v>
      </c>
      <c r="G30" s="202"/>
      <c r="H30" s="202"/>
      <c r="I30" s="202"/>
    </row>
    <row r="31" spans="2:9" x14ac:dyDescent="0.3">
      <c r="B31" s="1" t="s">
        <v>155</v>
      </c>
      <c r="C31" s="5" t="s">
        <v>112</v>
      </c>
      <c r="D31" s="5" t="s">
        <v>157</v>
      </c>
      <c r="E31" s="5">
        <v>10</v>
      </c>
      <c r="F31" s="27" t="s">
        <v>109</v>
      </c>
      <c r="G31" s="200"/>
      <c r="H31" s="200"/>
      <c r="I31" s="200"/>
    </row>
    <row r="32" spans="2:9" x14ac:dyDescent="0.3">
      <c r="B32" s="1" t="s">
        <v>154</v>
      </c>
      <c r="C32" s="5" t="s">
        <v>158</v>
      </c>
      <c r="D32" s="5" t="s">
        <v>102</v>
      </c>
      <c r="E32" s="5">
        <v>4</v>
      </c>
      <c r="F32" s="27" t="s">
        <v>162</v>
      </c>
      <c r="G32" s="200"/>
      <c r="H32" s="200"/>
      <c r="I32" s="200"/>
    </row>
    <row r="33" spans="2:9" x14ac:dyDescent="0.3">
      <c r="B33" s="1" t="s">
        <v>132</v>
      </c>
      <c r="C33" s="5" t="s">
        <v>159</v>
      </c>
      <c r="D33" s="5" t="s">
        <v>102</v>
      </c>
      <c r="E33" s="5">
        <v>10</v>
      </c>
      <c r="F33" s="27" t="s">
        <v>119</v>
      </c>
      <c r="G33" s="200"/>
      <c r="H33" s="200"/>
      <c r="I33" s="200"/>
    </row>
    <row r="34" spans="2:9" x14ac:dyDescent="0.3">
      <c r="B34" s="1" t="s">
        <v>141</v>
      </c>
      <c r="C34" s="5" t="s">
        <v>160</v>
      </c>
      <c r="D34" s="5" t="s">
        <v>102</v>
      </c>
      <c r="E34" s="5">
        <v>10</v>
      </c>
      <c r="F34" s="27" t="s">
        <v>104</v>
      </c>
      <c r="G34" s="200"/>
      <c r="H34" s="200"/>
      <c r="I34" s="200"/>
    </row>
    <row r="35" spans="2:9" x14ac:dyDescent="0.3">
      <c r="B35" s="1" t="s">
        <v>153</v>
      </c>
      <c r="C35" s="5" t="s">
        <v>111</v>
      </c>
      <c r="D35" s="5" t="s">
        <v>102</v>
      </c>
      <c r="E35" s="5">
        <v>10</v>
      </c>
      <c r="F35" s="27" t="s">
        <v>104</v>
      </c>
      <c r="G35" s="200"/>
      <c r="H35" s="200"/>
      <c r="I35" s="200"/>
    </row>
    <row r="36" spans="2:9" ht="19.95" customHeight="1" x14ac:dyDescent="0.3">
      <c r="B36" s="13" t="s">
        <v>139</v>
      </c>
      <c r="C36" s="13" t="s">
        <v>151</v>
      </c>
      <c r="D36" s="13"/>
      <c r="E36" s="13"/>
      <c r="F36" s="28"/>
      <c r="G36" s="13"/>
      <c r="H36" s="13"/>
      <c r="I36" s="13"/>
    </row>
    <row r="37" spans="2:9" x14ac:dyDescent="0.3">
      <c r="B37" s="1" t="s">
        <v>152</v>
      </c>
      <c r="C37" s="5" t="s">
        <v>140</v>
      </c>
      <c r="D37" s="5" t="s">
        <v>102</v>
      </c>
      <c r="E37" s="5">
        <v>10</v>
      </c>
      <c r="F37" s="27" t="s">
        <v>101</v>
      </c>
      <c r="G37" s="203"/>
      <c r="H37" s="203"/>
      <c r="I37" s="203"/>
    </row>
    <row r="38" spans="2:9" x14ac:dyDescent="0.3">
      <c r="B38" s="1" t="s">
        <v>161</v>
      </c>
      <c r="C38" s="5" t="s">
        <v>163</v>
      </c>
      <c r="D38" s="5" t="s">
        <v>164</v>
      </c>
      <c r="E38" s="5">
        <v>10</v>
      </c>
      <c r="F38" s="27" t="s">
        <v>148</v>
      </c>
      <c r="G38" s="203"/>
      <c r="H38" s="203"/>
      <c r="I38" s="203"/>
    </row>
    <row r="39" spans="2:9" x14ac:dyDescent="0.3">
      <c r="B39" s="1" t="s">
        <v>136</v>
      </c>
      <c r="C39" s="5" t="s">
        <v>135</v>
      </c>
      <c r="D39" s="5" t="s">
        <v>102</v>
      </c>
      <c r="E39" s="5">
        <v>10</v>
      </c>
      <c r="F39" s="27" t="s">
        <v>114</v>
      </c>
      <c r="G39" s="203"/>
      <c r="H39" s="203"/>
      <c r="I39" s="203"/>
    </row>
    <row r="40" spans="2:9" x14ac:dyDescent="0.3">
      <c r="B40" s="1" t="s">
        <v>142</v>
      </c>
      <c r="C40" s="5" t="s">
        <v>137</v>
      </c>
      <c r="D40" s="5" t="s">
        <v>103</v>
      </c>
      <c r="E40" s="5">
        <v>10</v>
      </c>
      <c r="F40" s="27" t="s">
        <v>119</v>
      </c>
      <c r="G40" s="203"/>
      <c r="H40" s="203"/>
      <c r="I40" s="203"/>
    </row>
    <row r="41" spans="2:9" x14ac:dyDescent="0.3">
      <c r="B41" s="1" t="s">
        <v>143</v>
      </c>
      <c r="C41" s="5" t="s">
        <v>113</v>
      </c>
      <c r="D41" s="5" t="s">
        <v>102</v>
      </c>
      <c r="E41" s="5">
        <v>4</v>
      </c>
      <c r="F41" s="27" t="s">
        <v>149</v>
      </c>
      <c r="G41" s="203"/>
      <c r="H41" s="203"/>
      <c r="I41" s="203"/>
    </row>
    <row r="42" spans="2:9" x14ac:dyDescent="0.3">
      <c r="B42" s="1" t="s">
        <v>144</v>
      </c>
      <c r="C42" s="5" t="s">
        <v>110</v>
      </c>
      <c r="D42" s="5" t="s">
        <v>102</v>
      </c>
      <c r="E42" s="5">
        <v>4</v>
      </c>
      <c r="F42" s="27" t="s">
        <v>150</v>
      </c>
      <c r="G42" s="203"/>
      <c r="H42" s="203"/>
      <c r="I42" s="203"/>
    </row>
    <row r="43" spans="2:9" x14ac:dyDescent="0.3">
      <c r="B43" s="1" t="s">
        <v>142</v>
      </c>
      <c r="C43" s="5" t="s">
        <v>138</v>
      </c>
      <c r="D43" s="5" t="s">
        <v>156</v>
      </c>
      <c r="E43" s="5">
        <v>10</v>
      </c>
      <c r="F43" s="27" t="s">
        <v>109</v>
      </c>
      <c r="G43" s="203"/>
      <c r="H43" s="203"/>
      <c r="I43" s="203"/>
    </row>
    <row r="44" spans="2:9" x14ac:dyDescent="0.3">
      <c r="B44" s="32" t="s">
        <v>77</v>
      </c>
      <c r="C44" s="33" t="s">
        <v>145</v>
      </c>
      <c r="D44" s="33" t="s">
        <v>102</v>
      </c>
      <c r="E44" s="32"/>
      <c r="F44" s="34" t="s">
        <v>101</v>
      </c>
      <c r="G44" s="205"/>
      <c r="H44" s="205"/>
      <c r="I44" s="205"/>
    </row>
    <row r="45" spans="2:9" x14ac:dyDescent="0.3">
      <c r="B45" s="32" t="s">
        <v>146</v>
      </c>
      <c r="C45" s="33" t="s">
        <v>147</v>
      </c>
      <c r="D45" s="33" t="s">
        <v>100</v>
      </c>
      <c r="E45" s="32"/>
      <c r="F45" s="34"/>
      <c r="G45" s="205"/>
      <c r="H45" s="205"/>
      <c r="I45" s="205"/>
    </row>
    <row r="46" spans="2:9" ht="22.95" customHeight="1" x14ac:dyDescent="0.3">
      <c r="B46" s="20" t="s">
        <v>116</v>
      </c>
      <c r="C46" s="20">
        <v>7</v>
      </c>
      <c r="D46" s="20">
        <v>7.5</v>
      </c>
      <c r="E46" s="20">
        <f>SUM(E31:E45)</f>
        <v>102</v>
      </c>
      <c r="F46" s="20" t="s">
        <v>165</v>
      </c>
      <c r="G46" s="20"/>
      <c r="H46" s="25"/>
      <c r="I46" s="25"/>
    </row>
    <row r="50" spans="2:9" x14ac:dyDescent="0.3">
      <c r="B50" s="201" t="s">
        <v>133</v>
      </c>
      <c r="C50" s="201"/>
      <c r="D50" s="201"/>
      <c r="E50" s="201"/>
      <c r="F50" s="201"/>
      <c r="G50" s="201"/>
      <c r="H50" s="201"/>
      <c r="I50" s="201"/>
    </row>
    <row r="51" spans="2:9" x14ac:dyDescent="0.3">
      <c r="B51" s="201"/>
      <c r="C51" s="201"/>
      <c r="D51" s="201"/>
      <c r="E51" s="201"/>
      <c r="F51" s="201"/>
      <c r="G51" s="201"/>
      <c r="H51" s="201"/>
      <c r="I51" s="201"/>
    </row>
    <row r="52" spans="2:9" x14ac:dyDescent="0.3">
      <c r="B52" s="201"/>
      <c r="C52" s="201"/>
      <c r="D52" s="201"/>
      <c r="E52" s="201"/>
      <c r="F52" s="201"/>
      <c r="G52" s="201"/>
      <c r="H52" s="201"/>
      <c r="I52" s="201"/>
    </row>
    <row r="53" spans="2:9" ht="23.4" x14ac:dyDescent="0.3">
      <c r="B53" s="71"/>
      <c r="C53" s="71"/>
      <c r="D53" s="71"/>
      <c r="E53" s="71"/>
      <c r="F53" s="71"/>
      <c r="G53" s="71"/>
      <c r="H53" s="71"/>
      <c r="I53" s="71"/>
    </row>
    <row r="54" spans="2:9" x14ac:dyDescent="0.3">
      <c r="B54" s="13" t="s">
        <v>75</v>
      </c>
      <c r="C54" s="13" t="s">
        <v>105</v>
      </c>
      <c r="D54" s="13" t="s">
        <v>66</v>
      </c>
      <c r="E54" s="13"/>
      <c r="F54" s="13" t="s">
        <v>106</v>
      </c>
      <c r="G54" s="13" t="s">
        <v>78</v>
      </c>
      <c r="H54" s="196" t="s">
        <v>79</v>
      </c>
      <c r="I54" s="196"/>
    </row>
    <row r="55" spans="2:9" x14ac:dyDescent="0.3">
      <c r="B55" s="1" t="s">
        <v>107</v>
      </c>
      <c r="C55" s="5">
        <v>40</v>
      </c>
      <c r="D55" s="5">
        <v>21</v>
      </c>
      <c r="E55" s="5"/>
      <c r="F55" s="5">
        <f>C55*D55</f>
        <v>840</v>
      </c>
      <c r="G55" s="10">
        <v>0.1</v>
      </c>
      <c r="H55" s="200"/>
      <c r="I55" s="200"/>
    </row>
    <row r="56" spans="2:9" x14ac:dyDescent="0.3">
      <c r="B56" s="1" t="s">
        <v>121</v>
      </c>
      <c r="C56" s="5">
        <v>10</v>
      </c>
      <c r="D56" s="5">
        <v>21</v>
      </c>
      <c r="E56" s="5"/>
      <c r="F56" s="5">
        <f t="shared" ref="F56:F61" si="2">C56*D56</f>
        <v>210</v>
      </c>
      <c r="G56" s="10">
        <v>0.1</v>
      </c>
      <c r="H56" s="200">
        <f t="shared" ref="H56:H60" si="3">F56*G56</f>
        <v>21</v>
      </c>
      <c r="I56" s="200"/>
    </row>
    <row r="57" spans="2:9" x14ac:dyDescent="0.3">
      <c r="B57" s="1" t="s">
        <v>174</v>
      </c>
      <c r="C57" s="5">
        <v>4</v>
      </c>
      <c r="D57" s="5">
        <v>21</v>
      </c>
      <c r="E57" s="5"/>
      <c r="F57" s="5">
        <f t="shared" si="2"/>
        <v>84</v>
      </c>
      <c r="G57" s="10"/>
      <c r="H57" s="200"/>
      <c r="I57" s="200"/>
    </row>
    <row r="58" spans="2:9" x14ac:dyDescent="0.3">
      <c r="B58" s="1" t="s">
        <v>175</v>
      </c>
      <c r="C58" s="5">
        <v>4</v>
      </c>
      <c r="D58" s="5">
        <v>21</v>
      </c>
      <c r="E58" s="5"/>
      <c r="F58" s="5">
        <f t="shared" si="2"/>
        <v>84</v>
      </c>
      <c r="G58" s="10"/>
      <c r="H58" s="200"/>
      <c r="I58" s="200"/>
    </row>
    <row r="59" spans="2:9" x14ac:dyDescent="0.3">
      <c r="B59" s="1" t="s">
        <v>120</v>
      </c>
      <c r="C59" s="5">
        <v>10</v>
      </c>
      <c r="D59" s="5">
        <v>21</v>
      </c>
      <c r="E59" s="5"/>
      <c r="F59" s="5">
        <f t="shared" si="2"/>
        <v>210</v>
      </c>
      <c r="G59" s="10">
        <v>0.1</v>
      </c>
      <c r="H59" s="200">
        <f t="shared" si="3"/>
        <v>21</v>
      </c>
      <c r="I59" s="200"/>
    </row>
    <row r="60" spans="2:9" x14ac:dyDescent="0.3">
      <c r="B60" s="1" t="s">
        <v>122</v>
      </c>
      <c r="C60" s="5">
        <v>10</v>
      </c>
      <c r="D60" s="5">
        <v>21</v>
      </c>
      <c r="E60" s="5"/>
      <c r="F60" s="5">
        <f t="shared" si="2"/>
        <v>210</v>
      </c>
      <c r="G60" s="10">
        <v>0.1</v>
      </c>
      <c r="H60" s="200">
        <f t="shared" si="3"/>
        <v>21</v>
      </c>
      <c r="I60" s="200"/>
    </row>
    <row r="61" spans="2:9" ht="15" thickBot="1" x14ac:dyDescent="0.35">
      <c r="B61" s="30" t="s">
        <v>123</v>
      </c>
      <c r="C61" s="31">
        <v>5</v>
      </c>
      <c r="D61" s="31">
        <v>21</v>
      </c>
      <c r="E61" s="31"/>
      <c r="F61" s="31">
        <f t="shared" si="2"/>
        <v>105</v>
      </c>
      <c r="G61" s="31"/>
      <c r="H61" s="204"/>
      <c r="I61" s="204"/>
    </row>
    <row r="62" spans="2:9" ht="15" thickTop="1" x14ac:dyDescent="0.3">
      <c r="B62" t="s">
        <v>166</v>
      </c>
      <c r="C62" s="22">
        <v>10</v>
      </c>
      <c r="D62" s="22">
        <v>21</v>
      </c>
      <c r="E62" s="22"/>
      <c r="F62" s="22">
        <f>C62*D62</f>
        <v>210</v>
      </c>
      <c r="G62" s="10">
        <v>0.1</v>
      </c>
      <c r="H62" s="200">
        <f>F62*G62</f>
        <v>21</v>
      </c>
      <c r="I62" s="200"/>
    </row>
    <row r="63" spans="2:9" x14ac:dyDescent="0.3">
      <c r="B63" s="1" t="s">
        <v>124</v>
      </c>
      <c r="C63" s="5">
        <v>10</v>
      </c>
      <c r="D63" s="5">
        <v>21</v>
      </c>
      <c r="E63" s="5"/>
      <c r="F63" s="22">
        <f t="shared" ref="F63:F64" si="4">C63*D63</f>
        <v>210</v>
      </c>
      <c r="G63" s="10">
        <v>0.1</v>
      </c>
      <c r="H63" s="200">
        <f>F63*G63</f>
        <v>21</v>
      </c>
      <c r="I63" s="200"/>
    </row>
    <row r="64" spans="2:9" x14ac:dyDescent="0.3">
      <c r="B64" s="1" t="s">
        <v>125</v>
      </c>
      <c r="C64" s="5">
        <v>5</v>
      </c>
      <c r="D64" s="5">
        <v>21</v>
      </c>
      <c r="E64" s="5"/>
      <c r="F64" s="22">
        <f t="shared" si="4"/>
        <v>105</v>
      </c>
      <c r="G64" s="10"/>
      <c r="H64" s="200"/>
      <c r="I64" s="200"/>
    </row>
    <row r="65" spans="2:9" x14ac:dyDescent="0.3">
      <c r="B65" s="1"/>
      <c r="C65" s="5"/>
      <c r="D65" s="5"/>
      <c r="E65" s="5"/>
      <c r="F65" s="5"/>
      <c r="G65" s="10"/>
      <c r="H65" s="200"/>
      <c r="I65" s="200"/>
    </row>
    <row r="66" spans="2:9" x14ac:dyDescent="0.3">
      <c r="B66" s="4" t="s">
        <v>22</v>
      </c>
      <c r="C66" s="13">
        <f>SUM(C55:C65)</f>
        <v>108</v>
      </c>
      <c r="D66" s="13">
        <f t="shared" ref="D66:F66" si="5">SUM(D55:D65)</f>
        <v>210</v>
      </c>
      <c r="E66" s="13"/>
      <c r="F66" s="13">
        <f t="shared" si="5"/>
        <v>2268</v>
      </c>
      <c r="G66" s="15">
        <v>0.17</v>
      </c>
      <c r="H66" s="196">
        <f>H55+H56+H59+H60+H62+H63</f>
        <v>105</v>
      </c>
      <c r="I66" s="196"/>
    </row>
    <row r="67" spans="2:9" x14ac:dyDescent="0.3">
      <c r="B67"/>
      <c r="C67"/>
      <c r="D67"/>
      <c r="E67"/>
      <c r="F67"/>
      <c r="G67"/>
      <c r="H67" s="97">
        <v>1500</v>
      </c>
      <c r="I67" s="103">
        <f>H66*H67</f>
        <v>157500</v>
      </c>
    </row>
    <row r="69" spans="2:9" s="78" customFormat="1" x14ac:dyDescent="0.3">
      <c r="B69" s="20" t="s">
        <v>75</v>
      </c>
      <c r="C69" s="13" t="s">
        <v>105</v>
      </c>
      <c r="D69" s="13" t="s">
        <v>66</v>
      </c>
      <c r="E69" s="20"/>
      <c r="F69" s="20" t="s">
        <v>204</v>
      </c>
      <c r="G69" s="197" t="s">
        <v>206</v>
      </c>
      <c r="H69" s="197"/>
      <c r="I69" s="197"/>
    </row>
    <row r="70" spans="2:9" x14ac:dyDescent="0.3">
      <c r="B70" s="1" t="s">
        <v>173</v>
      </c>
      <c r="C70" s="5"/>
      <c r="D70" s="5">
        <v>21</v>
      </c>
      <c r="E70" s="5"/>
      <c r="F70" s="10"/>
      <c r="G70" s="1"/>
      <c r="H70" s="1"/>
    </row>
    <row r="71" spans="2:9" x14ac:dyDescent="0.3">
      <c r="B71" s="1" t="s">
        <v>167</v>
      </c>
      <c r="C71" s="5"/>
      <c r="D71" s="5">
        <v>21</v>
      </c>
      <c r="E71" s="5"/>
      <c r="F71" s="10"/>
      <c r="G71" s="1"/>
      <c r="H71" s="1"/>
    </row>
    <row r="72" spans="2:9" x14ac:dyDescent="0.3">
      <c r="B72" s="1" t="s">
        <v>168</v>
      </c>
      <c r="C72" s="5"/>
      <c r="D72" s="5">
        <v>21</v>
      </c>
      <c r="E72" s="5"/>
      <c r="F72" s="10"/>
      <c r="G72" s="1"/>
      <c r="H72" s="1"/>
      <c r="I72" s="7" t="s">
        <v>207</v>
      </c>
    </row>
    <row r="73" spans="2:9" x14ac:dyDescent="0.3">
      <c r="B73" s="1" t="s">
        <v>176</v>
      </c>
      <c r="C73" s="5"/>
      <c r="D73" s="5">
        <v>21</v>
      </c>
      <c r="E73" s="5"/>
      <c r="F73" s="10"/>
      <c r="G73" s="1"/>
      <c r="H73" s="1"/>
    </row>
    <row r="74" spans="2:9" x14ac:dyDescent="0.3">
      <c r="B74" s="1"/>
      <c r="C74" s="5"/>
      <c r="D74" s="5"/>
      <c r="E74" s="5"/>
      <c r="F74" s="10"/>
      <c r="G74" s="1"/>
      <c r="H74" s="1"/>
    </row>
    <row r="75" spans="2:9" x14ac:dyDescent="0.3">
      <c r="B75" s="1" t="s">
        <v>182</v>
      </c>
      <c r="C75" s="5"/>
      <c r="D75" s="5">
        <v>21</v>
      </c>
      <c r="E75" s="5"/>
      <c r="F75" s="10"/>
      <c r="G75" s="1"/>
      <c r="H75" s="1"/>
    </row>
    <row r="76" spans="2:9" x14ac:dyDescent="0.3">
      <c r="B76" s="1" t="s">
        <v>177</v>
      </c>
      <c r="C76" s="5"/>
      <c r="D76" s="5">
        <v>21</v>
      </c>
      <c r="E76" s="5"/>
      <c r="F76" s="10"/>
      <c r="G76" s="1"/>
      <c r="H76" s="1"/>
    </row>
    <row r="77" spans="2:9" x14ac:dyDescent="0.3">
      <c r="B77" s="1" t="s">
        <v>178</v>
      </c>
      <c r="C77" s="5"/>
      <c r="D77" s="5">
        <v>21</v>
      </c>
      <c r="E77" s="5"/>
      <c r="F77" s="10"/>
      <c r="G77" s="1"/>
      <c r="H77" s="1"/>
    </row>
    <row r="78" spans="2:9" x14ac:dyDescent="0.3">
      <c r="B78" s="1" t="s">
        <v>179</v>
      </c>
      <c r="C78" s="5"/>
      <c r="D78" s="5">
        <v>21</v>
      </c>
      <c r="E78" s="5"/>
      <c r="F78" s="10"/>
      <c r="G78" s="1"/>
      <c r="H78" s="1"/>
    </row>
    <row r="79" spans="2:9" x14ac:dyDescent="0.3">
      <c r="B79" s="1" t="s">
        <v>180</v>
      </c>
      <c r="C79" s="5"/>
      <c r="D79" s="5">
        <v>21</v>
      </c>
      <c r="E79" s="5"/>
      <c r="F79" s="10"/>
      <c r="G79" s="1"/>
      <c r="H79" s="1"/>
    </row>
    <row r="80" spans="2:9" x14ac:dyDescent="0.3">
      <c r="B80" s="1" t="s">
        <v>181</v>
      </c>
      <c r="C80" s="5"/>
      <c r="D80" s="5">
        <v>21</v>
      </c>
      <c r="E80" s="5"/>
      <c r="F80" s="10"/>
      <c r="G80" s="1"/>
      <c r="H80" s="1"/>
    </row>
    <row r="81" spans="2:9" x14ac:dyDescent="0.3">
      <c r="B81" s="1" t="s">
        <v>183</v>
      </c>
      <c r="C81" s="5"/>
      <c r="D81" s="5">
        <v>21</v>
      </c>
      <c r="E81" s="5"/>
      <c r="F81" s="10"/>
      <c r="G81" s="1"/>
      <c r="H81" s="1"/>
    </row>
    <row r="82" spans="2:9" x14ac:dyDescent="0.3">
      <c r="B82" s="1" t="s">
        <v>184</v>
      </c>
      <c r="C82" s="5"/>
      <c r="D82" s="5">
        <v>21</v>
      </c>
      <c r="E82" s="5"/>
      <c r="F82" s="10"/>
      <c r="G82" s="1"/>
      <c r="H82" s="1"/>
    </row>
    <row r="83" spans="2:9" x14ac:dyDescent="0.3">
      <c r="B83" s="1"/>
      <c r="C83" s="5"/>
      <c r="D83" s="5"/>
      <c r="E83" s="5"/>
      <c r="F83" s="10"/>
      <c r="G83" s="1"/>
      <c r="H83" s="1"/>
    </row>
    <row r="84" spans="2:9" x14ac:dyDescent="0.3">
      <c r="B84" s="1"/>
      <c r="C84" s="5"/>
      <c r="D84" s="5"/>
      <c r="E84" s="5"/>
      <c r="F84" s="10"/>
      <c r="G84" s="1"/>
      <c r="H84" s="1"/>
    </row>
    <row r="85" spans="2:9" x14ac:dyDescent="0.3">
      <c r="B85" s="13" t="s">
        <v>22</v>
      </c>
      <c r="C85" s="13"/>
      <c r="D85" s="29"/>
      <c r="E85" s="29"/>
      <c r="F85" s="14"/>
      <c r="G85" s="13"/>
      <c r="H85" s="13"/>
      <c r="I85" s="26"/>
    </row>
    <row r="92" spans="2:9" x14ac:dyDescent="0.3">
      <c r="B92" s="13" t="s">
        <v>75</v>
      </c>
      <c r="C92" s="13" t="s">
        <v>105</v>
      </c>
      <c r="D92" s="104">
        <v>45881</v>
      </c>
      <c r="E92" s="104">
        <v>45882</v>
      </c>
      <c r="F92" s="104">
        <v>45883</v>
      </c>
      <c r="G92" s="104">
        <v>45884</v>
      </c>
      <c r="H92" s="104">
        <v>45885</v>
      </c>
      <c r="I92" s="4" t="s">
        <v>210</v>
      </c>
    </row>
    <row r="93" spans="2:9" x14ac:dyDescent="0.3">
      <c r="B93" s="1" t="s">
        <v>107</v>
      </c>
      <c r="C93" s="5">
        <v>0</v>
      </c>
      <c r="D93" s="5">
        <v>0</v>
      </c>
      <c r="E93" s="5"/>
      <c r="F93" s="5">
        <f>C93*D93</f>
        <v>0</v>
      </c>
      <c r="G93" s="10">
        <v>0.1</v>
      </c>
      <c r="H93" s="200"/>
      <c r="I93" s="200"/>
    </row>
    <row r="94" spans="2:9" x14ac:dyDescent="0.3">
      <c r="B94" s="1" t="s">
        <v>121</v>
      </c>
      <c r="C94" s="5">
        <v>0</v>
      </c>
      <c r="D94" s="5">
        <v>0</v>
      </c>
      <c r="E94" s="5"/>
      <c r="F94" s="5">
        <f t="shared" ref="F94:F99" si="6">C94*D94</f>
        <v>0</v>
      </c>
      <c r="G94" s="10">
        <v>0.1</v>
      </c>
      <c r="H94" s="200">
        <f t="shared" ref="H94" si="7">F94*G94</f>
        <v>0</v>
      </c>
      <c r="I94" s="200"/>
    </row>
    <row r="95" spans="2:9" x14ac:dyDescent="0.3">
      <c r="B95" s="1" t="s">
        <v>174</v>
      </c>
      <c r="C95" s="5">
        <v>0</v>
      </c>
      <c r="D95" s="5">
        <v>0</v>
      </c>
      <c r="E95" s="5"/>
      <c r="F95" s="5">
        <f t="shared" si="6"/>
        <v>0</v>
      </c>
      <c r="G95" s="10"/>
      <c r="H95" s="200"/>
      <c r="I95" s="200"/>
    </row>
    <row r="96" spans="2:9" x14ac:dyDescent="0.3">
      <c r="B96" s="1" t="s">
        <v>175</v>
      </c>
      <c r="C96" s="5">
        <v>0</v>
      </c>
      <c r="D96" s="5">
        <v>0</v>
      </c>
      <c r="E96" s="5"/>
      <c r="F96" s="5">
        <f t="shared" si="6"/>
        <v>0</v>
      </c>
      <c r="G96" s="10"/>
      <c r="H96" s="200"/>
      <c r="I96" s="200"/>
    </row>
    <row r="97" spans="2:10" x14ac:dyDescent="0.3">
      <c r="B97" s="1" t="s">
        <v>120</v>
      </c>
      <c r="C97" s="5">
        <v>0</v>
      </c>
      <c r="D97" s="5">
        <v>0</v>
      </c>
      <c r="E97" s="5"/>
      <c r="F97" s="5">
        <f t="shared" si="6"/>
        <v>0</v>
      </c>
      <c r="G97" s="10">
        <v>0.1</v>
      </c>
      <c r="H97" s="200">
        <f t="shared" ref="H97:H98" si="8">F97*G97</f>
        <v>0</v>
      </c>
      <c r="I97" s="200"/>
    </row>
    <row r="98" spans="2:10" x14ac:dyDescent="0.3">
      <c r="B98" s="1" t="s">
        <v>122</v>
      </c>
      <c r="C98" s="5">
        <v>0</v>
      </c>
      <c r="D98" s="5">
        <v>0</v>
      </c>
      <c r="E98" s="5"/>
      <c r="F98" s="5">
        <f t="shared" si="6"/>
        <v>0</v>
      </c>
      <c r="G98" s="10">
        <v>0.1</v>
      </c>
      <c r="H98" s="200">
        <f t="shared" si="8"/>
        <v>0</v>
      </c>
      <c r="I98" s="200"/>
    </row>
    <row r="99" spans="2:10" ht="15" thickBot="1" x14ac:dyDescent="0.35">
      <c r="B99" s="30" t="s">
        <v>123</v>
      </c>
      <c r="C99" s="31">
        <v>0</v>
      </c>
      <c r="D99" s="31">
        <v>0</v>
      </c>
      <c r="E99" s="31"/>
      <c r="F99" s="31">
        <f t="shared" si="6"/>
        <v>0</v>
      </c>
      <c r="G99" s="31"/>
      <c r="H99" s="204"/>
      <c r="I99" s="204"/>
    </row>
    <row r="100" spans="2:10" ht="15" thickTop="1" x14ac:dyDescent="0.3">
      <c r="B100" t="s">
        <v>166</v>
      </c>
      <c r="C100" s="22">
        <v>10</v>
      </c>
      <c r="D100" s="22">
        <v>0</v>
      </c>
      <c r="E100" s="22"/>
      <c r="F100" s="22">
        <f>C100*D100</f>
        <v>0</v>
      </c>
      <c r="G100" s="10">
        <v>0.1</v>
      </c>
      <c r="H100" s="200">
        <f>F100*G100</f>
        <v>0</v>
      </c>
      <c r="I100" s="200"/>
    </row>
    <row r="101" spans="2:10" x14ac:dyDescent="0.3">
      <c r="B101" s="1" t="s">
        <v>124</v>
      </c>
      <c r="C101" s="5">
        <v>10</v>
      </c>
      <c r="D101" s="5">
        <v>0</v>
      </c>
      <c r="E101" s="5"/>
      <c r="F101" s="22">
        <f t="shared" ref="F101:F102" si="9">C101*D101</f>
        <v>0</v>
      </c>
      <c r="G101" s="10">
        <v>0.1</v>
      </c>
      <c r="H101" s="200">
        <f>F101*G101</f>
        <v>0</v>
      </c>
      <c r="I101" s="200"/>
    </row>
    <row r="102" spans="2:10" x14ac:dyDescent="0.3">
      <c r="B102" s="1" t="s">
        <v>125</v>
      </c>
      <c r="C102" s="5">
        <v>5</v>
      </c>
      <c r="D102" s="5">
        <v>21</v>
      </c>
      <c r="E102" s="5"/>
      <c r="F102" s="22">
        <f t="shared" si="9"/>
        <v>105</v>
      </c>
      <c r="G102" s="10"/>
      <c r="H102" s="200"/>
      <c r="I102" s="200"/>
    </row>
    <row r="103" spans="2:10" x14ac:dyDescent="0.3">
      <c r="B103" s="1"/>
      <c r="C103" s="5"/>
      <c r="D103" s="5"/>
      <c r="E103" s="5"/>
      <c r="F103" s="5"/>
      <c r="G103" s="10"/>
      <c r="H103" s="200"/>
      <c r="I103" s="200"/>
    </row>
    <row r="104" spans="2:10" x14ac:dyDescent="0.3">
      <c r="B104" s="4" t="s">
        <v>22</v>
      </c>
      <c r="C104" s="13">
        <f>SUM(C93:C103)</f>
        <v>25</v>
      </c>
      <c r="D104" s="13">
        <f t="shared" ref="D104" si="10">SUM(D93:D103)</f>
        <v>21</v>
      </c>
      <c r="E104" s="13"/>
      <c r="F104" s="13">
        <f t="shared" ref="F104" si="11">SUM(F93:F103)</f>
        <v>105</v>
      </c>
      <c r="G104" s="15">
        <v>0.17</v>
      </c>
      <c r="H104" s="196">
        <f>H93+H94+H97+H98+H100+H101</f>
        <v>0</v>
      </c>
      <c r="I104" s="196"/>
    </row>
    <row r="105" spans="2:10" x14ac:dyDescent="0.3">
      <c r="B105"/>
      <c r="C105"/>
      <c r="D105"/>
      <c r="E105"/>
      <c r="F105"/>
      <c r="G105"/>
      <c r="H105"/>
      <c r="I105"/>
      <c r="J105"/>
    </row>
    <row r="106" spans="2:10" x14ac:dyDescent="0.3">
      <c r="B106" s="20" t="s">
        <v>75</v>
      </c>
      <c r="C106" s="13" t="s">
        <v>105</v>
      </c>
      <c r="D106" s="13" t="s">
        <v>211</v>
      </c>
      <c r="E106" s="20"/>
      <c r="F106" s="20" t="s">
        <v>204</v>
      </c>
      <c r="G106" s="197" t="s">
        <v>206</v>
      </c>
      <c r="H106" s="197"/>
      <c r="I106" s="197"/>
    </row>
    <row r="107" spans="2:10" x14ac:dyDescent="0.3">
      <c r="B107" s="1" t="s">
        <v>173</v>
      </c>
      <c r="C107" s="5"/>
      <c r="D107" s="5">
        <v>0</v>
      </c>
      <c r="E107" s="5"/>
      <c r="F107" s="10"/>
      <c r="G107" s="1"/>
      <c r="H107" s="1"/>
    </row>
    <row r="108" spans="2:10" x14ac:dyDescent="0.3">
      <c r="B108" s="1" t="s">
        <v>167</v>
      </c>
      <c r="C108" s="5"/>
      <c r="D108" s="5">
        <v>0</v>
      </c>
      <c r="E108" s="5"/>
      <c r="F108" s="10"/>
      <c r="G108" s="1"/>
      <c r="H108" s="1"/>
    </row>
    <row r="109" spans="2:10" x14ac:dyDescent="0.3">
      <c r="B109" s="1" t="s">
        <v>168</v>
      </c>
      <c r="C109" s="5"/>
      <c r="D109" s="5">
        <v>0</v>
      </c>
      <c r="E109" s="5"/>
      <c r="F109" s="10"/>
      <c r="G109" s="1"/>
      <c r="H109" s="1"/>
      <c r="I109" s="7" t="s">
        <v>207</v>
      </c>
    </row>
    <row r="110" spans="2:10" x14ac:dyDescent="0.3">
      <c r="B110" s="1" t="s">
        <v>176</v>
      </c>
      <c r="C110" s="5"/>
      <c r="D110" s="5">
        <v>0</v>
      </c>
      <c r="E110" s="5"/>
      <c r="F110" s="10"/>
      <c r="G110" s="1"/>
      <c r="H110" s="1"/>
    </row>
    <row r="111" spans="2:10" x14ac:dyDescent="0.3">
      <c r="B111" s="1"/>
      <c r="C111" s="5"/>
      <c r="D111" s="5"/>
      <c r="E111" s="5"/>
      <c r="F111" s="10"/>
      <c r="G111" s="1"/>
      <c r="H111" s="1"/>
    </row>
    <row r="112" spans="2:10" x14ac:dyDescent="0.3">
      <c r="B112" s="1" t="s">
        <v>182</v>
      </c>
      <c r="C112" s="5"/>
      <c r="D112" s="5">
        <v>0</v>
      </c>
      <c r="E112" s="5"/>
      <c r="F112" s="10"/>
      <c r="G112" s="1"/>
      <c r="H112" s="1"/>
    </row>
    <row r="113" spans="2:9" x14ac:dyDescent="0.3">
      <c r="B113" s="1" t="s">
        <v>177</v>
      </c>
      <c r="C113" s="5"/>
      <c r="D113" s="5">
        <v>0</v>
      </c>
      <c r="E113" s="5"/>
      <c r="F113" s="10"/>
      <c r="G113" s="1"/>
      <c r="H113" s="1"/>
    </row>
    <row r="114" spans="2:9" x14ac:dyDescent="0.3">
      <c r="B114" s="1" t="s">
        <v>178</v>
      </c>
      <c r="C114" s="5"/>
      <c r="D114" s="5">
        <v>0</v>
      </c>
      <c r="E114" s="5"/>
      <c r="F114" s="10"/>
      <c r="G114" s="1"/>
      <c r="H114" s="1"/>
    </row>
    <row r="115" spans="2:9" x14ac:dyDescent="0.3">
      <c r="B115" s="1" t="s">
        <v>179</v>
      </c>
      <c r="C115" s="5"/>
      <c r="D115" s="5">
        <v>0</v>
      </c>
      <c r="E115" s="5"/>
      <c r="F115" s="10"/>
      <c r="G115" s="1"/>
      <c r="H115" s="1"/>
    </row>
    <row r="116" spans="2:9" x14ac:dyDescent="0.3">
      <c r="B116" s="1" t="s">
        <v>180</v>
      </c>
      <c r="C116" s="5"/>
      <c r="D116" s="5">
        <v>0</v>
      </c>
      <c r="E116" s="5"/>
      <c r="F116" s="10"/>
      <c r="G116" s="1"/>
      <c r="H116" s="1"/>
    </row>
    <row r="117" spans="2:9" x14ac:dyDescent="0.3">
      <c r="B117" s="1" t="s">
        <v>181</v>
      </c>
      <c r="C117" s="5"/>
      <c r="D117" s="5">
        <v>0</v>
      </c>
      <c r="E117" s="5"/>
      <c r="F117" s="10"/>
      <c r="G117" s="1"/>
      <c r="H117" s="1"/>
    </row>
    <row r="118" spans="2:9" x14ac:dyDescent="0.3">
      <c r="B118" s="1" t="s">
        <v>183</v>
      </c>
      <c r="C118" s="5"/>
      <c r="D118" s="5">
        <v>0</v>
      </c>
      <c r="E118" s="5"/>
      <c r="F118" s="10"/>
      <c r="G118" s="1"/>
      <c r="H118" s="1"/>
    </row>
    <row r="119" spans="2:9" x14ac:dyDescent="0.3">
      <c r="B119" s="1" t="s">
        <v>184</v>
      </c>
      <c r="C119" s="5"/>
      <c r="D119" s="5">
        <v>0</v>
      </c>
      <c r="E119" s="5"/>
      <c r="F119" s="10"/>
      <c r="G119" s="1"/>
      <c r="H119" s="1"/>
    </row>
    <row r="120" spans="2:9" x14ac:dyDescent="0.3">
      <c r="B120" s="1"/>
      <c r="C120" s="5"/>
      <c r="D120" s="5"/>
      <c r="E120" s="5"/>
      <c r="F120" s="10"/>
      <c r="G120" s="1"/>
      <c r="H120" s="1"/>
    </row>
    <row r="121" spans="2:9" x14ac:dyDescent="0.3">
      <c r="B121" s="1"/>
      <c r="C121" s="5"/>
      <c r="D121" s="5"/>
      <c r="E121" s="5"/>
      <c r="F121" s="10"/>
      <c r="G121" s="1"/>
      <c r="H121" s="1"/>
    </row>
    <row r="122" spans="2:9" x14ac:dyDescent="0.3">
      <c r="B122" s="13" t="s">
        <v>22</v>
      </c>
      <c r="C122" s="13"/>
      <c r="D122" s="29"/>
      <c r="E122" s="29"/>
      <c r="F122" s="14"/>
      <c r="G122" s="13"/>
      <c r="H122" s="13"/>
      <c r="I122" s="26"/>
    </row>
  </sheetData>
  <mergeCells count="45">
    <mergeCell ref="H102:I102"/>
    <mergeCell ref="H103:I103"/>
    <mergeCell ref="H104:I104"/>
    <mergeCell ref="G106:I106"/>
    <mergeCell ref="H97:I97"/>
    <mergeCell ref="H98:I98"/>
    <mergeCell ref="H99:I99"/>
    <mergeCell ref="H100:I100"/>
    <mergeCell ref="H101:I101"/>
    <mergeCell ref="H93:I93"/>
    <mergeCell ref="H94:I94"/>
    <mergeCell ref="H95:I95"/>
    <mergeCell ref="H96:I96"/>
    <mergeCell ref="H65:I65"/>
    <mergeCell ref="G69:I69"/>
    <mergeCell ref="H54:I54"/>
    <mergeCell ref="H66:I66"/>
    <mergeCell ref="G34:I34"/>
    <mergeCell ref="H59:I59"/>
    <mergeCell ref="H60:I60"/>
    <mergeCell ref="H61:I61"/>
    <mergeCell ref="H62:I62"/>
    <mergeCell ref="H63:I63"/>
    <mergeCell ref="H64:I64"/>
    <mergeCell ref="G43:I43"/>
    <mergeCell ref="G44:I44"/>
    <mergeCell ref="G45:I45"/>
    <mergeCell ref="H55:I55"/>
    <mergeCell ref="H56:I56"/>
    <mergeCell ref="H57:I57"/>
    <mergeCell ref="H58:I58"/>
    <mergeCell ref="B8:I10"/>
    <mergeCell ref="G39:I39"/>
    <mergeCell ref="G40:I40"/>
    <mergeCell ref="G41:I41"/>
    <mergeCell ref="G42:I42"/>
    <mergeCell ref="B50:I52"/>
    <mergeCell ref="B27:I28"/>
    <mergeCell ref="G30:I30"/>
    <mergeCell ref="G31:I31"/>
    <mergeCell ref="G32:I32"/>
    <mergeCell ref="G33:I33"/>
    <mergeCell ref="G35:I35"/>
    <mergeCell ref="G37:I37"/>
    <mergeCell ref="G38:I38"/>
  </mergeCells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DAILY</vt:lpstr>
      <vt:lpstr>Planilha1</vt:lpstr>
      <vt:lpstr> OPERACIONAL </vt:lpstr>
      <vt:lpstr>GESTÃO DO TEMPO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dcterms:created xsi:type="dcterms:W3CDTF">2025-08-06T13:54:31Z</dcterms:created>
  <dcterms:modified xsi:type="dcterms:W3CDTF">2025-11-03T18:52:26Z</dcterms:modified>
</cp:coreProperties>
</file>